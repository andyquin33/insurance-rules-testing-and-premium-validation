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1.xml" ContentType="application/vnd.openxmlformats-officedocument.spreadsheetml.pivotTable+xml"/>
  <Override PartName="/xl/tables/table1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89994D7743288048/Desktop/"/>
    </mc:Choice>
  </mc:AlternateContent>
  <xr:revisionPtr revIDLastSave="763" documentId="8_{A8D7BE89-9535-46D5-9302-A403BED8F861}" xr6:coauthVersionLast="47" xr6:coauthVersionMax="47" xr10:uidLastSave="{AF74521B-07A7-4EA1-91A8-D973E303E859}"/>
  <bookViews>
    <workbookView xWindow="-108" yWindow="-108" windowWidth="23256" windowHeight="12456" xr2:uid="{BD037841-80FA-4BC8-B027-28E02572F277}"/>
  </bookViews>
  <sheets>
    <sheet name="Project Overview" sheetId="7" r:id="rId1"/>
    <sheet name="Rate Book" sheetId="1" r:id="rId2"/>
    <sheet name="Test Cases" sheetId="2" r:id="rId3"/>
    <sheet name="Premium Validation" sheetId="3" r:id="rId4"/>
    <sheet name="QA Summary" sheetId="4" r:id="rId5"/>
    <sheet name="Issue Log" sheetId="6" r:id="rId6"/>
  </sheets>
  <calcPr calcId="191029"/>
  <pivotCaches>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1" i="6" l="1"/>
  <c r="H11" i="6" s="1"/>
  <c r="C12" i="6"/>
  <c r="H12" i="6" s="1"/>
  <c r="C13" i="6"/>
  <c r="H13" i="6" s="1"/>
  <c r="C14" i="6"/>
  <c r="H14" i="6" s="1"/>
  <c r="C15" i="6"/>
  <c r="H15" i="6" s="1"/>
  <c r="C16" i="6"/>
  <c r="H16" i="6" s="1"/>
  <c r="C17" i="6"/>
  <c r="H17" i="6" s="1"/>
  <c r="C18" i="6"/>
  <c r="H18" i="6" s="1"/>
  <c r="C19" i="6"/>
  <c r="H19" i="6" s="1"/>
  <c r="C20" i="6"/>
  <c r="H20" i="6" s="1"/>
  <c r="C21" i="6"/>
  <c r="H21" i="6" s="1"/>
  <c r="C22" i="6"/>
  <c r="H22" i="6" s="1"/>
  <c r="C23" i="6"/>
  <c r="H23" i="6" s="1"/>
  <c r="C24" i="6"/>
  <c r="H24" i="6" s="1"/>
  <c r="C25" i="6"/>
  <c r="H25" i="6" s="1"/>
  <c r="C26" i="6"/>
  <c r="H26" i="6" s="1"/>
  <c r="C27" i="6"/>
  <c r="H27" i="6" s="1"/>
  <c r="C28" i="6"/>
  <c r="H28" i="6" s="1"/>
  <c r="C29" i="6"/>
  <c r="H29" i="6" s="1"/>
  <c r="C30" i="6"/>
  <c r="H30" i="6" s="1"/>
  <c r="C31" i="6"/>
  <c r="H31" i="6" s="1"/>
  <c r="C32" i="6"/>
  <c r="H32" i="6" s="1"/>
  <c r="C33" i="6"/>
  <c r="H33" i="6" s="1"/>
  <c r="C34" i="6"/>
  <c r="H34" i="6" s="1"/>
  <c r="C35" i="6"/>
  <c r="H35" i="6" s="1"/>
  <c r="C36" i="6"/>
  <c r="H36" i="6" s="1"/>
  <c r="C37" i="6"/>
  <c r="H37" i="6" s="1"/>
  <c r="C38" i="6"/>
  <c r="H38" i="6" s="1"/>
  <c r="C39" i="6"/>
  <c r="H39" i="6" s="1"/>
  <c r="C40" i="6"/>
  <c r="H40" i="6" s="1"/>
  <c r="C3" i="6"/>
  <c r="H3" i="6" s="1"/>
  <c r="C4" i="6"/>
  <c r="H4" i="6" s="1"/>
  <c r="C5" i="6"/>
  <c r="H5" i="6" s="1"/>
  <c r="C6" i="6"/>
  <c r="H6" i="6" s="1"/>
  <c r="C7" i="6"/>
  <c r="H7" i="6" s="1"/>
  <c r="C8" i="6"/>
  <c r="H8" i="6" s="1"/>
  <c r="C9" i="6"/>
  <c r="H9" i="6" s="1"/>
  <c r="C10" i="6"/>
  <c r="H10" i="6" s="1"/>
  <c r="B2" i="6" a="1"/>
  <c r="B2" i="6" s="1"/>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E2" i="6" a="1"/>
  <c r="E2" i="6" s="1"/>
  <c r="D2" i="6" a="1"/>
  <c r="D2" i="6" s="1"/>
  <c r="G2" i="6" a="1"/>
  <c r="G2" i="6" s="1"/>
  <c r="C2" i="6" s="1"/>
  <c r="H2" i="6" s="1"/>
  <c r="B28" i="4"/>
  <c r="B27" i="4"/>
  <c r="B26" i="4"/>
  <c r="B23" i="4"/>
  <c r="B21" i="4"/>
  <c r="B20" i="4"/>
  <c r="AR2" i="3" a="1"/>
  <c r="AR2" i="3" s="1"/>
  <c r="AR3" i="3" a="1"/>
  <c r="AR3" i="3" s="1"/>
  <c r="AR4" i="3" a="1"/>
  <c r="AR4" i="3" s="1"/>
  <c r="AR5" i="3" a="1"/>
  <c r="AR5" i="3" s="1"/>
  <c r="AR6" i="3" a="1"/>
  <c r="AR6" i="3" s="1"/>
  <c r="AR7" i="3" a="1"/>
  <c r="AR7" i="3" s="1"/>
  <c r="AR8" i="3" a="1"/>
  <c r="AR8" i="3" s="1"/>
  <c r="AR9" i="3" a="1"/>
  <c r="AR9" i="3" s="1"/>
  <c r="AR10" i="3" a="1"/>
  <c r="AR10" i="3" s="1"/>
  <c r="AR11" i="3" a="1"/>
  <c r="AR11" i="3" s="1"/>
  <c r="AR12" i="3" a="1"/>
  <c r="AR12" i="3" s="1"/>
  <c r="AR13" i="3" a="1"/>
  <c r="AR13" i="3" s="1"/>
  <c r="AR14" i="3" a="1"/>
  <c r="AR14" i="3" s="1"/>
  <c r="AR15" i="3" a="1"/>
  <c r="AR15" i="3" s="1"/>
  <c r="AR16" i="3" a="1"/>
  <c r="AR16" i="3" s="1"/>
  <c r="AR17" i="3" a="1"/>
  <c r="AR17" i="3" s="1"/>
  <c r="AR18" i="3" a="1"/>
  <c r="AR18" i="3" s="1"/>
  <c r="AR19" i="3" a="1"/>
  <c r="AR19" i="3" s="1"/>
  <c r="AR20" i="3" a="1"/>
  <c r="AR20" i="3" s="1"/>
  <c r="AR21" i="3" a="1"/>
  <c r="AR21" i="3" s="1"/>
  <c r="AR22" i="3" a="1"/>
  <c r="AR22" i="3" s="1"/>
  <c r="AR23" i="3" a="1"/>
  <c r="AR23" i="3" s="1"/>
  <c r="AR24" i="3" a="1"/>
  <c r="AR24" i="3" s="1"/>
  <c r="AR25" i="3" a="1"/>
  <c r="AR25" i="3" s="1"/>
  <c r="AR26" i="3" a="1"/>
  <c r="AR26" i="3" s="1"/>
  <c r="AR27" i="3" a="1"/>
  <c r="AR27" i="3" s="1"/>
  <c r="AR28" i="3" a="1"/>
  <c r="AR28" i="3" s="1"/>
  <c r="AR29" i="3" a="1"/>
  <c r="AR29" i="3" s="1"/>
  <c r="AR30" i="3" a="1"/>
  <c r="AR30" i="3" s="1"/>
  <c r="AR31" i="3" a="1"/>
  <c r="AR31" i="3" s="1"/>
  <c r="AR32" i="3" a="1"/>
  <c r="AR32" i="3" s="1"/>
  <c r="AR33" i="3" a="1"/>
  <c r="AR33" i="3" s="1"/>
  <c r="AR34" i="3" a="1"/>
  <c r="AR34" i="3" s="1"/>
  <c r="AR35" i="3" a="1"/>
  <c r="AR35" i="3" s="1"/>
  <c r="AR36" i="3" a="1"/>
  <c r="AR36" i="3" s="1"/>
  <c r="AR37" i="3" a="1"/>
  <c r="AR37" i="3" s="1"/>
  <c r="AR38" i="3" a="1"/>
  <c r="AR38" i="3" s="1"/>
  <c r="AR39" i="3" a="1"/>
  <c r="AR39" i="3" s="1"/>
  <c r="AR40" i="3" a="1"/>
  <c r="AR40" i="3" s="1"/>
  <c r="AR41" i="3" a="1"/>
  <c r="AR41" i="3" s="1"/>
  <c r="AR42" i="3" a="1"/>
  <c r="AR42" i="3" s="1"/>
  <c r="AR43" i="3" a="1"/>
  <c r="AR43" i="3" s="1"/>
  <c r="AR44" i="3" a="1"/>
  <c r="AR44" i="3" s="1"/>
  <c r="AR45" i="3" a="1"/>
  <c r="AR45" i="3" s="1"/>
  <c r="AR46" i="3" a="1"/>
  <c r="AR46" i="3" s="1"/>
  <c r="AR47" i="3" a="1"/>
  <c r="AR47" i="3" s="1"/>
  <c r="AR48" i="3" a="1"/>
  <c r="AR48" i="3" s="1"/>
  <c r="AR49" i="3" a="1"/>
  <c r="AR49" i="3" s="1"/>
  <c r="AR50" i="3" a="1"/>
  <c r="AR50" i="3" s="1"/>
  <c r="AR51" i="3" a="1"/>
  <c r="AR51" i="3" s="1"/>
  <c r="AR52" i="3" a="1"/>
  <c r="AR52" i="3" s="1"/>
  <c r="AR53" i="3" a="1"/>
  <c r="AR53" i="3" s="1"/>
  <c r="AR54" i="3" a="1"/>
  <c r="AR54" i="3" s="1"/>
  <c r="AR55" i="3" a="1"/>
  <c r="AR55" i="3" s="1"/>
  <c r="AR56" i="3" a="1"/>
  <c r="AR56" i="3" s="1"/>
  <c r="AR57" i="3" a="1"/>
  <c r="AR57" i="3" s="1"/>
  <c r="AR58" i="3" a="1"/>
  <c r="AR58" i="3" s="1"/>
  <c r="AR59" i="3" a="1"/>
  <c r="AR59" i="3" s="1"/>
  <c r="AR60" i="3" a="1"/>
  <c r="AR60" i="3" s="1"/>
  <c r="AR61" i="3" a="1"/>
  <c r="AR61" i="3" s="1"/>
  <c r="AR62" i="3" a="1"/>
  <c r="AR62" i="3" s="1"/>
  <c r="AR63" i="3" a="1"/>
  <c r="AR63" i="3" s="1"/>
  <c r="AR64" i="3" a="1"/>
  <c r="AR64" i="3" s="1"/>
  <c r="AR65" i="3" a="1"/>
  <c r="AR65" i="3" s="1"/>
  <c r="AR66" i="3" a="1"/>
  <c r="AR66" i="3" s="1"/>
  <c r="AR67" i="3" a="1"/>
  <c r="AR67" i="3" s="1"/>
  <c r="AR68" i="3" a="1"/>
  <c r="AR68" i="3" s="1"/>
  <c r="AR69" i="3" a="1"/>
  <c r="AR69" i="3" s="1"/>
  <c r="AR70" i="3" a="1"/>
  <c r="AR70" i="3" s="1"/>
  <c r="AR71" i="3" a="1"/>
  <c r="AR71" i="3" s="1"/>
  <c r="AR72" i="3" a="1"/>
  <c r="AR72" i="3" s="1"/>
  <c r="AR73" i="3" a="1"/>
  <c r="AR73" i="3" s="1"/>
  <c r="AR74" i="3" a="1"/>
  <c r="AR74" i="3" s="1"/>
  <c r="AR75" i="3" a="1"/>
  <c r="AR75" i="3" s="1"/>
  <c r="AR76" i="3" a="1"/>
  <c r="AR76" i="3" s="1"/>
  <c r="AR77" i="3" a="1"/>
  <c r="AR77" i="3" s="1"/>
  <c r="AR78" i="3" a="1"/>
  <c r="AR78" i="3" s="1"/>
  <c r="AR79" i="3" a="1"/>
  <c r="AR79" i="3" s="1"/>
  <c r="AR80" i="3" a="1"/>
  <c r="AR80" i="3" s="1"/>
  <c r="AR81" i="3" a="1"/>
  <c r="AR81" i="3" s="1"/>
  <c r="AR82" i="3" a="1"/>
  <c r="AR82" i="3" s="1"/>
  <c r="AR83" i="3" a="1"/>
  <c r="AR83" i="3" s="1"/>
  <c r="AR84" i="3" a="1"/>
  <c r="AR84" i="3" s="1"/>
  <c r="AR85" i="3" a="1"/>
  <c r="AR85" i="3" s="1"/>
  <c r="AR86" i="3" a="1"/>
  <c r="AR86" i="3" s="1"/>
  <c r="AR87" i="3" a="1"/>
  <c r="AR87" i="3" s="1"/>
  <c r="AR88" i="3" a="1"/>
  <c r="AR88" i="3" s="1"/>
  <c r="AR89" i="3" a="1"/>
  <c r="AR89" i="3" s="1"/>
  <c r="AR90" i="3" a="1"/>
  <c r="AR90" i="3" s="1"/>
  <c r="AR91" i="3" a="1"/>
  <c r="AR91" i="3" s="1"/>
  <c r="AR92" i="3" a="1"/>
  <c r="AR92" i="3" s="1"/>
  <c r="AR93" i="3" a="1"/>
  <c r="AR93" i="3" s="1"/>
  <c r="AR94" i="3" a="1"/>
  <c r="AR94" i="3" s="1"/>
  <c r="AR95" i="3" a="1"/>
  <c r="AR95" i="3" s="1"/>
  <c r="AR96" i="3" a="1"/>
  <c r="AR96" i="3" s="1"/>
  <c r="AR97" i="3" a="1"/>
  <c r="AR97" i="3" s="1"/>
  <c r="AR98" i="3" a="1"/>
  <c r="AR98" i="3" s="1"/>
  <c r="AR99" i="3" a="1"/>
  <c r="AR99" i="3" s="1"/>
  <c r="AR100" i="3" a="1"/>
  <c r="AR100" i="3" s="1"/>
  <c r="AR101" i="3" a="1"/>
  <c r="AR101" i="3" s="1"/>
  <c r="AR102" i="3" a="1"/>
  <c r="AR102" i="3" s="1"/>
  <c r="AR103" i="3" a="1"/>
  <c r="AR103" i="3" s="1"/>
  <c r="AR104" i="3" a="1"/>
  <c r="AR104" i="3" s="1"/>
  <c r="AR105" i="3" a="1"/>
  <c r="AR105" i="3" s="1"/>
  <c r="AR106" i="3" a="1"/>
  <c r="AR106" i="3" s="1"/>
  <c r="AR107" i="3" a="1"/>
  <c r="AR107" i="3" s="1"/>
  <c r="AR108" i="3" a="1"/>
  <c r="AR108" i="3" s="1"/>
  <c r="AR109" i="3" a="1"/>
  <c r="AR109" i="3" s="1"/>
  <c r="AR110" i="3" a="1"/>
  <c r="AR110" i="3" s="1"/>
  <c r="AR111" i="3" a="1"/>
  <c r="AR111" i="3" s="1"/>
  <c r="AR112" i="3" a="1"/>
  <c r="AR112" i="3" s="1"/>
  <c r="AR113" i="3" a="1"/>
  <c r="AR113" i="3" s="1"/>
  <c r="AR114" i="3" a="1"/>
  <c r="AR114" i="3" s="1"/>
  <c r="AR115" i="3" a="1"/>
  <c r="AR115" i="3" s="1"/>
  <c r="AR116" i="3" a="1"/>
  <c r="AR116" i="3" s="1"/>
  <c r="AR117" i="3" a="1"/>
  <c r="AR117" i="3" s="1"/>
  <c r="AR118" i="3" a="1"/>
  <c r="AR118" i="3" s="1"/>
  <c r="AR119" i="3" a="1"/>
  <c r="AR119" i="3" s="1"/>
  <c r="AR120" i="3" a="1"/>
  <c r="AR120" i="3" s="1"/>
  <c r="AR121" i="3" a="1"/>
  <c r="AR121" i="3" s="1"/>
  <c r="AR122" i="3" a="1"/>
  <c r="AR122" i="3" s="1"/>
  <c r="AR123" i="3" a="1"/>
  <c r="AR123" i="3" s="1"/>
  <c r="AR124" i="3" a="1"/>
  <c r="AR124" i="3" s="1"/>
  <c r="AR125" i="3" a="1"/>
  <c r="AR125" i="3" s="1"/>
  <c r="AR126" i="3" a="1"/>
  <c r="AR126" i="3" s="1"/>
  <c r="AR127" i="3" a="1"/>
  <c r="AR127" i="3" s="1"/>
  <c r="AR128" i="3" a="1"/>
  <c r="AR128" i="3" s="1"/>
  <c r="AR129" i="3" a="1"/>
  <c r="AR129" i="3" s="1"/>
  <c r="AR130" i="3" a="1"/>
  <c r="AR130" i="3"/>
  <c r="AR131" i="3" a="1"/>
  <c r="AR131" i="3" s="1"/>
  <c r="AR132" i="3" a="1"/>
  <c r="AR132" i="3" s="1"/>
  <c r="AR133" i="3" a="1"/>
  <c r="AR133" i="3" s="1"/>
  <c r="AR134" i="3" a="1"/>
  <c r="AR134" i="3" s="1"/>
  <c r="AR135" i="3" a="1"/>
  <c r="AR135" i="3" s="1"/>
  <c r="AR136" i="3" a="1"/>
  <c r="AR136" i="3" s="1"/>
  <c r="AR137" i="3" a="1"/>
  <c r="AR137" i="3" s="1"/>
  <c r="AR138" i="3" a="1"/>
  <c r="AR138" i="3" s="1"/>
  <c r="AR139" i="3" a="1"/>
  <c r="AR139" i="3" s="1"/>
  <c r="AR140" i="3" a="1"/>
  <c r="AR140" i="3" s="1"/>
  <c r="AR141" i="3" a="1"/>
  <c r="AR141" i="3" s="1"/>
  <c r="AR142" i="3" a="1"/>
  <c r="AR142" i="3" s="1"/>
  <c r="AR143" i="3" a="1"/>
  <c r="AR143" i="3" s="1"/>
  <c r="AR144" i="3" a="1"/>
  <c r="AR144" i="3" s="1"/>
  <c r="AR145" i="3" a="1"/>
  <c r="AR145" i="3" s="1"/>
  <c r="AR146" i="3" a="1"/>
  <c r="AR146" i="3" s="1"/>
  <c r="AR147" i="3" a="1"/>
  <c r="AR147" i="3" s="1"/>
  <c r="AR148" i="3" a="1"/>
  <c r="AR148" i="3" s="1"/>
  <c r="AR149" i="3" a="1"/>
  <c r="AR149" i="3" s="1"/>
  <c r="AR150" i="3" a="1"/>
  <c r="AR150" i="3" s="1"/>
  <c r="AR151" i="3" a="1"/>
  <c r="AR151" i="3" s="1"/>
  <c r="AR152" i="3" a="1"/>
  <c r="AR152" i="3" s="1"/>
  <c r="AR153" i="3" a="1"/>
  <c r="AR153" i="3" s="1"/>
  <c r="AR154" i="3" a="1"/>
  <c r="AR154" i="3" s="1"/>
  <c r="AR155" i="3" a="1"/>
  <c r="AR155" i="3" s="1"/>
  <c r="AR156" i="3" a="1"/>
  <c r="AR156" i="3" s="1"/>
  <c r="AR157" i="3" a="1"/>
  <c r="AR157" i="3" s="1"/>
  <c r="AR158" i="3" a="1"/>
  <c r="AR158" i="3" s="1"/>
  <c r="AR159" i="3" a="1"/>
  <c r="AR159" i="3" s="1"/>
  <c r="AR160" i="3" a="1"/>
  <c r="AR160" i="3" s="1"/>
  <c r="AR161" i="3" a="1"/>
  <c r="AR161" i="3"/>
  <c r="AR162" i="3" a="1"/>
  <c r="AR162" i="3" s="1"/>
  <c r="AR163" i="3" a="1"/>
  <c r="AR163" i="3" s="1"/>
  <c r="AR164" i="3" a="1"/>
  <c r="AR164" i="3" s="1"/>
  <c r="AR165" i="3" a="1"/>
  <c r="AR165" i="3" s="1"/>
  <c r="AR166" i="3" a="1"/>
  <c r="AR166" i="3" s="1"/>
  <c r="AR167" i="3" a="1"/>
  <c r="AR167" i="3" s="1"/>
  <c r="AR168" i="3" a="1"/>
  <c r="AR168" i="3" s="1"/>
  <c r="AR169" i="3" a="1"/>
  <c r="AR169" i="3" s="1"/>
  <c r="AR170" i="3" a="1"/>
  <c r="AR170" i="3" s="1"/>
  <c r="AR171" i="3" a="1"/>
  <c r="AR171" i="3" s="1"/>
  <c r="AR172" i="3" a="1"/>
  <c r="AR172" i="3" s="1"/>
  <c r="AR173" i="3" a="1"/>
  <c r="AR173" i="3" s="1"/>
  <c r="AR174" i="3" a="1"/>
  <c r="AR174" i="3" s="1"/>
  <c r="AR175" i="3" a="1"/>
  <c r="AR175" i="3" s="1"/>
  <c r="AR176" i="3" a="1"/>
  <c r="AR176" i="3" s="1"/>
  <c r="AR177" i="3" a="1"/>
  <c r="AR177" i="3" s="1"/>
  <c r="AR178" i="3" a="1"/>
  <c r="AR178" i="3" s="1"/>
  <c r="AR179" i="3" a="1"/>
  <c r="AR179" i="3" s="1"/>
  <c r="AR180" i="3" a="1"/>
  <c r="AR180" i="3" s="1"/>
  <c r="AR181" i="3" a="1"/>
  <c r="AR181" i="3" s="1"/>
  <c r="AR182" i="3" a="1"/>
  <c r="AR182" i="3" s="1"/>
  <c r="AR183" i="3" a="1"/>
  <c r="AR183" i="3" s="1"/>
  <c r="AR184" i="3" a="1"/>
  <c r="AR184" i="3" s="1"/>
  <c r="AR185" i="3" a="1"/>
  <c r="AR185" i="3" s="1"/>
  <c r="AR186" i="3" a="1"/>
  <c r="AR186" i="3" s="1"/>
  <c r="AR187" i="3" a="1"/>
  <c r="AR187" i="3" s="1"/>
  <c r="AR188" i="3" a="1"/>
  <c r="AR188" i="3" s="1"/>
  <c r="AR189" i="3" a="1"/>
  <c r="AR189" i="3" s="1"/>
  <c r="AR190" i="3" a="1"/>
  <c r="AR190" i="3" s="1"/>
  <c r="AR191" i="3" a="1"/>
  <c r="AR191" i="3" s="1"/>
  <c r="AR192" i="3" a="1"/>
  <c r="AR192" i="3" s="1"/>
  <c r="AR193" i="3" a="1"/>
  <c r="AR193" i="3" s="1"/>
  <c r="AR194" i="3" a="1"/>
  <c r="AR194" i="3" s="1"/>
  <c r="AR195" i="3" a="1"/>
  <c r="AR195" i="3" s="1"/>
  <c r="AR196" i="3" a="1"/>
  <c r="AR196" i="3" s="1"/>
  <c r="AR197" i="3" a="1"/>
  <c r="AR197" i="3" s="1"/>
  <c r="AR198" i="3" a="1"/>
  <c r="AR198" i="3" s="1"/>
  <c r="AR199" i="3" a="1"/>
  <c r="AR199" i="3" s="1"/>
  <c r="AR200" i="3" a="1"/>
  <c r="AR200" i="3" s="1"/>
  <c r="AR201" i="3" a="1"/>
  <c r="AR201" i="3" s="1"/>
  <c r="AR202" i="3" a="1"/>
  <c r="AR202" i="3" s="1"/>
  <c r="AR203" i="3" a="1"/>
  <c r="AR203" i="3" s="1"/>
  <c r="AR204" i="3" a="1"/>
  <c r="AR204" i="3" s="1"/>
  <c r="AR205" i="3" a="1"/>
  <c r="AR205" i="3" s="1"/>
  <c r="AR206" i="3" a="1"/>
  <c r="AR206" i="3" s="1"/>
  <c r="AR207" i="3" a="1"/>
  <c r="AR207" i="3" s="1"/>
  <c r="AR208" i="3" a="1"/>
  <c r="AR208" i="3" s="1"/>
  <c r="AR209" i="3" a="1"/>
  <c r="AR209" i="3" s="1"/>
  <c r="AR210" i="3" a="1"/>
  <c r="AR210" i="3" s="1"/>
  <c r="AR211" i="3" a="1"/>
  <c r="AR211" i="3" s="1"/>
  <c r="AR212" i="3" a="1"/>
  <c r="AR212" i="3" s="1"/>
  <c r="AR213" i="3" a="1"/>
  <c r="AR213" i="3" s="1"/>
  <c r="AR214" i="3" a="1"/>
  <c r="AR214" i="3" s="1"/>
  <c r="AR215" i="3" a="1"/>
  <c r="AR215" i="3" s="1"/>
  <c r="AR216" i="3" a="1"/>
  <c r="AR216" i="3" s="1"/>
  <c r="AR217" i="3" a="1"/>
  <c r="AR217" i="3" s="1"/>
  <c r="AR218" i="3" a="1"/>
  <c r="AR218" i="3" s="1"/>
  <c r="AR219" i="3" a="1"/>
  <c r="AR219" i="3" s="1"/>
  <c r="AR220" i="3" a="1"/>
  <c r="AR220" i="3" s="1"/>
  <c r="AR221" i="3" a="1"/>
  <c r="AR221" i="3" s="1"/>
  <c r="AR222" i="3" a="1"/>
  <c r="AR222" i="3" s="1"/>
  <c r="AR223" i="3" a="1"/>
  <c r="AR223" i="3" s="1"/>
  <c r="AR224" i="3" a="1"/>
  <c r="AR224" i="3" s="1"/>
  <c r="AR225" i="3" a="1"/>
  <c r="AR225" i="3" s="1"/>
  <c r="AR226" i="3" a="1"/>
  <c r="AR226" i="3" s="1"/>
  <c r="AR227" i="3" a="1"/>
  <c r="AR227" i="3" s="1"/>
  <c r="AR228" i="3" a="1"/>
  <c r="AR228" i="3" s="1"/>
  <c r="AR229" i="3" a="1"/>
  <c r="AR229" i="3" s="1"/>
  <c r="AR230" i="3" a="1"/>
  <c r="AR230" i="3" s="1"/>
  <c r="AR231" i="3" a="1"/>
  <c r="AR231" i="3" s="1"/>
  <c r="AR232" i="3" a="1"/>
  <c r="AR232" i="3" s="1"/>
  <c r="AR233" i="3" a="1"/>
  <c r="AR233" i="3" s="1"/>
  <c r="AR234" i="3" a="1"/>
  <c r="AR234" i="3" s="1"/>
  <c r="AR235" i="3" a="1"/>
  <c r="AR235" i="3" s="1"/>
  <c r="AR236" i="3" a="1"/>
  <c r="AR236" i="3" s="1"/>
  <c r="AR237" i="3" a="1"/>
  <c r="AR237" i="3" s="1"/>
  <c r="AR238" i="3" a="1"/>
  <c r="AR238" i="3" s="1"/>
  <c r="AR239" i="3" a="1"/>
  <c r="AR239" i="3" s="1"/>
  <c r="AR240" i="3" a="1"/>
  <c r="AR240" i="3" s="1"/>
  <c r="AR241" i="3" a="1"/>
  <c r="AR241" i="3" s="1"/>
  <c r="AR242" i="3" a="1"/>
  <c r="AR242" i="3" s="1"/>
  <c r="AR243" i="3" a="1"/>
  <c r="AR243" i="3" s="1"/>
  <c r="AR244" i="3" a="1"/>
  <c r="AR244" i="3" s="1"/>
  <c r="AR245" i="3" a="1"/>
  <c r="AR245" i="3" s="1"/>
  <c r="AR246" i="3" a="1"/>
  <c r="AR246" i="3" s="1"/>
  <c r="AR247" i="3" a="1"/>
  <c r="AR247" i="3" s="1"/>
  <c r="AR248" i="3" a="1"/>
  <c r="AR248" i="3" s="1"/>
  <c r="AR249" i="3" a="1"/>
  <c r="AR249" i="3" s="1"/>
  <c r="AR250" i="3" a="1"/>
  <c r="AR250" i="3" s="1"/>
  <c r="AR251" i="3" a="1"/>
  <c r="AR251" i="3" s="1"/>
  <c r="AR252" i="3" a="1"/>
  <c r="AR252" i="3" s="1"/>
  <c r="AR253" i="3" a="1"/>
  <c r="AR253" i="3" s="1"/>
  <c r="AR254" i="3" a="1"/>
  <c r="AR254" i="3" s="1"/>
  <c r="AR255" i="3" a="1"/>
  <c r="AR255" i="3" s="1"/>
  <c r="AR256" i="3" a="1"/>
  <c r="AR256" i="3" s="1"/>
  <c r="AR257" i="3" a="1"/>
  <c r="AR257" i="3" s="1"/>
  <c r="AR258" i="3" a="1"/>
  <c r="AR258" i="3" s="1"/>
  <c r="AR259" i="3" a="1"/>
  <c r="AR259" i="3" s="1"/>
  <c r="AR260" i="3" a="1"/>
  <c r="AR260" i="3" s="1"/>
  <c r="AR261" i="3" a="1"/>
  <c r="AR261" i="3" s="1"/>
  <c r="AR262" i="3" a="1"/>
  <c r="AR262" i="3" s="1"/>
  <c r="AR263" i="3" a="1"/>
  <c r="AR263" i="3" s="1"/>
  <c r="AR264" i="3" a="1"/>
  <c r="AR264" i="3" s="1"/>
  <c r="AR265" i="3" a="1"/>
  <c r="AR265" i="3" s="1"/>
  <c r="AR266" i="3" a="1"/>
  <c r="AR266" i="3" s="1"/>
  <c r="AR267" i="3" a="1"/>
  <c r="AR267" i="3" s="1"/>
  <c r="AR268" i="3" a="1"/>
  <c r="AR268" i="3" s="1"/>
  <c r="AR269" i="3" a="1"/>
  <c r="AR269" i="3" s="1"/>
  <c r="AR270" i="3" a="1"/>
  <c r="AR270" i="3" s="1"/>
  <c r="AR271" i="3" a="1"/>
  <c r="AR271" i="3" s="1"/>
  <c r="AR272" i="3" a="1"/>
  <c r="AR272" i="3" s="1"/>
  <c r="AR273" i="3" a="1"/>
  <c r="AR273" i="3" s="1"/>
  <c r="AR274" i="3" a="1"/>
  <c r="AR274" i="3" s="1"/>
  <c r="AR275" i="3" a="1"/>
  <c r="AR275" i="3" s="1"/>
  <c r="AR276" i="3" a="1"/>
  <c r="AR276" i="3" s="1"/>
  <c r="AR277" i="3" a="1"/>
  <c r="AR277" i="3" s="1"/>
  <c r="AR278" i="3" a="1"/>
  <c r="AR278" i="3" s="1"/>
  <c r="AR279" i="3" a="1"/>
  <c r="AR279" i="3" s="1"/>
  <c r="AR280" i="3" a="1"/>
  <c r="AR280" i="3" s="1"/>
  <c r="AR281" i="3" a="1"/>
  <c r="AR281" i="3" s="1"/>
  <c r="AR282" i="3" a="1"/>
  <c r="AR282" i="3" s="1"/>
  <c r="AR283" i="3" a="1"/>
  <c r="AR283" i="3" s="1"/>
  <c r="AR284" i="3" a="1"/>
  <c r="AR284" i="3" s="1"/>
  <c r="AR285" i="3" a="1"/>
  <c r="AR285" i="3" s="1"/>
  <c r="AR286" i="3" a="1"/>
  <c r="AR286" i="3" s="1"/>
  <c r="AR287" i="3" a="1"/>
  <c r="AR287" i="3" s="1"/>
  <c r="AR288" i="3" a="1"/>
  <c r="AR288" i="3" s="1"/>
  <c r="AR289" i="3" a="1"/>
  <c r="AR289" i="3" s="1"/>
  <c r="AR290" i="3" a="1"/>
  <c r="AR290" i="3" s="1"/>
  <c r="AR291" i="3" a="1"/>
  <c r="AR291" i="3" s="1"/>
  <c r="AR292" i="3" a="1"/>
  <c r="AR292" i="3" s="1"/>
  <c r="AR293" i="3" a="1"/>
  <c r="AR293" i="3" s="1"/>
  <c r="AR294" i="3" a="1"/>
  <c r="AR294" i="3" s="1"/>
  <c r="AR295" i="3" a="1"/>
  <c r="AR295" i="3" s="1"/>
  <c r="AR296" i="3" a="1"/>
  <c r="AR296" i="3" s="1"/>
  <c r="AR297" i="3" a="1"/>
  <c r="AR297" i="3" s="1"/>
  <c r="AR298" i="3" a="1"/>
  <c r="AR298" i="3" s="1"/>
  <c r="AR299" i="3" a="1"/>
  <c r="AR299" i="3" s="1"/>
  <c r="AR300" i="3" a="1"/>
  <c r="AR300" i="3" s="1"/>
  <c r="AR301" i="3" a="1"/>
  <c r="AR301" i="3" s="1"/>
  <c r="AR302" i="3" a="1"/>
  <c r="AR302" i="3" s="1"/>
  <c r="AR303" i="3" a="1"/>
  <c r="AR303" i="3" s="1"/>
  <c r="AR304" i="3" a="1"/>
  <c r="AR304" i="3" s="1"/>
  <c r="AR305" i="3" a="1"/>
  <c r="AR305" i="3" s="1"/>
  <c r="AR306" i="3" a="1"/>
  <c r="AR306" i="3" s="1"/>
  <c r="AR307" i="3" a="1"/>
  <c r="AR307" i="3" s="1"/>
  <c r="AR308" i="3" a="1"/>
  <c r="AR308" i="3" s="1"/>
  <c r="AR309" i="3" a="1"/>
  <c r="AR309" i="3" s="1"/>
  <c r="AR310" i="3" a="1"/>
  <c r="AR310" i="3" s="1"/>
  <c r="AR311" i="3" a="1"/>
  <c r="AR311" i="3" s="1"/>
  <c r="AR312" i="3" a="1"/>
  <c r="AR312" i="3" s="1"/>
  <c r="AR313" i="3" a="1"/>
  <c r="AR313" i="3" s="1"/>
  <c r="AR314" i="3" a="1"/>
  <c r="AR314" i="3" s="1"/>
  <c r="AR315" i="3" a="1"/>
  <c r="AR315" i="3" s="1"/>
  <c r="AR316" i="3" a="1"/>
  <c r="AR316" i="3" s="1"/>
  <c r="AR317" i="3" a="1"/>
  <c r="AR317" i="3" s="1"/>
  <c r="AR318" i="3" a="1"/>
  <c r="AR318" i="3" s="1"/>
  <c r="AR319" i="3" a="1"/>
  <c r="AR319" i="3" s="1"/>
  <c r="AR320" i="3" a="1"/>
  <c r="AR320" i="3" s="1"/>
  <c r="AR321" i="3" a="1"/>
  <c r="AR321" i="3" s="1"/>
  <c r="AR322" i="3" a="1"/>
  <c r="AR322" i="3" s="1"/>
  <c r="AR323" i="3" a="1"/>
  <c r="AR323" i="3" s="1"/>
  <c r="AR324" i="3" a="1"/>
  <c r="AR324" i="3" s="1"/>
  <c r="AR325" i="3" a="1"/>
  <c r="AR325" i="3" s="1"/>
  <c r="AR326" i="3" a="1"/>
  <c r="AR326" i="3" s="1"/>
  <c r="AR327" i="3" a="1"/>
  <c r="AR327" i="3" s="1"/>
  <c r="AR328" i="3" a="1"/>
  <c r="AR328" i="3" s="1"/>
  <c r="AR329" i="3" a="1"/>
  <c r="AR329" i="3" s="1"/>
  <c r="AR330" i="3" a="1"/>
  <c r="AR330" i="3" s="1"/>
  <c r="AR331" i="3" a="1"/>
  <c r="AR331" i="3" s="1"/>
  <c r="AR332" i="3" a="1"/>
  <c r="AR332" i="3" s="1"/>
  <c r="AR333" i="3" a="1"/>
  <c r="AR333" i="3" s="1"/>
  <c r="AR334" i="3" a="1"/>
  <c r="AR334" i="3" s="1"/>
  <c r="AR335" i="3" a="1"/>
  <c r="AR335" i="3" s="1"/>
  <c r="AR336" i="3" a="1"/>
  <c r="AR336" i="3" s="1"/>
  <c r="AR337" i="3" a="1"/>
  <c r="AR337" i="3" s="1"/>
  <c r="AR338" i="3" a="1"/>
  <c r="AR338" i="3" s="1"/>
  <c r="AR339" i="3" a="1"/>
  <c r="AR339" i="3" s="1"/>
  <c r="AR340" i="3" a="1"/>
  <c r="AR340" i="3" s="1"/>
  <c r="AR341" i="3" a="1"/>
  <c r="AR341" i="3" s="1"/>
  <c r="AR342" i="3" a="1"/>
  <c r="AR342" i="3" s="1"/>
  <c r="AR343" i="3" a="1"/>
  <c r="AR343" i="3" s="1"/>
  <c r="AR344" i="3" a="1"/>
  <c r="AR344" i="3" s="1"/>
  <c r="AR345" i="3" a="1"/>
  <c r="AR345" i="3" s="1"/>
  <c r="AR346" i="3" a="1"/>
  <c r="AR346" i="3" s="1"/>
  <c r="AR347" i="3" a="1"/>
  <c r="AR347" i="3" s="1"/>
  <c r="AR348" i="3" a="1"/>
  <c r="AR348" i="3" s="1"/>
  <c r="AR349" i="3" a="1"/>
  <c r="AR349" i="3" s="1"/>
  <c r="AR350" i="3" a="1"/>
  <c r="AR350" i="3" s="1"/>
  <c r="AR351" i="3" a="1"/>
  <c r="AR351" i="3" s="1"/>
  <c r="AR352" i="3" a="1"/>
  <c r="AR352" i="3" s="1"/>
  <c r="AR353" i="3" a="1"/>
  <c r="AR353" i="3" s="1"/>
  <c r="AR354" i="3" a="1"/>
  <c r="AR354" i="3" s="1"/>
  <c r="AR355" i="3" a="1"/>
  <c r="AR355" i="3" s="1"/>
  <c r="AR356" i="3" a="1"/>
  <c r="AR356" i="3" s="1"/>
  <c r="AR357" i="3" a="1"/>
  <c r="AR357" i="3" s="1"/>
  <c r="AR358" i="3" a="1"/>
  <c r="AR358" i="3" s="1"/>
  <c r="AR359" i="3" a="1"/>
  <c r="AR359" i="3" s="1"/>
  <c r="AR360" i="3" a="1"/>
  <c r="AR360" i="3" s="1"/>
  <c r="AR361" i="3" a="1"/>
  <c r="AR361" i="3" s="1"/>
  <c r="AR362" i="3" a="1"/>
  <c r="AR362" i="3" s="1"/>
  <c r="AR363" i="3" a="1"/>
  <c r="AR363" i="3" s="1"/>
  <c r="AR364" i="3" a="1"/>
  <c r="AR364" i="3" s="1"/>
  <c r="AR365" i="3" a="1"/>
  <c r="AR365" i="3" s="1"/>
  <c r="AR366" i="3" a="1"/>
  <c r="AR366" i="3" s="1"/>
  <c r="AR367" i="3" a="1"/>
  <c r="AR367" i="3" s="1"/>
  <c r="AR368" i="3" a="1"/>
  <c r="AR368" i="3" s="1"/>
  <c r="AR369" i="3" a="1"/>
  <c r="AR369" i="3" s="1"/>
  <c r="AR370" i="3" a="1"/>
  <c r="AR370" i="3" s="1"/>
  <c r="AR371" i="3" a="1"/>
  <c r="AR371" i="3" s="1"/>
  <c r="AR372" i="3" a="1"/>
  <c r="AR372" i="3" s="1"/>
  <c r="AR373" i="3" a="1"/>
  <c r="AR373" i="3" s="1"/>
  <c r="AR374" i="3" a="1"/>
  <c r="AR374" i="3" s="1"/>
  <c r="AR375" i="3" a="1"/>
  <c r="AR375" i="3" s="1"/>
  <c r="AR376" i="3" a="1"/>
  <c r="AR376" i="3" s="1"/>
  <c r="AR377" i="3" a="1"/>
  <c r="AR377" i="3" s="1"/>
  <c r="AR378" i="3" a="1"/>
  <c r="AR378" i="3" s="1"/>
  <c r="AR379" i="3" a="1"/>
  <c r="AR379" i="3" s="1"/>
  <c r="AR380" i="3" a="1"/>
  <c r="AR380" i="3" s="1"/>
  <c r="AR381" i="3" a="1"/>
  <c r="AR381" i="3" s="1"/>
  <c r="AR382" i="3" a="1"/>
  <c r="AR382" i="3" s="1"/>
  <c r="AR383" i="3" a="1"/>
  <c r="AR383" i="3" s="1"/>
  <c r="AR384" i="3" a="1"/>
  <c r="AR384" i="3" s="1"/>
  <c r="AR385" i="3" a="1"/>
  <c r="AR385" i="3" s="1"/>
  <c r="AR386" i="3" a="1"/>
  <c r="AR386" i="3" s="1"/>
  <c r="AR387" i="3" a="1"/>
  <c r="AR387" i="3" s="1"/>
  <c r="AR388" i="3" a="1"/>
  <c r="AR388" i="3" s="1"/>
  <c r="AR389" i="3" a="1"/>
  <c r="AR389" i="3" s="1"/>
  <c r="AR390" i="3" a="1"/>
  <c r="AR390" i="3" s="1"/>
  <c r="AR391" i="3" a="1"/>
  <c r="AR391" i="3" s="1"/>
  <c r="AR392" i="3" a="1"/>
  <c r="AR392" i="3" s="1"/>
  <c r="AR393" i="3" a="1"/>
  <c r="AR393" i="3" s="1"/>
  <c r="AR394" i="3" a="1"/>
  <c r="AR394" i="3" s="1"/>
  <c r="AR395" i="3" a="1"/>
  <c r="AR395" i="3" s="1"/>
  <c r="AR396" i="3" a="1"/>
  <c r="AR396" i="3" s="1"/>
  <c r="AR397" i="3" a="1"/>
  <c r="AR397" i="3" s="1"/>
  <c r="AR398" i="3" a="1"/>
  <c r="AR398" i="3" s="1"/>
  <c r="AR399" i="3" a="1"/>
  <c r="AR399" i="3" s="1"/>
  <c r="AR400" i="3" a="1"/>
  <c r="AR400" i="3" s="1"/>
  <c r="AR401" i="3" a="1"/>
  <c r="AR401" i="3" s="1"/>
  <c r="AR402" i="3" a="1"/>
  <c r="AR402" i="3" s="1"/>
  <c r="AR403" i="3" a="1"/>
  <c r="AR403" i="3" s="1"/>
  <c r="AR404" i="3" a="1"/>
  <c r="AR404" i="3" s="1"/>
  <c r="AR405" i="3" a="1"/>
  <c r="AR405" i="3" s="1"/>
  <c r="AR406" i="3" a="1"/>
  <c r="AR406" i="3" s="1"/>
  <c r="AR407" i="3" a="1"/>
  <c r="AR407" i="3" s="1"/>
  <c r="AR408" i="3" a="1"/>
  <c r="AR408" i="3" s="1"/>
  <c r="AR409" i="3" a="1"/>
  <c r="AR409" i="3" s="1"/>
  <c r="AR410" i="3" a="1"/>
  <c r="AR410" i="3" s="1"/>
  <c r="AR411" i="3" a="1"/>
  <c r="AR411" i="3" s="1"/>
  <c r="AR412" i="3" a="1"/>
  <c r="AR412" i="3" s="1"/>
  <c r="AR413" i="3" a="1"/>
  <c r="AR413" i="3" s="1"/>
  <c r="AR414" i="3" a="1"/>
  <c r="AR414" i="3" s="1"/>
  <c r="AR415" i="3" a="1"/>
  <c r="AR415" i="3" s="1"/>
  <c r="AR416" i="3" a="1"/>
  <c r="AR416" i="3" s="1"/>
  <c r="AR417" i="3" a="1"/>
  <c r="AR417" i="3" s="1"/>
  <c r="AR418" i="3" a="1"/>
  <c r="AR418" i="3" s="1"/>
  <c r="AR419" i="3" a="1"/>
  <c r="AR419" i="3" s="1"/>
  <c r="AR420" i="3" a="1"/>
  <c r="AR420" i="3" s="1"/>
  <c r="AR421" i="3" a="1"/>
  <c r="AR421" i="3" s="1"/>
  <c r="AR422" i="3" a="1"/>
  <c r="AR422" i="3" s="1"/>
  <c r="AR423" i="3" a="1"/>
  <c r="AR423" i="3" s="1"/>
  <c r="AR424" i="3" a="1"/>
  <c r="AR424" i="3" s="1"/>
  <c r="AR425" i="3" a="1"/>
  <c r="AR425" i="3" s="1"/>
  <c r="AR426" i="3" a="1"/>
  <c r="AR426" i="3" s="1"/>
  <c r="AR427" i="3" a="1"/>
  <c r="AR427" i="3" s="1"/>
  <c r="AR428" i="3" a="1"/>
  <c r="AR428" i="3" s="1"/>
  <c r="AR429" i="3" a="1"/>
  <c r="AR429" i="3" s="1"/>
  <c r="AR430" i="3" a="1"/>
  <c r="AR430" i="3" s="1"/>
  <c r="AR431" i="3" a="1"/>
  <c r="AR431" i="3" s="1"/>
  <c r="AR432" i="3" a="1"/>
  <c r="AR432" i="3" s="1"/>
  <c r="AR433" i="3" a="1"/>
  <c r="AR433" i="3" s="1"/>
  <c r="AR434" i="3" a="1"/>
  <c r="AR434" i="3" s="1"/>
  <c r="AR435" i="3" a="1"/>
  <c r="AR435" i="3" s="1"/>
  <c r="AR436" i="3" a="1"/>
  <c r="AR436" i="3" s="1"/>
  <c r="AR437" i="3" a="1"/>
  <c r="AR437" i="3" s="1"/>
  <c r="AR438" i="3" a="1"/>
  <c r="AR438" i="3" s="1"/>
  <c r="AR439" i="3" a="1"/>
  <c r="AR439" i="3" s="1"/>
  <c r="AR440" i="3" a="1"/>
  <c r="AR440" i="3" s="1"/>
  <c r="AR441" i="3" a="1"/>
  <c r="AR441" i="3" s="1"/>
  <c r="AR442" i="3" a="1"/>
  <c r="AR442" i="3" s="1"/>
  <c r="AR443" i="3" a="1"/>
  <c r="AR443" i="3" s="1"/>
  <c r="AR444" i="3" a="1"/>
  <c r="AR444" i="3" s="1"/>
  <c r="AR445" i="3" a="1"/>
  <c r="AR445" i="3" s="1"/>
  <c r="AR446" i="3" a="1"/>
  <c r="AR446" i="3" s="1"/>
  <c r="AR447" i="3" a="1"/>
  <c r="AR447" i="3" s="1"/>
  <c r="AR448" i="3" a="1"/>
  <c r="AR448" i="3" s="1"/>
  <c r="AR449" i="3" a="1"/>
  <c r="AR449" i="3" s="1"/>
  <c r="AR450" i="3" a="1"/>
  <c r="AR450" i="3" s="1"/>
  <c r="AR451" i="3" a="1"/>
  <c r="AR451" i="3" s="1"/>
  <c r="AR452" i="3" a="1"/>
  <c r="AR452" i="3" s="1"/>
  <c r="AR453" i="3" a="1"/>
  <c r="AR453" i="3" s="1"/>
  <c r="AR454" i="3" a="1"/>
  <c r="AR454" i="3" s="1"/>
  <c r="AR455" i="3" a="1"/>
  <c r="AR455" i="3" s="1"/>
  <c r="AR456" i="3" a="1"/>
  <c r="AR456" i="3" s="1"/>
  <c r="AR457" i="3" a="1"/>
  <c r="AR457" i="3" s="1"/>
  <c r="AR458" i="3" a="1"/>
  <c r="AR458" i="3" s="1"/>
  <c r="AR459" i="3" a="1"/>
  <c r="AR459" i="3" s="1"/>
  <c r="AR460" i="3" a="1"/>
  <c r="AR460" i="3" s="1"/>
  <c r="AR461" i="3" a="1"/>
  <c r="AR461" i="3" s="1"/>
  <c r="AR462" i="3" a="1"/>
  <c r="AR462" i="3" s="1"/>
  <c r="AR463" i="3" a="1"/>
  <c r="AR463" i="3" s="1"/>
  <c r="AR464" i="3" a="1"/>
  <c r="AR464" i="3" s="1"/>
  <c r="AR465" i="3" a="1"/>
  <c r="AR465" i="3" s="1"/>
  <c r="AR466" i="3" a="1"/>
  <c r="AR466" i="3" s="1"/>
  <c r="AR467" i="3" a="1"/>
  <c r="AR467" i="3" s="1"/>
  <c r="AR468" i="3" a="1"/>
  <c r="AR468" i="3" s="1"/>
  <c r="AR469" i="3" a="1"/>
  <c r="AR469" i="3" s="1"/>
  <c r="AR470" i="3" a="1"/>
  <c r="AR470" i="3" s="1"/>
  <c r="AR471" i="3" a="1"/>
  <c r="AR471" i="3" s="1"/>
  <c r="AR472" i="3" a="1"/>
  <c r="AR472" i="3" s="1"/>
  <c r="AR473" i="3" a="1"/>
  <c r="AR473" i="3" s="1"/>
  <c r="AR474" i="3" a="1"/>
  <c r="AR474" i="3" s="1"/>
  <c r="AR475" i="3" a="1"/>
  <c r="AR475" i="3" s="1"/>
  <c r="AR476" i="3" a="1"/>
  <c r="AR476" i="3" s="1"/>
  <c r="AR477" i="3" a="1"/>
  <c r="AR477" i="3" s="1"/>
  <c r="AR478" i="3" a="1"/>
  <c r="AR478" i="3" s="1"/>
  <c r="AR479" i="3" a="1"/>
  <c r="AR479" i="3"/>
  <c r="AR480" i="3" a="1"/>
  <c r="AR480" i="3" s="1"/>
  <c r="AR481" i="3" a="1"/>
  <c r="AR481" i="3" s="1"/>
  <c r="AR482" i="3" a="1"/>
  <c r="AR482" i="3" s="1"/>
  <c r="AR483" i="3" a="1"/>
  <c r="AR483" i="3" s="1"/>
  <c r="AR484" i="3" a="1"/>
  <c r="AR484" i="3" s="1"/>
  <c r="AR485" i="3" a="1"/>
  <c r="AR485" i="3" s="1"/>
  <c r="AR486" i="3" a="1"/>
  <c r="AR486" i="3" s="1"/>
  <c r="AR487" i="3" a="1"/>
  <c r="AR487" i="3" s="1"/>
  <c r="AR488" i="3" a="1"/>
  <c r="AR488" i="3" s="1"/>
  <c r="AR489" i="3" a="1"/>
  <c r="AR489" i="3" s="1"/>
  <c r="AR490" i="3" a="1"/>
  <c r="AR490" i="3" s="1"/>
  <c r="AR491" i="3" a="1"/>
  <c r="AR491" i="3" s="1"/>
  <c r="AR492" i="3" a="1"/>
  <c r="AR492" i="3" s="1"/>
  <c r="AR493" i="3" a="1"/>
  <c r="AR493" i="3" s="1"/>
  <c r="AR494" i="3" a="1"/>
  <c r="AR494" i="3" s="1"/>
  <c r="AR495" i="3" a="1"/>
  <c r="AR495" i="3" s="1"/>
  <c r="AR496" i="3" a="1"/>
  <c r="AR496" i="3" s="1"/>
  <c r="AR497" i="3" a="1"/>
  <c r="AR497" i="3" s="1"/>
  <c r="AR498" i="3" a="1"/>
  <c r="AR498" i="3" s="1"/>
  <c r="AR499" i="3" a="1"/>
  <c r="AR499" i="3" s="1"/>
  <c r="AR500" i="3" a="1"/>
  <c r="AR500" i="3" s="1"/>
  <c r="AR501" i="3" a="1"/>
  <c r="AR501" i="3" s="1"/>
  <c r="AR502" i="3" a="1"/>
  <c r="AR502" i="3" s="1"/>
  <c r="AR503" i="3" a="1"/>
  <c r="AR503" i="3" s="1"/>
  <c r="AR504" i="3" a="1"/>
  <c r="AR504" i="3" s="1"/>
  <c r="AR505" i="3" a="1"/>
  <c r="AR505" i="3" s="1"/>
  <c r="AR506" i="3" a="1"/>
  <c r="AR506" i="3" s="1"/>
  <c r="AR507" i="3" a="1"/>
  <c r="AR507" i="3" s="1"/>
  <c r="AR508" i="3" a="1"/>
  <c r="AR508" i="3" s="1"/>
  <c r="AR509" i="3" a="1"/>
  <c r="AR509" i="3" s="1"/>
  <c r="AR510" i="3" a="1"/>
  <c r="AR510" i="3" s="1"/>
  <c r="AR511" i="3" a="1"/>
  <c r="AR511" i="3" s="1"/>
  <c r="AR512" i="3" a="1"/>
  <c r="AR512" i="3" s="1"/>
  <c r="AR513" i="3" a="1"/>
  <c r="AR513" i="3" s="1"/>
  <c r="AR514" i="3" a="1"/>
  <c r="AR514" i="3" s="1"/>
  <c r="AR515" i="3" a="1"/>
  <c r="AR515" i="3" s="1"/>
  <c r="AR516" i="3" a="1"/>
  <c r="AR516" i="3" s="1"/>
  <c r="AR517" i="3" a="1"/>
  <c r="AR517" i="3" s="1"/>
  <c r="AR518" i="3" a="1"/>
  <c r="AR518" i="3" s="1"/>
  <c r="AR519" i="3" a="1"/>
  <c r="AR519" i="3" s="1"/>
  <c r="AR520" i="3" a="1"/>
  <c r="AR520" i="3" s="1"/>
  <c r="AR521" i="3" a="1"/>
  <c r="AR521" i="3" s="1"/>
  <c r="AR522" i="3" a="1"/>
  <c r="AR522" i="3" s="1"/>
  <c r="AR523" i="3" a="1"/>
  <c r="AR523" i="3" s="1"/>
  <c r="AR524" i="3" a="1"/>
  <c r="AR524" i="3" s="1"/>
  <c r="AR525" i="3" a="1"/>
  <c r="AR525" i="3" s="1"/>
  <c r="AR526" i="3" a="1"/>
  <c r="AR526" i="3" s="1"/>
  <c r="AR527" i="3" a="1"/>
  <c r="AR527" i="3" s="1"/>
  <c r="AR528" i="3" a="1"/>
  <c r="AR528" i="3" s="1"/>
  <c r="AR529" i="3" a="1"/>
  <c r="AR529" i="3" s="1"/>
  <c r="AR530" i="3" a="1"/>
  <c r="AR530" i="3" s="1"/>
  <c r="AR531" i="3" a="1"/>
  <c r="AR531" i="3" s="1"/>
  <c r="AR532" i="3" a="1"/>
  <c r="AR532" i="3" s="1"/>
  <c r="AR533" i="3" a="1"/>
  <c r="AR533" i="3" s="1"/>
  <c r="AR534" i="3" a="1"/>
  <c r="AR534" i="3" s="1"/>
  <c r="AR535" i="3" a="1"/>
  <c r="AR535" i="3" s="1"/>
  <c r="AR536" i="3" a="1"/>
  <c r="AR536" i="3" s="1"/>
  <c r="AR537" i="3" a="1"/>
  <c r="AR537" i="3" s="1"/>
  <c r="AR538" i="3" a="1"/>
  <c r="AR538" i="3" s="1"/>
  <c r="AR539" i="3" a="1"/>
  <c r="AR539" i="3" s="1"/>
  <c r="AR540" i="3" a="1"/>
  <c r="AR540" i="3" s="1"/>
  <c r="AR541" i="3" a="1"/>
  <c r="AR541" i="3" s="1"/>
  <c r="AR542" i="3" a="1"/>
  <c r="AR542" i="3" s="1"/>
  <c r="AR543" i="3" a="1"/>
  <c r="AR543" i="3" s="1"/>
  <c r="AR544" i="3" a="1"/>
  <c r="AR544" i="3" s="1"/>
  <c r="AR545" i="3" a="1"/>
  <c r="AR545" i="3" s="1"/>
  <c r="AR546" i="3" a="1"/>
  <c r="AR546" i="3" s="1"/>
  <c r="AR547" i="3" a="1"/>
  <c r="AR547" i="3" s="1"/>
  <c r="AR548" i="3" a="1"/>
  <c r="AR548" i="3" s="1"/>
  <c r="AR549" i="3" a="1"/>
  <c r="AR549" i="3" s="1"/>
  <c r="AR550" i="3" a="1"/>
  <c r="AR550" i="3" s="1"/>
  <c r="AR551" i="3" a="1"/>
  <c r="AR551" i="3" s="1"/>
  <c r="AR552" i="3" a="1"/>
  <c r="AR552" i="3" s="1"/>
  <c r="AR553" i="3" a="1"/>
  <c r="AR553" i="3" s="1"/>
  <c r="AR554" i="3" a="1"/>
  <c r="AR554" i="3" s="1"/>
  <c r="AR555" i="3" a="1"/>
  <c r="AR555" i="3" s="1"/>
  <c r="AR556" i="3" a="1"/>
  <c r="AR556" i="3" s="1"/>
  <c r="AR557" i="3" a="1"/>
  <c r="AR557" i="3" s="1"/>
  <c r="AR558" i="3" a="1"/>
  <c r="AR558" i="3" s="1"/>
  <c r="AR559" i="3" a="1"/>
  <c r="AR559" i="3" s="1"/>
  <c r="AR560" i="3" a="1"/>
  <c r="AR560" i="3" s="1"/>
  <c r="AR561" i="3" a="1"/>
  <c r="AR561" i="3" s="1"/>
  <c r="AR562" i="3" a="1"/>
  <c r="AR562" i="3" s="1"/>
  <c r="AR563" i="3" a="1"/>
  <c r="AR563" i="3" s="1"/>
  <c r="AR564" i="3" a="1"/>
  <c r="AR564" i="3" s="1"/>
  <c r="AR565" i="3" a="1"/>
  <c r="AR565" i="3" s="1"/>
  <c r="AR566" i="3" a="1"/>
  <c r="AR566" i="3" s="1"/>
  <c r="AR567" i="3" a="1"/>
  <c r="AR567" i="3" s="1"/>
  <c r="AR568" i="3" a="1"/>
  <c r="AR568" i="3" s="1"/>
  <c r="AR569" i="3" a="1"/>
  <c r="AR569" i="3" s="1"/>
  <c r="AR570" i="3" a="1"/>
  <c r="AR570" i="3" s="1"/>
  <c r="AR571" i="3" a="1"/>
  <c r="AR571" i="3" s="1"/>
  <c r="AR572" i="3" a="1"/>
  <c r="AR572" i="3" s="1"/>
  <c r="AR573" i="3" a="1"/>
  <c r="AR573" i="3" s="1"/>
  <c r="AR574" i="3" a="1"/>
  <c r="AR574" i="3" s="1"/>
  <c r="AR575" i="3" a="1"/>
  <c r="AR575" i="3" s="1"/>
  <c r="AR576" i="3" a="1"/>
  <c r="AR576" i="3" s="1"/>
  <c r="AR577" i="3" a="1"/>
  <c r="AR577" i="3" s="1"/>
  <c r="AR578" i="3" a="1"/>
  <c r="AR578" i="3" s="1"/>
  <c r="AR579" i="3" a="1"/>
  <c r="AR579" i="3" s="1"/>
  <c r="AR580" i="3" a="1"/>
  <c r="AR580" i="3" s="1"/>
  <c r="AR581" i="3" a="1"/>
  <c r="AR581" i="3" s="1"/>
  <c r="AR582" i="3" a="1"/>
  <c r="AR582" i="3" s="1"/>
  <c r="AR583" i="3" a="1"/>
  <c r="AR583" i="3" s="1"/>
  <c r="AR584" i="3" a="1"/>
  <c r="AR584" i="3" s="1"/>
  <c r="AR585" i="3" a="1"/>
  <c r="AR585" i="3" s="1"/>
  <c r="AR586" i="3" a="1"/>
  <c r="AR586" i="3" s="1"/>
  <c r="AR587" i="3" a="1"/>
  <c r="AR587" i="3" s="1"/>
  <c r="AR588" i="3" a="1"/>
  <c r="AR588" i="3" s="1"/>
  <c r="AR589" i="3" a="1"/>
  <c r="AR589" i="3" s="1"/>
  <c r="AR590" i="3" a="1"/>
  <c r="AR590" i="3" s="1"/>
  <c r="AR591" i="3" a="1"/>
  <c r="AR591" i="3" s="1"/>
  <c r="AR592" i="3" a="1"/>
  <c r="AR592" i="3" s="1"/>
  <c r="AR593" i="3" a="1"/>
  <c r="AR593" i="3" s="1"/>
  <c r="AR594" i="3" a="1"/>
  <c r="AR594" i="3" s="1"/>
  <c r="AR595" i="3" a="1"/>
  <c r="AR595" i="3" s="1"/>
  <c r="AR596" i="3" a="1"/>
  <c r="AR596" i="3" s="1"/>
  <c r="AR597" i="3" a="1"/>
  <c r="AR597" i="3" s="1"/>
  <c r="AR598" i="3" a="1"/>
  <c r="AR598" i="3" s="1"/>
  <c r="AR599" i="3" a="1"/>
  <c r="AR599" i="3" s="1"/>
  <c r="AR600" i="3" a="1"/>
  <c r="AR600" i="3" s="1"/>
  <c r="AR601" i="3" a="1"/>
  <c r="AR601" i="3" s="1"/>
  <c r="AR602" i="3" a="1"/>
  <c r="AR602" i="3" s="1"/>
  <c r="AR603" i="3" a="1"/>
  <c r="AR603" i="3" s="1"/>
  <c r="AR604" i="3" a="1"/>
  <c r="AR604" i="3" s="1"/>
  <c r="AR605" i="3" a="1"/>
  <c r="AR605" i="3" s="1"/>
  <c r="AR606" i="3" a="1"/>
  <c r="AR606" i="3" s="1"/>
  <c r="AR607" i="3" a="1"/>
  <c r="AR607" i="3" s="1"/>
  <c r="AR608" i="3" a="1"/>
  <c r="AR608" i="3" s="1"/>
  <c r="AR609" i="3" a="1"/>
  <c r="AR609" i="3" s="1"/>
  <c r="AR610" i="3" a="1"/>
  <c r="AR610" i="3" s="1"/>
  <c r="AR611" i="3" a="1"/>
  <c r="AR611" i="3" s="1"/>
  <c r="AR612" i="3" a="1"/>
  <c r="AR612" i="3" s="1"/>
  <c r="AR613" i="3" a="1"/>
  <c r="AR613" i="3" s="1"/>
  <c r="AR614" i="3" a="1"/>
  <c r="AR614" i="3" s="1"/>
  <c r="AR615" i="3" a="1"/>
  <c r="AR615" i="3" s="1"/>
  <c r="AR616" i="3" a="1"/>
  <c r="AR616" i="3" s="1"/>
  <c r="AR617" i="3" a="1"/>
  <c r="AR617" i="3" s="1"/>
  <c r="AR618" i="3" a="1"/>
  <c r="AR618" i="3" s="1"/>
  <c r="AR619" i="3" a="1"/>
  <c r="AR619" i="3" s="1"/>
  <c r="AR620" i="3" a="1"/>
  <c r="AR620" i="3" s="1"/>
  <c r="AR621" i="3" a="1"/>
  <c r="AR621" i="3" s="1"/>
  <c r="AR622" i="3" a="1"/>
  <c r="AR622" i="3" s="1"/>
  <c r="AR623" i="3" a="1"/>
  <c r="AR623" i="3" s="1"/>
  <c r="AR624" i="3" a="1"/>
  <c r="AR624" i="3" s="1"/>
  <c r="AR625" i="3" a="1"/>
  <c r="AR625" i="3" s="1"/>
  <c r="AR626" i="3" a="1"/>
  <c r="AR626" i="3" s="1"/>
  <c r="AR627" i="3" a="1"/>
  <c r="AR627" i="3" s="1"/>
  <c r="AR628" i="3" a="1"/>
  <c r="AR628" i="3" s="1"/>
  <c r="AR629" i="3" a="1"/>
  <c r="AR629" i="3" s="1"/>
  <c r="AR630" i="3" a="1"/>
  <c r="AR630" i="3" s="1"/>
  <c r="AR631" i="3" a="1"/>
  <c r="AR631" i="3" s="1"/>
  <c r="AR632" i="3" a="1"/>
  <c r="AR632" i="3" s="1"/>
  <c r="AR633" i="3" a="1"/>
  <c r="AR633" i="3" s="1"/>
  <c r="AR634" i="3" a="1"/>
  <c r="AR634" i="3" s="1"/>
  <c r="AR635" i="3" a="1"/>
  <c r="AR635" i="3" s="1"/>
  <c r="AR636" i="3" a="1"/>
  <c r="AR636" i="3" s="1"/>
  <c r="AR637" i="3" a="1"/>
  <c r="AR637" i="3" s="1"/>
  <c r="AR638" i="3" a="1"/>
  <c r="AR638" i="3" s="1"/>
  <c r="AR639" i="3" a="1"/>
  <c r="AR639" i="3" s="1"/>
  <c r="AR640" i="3" a="1"/>
  <c r="AR640" i="3" s="1"/>
  <c r="AR641" i="3" a="1"/>
  <c r="AR641" i="3" s="1"/>
  <c r="AR642" i="3" a="1"/>
  <c r="AR642" i="3" s="1"/>
  <c r="AR643" i="3" a="1"/>
  <c r="AR643" i="3" s="1"/>
  <c r="AR644" i="3" a="1"/>
  <c r="AR644" i="3" s="1"/>
  <c r="AR645" i="3" a="1"/>
  <c r="AR645" i="3" s="1"/>
  <c r="AR646" i="3" a="1"/>
  <c r="AR646" i="3" s="1"/>
  <c r="AR647" i="3" a="1"/>
  <c r="AR647" i="3" s="1"/>
  <c r="AR648" i="3" a="1"/>
  <c r="AR648" i="3" s="1"/>
  <c r="AR649" i="3" a="1"/>
  <c r="AR649" i="3" s="1"/>
  <c r="AR650" i="3" a="1"/>
  <c r="AR650" i="3" s="1"/>
  <c r="AR651" i="3" a="1"/>
  <c r="AR651" i="3" s="1"/>
  <c r="AR652" i="3" a="1"/>
  <c r="AR652" i="3" s="1"/>
  <c r="AR653" i="3" a="1"/>
  <c r="AR653" i="3" s="1"/>
  <c r="AR654" i="3" a="1"/>
  <c r="AR654" i="3" s="1"/>
  <c r="AR655" i="3" a="1"/>
  <c r="AR655" i="3" s="1"/>
  <c r="AR656" i="3" a="1"/>
  <c r="AR656" i="3" s="1"/>
  <c r="AR657" i="3" a="1"/>
  <c r="AR657" i="3" s="1"/>
  <c r="AR658" i="3" a="1"/>
  <c r="AR658" i="3" s="1"/>
  <c r="AR659" i="3" a="1"/>
  <c r="AR659" i="3" s="1"/>
  <c r="AR660" i="3" a="1"/>
  <c r="AR660" i="3" s="1"/>
  <c r="AR661" i="3" a="1"/>
  <c r="AR661" i="3" s="1"/>
  <c r="AR662" i="3" a="1"/>
  <c r="AR662" i="3" s="1"/>
  <c r="AR663" i="3" a="1"/>
  <c r="AR663" i="3" s="1"/>
  <c r="AR664" i="3" a="1"/>
  <c r="AR664" i="3" s="1"/>
  <c r="AR665" i="3" a="1"/>
  <c r="AR665" i="3" s="1"/>
  <c r="AR666" i="3" a="1"/>
  <c r="AR666" i="3" s="1"/>
  <c r="AR667" i="3" a="1"/>
  <c r="AR667" i="3" s="1"/>
  <c r="AR668" i="3" a="1"/>
  <c r="AR668" i="3" s="1"/>
  <c r="AR669" i="3" a="1"/>
  <c r="AR669" i="3" s="1"/>
  <c r="AR670" i="3" a="1"/>
  <c r="AR670" i="3" s="1"/>
  <c r="AR671" i="3" a="1"/>
  <c r="AR671" i="3" s="1"/>
  <c r="AR672" i="3" a="1"/>
  <c r="AR672" i="3" s="1"/>
  <c r="AR673" i="3" a="1"/>
  <c r="AR673" i="3" s="1"/>
  <c r="AR674" i="3" a="1"/>
  <c r="AR674" i="3" s="1"/>
  <c r="AR675" i="3" a="1"/>
  <c r="AR675" i="3" s="1"/>
  <c r="AR676" i="3" a="1"/>
  <c r="AR676" i="3" s="1"/>
  <c r="AR677" i="3" a="1"/>
  <c r="AR677" i="3" s="1"/>
  <c r="AR678" i="3" a="1"/>
  <c r="AR678" i="3" s="1"/>
  <c r="AR679" i="3" a="1"/>
  <c r="AR679" i="3" s="1"/>
  <c r="AR680" i="3" a="1"/>
  <c r="AR680" i="3" s="1"/>
  <c r="AR681" i="3" a="1"/>
  <c r="AR681" i="3" s="1"/>
  <c r="AR682" i="3" a="1"/>
  <c r="AR682" i="3" s="1"/>
  <c r="AR683" i="3" a="1"/>
  <c r="AR683" i="3" s="1"/>
  <c r="AR684" i="3" a="1"/>
  <c r="AR684" i="3" s="1"/>
  <c r="AR685" i="3" a="1"/>
  <c r="AR685" i="3" s="1"/>
  <c r="AR686" i="3" a="1"/>
  <c r="AR686" i="3" s="1"/>
  <c r="AR687" i="3" a="1"/>
  <c r="AR687" i="3" s="1"/>
  <c r="AR688" i="3" a="1"/>
  <c r="AR688" i="3" s="1"/>
  <c r="AR689" i="3" a="1"/>
  <c r="AR689" i="3" s="1"/>
  <c r="AR690" i="3" a="1"/>
  <c r="AR690" i="3" s="1"/>
  <c r="AR691" i="3" a="1"/>
  <c r="AR691" i="3" s="1"/>
  <c r="AR692" i="3" a="1"/>
  <c r="AR692" i="3" s="1"/>
  <c r="AR693" i="3" a="1"/>
  <c r="AR693" i="3" s="1"/>
  <c r="AR694" i="3" a="1"/>
  <c r="AR694" i="3" s="1"/>
  <c r="AR695" i="3" a="1"/>
  <c r="AR695" i="3" s="1"/>
  <c r="AR696" i="3" a="1"/>
  <c r="AR696" i="3" s="1"/>
  <c r="AR697" i="3" a="1"/>
  <c r="AR697" i="3" s="1"/>
  <c r="AR698" i="3" a="1"/>
  <c r="AR698" i="3" s="1"/>
  <c r="AR699" i="3" a="1"/>
  <c r="AR699" i="3" s="1"/>
  <c r="AR700" i="3" a="1"/>
  <c r="AR700" i="3" s="1"/>
  <c r="AR701" i="3" a="1"/>
  <c r="AR701" i="3" s="1"/>
  <c r="AR702" i="3" a="1"/>
  <c r="AR702" i="3" s="1"/>
  <c r="AR703" i="3" a="1"/>
  <c r="AR703" i="3" s="1"/>
  <c r="AR704" i="3" a="1"/>
  <c r="AR704" i="3" s="1"/>
  <c r="AR705" i="3" a="1"/>
  <c r="AR705" i="3" s="1"/>
  <c r="AR706" i="3" a="1"/>
  <c r="AR706" i="3" s="1"/>
  <c r="AR707" i="3" a="1"/>
  <c r="AR707" i="3" s="1"/>
  <c r="AR708" i="3" a="1"/>
  <c r="AR708" i="3" s="1"/>
  <c r="AR709" i="3" a="1"/>
  <c r="AR709" i="3" s="1"/>
  <c r="AR710" i="3" a="1"/>
  <c r="AR710" i="3" s="1"/>
  <c r="AR711" i="3" a="1"/>
  <c r="AR711" i="3" s="1"/>
  <c r="AR712" i="3" a="1"/>
  <c r="AR712" i="3" s="1"/>
  <c r="AR713" i="3" a="1"/>
  <c r="AR713" i="3" s="1"/>
  <c r="AR714" i="3" a="1"/>
  <c r="AR714" i="3" s="1"/>
  <c r="AR715" i="3" a="1"/>
  <c r="AR715" i="3" s="1"/>
  <c r="AR716" i="3" a="1"/>
  <c r="AR716" i="3" s="1"/>
  <c r="AR717" i="3" a="1"/>
  <c r="AR717" i="3" s="1"/>
  <c r="AR718" i="3" a="1"/>
  <c r="AR718" i="3" s="1"/>
  <c r="AR719" i="3" a="1"/>
  <c r="AR719" i="3" s="1"/>
  <c r="AR720" i="3" a="1"/>
  <c r="AR720" i="3" s="1"/>
  <c r="AR721" i="3" a="1"/>
  <c r="AR721" i="3" s="1"/>
  <c r="AR722" i="3" a="1"/>
  <c r="AR722" i="3" s="1"/>
  <c r="AR723" i="3" a="1"/>
  <c r="AR723" i="3" s="1"/>
  <c r="AR724" i="3" a="1"/>
  <c r="AR724" i="3" s="1"/>
  <c r="AR725" i="3" a="1"/>
  <c r="AR725" i="3" s="1"/>
  <c r="AR726" i="3" a="1"/>
  <c r="AR726" i="3" s="1"/>
  <c r="AR727" i="3" a="1"/>
  <c r="AR727" i="3" s="1"/>
  <c r="AR728" i="3" a="1"/>
  <c r="AR728" i="3" s="1"/>
  <c r="AR729" i="3" a="1"/>
  <c r="AR729" i="3" s="1"/>
  <c r="AR730" i="3" a="1"/>
  <c r="AR730" i="3" s="1"/>
  <c r="AR731" i="3" a="1"/>
  <c r="AR731" i="3" s="1"/>
  <c r="AR732" i="3" a="1"/>
  <c r="AR732" i="3" s="1"/>
  <c r="AR733" i="3" a="1"/>
  <c r="AR733" i="3" s="1"/>
  <c r="AR734" i="3" a="1"/>
  <c r="AR734" i="3" s="1"/>
  <c r="AR735" i="3" a="1"/>
  <c r="AR735" i="3" s="1"/>
  <c r="AR736" i="3" a="1"/>
  <c r="AR736" i="3" s="1"/>
  <c r="AR737" i="3" a="1"/>
  <c r="AR737" i="3" s="1"/>
  <c r="AR738" i="3" a="1"/>
  <c r="AR738" i="3" s="1"/>
  <c r="AR739" i="3" a="1"/>
  <c r="AR739" i="3" s="1"/>
  <c r="AR740" i="3" a="1"/>
  <c r="AR740" i="3" s="1"/>
  <c r="AR741" i="3" a="1"/>
  <c r="AR741" i="3" s="1"/>
  <c r="AR742" i="3" a="1"/>
  <c r="AR742" i="3" s="1"/>
  <c r="AR743" i="3" a="1"/>
  <c r="AR743" i="3" s="1"/>
  <c r="AR744" i="3" a="1"/>
  <c r="AR744" i="3" s="1"/>
  <c r="AR745" i="3" a="1"/>
  <c r="AR745" i="3" s="1"/>
  <c r="AR746" i="3" a="1"/>
  <c r="AR746" i="3" s="1"/>
  <c r="AR747" i="3" a="1"/>
  <c r="AR747" i="3" s="1"/>
  <c r="AR748" i="3" a="1"/>
  <c r="AR748" i="3" s="1"/>
  <c r="AR749" i="3" a="1"/>
  <c r="AR749" i="3" s="1"/>
  <c r="AR750" i="3" a="1"/>
  <c r="AR750" i="3" s="1"/>
  <c r="AR751" i="3" a="1"/>
  <c r="AR751" i="3" s="1"/>
  <c r="AR752" i="3" a="1"/>
  <c r="AR752" i="3" s="1"/>
  <c r="AR753" i="3" a="1"/>
  <c r="AR753" i="3" s="1"/>
  <c r="AR754" i="3" a="1"/>
  <c r="AR754" i="3" s="1"/>
  <c r="AR755" i="3" a="1"/>
  <c r="AR755" i="3" s="1"/>
  <c r="AR756" i="3" a="1"/>
  <c r="AR756" i="3" s="1"/>
  <c r="AR757" i="3" a="1"/>
  <c r="AR757" i="3" s="1"/>
  <c r="AR758" i="3" a="1"/>
  <c r="AR758" i="3" s="1"/>
  <c r="AR759" i="3" a="1"/>
  <c r="AR759" i="3" s="1"/>
  <c r="AR760" i="3" a="1"/>
  <c r="AR760" i="3" s="1"/>
  <c r="AR761" i="3" a="1"/>
  <c r="AR761" i="3" s="1"/>
  <c r="AR762" i="3" a="1"/>
  <c r="AR762" i="3" s="1"/>
  <c r="AR763" i="3" a="1"/>
  <c r="AR763" i="3" s="1"/>
  <c r="AR764" i="3" a="1"/>
  <c r="AR764" i="3" s="1"/>
  <c r="AR765" i="3" a="1"/>
  <c r="AR765" i="3" s="1"/>
  <c r="AR766" i="3" a="1"/>
  <c r="AR766" i="3" s="1"/>
  <c r="AR767" i="3" a="1"/>
  <c r="AR767" i="3" s="1"/>
  <c r="AR768" i="3" a="1"/>
  <c r="AR768" i="3" s="1"/>
  <c r="AR769" i="3" a="1"/>
  <c r="AR769" i="3" s="1"/>
  <c r="AR770" i="3" a="1"/>
  <c r="AR770" i="3" s="1"/>
  <c r="AR771" i="3" a="1"/>
  <c r="AR771" i="3" s="1"/>
  <c r="AR772" i="3" a="1"/>
  <c r="AR772" i="3" s="1"/>
  <c r="AR773" i="3" a="1"/>
  <c r="AR773" i="3" s="1"/>
  <c r="AR774" i="3" a="1"/>
  <c r="AR774" i="3" s="1"/>
  <c r="AR775" i="3" a="1"/>
  <c r="AR775" i="3" s="1"/>
  <c r="AR776" i="3" a="1"/>
  <c r="AR776" i="3" s="1"/>
  <c r="AR777" i="3" a="1"/>
  <c r="AR777" i="3" s="1"/>
  <c r="AR778" i="3" a="1"/>
  <c r="AR778" i="3" s="1"/>
  <c r="AR779" i="3" a="1"/>
  <c r="AR779" i="3" s="1"/>
  <c r="AR780" i="3" a="1"/>
  <c r="AR780" i="3" s="1"/>
  <c r="AR781" i="3" a="1"/>
  <c r="AR781" i="3" s="1"/>
  <c r="AR782" i="3" a="1"/>
  <c r="AR782" i="3" s="1"/>
  <c r="AR783" i="3" a="1"/>
  <c r="AR783" i="3" s="1"/>
  <c r="AR784" i="3" a="1"/>
  <c r="AR784" i="3" s="1"/>
  <c r="AR785" i="3" a="1"/>
  <c r="AR785" i="3" s="1"/>
  <c r="AR786" i="3" a="1"/>
  <c r="AR786" i="3" s="1"/>
  <c r="AR787" i="3" a="1"/>
  <c r="AR787" i="3" s="1"/>
  <c r="AR788" i="3" a="1"/>
  <c r="AR788" i="3" s="1"/>
  <c r="AR789" i="3" a="1"/>
  <c r="AR789" i="3" s="1"/>
  <c r="AR790" i="3" a="1"/>
  <c r="AR790" i="3" s="1"/>
  <c r="AR791" i="3" a="1"/>
  <c r="AR791" i="3" s="1"/>
  <c r="AR792" i="3" a="1"/>
  <c r="AR792" i="3" s="1"/>
  <c r="AR793" i="3" a="1"/>
  <c r="AR793" i="3" s="1"/>
  <c r="AR794" i="3" a="1"/>
  <c r="AR794" i="3" s="1"/>
  <c r="AR795" i="3" a="1"/>
  <c r="AR795" i="3" s="1"/>
  <c r="AR796" i="3" a="1"/>
  <c r="AR796" i="3" s="1"/>
  <c r="AR797" i="3" a="1"/>
  <c r="AR797" i="3" s="1"/>
  <c r="AR798" i="3" a="1"/>
  <c r="AR798" i="3" s="1"/>
  <c r="AR799" i="3" a="1"/>
  <c r="AR799" i="3" s="1"/>
  <c r="AR800" i="3" a="1"/>
  <c r="AR800" i="3" s="1"/>
  <c r="AR801" i="3" a="1"/>
  <c r="AR801" i="3" s="1"/>
  <c r="AR802" i="3" a="1"/>
  <c r="AR802" i="3" s="1"/>
  <c r="AR803" i="3" a="1"/>
  <c r="AR803" i="3" s="1"/>
  <c r="AR804" i="3" a="1"/>
  <c r="AR804" i="3" s="1"/>
  <c r="AR805" i="3" a="1"/>
  <c r="AR805" i="3" s="1"/>
  <c r="AR806" i="3" a="1"/>
  <c r="AR806" i="3" s="1"/>
  <c r="AR807" i="3" a="1"/>
  <c r="AR807" i="3" s="1"/>
  <c r="AR808" i="3" a="1"/>
  <c r="AR808" i="3" s="1"/>
  <c r="AR809" i="3" a="1"/>
  <c r="AR809" i="3" s="1"/>
  <c r="AR810" i="3" a="1"/>
  <c r="AR810" i="3" s="1"/>
  <c r="AR811" i="3" a="1"/>
  <c r="AR811" i="3" s="1"/>
  <c r="AR812" i="3" a="1"/>
  <c r="AR812" i="3" s="1"/>
  <c r="AR813" i="3" a="1"/>
  <c r="AR813" i="3" s="1"/>
  <c r="AR814" i="3" a="1"/>
  <c r="AR814" i="3" s="1"/>
  <c r="AR815" i="3" a="1"/>
  <c r="AR815" i="3" s="1"/>
  <c r="AR816" i="3" a="1"/>
  <c r="AR816" i="3" s="1"/>
  <c r="AR817" i="3" a="1"/>
  <c r="AR817" i="3" s="1"/>
  <c r="AR818" i="3" a="1"/>
  <c r="AR818" i="3" s="1"/>
  <c r="AR819" i="3" a="1"/>
  <c r="AR819" i="3" s="1"/>
  <c r="AR820" i="3" a="1"/>
  <c r="AR820" i="3" s="1"/>
  <c r="AR821" i="3" a="1"/>
  <c r="AR821" i="3" s="1"/>
  <c r="AR822" i="3" a="1"/>
  <c r="AR822" i="3" s="1"/>
  <c r="AR823" i="3" a="1"/>
  <c r="AR823" i="3" s="1"/>
  <c r="AR824" i="3" a="1"/>
  <c r="AR824" i="3" s="1"/>
  <c r="AR825" i="3" a="1"/>
  <c r="AR825" i="3" s="1"/>
  <c r="AR826" i="3" a="1"/>
  <c r="AR826" i="3" s="1"/>
  <c r="AR827" i="3" a="1"/>
  <c r="AR827" i="3" s="1"/>
  <c r="AR828" i="3" a="1"/>
  <c r="AR828" i="3" s="1"/>
  <c r="AR829" i="3" a="1"/>
  <c r="AR829" i="3" s="1"/>
  <c r="AR830" i="3" a="1"/>
  <c r="AR830" i="3" s="1"/>
  <c r="AR831" i="3" a="1"/>
  <c r="AR831" i="3" s="1"/>
  <c r="AR832" i="3" a="1"/>
  <c r="AR832" i="3" s="1"/>
  <c r="AR833" i="3" a="1"/>
  <c r="AR833" i="3" s="1"/>
  <c r="AR834" i="3" a="1"/>
  <c r="AR834" i="3" s="1"/>
  <c r="AR835" i="3" a="1"/>
  <c r="AR835" i="3" s="1"/>
  <c r="AR836" i="3" a="1"/>
  <c r="AR836" i="3" s="1"/>
  <c r="AR837" i="3" a="1"/>
  <c r="AR837" i="3" s="1"/>
  <c r="AR838" i="3" a="1"/>
  <c r="AR838" i="3" s="1"/>
  <c r="AR839" i="3" a="1"/>
  <c r="AR839" i="3" s="1"/>
  <c r="AR840" i="3" a="1"/>
  <c r="AR840" i="3" s="1"/>
  <c r="AR841" i="3" a="1"/>
  <c r="AR841" i="3" s="1"/>
  <c r="AR842" i="3" a="1"/>
  <c r="AR842" i="3" s="1"/>
  <c r="AR843" i="3" a="1"/>
  <c r="AR843" i="3" s="1"/>
  <c r="AR844" i="3" a="1"/>
  <c r="AR844" i="3" s="1"/>
  <c r="AR845" i="3" a="1"/>
  <c r="AR845" i="3" s="1"/>
  <c r="AR846" i="3" a="1"/>
  <c r="AR846" i="3" s="1"/>
  <c r="AR847" i="3" a="1"/>
  <c r="AR847" i="3" s="1"/>
  <c r="AR848" i="3" a="1"/>
  <c r="AR848" i="3" s="1"/>
  <c r="AR849" i="3" a="1"/>
  <c r="AR849" i="3" s="1"/>
  <c r="AR850" i="3" a="1"/>
  <c r="AR850" i="3" s="1"/>
  <c r="AR851" i="3" a="1"/>
  <c r="AR851" i="3" s="1"/>
  <c r="AR852" i="3" a="1"/>
  <c r="AR852" i="3" s="1"/>
  <c r="AR853" i="3" a="1"/>
  <c r="AR853" i="3" s="1"/>
  <c r="AR854" i="3" a="1"/>
  <c r="AR854" i="3" s="1"/>
  <c r="AR855" i="3" a="1"/>
  <c r="AR855" i="3" s="1"/>
  <c r="AR856" i="3" a="1"/>
  <c r="AR856" i="3" s="1"/>
  <c r="AR857" i="3" a="1"/>
  <c r="AR857" i="3" s="1"/>
  <c r="AR858" i="3" a="1"/>
  <c r="AR858" i="3" s="1"/>
  <c r="AR859" i="3" a="1"/>
  <c r="AR859" i="3" s="1"/>
  <c r="AR860" i="3" a="1"/>
  <c r="AR860" i="3" s="1"/>
  <c r="AR861" i="3" a="1"/>
  <c r="AR861" i="3" s="1"/>
  <c r="AR862" i="3" a="1"/>
  <c r="AR862" i="3" s="1"/>
  <c r="AR863" i="3" a="1"/>
  <c r="AR863" i="3" s="1"/>
  <c r="AR864" i="3" a="1"/>
  <c r="AR864" i="3" s="1"/>
  <c r="AR865" i="3" a="1"/>
  <c r="AR865" i="3" s="1"/>
  <c r="AR866" i="3" a="1"/>
  <c r="AR866" i="3" s="1"/>
  <c r="AR867" i="3" a="1"/>
  <c r="AR867" i="3" s="1"/>
  <c r="AR868" i="3" a="1"/>
  <c r="AR868" i="3" s="1"/>
  <c r="AR869" i="3" a="1"/>
  <c r="AR869" i="3" s="1"/>
  <c r="AR870" i="3" a="1"/>
  <c r="AR870" i="3" s="1"/>
  <c r="AR871" i="3" a="1"/>
  <c r="AR871" i="3" s="1"/>
  <c r="AR872" i="3" a="1"/>
  <c r="AR872" i="3" s="1"/>
  <c r="AR873" i="3" a="1"/>
  <c r="AR873" i="3" s="1"/>
  <c r="AR874" i="3" a="1"/>
  <c r="AR874" i="3" s="1"/>
  <c r="AR875" i="3" a="1"/>
  <c r="AR875" i="3" s="1"/>
  <c r="AR876" i="3" a="1"/>
  <c r="AR876" i="3" s="1"/>
  <c r="AR877" i="3" a="1"/>
  <c r="AR877" i="3" s="1"/>
  <c r="AR878" i="3" a="1"/>
  <c r="AR878" i="3" s="1"/>
  <c r="AR879" i="3" a="1"/>
  <c r="AR879" i="3" s="1"/>
  <c r="AR880" i="3" a="1"/>
  <c r="AR880" i="3" s="1"/>
  <c r="AR881" i="3" a="1"/>
  <c r="AR881" i="3" s="1"/>
  <c r="AR882" i="3" a="1"/>
  <c r="AR882" i="3" s="1"/>
  <c r="AR883" i="3" a="1"/>
  <c r="AR883" i="3" s="1"/>
  <c r="AR884" i="3" a="1"/>
  <c r="AR884" i="3" s="1"/>
  <c r="AR885" i="3" a="1"/>
  <c r="AR885" i="3" s="1"/>
  <c r="AR886" i="3" a="1"/>
  <c r="AR886" i="3" s="1"/>
  <c r="AR887" i="3" a="1"/>
  <c r="AR887" i="3" s="1"/>
  <c r="AR888" i="3" a="1"/>
  <c r="AR888" i="3" s="1"/>
  <c r="AR889" i="3" a="1"/>
  <c r="AR889" i="3" s="1"/>
  <c r="AR890" i="3" a="1"/>
  <c r="AR890" i="3" s="1"/>
  <c r="AR891" i="3" a="1"/>
  <c r="AR891" i="3" s="1"/>
  <c r="AR892" i="3" a="1"/>
  <c r="AR892" i="3" s="1"/>
  <c r="AR893" i="3" a="1"/>
  <c r="AR893" i="3" s="1"/>
  <c r="AR894" i="3" a="1"/>
  <c r="AR894" i="3" s="1"/>
  <c r="AR895" i="3" a="1"/>
  <c r="AR895" i="3" s="1"/>
  <c r="AR896" i="3" a="1"/>
  <c r="AR896" i="3" s="1"/>
  <c r="AR897" i="3" a="1"/>
  <c r="AR897" i="3" s="1"/>
  <c r="AR898" i="3" a="1"/>
  <c r="AR898" i="3" s="1"/>
  <c r="AR899" i="3" a="1"/>
  <c r="AR899" i="3" s="1"/>
  <c r="AR900" i="3" a="1"/>
  <c r="AR900" i="3" s="1"/>
  <c r="AR901" i="3" a="1"/>
  <c r="AR901" i="3" s="1"/>
  <c r="AR902" i="3" a="1"/>
  <c r="AR902" i="3" s="1"/>
  <c r="AR903" i="3" a="1"/>
  <c r="AR903" i="3" s="1"/>
  <c r="AR904" i="3" a="1"/>
  <c r="AR904" i="3" s="1"/>
  <c r="AR905" i="3" a="1"/>
  <c r="AR905" i="3" s="1"/>
  <c r="AR906" i="3" a="1"/>
  <c r="AR906" i="3" s="1"/>
  <c r="AR907" i="3" a="1"/>
  <c r="AR907" i="3" s="1"/>
  <c r="AR908" i="3" a="1"/>
  <c r="AR908" i="3" s="1"/>
  <c r="AR909" i="3" a="1"/>
  <c r="AR909" i="3" s="1"/>
  <c r="AR910" i="3" a="1"/>
  <c r="AR910" i="3" s="1"/>
  <c r="AR911" i="3" a="1"/>
  <c r="AR911" i="3" s="1"/>
  <c r="AR912" i="3" a="1"/>
  <c r="AR912" i="3" s="1"/>
  <c r="AR913" i="3" a="1"/>
  <c r="AR913" i="3" s="1"/>
  <c r="AR914" i="3" a="1"/>
  <c r="AR914" i="3" s="1"/>
  <c r="AR915" i="3" a="1"/>
  <c r="AR915" i="3" s="1"/>
  <c r="AR916" i="3" a="1"/>
  <c r="AR916" i="3" s="1"/>
  <c r="AR917" i="3" a="1"/>
  <c r="AR917" i="3" s="1"/>
  <c r="AR918" i="3" a="1"/>
  <c r="AR918" i="3" s="1"/>
  <c r="AR919" i="3" a="1"/>
  <c r="AR919" i="3" s="1"/>
  <c r="AR920" i="3" a="1"/>
  <c r="AR920" i="3" s="1"/>
  <c r="AR921" i="3" a="1"/>
  <c r="AR921" i="3" s="1"/>
  <c r="AR922" i="3" a="1"/>
  <c r="AR922" i="3" s="1"/>
  <c r="AR923" i="3" a="1"/>
  <c r="AR923" i="3" s="1"/>
  <c r="AR924" i="3" a="1"/>
  <c r="AR924" i="3" s="1"/>
  <c r="AR925" i="3" a="1"/>
  <c r="AR925" i="3" s="1"/>
  <c r="AR926" i="3" a="1"/>
  <c r="AR926" i="3" s="1"/>
  <c r="AR927" i="3" a="1"/>
  <c r="AR927" i="3" s="1"/>
  <c r="AR928" i="3" a="1"/>
  <c r="AR928" i="3" s="1"/>
  <c r="AR929" i="3" a="1"/>
  <c r="AR929" i="3" s="1"/>
  <c r="AR930" i="3" a="1"/>
  <c r="AR930" i="3" s="1"/>
  <c r="AR931" i="3" a="1"/>
  <c r="AR931" i="3" s="1"/>
  <c r="AR932" i="3" a="1"/>
  <c r="AR932" i="3" s="1"/>
  <c r="AR933" i="3" a="1"/>
  <c r="AR933" i="3" s="1"/>
  <c r="AR934" i="3" a="1"/>
  <c r="AR934" i="3" s="1"/>
  <c r="AR935" i="3" a="1"/>
  <c r="AR935" i="3" s="1"/>
  <c r="AR936" i="3" a="1"/>
  <c r="AR936" i="3" s="1"/>
  <c r="AR937" i="3" a="1"/>
  <c r="AR937" i="3" s="1"/>
  <c r="AR938" i="3" a="1"/>
  <c r="AR938" i="3" s="1"/>
  <c r="AR939" i="3" a="1"/>
  <c r="AR939" i="3" s="1"/>
  <c r="AR940" i="3" a="1"/>
  <c r="AR940" i="3" s="1"/>
  <c r="AR941" i="3" a="1"/>
  <c r="AR941" i="3" s="1"/>
  <c r="AR942" i="3" a="1"/>
  <c r="AR942" i="3" s="1"/>
  <c r="AR943" i="3" a="1"/>
  <c r="AR943" i="3" s="1"/>
  <c r="AR944" i="3" a="1"/>
  <c r="AR944" i="3" s="1"/>
  <c r="AR945" i="3" a="1"/>
  <c r="AR945" i="3" s="1"/>
  <c r="AR946" i="3" a="1"/>
  <c r="AR946" i="3" s="1"/>
  <c r="AR947" i="3" a="1"/>
  <c r="AR947" i="3" s="1"/>
  <c r="AR948" i="3" a="1"/>
  <c r="AR948" i="3" s="1"/>
  <c r="AR949" i="3" a="1"/>
  <c r="AR949" i="3" s="1"/>
  <c r="AR950" i="3" a="1"/>
  <c r="AR950" i="3" s="1"/>
  <c r="AR951" i="3" a="1"/>
  <c r="AR951" i="3" s="1"/>
  <c r="AR952" i="3" a="1"/>
  <c r="AR952" i="3" s="1"/>
  <c r="AR953" i="3" a="1"/>
  <c r="AR953" i="3" s="1"/>
  <c r="AR954" i="3" a="1"/>
  <c r="AR954" i="3" s="1"/>
  <c r="AR955" i="3" a="1"/>
  <c r="AR955" i="3" s="1"/>
  <c r="AR956" i="3" a="1"/>
  <c r="AR956" i="3" s="1"/>
  <c r="AR957" i="3" a="1"/>
  <c r="AR957" i="3" s="1"/>
  <c r="AR958" i="3" a="1"/>
  <c r="AR958" i="3" s="1"/>
  <c r="AR959" i="3" a="1"/>
  <c r="AR959" i="3" s="1"/>
  <c r="AR960" i="3" a="1"/>
  <c r="AR960" i="3" s="1"/>
  <c r="AR961" i="3" a="1"/>
  <c r="AR961" i="3" s="1"/>
  <c r="AR962" i="3" a="1"/>
  <c r="AR962" i="3" s="1"/>
  <c r="AR963" i="3" a="1"/>
  <c r="AR963" i="3" s="1"/>
  <c r="AR964" i="3" a="1"/>
  <c r="AR964" i="3" s="1"/>
  <c r="AR965" i="3" a="1"/>
  <c r="AR965" i="3" s="1"/>
  <c r="AR966" i="3" a="1"/>
  <c r="AR966" i="3" s="1"/>
  <c r="AR967" i="3" a="1"/>
  <c r="AR967" i="3" s="1"/>
  <c r="AR968" i="3" a="1"/>
  <c r="AR968" i="3" s="1"/>
  <c r="AR969" i="3" a="1"/>
  <c r="AR969" i="3" s="1"/>
  <c r="AR970" i="3" a="1"/>
  <c r="AR970" i="3" s="1"/>
  <c r="AR971" i="3" a="1"/>
  <c r="AR971" i="3" s="1"/>
  <c r="AR972" i="3" a="1"/>
  <c r="AR972" i="3" s="1"/>
  <c r="AR973" i="3" a="1"/>
  <c r="AR973" i="3" s="1"/>
  <c r="AR974" i="3" a="1"/>
  <c r="AR974" i="3" s="1"/>
  <c r="AR975" i="3" a="1"/>
  <c r="AR975" i="3" s="1"/>
  <c r="AR976" i="3" a="1"/>
  <c r="AR976" i="3" s="1"/>
  <c r="AR977" i="3" a="1"/>
  <c r="AR977" i="3" s="1"/>
  <c r="AR978" i="3" a="1"/>
  <c r="AR978" i="3" s="1"/>
  <c r="AR979" i="3" a="1"/>
  <c r="AR979" i="3" s="1"/>
  <c r="AR980" i="3" a="1"/>
  <c r="AR980" i="3" s="1"/>
  <c r="AR981" i="3" a="1"/>
  <c r="AR981" i="3" s="1"/>
  <c r="AR982" i="3" a="1"/>
  <c r="AR982" i="3" s="1"/>
  <c r="AR983" i="3" a="1"/>
  <c r="AR983" i="3" s="1"/>
  <c r="AR984" i="3" a="1"/>
  <c r="AR984" i="3" s="1"/>
  <c r="AR985" i="3" a="1"/>
  <c r="AR985" i="3" s="1"/>
  <c r="AR986" i="3" a="1"/>
  <c r="AR986" i="3" s="1"/>
  <c r="AR987" i="3" a="1"/>
  <c r="AR987" i="3" s="1"/>
  <c r="AR988" i="3" a="1"/>
  <c r="AR988" i="3" s="1"/>
  <c r="AR989" i="3" a="1"/>
  <c r="AR989" i="3" s="1"/>
  <c r="AR990" i="3" a="1"/>
  <c r="AR990" i="3" s="1"/>
  <c r="AR991" i="3" a="1"/>
  <c r="AR991" i="3" s="1"/>
  <c r="AR992" i="3" a="1"/>
  <c r="AR992" i="3" s="1"/>
  <c r="AR993" i="3" a="1"/>
  <c r="AR993" i="3" s="1"/>
  <c r="AR994" i="3" a="1"/>
  <c r="AR994" i="3" s="1"/>
  <c r="AR995" i="3" a="1"/>
  <c r="AR995" i="3" s="1"/>
  <c r="AR996" i="3" a="1"/>
  <c r="AR996" i="3" s="1"/>
  <c r="AR997" i="3" a="1"/>
  <c r="AR997" i="3" s="1"/>
  <c r="AR998" i="3" a="1"/>
  <c r="AR998" i="3" s="1"/>
  <c r="AR999" i="3" a="1"/>
  <c r="AR999" i="3" s="1"/>
  <c r="AR1000" i="3" a="1"/>
  <c r="AR1000" i="3" s="1"/>
  <c r="AR1001" i="3" a="1"/>
  <c r="AR1001" i="3" s="1"/>
  <c r="AQ2" i="3"/>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Q245" i="3"/>
  <c r="AQ246" i="3"/>
  <c r="AQ247" i="3"/>
  <c r="AQ248" i="3"/>
  <c r="AQ249" i="3"/>
  <c r="AQ250" i="3"/>
  <c r="AQ251" i="3"/>
  <c r="AQ252" i="3"/>
  <c r="AQ253" i="3"/>
  <c r="AQ254" i="3"/>
  <c r="AQ255" i="3"/>
  <c r="AQ256" i="3"/>
  <c r="AQ257" i="3"/>
  <c r="AQ258" i="3"/>
  <c r="AQ259" i="3"/>
  <c r="AQ260" i="3"/>
  <c r="AQ261" i="3"/>
  <c r="AQ262" i="3"/>
  <c r="AQ263" i="3"/>
  <c r="AQ264" i="3"/>
  <c r="AQ265" i="3"/>
  <c r="AQ266" i="3"/>
  <c r="AQ267" i="3"/>
  <c r="AQ268" i="3"/>
  <c r="AQ269" i="3"/>
  <c r="AQ270" i="3"/>
  <c r="AQ271" i="3"/>
  <c r="AQ272" i="3"/>
  <c r="AQ273" i="3"/>
  <c r="AQ274" i="3"/>
  <c r="AQ275" i="3"/>
  <c r="AQ276" i="3"/>
  <c r="AQ277" i="3"/>
  <c r="AQ278" i="3"/>
  <c r="AQ279" i="3"/>
  <c r="AQ280" i="3"/>
  <c r="AQ281" i="3"/>
  <c r="AQ282" i="3"/>
  <c r="AQ283" i="3"/>
  <c r="AQ284" i="3"/>
  <c r="AQ285" i="3"/>
  <c r="AQ286" i="3"/>
  <c r="AQ287" i="3"/>
  <c r="AQ288" i="3"/>
  <c r="AQ289" i="3"/>
  <c r="AQ290" i="3"/>
  <c r="AQ291" i="3"/>
  <c r="AQ292" i="3"/>
  <c r="AQ293" i="3"/>
  <c r="AQ294" i="3"/>
  <c r="AQ295" i="3"/>
  <c r="AQ296" i="3"/>
  <c r="AQ297" i="3"/>
  <c r="AQ298" i="3"/>
  <c r="AQ299" i="3"/>
  <c r="AQ300" i="3"/>
  <c r="AQ301" i="3"/>
  <c r="AQ302" i="3"/>
  <c r="AQ303" i="3"/>
  <c r="AQ304" i="3"/>
  <c r="AQ305" i="3"/>
  <c r="AQ306" i="3"/>
  <c r="AQ307" i="3"/>
  <c r="AQ308" i="3"/>
  <c r="AQ309" i="3"/>
  <c r="AQ310" i="3"/>
  <c r="AQ311" i="3"/>
  <c r="AQ312" i="3"/>
  <c r="AQ313" i="3"/>
  <c r="AQ314" i="3"/>
  <c r="AQ315" i="3"/>
  <c r="AQ316" i="3"/>
  <c r="AQ317" i="3"/>
  <c r="AQ318" i="3"/>
  <c r="AQ319" i="3"/>
  <c r="AQ320" i="3"/>
  <c r="AQ321" i="3"/>
  <c r="AQ322" i="3"/>
  <c r="AQ323" i="3"/>
  <c r="AQ324" i="3"/>
  <c r="AQ325" i="3"/>
  <c r="AQ326" i="3"/>
  <c r="AQ327" i="3"/>
  <c r="AQ328" i="3"/>
  <c r="AQ329" i="3"/>
  <c r="AQ330" i="3"/>
  <c r="AQ331" i="3"/>
  <c r="AQ332" i="3"/>
  <c r="AQ333" i="3"/>
  <c r="AQ334" i="3"/>
  <c r="AQ335" i="3"/>
  <c r="AQ336" i="3"/>
  <c r="AQ337" i="3"/>
  <c r="AQ338" i="3"/>
  <c r="AQ339" i="3"/>
  <c r="AQ340" i="3"/>
  <c r="AQ341" i="3"/>
  <c r="AQ342" i="3"/>
  <c r="AQ343" i="3"/>
  <c r="AQ344" i="3"/>
  <c r="AQ345" i="3"/>
  <c r="AQ346" i="3"/>
  <c r="AQ347" i="3"/>
  <c r="AQ348" i="3"/>
  <c r="AQ349" i="3"/>
  <c r="AQ350" i="3"/>
  <c r="AQ351" i="3"/>
  <c r="AQ352" i="3"/>
  <c r="AQ353" i="3"/>
  <c r="AQ354" i="3"/>
  <c r="AQ355" i="3"/>
  <c r="AQ356" i="3"/>
  <c r="AQ357" i="3"/>
  <c r="AQ358" i="3"/>
  <c r="AQ359" i="3"/>
  <c r="AQ360" i="3"/>
  <c r="AQ361" i="3"/>
  <c r="AQ362" i="3"/>
  <c r="AQ363" i="3"/>
  <c r="AQ364" i="3"/>
  <c r="AQ365" i="3"/>
  <c r="AQ366" i="3"/>
  <c r="AQ367" i="3"/>
  <c r="AQ368" i="3"/>
  <c r="AQ369" i="3"/>
  <c r="AQ370" i="3"/>
  <c r="AQ371" i="3"/>
  <c r="AQ372" i="3"/>
  <c r="AQ373" i="3"/>
  <c r="AQ374" i="3"/>
  <c r="AQ375" i="3"/>
  <c r="AQ376" i="3"/>
  <c r="AQ377" i="3"/>
  <c r="AQ378" i="3"/>
  <c r="AQ379" i="3"/>
  <c r="AQ380" i="3"/>
  <c r="AQ381" i="3"/>
  <c r="AQ382" i="3"/>
  <c r="AQ383" i="3"/>
  <c r="AQ384" i="3"/>
  <c r="AQ385" i="3"/>
  <c r="AQ386" i="3"/>
  <c r="AQ387" i="3"/>
  <c r="AQ388" i="3"/>
  <c r="AQ389" i="3"/>
  <c r="AQ390" i="3"/>
  <c r="AQ391" i="3"/>
  <c r="AQ392" i="3"/>
  <c r="AQ393" i="3"/>
  <c r="AQ394" i="3"/>
  <c r="AQ395" i="3"/>
  <c r="AQ396" i="3"/>
  <c r="AQ397" i="3"/>
  <c r="AQ398" i="3"/>
  <c r="AQ399" i="3"/>
  <c r="AQ400" i="3"/>
  <c r="AQ401" i="3"/>
  <c r="AQ402" i="3"/>
  <c r="AQ403" i="3"/>
  <c r="AQ404" i="3"/>
  <c r="AQ405" i="3"/>
  <c r="AQ406" i="3"/>
  <c r="AQ407" i="3"/>
  <c r="AQ408" i="3"/>
  <c r="AQ409" i="3"/>
  <c r="AQ410" i="3"/>
  <c r="AQ411" i="3"/>
  <c r="AQ412" i="3"/>
  <c r="AQ413" i="3"/>
  <c r="AQ414" i="3"/>
  <c r="AQ415" i="3"/>
  <c r="AQ416" i="3"/>
  <c r="AQ417" i="3"/>
  <c r="AQ418" i="3"/>
  <c r="AQ419" i="3"/>
  <c r="AQ420" i="3"/>
  <c r="AQ421" i="3"/>
  <c r="AQ422" i="3"/>
  <c r="AQ423" i="3"/>
  <c r="AQ424" i="3"/>
  <c r="AQ425" i="3"/>
  <c r="AQ426" i="3"/>
  <c r="AQ427" i="3"/>
  <c r="AQ428" i="3"/>
  <c r="AQ429" i="3"/>
  <c r="AQ430" i="3"/>
  <c r="AQ431" i="3"/>
  <c r="AQ432" i="3"/>
  <c r="AQ433" i="3"/>
  <c r="AQ434" i="3"/>
  <c r="AQ435" i="3"/>
  <c r="AQ436" i="3"/>
  <c r="AQ437" i="3"/>
  <c r="AQ438" i="3"/>
  <c r="AQ439" i="3"/>
  <c r="AQ440" i="3"/>
  <c r="AQ441" i="3"/>
  <c r="AQ442" i="3"/>
  <c r="AQ443" i="3"/>
  <c r="AQ444" i="3"/>
  <c r="AQ445" i="3"/>
  <c r="AQ446" i="3"/>
  <c r="AQ447" i="3"/>
  <c r="AQ448" i="3"/>
  <c r="AQ449" i="3"/>
  <c r="AQ450" i="3"/>
  <c r="AQ451" i="3"/>
  <c r="AQ452" i="3"/>
  <c r="AQ453" i="3"/>
  <c r="AQ454" i="3"/>
  <c r="AQ455" i="3"/>
  <c r="AQ456" i="3"/>
  <c r="AQ457" i="3"/>
  <c r="AQ458" i="3"/>
  <c r="AQ459" i="3"/>
  <c r="AQ460" i="3"/>
  <c r="AQ461" i="3"/>
  <c r="AQ462" i="3"/>
  <c r="AQ463" i="3"/>
  <c r="AQ464" i="3"/>
  <c r="AQ465" i="3"/>
  <c r="AQ466" i="3"/>
  <c r="AQ467" i="3"/>
  <c r="AQ468" i="3"/>
  <c r="AQ469" i="3"/>
  <c r="AQ470" i="3"/>
  <c r="AQ471" i="3"/>
  <c r="AQ472" i="3"/>
  <c r="AQ473" i="3"/>
  <c r="AQ474" i="3"/>
  <c r="AQ475" i="3"/>
  <c r="AQ476" i="3"/>
  <c r="AQ477" i="3"/>
  <c r="AQ478" i="3"/>
  <c r="AQ479" i="3"/>
  <c r="AQ480" i="3"/>
  <c r="AQ481" i="3"/>
  <c r="AQ482" i="3"/>
  <c r="AQ483" i="3"/>
  <c r="AQ484" i="3"/>
  <c r="AQ485" i="3"/>
  <c r="AQ486" i="3"/>
  <c r="AQ487" i="3"/>
  <c r="AQ488" i="3"/>
  <c r="AQ489" i="3"/>
  <c r="AQ490" i="3"/>
  <c r="AQ491" i="3"/>
  <c r="AQ492" i="3"/>
  <c r="AQ493" i="3"/>
  <c r="AQ494" i="3"/>
  <c r="AQ495" i="3"/>
  <c r="AQ496" i="3"/>
  <c r="AQ497" i="3"/>
  <c r="AQ498" i="3"/>
  <c r="AQ499" i="3"/>
  <c r="AQ500" i="3"/>
  <c r="AQ501" i="3"/>
  <c r="AQ502" i="3"/>
  <c r="AQ503" i="3"/>
  <c r="AQ504" i="3"/>
  <c r="AQ505" i="3"/>
  <c r="AQ506" i="3"/>
  <c r="AQ507" i="3"/>
  <c r="AQ508" i="3"/>
  <c r="AQ509" i="3"/>
  <c r="AQ510" i="3"/>
  <c r="AQ511" i="3"/>
  <c r="AQ512" i="3"/>
  <c r="AQ513" i="3"/>
  <c r="AQ514" i="3"/>
  <c r="AQ515" i="3"/>
  <c r="AQ516" i="3"/>
  <c r="AQ517" i="3"/>
  <c r="AQ518" i="3"/>
  <c r="AQ519" i="3"/>
  <c r="AQ520" i="3"/>
  <c r="AQ521" i="3"/>
  <c r="AQ522" i="3"/>
  <c r="AQ523" i="3"/>
  <c r="AQ524" i="3"/>
  <c r="AQ525" i="3"/>
  <c r="AQ526" i="3"/>
  <c r="AQ527" i="3"/>
  <c r="AQ528" i="3"/>
  <c r="AQ529" i="3"/>
  <c r="AQ530" i="3"/>
  <c r="AQ531" i="3"/>
  <c r="AQ532" i="3"/>
  <c r="AQ533" i="3"/>
  <c r="AQ534" i="3"/>
  <c r="AQ535" i="3"/>
  <c r="AQ536" i="3"/>
  <c r="AQ537" i="3"/>
  <c r="AQ538" i="3"/>
  <c r="AQ539" i="3"/>
  <c r="AQ540" i="3"/>
  <c r="AQ541" i="3"/>
  <c r="AQ542" i="3"/>
  <c r="AQ543" i="3"/>
  <c r="AQ544" i="3"/>
  <c r="AQ545" i="3"/>
  <c r="AQ546" i="3"/>
  <c r="AQ547" i="3"/>
  <c r="AQ548" i="3"/>
  <c r="AQ549" i="3"/>
  <c r="AQ550" i="3"/>
  <c r="AQ551" i="3"/>
  <c r="AQ552" i="3"/>
  <c r="AQ553" i="3"/>
  <c r="AQ554" i="3"/>
  <c r="AQ555" i="3"/>
  <c r="AQ556" i="3"/>
  <c r="AQ557" i="3"/>
  <c r="AQ558" i="3"/>
  <c r="AQ559" i="3"/>
  <c r="AQ560" i="3"/>
  <c r="AQ561" i="3"/>
  <c r="AQ562" i="3"/>
  <c r="AQ563" i="3"/>
  <c r="AQ564" i="3"/>
  <c r="AQ565" i="3"/>
  <c r="AQ566" i="3"/>
  <c r="AQ567" i="3"/>
  <c r="AQ568" i="3"/>
  <c r="AQ569" i="3"/>
  <c r="AQ570" i="3"/>
  <c r="AQ571" i="3"/>
  <c r="AQ572" i="3"/>
  <c r="AQ573" i="3"/>
  <c r="AQ574" i="3"/>
  <c r="AQ575" i="3"/>
  <c r="AQ576" i="3"/>
  <c r="AQ577" i="3"/>
  <c r="AQ578" i="3"/>
  <c r="AQ579" i="3"/>
  <c r="AQ580" i="3"/>
  <c r="AQ581" i="3"/>
  <c r="AQ582" i="3"/>
  <c r="AQ583" i="3"/>
  <c r="AQ584" i="3"/>
  <c r="AQ585" i="3"/>
  <c r="AQ586" i="3"/>
  <c r="AQ587" i="3"/>
  <c r="AQ588" i="3"/>
  <c r="AQ589" i="3"/>
  <c r="AQ590" i="3"/>
  <c r="AQ591" i="3"/>
  <c r="AQ592" i="3"/>
  <c r="AQ593" i="3"/>
  <c r="AQ594" i="3"/>
  <c r="AQ595" i="3"/>
  <c r="AQ596" i="3"/>
  <c r="AQ597" i="3"/>
  <c r="AQ598" i="3"/>
  <c r="AQ599" i="3"/>
  <c r="AQ600" i="3"/>
  <c r="AQ601" i="3"/>
  <c r="AQ602" i="3"/>
  <c r="AQ603" i="3"/>
  <c r="AQ604" i="3"/>
  <c r="AQ605" i="3"/>
  <c r="AQ606" i="3"/>
  <c r="AQ607" i="3"/>
  <c r="AQ608" i="3"/>
  <c r="AQ609" i="3"/>
  <c r="AQ610" i="3"/>
  <c r="AQ611" i="3"/>
  <c r="AQ612" i="3"/>
  <c r="AQ613" i="3"/>
  <c r="AQ614" i="3"/>
  <c r="AQ615" i="3"/>
  <c r="AQ616" i="3"/>
  <c r="AQ617" i="3"/>
  <c r="AQ618" i="3"/>
  <c r="AQ619" i="3"/>
  <c r="AQ620" i="3"/>
  <c r="AQ621" i="3"/>
  <c r="AQ622" i="3"/>
  <c r="AQ623" i="3"/>
  <c r="AQ624" i="3"/>
  <c r="AQ625" i="3"/>
  <c r="AQ626" i="3"/>
  <c r="AQ627" i="3"/>
  <c r="AQ628" i="3"/>
  <c r="AQ629" i="3"/>
  <c r="AQ630" i="3"/>
  <c r="AQ631" i="3"/>
  <c r="AQ632" i="3"/>
  <c r="AQ633" i="3"/>
  <c r="AQ634" i="3"/>
  <c r="AQ635" i="3"/>
  <c r="AQ636" i="3"/>
  <c r="AQ637" i="3"/>
  <c r="AQ638" i="3"/>
  <c r="AQ639" i="3"/>
  <c r="AQ640" i="3"/>
  <c r="AQ641" i="3"/>
  <c r="AQ642" i="3"/>
  <c r="AQ643" i="3"/>
  <c r="AQ644" i="3"/>
  <c r="AQ645" i="3"/>
  <c r="AQ646" i="3"/>
  <c r="AQ647" i="3"/>
  <c r="AQ648" i="3"/>
  <c r="AQ649" i="3"/>
  <c r="AQ650" i="3"/>
  <c r="AQ651" i="3"/>
  <c r="AQ652" i="3"/>
  <c r="AQ653" i="3"/>
  <c r="AQ654" i="3"/>
  <c r="AQ655" i="3"/>
  <c r="AQ656" i="3"/>
  <c r="AQ657" i="3"/>
  <c r="AQ658" i="3"/>
  <c r="AQ659" i="3"/>
  <c r="AQ660" i="3"/>
  <c r="AQ661" i="3"/>
  <c r="AQ662" i="3"/>
  <c r="AQ663" i="3"/>
  <c r="AQ664" i="3"/>
  <c r="AQ665" i="3"/>
  <c r="AQ666" i="3"/>
  <c r="AQ667" i="3"/>
  <c r="AQ668" i="3"/>
  <c r="AQ669" i="3"/>
  <c r="AQ670" i="3"/>
  <c r="AQ671" i="3"/>
  <c r="AQ672" i="3"/>
  <c r="AQ673" i="3"/>
  <c r="AQ674" i="3"/>
  <c r="AQ675" i="3"/>
  <c r="AQ676" i="3"/>
  <c r="AQ677" i="3"/>
  <c r="AQ678" i="3"/>
  <c r="AQ679" i="3"/>
  <c r="AQ680" i="3"/>
  <c r="AQ681" i="3"/>
  <c r="AQ682" i="3"/>
  <c r="AQ683" i="3"/>
  <c r="AQ684" i="3"/>
  <c r="AQ685" i="3"/>
  <c r="AQ686" i="3"/>
  <c r="AQ687" i="3"/>
  <c r="AQ688" i="3"/>
  <c r="AQ689" i="3"/>
  <c r="AQ690" i="3"/>
  <c r="AQ691" i="3"/>
  <c r="AQ692" i="3"/>
  <c r="AQ693" i="3"/>
  <c r="AQ694" i="3"/>
  <c r="AQ695" i="3"/>
  <c r="AQ696" i="3"/>
  <c r="AQ697" i="3"/>
  <c r="AQ698" i="3"/>
  <c r="AQ699" i="3"/>
  <c r="AQ700" i="3"/>
  <c r="AQ701" i="3"/>
  <c r="AQ702" i="3"/>
  <c r="AQ703" i="3"/>
  <c r="AQ704" i="3"/>
  <c r="AQ705" i="3"/>
  <c r="AQ706" i="3"/>
  <c r="AQ707" i="3"/>
  <c r="AQ708" i="3"/>
  <c r="AQ709" i="3"/>
  <c r="AQ710" i="3"/>
  <c r="AQ711" i="3"/>
  <c r="AQ712" i="3"/>
  <c r="AQ713" i="3"/>
  <c r="AQ714" i="3"/>
  <c r="AQ715" i="3"/>
  <c r="AQ716" i="3"/>
  <c r="AQ717" i="3"/>
  <c r="AQ718" i="3"/>
  <c r="AQ719" i="3"/>
  <c r="AQ720" i="3"/>
  <c r="AQ721" i="3"/>
  <c r="AQ722" i="3"/>
  <c r="AQ723" i="3"/>
  <c r="AQ724" i="3"/>
  <c r="AQ725" i="3"/>
  <c r="AQ726" i="3"/>
  <c r="AQ727" i="3"/>
  <c r="AQ728" i="3"/>
  <c r="AQ729" i="3"/>
  <c r="AQ730" i="3"/>
  <c r="AQ731" i="3"/>
  <c r="AQ732" i="3"/>
  <c r="AQ733" i="3"/>
  <c r="AQ734" i="3"/>
  <c r="AQ735" i="3"/>
  <c r="AQ736" i="3"/>
  <c r="AQ737" i="3"/>
  <c r="AQ738" i="3"/>
  <c r="AQ739" i="3"/>
  <c r="AQ740" i="3"/>
  <c r="AQ741" i="3"/>
  <c r="AQ742" i="3"/>
  <c r="AQ743" i="3"/>
  <c r="AQ744" i="3"/>
  <c r="AQ745" i="3"/>
  <c r="AQ746" i="3"/>
  <c r="AQ747" i="3"/>
  <c r="AQ748" i="3"/>
  <c r="AQ749" i="3"/>
  <c r="AQ750" i="3"/>
  <c r="AQ751" i="3"/>
  <c r="AQ752" i="3"/>
  <c r="AQ753" i="3"/>
  <c r="AQ754" i="3"/>
  <c r="AQ755" i="3"/>
  <c r="AQ756" i="3"/>
  <c r="AQ757" i="3"/>
  <c r="AQ758" i="3"/>
  <c r="AQ759" i="3"/>
  <c r="AQ760" i="3"/>
  <c r="AQ761" i="3"/>
  <c r="AQ762" i="3"/>
  <c r="AQ763" i="3"/>
  <c r="AQ764" i="3"/>
  <c r="AQ765" i="3"/>
  <c r="AQ766" i="3"/>
  <c r="AQ767" i="3"/>
  <c r="AQ768" i="3"/>
  <c r="AQ769" i="3"/>
  <c r="AQ770" i="3"/>
  <c r="AQ771" i="3"/>
  <c r="AQ772" i="3"/>
  <c r="AQ773" i="3"/>
  <c r="AQ774" i="3"/>
  <c r="AQ775" i="3"/>
  <c r="AQ776" i="3"/>
  <c r="AQ777" i="3"/>
  <c r="AQ778" i="3"/>
  <c r="AQ779" i="3"/>
  <c r="AQ780" i="3"/>
  <c r="AQ781" i="3"/>
  <c r="AQ782" i="3"/>
  <c r="AQ783" i="3"/>
  <c r="AQ784" i="3"/>
  <c r="AQ785" i="3"/>
  <c r="AQ786" i="3"/>
  <c r="AQ787" i="3"/>
  <c r="AQ788" i="3"/>
  <c r="AQ789" i="3"/>
  <c r="AQ790" i="3"/>
  <c r="AQ791" i="3"/>
  <c r="AQ792" i="3"/>
  <c r="AQ793" i="3"/>
  <c r="AQ794" i="3"/>
  <c r="AQ795" i="3"/>
  <c r="AQ796" i="3"/>
  <c r="AQ797" i="3"/>
  <c r="AQ798" i="3"/>
  <c r="AQ799" i="3"/>
  <c r="AQ800" i="3"/>
  <c r="AQ801" i="3"/>
  <c r="AQ802" i="3"/>
  <c r="AQ803" i="3"/>
  <c r="AQ804" i="3"/>
  <c r="AQ805" i="3"/>
  <c r="AQ806" i="3"/>
  <c r="AQ807" i="3"/>
  <c r="AQ808" i="3"/>
  <c r="AQ809" i="3"/>
  <c r="AQ810" i="3"/>
  <c r="AQ811" i="3"/>
  <c r="AQ812" i="3"/>
  <c r="AQ813" i="3"/>
  <c r="AQ814" i="3"/>
  <c r="AQ815" i="3"/>
  <c r="AQ816" i="3"/>
  <c r="AQ817" i="3"/>
  <c r="AQ818" i="3"/>
  <c r="AQ819" i="3"/>
  <c r="AQ820" i="3"/>
  <c r="AQ821" i="3"/>
  <c r="AQ822" i="3"/>
  <c r="AQ823" i="3"/>
  <c r="AQ824" i="3"/>
  <c r="AQ825" i="3"/>
  <c r="AQ826" i="3"/>
  <c r="AQ827" i="3"/>
  <c r="AQ828" i="3"/>
  <c r="AQ829" i="3"/>
  <c r="AQ830" i="3"/>
  <c r="AQ831" i="3"/>
  <c r="AQ832" i="3"/>
  <c r="AQ833" i="3"/>
  <c r="AQ834" i="3"/>
  <c r="AQ835" i="3"/>
  <c r="AQ836" i="3"/>
  <c r="AQ837" i="3"/>
  <c r="AQ838" i="3"/>
  <c r="AQ839" i="3"/>
  <c r="AQ840" i="3"/>
  <c r="AQ841" i="3"/>
  <c r="AQ842" i="3"/>
  <c r="AQ843" i="3"/>
  <c r="AQ844" i="3"/>
  <c r="AQ845" i="3"/>
  <c r="AQ846" i="3"/>
  <c r="AQ847" i="3"/>
  <c r="AQ848" i="3"/>
  <c r="AQ849" i="3"/>
  <c r="AQ850" i="3"/>
  <c r="AQ851" i="3"/>
  <c r="AQ852" i="3"/>
  <c r="AQ853" i="3"/>
  <c r="AQ854" i="3"/>
  <c r="AQ855" i="3"/>
  <c r="AQ856" i="3"/>
  <c r="AQ857" i="3"/>
  <c r="AQ858" i="3"/>
  <c r="AQ859" i="3"/>
  <c r="AQ860" i="3"/>
  <c r="AQ861" i="3"/>
  <c r="AQ862" i="3"/>
  <c r="AQ863" i="3"/>
  <c r="AQ864" i="3"/>
  <c r="AQ865" i="3"/>
  <c r="AQ866" i="3"/>
  <c r="AQ867" i="3"/>
  <c r="AQ868" i="3"/>
  <c r="AQ869" i="3"/>
  <c r="AQ870" i="3"/>
  <c r="AQ871" i="3"/>
  <c r="AQ872" i="3"/>
  <c r="AQ873" i="3"/>
  <c r="AQ874" i="3"/>
  <c r="AQ875" i="3"/>
  <c r="AQ876" i="3"/>
  <c r="AQ877" i="3"/>
  <c r="AQ878" i="3"/>
  <c r="AQ879" i="3"/>
  <c r="AQ880" i="3"/>
  <c r="AQ881" i="3"/>
  <c r="AQ882" i="3"/>
  <c r="AQ883" i="3"/>
  <c r="AQ884" i="3"/>
  <c r="AQ885" i="3"/>
  <c r="AQ886" i="3"/>
  <c r="AQ887" i="3"/>
  <c r="AQ888" i="3"/>
  <c r="AQ889" i="3"/>
  <c r="AQ890" i="3"/>
  <c r="AQ891" i="3"/>
  <c r="AQ892" i="3"/>
  <c r="AQ893" i="3"/>
  <c r="AQ894" i="3"/>
  <c r="AQ895" i="3"/>
  <c r="AQ896" i="3"/>
  <c r="AQ897" i="3"/>
  <c r="AQ898" i="3"/>
  <c r="AQ899" i="3"/>
  <c r="AQ900" i="3"/>
  <c r="AQ901" i="3"/>
  <c r="AQ902" i="3"/>
  <c r="AQ903" i="3"/>
  <c r="AQ904" i="3"/>
  <c r="AQ905" i="3"/>
  <c r="AQ906" i="3"/>
  <c r="AQ907" i="3"/>
  <c r="AQ908" i="3"/>
  <c r="AQ909" i="3"/>
  <c r="AQ910" i="3"/>
  <c r="AQ911" i="3"/>
  <c r="AQ912" i="3"/>
  <c r="AQ913" i="3"/>
  <c r="AQ914" i="3"/>
  <c r="AQ915" i="3"/>
  <c r="AQ916" i="3"/>
  <c r="AQ917" i="3"/>
  <c r="AQ918" i="3"/>
  <c r="AQ919" i="3"/>
  <c r="AQ920" i="3"/>
  <c r="AQ921" i="3"/>
  <c r="AQ922" i="3"/>
  <c r="AQ923" i="3"/>
  <c r="AQ924" i="3"/>
  <c r="AQ925" i="3"/>
  <c r="AQ926" i="3"/>
  <c r="AQ927" i="3"/>
  <c r="AQ928" i="3"/>
  <c r="AQ929" i="3"/>
  <c r="AQ930" i="3"/>
  <c r="AQ931" i="3"/>
  <c r="AQ932" i="3"/>
  <c r="AQ933" i="3"/>
  <c r="AQ934" i="3"/>
  <c r="AQ935" i="3"/>
  <c r="AQ936" i="3"/>
  <c r="AQ937" i="3"/>
  <c r="AQ938" i="3"/>
  <c r="AQ939" i="3"/>
  <c r="AQ940" i="3"/>
  <c r="AQ941" i="3"/>
  <c r="AQ942" i="3"/>
  <c r="AQ943" i="3"/>
  <c r="AQ944" i="3"/>
  <c r="AQ945" i="3"/>
  <c r="AQ946" i="3"/>
  <c r="AQ947" i="3"/>
  <c r="AQ948" i="3"/>
  <c r="AQ949" i="3"/>
  <c r="AQ950" i="3"/>
  <c r="AQ951" i="3"/>
  <c r="AQ952" i="3"/>
  <c r="AQ953" i="3"/>
  <c r="AQ954" i="3"/>
  <c r="AQ955" i="3"/>
  <c r="AQ956" i="3"/>
  <c r="AQ957" i="3"/>
  <c r="AQ958" i="3"/>
  <c r="AQ959" i="3"/>
  <c r="AQ960" i="3"/>
  <c r="AQ961" i="3"/>
  <c r="AQ962" i="3"/>
  <c r="AQ963" i="3"/>
  <c r="AQ964" i="3"/>
  <c r="AQ965" i="3"/>
  <c r="AQ966" i="3"/>
  <c r="AQ967" i="3"/>
  <c r="AQ968" i="3"/>
  <c r="AQ969" i="3"/>
  <c r="AQ970" i="3"/>
  <c r="AQ971" i="3"/>
  <c r="AQ972" i="3"/>
  <c r="AQ973" i="3"/>
  <c r="AQ974" i="3"/>
  <c r="AQ975" i="3"/>
  <c r="AQ976" i="3"/>
  <c r="AQ977" i="3"/>
  <c r="AQ978" i="3"/>
  <c r="AQ979" i="3"/>
  <c r="AQ980" i="3"/>
  <c r="AQ981" i="3"/>
  <c r="AQ982" i="3"/>
  <c r="AQ983" i="3"/>
  <c r="AQ984" i="3"/>
  <c r="AQ985" i="3"/>
  <c r="AQ986" i="3"/>
  <c r="AQ987" i="3"/>
  <c r="AQ988" i="3"/>
  <c r="AQ989" i="3"/>
  <c r="AQ990" i="3"/>
  <c r="AQ991" i="3"/>
  <c r="AQ992" i="3"/>
  <c r="AQ993" i="3"/>
  <c r="AQ994" i="3"/>
  <c r="AQ995" i="3"/>
  <c r="AQ996" i="3"/>
  <c r="AQ997" i="3"/>
  <c r="AQ998" i="3"/>
  <c r="AQ999" i="3"/>
  <c r="AQ1000" i="3"/>
  <c r="AQ1001" i="3"/>
  <c r="AP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P634" i="3"/>
  <c r="AP635" i="3"/>
  <c r="AP636" i="3"/>
  <c r="AP637" i="3"/>
  <c r="AP638" i="3"/>
  <c r="AP639" i="3"/>
  <c r="AP640" i="3"/>
  <c r="AP641" i="3"/>
  <c r="AP642" i="3"/>
  <c r="AP643" i="3"/>
  <c r="AP644" i="3"/>
  <c r="AP645" i="3"/>
  <c r="AP646" i="3"/>
  <c r="AP647" i="3"/>
  <c r="AP648" i="3"/>
  <c r="AP649" i="3"/>
  <c r="AP650" i="3"/>
  <c r="AP651" i="3"/>
  <c r="AP652" i="3"/>
  <c r="AP653" i="3"/>
  <c r="AP654" i="3"/>
  <c r="AP655" i="3"/>
  <c r="AP656" i="3"/>
  <c r="AP657" i="3"/>
  <c r="AP658" i="3"/>
  <c r="AP659" i="3"/>
  <c r="AP660" i="3"/>
  <c r="AP661" i="3"/>
  <c r="AP662" i="3"/>
  <c r="AP663" i="3"/>
  <c r="AP664" i="3"/>
  <c r="AP665" i="3"/>
  <c r="AP666" i="3"/>
  <c r="AP667" i="3"/>
  <c r="AP668" i="3"/>
  <c r="AP669" i="3"/>
  <c r="AP670" i="3"/>
  <c r="AP671" i="3"/>
  <c r="AP672" i="3"/>
  <c r="AP673" i="3"/>
  <c r="AP674" i="3"/>
  <c r="AP675" i="3"/>
  <c r="AP676" i="3"/>
  <c r="AP677" i="3"/>
  <c r="AP678" i="3"/>
  <c r="AP679" i="3"/>
  <c r="AP680" i="3"/>
  <c r="AP681" i="3"/>
  <c r="AP682" i="3"/>
  <c r="AP683" i="3"/>
  <c r="AP684" i="3"/>
  <c r="AP685" i="3"/>
  <c r="AP686" i="3"/>
  <c r="AP687" i="3"/>
  <c r="AP688" i="3"/>
  <c r="AP689" i="3"/>
  <c r="AP690" i="3"/>
  <c r="AP691" i="3"/>
  <c r="AP692" i="3"/>
  <c r="AP693" i="3"/>
  <c r="AP694" i="3"/>
  <c r="AP695" i="3"/>
  <c r="AP696" i="3"/>
  <c r="AP697" i="3"/>
  <c r="AP698" i="3"/>
  <c r="AP699" i="3"/>
  <c r="AP700" i="3"/>
  <c r="AP701" i="3"/>
  <c r="AP702" i="3"/>
  <c r="AP703" i="3"/>
  <c r="AP704" i="3"/>
  <c r="AP705" i="3"/>
  <c r="AP706" i="3"/>
  <c r="AP707" i="3"/>
  <c r="AP708" i="3"/>
  <c r="AP709" i="3"/>
  <c r="AP710" i="3"/>
  <c r="AP711" i="3"/>
  <c r="AP712" i="3"/>
  <c r="AP713" i="3"/>
  <c r="AP714" i="3"/>
  <c r="AP715" i="3"/>
  <c r="AP716" i="3"/>
  <c r="AP717" i="3"/>
  <c r="AP718" i="3"/>
  <c r="AP719" i="3"/>
  <c r="AP720" i="3"/>
  <c r="AP721" i="3"/>
  <c r="AP722" i="3"/>
  <c r="AP723" i="3"/>
  <c r="AP724" i="3"/>
  <c r="AP725" i="3"/>
  <c r="AP726" i="3"/>
  <c r="AP727" i="3"/>
  <c r="AP728" i="3"/>
  <c r="AP729" i="3"/>
  <c r="AP730" i="3"/>
  <c r="AP731" i="3"/>
  <c r="AP732" i="3"/>
  <c r="AP733" i="3"/>
  <c r="AP734" i="3"/>
  <c r="AP735" i="3"/>
  <c r="AP736" i="3"/>
  <c r="AP737" i="3"/>
  <c r="AP738" i="3"/>
  <c r="AP739" i="3"/>
  <c r="AP740" i="3"/>
  <c r="AP741" i="3"/>
  <c r="AP742" i="3"/>
  <c r="AP743" i="3"/>
  <c r="AP744" i="3"/>
  <c r="AP745" i="3"/>
  <c r="AP746" i="3"/>
  <c r="AP747" i="3"/>
  <c r="AP748" i="3"/>
  <c r="AP749" i="3"/>
  <c r="AP750" i="3"/>
  <c r="AP751" i="3"/>
  <c r="AP752" i="3"/>
  <c r="AP753" i="3"/>
  <c r="AP754" i="3"/>
  <c r="AP755" i="3"/>
  <c r="AP756" i="3"/>
  <c r="AP757" i="3"/>
  <c r="AP758" i="3"/>
  <c r="AP759" i="3"/>
  <c r="AP760" i="3"/>
  <c r="AP761" i="3"/>
  <c r="AP762" i="3"/>
  <c r="AP763" i="3"/>
  <c r="AP764" i="3"/>
  <c r="AP765" i="3"/>
  <c r="AP766" i="3"/>
  <c r="AP767" i="3"/>
  <c r="AP768" i="3"/>
  <c r="AP769" i="3"/>
  <c r="AP770" i="3"/>
  <c r="AP771" i="3"/>
  <c r="AP772" i="3"/>
  <c r="AP773" i="3"/>
  <c r="AP774" i="3"/>
  <c r="AP775" i="3"/>
  <c r="AP776" i="3"/>
  <c r="AP777" i="3"/>
  <c r="AP778" i="3"/>
  <c r="AP779" i="3"/>
  <c r="AP780" i="3"/>
  <c r="AP781" i="3"/>
  <c r="AP782" i="3"/>
  <c r="AP783" i="3"/>
  <c r="AP784" i="3"/>
  <c r="AP785" i="3"/>
  <c r="AP786" i="3"/>
  <c r="AP787" i="3"/>
  <c r="AP788" i="3"/>
  <c r="AP789" i="3"/>
  <c r="AP790" i="3"/>
  <c r="AP791" i="3"/>
  <c r="AP792" i="3"/>
  <c r="AP793" i="3"/>
  <c r="AP794" i="3"/>
  <c r="AP795" i="3"/>
  <c r="AP796" i="3"/>
  <c r="AP797" i="3"/>
  <c r="AP798" i="3"/>
  <c r="AP799" i="3"/>
  <c r="AP800" i="3"/>
  <c r="AP801" i="3"/>
  <c r="AP802" i="3"/>
  <c r="AP803" i="3"/>
  <c r="AP804" i="3"/>
  <c r="AP805" i="3"/>
  <c r="AP806" i="3"/>
  <c r="AP807" i="3"/>
  <c r="AP808" i="3"/>
  <c r="AP809" i="3"/>
  <c r="AP810" i="3"/>
  <c r="AP811" i="3"/>
  <c r="AP812" i="3"/>
  <c r="AP813" i="3"/>
  <c r="AP814" i="3"/>
  <c r="AP815" i="3"/>
  <c r="AP816" i="3"/>
  <c r="AP817" i="3"/>
  <c r="AP818" i="3"/>
  <c r="AP819" i="3"/>
  <c r="AP820" i="3"/>
  <c r="AP821" i="3"/>
  <c r="AP822" i="3"/>
  <c r="AP823" i="3"/>
  <c r="AP824" i="3"/>
  <c r="AP825" i="3"/>
  <c r="AP826" i="3"/>
  <c r="AP827" i="3"/>
  <c r="AP828" i="3"/>
  <c r="AP829" i="3"/>
  <c r="AP830" i="3"/>
  <c r="AP831" i="3"/>
  <c r="AP832" i="3"/>
  <c r="AP833" i="3"/>
  <c r="AP834" i="3"/>
  <c r="AP835" i="3"/>
  <c r="AP836" i="3"/>
  <c r="AP837" i="3"/>
  <c r="AP838" i="3"/>
  <c r="AP839" i="3"/>
  <c r="AP840" i="3"/>
  <c r="AP841" i="3"/>
  <c r="AP842" i="3"/>
  <c r="AP843" i="3"/>
  <c r="AP844" i="3"/>
  <c r="AP845" i="3"/>
  <c r="AP846" i="3"/>
  <c r="AP847" i="3"/>
  <c r="AP848" i="3"/>
  <c r="AP849" i="3"/>
  <c r="AP850" i="3"/>
  <c r="AP851" i="3"/>
  <c r="AP852" i="3"/>
  <c r="AP853" i="3"/>
  <c r="AP854" i="3"/>
  <c r="AP855" i="3"/>
  <c r="AP856" i="3"/>
  <c r="AP857" i="3"/>
  <c r="AP858" i="3"/>
  <c r="AP859" i="3"/>
  <c r="AP860" i="3"/>
  <c r="AP861" i="3"/>
  <c r="AP862" i="3"/>
  <c r="AP863" i="3"/>
  <c r="AP864" i="3"/>
  <c r="AP865" i="3"/>
  <c r="AP866" i="3"/>
  <c r="AP867" i="3"/>
  <c r="AP868" i="3"/>
  <c r="AP869" i="3"/>
  <c r="AP870" i="3"/>
  <c r="AP871" i="3"/>
  <c r="AP872" i="3"/>
  <c r="AP873" i="3"/>
  <c r="AP874" i="3"/>
  <c r="AP875" i="3"/>
  <c r="AP876" i="3"/>
  <c r="AP877" i="3"/>
  <c r="AP878" i="3"/>
  <c r="AP879" i="3"/>
  <c r="AP880" i="3"/>
  <c r="AP881" i="3"/>
  <c r="AP882" i="3"/>
  <c r="AP883" i="3"/>
  <c r="AP884" i="3"/>
  <c r="AP885" i="3"/>
  <c r="AP886" i="3"/>
  <c r="AP887" i="3"/>
  <c r="AP888" i="3"/>
  <c r="AP889" i="3"/>
  <c r="AP890" i="3"/>
  <c r="AP891" i="3"/>
  <c r="AP892" i="3"/>
  <c r="AP893" i="3"/>
  <c r="AP894" i="3"/>
  <c r="AP895" i="3"/>
  <c r="AP896" i="3"/>
  <c r="AP897" i="3"/>
  <c r="AP898" i="3"/>
  <c r="AP899" i="3"/>
  <c r="AP900" i="3"/>
  <c r="AP901" i="3"/>
  <c r="AP902" i="3"/>
  <c r="AP903" i="3"/>
  <c r="AP904" i="3"/>
  <c r="AP905" i="3"/>
  <c r="AP906" i="3"/>
  <c r="AP907" i="3"/>
  <c r="AP908" i="3"/>
  <c r="AP909" i="3"/>
  <c r="AP910" i="3"/>
  <c r="AP911" i="3"/>
  <c r="AP912" i="3"/>
  <c r="AP913" i="3"/>
  <c r="AP914" i="3"/>
  <c r="AP915" i="3"/>
  <c r="AP916" i="3"/>
  <c r="AP917" i="3"/>
  <c r="AP918" i="3"/>
  <c r="AP919" i="3"/>
  <c r="AP920" i="3"/>
  <c r="AP921" i="3"/>
  <c r="AP922" i="3"/>
  <c r="AP923" i="3"/>
  <c r="AP924" i="3"/>
  <c r="AP925" i="3"/>
  <c r="AP926" i="3"/>
  <c r="AP927" i="3"/>
  <c r="AP928" i="3"/>
  <c r="AP929" i="3"/>
  <c r="AP930" i="3"/>
  <c r="AP931" i="3"/>
  <c r="AP932" i="3"/>
  <c r="AP933" i="3"/>
  <c r="AP934" i="3"/>
  <c r="AP935" i="3"/>
  <c r="AP936" i="3"/>
  <c r="AP937" i="3"/>
  <c r="AP938" i="3"/>
  <c r="AP939" i="3"/>
  <c r="AP940" i="3"/>
  <c r="AP941" i="3"/>
  <c r="AP942" i="3"/>
  <c r="AP943" i="3"/>
  <c r="AP944" i="3"/>
  <c r="AP945" i="3"/>
  <c r="AP946" i="3"/>
  <c r="AP947" i="3"/>
  <c r="AP948" i="3"/>
  <c r="AP949" i="3"/>
  <c r="AP950" i="3"/>
  <c r="AP951" i="3"/>
  <c r="AP952" i="3"/>
  <c r="AP953" i="3"/>
  <c r="AP954" i="3"/>
  <c r="AP955" i="3"/>
  <c r="AP956" i="3"/>
  <c r="AP957" i="3"/>
  <c r="AP958" i="3"/>
  <c r="AP959" i="3"/>
  <c r="AP960" i="3"/>
  <c r="AP961" i="3"/>
  <c r="AP962" i="3"/>
  <c r="AP963" i="3"/>
  <c r="AP964" i="3"/>
  <c r="AP965" i="3"/>
  <c r="AP966" i="3"/>
  <c r="AP967" i="3"/>
  <c r="AP968" i="3"/>
  <c r="AP969" i="3"/>
  <c r="AP970" i="3"/>
  <c r="AP971" i="3"/>
  <c r="AP972" i="3"/>
  <c r="AP973" i="3"/>
  <c r="AP974" i="3"/>
  <c r="AP975" i="3"/>
  <c r="AP976" i="3"/>
  <c r="AP977" i="3"/>
  <c r="AP978" i="3"/>
  <c r="AP979" i="3"/>
  <c r="AP980" i="3"/>
  <c r="AP981" i="3"/>
  <c r="AP982" i="3"/>
  <c r="AP983" i="3"/>
  <c r="AP984" i="3"/>
  <c r="AP985" i="3"/>
  <c r="AP986" i="3"/>
  <c r="AP987" i="3"/>
  <c r="AP988" i="3"/>
  <c r="AP989" i="3"/>
  <c r="AP990" i="3"/>
  <c r="AP991" i="3"/>
  <c r="AP992" i="3"/>
  <c r="AP993" i="3"/>
  <c r="AP994" i="3"/>
  <c r="AP995" i="3"/>
  <c r="AP996" i="3"/>
  <c r="AP997" i="3"/>
  <c r="AP998" i="3"/>
  <c r="AP999" i="3"/>
  <c r="AP1000" i="3"/>
  <c r="AP1001" i="3"/>
  <c r="AO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O551" i="3"/>
  <c r="AO552" i="3"/>
  <c r="AO553" i="3"/>
  <c r="AO554" i="3"/>
  <c r="AO555" i="3"/>
  <c r="AO556" i="3"/>
  <c r="AO557" i="3"/>
  <c r="AO558" i="3"/>
  <c r="AO559" i="3"/>
  <c r="AO560" i="3"/>
  <c r="AO561" i="3"/>
  <c r="AO562" i="3"/>
  <c r="AO563" i="3"/>
  <c r="AO564" i="3"/>
  <c r="AO565" i="3"/>
  <c r="AO566" i="3"/>
  <c r="AO567" i="3"/>
  <c r="AO568" i="3"/>
  <c r="AO569" i="3"/>
  <c r="AO570" i="3"/>
  <c r="AO571" i="3"/>
  <c r="AO572" i="3"/>
  <c r="AO573" i="3"/>
  <c r="AO574" i="3"/>
  <c r="AO575" i="3"/>
  <c r="AO576" i="3"/>
  <c r="AO577" i="3"/>
  <c r="AO578" i="3"/>
  <c r="AO579" i="3"/>
  <c r="AO580" i="3"/>
  <c r="AO581" i="3"/>
  <c r="AO582" i="3"/>
  <c r="AO583" i="3"/>
  <c r="AO584" i="3"/>
  <c r="AO585" i="3"/>
  <c r="AO586" i="3"/>
  <c r="AO587" i="3"/>
  <c r="AO588" i="3"/>
  <c r="AO589" i="3"/>
  <c r="AO590" i="3"/>
  <c r="AO591" i="3"/>
  <c r="AO592" i="3"/>
  <c r="AO593" i="3"/>
  <c r="AO594" i="3"/>
  <c r="AO595" i="3"/>
  <c r="AO596" i="3"/>
  <c r="AO597" i="3"/>
  <c r="AO598" i="3"/>
  <c r="AO599" i="3"/>
  <c r="AO600" i="3"/>
  <c r="AO601" i="3"/>
  <c r="AO602" i="3"/>
  <c r="AO603" i="3"/>
  <c r="AO604" i="3"/>
  <c r="AO605" i="3"/>
  <c r="AO606" i="3"/>
  <c r="AO607" i="3"/>
  <c r="AO608" i="3"/>
  <c r="AO609" i="3"/>
  <c r="AO610" i="3"/>
  <c r="AO611" i="3"/>
  <c r="AO612" i="3"/>
  <c r="AO613" i="3"/>
  <c r="AO614" i="3"/>
  <c r="AO615" i="3"/>
  <c r="AO616" i="3"/>
  <c r="AO617" i="3"/>
  <c r="AO618" i="3"/>
  <c r="AO619" i="3"/>
  <c r="AO620" i="3"/>
  <c r="AO621" i="3"/>
  <c r="AO622" i="3"/>
  <c r="AO623" i="3"/>
  <c r="AO624" i="3"/>
  <c r="AO625" i="3"/>
  <c r="AO626" i="3"/>
  <c r="AO627" i="3"/>
  <c r="AO628" i="3"/>
  <c r="AO629" i="3"/>
  <c r="AO630" i="3"/>
  <c r="AO631" i="3"/>
  <c r="AO632" i="3"/>
  <c r="AO633" i="3"/>
  <c r="AO634" i="3"/>
  <c r="AO635" i="3"/>
  <c r="AO636" i="3"/>
  <c r="AO637" i="3"/>
  <c r="AO638" i="3"/>
  <c r="AO639" i="3"/>
  <c r="AO640" i="3"/>
  <c r="AO641" i="3"/>
  <c r="AO642" i="3"/>
  <c r="AO643" i="3"/>
  <c r="AO644" i="3"/>
  <c r="AO645" i="3"/>
  <c r="AO646" i="3"/>
  <c r="AO647" i="3"/>
  <c r="AO648" i="3"/>
  <c r="AO649" i="3"/>
  <c r="AO650" i="3"/>
  <c r="AO651" i="3"/>
  <c r="AO652" i="3"/>
  <c r="AO653" i="3"/>
  <c r="AO654" i="3"/>
  <c r="AO655" i="3"/>
  <c r="AO656" i="3"/>
  <c r="AO657" i="3"/>
  <c r="AO658" i="3"/>
  <c r="AO659" i="3"/>
  <c r="AO660" i="3"/>
  <c r="AO661" i="3"/>
  <c r="AO662" i="3"/>
  <c r="AO663" i="3"/>
  <c r="AO664" i="3"/>
  <c r="AO665" i="3"/>
  <c r="AO666" i="3"/>
  <c r="AO667" i="3"/>
  <c r="AO668" i="3"/>
  <c r="AO669" i="3"/>
  <c r="AO670" i="3"/>
  <c r="AO671" i="3"/>
  <c r="AO672" i="3"/>
  <c r="AO673" i="3"/>
  <c r="AO674" i="3"/>
  <c r="AO675" i="3"/>
  <c r="AO676" i="3"/>
  <c r="AO677" i="3"/>
  <c r="AO678" i="3"/>
  <c r="AO679" i="3"/>
  <c r="AO680" i="3"/>
  <c r="AO681" i="3"/>
  <c r="AO682" i="3"/>
  <c r="AO683" i="3"/>
  <c r="AO684" i="3"/>
  <c r="AO685" i="3"/>
  <c r="AO686" i="3"/>
  <c r="AO687" i="3"/>
  <c r="AO688" i="3"/>
  <c r="AO689" i="3"/>
  <c r="AO690" i="3"/>
  <c r="AO691" i="3"/>
  <c r="AO692" i="3"/>
  <c r="AO693" i="3"/>
  <c r="AO694" i="3"/>
  <c r="AO695" i="3"/>
  <c r="AO696" i="3"/>
  <c r="AO697" i="3"/>
  <c r="AO698" i="3"/>
  <c r="AO699" i="3"/>
  <c r="AO700" i="3"/>
  <c r="AO701" i="3"/>
  <c r="AO702" i="3"/>
  <c r="AO703" i="3"/>
  <c r="AO704" i="3"/>
  <c r="AO705" i="3"/>
  <c r="AO706" i="3"/>
  <c r="AO707" i="3"/>
  <c r="AO708" i="3"/>
  <c r="AO709" i="3"/>
  <c r="AO710" i="3"/>
  <c r="AO711" i="3"/>
  <c r="AO712" i="3"/>
  <c r="AO713" i="3"/>
  <c r="AO714" i="3"/>
  <c r="AO715" i="3"/>
  <c r="AO716" i="3"/>
  <c r="AO717" i="3"/>
  <c r="AO718" i="3"/>
  <c r="AO719" i="3"/>
  <c r="AO720" i="3"/>
  <c r="AO721" i="3"/>
  <c r="AO722" i="3"/>
  <c r="AO723" i="3"/>
  <c r="AO724" i="3"/>
  <c r="AO725" i="3"/>
  <c r="AO726" i="3"/>
  <c r="AO727" i="3"/>
  <c r="AO728" i="3"/>
  <c r="AO729" i="3"/>
  <c r="AO730" i="3"/>
  <c r="AO731" i="3"/>
  <c r="AO732" i="3"/>
  <c r="AO733" i="3"/>
  <c r="AO734" i="3"/>
  <c r="AO735" i="3"/>
  <c r="AO736" i="3"/>
  <c r="AO737" i="3"/>
  <c r="AO738" i="3"/>
  <c r="AO739" i="3"/>
  <c r="AO740" i="3"/>
  <c r="AO741" i="3"/>
  <c r="AO742" i="3"/>
  <c r="AO743" i="3"/>
  <c r="AO744" i="3"/>
  <c r="AO745" i="3"/>
  <c r="AO746" i="3"/>
  <c r="AO747" i="3"/>
  <c r="AO748" i="3"/>
  <c r="AO749" i="3"/>
  <c r="AO750" i="3"/>
  <c r="AO751" i="3"/>
  <c r="AO752" i="3"/>
  <c r="AO753" i="3"/>
  <c r="AO754" i="3"/>
  <c r="AO755" i="3"/>
  <c r="AO756" i="3"/>
  <c r="AO757" i="3"/>
  <c r="AO758" i="3"/>
  <c r="AO759" i="3"/>
  <c r="AO760" i="3"/>
  <c r="AO761" i="3"/>
  <c r="AO762" i="3"/>
  <c r="AO763" i="3"/>
  <c r="AO764" i="3"/>
  <c r="AO765" i="3"/>
  <c r="AO766" i="3"/>
  <c r="AO767" i="3"/>
  <c r="AO768" i="3"/>
  <c r="AO769" i="3"/>
  <c r="AO770" i="3"/>
  <c r="AO771" i="3"/>
  <c r="AO772" i="3"/>
  <c r="AO773" i="3"/>
  <c r="AO774" i="3"/>
  <c r="AO775" i="3"/>
  <c r="AO776" i="3"/>
  <c r="AO777" i="3"/>
  <c r="AO778" i="3"/>
  <c r="AO779" i="3"/>
  <c r="AO780" i="3"/>
  <c r="AO781" i="3"/>
  <c r="AO782" i="3"/>
  <c r="AO783" i="3"/>
  <c r="AO784" i="3"/>
  <c r="AO785" i="3"/>
  <c r="AO786" i="3"/>
  <c r="AO787" i="3"/>
  <c r="AO788" i="3"/>
  <c r="AO789" i="3"/>
  <c r="AO790" i="3"/>
  <c r="AO791" i="3"/>
  <c r="AO792" i="3"/>
  <c r="AO793" i="3"/>
  <c r="AO794" i="3"/>
  <c r="AO795" i="3"/>
  <c r="AO796" i="3"/>
  <c r="AO797" i="3"/>
  <c r="AO798" i="3"/>
  <c r="AO799" i="3"/>
  <c r="AO800" i="3"/>
  <c r="AO801" i="3"/>
  <c r="AO802" i="3"/>
  <c r="AO803" i="3"/>
  <c r="AO804" i="3"/>
  <c r="AO805" i="3"/>
  <c r="AO806" i="3"/>
  <c r="AO807" i="3"/>
  <c r="AO808" i="3"/>
  <c r="AO809" i="3"/>
  <c r="AO810" i="3"/>
  <c r="AO811" i="3"/>
  <c r="AO812" i="3"/>
  <c r="AO813" i="3"/>
  <c r="AO814" i="3"/>
  <c r="AO815" i="3"/>
  <c r="AO816" i="3"/>
  <c r="AO817" i="3"/>
  <c r="AO818" i="3"/>
  <c r="AO819" i="3"/>
  <c r="AO820" i="3"/>
  <c r="AO821" i="3"/>
  <c r="AO822" i="3"/>
  <c r="AO823" i="3"/>
  <c r="AO824" i="3"/>
  <c r="AO825" i="3"/>
  <c r="AO826" i="3"/>
  <c r="AO827" i="3"/>
  <c r="AO828" i="3"/>
  <c r="AO829" i="3"/>
  <c r="AO830" i="3"/>
  <c r="AO831" i="3"/>
  <c r="AO832" i="3"/>
  <c r="AO833" i="3"/>
  <c r="AO834" i="3"/>
  <c r="AO835" i="3"/>
  <c r="AO836" i="3"/>
  <c r="AO837" i="3"/>
  <c r="AO838" i="3"/>
  <c r="AO839" i="3"/>
  <c r="AO840" i="3"/>
  <c r="AO841" i="3"/>
  <c r="AO842" i="3"/>
  <c r="AO843" i="3"/>
  <c r="AO844" i="3"/>
  <c r="AO845" i="3"/>
  <c r="AO846" i="3"/>
  <c r="AO847" i="3"/>
  <c r="AO848" i="3"/>
  <c r="AO849" i="3"/>
  <c r="AO850" i="3"/>
  <c r="AO851" i="3"/>
  <c r="AO852" i="3"/>
  <c r="AO853" i="3"/>
  <c r="AO854" i="3"/>
  <c r="AO855" i="3"/>
  <c r="AO856" i="3"/>
  <c r="AO857" i="3"/>
  <c r="AO858" i="3"/>
  <c r="AO859" i="3"/>
  <c r="AO860" i="3"/>
  <c r="AO861" i="3"/>
  <c r="AO862" i="3"/>
  <c r="AO863" i="3"/>
  <c r="AO864" i="3"/>
  <c r="AO865" i="3"/>
  <c r="AO866" i="3"/>
  <c r="AO867" i="3"/>
  <c r="AO868" i="3"/>
  <c r="AO869" i="3"/>
  <c r="AO870" i="3"/>
  <c r="AO871" i="3"/>
  <c r="AO872" i="3"/>
  <c r="AO873" i="3"/>
  <c r="AO874" i="3"/>
  <c r="AO875" i="3"/>
  <c r="AO876" i="3"/>
  <c r="AO877" i="3"/>
  <c r="AO878" i="3"/>
  <c r="AO879" i="3"/>
  <c r="AO880" i="3"/>
  <c r="AO881" i="3"/>
  <c r="AO882" i="3"/>
  <c r="AO883" i="3"/>
  <c r="AO884" i="3"/>
  <c r="AO885" i="3"/>
  <c r="AO886" i="3"/>
  <c r="AO887" i="3"/>
  <c r="AO888" i="3"/>
  <c r="AO889" i="3"/>
  <c r="AO890" i="3"/>
  <c r="AO891" i="3"/>
  <c r="AO892" i="3"/>
  <c r="AO893" i="3"/>
  <c r="AO894" i="3"/>
  <c r="AO895" i="3"/>
  <c r="AO896" i="3"/>
  <c r="AO897" i="3"/>
  <c r="AO898" i="3"/>
  <c r="AO899" i="3"/>
  <c r="AO900" i="3"/>
  <c r="AO901" i="3"/>
  <c r="AO902" i="3"/>
  <c r="AO903" i="3"/>
  <c r="AO904" i="3"/>
  <c r="AO905" i="3"/>
  <c r="AO906" i="3"/>
  <c r="AO907" i="3"/>
  <c r="AO908" i="3"/>
  <c r="AO909" i="3"/>
  <c r="AO910" i="3"/>
  <c r="AO911" i="3"/>
  <c r="AO912" i="3"/>
  <c r="AO913" i="3"/>
  <c r="AO914" i="3"/>
  <c r="AO915" i="3"/>
  <c r="AO916" i="3"/>
  <c r="AO917" i="3"/>
  <c r="AO918" i="3"/>
  <c r="AO919" i="3"/>
  <c r="AO920" i="3"/>
  <c r="AO921" i="3"/>
  <c r="AO922" i="3"/>
  <c r="AO923" i="3"/>
  <c r="AO924" i="3"/>
  <c r="AO925" i="3"/>
  <c r="AO926" i="3"/>
  <c r="AO927" i="3"/>
  <c r="AO928" i="3"/>
  <c r="AO929" i="3"/>
  <c r="AO930" i="3"/>
  <c r="AO931" i="3"/>
  <c r="AO932" i="3"/>
  <c r="AO933" i="3"/>
  <c r="AO934" i="3"/>
  <c r="AO935" i="3"/>
  <c r="AO936" i="3"/>
  <c r="AO937" i="3"/>
  <c r="AO938" i="3"/>
  <c r="AO939" i="3"/>
  <c r="AO940" i="3"/>
  <c r="AO941" i="3"/>
  <c r="AO942" i="3"/>
  <c r="AO943" i="3"/>
  <c r="AO944" i="3"/>
  <c r="AO945" i="3"/>
  <c r="AO946" i="3"/>
  <c r="AO947" i="3"/>
  <c r="AO948" i="3"/>
  <c r="AO949" i="3"/>
  <c r="AO950" i="3"/>
  <c r="AO951" i="3"/>
  <c r="AO952" i="3"/>
  <c r="AO953" i="3"/>
  <c r="AO954" i="3"/>
  <c r="AO955" i="3"/>
  <c r="AO956" i="3"/>
  <c r="AO957" i="3"/>
  <c r="AO958" i="3"/>
  <c r="AO959" i="3"/>
  <c r="AO960" i="3"/>
  <c r="AO961" i="3"/>
  <c r="AO962" i="3"/>
  <c r="AO963" i="3"/>
  <c r="AO964" i="3"/>
  <c r="AO965" i="3"/>
  <c r="AO966" i="3"/>
  <c r="AO967" i="3"/>
  <c r="AO968" i="3"/>
  <c r="AO969" i="3"/>
  <c r="AO970" i="3"/>
  <c r="AO971" i="3"/>
  <c r="AO972" i="3"/>
  <c r="AO973" i="3"/>
  <c r="AO974" i="3"/>
  <c r="AO975" i="3"/>
  <c r="AO976" i="3"/>
  <c r="AO977" i="3"/>
  <c r="AO978" i="3"/>
  <c r="AO979" i="3"/>
  <c r="AO980" i="3"/>
  <c r="AO981" i="3"/>
  <c r="AO982" i="3"/>
  <c r="AO983" i="3"/>
  <c r="AO984" i="3"/>
  <c r="AO985" i="3"/>
  <c r="AO986" i="3"/>
  <c r="AO987" i="3"/>
  <c r="AO988" i="3"/>
  <c r="AO989" i="3"/>
  <c r="AO990" i="3"/>
  <c r="AO991" i="3"/>
  <c r="AO992" i="3"/>
  <c r="AO993" i="3"/>
  <c r="AO994" i="3"/>
  <c r="AO995" i="3"/>
  <c r="AO996" i="3"/>
  <c r="AO997" i="3"/>
  <c r="AO998" i="3"/>
  <c r="AO999" i="3"/>
  <c r="AO1000" i="3"/>
  <c r="AO1001" i="3"/>
  <c r="AN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M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M479" i="3"/>
  <c r="AM480" i="3"/>
  <c r="AM481" i="3"/>
  <c r="AM482" i="3"/>
  <c r="AM483" i="3"/>
  <c r="AM484" i="3"/>
  <c r="AM485" i="3"/>
  <c r="AM486" i="3"/>
  <c r="AM487" i="3"/>
  <c r="AM488" i="3"/>
  <c r="AM489" i="3"/>
  <c r="AM490" i="3"/>
  <c r="AM491" i="3"/>
  <c r="AM492" i="3"/>
  <c r="AM493" i="3"/>
  <c r="AM494" i="3"/>
  <c r="AM495" i="3"/>
  <c r="AM496" i="3"/>
  <c r="AM497" i="3"/>
  <c r="AM498" i="3"/>
  <c r="AM499" i="3"/>
  <c r="AM500" i="3"/>
  <c r="AM501" i="3"/>
  <c r="AM502" i="3"/>
  <c r="AM503" i="3"/>
  <c r="AM504" i="3"/>
  <c r="AM505" i="3"/>
  <c r="AM506" i="3"/>
  <c r="AM507" i="3"/>
  <c r="AM508" i="3"/>
  <c r="AM509" i="3"/>
  <c r="AM510" i="3"/>
  <c r="AM511" i="3"/>
  <c r="AM512" i="3"/>
  <c r="AM513" i="3"/>
  <c r="AM514" i="3"/>
  <c r="AM515" i="3"/>
  <c r="AM516" i="3"/>
  <c r="AM517" i="3"/>
  <c r="AM518" i="3"/>
  <c r="AM519" i="3"/>
  <c r="AM520" i="3"/>
  <c r="AM521" i="3"/>
  <c r="AM522" i="3"/>
  <c r="AM523" i="3"/>
  <c r="AM524" i="3"/>
  <c r="AM525" i="3"/>
  <c r="AM526" i="3"/>
  <c r="AM527" i="3"/>
  <c r="AM528" i="3"/>
  <c r="AM529" i="3"/>
  <c r="AM530" i="3"/>
  <c r="AM531" i="3"/>
  <c r="AM532" i="3"/>
  <c r="AM533" i="3"/>
  <c r="AM534" i="3"/>
  <c r="AM535" i="3"/>
  <c r="AM536" i="3"/>
  <c r="AM537" i="3"/>
  <c r="AM538" i="3"/>
  <c r="AM539" i="3"/>
  <c r="AM540" i="3"/>
  <c r="AM541" i="3"/>
  <c r="AM542" i="3"/>
  <c r="AM543" i="3"/>
  <c r="AM544" i="3"/>
  <c r="AM545" i="3"/>
  <c r="AM546" i="3"/>
  <c r="AM547" i="3"/>
  <c r="AM548" i="3"/>
  <c r="AM549" i="3"/>
  <c r="AM550" i="3"/>
  <c r="AM551" i="3"/>
  <c r="AM552" i="3"/>
  <c r="AM553" i="3"/>
  <c r="AM554" i="3"/>
  <c r="AM555" i="3"/>
  <c r="AM556" i="3"/>
  <c r="AM557" i="3"/>
  <c r="AM558" i="3"/>
  <c r="AM559" i="3"/>
  <c r="AM560" i="3"/>
  <c r="AM561" i="3"/>
  <c r="AM562" i="3"/>
  <c r="AM563" i="3"/>
  <c r="AM564" i="3"/>
  <c r="AM565" i="3"/>
  <c r="AM566" i="3"/>
  <c r="AM567" i="3"/>
  <c r="AM568" i="3"/>
  <c r="AM569" i="3"/>
  <c r="AM570" i="3"/>
  <c r="AM571" i="3"/>
  <c r="AM572" i="3"/>
  <c r="AM573" i="3"/>
  <c r="AM574" i="3"/>
  <c r="AM575" i="3"/>
  <c r="AM576" i="3"/>
  <c r="AM577" i="3"/>
  <c r="AM578" i="3"/>
  <c r="AM579" i="3"/>
  <c r="AM580" i="3"/>
  <c r="AM581" i="3"/>
  <c r="AM582" i="3"/>
  <c r="AM583" i="3"/>
  <c r="AM584" i="3"/>
  <c r="AM585" i="3"/>
  <c r="AM586" i="3"/>
  <c r="AM587" i="3"/>
  <c r="AM588" i="3"/>
  <c r="AM589" i="3"/>
  <c r="AM590" i="3"/>
  <c r="AM591" i="3"/>
  <c r="AM592" i="3"/>
  <c r="AM593" i="3"/>
  <c r="AM594" i="3"/>
  <c r="AM595" i="3"/>
  <c r="AM596" i="3"/>
  <c r="AM597" i="3"/>
  <c r="AM598" i="3"/>
  <c r="AM599" i="3"/>
  <c r="AM600" i="3"/>
  <c r="AM601" i="3"/>
  <c r="AM602" i="3"/>
  <c r="AM603" i="3"/>
  <c r="AM604" i="3"/>
  <c r="AM605" i="3"/>
  <c r="AM606" i="3"/>
  <c r="AM607" i="3"/>
  <c r="AM608" i="3"/>
  <c r="AM609" i="3"/>
  <c r="AM610" i="3"/>
  <c r="AM611" i="3"/>
  <c r="AM612" i="3"/>
  <c r="AM613" i="3"/>
  <c r="AM614" i="3"/>
  <c r="AM615" i="3"/>
  <c r="AM616" i="3"/>
  <c r="AM617" i="3"/>
  <c r="AM618" i="3"/>
  <c r="AM619" i="3"/>
  <c r="AM620" i="3"/>
  <c r="AM621" i="3"/>
  <c r="AM622" i="3"/>
  <c r="AM623" i="3"/>
  <c r="AM624" i="3"/>
  <c r="AM625" i="3"/>
  <c r="AM626" i="3"/>
  <c r="AM627" i="3"/>
  <c r="AM628" i="3"/>
  <c r="AM629" i="3"/>
  <c r="AM630" i="3"/>
  <c r="AM631" i="3"/>
  <c r="AM632" i="3"/>
  <c r="AM633" i="3"/>
  <c r="AM634" i="3"/>
  <c r="AM635" i="3"/>
  <c r="AM636" i="3"/>
  <c r="AM637" i="3"/>
  <c r="AM638" i="3"/>
  <c r="AM639" i="3"/>
  <c r="AM640" i="3"/>
  <c r="AM641" i="3"/>
  <c r="AM642" i="3"/>
  <c r="AM643" i="3"/>
  <c r="AM644" i="3"/>
  <c r="AM645" i="3"/>
  <c r="AM646" i="3"/>
  <c r="AM647" i="3"/>
  <c r="AM648" i="3"/>
  <c r="AM649" i="3"/>
  <c r="AM650" i="3"/>
  <c r="AM651" i="3"/>
  <c r="AM652" i="3"/>
  <c r="AM653" i="3"/>
  <c r="AM654" i="3"/>
  <c r="AM655" i="3"/>
  <c r="AM656" i="3"/>
  <c r="AM657" i="3"/>
  <c r="AM658" i="3"/>
  <c r="AM659" i="3"/>
  <c r="AM660" i="3"/>
  <c r="AM661" i="3"/>
  <c r="AM662" i="3"/>
  <c r="AM663" i="3"/>
  <c r="AM664" i="3"/>
  <c r="AM665" i="3"/>
  <c r="AM666" i="3"/>
  <c r="AM667" i="3"/>
  <c r="AM668" i="3"/>
  <c r="AM669" i="3"/>
  <c r="AM670" i="3"/>
  <c r="AM671" i="3"/>
  <c r="AM672" i="3"/>
  <c r="AM673" i="3"/>
  <c r="AM674" i="3"/>
  <c r="AM675" i="3"/>
  <c r="AM676" i="3"/>
  <c r="AM677" i="3"/>
  <c r="AM678" i="3"/>
  <c r="AM679" i="3"/>
  <c r="AM680" i="3"/>
  <c r="AM681" i="3"/>
  <c r="AM682" i="3"/>
  <c r="AM683" i="3"/>
  <c r="AM684" i="3"/>
  <c r="AM685" i="3"/>
  <c r="AM686" i="3"/>
  <c r="AM687" i="3"/>
  <c r="AM688" i="3"/>
  <c r="AM689" i="3"/>
  <c r="AM690" i="3"/>
  <c r="AM691" i="3"/>
  <c r="AM692" i="3"/>
  <c r="AM693" i="3"/>
  <c r="AM694" i="3"/>
  <c r="AM695" i="3"/>
  <c r="AM696" i="3"/>
  <c r="AM697" i="3"/>
  <c r="AM698" i="3"/>
  <c r="AM699" i="3"/>
  <c r="AM700" i="3"/>
  <c r="AM701" i="3"/>
  <c r="AM702" i="3"/>
  <c r="AM703" i="3"/>
  <c r="AM704" i="3"/>
  <c r="AM705" i="3"/>
  <c r="AM706" i="3"/>
  <c r="AM707" i="3"/>
  <c r="AM708" i="3"/>
  <c r="AM709" i="3"/>
  <c r="AM710" i="3"/>
  <c r="AM711" i="3"/>
  <c r="AM712" i="3"/>
  <c r="AM713" i="3"/>
  <c r="AM714" i="3"/>
  <c r="AM715" i="3"/>
  <c r="AM716" i="3"/>
  <c r="AM717" i="3"/>
  <c r="AM718" i="3"/>
  <c r="AM719" i="3"/>
  <c r="AM720" i="3"/>
  <c r="AM721" i="3"/>
  <c r="AM722" i="3"/>
  <c r="AM723" i="3"/>
  <c r="AM724" i="3"/>
  <c r="AM725" i="3"/>
  <c r="AM726" i="3"/>
  <c r="AM727" i="3"/>
  <c r="AM728" i="3"/>
  <c r="AM729" i="3"/>
  <c r="AM730" i="3"/>
  <c r="AM731" i="3"/>
  <c r="AM732" i="3"/>
  <c r="AM733" i="3"/>
  <c r="AM734" i="3"/>
  <c r="AM735" i="3"/>
  <c r="AM736" i="3"/>
  <c r="AM737" i="3"/>
  <c r="AM738" i="3"/>
  <c r="AM739" i="3"/>
  <c r="AM740" i="3"/>
  <c r="AM741" i="3"/>
  <c r="AM742" i="3"/>
  <c r="AM743" i="3"/>
  <c r="AM744" i="3"/>
  <c r="AM745" i="3"/>
  <c r="AM746" i="3"/>
  <c r="AM747" i="3"/>
  <c r="AM748" i="3"/>
  <c r="AM749" i="3"/>
  <c r="AM750" i="3"/>
  <c r="AM751" i="3"/>
  <c r="AM752" i="3"/>
  <c r="AM753" i="3"/>
  <c r="AM754" i="3"/>
  <c r="AM755" i="3"/>
  <c r="AM756" i="3"/>
  <c r="AM757" i="3"/>
  <c r="AM758" i="3"/>
  <c r="AM759" i="3"/>
  <c r="AM760" i="3"/>
  <c r="AM761" i="3"/>
  <c r="AM762" i="3"/>
  <c r="AM763" i="3"/>
  <c r="AM764" i="3"/>
  <c r="AM765" i="3"/>
  <c r="AM766" i="3"/>
  <c r="AM767" i="3"/>
  <c r="AM768" i="3"/>
  <c r="AM769" i="3"/>
  <c r="AM770" i="3"/>
  <c r="AM771" i="3"/>
  <c r="AM772" i="3"/>
  <c r="AM773" i="3"/>
  <c r="AM774" i="3"/>
  <c r="AM775" i="3"/>
  <c r="AM776" i="3"/>
  <c r="AM777" i="3"/>
  <c r="AM778" i="3"/>
  <c r="AM779" i="3"/>
  <c r="AM780" i="3"/>
  <c r="AM781" i="3"/>
  <c r="AM782" i="3"/>
  <c r="AM783" i="3"/>
  <c r="AM784" i="3"/>
  <c r="AM785" i="3"/>
  <c r="AM786" i="3"/>
  <c r="AM787" i="3"/>
  <c r="AM788" i="3"/>
  <c r="AM789" i="3"/>
  <c r="AM790" i="3"/>
  <c r="AM791" i="3"/>
  <c r="AM792" i="3"/>
  <c r="AM793" i="3"/>
  <c r="AM794" i="3"/>
  <c r="AM795" i="3"/>
  <c r="AM796" i="3"/>
  <c r="AM797" i="3"/>
  <c r="AM798" i="3"/>
  <c r="AM799" i="3"/>
  <c r="AM800" i="3"/>
  <c r="AM801" i="3"/>
  <c r="AM802" i="3"/>
  <c r="AM803" i="3"/>
  <c r="AM804" i="3"/>
  <c r="AM805" i="3"/>
  <c r="AM806" i="3"/>
  <c r="AM807" i="3"/>
  <c r="AM808" i="3"/>
  <c r="AM809" i="3"/>
  <c r="AM810" i="3"/>
  <c r="AM811" i="3"/>
  <c r="AM812" i="3"/>
  <c r="AM813" i="3"/>
  <c r="AM814" i="3"/>
  <c r="AM815" i="3"/>
  <c r="AM816" i="3"/>
  <c r="AM817" i="3"/>
  <c r="AM818" i="3"/>
  <c r="AM819" i="3"/>
  <c r="AM820" i="3"/>
  <c r="AM821" i="3"/>
  <c r="AM822" i="3"/>
  <c r="AM823" i="3"/>
  <c r="AM824" i="3"/>
  <c r="AM825" i="3"/>
  <c r="AM826" i="3"/>
  <c r="AM827" i="3"/>
  <c r="AM828" i="3"/>
  <c r="AM829" i="3"/>
  <c r="AM830" i="3"/>
  <c r="AM831" i="3"/>
  <c r="AM832" i="3"/>
  <c r="AM833" i="3"/>
  <c r="AM834" i="3"/>
  <c r="AM835" i="3"/>
  <c r="AM836" i="3"/>
  <c r="AM837" i="3"/>
  <c r="AM838" i="3"/>
  <c r="AM839" i="3"/>
  <c r="AM840" i="3"/>
  <c r="AM841" i="3"/>
  <c r="AM842" i="3"/>
  <c r="AM843" i="3"/>
  <c r="AM844" i="3"/>
  <c r="AM845" i="3"/>
  <c r="AM846" i="3"/>
  <c r="AM847" i="3"/>
  <c r="AM848" i="3"/>
  <c r="AM849" i="3"/>
  <c r="AM850" i="3"/>
  <c r="AM851" i="3"/>
  <c r="AM852" i="3"/>
  <c r="AM853" i="3"/>
  <c r="AM854" i="3"/>
  <c r="AM855" i="3"/>
  <c r="AM856" i="3"/>
  <c r="AM857" i="3"/>
  <c r="AM858" i="3"/>
  <c r="AM859" i="3"/>
  <c r="AM860" i="3"/>
  <c r="AM861" i="3"/>
  <c r="AM862" i="3"/>
  <c r="AM863" i="3"/>
  <c r="AM864" i="3"/>
  <c r="AM865" i="3"/>
  <c r="AM866" i="3"/>
  <c r="AM867" i="3"/>
  <c r="AM868" i="3"/>
  <c r="AM869" i="3"/>
  <c r="AM870" i="3"/>
  <c r="AM871" i="3"/>
  <c r="AM872" i="3"/>
  <c r="AM873" i="3"/>
  <c r="AM874" i="3"/>
  <c r="AM875" i="3"/>
  <c r="AM876" i="3"/>
  <c r="AM877" i="3"/>
  <c r="AM878" i="3"/>
  <c r="AM879" i="3"/>
  <c r="AM880" i="3"/>
  <c r="AM881" i="3"/>
  <c r="AM882" i="3"/>
  <c r="AM883" i="3"/>
  <c r="AM884" i="3"/>
  <c r="AM885" i="3"/>
  <c r="AM886" i="3"/>
  <c r="AM887" i="3"/>
  <c r="AM888" i="3"/>
  <c r="AM889" i="3"/>
  <c r="AM890" i="3"/>
  <c r="AM891" i="3"/>
  <c r="AM892" i="3"/>
  <c r="AM893" i="3"/>
  <c r="AM894" i="3"/>
  <c r="AM895" i="3"/>
  <c r="AM896" i="3"/>
  <c r="AM897" i="3"/>
  <c r="AM898" i="3"/>
  <c r="AM899" i="3"/>
  <c r="AM900" i="3"/>
  <c r="AM901" i="3"/>
  <c r="AM902" i="3"/>
  <c r="AM903" i="3"/>
  <c r="AM904" i="3"/>
  <c r="AM905" i="3"/>
  <c r="AM906" i="3"/>
  <c r="AM907" i="3"/>
  <c r="AM908" i="3"/>
  <c r="AM909" i="3"/>
  <c r="AM910" i="3"/>
  <c r="AM911" i="3"/>
  <c r="AM912" i="3"/>
  <c r="AM913" i="3"/>
  <c r="AM914" i="3"/>
  <c r="AM915" i="3"/>
  <c r="AM916" i="3"/>
  <c r="AM917" i="3"/>
  <c r="AM918" i="3"/>
  <c r="AM919" i="3"/>
  <c r="AM920" i="3"/>
  <c r="AM921" i="3"/>
  <c r="AM922" i="3"/>
  <c r="AM923" i="3"/>
  <c r="AM924" i="3"/>
  <c r="AM925" i="3"/>
  <c r="AM926" i="3"/>
  <c r="AM927" i="3"/>
  <c r="AM928" i="3"/>
  <c r="AM929" i="3"/>
  <c r="AM930" i="3"/>
  <c r="AM931" i="3"/>
  <c r="AM932" i="3"/>
  <c r="AM933" i="3"/>
  <c r="AM934" i="3"/>
  <c r="AM935" i="3"/>
  <c r="AM936" i="3"/>
  <c r="AM937" i="3"/>
  <c r="AM938" i="3"/>
  <c r="AM939" i="3"/>
  <c r="AM940" i="3"/>
  <c r="AM941" i="3"/>
  <c r="AM942" i="3"/>
  <c r="AM943" i="3"/>
  <c r="AM944" i="3"/>
  <c r="AM945" i="3"/>
  <c r="AM946" i="3"/>
  <c r="AM947" i="3"/>
  <c r="AM948" i="3"/>
  <c r="AM949" i="3"/>
  <c r="AM950" i="3"/>
  <c r="AM951" i="3"/>
  <c r="AM952" i="3"/>
  <c r="AM953" i="3"/>
  <c r="AM954" i="3"/>
  <c r="AM955" i="3"/>
  <c r="AM956" i="3"/>
  <c r="AM957" i="3"/>
  <c r="AM958" i="3"/>
  <c r="AM959" i="3"/>
  <c r="AM960" i="3"/>
  <c r="AM961" i="3"/>
  <c r="AM962" i="3"/>
  <c r="AM963" i="3"/>
  <c r="AM964" i="3"/>
  <c r="AM965" i="3"/>
  <c r="AM966" i="3"/>
  <c r="AM967" i="3"/>
  <c r="AM968" i="3"/>
  <c r="AM969" i="3"/>
  <c r="AM970" i="3"/>
  <c r="AM971" i="3"/>
  <c r="AM972" i="3"/>
  <c r="AM973" i="3"/>
  <c r="AM974" i="3"/>
  <c r="AM975" i="3"/>
  <c r="AM976" i="3"/>
  <c r="AM977" i="3"/>
  <c r="AM978" i="3"/>
  <c r="AM979" i="3"/>
  <c r="AM980" i="3"/>
  <c r="AM981" i="3"/>
  <c r="AM982" i="3"/>
  <c r="AM983" i="3"/>
  <c r="AM984" i="3"/>
  <c r="AM985" i="3"/>
  <c r="AM986" i="3"/>
  <c r="AM987" i="3"/>
  <c r="AM988" i="3"/>
  <c r="AM989" i="3"/>
  <c r="AM990" i="3"/>
  <c r="AM991" i="3"/>
  <c r="AM992" i="3"/>
  <c r="AM993" i="3"/>
  <c r="AM994" i="3"/>
  <c r="AM995" i="3"/>
  <c r="AM996" i="3"/>
  <c r="AM997" i="3"/>
  <c r="AM998" i="3"/>
  <c r="AM999" i="3"/>
  <c r="AM1000" i="3"/>
  <c r="AM1001"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796" i="3"/>
  <c r="AL797" i="3"/>
  <c r="AL798" i="3"/>
  <c r="AL799" i="3"/>
  <c r="AL800" i="3"/>
  <c r="AL801" i="3"/>
  <c r="AL802" i="3"/>
  <c r="AL803" i="3"/>
  <c r="AL804" i="3"/>
  <c r="AL805" i="3"/>
  <c r="AL806" i="3"/>
  <c r="AL807" i="3"/>
  <c r="AL808" i="3"/>
  <c r="AL809" i="3"/>
  <c r="AL810" i="3"/>
  <c r="AL811" i="3"/>
  <c r="AL812" i="3"/>
  <c r="AL813" i="3"/>
  <c r="AL814" i="3"/>
  <c r="AL815" i="3"/>
  <c r="AL816"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879" i="3"/>
  <c r="AL880" i="3"/>
  <c r="AL881" i="3"/>
  <c r="AL882" i="3"/>
  <c r="AL883" i="3"/>
  <c r="AL884" i="3"/>
  <c r="AL885" i="3"/>
  <c r="AL886" i="3"/>
  <c r="AL887" i="3"/>
  <c r="AL888" i="3"/>
  <c r="AL889" i="3"/>
  <c r="AL890" i="3"/>
  <c r="AL891" i="3"/>
  <c r="AL892" i="3"/>
  <c r="AL893" i="3"/>
  <c r="AL894" i="3"/>
  <c r="AL895" i="3"/>
  <c r="AL896" i="3"/>
  <c r="AL897" i="3"/>
  <c r="AL898" i="3"/>
  <c r="AL899" i="3"/>
  <c r="AL900" i="3"/>
  <c r="AL901" i="3"/>
  <c r="AL902" i="3"/>
  <c r="AL903" i="3"/>
  <c r="AL904" i="3"/>
  <c r="AL905" i="3"/>
  <c r="AL906" i="3"/>
  <c r="AL907" i="3"/>
  <c r="AL908" i="3"/>
  <c r="AL909" i="3"/>
  <c r="AL910" i="3"/>
  <c r="AL911" i="3"/>
  <c r="AL912" i="3"/>
  <c r="AL913" i="3"/>
  <c r="AL914" i="3"/>
  <c r="AL915" i="3"/>
  <c r="AL916" i="3"/>
  <c r="AL917" i="3"/>
  <c r="AL918" i="3"/>
  <c r="AL919" i="3"/>
  <c r="AL920" i="3"/>
  <c r="AL921" i="3"/>
  <c r="AL922" i="3"/>
  <c r="AL923" i="3"/>
  <c r="AL924" i="3"/>
  <c r="AL925" i="3"/>
  <c r="AL926" i="3"/>
  <c r="AL927" i="3"/>
  <c r="AL928" i="3"/>
  <c r="AL929" i="3"/>
  <c r="AL930" i="3"/>
  <c r="AL931" i="3"/>
  <c r="AL932" i="3"/>
  <c r="AL933" i="3"/>
  <c r="AL934" i="3"/>
  <c r="AL935" i="3"/>
  <c r="AL936" i="3"/>
  <c r="AL937" i="3"/>
  <c r="AL938" i="3"/>
  <c r="AL939" i="3"/>
  <c r="AL940" i="3"/>
  <c r="AL941" i="3"/>
  <c r="AL942" i="3"/>
  <c r="AL943" i="3"/>
  <c r="AL944" i="3"/>
  <c r="AL945" i="3"/>
  <c r="AL946" i="3"/>
  <c r="AL947" i="3"/>
  <c r="AL948" i="3"/>
  <c r="AL949" i="3"/>
  <c r="AL950" i="3"/>
  <c r="AL951" i="3"/>
  <c r="AL952" i="3"/>
  <c r="AL953" i="3"/>
  <c r="AL954" i="3"/>
  <c r="AL955" i="3"/>
  <c r="AL956" i="3"/>
  <c r="AL957" i="3"/>
  <c r="AL958" i="3"/>
  <c r="AL959" i="3"/>
  <c r="AL960" i="3"/>
  <c r="AL961" i="3"/>
  <c r="AL962" i="3"/>
  <c r="AL963" i="3"/>
  <c r="AL964" i="3"/>
  <c r="AL965" i="3"/>
  <c r="AL966" i="3"/>
  <c r="AL967" i="3"/>
  <c r="AL968" i="3"/>
  <c r="AL969" i="3"/>
  <c r="AL970" i="3"/>
  <c r="AL971" i="3"/>
  <c r="AL972" i="3"/>
  <c r="AL973" i="3"/>
  <c r="AL974" i="3"/>
  <c r="AL975" i="3"/>
  <c r="AL976" i="3"/>
  <c r="AL977" i="3"/>
  <c r="AL978" i="3"/>
  <c r="AL979" i="3"/>
  <c r="AL980" i="3"/>
  <c r="AL981" i="3"/>
  <c r="AL982" i="3"/>
  <c r="AL983" i="3"/>
  <c r="AL984" i="3"/>
  <c r="AL985" i="3"/>
  <c r="AL986" i="3"/>
  <c r="AL987" i="3"/>
  <c r="AL988" i="3"/>
  <c r="AL989" i="3"/>
  <c r="AL990" i="3"/>
  <c r="AL991" i="3"/>
  <c r="AL992" i="3"/>
  <c r="AL993" i="3"/>
  <c r="AL994" i="3"/>
  <c r="AL995" i="3"/>
  <c r="AL996" i="3"/>
  <c r="AL997" i="3"/>
  <c r="AL998" i="3"/>
  <c r="AL999" i="3"/>
  <c r="AL1000" i="3"/>
  <c r="AL1001"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K551" i="3"/>
  <c r="AK552" i="3"/>
  <c r="AK553" i="3"/>
  <c r="AK554" i="3"/>
  <c r="AK555" i="3"/>
  <c r="AK556" i="3"/>
  <c r="AK557" i="3"/>
  <c r="AK558" i="3"/>
  <c r="AK559" i="3"/>
  <c r="AK560" i="3"/>
  <c r="AK561" i="3"/>
  <c r="AK562" i="3"/>
  <c r="AK563" i="3"/>
  <c r="AK564" i="3"/>
  <c r="AK565" i="3"/>
  <c r="AK566" i="3"/>
  <c r="AK567" i="3"/>
  <c r="AK568" i="3"/>
  <c r="AK569" i="3"/>
  <c r="AK570" i="3"/>
  <c r="AK571" i="3"/>
  <c r="AK572" i="3"/>
  <c r="AK573" i="3"/>
  <c r="AK574" i="3"/>
  <c r="AK575" i="3"/>
  <c r="AK576" i="3"/>
  <c r="AK577" i="3"/>
  <c r="AK578" i="3"/>
  <c r="AK579" i="3"/>
  <c r="AK580" i="3"/>
  <c r="AK581" i="3"/>
  <c r="AK582" i="3"/>
  <c r="AK583" i="3"/>
  <c r="AK584" i="3"/>
  <c r="AK585" i="3"/>
  <c r="AK586" i="3"/>
  <c r="AK587" i="3"/>
  <c r="AK588" i="3"/>
  <c r="AK589" i="3"/>
  <c r="AK590" i="3"/>
  <c r="AK591" i="3"/>
  <c r="AK592" i="3"/>
  <c r="AK593" i="3"/>
  <c r="AK594" i="3"/>
  <c r="AK595" i="3"/>
  <c r="AK596" i="3"/>
  <c r="AK597" i="3"/>
  <c r="AK598" i="3"/>
  <c r="AK599" i="3"/>
  <c r="AK600" i="3"/>
  <c r="AK601" i="3"/>
  <c r="AK602" i="3"/>
  <c r="AK603" i="3"/>
  <c r="AK604" i="3"/>
  <c r="AK605" i="3"/>
  <c r="AK606" i="3"/>
  <c r="AK607" i="3"/>
  <c r="AK608" i="3"/>
  <c r="AK609" i="3"/>
  <c r="AK610" i="3"/>
  <c r="AK611" i="3"/>
  <c r="AK612" i="3"/>
  <c r="AK613" i="3"/>
  <c r="AK614" i="3"/>
  <c r="AK615" i="3"/>
  <c r="AK616" i="3"/>
  <c r="AK617" i="3"/>
  <c r="AK618" i="3"/>
  <c r="AK619" i="3"/>
  <c r="AK620" i="3"/>
  <c r="AK621" i="3"/>
  <c r="AK622" i="3"/>
  <c r="AK623" i="3"/>
  <c r="AK624" i="3"/>
  <c r="AK625" i="3"/>
  <c r="AK626" i="3"/>
  <c r="AK627" i="3"/>
  <c r="AK628" i="3"/>
  <c r="AK629" i="3"/>
  <c r="AK630" i="3"/>
  <c r="AK631" i="3"/>
  <c r="AK632" i="3"/>
  <c r="AK633" i="3"/>
  <c r="AK634" i="3"/>
  <c r="AK635" i="3"/>
  <c r="AK636" i="3"/>
  <c r="AK637" i="3"/>
  <c r="AK638" i="3"/>
  <c r="AK639" i="3"/>
  <c r="AK640" i="3"/>
  <c r="AK641" i="3"/>
  <c r="AK642" i="3"/>
  <c r="AK643" i="3"/>
  <c r="AK644" i="3"/>
  <c r="AK645" i="3"/>
  <c r="AK646" i="3"/>
  <c r="AK647" i="3"/>
  <c r="AK648" i="3"/>
  <c r="AK649" i="3"/>
  <c r="AK650" i="3"/>
  <c r="AK651" i="3"/>
  <c r="AK652" i="3"/>
  <c r="AK653" i="3"/>
  <c r="AK654" i="3"/>
  <c r="AK655" i="3"/>
  <c r="AK656" i="3"/>
  <c r="AK657" i="3"/>
  <c r="AK658" i="3"/>
  <c r="AK659" i="3"/>
  <c r="AK660" i="3"/>
  <c r="AK661" i="3"/>
  <c r="AK662" i="3"/>
  <c r="AK663" i="3"/>
  <c r="AK664" i="3"/>
  <c r="AK665" i="3"/>
  <c r="AK666" i="3"/>
  <c r="AK667" i="3"/>
  <c r="AK668" i="3"/>
  <c r="AK669" i="3"/>
  <c r="AK670" i="3"/>
  <c r="AK671" i="3"/>
  <c r="AK672" i="3"/>
  <c r="AK673" i="3"/>
  <c r="AK674" i="3"/>
  <c r="AK675" i="3"/>
  <c r="AK676" i="3"/>
  <c r="AK677" i="3"/>
  <c r="AK678" i="3"/>
  <c r="AK679" i="3"/>
  <c r="AK680" i="3"/>
  <c r="AK681" i="3"/>
  <c r="AK682" i="3"/>
  <c r="AK683" i="3"/>
  <c r="AK684" i="3"/>
  <c r="AK685" i="3"/>
  <c r="AK686" i="3"/>
  <c r="AK687" i="3"/>
  <c r="AK688" i="3"/>
  <c r="AK689" i="3"/>
  <c r="AK690" i="3"/>
  <c r="AK691" i="3"/>
  <c r="AK692" i="3"/>
  <c r="AK693" i="3"/>
  <c r="AK694" i="3"/>
  <c r="AK695" i="3"/>
  <c r="AK696" i="3"/>
  <c r="AK697" i="3"/>
  <c r="AK698" i="3"/>
  <c r="AK699" i="3"/>
  <c r="AK700" i="3"/>
  <c r="AK701" i="3"/>
  <c r="AK702" i="3"/>
  <c r="AK703" i="3"/>
  <c r="AK704" i="3"/>
  <c r="AK705" i="3"/>
  <c r="AK706" i="3"/>
  <c r="AK707" i="3"/>
  <c r="AK708" i="3"/>
  <c r="AK709" i="3"/>
  <c r="AK710" i="3"/>
  <c r="AK711" i="3"/>
  <c r="AK712" i="3"/>
  <c r="AK713" i="3"/>
  <c r="AK714" i="3"/>
  <c r="AK715" i="3"/>
  <c r="AK716" i="3"/>
  <c r="AK717" i="3"/>
  <c r="AK718" i="3"/>
  <c r="AK719" i="3"/>
  <c r="AK720" i="3"/>
  <c r="AK721" i="3"/>
  <c r="AK722" i="3"/>
  <c r="AK723" i="3"/>
  <c r="AK724" i="3"/>
  <c r="AK725" i="3"/>
  <c r="AK726" i="3"/>
  <c r="AK727" i="3"/>
  <c r="AK728" i="3"/>
  <c r="AK729" i="3"/>
  <c r="AK730" i="3"/>
  <c r="AK731" i="3"/>
  <c r="AK732" i="3"/>
  <c r="AK733" i="3"/>
  <c r="AK734" i="3"/>
  <c r="AK735" i="3"/>
  <c r="AK736" i="3"/>
  <c r="AK737" i="3"/>
  <c r="AK738" i="3"/>
  <c r="AK739" i="3"/>
  <c r="AK740" i="3"/>
  <c r="AK741" i="3"/>
  <c r="AK742" i="3"/>
  <c r="AK743" i="3"/>
  <c r="AK744" i="3"/>
  <c r="AK745" i="3"/>
  <c r="AK746" i="3"/>
  <c r="AK747" i="3"/>
  <c r="AK748" i="3"/>
  <c r="AK749" i="3"/>
  <c r="AK750" i="3"/>
  <c r="AK751" i="3"/>
  <c r="AK752" i="3"/>
  <c r="AK753" i="3"/>
  <c r="AK754" i="3"/>
  <c r="AK755" i="3"/>
  <c r="AK756" i="3"/>
  <c r="AK757" i="3"/>
  <c r="AK758" i="3"/>
  <c r="AK759" i="3"/>
  <c r="AK760" i="3"/>
  <c r="AK761" i="3"/>
  <c r="AK762" i="3"/>
  <c r="AK763" i="3"/>
  <c r="AK764" i="3"/>
  <c r="AK765" i="3"/>
  <c r="AK766" i="3"/>
  <c r="AK767" i="3"/>
  <c r="AK768" i="3"/>
  <c r="AK769" i="3"/>
  <c r="AK770" i="3"/>
  <c r="AK771" i="3"/>
  <c r="AK772" i="3"/>
  <c r="AK773" i="3"/>
  <c r="AK774" i="3"/>
  <c r="AK775" i="3"/>
  <c r="AK776" i="3"/>
  <c r="AK777" i="3"/>
  <c r="AK778" i="3"/>
  <c r="AK779" i="3"/>
  <c r="AK780" i="3"/>
  <c r="AK781" i="3"/>
  <c r="AK782" i="3"/>
  <c r="AK783" i="3"/>
  <c r="AK784" i="3"/>
  <c r="AK785" i="3"/>
  <c r="AK786" i="3"/>
  <c r="AK787" i="3"/>
  <c r="AK788" i="3"/>
  <c r="AK789" i="3"/>
  <c r="AK790" i="3"/>
  <c r="AK791" i="3"/>
  <c r="AK792" i="3"/>
  <c r="AK793" i="3"/>
  <c r="AK794" i="3"/>
  <c r="AK795" i="3"/>
  <c r="AK796" i="3"/>
  <c r="AK797" i="3"/>
  <c r="AK798" i="3"/>
  <c r="AK799" i="3"/>
  <c r="AK800" i="3"/>
  <c r="AK801" i="3"/>
  <c r="AK802" i="3"/>
  <c r="AK803" i="3"/>
  <c r="AK804" i="3"/>
  <c r="AK805" i="3"/>
  <c r="AK806" i="3"/>
  <c r="AK807" i="3"/>
  <c r="AK808" i="3"/>
  <c r="AK809" i="3"/>
  <c r="AK810" i="3"/>
  <c r="AK811" i="3"/>
  <c r="AK812" i="3"/>
  <c r="AK813" i="3"/>
  <c r="AK814" i="3"/>
  <c r="AK815" i="3"/>
  <c r="AK816" i="3"/>
  <c r="AK817" i="3"/>
  <c r="AK818" i="3"/>
  <c r="AK819" i="3"/>
  <c r="AK820" i="3"/>
  <c r="AK821" i="3"/>
  <c r="AK822" i="3"/>
  <c r="AK823" i="3"/>
  <c r="AK824" i="3"/>
  <c r="AK825" i="3"/>
  <c r="AK826" i="3"/>
  <c r="AK827" i="3"/>
  <c r="AK828" i="3"/>
  <c r="AK829" i="3"/>
  <c r="AK830" i="3"/>
  <c r="AK831" i="3"/>
  <c r="AK832" i="3"/>
  <c r="AK833" i="3"/>
  <c r="AK834" i="3"/>
  <c r="AK835" i="3"/>
  <c r="AK836" i="3"/>
  <c r="AK837" i="3"/>
  <c r="AK838" i="3"/>
  <c r="AK839" i="3"/>
  <c r="AK840" i="3"/>
  <c r="AK841" i="3"/>
  <c r="AK842" i="3"/>
  <c r="AK843" i="3"/>
  <c r="AK844" i="3"/>
  <c r="AK845" i="3"/>
  <c r="AK846" i="3"/>
  <c r="AK847" i="3"/>
  <c r="AK848" i="3"/>
  <c r="AK849" i="3"/>
  <c r="AK850" i="3"/>
  <c r="AK851" i="3"/>
  <c r="AK852" i="3"/>
  <c r="AK853" i="3"/>
  <c r="AK854" i="3"/>
  <c r="AK855" i="3"/>
  <c r="AK856" i="3"/>
  <c r="AK857" i="3"/>
  <c r="AK858" i="3"/>
  <c r="AK859" i="3"/>
  <c r="AK860" i="3"/>
  <c r="AK861" i="3"/>
  <c r="AK862" i="3"/>
  <c r="AK863" i="3"/>
  <c r="AK864" i="3"/>
  <c r="AK865" i="3"/>
  <c r="AK866" i="3"/>
  <c r="AK867" i="3"/>
  <c r="AK868" i="3"/>
  <c r="AK869" i="3"/>
  <c r="AK870" i="3"/>
  <c r="AK871" i="3"/>
  <c r="AK872" i="3"/>
  <c r="AK873" i="3"/>
  <c r="AK874" i="3"/>
  <c r="AK875" i="3"/>
  <c r="AK876" i="3"/>
  <c r="AK877" i="3"/>
  <c r="AK878" i="3"/>
  <c r="AK879" i="3"/>
  <c r="AK880" i="3"/>
  <c r="AK881" i="3"/>
  <c r="AK882" i="3"/>
  <c r="AK883" i="3"/>
  <c r="AK884" i="3"/>
  <c r="AK885" i="3"/>
  <c r="AK886" i="3"/>
  <c r="AK887" i="3"/>
  <c r="AK888" i="3"/>
  <c r="AK889" i="3"/>
  <c r="AK890" i="3"/>
  <c r="AK891" i="3"/>
  <c r="AK892" i="3"/>
  <c r="AK893" i="3"/>
  <c r="AK894" i="3"/>
  <c r="AK895" i="3"/>
  <c r="AK896" i="3"/>
  <c r="AK897" i="3"/>
  <c r="AK898" i="3"/>
  <c r="AK899" i="3"/>
  <c r="AK900" i="3"/>
  <c r="AK901" i="3"/>
  <c r="AK902" i="3"/>
  <c r="AK903" i="3"/>
  <c r="AK904" i="3"/>
  <c r="AK905" i="3"/>
  <c r="AK906" i="3"/>
  <c r="AK907" i="3"/>
  <c r="AK908" i="3"/>
  <c r="AK909" i="3"/>
  <c r="AK910" i="3"/>
  <c r="AK911" i="3"/>
  <c r="AK912" i="3"/>
  <c r="AK913" i="3"/>
  <c r="AK914" i="3"/>
  <c r="AK915" i="3"/>
  <c r="AK916" i="3"/>
  <c r="AK917" i="3"/>
  <c r="AK918" i="3"/>
  <c r="AK919" i="3"/>
  <c r="AK920" i="3"/>
  <c r="AK921" i="3"/>
  <c r="AK922" i="3"/>
  <c r="AK923" i="3"/>
  <c r="AK924" i="3"/>
  <c r="AK925" i="3"/>
  <c r="AK926" i="3"/>
  <c r="AK927" i="3"/>
  <c r="AK928" i="3"/>
  <c r="AK929" i="3"/>
  <c r="AK930" i="3"/>
  <c r="AK931" i="3"/>
  <c r="AK932" i="3"/>
  <c r="AK933" i="3"/>
  <c r="AK934" i="3"/>
  <c r="AK935" i="3"/>
  <c r="AK936" i="3"/>
  <c r="AK937" i="3"/>
  <c r="AK938" i="3"/>
  <c r="AK939" i="3"/>
  <c r="AK940" i="3"/>
  <c r="AK941" i="3"/>
  <c r="AK942" i="3"/>
  <c r="AK943" i="3"/>
  <c r="AK944" i="3"/>
  <c r="AK945" i="3"/>
  <c r="AK946" i="3"/>
  <c r="AK947" i="3"/>
  <c r="AK948" i="3"/>
  <c r="AK949" i="3"/>
  <c r="AK950" i="3"/>
  <c r="AK951" i="3"/>
  <c r="AK952" i="3"/>
  <c r="AK953" i="3"/>
  <c r="AK954" i="3"/>
  <c r="AK955" i="3"/>
  <c r="AK956" i="3"/>
  <c r="AK957" i="3"/>
  <c r="AK958" i="3"/>
  <c r="AK959" i="3"/>
  <c r="AK960" i="3"/>
  <c r="AK961" i="3"/>
  <c r="AK962" i="3"/>
  <c r="AK963" i="3"/>
  <c r="AK964" i="3"/>
  <c r="AK965" i="3"/>
  <c r="AK966" i="3"/>
  <c r="AK967" i="3"/>
  <c r="AK968" i="3"/>
  <c r="AK969" i="3"/>
  <c r="AK970" i="3"/>
  <c r="AK971" i="3"/>
  <c r="AK972" i="3"/>
  <c r="AK973" i="3"/>
  <c r="AK974" i="3"/>
  <c r="AK975" i="3"/>
  <c r="AK976" i="3"/>
  <c r="AK977" i="3"/>
  <c r="AK978" i="3"/>
  <c r="AK979" i="3"/>
  <c r="AK980" i="3"/>
  <c r="AK981" i="3"/>
  <c r="AK982" i="3"/>
  <c r="AK983" i="3"/>
  <c r="AK984" i="3"/>
  <c r="AK985" i="3"/>
  <c r="AK986" i="3"/>
  <c r="AK987" i="3"/>
  <c r="AK988" i="3"/>
  <c r="AK989" i="3"/>
  <c r="AK990" i="3"/>
  <c r="AK991" i="3"/>
  <c r="AK992" i="3"/>
  <c r="AK993" i="3"/>
  <c r="AK994" i="3"/>
  <c r="AK995" i="3"/>
  <c r="AK996" i="3"/>
  <c r="AK997" i="3"/>
  <c r="AK998" i="3"/>
  <c r="AK999" i="3"/>
  <c r="AK1000" i="3"/>
  <c r="AK1001"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J551" i="3"/>
  <c r="AJ552" i="3"/>
  <c r="AJ553" i="3"/>
  <c r="AJ554" i="3"/>
  <c r="AJ555" i="3"/>
  <c r="AJ556" i="3"/>
  <c r="AJ557" i="3"/>
  <c r="AJ558" i="3"/>
  <c r="AJ559" i="3"/>
  <c r="AJ560" i="3"/>
  <c r="AJ561" i="3"/>
  <c r="AJ562" i="3"/>
  <c r="AJ563" i="3"/>
  <c r="AJ564" i="3"/>
  <c r="AJ565" i="3"/>
  <c r="AJ566" i="3"/>
  <c r="AJ567" i="3"/>
  <c r="AJ568" i="3"/>
  <c r="AJ569" i="3"/>
  <c r="AJ570" i="3"/>
  <c r="AJ571" i="3"/>
  <c r="AJ572" i="3"/>
  <c r="AJ573" i="3"/>
  <c r="AJ574" i="3"/>
  <c r="AJ575" i="3"/>
  <c r="AJ576" i="3"/>
  <c r="AJ577" i="3"/>
  <c r="AJ578" i="3"/>
  <c r="AJ579" i="3"/>
  <c r="AJ580" i="3"/>
  <c r="AJ581" i="3"/>
  <c r="AJ582" i="3"/>
  <c r="AJ583" i="3"/>
  <c r="AJ584" i="3"/>
  <c r="AJ585" i="3"/>
  <c r="AJ586" i="3"/>
  <c r="AJ587" i="3"/>
  <c r="AJ588" i="3"/>
  <c r="AJ589" i="3"/>
  <c r="AJ590" i="3"/>
  <c r="AJ591" i="3"/>
  <c r="AJ592" i="3"/>
  <c r="AJ593" i="3"/>
  <c r="AJ594" i="3"/>
  <c r="AJ595" i="3"/>
  <c r="AJ596" i="3"/>
  <c r="AJ597" i="3"/>
  <c r="AJ598" i="3"/>
  <c r="AJ599" i="3"/>
  <c r="AJ600" i="3"/>
  <c r="AJ601" i="3"/>
  <c r="AJ602" i="3"/>
  <c r="AJ603" i="3"/>
  <c r="AJ604" i="3"/>
  <c r="AJ605" i="3"/>
  <c r="AJ606" i="3"/>
  <c r="AJ607" i="3"/>
  <c r="AJ608" i="3"/>
  <c r="AJ609" i="3"/>
  <c r="AJ610" i="3"/>
  <c r="AJ611" i="3"/>
  <c r="AJ612" i="3"/>
  <c r="AJ613" i="3"/>
  <c r="AJ614" i="3"/>
  <c r="AJ615" i="3"/>
  <c r="AJ616" i="3"/>
  <c r="AJ617" i="3"/>
  <c r="AJ618" i="3"/>
  <c r="AJ619" i="3"/>
  <c r="AJ620" i="3"/>
  <c r="AJ621" i="3"/>
  <c r="AJ622" i="3"/>
  <c r="AJ623" i="3"/>
  <c r="AJ624" i="3"/>
  <c r="AJ625" i="3"/>
  <c r="AJ626" i="3"/>
  <c r="AJ627" i="3"/>
  <c r="AJ628" i="3"/>
  <c r="AJ629" i="3"/>
  <c r="AJ630" i="3"/>
  <c r="AJ631" i="3"/>
  <c r="AJ632" i="3"/>
  <c r="AJ633" i="3"/>
  <c r="AJ634" i="3"/>
  <c r="AJ635" i="3"/>
  <c r="AJ636" i="3"/>
  <c r="AJ637" i="3"/>
  <c r="AJ638" i="3"/>
  <c r="AJ639" i="3"/>
  <c r="AJ640" i="3"/>
  <c r="AJ641" i="3"/>
  <c r="AJ642" i="3"/>
  <c r="AJ643" i="3"/>
  <c r="AJ644" i="3"/>
  <c r="AJ645" i="3"/>
  <c r="AJ646" i="3"/>
  <c r="AJ647" i="3"/>
  <c r="AJ648" i="3"/>
  <c r="AJ649" i="3"/>
  <c r="AJ650" i="3"/>
  <c r="AJ651" i="3"/>
  <c r="AJ652" i="3"/>
  <c r="AJ653" i="3"/>
  <c r="AJ654" i="3"/>
  <c r="AJ655" i="3"/>
  <c r="AJ656" i="3"/>
  <c r="AJ657" i="3"/>
  <c r="AJ658" i="3"/>
  <c r="AJ659" i="3"/>
  <c r="AJ660" i="3"/>
  <c r="AJ661" i="3"/>
  <c r="AJ662" i="3"/>
  <c r="AJ663" i="3"/>
  <c r="AJ664" i="3"/>
  <c r="AJ665" i="3"/>
  <c r="AJ666" i="3"/>
  <c r="AJ667" i="3"/>
  <c r="AJ668" i="3"/>
  <c r="AJ669" i="3"/>
  <c r="AJ670" i="3"/>
  <c r="AJ671" i="3"/>
  <c r="AJ672" i="3"/>
  <c r="AJ673" i="3"/>
  <c r="AJ674" i="3"/>
  <c r="AJ675" i="3"/>
  <c r="AJ676" i="3"/>
  <c r="AJ677" i="3"/>
  <c r="AJ678" i="3"/>
  <c r="AJ679" i="3"/>
  <c r="AJ680" i="3"/>
  <c r="AJ681" i="3"/>
  <c r="AJ682" i="3"/>
  <c r="AJ683" i="3"/>
  <c r="AJ684" i="3"/>
  <c r="AJ685" i="3"/>
  <c r="AJ686" i="3"/>
  <c r="AJ687" i="3"/>
  <c r="AJ688" i="3"/>
  <c r="AJ689" i="3"/>
  <c r="AJ690" i="3"/>
  <c r="AJ691" i="3"/>
  <c r="AJ692" i="3"/>
  <c r="AJ693" i="3"/>
  <c r="AJ694" i="3"/>
  <c r="AJ695" i="3"/>
  <c r="AJ696" i="3"/>
  <c r="AJ697" i="3"/>
  <c r="AJ698" i="3"/>
  <c r="AJ699" i="3"/>
  <c r="AJ700" i="3"/>
  <c r="AJ701" i="3"/>
  <c r="AJ702" i="3"/>
  <c r="AJ703" i="3"/>
  <c r="AJ704" i="3"/>
  <c r="AJ705" i="3"/>
  <c r="AJ706" i="3"/>
  <c r="AJ707" i="3"/>
  <c r="AJ708" i="3"/>
  <c r="AJ709" i="3"/>
  <c r="AJ710" i="3"/>
  <c r="AJ711" i="3"/>
  <c r="AJ712" i="3"/>
  <c r="AJ713" i="3"/>
  <c r="AJ714" i="3"/>
  <c r="AJ715" i="3"/>
  <c r="AJ716" i="3"/>
  <c r="AJ717" i="3"/>
  <c r="AJ718" i="3"/>
  <c r="AJ719" i="3"/>
  <c r="AJ720" i="3"/>
  <c r="AJ721" i="3"/>
  <c r="AJ722" i="3"/>
  <c r="AJ723" i="3"/>
  <c r="AJ724" i="3"/>
  <c r="AJ725" i="3"/>
  <c r="AJ726" i="3"/>
  <c r="AJ727" i="3"/>
  <c r="AJ728" i="3"/>
  <c r="AJ729" i="3"/>
  <c r="AJ730" i="3"/>
  <c r="AJ731" i="3"/>
  <c r="AJ732" i="3"/>
  <c r="AJ733" i="3"/>
  <c r="AJ734" i="3"/>
  <c r="AJ735" i="3"/>
  <c r="AJ736" i="3"/>
  <c r="AJ737" i="3"/>
  <c r="AJ738" i="3"/>
  <c r="AJ739" i="3"/>
  <c r="AJ740" i="3"/>
  <c r="AJ741" i="3"/>
  <c r="AJ742" i="3"/>
  <c r="AJ743" i="3"/>
  <c r="AJ744" i="3"/>
  <c r="AJ745" i="3"/>
  <c r="AJ746" i="3"/>
  <c r="AJ747" i="3"/>
  <c r="AJ748" i="3"/>
  <c r="AJ749" i="3"/>
  <c r="AJ750" i="3"/>
  <c r="AJ751" i="3"/>
  <c r="AJ752" i="3"/>
  <c r="AJ753" i="3"/>
  <c r="AJ754" i="3"/>
  <c r="AJ755" i="3"/>
  <c r="AJ756" i="3"/>
  <c r="AJ757" i="3"/>
  <c r="AJ758" i="3"/>
  <c r="AJ759" i="3"/>
  <c r="AJ760" i="3"/>
  <c r="AJ761" i="3"/>
  <c r="AJ762" i="3"/>
  <c r="AJ763" i="3"/>
  <c r="AJ764" i="3"/>
  <c r="AJ765" i="3"/>
  <c r="AJ766" i="3"/>
  <c r="AJ767" i="3"/>
  <c r="AJ768" i="3"/>
  <c r="AJ769" i="3"/>
  <c r="AJ770" i="3"/>
  <c r="AJ771" i="3"/>
  <c r="AJ772" i="3"/>
  <c r="AJ773" i="3"/>
  <c r="AJ774" i="3"/>
  <c r="AJ775" i="3"/>
  <c r="AJ776" i="3"/>
  <c r="AJ777" i="3"/>
  <c r="AJ778" i="3"/>
  <c r="AJ779" i="3"/>
  <c r="AJ780" i="3"/>
  <c r="AJ781" i="3"/>
  <c r="AJ782" i="3"/>
  <c r="AJ783" i="3"/>
  <c r="AJ784" i="3"/>
  <c r="AJ785" i="3"/>
  <c r="AJ786" i="3"/>
  <c r="AJ787" i="3"/>
  <c r="AJ788" i="3"/>
  <c r="AJ789" i="3"/>
  <c r="AJ790" i="3"/>
  <c r="AJ791" i="3"/>
  <c r="AJ792" i="3"/>
  <c r="AJ793" i="3"/>
  <c r="AJ794" i="3"/>
  <c r="AJ795" i="3"/>
  <c r="AJ796" i="3"/>
  <c r="AJ797" i="3"/>
  <c r="AJ798" i="3"/>
  <c r="AJ799" i="3"/>
  <c r="AJ800" i="3"/>
  <c r="AJ801" i="3"/>
  <c r="AJ802" i="3"/>
  <c r="AJ803" i="3"/>
  <c r="AJ804" i="3"/>
  <c r="AJ805" i="3"/>
  <c r="AJ806" i="3"/>
  <c r="AJ807" i="3"/>
  <c r="AJ808" i="3"/>
  <c r="AJ809" i="3"/>
  <c r="AJ810" i="3"/>
  <c r="AJ811" i="3"/>
  <c r="AJ812" i="3"/>
  <c r="AJ813" i="3"/>
  <c r="AJ814" i="3"/>
  <c r="AJ815" i="3"/>
  <c r="AJ816" i="3"/>
  <c r="AJ817" i="3"/>
  <c r="AJ818" i="3"/>
  <c r="AJ819" i="3"/>
  <c r="AJ820" i="3"/>
  <c r="AJ821" i="3"/>
  <c r="AJ822" i="3"/>
  <c r="AJ823" i="3"/>
  <c r="AJ824" i="3"/>
  <c r="AJ825" i="3"/>
  <c r="AJ826" i="3"/>
  <c r="AJ827" i="3"/>
  <c r="AJ828" i="3"/>
  <c r="AJ829" i="3"/>
  <c r="AJ830" i="3"/>
  <c r="AJ831" i="3"/>
  <c r="AJ832" i="3"/>
  <c r="AJ833" i="3"/>
  <c r="AJ834" i="3"/>
  <c r="AJ835" i="3"/>
  <c r="AJ836" i="3"/>
  <c r="AJ837" i="3"/>
  <c r="AJ838" i="3"/>
  <c r="AJ839" i="3"/>
  <c r="AJ840" i="3"/>
  <c r="AJ841" i="3"/>
  <c r="AJ842" i="3"/>
  <c r="AJ843" i="3"/>
  <c r="AJ844" i="3"/>
  <c r="AJ845" i="3"/>
  <c r="AJ846" i="3"/>
  <c r="AJ847" i="3"/>
  <c r="AJ848" i="3"/>
  <c r="AJ849" i="3"/>
  <c r="AJ850" i="3"/>
  <c r="AJ851" i="3"/>
  <c r="AJ852" i="3"/>
  <c r="AJ853" i="3"/>
  <c r="AJ854" i="3"/>
  <c r="AJ855" i="3"/>
  <c r="AJ856" i="3"/>
  <c r="AJ857" i="3"/>
  <c r="AJ858" i="3"/>
  <c r="AJ859" i="3"/>
  <c r="AJ860" i="3"/>
  <c r="AJ861" i="3"/>
  <c r="AJ862" i="3"/>
  <c r="AJ863" i="3"/>
  <c r="AJ864" i="3"/>
  <c r="AJ865" i="3"/>
  <c r="AJ866" i="3"/>
  <c r="AJ867" i="3"/>
  <c r="AJ868" i="3"/>
  <c r="AJ869" i="3"/>
  <c r="AJ870" i="3"/>
  <c r="AJ871" i="3"/>
  <c r="AJ872" i="3"/>
  <c r="AJ873" i="3"/>
  <c r="AJ874" i="3"/>
  <c r="AJ875" i="3"/>
  <c r="AJ876" i="3"/>
  <c r="AJ877" i="3"/>
  <c r="AJ878" i="3"/>
  <c r="AJ879" i="3"/>
  <c r="AJ880" i="3"/>
  <c r="AJ881" i="3"/>
  <c r="AJ882" i="3"/>
  <c r="AJ883" i="3"/>
  <c r="AJ884" i="3"/>
  <c r="AJ885" i="3"/>
  <c r="AJ886" i="3"/>
  <c r="AJ887" i="3"/>
  <c r="AJ888" i="3"/>
  <c r="AJ889" i="3"/>
  <c r="AJ890" i="3"/>
  <c r="AJ891" i="3"/>
  <c r="AJ892" i="3"/>
  <c r="AJ893" i="3"/>
  <c r="AJ894" i="3"/>
  <c r="AJ895" i="3"/>
  <c r="AJ896" i="3"/>
  <c r="AJ897" i="3"/>
  <c r="AJ898" i="3"/>
  <c r="AJ899" i="3"/>
  <c r="AJ900" i="3"/>
  <c r="AJ901" i="3"/>
  <c r="AJ902" i="3"/>
  <c r="AJ903" i="3"/>
  <c r="AJ904" i="3"/>
  <c r="AJ905" i="3"/>
  <c r="AJ906" i="3"/>
  <c r="AJ907" i="3"/>
  <c r="AJ908" i="3"/>
  <c r="AJ909" i="3"/>
  <c r="AJ910" i="3"/>
  <c r="AJ911" i="3"/>
  <c r="AJ912" i="3"/>
  <c r="AJ913" i="3"/>
  <c r="AJ914" i="3"/>
  <c r="AJ915" i="3"/>
  <c r="AJ916" i="3"/>
  <c r="AJ917" i="3"/>
  <c r="AJ918" i="3"/>
  <c r="AJ919" i="3"/>
  <c r="AJ920" i="3"/>
  <c r="AJ921" i="3"/>
  <c r="AJ922" i="3"/>
  <c r="AJ923" i="3"/>
  <c r="AJ924" i="3"/>
  <c r="AJ925" i="3"/>
  <c r="AJ926" i="3"/>
  <c r="AJ927" i="3"/>
  <c r="AJ928" i="3"/>
  <c r="AJ929" i="3"/>
  <c r="AJ930" i="3"/>
  <c r="AJ931" i="3"/>
  <c r="AJ932" i="3"/>
  <c r="AJ933" i="3"/>
  <c r="AJ934" i="3"/>
  <c r="AJ935" i="3"/>
  <c r="AJ936" i="3"/>
  <c r="AJ937" i="3"/>
  <c r="AJ938" i="3"/>
  <c r="AJ939" i="3"/>
  <c r="AJ940" i="3"/>
  <c r="AJ941" i="3"/>
  <c r="AJ942" i="3"/>
  <c r="AJ943" i="3"/>
  <c r="AJ944" i="3"/>
  <c r="AJ945" i="3"/>
  <c r="AJ946" i="3"/>
  <c r="AJ947" i="3"/>
  <c r="AJ948" i="3"/>
  <c r="AJ949" i="3"/>
  <c r="AJ950" i="3"/>
  <c r="AJ951" i="3"/>
  <c r="AJ952" i="3"/>
  <c r="AJ953" i="3"/>
  <c r="AJ954" i="3"/>
  <c r="AJ955" i="3"/>
  <c r="AJ956" i="3"/>
  <c r="AJ957" i="3"/>
  <c r="AJ958" i="3"/>
  <c r="AJ959" i="3"/>
  <c r="AJ960" i="3"/>
  <c r="AJ961" i="3"/>
  <c r="AJ962" i="3"/>
  <c r="AJ963" i="3"/>
  <c r="AJ964" i="3"/>
  <c r="AJ965" i="3"/>
  <c r="AJ966" i="3"/>
  <c r="AJ967" i="3"/>
  <c r="AJ968" i="3"/>
  <c r="AJ969" i="3"/>
  <c r="AJ970" i="3"/>
  <c r="AJ971" i="3"/>
  <c r="AJ972" i="3"/>
  <c r="AJ973" i="3"/>
  <c r="AJ974" i="3"/>
  <c r="AJ975" i="3"/>
  <c r="AJ976" i="3"/>
  <c r="AJ977" i="3"/>
  <c r="AJ978" i="3"/>
  <c r="AJ979" i="3"/>
  <c r="AJ980" i="3"/>
  <c r="AJ981" i="3"/>
  <c r="AJ982" i="3"/>
  <c r="AJ983" i="3"/>
  <c r="AJ984" i="3"/>
  <c r="AJ985" i="3"/>
  <c r="AJ986" i="3"/>
  <c r="AJ987" i="3"/>
  <c r="AJ988" i="3"/>
  <c r="AJ989" i="3"/>
  <c r="AJ990" i="3"/>
  <c r="AJ991" i="3"/>
  <c r="AJ992" i="3"/>
  <c r="AJ993" i="3"/>
  <c r="AJ994" i="3"/>
  <c r="AJ995" i="3"/>
  <c r="AJ996" i="3"/>
  <c r="AJ997" i="3"/>
  <c r="AJ998" i="3"/>
  <c r="AJ999" i="3"/>
  <c r="AJ1000" i="3"/>
  <c r="AJ1001"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H551" i="3"/>
  <c r="AH552" i="3"/>
  <c r="AH553" i="3"/>
  <c r="AH554" i="3"/>
  <c r="AH555" i="3"/>
  <c r="AH556" i="3"/>
  <c r="AH557" i="3"/>
  <c r="AH558" i="3"/>
  <c r="AH559" i="3"/>
  <c r="AH560" i="3"/>
  <c r="AH561" i="3"/>
  <c r="AH562" i="3"/>
  <c r="AH563" i="3"/>
  <c r="AH564" i="3"/>
  <c r="AH565" i="3"/>
  <c r="AH566" i="3"/>
  <c r="AH567" i="3"/>
  <c r="AH568" i="3"/>
  <c r="AH569" i="3"/>
  <c r="AH570" i="3"/>
  <c r="AH571" i="3"/>
  <c r="AH572" i="3"/>
  <c r="AH573" i="3"/>
  <c r="AH574" i="3"/>
  <c r="AH575" i="3"/>
  <c r="AH576" i="3"/>
  <c r="AH577" i="3"/>
  <c r="AH578" i="3"/>
  <c r="AH579" i="3"/>
  <c r="AH580" i="3"/>
  <c r="AH581" i="3"/>
  <c r="AH582" i="3"/>
  <c r="AH583" i="3"/>
  <c r="AH584" i="3"/>
  <c r="AH585" i="3"/>
  <c r="AH586" i="3"/>
  <c r="AH587" i="3"/>
  <c r="AH588" i="3"/>
  <c r="AH589" i="3"/>
  <c r="AH590" i="3"/>
  <c r="AH591" i="3"/>
  <c r="AH592" i="3"/>
  <c r="AH593" i="3"/>
  <c r="AH594" i="3"/>
  <c r="AH595" i="3"/>
  <c r="AH596" i="3"/>
  <c r="AH597" i="3"/>
  <c r="AH598" i="3"/>
  <c r="AH599" i="3"/>
  <c r="AH600" i="3"/>
  <c r="AH601" i="3"/>
  <c r="AH602" i="3"/>
  <c r="AH603" i="3"/>
  <c r="AH604" i="3"/>
  <c r="AH605" i="3"/>
  <c r="AH606" i="3"/>
  <c r="AH607" i="3"/>
  <c r="AH608" i="3"/>
  <c r="AH609" i="3"/>
  <c r="AH610" i="3"/>
  <c r="AH611" i="3"/>
  <c r="AH612" i="3"/>
  <c r="AH613" i="3"/>
  <c r="AH614" i="3"/>
  <c r="AH615" i="3"/>
  <c r="AH616" i="3"/>
  <c r="AH617" i="3"/>
  <c r="AH618" i="3"/>
  <c r="AH619" i="3"/>
  <c r="AH620" i="3"/>
  <c r="AH621" i="3"/>
  <c r="AH622" i="3"/>
  <c r="AH623" i="3"/>
  <c r="AH624" i="3"/>
  <c r="AH625" i="3"/>
  <c r="AH626" i="3"/>
  <c r="AH627" i="3"/>
  <c r="AH628" i="3"/>
  <c r="AH629" i="3"/>
  <c r="AH630" i="3"/>
  <c r="AH631" i="3"/>
  <c r="AH632" i="3"/>
  <c r="AH633" i="3"/>
  <c r="AH634" i="3"/>
  <c r="AH635" i="3"/>
  <c r="AH636" i="3"/>
  <c r="AH637" i="3"/>
  <c r="AH638" i="3"/>
  <c r="AH639" i="3"/>
  <c r="AH640" i="3"/>
  <c r="AH641" i="3"/>
  <c r="AH642" i="3"/>
  <c r="AH643" i="3"/>
  <c r="AH644" i="3"/>
  <c r="AH645" i="3"/>
  <c r="AH646" i="3"/>
  <c r="AH647" i="3"/>
  <c r="AH648" i="3"/>
  <c r="AH649" i="3"/>
  <c r="AH650" i="3"/>
  <c r="AH651" i="3"/>
  <c r="AH652" i="3"/>
  <c r="AH653" i="3"/>
  <c r="AH654" i="3"/>
  <c r="AH655" i="3"/>
  <c r="AH656" i="3"/>
  <c r="AH657" i="3"/>
  <c r="AH658" i="3"/>
  <c r="AH659" i="3"/>
  <c r="AH660" i="3"/>
  <c r="AH661" i="3"/>
  <c r="AH662" i="3"/>
  <c r="AH663" i="3"/>
  <c r="AH664" i="3"/>
  <c r="AH665" i="3"/>
  <c r="AH666" i="3"/>
  <c r="AH667" i="3"/>
  <c r="AH668" i="3"/>
  <c r="AH669" i="3"/>
  <c r="AH670" i="3"/>
  <c r="AH671" i="3"/>
  <c r="AH672" i="3"/>
  <c r="AH673" i="3"/>
  <c r="AH674" i="3"/>
  <c r="AH675" i="3"/>
  <c r="AH676" i="3"/>
  <c r="AH677" i="3"/>
  <c r="AH678" i="3"/>
  <c r="AH679" i="3"/>
  <c r="AH680" i="3"/>
  <c r="AH681" i="3"/>
  <c r="AH682" i="3"/>
  <c r="AH683" i="3"/>
  <c r="AH684" i="3"/>
  <c r="AH685" i="3"/>
  <c r="AH686" i="3"/>
  <c r="AH687" i="3"/>
  <c r="AH688" i="3"/>
  <c r="AH689" i="3"/>
  <c r="AH690" i="3"/>
  <c r="AH691" i="3"/>
  <c r="AH692" i="3"/>
  <c r="AH693" i="3"/>
  <c r="AH694" i="3"/>
  <c r="AH695" i="3"/>
  <c r="AH696" i="3"/>
  <c r="AH697" i="3"/>
  <c r="AH698" i="3"/>
  <c r="AH699" i="3"/>
  <c r="AH700" i="3"/>
  <c r="AH701" i="3"/>
  <c r="AH702" i="3"/>
  <c r="AH703" i="3"/>
  <c r="AH704" i="3"/>
  <c r="AH705" i="3"/>
  <c r="AH706" i="3"/>
  <c r="AH707" i="3"/>
  <c r="AH708" i="3"/>
  <c r="AH709" i="3"/>
  <c r="AH710" i="3"/>
  <c r="AH711" i="3"/>
  <c r="AH712" i="3"/>
  <c r="AH713" i="3"/>
  <c r="AH714" i="3"/>
  <c r="AH715" i="3"/>
  <c r="AH716" i="3"/>
  <c r="AH717" i="3"/>
  <c r="AH718" i="3"/>
  <c r="AH719" i="3"/>
  <c r="AH720" i="3"/>
  <c r="AH721" i="3"/>
  <c r="AH722" i="3"/>
  <c r="AH723" i="3"/>
  <c r="AH724" i="3"/>
  <c r="AH725" i="3"/>
  <c r="AH726" i="3"/>
  <c r="AH727" i="3"/>
  <c r="AH728" i="3"/>
  <c r="AH729" i="3"/>
  <c r="AH730" i="3"/>
  <c r="AH731" i="3"/>
  <c r="AH732" i="3"/>
  <c r="AH733" i="3"/>
  <c r="AH734" i="3"/>
  <c r="AH735" i="3"/>
  <c r="AH736" i="3"/>
  <c r="AH737" i="3"/>
  <c r="AH738" i="3"/>
  <c r="AH739" i="3"/>
  <c r="AH740" i="3"/>
  <c r="AH741" i="3"/>
  <c r="AH742" i="3"/>
  <c r="AH743" i="3"/>
  <c r="AH744" i="3"/>
  <c r="AH745" i="3"/>
  <c r="AH746" i="3"/>
  <c r="AH747" i="3"/>
  <c r="AH748" i="3"/>
  <c r="AH749" i="3"/>
  <c r="AH750" i="3"/>
  <c r="AH751" i="3"/>
  <c r="AH752" i="3"/>
  <c r="AH753" i="3"/>
  <c r="AH754" i="3"/>
  <c r="AH755" i="3"/>
  <c r="AH756" i="3"/>
  <c r="AH757" i="3"/>
  <c r="AH758" i="3"/>
  <c r="AH759" i="3"/>
  <c r="AH760" i="3"/>
  <c r="AH761" i="3"/>
  <c r="AH762" i="3"/>
  <c r="AH763" i="3"/>
  <c r="AH764" i="3"/>
  <c r="AH765" i="3"/>
  <c r="AH766" i="3"/>
  <c r="AH767" i="3"/>
  <c r="AH768" i="3"/>
  <c r="AH769" i="3"/>
  <c r="AH770" i="3"/>
  <c r="AH771" i="3"/>
  <c r="AH772" i="3"/>
  <c r="AH773" i="3"/>
  <c r="AH774" i="3"/>
  <c r="AH775" i="3"/>
  <c r="AH776" i="3"/>
  <c r="AH777" i="3"/>
  <c r="AH778" i="3"/>
  <c r="AH779" i="3"/>
  <c r="AH780" i="3"/>
  <c r="AH781" i="3"/>
  <c r="AH782" i="3"/>
  <c r="AH783" i="3"/>
  <c r="AH784" i="3"/>
  <c r="AH785" i="3"/>
  <c r="AH786" i="3"/>
  <c r="AH787" i="3"/>
  <c r="AH788" i="3"/>
  <c r="AH789" i="3"/>
  <c r="AH790" i="3"/>
  <c r="AH791" i="3"/>
  <c r="AH792" i="3"/>
  <c r="AH793" i="3"/>
  <c r="AH794" i="3"/>
  <c r="AH795" i="3"/>
  <c r="AH796" i="3"/>
  <c r="AH797" i="3"/>
  <c r="AH798" i="3"/>
  <c r="AH799" i="3"/>
  <c r="AH800" i="3"/>
  <c r="AH801" i="3"/>
  <c r="AH802" i="3"/>
  <c r="AH803" i="3"/>
  <c r="AH804" i="3"/>
  <c r="AH805" i="3"/>
  <c r="AH806" i="3"/>
  <c r="AH807" i="3"/>
  <c r="AH808" i="3"/>
  <c r="AH809" i="3"/>
  <c r="AH810" i="3"/>
  <c r="AH811" i="3"/>
  <c r="AH812" i="3"/>
  <c r="AH813" i="3"/>
  <c r="AH814" i="3"/>
  <c r="AH815" i="3"/>
  <c r="AH816" i="3"/>
  <c r="AH817" i="3"/>
  <c r="AH818" i="3"/>
  <c r="AH819" i="3"/>
  <c r="AH820" i="3"/>
  <c r="AH821" i="3"/>
  <c r="AH822" i="3"/>
  <c r="AH823" i="3"/>
  <c r="AH824" i="3"/>
  <c r="AH825" i="3"/>
  <c r="AH826" i="3"/>
  <c r="AH827" i="3"/>
  <c r="AH828" i="3"/>
  <c r="AH829" i="3"/>
  <c r="AH830" i="3"/>
  <c r="AH831" i="3"/>
  <c r="AH832" i="3"/>
  <c r="AH833" i="3"/>
  <c r="AH834" i="3"/>
  <c r="AH835" i="3"/>
  <c r="AH836" i="3"/>
  <c r="AH837" i="3"/>
  <c r="AH838" i="3"/>
  <c r="AH839" i="3"/>
  <c r="AH840" i="3"/>
  <c r="AH841" i="3"/>
  <c r="AH842" i="3"/>
  <c r="AH843" i="3"/>
  <c r="AH844" i="3"/>
  <c r="AH845" i="3"/>
  <c r="AH846" i="3"/>
  <c r="AH847" i="3"/>
  <c r="AH848" i="3"/>
  <c r="AH849" i="3"/>
  <c r="AH850" i="3"/>
  <c r="AH851" i="3"/>
  <c r="AH852" i="3"/>
  <c r="AH853" i="3"/>
  <c r="AH854" i="3"/>
  <c r="AH855" i="3"/>
  <c r="AH856" i="3"/>
  <c r="AH857" i="3"/>
  <c r="AH858" i="3"/>
  <c r="AH859" i="3"/>
  <c r="AH860" i="3"/>
  <c r="AH861" i="3"/>
  <c r="AH862" i="3"/>
  <c r="AH863" i="3"/>
  <c r="AH864" i="3"/>
  <c r="AH865" i="3"/>
  <c r="AH866" i="3"/>
  <c r="AH867" i="3"/>
  <c r="AH868" i="3"/>
  <c r="AH869" i="3"/>
  <c r="AH870" i="3"/>
  <c r="AH871" i="3"/>
  <c r="AH872" i="3"/>
  <c r="AH873" i="3"/>
  <c r="AH874" i="3"/>
  <c r="AH875" i="3"/>
  <c r="AH876" i="3"/>
  <c r="AH877" i="3"/>
  <c r="AH878" i="3"/>
  <c r="AH879" i="3"/>
  <c r="AH880" i="3"/>
  <c r="AH881" i="3"/>
  <c r="AH882" i="3"/>
  <c r="AH883" i="3"/>
  <c r="AH884" i="3"/>
  <c r="AH885" i="3"/>
  <c r="AH886" i="3"/>
  <c r="AH887" i="3"/>
  <c r="AH888" i="3"/>
  <c r="AH889" i="3"/>
  <c r="AH890" i="3"/>
  <c r="AH891" i="3"/>
  <c r="AH892" i="3"/>
  <c r="AH893" i="3"/>
  <c r="AH894" i="3"/>
  <c r="AH895" i="3"/>
  <c r="AH896" i="3"/>
  <c r="AH897" i="3"/>
  <c r="AH898" i="3"/>
  <c r="AH899" i="3"/>
  <c r="AH900" i="3"/>
  <c r="AH901" i="3"/>
  <c r="AH902" i="3"/>
  <c r="AH903" i="3"/>
  <c r="AH904" i="3"/>
  <c r="AH905" i="3"/>
  <c r="AH906" i="3"/>
  <c r="AH907" i="3"/>
  <c r="AH908" i="3"/>
  <c r="AH909" i="3"/>
  <c r="AH910" i="3"/>
  <c r="AH911" i="3"/>
  <c r="AH912" i="3"/>
  <c r="AH913" i="3"/>
  <c r="AH914" i="3"/>
  <c r="AH915" i="3"/>
  <c r="AH916" i="3"/>
  <c r="AH917" i="3"/>
  <c r="AH918" i="3"/>
  <c r="AH919" i="3"/>
  <c r="AH920" i="3"/>
  <c r="AH921" i="3"/>
  <c r="AH922" i="3"/>
  <c r="AH923" i="3"/>
  <c r="AH924" i="3"/>
  <c r="AH925" i="3"/>
  <c r="AH926" i="3"/>
  <c r="AH927" i="3"/>
  <c r="AH928" i="3"/>
  <c r="AH929" i="3"/>
  <c r="AH930" i="3"/>
  <c r="AH931" i="3"/>
  <c r="AH932" i="3"/>
  <c r="AH933" i="3"/>
  <c r="AH934" i="3"/>
  <c r="AH935" i="3"/>
  <c r="AH936" i="3"/>
  <c r="AH937" i="3"/>
  <c r="AH938" i="3"/>
  <c r="AH939" i="3"/>
  <c r="AH940" i="3"/>
  <c r="AH941" i="3"/>
  <c r="AH942" i="3"/>
  <c r="AH943" i="3"/>
  <c r="AH944" i="3"/>
  <c r="AH945" i="3"/>
  <c r="AH946" i="3"/>
  <c r="AH947" i="3"/>
  <c r="AH948" i="3"/>
  <c r="AH949" i="3"/>
  <c r="AH950" i="3"/>
  <c r="AH951" i="3"/>
  <c r="AH952" i="3"/>
  <c r="AH953" i="3"/>
  <c r="AH954" i="3"/>
  <c r="AH955" i="3"/>
  <c r="AH956" i="3"/>
  <c r="AH957" i="3"/>
  <c r="AH958" i="3"/>
  <c r="AH959" i="3"/>
  <c r="AH960" i="3"/>
  <c r="AH961" i="3"/>
  <c r="AH962" i="3"/>
  <c r="AH963" i="3"/>
  <c r="AH964" i="3"/>
  <c r="AH965" i="3"/>
  <c r="AH966" i="3"/>
  <c r="AH967" i="3"/>
  <c r="AH968" i="3"/>
  <c r="AH969" i="3"/>
  <c r="AH970" i="3"/>
  <c r="AH971" i="3"/>
  <c r="AH972" i="3"/>
  <c r="AH973" i="3"/>
  <c r="AH974" i="3"/>
  <c r="AH975" i="3"/>
  <c r="AH976" i="3"/>
  <c r="AH977" i="3"/>
  <c r="AH978" i="3"/>
  <c r="AH979" i="3"/>
  <c r="AH980" i="3"/>
  <c r="AH981" i="3"/>
  <c r="AH982" i="3"/>
  <c r="AH983" i="3"/>
  <c r="AH984" i="3"/>
  <c r="AH985" i="3"/>
  <c r="AH986" i="3"/>
  <c r="AH987" i="3"/>
  <c r="AH988" i="3"/>
  <c r="AH989" i="3"/>
  <c r="AH990" i="3"/>
  <c r="AH991" i="3"/>
  <c r="AH992" i="3"/>
  <c r="AH993" i="3"/>
  <c r="AH994" i="3"/>
  <c r="AH995" i="3"/>
  <c r="AH996" i="3"/>
  <c r="AH997" i="3"/>
  <c r="AH998" i="3"/>
  <c r="AH999" i="3"/>
  <c r="AH1000" i="3"/>
  <c r="AH1001"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G479" i="3"/>
  <c r="AG480" i="3"/>
  <c r="AG481" i="3"/>
  <c r="AG482" i="3"/>
  <c r="AG483" i="3"/>
  <c r="AG484" i="3"/>
  <c r="AG485" i="3"/>
  <c r="AG486" i="3"/>
  <c r="AG487" i="3"/>
  <c r="AG488" i="3"/>
  <c r="AG489" i="3"/>
  <c r="AG490" i="3"/>
  <c r="AG491" i="3"/>
  <c r="AG492" i="3"/>
  <c r="AG493" i="3"/>
  <c r="AG494" i="3"/>
  <c r="AG495" i="3"/>
  <c r="AG496" i="3"/>
  <c r="AG497" i="3"/>
  <c r="AG498" i="3"/>
  <c r="AG499" i="3"/>
  <c r="AG500" i="3"/>
  <c r="AG501" i="3"/>
  <c r="AG502" i="3"/>
  <c r="AG503" i="3"/>
  <c r="AG504" i="3"/>
  <c r="AG505" i="3"/>
  <c r="AG506" i="3"/>
  <c r="AG507" i="3"/>
  <c r="AG508" i="3"/>
  <c r="AG509" i="3"/>
  <c r="AG510" i="3"/>
  <c r="AG511" i="3"/>
  <c r="AG512" i="3"/>
  <c r="AG513" i="3"/>
  <c r="AG514" i="3"/>
  <c r="AG515" i="3"/>
  <c r="AG516" i="3"/>
  <c r="AG517" i="3"/>
  <c r="AG518" i="3"/>
  <c r="AG519" i="3"/>
  <c r="AG520" i="3"/>
  <c r="AG521" i="3"/>
  <c r="AG522" i="3"/>
  <c r="AG523" i="3"/>
  <c r="AG524" i="3"/>
  <c r="AG525" i="3"/>
  <c r="AG526" i="3"/>
  <c r="AG527" i="3"/>
  <c r="AG528" i="3"/>
  <c r="AG529" i="3"/>
  <c r="AG530" i="3"/>
  <c r="AG531" i="3"/>
  <c r="AG532" i="3"/>
  <c r="AG533" i="3"/>
  <c r="AG534" i="3"/>
  <c r="AG535" i="3"/>
  <c r="AG536" i="3"/>
  <c r="AG537" i="3"/>
  <c r="AG538" i="3"/>
  <c r="AG539" i="3"/>
  <c r="AG540" i="3"/>
  <c r="AG541" i="3"/>
  <c r="AG542" i="3"/>
  <c r="AG543" i="3"/>
  <c r="AG544" i="3"/>
  <c r="AG545" i="3"/>
  <c r="AG546" i="3"/>
  <c r="AG547" i="3"/>
  <c r="AG548" i="3"/>
  <c r="AG549" i="3"/>
  <c r="AG550" i="3"/>
  <c r="AG551" i="3"/>
  <c r="AG552" i="3"/>
  <c r="AG553" i="3"/>
  <c r="AG554" i="3"/>
  <c r="AG555" i="3"/>
  <c r="AG556" i="3"/>
  <c r="AG557" i="3"/>
  <c r="AG558" i="3"/>
  <c r="AG559" i="3"/>
  <c r="AG560" i="3"/>
  <c r="AG561" i="3"/>
  <c r="AG562" i="3"/>
  <c r="AG563" i="3"/>
  <c r="AG564" i="3"/>
  <c r="AG565" i="3"/>
  <c r="AG566" i="3"/>
  <c r="AG567" i="3"/>
  <c r="AG568" i="3"/>
  <c r="AG569" i="3"/>
  <c r="AG570" i="3"/>
  <c r="AG571" i="3"/>
  <c r="AG572" i="3"/>
  <c r="AG573" i="3"/>
  <c r="AG574" i="3"/>
  <c r="AG575" i="3"/>
  <c r="AG576" i="3"/>
  <c r="AG577" i="3"/>
  <c r="AG578" i="3"/>
  <c r="AG579" i="3"/>
  <c r="AG580" i="3"/>
  <c r="AG581" i="3"/>
  <c r="AG582" i="3"/>
  <c r="AG583" i="3"/>
  <c r="AG584" i="3"/>
  <c r="AG585" i="3"/>
  <c r="AG586" i="3"/>
  <c r="AG587" i="3"/>
  <c r="AG588" i="3"/>
  <c r="AG589" i="3"/>
  <c r="AG590" i="3"/>
  <c r="AG591" i="3"/>
  <c r="AG592" i="3"/>
  <c r="AG593" i="3"/>
  <c r="AG594" i="3"/>
  <c r="AG595" i="3"/>
  <c r="AG596" i="3"/>
  <c r="AG597" i="3"/>
  <c r="AG598" i="3"/>
  <c r="AG599" i="3"/>
  <c r="AG600" i="3"/>
  <c r="AG601" i="3"/>
  <c r="AG602" i="3"/>
  <c r="AG603" i="3"/>
  <c r="AG604" i="3"/>
  <c r="AG605" i="3"/>
  <c r="AG606" i="3"/>
  <c r="AG607" i="3"/>
  <c r="AG608" i="3"/>
  <c r="AG609" i="3"/>
  <c r="AG610" i="3"/>
  <c r="AG611" i="3"/>
  <c r="AG612" i="3"/>
  <c r="AG613" i="3"/>
  <c r="AG614" i="3"/>
  <c r="AG615" i="3"/>
  <c r="AG616" i="3"/>
  <c r="AG617" i="3"/>
  <c r="AG618" i="3"/>
  <c r="AG619" i="3"/>
  <c r="AG620" i="3"/>
  <c r="AG621" i="3"/>
  <c r="AG622" i="3"/>
  <c r="AG623" i="3"/>
  <c r="AG624" i="3"/>
  <c r="AG625" i="3"/>
  <c r="AG626" i="3"/>
  <c r="AG627" i="3"/>
  <c r="AG628" i="3"/>
  <c r="AG629" i="3"/>
  <c r="AG630" i="3"/>
  <c r="AG631" i="3"/>
  <c r="AG632" i="3"/>
  <c r="AG633" i="3"/>
  <c r="AG634" i="3"/>
  <c r="AG635" i="3"/>
  <c r="AG636" i="3"/>
  <c r="AG637" i="3"/>
  <c r="AG638" i="3"/>
  <c r="AG639" i="3"/>
  <c r="AG640" i="3"/>
  <c r="AG641" i="3"/>
  <c r="AG642" i="3"/>
  <c r="AG643" i="3"/>
  <c r="AG644" i="3"/>
  <c r="AG645" i="3"/>
  <c r="AG646" i="3"/>
  <c r="AG647" i="3"/>
  <c r="AG648" i="3"/>
  <c r="AG649" i="3"/>
  <c r="AG650" i="3"/>
  <c r="AG651" i="3"/>
  <c r="AG652" i="3"/>
  <c r="AG653" i="3"/>
  <c r="AG654" i="3"/>
  <c r="AG655" i="3"/>
  <c r="AG656" i="3"/>
  <c r="AG657" i="3"/>
  <c r="AG658" i="3"/>
  <c r="AG659" i="3"/>
  <c r="AG660" i="3"/>
  <c r="AG661" i="3"/>
  <c r="AG662" i="3"/>
  <c r="AG663" i="3"/>
  <c r="AG664" i="3"/>
  <c r="AG665" i="3"/>
  <c r="AG666" i="3"/>
  <c r="AG667" i="3"/>
  <c r="AG668" i="3"/>
  <c r="AG669" i="3"/>
  <c r="AG670" i="3"/>
  <c r="AG671" i="3"/>
  <c r="AG672" i="3"/>
  <c r="AG673" i="3"/>
  <c r="AG674" i="3"/>
  <c r="AG675" i="3"/>
  <c r="AG676" i="3"/>
  <c r="AG677" i="3"/>
  <c r="AG678" i="3"/>
  <c r="AG679" i="3"/>
  <c r="AG680" i="3"/>
  <c r="AG681" i="3"/>
  <c r="AG682" i="3"/>
  <c r="AG683" i="3"/>
  <c r="AG684" i="3"/>
  <c r="AG685" i="3"/>
  <c r="AG686" i="3"/>
  <c r="AG687" i="3"/>
  <c r="AG688" i="3"/>
  <c r="AG689" i="3"/>
  <c r="AG690" i="3"/>
  <c r="AG691" i="3"/>
  <c r="AG692" i="3"/>
  <c r="AG693" i="3"/>
  <c r="AG694" i="3"/>
  <c r="AG695" i="3"/>
  <c r="AG696" i="3"/>
  <c r="AG697" i="3"/>
  <c r="AG698" i="3"/>
  <c r="AG699" i="3"/>
  <c r="AG700" i="3"/>
  <c r="AG701" i="3"/>
  <c r="AG702" i="3"/>
  <c r="AG703" i="3"/>
  <c r="AG704" i="3"/>
  <c r="AG705" i="3"/>
  <c r="AG706" i="3"/>
  <c r="AG707" i="3"/>
  <c r="AG708" i="3"/>
  <c r="AG709" i="3"/>
  <c r="AG710" i="3"/>
  <c r="AG711" i="3"/>
  <c r="AG712" i="3"/>
  <c r="AG713" i="3"/>
  <c r="AG714" i="3"/>
  <c r="AG715" i="3"/>
  <c r="AG716" i="3"/>
  <c r="AG717" i="3"/>
  <c r="AG718" i="3"/>
  <c r="AG719" i="3"/>
  <c r="AG720" i="3"/>
  <c r="AG721" i="3"/>
  <c r="AG722" i="3"/>
  <c r="AG723" i="3"/>
  <c r="AG724" i="3"/>
  <c r="AG725" i="3"/>
  <c r="AG726" i="3"/>
  <c r="AG727" i="3"/>
  <c r="AG728" i="3"/>
  <c r="AG729" i="3"/>
  <c r="AG730" i="3"/>
  <c r="AG731" i="3"/>
  <c r="AG732" i="3"/>
  <c r="AG733" i="3"/>
  <c r="AG734" i="3"/>
  <c r="AG735" i="3"/>
  <c r="AG736" i="3"/>
  <c r="AG737" i="3"/>
  <c r="AG738" i="3"/>
  <c r="AG739" i="3"/>
  <c r="AG740" i="3"/>
  <c r="AG741" i="3"/>
  <c r="AG742" i="3"/>
  <c r="AG743" i="3"/>
  <c r="AG744" i="3"/>
  <c r="AG745" i="3"/>
  <c r="AG746" i="3"/>
  <c r="AG747" i="3"/>
  <c r="AG748" i="3"/>
  <c r="AG749" i="3"/>
  <c r="AG750" i="3"/>
  <c r="AG751" i="3"/>
  <c r="AG752" i="3"/>
  <c r="AG753" i="3"/>
  <c r="AG754" i="3"/>
  <c r="AG755" i="3"/>
  <c r="AG756" i="3"/>
  <c r="AG757" i="3"/>
  <c r="AG758" i="3"/>
  <c r="AG759" i="3"/>
  <c r="AG760" i="3"/>
  <c r="AG761" i="3"/>
  <c r="AG762" i="3"/>
  <c r="AG763" i="3"/>
  <c r="AG764" i="3"/>
  <c r="AG765" i="3"/>
  <c r="AG766" i="3"/>
  <c r="AG767" i="3"/>
  <c r="AG768" i="3"/>
  <c r="AG769" i="3"/>
  <c r="AG770" i="3"/>
  <c r="AG771" i="3"/>
  <c r="AG772" i="3"/>
  <c r="AG773" i="3"/>
  <c r="AG774" i="3"/>
  <c r="AG775" i="3"/>
  <c r="AG776" i="3"/>
  <c r="AG777" i="3"/>
  <c r="AG778" i="3"/>
  <c r="AG779" i="3"/>
  <c r="AG780" i="3"/>
  <c r="AG781" i="3"/>
  <c r="AG782" i="3"/>
  <c r="AG783" i="3"/>
  <c r="AG784" i="3"/>
  <c r="AG785" i="3"/>
  <c r="AG786" i="3"/>
  <c r="AG787" i="3"/>
  <c r="AG788" i="3"/>
  <c r="AG789" i="3"/>
  <c r="AG790" i="3"/>
  <c r="AG791" i="3"/>
  <c r="AG792" i="3"/>
  <c r="AG793" i="3"/>
  <c r="AG794" i="3"/>
  <c r="AG795" i="3"/>
  <c r="AG796" i="3"/>
  <c r="AG797" i="3"/>
  <c r="AG798" i="3"/>
  <c r="AG799" i="3"/>
  <c r="AG800" i="3"/>
  <c r="AG801" i="3"/>
  <c r="AG802" i="3"/>
  <c r="AG803" i="3"/>
  <c r="AG804" i="3"/>
  <c r="AG805" i="3"/>
  <c r="AG806" i="3"/>
  <c r="AG807" i="3"/>
  <c r="AG808" i="3"/>
  <c r="AG809" i="3"/>
  <c r="AG810" i="3"/>
  <c r="AG811" i="3"/>
  <c r="AG812" i="3"/>
  <c r="AG813" i="3"/>
  <c r="AG814" i="3"/>
  <c r="AG815" i="3"/>
  <c r="AG816" i="3"/>
  <c r="AG817" i="3"/>
  <c r="AG818" i="3"/>
  <c r="AG819" i="3"/>
  <c r="AG820" i="3"/>
  <c r="AG821" i="3"/>
  <c r="AG822" i="3"/>
  <c r="AG823" i="3"/>
  <c r="AG824" i="3"/>
  <c r="AG825" i="3"/>
  <c r="AG826" i="3"/>
  <c r="AG827" i="3"/>
  <c r="AG828" i="3"/>
  <c r="AG829" i="3"/>
  <c r="AG830" i="3"/>
  <c r="AG831" i="3"/>
  <c r="AG832" i="3"/>
  <c r="AG833" i="3"/>
  <c r="AG834" i="3"/>
  <c r="AG835" i="3"/>
  <c r="AG836" i="3"/>
  <c r="AG837" i="3"/>
  <c r="AG838" i="3"/>
  <c r="AG839" i="3"/>
  <c r="AG840" i="3"/>
  <c r="AG841" i="3"/>
  <c r="AG842" i="3"/>
  <c r="AG843" i="3"/>
  <c r="AG844" i="3"/>
  <c r="AG845" i="3"/>
  <c r="AG846" i="3"/>
  <c r="AG847" i="3"/>
  <c r="AG848" i="3"/>
  <c r="AG849" i="3"/>
  <c r="AG850" i="3"/>
  <c r="AG851" i="3"/>
  <c r="AG852" i="3"/>
  <c r="AG853" i="3"/>
  <c r="AG854" i="3"/>
  <c r="AG855" i="3"/>
  <c r="AG856" i="3"/>
  <c r="AG857" i="3"/>
  <c r="AG858" i="3"/>
  <c r="AG859" i="3"/>
  <c r="AG860" i="3"/>
  <c r="AG861" i="3"/>
  <c r="AG862" i="3"/>
  <c r="AG863" i="3"/>
  <c r="AG864" i="3"/>
  <c r="AG865" i="3"/>
  <c r="AG866" i="3"/>
  <c r="AG867" i="3"/>
  <c r="AG868" i="3"/>
  <c r="AG869" i="3"/>
  <c r="AG870" i="3"/>
  <c r="AG871" i="3"/>
  <c r="AG872" i="3"/>
  <c r="AG873" i="3"/>
  <c r="AG874" i="3"/>
  <c r="AG875" i="3"/>
  <c r="AG876" i="3"/>
  <c r="AG877" i="3"/>
  <c r="AG878" i="3"/>
  <c r="AG879" i="3"/>
  <c r="AG880" i="3"/>
  <c r="AG881" i="3"/>
  <c r="AG882" i="3"/>
  <c r="AG883" i="3"/>
  <c r="AG884" i="3"/>
  <c r="AG885" i="3"/>
  <c r="AG886" i="3"/>
  <c r="AG887" i="3"/>
  <c r="AG888" i="3"/>
  <c r="AG889" i="3"/>
  <c r="AG890" i="3"/>
  <c r="AG891" i="3"/>
  <c r="AG892" i="3"/>
  <c r="AG893" i="3"/>
  <c r="AG894" i="3"/>
  <c r="AG895" i="3"/>
  <c r="AG896" i="3"/>
  <c r="AG897" i="3"/>
  <c r="AG898" i="3"/>
  <c r="AG899" i="3"/>
  <c r="AG900" i="3"/>
  <c r="AG901" i="3"/>
  <c r="AG902" i="3"/>
  <c r="AG903" i="3"/>
  <c r="AG904" i="3"/>
  <c r="AG905" i="3"/>
  <c r="AG906" i="3"/>
  <c r="AG907" i="3"/>
  <c r="AG908" i="3"/>
  <c r="AG909" i="3"/>
  <c r="AG910" i="3"/>
  <c r="AG911" i="3"/>
  <c r="AG912" i="3"/>
  <c r="AG913" i="3"/>
  <c r="AG914" i="3"/>
  <c r="AG915" i="3"/>
  <c r="AG916" i="3"/>
  <c r="AG917" i="3"/>
  <c r="AG918" i="3"/>
  <c r="AG919" i="3"/>
  <c r="AG920" i="3"/>
  <c r="AG921" i="3"/>
  <c r="AG922" i="3"/>
  <c r="AG923" i="3"/>
  <c r="AG924" i="3"/>
  <c r="AG925" i="3"/>
  <c r="AG926" i="3"/>
  <c r="AG927" i="3"/>
  <c r="AG928" i="3"/>
  <c r="AG929" i="3"/>
  <c r="AG930" i="3"/>
  <c r="AG931" i="3"/>
  <c r="AG932" i="3"/>
  <c r="AG933" i="3"/>
  <c r="AG934" i="3"/>
  <c r="AG935" i="3"/>
  <c r="AG936" i="3"/>
  <c r="AG937" i="3"/>
  <c r="AG938" i="3"/>
  <c r="AG939" i="3"/>
  <c r="AG940" i="3"/>
  <c r="AG941" i="3"/>
  <c r="AG942" i="3"/>
  <c r="AG943" i="3"/>
  <c r="AG944" i="3"/>
  <c r="AG945" i="3"/>
  <c r="AG946" i="3"/>
  <c r="AG947" i="3"/>
  <c r="AG948" i="3"/>
  <c r="AG949" i="3"/>
  <c r="AG950" i="3"/>
  <c r="AG951" i="3"/>
  <c r="AG952" i="3"/>
  <c r="AG953" i="3"/>
  <c r="AG954" i="3"/>
  <c r="AG955" i="3"/>
  <c r="AG956" i="3"/>
  <c r="AG957" i="3"/>
  <c r="AG958" i="3"/>
  <c r="AG959" i="3"/>
  <c r="AG960" i="3"/>
  <c r="AG961" i="3"/>
  <c r="AG962" i="3"/>
  <c r="AG963" i="3"/>
  <c r="AG964" i="3"/>
  <c r="AG965" i="3"/>
  <c r="AG966" i="3"/>
  <c r="AG967" i="3"/>
  <c r="AG968" i="3"/>
  <c r="AG969" i="3"/>
  <c r="AG970" i="3"/>
  <c r="AG971" i="3"/>
  <c r="AG972" i="3"/>
  <c r="AG973" i="3"/>
  <c r="AG974" i="3"/>
  <c r="AG975" i="3"/>
  <c r="AG976" i="3"/>
  <c r="AG977" i="3"/>
  <c r="AG978" i="3"/>
  <c r="AG979" i="3"/>
  <c r="AG980" i="3"/>
  <c r="AG981" i="3"/>
  <c r="AG982" i="3"/>
  <c r="AG983" i="3"/>
  <c r="AG984" i="3"/>
  <c r="AG985" i="3"/>
  <c r="AG986" i="3"/>
  <c r="AG987" i="3"/>
  <c r="AG988" i="3"/>
  <c r="AG989" i="3"/>
  <c r="AG990" i="3"/>
  <c r="AG991" i="3"/>
  <c r="AG992" i="3"/>
  <c r="AG993" i="3"/>
  <c r="AG994" i="3"/>
  <c r="AG995" i="3"/>
  <c r="AG996" i="3"/>
  <c r="AG997" i="3"/>
  <c r="AG998" i="3"/>
  <c r="AG999" i="3"/>
  <c r="AG1000" i="3"/>
  <c r="AG1001"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F551" i="3"/>
  <c r="AF552" i="3"/>
  <c r="AF553" i="3"/>
  <c r="AF554" i="3"/>
  <c r="AF555" i="3"/>
  <c r="AF556" i="3"/>
  <c r="AF557" i="3"/>
  <c r="AF558" i="3"/>
  <c r="AF559" i="3"/>
  <c r="AF560" i="3"/>
  <c r="AF561" i="3"/>
  <c r="AF562" i="3"/>
  <c r="AF563" i="3"/>
  <c r="AF564" i="3"/>
  <c r="AF565" i="3"/>
  <c r="AF566" i="3"/>
  <c r="AF567" i="3"/>
  <c r="AF568" i="3"/>
  <c r="AF569" i="3"/>
  <c r="AF570" i="3"/>
  <c r="AF571" i="3"/>
  <c r="AF572" i="3"/>
  <c r="AF573" i="3"/>
  <c r="AF574" i="3"/>
  <c r="AF575" i="3"/>
  <c r="AF576" i="3"/>
  <c r="AF577" i="3"/>
  <c r="AF578" i="3"/>
  <c r="AF579" i="3"/>
  <c r="AF580" i="3"/>
  <c r="AF581" i="3"/>
  <c r="AF582" i="3"/>
  <c r="AF583" i="3"/>
  <c r="AF584" i="3"/>
  <c r="AF585" i="3"/>
  <c r="AF586" i="3"/>
  <c r="AF587" i="3"/>
  <c r="AF588" i="3"/>
  <c r="AF589" i="3"/>
  <c r="AF590" i="3"/>
  <c r="AF591" i="3"/>
  <c r="AF592" i="3"/>
  <c r="AF593" i="3"/>
  <c r="AF594" i="3"/>
  <c r="AF595" i="3"/>
  <c r="AF596" i="3"/>
  <c r="AF597" i="3"/>
  <c r="AF598" i="3"/>
  <c r="AF599" i="3"/>
  <c r="AF600" i="3"/>
  <c r="AF601" i="3"/>
  <c r="AF602" i="3"/>
  <c r="AF603" i="3"/>
  <c r="AF604" i="3"/>
  <c r="AF605" i="3"/>
  <c r="AF606" i="3"/>
  <c r="AF607" i="3"/>
  <c r="AF608" i="3"/>
  <c r="AF609" i="3"/>
  <c r="AF610" i="3"/>
  <c r="AF611" i="3"/>
  <c r="AF612" i="3"/>
  <c r="AF613" i="3"/>
  <c r="AF614" i="3"/>
  <c r="AF615" i="3"/>
  <c r="AF616" i="3"/>
  <c r="AF617" i="3"/>
  <c r="AF618" i="3"/>
  <c r="AF619" i="3"/>
  <c r="AF620" i="3"/>
  <c r="AF621" i="3"/>
  <c r="AF622" i="3"/>
  <c r="AF623" i="3"/>
  <c r="AF624" i="3"/>
  <c r="AF625" i="3"/>
  <c r="AF626" i="3"/>
  <c r="AF627" i="3"/>
  <c r="AF628" i="3"/>
  <c r="AF629" i="3"/>
  <c r="AF630" i="3"/>
  <c r="AF631" i="3"/>
  <c r="AF632" i="3"/>
  <c r="AF633" i="3"/>
  <c r="AF634" i="3"/>
  <c r="AF635" i="3"/>
  <c r="AF636" i="3"/>
  <c r="AF637" i="3"/>
  <c r="AF638" i="3"/>
  <c r="AF639" i="3"/>
  <c r="AF640" i="3"/>
  <c r="AF641" i="3"/>
  <c r="AF642" i="3"/>
  <c r="AF643" i="3"/>
  <c r="AF644" i="3"/>
  <c r="AF645" i="3"/>
  <c r="AF646" i="3"/>
  <c r="AF647" i="3"/>
  <c r="AF648" i="3"/>
  <c r="AF649" i="3"/>
  <c r="AF650" i="3"/>
  <c r="AF651" i="3"/>
  <c r="AF652" i="3"/>
  <c r="AF653" i="3"/>
  <c r="AF654" i="3"/>
  <c r="AF655" i="3"/>
  <c r="AF656" i="3"/>
  <c r="AF657" i="3"/>
  <c r="AF658" i="3"/>
  <c r="AF659" i="3"/>
  <c r="AF660" i="3"/>
  <c r="AF661" i="3"/>
  <c r="AF662" i="3"/>
  <c r="AF663" i="3"/>
  <c r="AF664" i="3"/>
  <c r="AF665" i="3"/>
  <c r="AF666" i="3"/>
  <c r="AF667" i="3"/>
  <c r="AF668" i="3"/>
  <c r="AF669" i="3"/>
  <c r="AF670" i="3"/>
  <c r="AF671" i="3"/>
  <c r="AF672" i="3"/>
  <c r="AF673" i="3"/>
  <c r="AF674" i="3"/>
  <c r="AF675" i="3"/>
  <c r="AF676" i="3"/>
  <c r="AF677" i="3"/>
  <c r="AF678" i="3"/>
  <c r="AF679" i="3"/>
  <c r="AF680" i="3"/>
  <c r="AF681" i="3"/>
  <c r="AF682" i="3"/>
  <c r="AF683" i="3"/>
  <c r="AF684" i="3"/>
  <c r="AF685" i="3"/>
  <c r="AF686" i="3"/>
  <c r="AF687" i="3"/>
  <c r="AF688" i="3"/>
  <c r="AF689" i="3"/>
  <c r="AF690" i="3"/>
  <c r="AF691" i="3"/>
  <c r="AF692" i="3"/>
  <c r="AF693" i="3"/>
  <c r="AF694" i="3"/>
  <c r="AF695" i="3"/>
  <c r="AF696" i="3"/>
  <c r="AF697" i="3"/>
  <c r="AF698" i="3"/>
  <c r="AF699" i="3"/>
  <c r="AF700" i="3"/>
  <c r="AF701" i="3"/>
  <c r="AF702" i="3"/>
  <c r="AF703" i="3"/>
  <c r="AF704" i="3"/>
  <c r="AF705" i="3"/>
  <c r="AF706" i="3"/>
  <c r="AF707" i="3"/>
  <c r="AF708" i="3"/>
  <c r="AF709" i="3"/>
  <c r="AF710" i="3"/>
  <c r="AF711" i="3"/>
  <c r="AF712" i="3"/>
  <c r="AF713" i="3"/>
  <c r="AF714" i="3"/>
  <c r="AF715" i="3"/>
  <c r="AF716" i="3"/>
  <c r="AF717" i="3"/>
  <c r="AF718" i="3"/>
  <c r="AF719" i="3"/>
  <c r="AF720" i="3"/>
  <c r="AF721" i="3"/>
  <c r="AF722" i="3"/>
  <c r="AF723" i="3"/>
  <c r="AF724" i="3"/>
  <c r="AF725" i="3"/>
  <c r="AF726" i="3"/>
  <c r="AF727" i="3"/>
  <c r="AF728" i="3"/>
  <c r="AF729" i="3"/>
  <c r="AF730" i="3"/>
  <c r="AF731" i="3"/>
  <c r="AF732" i="3"/>
  <c r="AF733" i="3"/>
  <c r="AF734" i="3"/>
  <c r="AF735" i="3"/>
  <c r="AF736" i="3"/>
  <c r="AF737" i="3"/>
  <c r="AF738" i="3"/>
  <c r="AF739" i="3"/>
  <c r="AF740" i="3"/>
  <c r="AF741" i="3"/>
  <c r="AF742" i="3"/>
  <c r="AF743" i="3"/>
  <c r="AF744" i="3"/>
  <c r="AF745" i="3"/>
  <c r="AF746" i="3"/>
  <c r="AF747" i="3"/>
  <c r="AF748" i="3"/>
  <c r="AF749" i="3"/>
  <c r="AF750" i="3"/>
  <c r="AF751" i="3"/>
  <c r="AF752" i="3"/>
  <c r="AF753" i="3"/>
  <c r="AF754" i="3"/>
  <c r="AF755" i="3"/>
  <c r="AF756" i="3"/>
  <c r="AF757" i="3"/>
  <c r="AF758" i="3"/>
  <c r="AF759" i="3"/>
  <c r="AF760" i="3"/>
  <c r="AF761" i="3"/>
  <c r="AF762" i="3"/>
  <c r="AF763" i="3"/>
  <c r="AF764" i="3"/>
  <c r="AF765" i="3"/>
  <c r="AF766" i="3"/>
  <c r="AF767" i="3"/>
  <c r="AF768" i="3"/>
  <c r="AF769" i="3"/>
  <c r="AF770" i="3"/>
  <c r="AF771" i="3"/>
  <c r="AF772" i="3"/>
  <c r="AF773" i="3"/>
  <c r="AF774" i="3"/>
  <c r="AF775" i="3"/>
  <c r="AF776" i="3"/>
  <c r="AF777" i="3"/>
  <c r="AF778" i="3"/>
  <c r="AF779" i="3"/>
  <c r="AF780" i="3"/>
  <c r="AF781" i="3"/>
  <c r="AF782" i="3"/>
  <c r="AF783" i="3"/>
  <c r="AF784" i="3"/>
  <c r="AF785" i="3"/>
  <c r="AF786" i="3"/>
  <c r="AF787" i="3"/>
  <c r="AF788" i="3"/>
  <c r="AF789" i="3"/>
  <c r="AF790" i="3"/>
  <c r="AF791" i="3"/>
  <c r="AF792" i="3"/>
  <c r="AF793" i="3"/>
  <c r="AF794" i="3"/>
  <c r="AF795" i="3"/>
  <c r="AF796" i="3"/>
  <c r="AF797" i="3"/>
  <c r="AF798" i="3"/>
  <c r="AF799" i="3"/>
  <c r="AF800" i="3"/>
  <c r="AF801" i="3"/>
  <c r="AF802" i="3"/>
  <c r="AF803" i="3"/>
  <c r="AF804" i="3"/>
  <c r="AF805" i="3"/>
  <c r="AF806" i="3"/>
  <c r="AF807" i="3"/>
  <c r="AF808" i="3"/>
  <c r="AF809" i="3"/>
  <c r="AF810" i="3"/>
  <c r="AF811" i="3"/>
  <c r="AF812" i="3"/>
  <c r="AF813" i="3"/>
  <c r="AF814" i="3"/>
  <c r="AF815" i="3"/>
  <c r="AF816" i="3"/>
  <c r="AF817" i="3"/>
  <c r="AF818" i="3"/>
  <c r="AF819" i="3"/>
  <c r="AF820" i="3"/>
  <c r="AF821" i="3"/>
  <c r="AF822" i="3"/>
  <c r="AF823" i="3"/>
  <c r="AF824" i="3"/>
  <c r="AF825" i="3"/>
  <c r="AF826" i="3"/>
  <c r="AF827" i="3"/>
  <c r="AF828" i="3"/>
  <c r="AF829" i="3"/>
  <c r="AF830" i="3"/>
  <c r="AF831" i="3"/>
  <c r="AF832" i="3"/>
  <c r="AF833" i="3"/>
  <c r="AF834" i="3"/>
  <c r="AF835" i="3"/>
  <c r="AF836" i="3"/>
  <c r="AF837" i="3"/>
  <c r="AF838" i="3"/>
  <c r="AF839" i="3"/>
  <c r="AF840" i="3"/>
  <c r="AF841" i="3"/>
  <c r="AF842" i="3"/>
  <c r="AF843" i="3"/>
  <c r="AF844" i="3"/>
  <c r="AF845" i="3"/>
  <c r="AF846" i="3"/>
  <c r="AF847" i="3"/>
  <c r="AF848" i="3"/>
  <c r="AF849" i="3"/>
  <c r="AF850" i="3"/>
  <c r="AF851" i="3"/>
  <c r="AF852" i="3"/>
  <c r="AF853" i="3"/>
  <c r="AF854" i="3"/>
  <c r="AF855" i="3"/>
  <c r="AF856" i="3"/>
  <c r="AF857" i="3"/>
  <c r="AF858" i="3"/>
  <c r="AF859" i="3"/>
  <c r="AF860" i="3"/>
  <c r="AF861" i="3"/>
  <c r="AF862" i="3"/>
  <c r="AF863" i="3"/>
  <c r="AF864" i="3"/>
  <c r="AF865" i="3"/>
  <c r="AF866" i="3"/>
  <c r="AF867" i="3"/>
  <c r="AF868" i="3"/>
  <c r="AF869" i="3"/>
  <c r="AF870" i="3"/>
  <c r="AF871" i="3"/>
  <c r="AF872" i="3"/>
  <c r="AF873" i="3"/>
  <c r="AF874" i="3"/>
  <c r="AF875" i="3"/>
  <c r="AF876" i="3"/>
  <c r="AF877" i="3"/>
  <c r="AF878" i="3"/>
  <c r="AF879" i="3"/>
  <c r="AF880" i="3"/>
  <c r="AF881" i="3"/>
  <c r="AF882" i="3"/>
  <c r="AF883" i="3"/>
  <c r="AF884" i="3"/>
  <c r="AF885" i="3"/>
  <c r="AF886" i="3"/>
  <c r="AF887" i="3"/>
  <c r="AF888" i="3"/>
  <c r="AF889" i="3"/>
  <c r="AF890" i="3"/>
  <c r="AF891" i="3"/>
  <c r="AF892" i="3"/>
  <c r="AF893" i="3"/>
  <c r="AF894" i="3"/>
  <c r="AF895" i="3"/>
  <c r="AF896" i="3"/>
  <c r="AF897" i="3"/>
  <c r="AF898" i="3"/>
  <c r="AF899" i="3"/>
  <c r="AF900" i="3"/>
  <c r="AF901" i="3"/>
  <c r="AF902" i="3"/>
  <c r="AF903" i="3"/>
  <c r="AF904" i="3"/>
  <c r="AF905" i="3"/>
  <c r="AF906" i="3"/>
  <c r="AF907" i="3"/>
  <c r="AF908" i="3"/>
  <c r="AF909" i="3"/>
  <c r="AF910" i="3"/>
  <c r="AF911" i="3"/>
  <c r="AF912" i="3"/>
  <c r="AF913" i="3"/>
  <c r="AF914" i="3"/>
  <c r="AF915" i="3"/>
  <c r="AF916" i="3"/>
  <c r="AF917" i="3"/>
  <c r="AF918" i="3"/>
  <c r="AF919" i="3"/>
  <c r="AF920" i="3"/>
  <c r="AF921" i="3"/>
  <c r="AF922" i="3"/>
  <c r="AF923" i="3"/>
  <c r="AF924" i="3"/>
  <c r="AF925" i="3"/>
  <c r="AF926" i="3"/>
  <c r="AF927" i="3"/>
  <c r="AF928" i="3"/>
  <c r="AF929" i="3"/>
  <c r="AF930" i="3"/>
  <c r="AF931" i="3"/>
  <c r="AF932" i="3"/>
  <c r="AF933" i="3"/>
  <c r="AF934" i="3"/>
  <c r="AF935" i="3"/>
  <c r="AF936" i="3"/>
  <c r="AF937" i="3"/>
  <c r="AF938" i="3"/>
  <c r="AF939" i="3"/>
  <c r="AF940" i="3"/>
  <c r="AF941" i="3"/>
  <c r="AF942" i="3"/>
  <c r="AF943" i="3"/>
  <c r="AF944" i="3"/>
  <c r="AF945" i="3"/>
  <c r="AF946" i="3"/>
  <c r="AF947" i="3"/>
  <c r="AF948" i="3"/>
  <c r="AF949" i="3"/>
  <c r="AF950" i="3"/>
  <c r="AF951" i="3"/>
  <c r="AF952" i="3"/>
  <c r="AF953" i="3"/>
  <c r="AF954" i="3"/>
  <c r="AF955" i="3"/>
  <c r="AF956" i="3"/>
  <c r="AF957" i="3"/>
  <c r="AF958" i="3"/>
  <c r="AF959" i="3"/>
  <c r="AF960" i="3"/>
  <c r="AF961" i="3"/>
  <c r="AF962" i="3"/>
  <c r="AF963" i="3"/>
  <c r="AF964" i="3"/>
  <c r="AF965" i="3"/>
  <c r="AF966" i="3"/>
  <c r="AF967" i="3"/>
  <c r="AF968" i="3"/>
  <c r="AF969" i="3"/>
  <c r="AF970" i="3"/>
  <c r="AF971" i="3"/>
  <c r="AF972" i="3"/>
  <c r="AF973" i="3"/>
  <c r="AF974" i="3"/>
  <c r="AF975" i="3"/>
  <c r="AF976" i="3"/>
  <c r="AF977" i="3"/>
  <c r="AF978" i="3"/>
  <c r="AF979" i="3"/>
  <c r="AF980" i="3"/>
  <c r="AF981" i="3"/>
  <c r="AF982" i="3"/>
  <c r="AF983" i="3"/>
  <c r="AF984" i="3"/>
  <c r="AF985" i="3"/>
  <c r="AF986" i="3"/>
  <c r="AF987" i="3"/>
  <c r="AF988" i="3"/>
  <c r="AF989" i="3"/>
  <c r="AF990" i="3"/>
  <c r="AF991" i="3"/>
  <c r="AF992" i="3"/>
  <c r="AF993" i="3"/>
  <c r="AF994" i="3"/>
  <c r="AF995" i="3"/>
  <c r="AF996" i="3"/>
  <c r="AF997" i="3"/>
  <c r="AF998" i="3"/>
  <c r="AF999" i="3"/>
  <c r="AF1000" i="3"/>
  <c r="AF1001"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D2"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C2" i="3"/>
  <c r="AC3" i="3"/>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A1001" i="3"/>
  <c r="AA1000" i="3"/>
  <c r="AA999" i="3"/>
  <c r="AA998" i="3"/>
  <c r="AA997" i="3"/>
  <c r="AA996" i="3"/>
  <c r="AA995" i="3"/>
  <c r="AA994" i="3"/>
  <c r="AA993" i="3"/>
  <c r="AA992" i="3"/>
  <c r="AA991" i="3"/>
  <c r="AA990" i="3"/>
  <c r="AA989" i="3"/>
  <c r="AA988" i="3"/>
  <c r="AA987" i="3"/>
  <c r="AA986" i="3"/>
  <c r="AA985" i="3"/>
  <c r="AA984" i="3"/>
  <c r="AA983" i="3"/>
  <c r="AA982" i="3"/>
  <c r="AA981" i="3"/>
  <c r="AA980" i="3"/>
  <c r="AA979" i="3"/>
  <c r="AA978" i="3"/>
  <c r="AA977" i="3"/>
  <c r="AA976" i="3"/>
  <c r="AA975" i="3"/>
  <c r="AA974" i="3"/>
  <c r="AA973" i="3"/>
  <c r="AA972" i="3"/>
  <c r="AA971" i="3"/>
  <c r="AA970" i="3"/>
  <c r="AA969" i="3"/>
  <c r="AA968" i="3"/>
  <c r="AA967" i="3"/>
  <c r="AA966" i="3"/>
  <c r="AA965" i="3"/>
  <c r="AA964" i="3"/>
  <c r="AA963" i="3"/>
  <c r="AA962" i="3"/>
  <c r="AA961" i="3"/>
  <c r="AA960" i="3"/>
  <c r="AA959" i="3"/>
  <c r="AA958" i="3"/>
  <c r="AA957" i="3"/>
  <c r="AA956" i="3"/>
  <c r="AA955" i="3"/>
  <c r="AA954" i="3"/>
  <c r="AA953" i="3"/>
  <c r="AA952" i="3"/>
  <c r="AA951" i="3"/>
  <c r="AA950" i="3"/>
  <c r="AA949" i="3"/>
  <c r="AA948" i="3"/>
  <c r="AA947" i="3"/>
  <c r="AA946" i="3"/>
  <c r="AA945" i="3"/>
  <c r="AA944" i="3"/>
  <c r="AA943" i="3"/>
  <c r="AA942" i="3"/>
  <c r="AA941" i="3"/>
  <c r="AA940" i="3"/>
  <c r="AA939" i="3"/>
  <c r="AA938" i="3"/>
  <c r="AA937" i="3"/>
  <c r="AA936" i="3"/>
  <c r="AA935" i="3"/>
  <c r="AA934" i="3"/>
  <c r="AA933" i="3"/>
  <c r="AA932" i="3"/>
  <c r="AA931" i="3"/>
  <c r="AA930" i="3"/>
  <c r="AA929" i="3"/>
  <c r="AA928" i="3"/>
  <c r="AA927" i="3"/>
  <c r="AA926" i="3"/>
  <c r="AA925" i="3"/>
  <c r="AA924" i="3"/>
  <c r="AA923" i="3"/>
  <c r="AA922" i="3"/>
  <c r="AA921" i="3"/>
  <c r="AA920" i="3"/>
  <c r="AA919" i="3"/>
  <c r="AA918" i="3"/>
  <c r="AA917" i="3"/>
  <c r="AA916" i="3"/>
  <c r="AA915" i="3"/>
  <c r="AA914" i="3"/>
  <c r="AA913" i="3"/>
  <c r="AA912" i="3"/>
  <c r="AA911" i="3"/>
  <c r="AA910" i="3"/>
  <c r="AA909" i="3"/>
  <c r="AA908" i="3"/>
  <c r="AA907" i="3"/>
  <c r="AA906" i="3"/>
  <c r="AA905" i="3"/>
  <c r="AA904" i="3"/>
  <c r="AA903" i="3"/>
  <c r="AA902" i="3"/>
  <c r="AA901" i="3"/>
  <c r="AA900" i="3"/>
  <c r="AA899" i="3"/>
  <c r="AA898" i="3"/>
  <c r="AA897" i="3"/>
  <c r="AA896" i="3"/>
  <c r="AA895" i="3"/>
  <c r="AA894" i="3"/>
  <c r="AA893" i="3"/>
  <c r="AA892" i="3"/>
  <c r="AA891" i="3"/>
  <c r="AA890" i="3"/>
  <c r="AA889" i="3"/>
  <c r="AA888" i="3"/>
  <c r="AA887" i="3"/>
  <c r="AA886" i="3"/>
  <c r="AA885" i="3"/>
  <c r="AA884" i="3"/>
  <c r="AA883" i="3"/>
  <c r="AA882" i="3"/>
  <c r="AA881" i="3"/>
  <c r="AA880" i="3"/>
  <c r="AA879" i="3"/>
  <c r="AA878" i="3"/>
  <c r="AA877" i="3"/>
  <c r="AA876" i="3"/>
  <c r="AA875" i="3"/>
  <c r="AA874" i="3"/>
  <c r="AA873" i="3"/>
  <c r="AA872" i="3"/>
  <c r="AA871" i="3"/>
  <c r="AA870" i="3"/>
  <c r="AA869" i="3"/>
  <c r="AA868" i="3"/>
  <c r="AA867" i="3"/>
  <c r="AA866" i="3"/>
  <c r="AA865" i="3"/>
  <c r="AA864" i="3"/>
  <c r="AA863" i="3"/>
  <c r="AA862" i="3"/>
  <c r="AA861" i="3"/>
  <c r="AA860" i="3"/>
  <c r="AA859" i="3"/>
  <c r="AA858" i="3"/>
  <c r="AA857" i="3"/>
  <c r="AA856" i="3"/>
  <c r="AA855" i="3"/>
  <c r="AA854" i="3"/>
  <c r="AA853" i="3"/>
  <c r="AA852" i="3"/>
  <c r="AA851" i="3"/>
  <c r="AA850" i="3"/>
  <c r="AA849" i="3"/>
  <c r="AA848" i="3"/>
  <c r="AA847" i="3"/>
  <c r="AA846" i="3"/>
  <c r="AA845" i="3"/>
  <c r="AA844" i="3"/>
  <c r="AA843" i="3"/>
  <c r="AA842" i="3"/>
  <c r="AA841" i="3"/>
  <c r="AA840" i="3"/>
  <c r="AA839" i="3"/>
  <c r="AA838" i="3"/>
  <c r="AA837" i="3"/>
  <c r="AA836" i="3"/>
  <c r="AA835" i="3"/>
  <c r="AA834" i="3"/>
  <c r="AA833" i="3"/>
  <c r="AA832" i="3"/>
  <c r="AA831" i="3"/>
  <c r="AA830" i="3"/>
  <c r="AA829" i="3"/>
  <c r="AA828" i="3"/>
  <c r="AA827" i="3"/>
  <c r="AA826" i="3"/>
  <c r="AA825" i="3"/>
  <c r="AA824" i="3"/>
  <c r="AA823" i="3"/>
  <c r="AA822" i="3"/>
  <c r="AA821" i="3"/>
  <c r="AA820" i="3"/>
  <c r="AA819" i="3"/>
  <c r="AA818" i="3"/>
  <c r="AA817" i="3"/>
  <c r="AA816" i="3"/>
  <c r="AA815" i="3"/>
  <c r="AA814" i="3"/>
  <c r="AA813" i="3"/>
  <c r="AA812" i="3"/>
  <c r="AA811" i="3"/>
  <c r="AA810" i="3"/>
  <c r="AA809" i="3"/>
  <c r="AA808" i="3"/>
  <c r="AA807" i="3"/>
  <c r="AA806" i="3"/>
  <c r="AA805" i="3"/>
  <c r="AA804" i="3"/>
  <c r="AA803" i="3"/>
  <c r="AA802" i="3"/>
  <c r="AA801" i="3"/>
  <c r="AA800" i="3"/>
  <c r="AA799" i="3"/>
  <c r="AA798" i="3"/>
  <c r="AA797" i="3"/>
  <c r="AA796" i="3"/>
  <c r="AA795" i="3"/>
  <c r="AA794" i="3"/>
  <c r="AA793" i="3"/>
  <c r="AA792" i="3"/>
  <c r="AA791" i="3"/>
  <c r="AA790" i="3"/>
  <c r="AA789" i="3"/>
  <c r="AA788" i="3"/>
  <c r="AA787" i="3"/>
  <c r="AA786" i="3"/>
  <c r="AA785" i="3"/>
  <c r="AA784" i="3"/>
  <c r="AA783" i="3"/>
  <c r="AA782" i="3"/>
  <c r="AA781" i="3"/>
  <c r="AA780" i="3"/>
  <c r="AA779" i="3"/>
  <c r="AA778" i="3"/>
  <c r="AA777" i="3"/>
  <c r="AA776" i="3"/>
  <c r="AA775" i="3"/>
  <c r="AA774" i="3"/>
  <c r="AA773" i="3"/>
  <c r="AA772" i="3"/>
  <c r="AA771" i="3"/>
  <c r="AA770" i="3"/>
  <c r="AA769" i="3"/>
  <c r="AA768" i="3"/>
  <c r="AA767" i="3"/>
  <c r="AA766" i="3"/>
  <c r="AA765" i="3"/>
  <c r="AA764" i="3"/>
  <c r="AA763" i="3"/>
  <c r="AA762" i="3"/>
  <c r="AA761" i="3"/>
  <c r="AA760" i="3"/>
  <c r="AA759" i="3"/>
  <c r="AA758" i="3"/>
  <c r="AA757" i="3"/>
  <c r="AA756" i="3"/>
  <c r="AA755" i="3"/>
  <c r="AA754" i="3"/>
  <c r="AA753" i="3"/>
  <c r="AA752" i="3"/>
  <c r="AA751" i="3"/>
  <c r="AA750" i="3"/>
  <c r="AA749" i="3"/>
  <c r="AA748" i="3"/>
  <c r="AA747" i="3"/>
  <c r="AA746" i="3"/>
  <c r="AA745" i="3"/>
  <c r="AA744" i="3"/>
  <c r="AA743" i="3"/>
  <c r="AA742" i="3"/>
  <c r="AA741" i="3"/>
  <c r="AA740" i="3"/>
  <c r="AA739" i="3"/>
  <c r="AA738" i="3"/>
  <c r="AA737" i="3"/>
  <c r="AA736" i="3"/>
  <c r="AA735" i="3"/>
  <c r="AA734" i="3"/>
  <c r="AA733" i="3"/>
  <c r="AA732" i="3"/>
  <c r="AA731" i="3"/>
  <c r="AA730" i="3"/>
  <c r="AA729" i="3"/>
  <c r="AA728" i="3"/>
  <c r="AA727" i="3"/>
  <c r="AA726" i="3"/>
  <c r="AA725" i="3"/>
  <c r="AA724" i="3"/>
  <c r="AA723" i="3"/>
  <c r="AA722" i="3"/>
  <c r="AA721" i="3"/>
  <c r="AA720" i="3"/>
  <c r="AA719" i="3"/>
  <c r="AA718" i="3"/>
  <c r="AA717" i="3"/>
  <c r="AA716" i="3"/>
  <c r="AA715" i="3"/>
  <c r="AA714" i="3"/>
  <c r="AA713" i="3"/>
  <c r="AA712" i="3"/>
  <c r="AA711" i="3"/>
  <c r="AA710" i="3"/>
  <c r="AA709" i="3"/>
  <c r="AA708" i="3"/>
  <c r="AA707" i="3"/>
  <c r="AA706" i="3"/>
  <c r="AA705" i="3"/>
  <c r="AA704" i="3"/>
  <c r="AA703" i="3"/>
  <c r="AA702" i="3"/>
  <c r="AA701" i="3"/>
  <c r="AA700" i="3"/>
  <c r="AA699" i="3"/>
  <c r="AA698" i="3"/>
  <c r="AA697" i="3"/>
  <c r="AA696" i="3"/>
  <c r="AA695" i="3"/>
  <c r="AA694" i="3"/>
  <c r="AA693" i="3"/>
  <c r="AA692" i="3"/>
  <c r="AA691" i="3"/>
  <c r="AA690" i="3"/>
  <c r="AA689" i="3"/>
  <c r="AA688" i="3"/>
  <c r="AA687" i="3"/>
  <c r="AA686" i="3"/>
  <c r="AA685" i="3"/>
  <c r="AA684" i="3"/>
  <c r="AA683" i="3"/>
  <c r="AA682" i="3"/>
  <c r="AA681" i="3"/>
  <c r="AA680" i="3"/>
  <c r="AA679" i="3"/>
  <c r="AA678" i="3"/>
  <c r="AA677" i="3"/>
  <c r="AA676" i="3"/>
  <c r="AA675" i="3"/>
  <c r="AA674" i="3"/>
  <c r="AA673" i="3"/>
  <c r="AA672" i="3"/>
  <c r="AA671" i="3"/>
  <c r="AA670" i="3"/>
  <c r="AA669" i="3"/>
  <c r="AA668" i="3"/>
  <c r="AA667" i="3"/>
  <c r="AA666" i="3"/>
  <c r="AA665" i="3"/>
  <c r="AA664" i="3"/>
  <c r="AA663" i="3"/>
  <c r="AA662" i="3"/>
  <c r="AA661" i="3"/>
  <c r="AA660" i="3"/>
  <c r="AA659" i="3"/>
  <c r="AA658" i="3"/>
  <c r="AA657" i="3"/>
  <c r="AA656" i="3"/>
  <c r="AA655" i="3"/>
  <c r="AA654" i="3"/>
  <c r="AA653" i="3"/>
  <c r="AA652" i="3"/>
  <c r="AA651" i="3"/>
  <c r="AA650" i="3"/>
  <c r="AA649" i="3"/>
  <c r="AA648" i="3"/>
  <c r="AA647" i="3"/>
  <c r="AA646" i="3"/>
  <c r="AA645" i="3"/>
  <c r="AA644" i="3"/>
  <c r="AA643" i="3"/>
  <c r="AA642" i="3"/>
  <c r="AA641" i="3"/>
  <c r="AA640" i="3"/>
  <c r="AA639" i="3"/>
  <c r="AA638" i="3"/>
  <c r="AA637" i="3"/>
  <c r="AA636" i="3"/>
  <c r="AA635" i="3"/>
  <c r="AA634" i="3"/>
  <c r="AA633" i="3"/>
  <c r="AA632" i="3"/>
  <c r="AA631" i="3"/>
  <c r="AA630" i="3"/>
  <c r="AA629" i="3"/>
  <c r="AA628" i="3"/>
  <c r="AA627" i="3"/>
  <c r="AA626" i="3"/>
  <c r="AA625" i="3"/>
  <c r="AA624" i="3"/>
  <c r="AA623" i="3"/>
  <c r="AA622" i="3"/>
  <c r="AA621" i="3"/>
  <c r="AA620" i="3"/>
  <c r="AA619" i="3"/>
  <c r="AA618" i="3"/>
  <c r="AA617" i="3"/>
  <c r="AA616" i="3"/>
  <c r="AA615" i="3"/>
  <c r="AA614" i="3"/>
  <c r="AA613" i="3"/>
  <c r="AA612" i="3"/>
  <c r="AA611" i="3"/>
  <c r="AA610" i="3"/>
  <c r="AA609" i="3"/>
  <c r="AA608" i="3"/>
  <c r="AA607" i="3"/>
  <c r="AA606" i="3"/>
  <c r="AA605" i="3"/>
  <c r="AA604" i="3"/>
  <c r="AA603" i="3"/>
  <c r="AA602" i="3"/>
  <c r="AA601" i="3"/>
  <c r="AA600" i="3"/>
  <c r="AA599" i="3"/>
  <c r="AA598" i="3"/>
  <c r="AA597" i="3"/>
  <c r="AA596" i="3"/>
  <c r="AA595" i="3"/>
  <c r="AA594" i="3"/>
  <c r="AA593" i="3"/>
  <c r="AA592" i="3"/>
  <c r="AA591" i="3"/>
  <c r="AA590" i="3"/>
  <c r="AA589" i="3"/>
  <c r="AA588" i="3"/>
  <c r="AA587" i="3"/>
  <c r="AA586" i="3"/>
  <c r="AA585" i="3"/>
  <c r="AA584" i="3"/>
  <c r="AA583" i="3"/>
  <c r="AA582" i="3"/>
  <c r="AA581" i="3"/>
  <c r="AA580" i="3"/>
  <c r="AA579" i="3"/>
  <c r="AA578" i="3"/>
  <c r="AA577" i="3"/>
  <c r="AA576" i="3"/>
  <c r="AA575" i="3"/>
  <c r="AA574" i="3"/>
  <c r="AA573" i="3"/>
  <c r="AA572" i="3"/>
  <c r="AA571" i="3"/>
  <c r="AA570" i="3"/>
  <c r="AA569" i="3"/>
  <c r="AA568" i="3"/>
  <c r="AA567" i="3"/>
  <c r="AA566" i="3"/>
  <c r="AA565" i="3"/>
  <c r="AA564" i="3"/>
  <c r="AA563" i="3"/>
  <c r="AA562" i="3"/>
  <c r="AA561" i="3"/>
  <c r="AA560" i="3"/>
  <c r="AA559" i="3"/>
  <c r="AA558" i="3"/>
  <c r="AA557" i="3"/>
  <c r="AA556" i="3"/>
  <c r="AA555" i="3"/>
  <c r="AA554" i="3"/>
  <c r="AA553" i="3"/>
  <c r="AA552" i="3"/>
  <c r="AA551" i="3"/>
  <c r="AA550" i="3"/>
  <c r="AA549" i="3"/>
  <c r="AA548" i="3"/>
  <c r="AA547" i="3"/>
  <c r="AA546" i="3"/>
  <c r="AA545" i="3"/>
  <c r="AA544" i="3"/>
  <c r="AA543" i="3"/>
  <c r="AA542" i="3"/>
  <c r="AA541" i="3"/>
  <c r="AA540" i="3"/>
  <c r="AA539" i="3"/>
  <c r="AA538" i="3"/>
  <c r="AA537" i="3"/>
  <c r="AA536" i="3"/>
  <c r="AA535" i="3"/>
  <c r="AA534" i="3"/>
  <c r="AA533" i="3"/>
  <c r="AA532" i="3"/>
  <c r="AA531" i="3"/>
  <c r="AA530" i="3"/>
  <c r="AA529" i="3"/>
  <c r="AA528" i="3"/>
  <c r="AA527" i="3"/>
  <c r="AA526" i="3"/>
  <c r="AA525" i="3"/>
  <c r="AA524" i="3"/>
  <c r="AA523" i="3"/>
  <c r="AA522" i="3"/>
  <c r="AA521" i="3"/>
  <c r="AA520" i="3"/>
  <c r="AA519" i="3"/>
  <c r="AA518" i="3"/>
  <c r="AA517" i="3"/>
  <c r="AA516" i="3"/>
  <c r="AA515" i="3"/>
  <c r="AA514" i="3"/>
  <c r="AA513" i="3"/>
  <c r="AA512" i="3"/>
  <c r="AA511" i="3"/>
  <c r="AA510" i="3"/>
  <c r="AA509" i="3"/>
  <c r="AA508" i="3"/>
  <c r="AA507" i="3"/>
  <c r="AA506" i="3"/>
  <c r="AA505" i="3"/>
  <c r="AA504" i="3"/>
  <c r="AA503" i="3"/>
  <c r="AA502" i="3"/>
  <c r="AA501" i="3"/>
  <c r="AA500" i="3"/>
  <c r="AA499" i="3"/>
  <c r="AA498" i="3"/>
  <c r="AA497" i="3"/>
  <c r="AA496" i="3"/>
  <c r="AA495" i="3"/>
  <c r="AA494" i="3"/>
  <c r="AA493" i="3"/>
  <c r="AA492" i="3"/>
  <c r="AA491" i="3"/>
  <c r="AA490" i="3"/>
  <c r="AA489" i="3"/>
  <c r="AA488" i="3"/>
  <c r="AA487" i="3"/>
  <c r="AA486" i="3"/>
  <c r="AA485" i="3"/>
  <c r="AA484" i="3"/>
  <c r="AA483" i="3"/>
  <c r="AA482" i="3"/>
  <c r="AA481" i="3"/>
  <c r="AA480" i="3"/>
  <c r="AA479" i="3"/>
  <c r="AA478" i="3"/>
  <c r="AA477" i="3"/>
  <c r="AA476" i="3"/>
  <c r="AA475" i="3"/>
  <c r="AA474" i="3"/>
  <c r="AA473" i="3"/>
  <c r="AA472" i="3"/>
  <c r="AA471" i="3"/>
  <c r="AA470" i="3"/>
  <c r="AA469" i="3"/>
  <c r="AA468" i="3"/>
  <c r="AA467" i="3"/>
  <c r="AA466" i="3"/>
  <c r="AA465" i="3"/>
  <c r="AA464" i="3"/>
  <c r="AA463" i="3"/>
  <c r="AA462" i="3"/>
  <c r="AA461" i="3"/>
  <c r="AA460" i="3"/>
  <c r="AA459" i="3"/>
  <c r="AA458" i="3"/>
  <c r="AA457" i="3"/>
  <c r="AA456" i="3"/>
  <c r="AA455" i="3"/>
  <c r="AA454" i="3"/>
  <c r="AA453" i="3"/>
  <c r="AA452" i="3"/>
  <c r="AA451" i="3"/>
  <c r="AA450" i="3"/>
  <c r="AA449" i="3"/>
  <c r="AA448" i="3"/>
  <c r="AA447" i="3"/>
  <c r="AA446" i="3"/>
  <c r="AA445" i="3"/>
  <c r="AA444" i="3"/>
  <c r="AA443" i="3"/>
  <c r="AA442" i="3"/>
  <c r="AA441" i="3"/>
  <c r="AA440" i="3"/>
  <c r="AA439" i="3"/>
  <c r="AA438" i="3"/>
  <c r="AA437" i="3"/>
  <c r="AA436" i="3"/>
  <c r="AA435" i="3"/>
  <c r="AA434" i="3"/>
  <c r="AA433" i="3"/>
  <c r="AA432" i="3"/>
  <c r="AA431" i="3"/>
  <c r="AA430" i="3"/>
  <c r="AA429" i="3"/>
  <c r="AA428" i="3"/>
  <c r="AA427" i="3"/>
  <c r="AA426" i="3"/>
  <c r="AA425" i="3"/>
  <c r="AA424" i="3"/>
  <c r="AA423" i="3"/>
  <c r="AA422" i="3"/>
  <c r="AA421" i="3"/>
  <c r="AA420" i="3"/>
  <c r="AA419" i="3"/>
  <c r="AA418" i="3"/>
  <c r="AA417" i="3"/>
  <c r="AA416" i="3"/>
  <c r="AA415" i="3"/>
  <c r="AA414" i="3"/>
  <c r="AA413" i="3"/>
  <c r="AA412" i="3"/>
  <c r="AA411" i="3"/>
  <c r="AA410" i="3"/>
  <c r="AA409" i="3"/>
  <c r="AA408" i="3"/>
  <c r="AA407" i="3"/>
  <c r="AA406" i="3"/>
  <c r="AA405" i="3"/>
  <c r="AA404" i="3"/>
  <c r="AA403" i="3"/>
  <c r="AA402" i="3"/>
  <c r="AA401" i="3"/>
  <c r="AA400" i="3"/>
  <c r="AA399" i="3"/>
  <c r="AA398" i="3"/>
  <c r="AA397" i="3"/>
  <c r="AA396" i="3"/>
  <c r="AA395" i="3"/>
  <c r="AA394" i="3"/>
  <c r="AA393" i="3"/>
  <c r="AA392" i="3"/>
  <c r="AA391" i="3"/>
  <c r="AA390" i="3"/>
  <c r="AA389" i="3"/>
  <c r="AA388" i="3"/>
  <c r="AA387" i="3"/>
  <c r="AA386" i="3"/>
  <c r="AA385" i="3"/>
  <c r="AA384" i="3"/>
  <c r="AA383" i="3"/>
  <c r="AA382" i="3"/>
  <c r="AA381" i="3"/>
  <c r="AA380" i="3"/>
  <c r="AA379" i="3"/>
  <c r="AA378" i="3"/>
  <c r="AA377" i="3"/>
  <c r="AA376" i="3"/>
  <c r="AA375" i="3"/>
  <c r="AA374" i="3"/>
  <c r="AA373" i="3"/>
  <c r="AA372" i="3"/>
  <c r="AA371" i="3"/>
  <c r="AA370" i="3"/>
  <c r="AA369" i="3"/>
  <c r="AA368" i="3"/>
  <c r="AA367" i="3"/>
  <c r="AA366" i="3"/>
  <c r="AA365" i="3"/>
  <c r="AA364" i="3"/>
  <c r="AA363" i="3"/>
  <c r="AA362" i="3"/>
  <c r="AA361" i="3"/>
  <c r="AA360" i="3"/>
  <c r="AA359" i="3"/>
  <c r="AA358" i="3"/>
  <c r="AA357" i="3"/>
  <c r="AA356" i="3"/>
  <c r="AA355" i="3"/>
  <c r="AA354" i="3"/>
  <c r="AA353" i="3"/>
  <c r="AA352" i="3"/>
  <c r="AA351" i="3"/>
  <c r="AA350" i="3"/>
  <c r="AA349" i="3"/>
  <c r="AA348" i="3"/>
  <c r="AA347" i="3"/>
  <c r="AA346" i="3"/>
  <c r="AA345" i="3"/>
  <c r="AA344" i="3"/>
  <c r="AA343" i="3"/>
  <c r="AA342" i="3"/>
  <c r="AA341" i="3"/>
  <c r="AA340" i="3"/>
  <c r="AA339" i="3"/>
  <c r="AA338" i="3"/>
  <c r="AA337" i="3"/>
  <c r="AA336" i="3"/>
  <c r="AA335" i="3"/>
  <c r="AA334" i="3"/>
  <c r="AA333" i="3"/>
  <c r="AA332" i="3"/>
  <c r="AA331" i="3"/>
  <c r="AA330" i="3"/>
  <c r="AA329" i="3"/>
  <c r="AA328" i="3"/>
  <c r="AA327" i="3"/>
  <c r="AA326" i="3"/>
  <c r="AA325" i="3"/>
  <c r="AA324" i="3"/>
  <c r="AA323" i="3"/>
  <c r="AA322" i="3"/>
  <c r="AA321" i="3"/>
  <c r="AA320" i="3"/>
  <c r="AA319" i="3"/>
  <c r="AA318" i="3"/>
  <c r="AA317" i="3"/>
  <c r="AA316" i="3"/>
  <c r="AA315" i="3"/>
  <c r="AA314" i="3"/>
  <c r="AA313" i="3"/>
  <c r="AA312" i="3"/>
  <c r="AA311" i="3"/>
  <c r="AA310" i="3"/>
  <c r="AA309" i="3"/>
  <c r="AA308" i="3"/>
  <c r="AA307" i="3"/>
  <c r="AA306" i="3"/>
  <c r="AA305" i="3"/>
  <c r="AA304" i="3"/>
  <c r="AA303" i="3"/>
  <c r="AA302" i="3"/>
  <c r="AA301" i="3"/>
  <c r="AA300" i="3"/>
  <c r="AA299" i="3"/>
  <c r="AA298" i="3"/>
  <c r="AA297" i="3"/>
  <c r="AA296" i="3"/>
  <c r="AA295" i="3"/>
  <c r="AA294" i="3"/>
  <c r="AA293" i="3"/>
  <c r="AA292" i="3"/>
  <c r="AA291" i="3"/>
  <c r="AA290" i="3"/>
  <c r="AA289" i="3"/>
  <c r="AA288" i="3"/>
  <c r="AA287" i="3"/>
  <c r="AA286" i="3"/>
  <c r="AA285" i="3"/>
  <c r="AA284" i="3"/>
  <c r="AA283" i="3"/>
  <c r="AA282" i="3"/>
  <c r="AA281" i="3"/>
  <c r="AA280" i="3"/>
  <c r="AA279" i="3"/>
  <c r="AA278" i="3"/>
  <c r="AA277" i="3"/>
  <c r="AA276" i="3"/>
  <c r="AA275" i="3"/>
  <c r="AA274" i="3"/>
  <c r="AA273" i="3"/>
  <c r="AA272" i="3"/>
  <c r="AA271" i="3"/>
  <c r="AA270" i="3"/>
  <c r="AA269" i="3"/>
  <c r="AA268" i="3"/>
  <c r="AA267" i="3"/>
  <c r="AA266" i="3"/>
  <c r="AA265" i="3"/>
  <c r="AA264" i="3"/>
  <c r="AA263" i="3"/>
  <c r="AA262" i="3"/>
  <c r="AA261" i="3"/>
  <c r="AA260" i="3"/>
  <c r="AA259" i="3"/>
  <c r="AA258" i="3"/>
  <c r="AA257" i="3"/>
  <c r="AA256" i="3"/>
  <c r="AA255" i="3"/>
  <c r="AA254" i="3"/>
  <c r="AA253" i="3"/>
  <c r="AA252" i="3"/>
  <c r="AA251" i="3"/>
  <c r="AA250" i="3"/>
  <c r="AA249" i="3"/>
  <c r="AA248" i="3"/>
  <c r="AA247" i="3"/>
  <c r="AA246" i="3"/>
  <c r="AA245" i="3"/>
  <c r="AA244" i="3"/>
  <c r="AA243" i="3"/>
  <c r="AA242" i="3"/>
  <c r="AA241" i="3"/>
  <c r="AA240" i="3"/>
  <c r="AA239" i="3"/>
  <c r="AA238" i="3"/>
  <c r="AA237" i="3"/>
  <c r="AA236" i="3"/>
  <c r="AA235" i="3"/>
  <c r="AA234" i="3"/>
  <c r="AA233" i="3"/>
  <c r="AA232" i="3"/>
  <c r="AA231" i="3"/>
  <c r="AA230" i="3"/>
  <c r="AA229" i="3"/>
  <c r="AA228" i="3"/>
  <c r="AA227" i="3"/>
  <c r="AA226" i="3"/>
  <c r="AA225" i="3"/>
  <c r="AA224" i="3"/>
  <c r="AA223" i="3"/>
  <c r="AA222" i="3"/>
  <c r="AA221" i="3"/>
  <c r="AA220" i="3"/>
  <c r="AA219" i="3"/>
  <c r="AA218" i="3"/>
  <c r="AA217" i="3"/>
  <c r="AA216" i="3"/>
  <c r="AA215" i="3"/>
  <c r="AA214" i="3"/>
  <c r="AA213" i="3"/>
  <c r="AA212" i="3"/>
  <c r="AA211" i="3"/>
  <c r="AA210" i="3"/>
  <c r="AA209" i="3"/>
  <c r="AA208" i="3"/>
  <c r="AA207" i="3"/>
  <c r="AA206" i="3"/>
  <c r="AA205" i="3"/>
  <c r="AA204" i="3"/>
  <c r="AA203" i="3"/>
  <c r="AA202" i="3"/>
  <c r="AA201" i="3"/>
  <c r="AA200" i="3"/>
  <c r="AA199" i="3"/>
  <c r="AA198" i="3"/>
  <c r="AA197" i="3"/>
  <c r="AA196" i="3"/>
  <c r="AA195" i="3"/>
  <c r="AA194" i="3"/>
  <c r="AA193" i="3"/>
  <c r="AA192" i="3"/>
  <c r="AA191" i="3"/>
  <c r="AA190" i="3"/>
  <c r="AA189" i="3"/>
  <c r="AA188" i="3"/>
  <c r="AA187" i="3"/>
  <c r="AA186" i="3"/>
  <c r="AA185" i="3"/>
  <c r="AA184" i="3"/>
  <c r="AA183" i="3"/>
  <c r="AA182" i="3"/>
  <c r="AA181" i="3"/>
  <c r="AA180" i="3"/>
  <c r="AA179" i="3"/>
  <c r="AA178" i="3"/>
  <c r="AA177" i="3"/>
  <c r="AA176" i="3"/>
  <c r="AA175" i="3"/>
  <c r="AA174" i="3"/>
  <c r="AA173" i="3"/>
  <c r="AA172" i="3"/>
  <c r="AA171" i="3"/>
  <c r="AA170" i="3"/>
  <c r="AA169" i="3"/>
  <c r="AA168" i="3"/>
  <c r="AA167" i="3"/>
  <c r="AA166" i="3"/>
  <c r="AA165" i="3"/>
  <c r="AA164" i="3"/>
  <c r="AA163" i="3"/>
  <c r="AA162" i="3"/>
  <c r="AA161" i="3"/>
  <c r="AA160" i="3"/>
  <c r="AA159" i="3"/>
  <c r="AA158" i="3"/>
  <c r="AA157" i="3"/>
  <c r="AA156" i="3"/>
  <c r="AA155" i="3"/>
  <c r="AA154" i="3"/>
  <c r="AA153" i="3"/>
  <c r="AA152" i="3"/>
  <c r="AA151" i="3"/>
  <c r="AA150" i="3"/>
  <c r="AA149" i="3"/>
  <c r="AA148" i="3"/>
  <c r="AA147" i="3"/>
  <c r="AA146" i="3"/>
  <c r="AA145" i="3"/>
  <c r="AA144" i="3"/>
  <c r="AA143" i="3"/>
  <c r="AA142" i="3"/>
  <c r="AA141" i="3"/>
  <c r="AA140" i="3"/>
  <c r="AA139" i="3"/>
  <c r="AA138" i="3"/>
  <c r="AA137" i="3"/>
  <c r="AA136" i="3"/>
  <c r="AA135" i="3"/>
  <c r="AA134" i="3"/>
  <c r="AA133" i="3"/>
  <c r="AA132" i="3"/>
  <c r="AA131" i="3"/>
  <c r="AA130" i="3"/>
  <c r="AA129" i="3"/>
  <c r="AA128" i="3"/>
  <c r="AA127" i="3"/>
  <c r="AA126" i="3"/>
  <c r="AA125" i="3"/>
  <c r="AA124" i="3"/>
  <c r="AA123" i="3"/>
  <c r="AA122" i="3"/>
  <c r="AA121" i="3"/>
  <c r="AA120"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81" i="3"/>
  <c r="AA80" i="3"/>
  <c r="AA79" i="3"/>
  <c r="AA78" i="3"/>
  <c r="AA77" i="3"/>
  <c r="AA76" i="3"/>
  <c r="AA75" i="3"/>
  <c r="AA74" i="3"/>
  <c r="AA73" i="3"/>
  <c r="AA72" i="3"/>
  <c r="AA71" i="3"/>
  <c r="AA70" i="3"/>
  <c r="AA69" i="3"/>
  <c r="AA68" i="3"/>
  <c r="AA67" i="3"/>
  <c r="AA66" i="3"/>
  <c r="AA65" i="3"/>
  <c r="AA64" i="3"/>
  <c r="AA63" i="3"/>
  <c r="AA62" i="3"/>
  <c r="AA61" i="3"/>
  <c r="AA60" i="3"/>
  <c r="AA59" i="3"/>
  <c r="AA58" i="3"/>
  <c r="AA57" i="3"/>
  <c r="AA56" i="3"/>
  <c r="AA55" i="3"/>
  <c r="AA54" i="3"/>
  <c r="AA53" i="3"/>
  <c r="AA52" i="3"/>
  <c r="AA51" i="3"/>
  <c r="AA50" i="3"/>
  <c r="AA49" i="3"/>
  <c r="AA48" i="3"/>
  <c r="AA47" i="3"/>
  <c r="AA46" i="3"/>
  <c r="AA45" i="3"/>
  <c r="AA44" i="3"/>
  <c r="AA43" i="3"/>
  <c r="AA42" i="3"/>
  <c r="AA41" i="3"/>
  <c r="AA40" i="3"/>
  <c r="AA39"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AA7" i="3"/>
  <c r="AA6" i="3"/>
  <c r="AA5" i="3"/>
  <c r="AA4" i="3"/>
  <c r="AA3" i="3"/>
  <c r="AA2"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Z202" i="3"/>
  <c r="Z203" i="3"/>
  <c r="Z204" i="3"/>
  <c r="Z205" i="3"/>
  <c r="Z206" i="3"/>
  <c r="Z207" i="3"/>
  <c r="Z208" i="3"/>
  <c r="Z209" i="3"/>
  <c r="Z210" i="3"/>
  <c r="Z211" i="3"/>
  <c r="Z212" i="3"/>
  <c r="Z213" i="3"/>
  <c r="Z214" i="3"/>
  <c r="Z215" i="3"/>
  <c r="Z216" i="3"/>
  <c r="Z217" i="3"/>
  <c r="Z218" i="3"/>
  <c r="Z219" i="3"/>
  <c r="Z220" i="3"/>
  <c r="Z221" i="3"/>
  <c r="Z222" i="3"/>
  <c r="Z223" i="3"/>
  <c r="Z224" i="3"/>
  <c r="Z225" i="3"/>
  <c r="Z226" i="3"/>
  <c r="Z227" i="3"/>
  <c r="Z228" i="3"/>
  <c r="Z229" i="3"/>
  <c r="Z230" i="3"/>
  <c r="Z231" i="3"/>
  <c r="Z232" i="3"/>
  <c r="Z233" i="3"/>
  <c r="Z234" i="3"/>
  <c r="Z235" i="3"/>
  <c r="Z236" i="3"/>
  <c r="Z237" i="3"/>
  <c r="Z238" i="3"/>
  <c r="Z239" i="3"/>
  <c r="Z240" i="3"/>
  <c r="Z241" i="3"/>
  <c r="Z242" i="3"/>
  <c r="Z243" i="3"/>
  <c r="Z244" i="3"/>
  <c r="Z245" i="3"/>
  <c r="Z246" i="3"/>
  <c r="Z247" i="3"/>
  <c r="Z248" i="3"/>
  <c r="Z249" i="3"/>
  <c r="Z250" i="3"/>
  <c r="Z251" i="3"/>
  <c r="Z252" i="3"/>
  <c r="Z253" i="3"/>
  <c r="Z254" i="3"/>
  <c r="Z255" i="3"/>
  <c r="Z256" i="3"/>
  <c r="Z257" i="3"/>
  <c r="Z258" i="3"/>
  <c r="Z259" i="3"/>
  <c r="Z260" i="3"/>
  <c r="Z261" i="3"/>
  <c r="Z262" i="3"/>
  <c r="Z263" i="3"/>
  <c r="Z264" i="3"/>
  <c r="Z265" i="3"/>
  <c r="Z266" i="3"/>
  <c r="Z267" i="3"/>
  <c r="Z268" i="3"/>
  <c r="Z269" i="3"/>
  <c r="Z270" i="3"/>
  <c r="Z271" i="3"/>
  <c r="Z272" i="3"/>
  <c r="Z273" i="3"/>
  <c r="Z274" i="3"/>
  <c r="Z275" i="3"/>
  <c r="Z276" i="3"/>
  <c r="Z277" i="3"/>
  <c r="Z278" i="3"/>
  <c r="Z279" i="3"/>
  <c r="Z280" i="3"/>
  <c r="Z281" i="3"/>
  <c r="Z282" i="3"/>
  <c r="Z283" i="3"/>
  <c r="Z284" i="3"/>
  <c r="Z285" i="3"/>
  <c r="Z286" i="3"/>
  <c r="Z287" i="3"/>
  <c r="Z288" i="3"/>
  <c r="Z289" i="3"/>
  <c r="Z290" i="3"/>
  <c r="Z291" i="3"/>
  <c r="Z292" i="3"/>
  <c r="Z293" i="3"/>
  <c r="Z294" i="3"/>
  <c r="Z295" i="3"/>
  <c r="Z296" i="3"/>
  <c r="Z297" i="3"/>
  <c r="Z298" i="3"/>
  <c r="Z299" i="3"/>
  <c r="Z300" i="3"/>
  <c r="Z301" i="3"/>
  <c r="Z302" i="3"/>
  <c r="Z303" i="3"/>
  <c r="Z304" i="3"/>
  <c r="Z305" i="3"/>
  <c r="Z306" i="3"/>
  <c r="Z307" i="3"/>
  <c r="Z308" i="3"/>
  <c r="Z309" i="3"/>
  <c r="Z310" i="3"/>
  <c r="Z311" i="3"/>
  <c r="Z312" i="3"/>
  <c r="Z313" i="3"/>
  <c r="Z314" i="3"/>
  <c r="Z315" i="3"/>
  <c r="Z316" i="3"/>
  <c r="Z317" i="3"/>
  <c r="Z318" i="3"/>
  <c r="Z319" i="3"/>
  <c r="Z320" i="3"/>
  <c r="Z321" i="3"/>
  <c r="Z322" i="3"/>
  <c r="Z323" i="3"/>
  <c r="Z324" i="3"/>
  <c r="Z325" i="3"/>
  <c r="Z326" i="3"/>
  <c r="Z327" i="3"/>
  <c r="Z328" i="3"/>
  <c r="Z329" i="3"/>
  <c r="Z330" i="3"/>
  <c r="Z331" i="3"/>
  <c r="Z332" i="3"/>
  <c r="Z333" i="3"/>
  <c r="Z334" i="3"/>
  <c r="Z335" i="3"/>
  <c r="Z336" i="3"/>
  <c r="Z337" i="3"/>
  <c r="Z338" i="3"/>
  <c r="Z339" i="3"/>
  <c r="Z340" i="3"/>
  <c r="Z341" i="3"/>
  <c r="Z342" i="3"/>
  <c r="Z343" i="3"/>
  <c r="Z344" i="3"/>
  <c r="Z345" i="3"/>
  <c r="Z346" i="3"/>
  <c r="Z347" i="3"/>
  <c r="Z348" i="3"/>
  <c r="Z349" i="3"/>
  <c r="Z350" i="3"/>
  <c r="Z351" i="3"/>
  <c r="Z352" i="3"/>
  <c r="Z353" i="3"/>
  <c r="Z354" i="3"/>
  <c r="Z355" i="3"/>
  <c r="Z356" i="3"/>
  <c r="Z357" i="3"/>
  <c r="Z358" i="3"/>
  <c r="Z359" i="3"/>
  <c r="Z360" i="3"/>
  <c r="Z361" i="3"/>
  <c r="Z362" i="3"/>
  <c r="Z363" i="3"/>
  <c r="Z364" i="3"/>
  <c r="Z365" i="3"/>
  <c r="Z366" i="3"/>
  <c r="Z367" i="3"/>
  <c r="Z368" i="3"/>
  <c r="Z369" i="3"/>
  <c r="Z370" i="3"/>
  <c r="Z371" i="3"/>
  <c r="Z372" i="3"/>
  <c r="Z373" i="3"/>
  <c r="Z374" i="3"/>
  <c r="Z375" i="3"/>
  <c r="Z376" i="3"/>
  <c r="Z377" i="3"/>
  <c r="Z378" i="3"/>
  <c r="Z379" i="3"/>
  <c r="Z380" i="3"/>
  <c r="Z381" i="3"/>
  <c r="Z382" i="3"/>
  <c r="Z383" i="3"/>
  <c r="Z384" i="3"/>
  <c r="Z385" i="3"/>
  <c r="Z386" i="3"/>
  <c r="Z387" i="3"/>
  <c r="Z388" i="3"/>
  <c r="Z389" i="3"/>
  <c r="Z390" i="3"/>
  <c r="Z391" i="3"/>
  <c r="Z392" i="3"/>
  <c r="Z393" i="3"/>
  <c r="Z394" i="3"/>
  <c r="Z395" i="3"/>
  <c r="Z396" i="3"/>
  <c r="Z397" i="3"/>
  <c r="Z398" i="3"/>
  <c r="Z399" i="3"/>
  <c r="Z400" i="3"/>
  <c r="Z401" i="3"/>
  <c r="Z402" i="3"/>
  <c r="Z403" i="3"/>
  <c r="Z404" i="3"/>
  <c r="Z405" i="3"/>
  <c r="Z406" i="3"/>
  <c r="Z407" i="3"/>
  <c r="Z408" i="3"/>
  <c r="Z409" i="3"/>
  <c r="Z410" i="3"/>
  <c r="Z411" i="3"/>
  <c r="Z412" i="3"/>
  <c r="Z413" i="3"/>
  <c r="Z414" i="3"/>
  <c r="Z415" i="3"/>
  <c r="Z416" i="3"/>
  <c r="Z417" i="3"/>
  <c r="Z418" i="3"/>
  <c r="Z419" i="3"/>
  <c r="Z420" i="3"/>
  <c r="Z421" i="3"/>
  <c r="Z422" i="3"/>
  <c r="Z423" i="3"/>
  <c r="Z424" i="3"/>
  <c r="Z425" i="3"/>
  <c r="Z426" i="3"/>
  <c r="Z427" i="3"/>
  <c r="Z428" i="3"/>
  <c r="Z429" i="3"/>
  <c r="Z430" i="3"/>
  <c r="Z431" i="3"/>
  <c r="Z432" i="3"/>
  <c r="Z433" i="3"/>
  <c r="Z434" i="3"/>
  <c r="Z435" i="3"/>
  <c r="Z436" i="3"/>
  <c r="Z437" i="3"/>
  <c r="Z438" i="3"/>
  <c r="Z439" i="3"/>
  <c r="Z440" i="3"/>
  <c r="Z441" i="3"/>
  <c r="Z442" i="3"/>
  <c r="Z443" i="3"/>
  <c r="Z444" i="3"/>
  <c r="Z445" i="3"/>
  <c r="Z446" i="3"/>
  <c r="Z447" i="3"/>
  <c r="Z448" i="3"/>
  <c r="Z449" i="3"/>
  <c r="Z450" i="3"/>
  <c r="Z451" i="3"/>
  <c r="Z452" i="3"/>
  <c r="Z453" i="3"/>
  <c r="Z454" i="3"/>
  <c r="Z455" i="3"/>
  <c r="Z456" i="3"/>
  <c r="Z457" i="3"/>
  <c r="Z458" i="3"/>
  <c r="Z459" i="3"/>
  <c r="Z460" i="3"/>
  <c r="Z461" i="3"/>
  <c r="Z462" i="3"/>
  <c r="Z463" i="3"/>
  <c r="Z464" i="3"/>
  <c r="Z465" i="3"/>
  <c r="Z466" i="3"/>
  <c r="Z467" i="3"/>
  <c r="Z468" i="3"/>
  <c r="Z469" i="3"/>
  <c r="Z470" i="3"/>
  <c r="Z471" i="3"/>
  <c r="Z472" i="3"/>
  <c r="Z473" i="3"/>
  <c r="Z474" i="3"/>
  <c r="Z475" i="3"/>
  <c r="Z476" i="3"/>
  <c r="Z477" i="3"/>
  <c r="Z478" i="3"/>
  <c r="Z479" i="3"/>
  <c r="Z480" i="3"/>
  <c r="Z481" i="3"/>
  <c r="Z482" i="3"/>
  <c r="Z483" i="3"/>
  <c r="Z484" i="3"/>
  <c r="Z485" i="3"/>
  <c r="Z486" i="3"/>
  <c r="Z487" i="3"/>
  <c r="Z488" i="3"/>
  <c r="Z489" i="3"/>
  <c r="Z490" i="3"/>
  <c r="Z491" i="3"/>
  <c r="Z492" i="3"/>
  <c r="Z493" i="3"/>
  <c r="Z494" i="3"/>
  <c r="Z495" i="3"/>
  <c r="Z496" i="3"/>
  <c r="Z497" i="3"/>
  <c r="Z498" i="3"/>
  <c r="Z499" i="3"/>
  <c r="Z500" i="3"/>
  <c r="Z501" i="3"/>
  <c r="Z502" i="3"/>
  <c r="Z503" i="3"/>
  <c r="Z504" i="3"/>
  <c r="Z505" i="3"/>
  <c r="Z506" i="3"/>
  <c r="Z507" i="3"/>
  <c r="Z508" i="3"/>
  <c r="Z509" i="3"/>
  <c r="Z510" i="3"/>
  <c r="Z511" i="3"/>
  <c r="Z512" i="3"/>
  <c r="Z513" i="3"/>
  <c r="Z514" i="3"/>
  <c r="Z515" i="3"/>
  <c r="Z516" i="3"/>
  <c r="Z517" i="3"/>
  <c r="Z518" i="3"/>
  <c r="Z519" i="3"/>
  <c r="Z520" i="3"/>
  <c r="Z521" i="3"/>
  <c r="Z522" i="3"/>
  <c r="Z523" i="3"/>
  <c r="Z524" i="3"/>
  <c r="Z525" i="3"/>
  <c r="Z526" i="3"/>
  <c r="Z527" i="3"/>
  <c r="Z528" i="3"/>
  <c r="Z529" i="3"/>
  <c r="Z530" i="3"/>
  <c r="Z531" i="3"/>
  <c r="Z532" i="3"/>
  <c r="Z533" i="3"/>
  <c r="Z534" i="3"/>
  <c r="Z535" i="3"/>
  <c r="Z536" i="3"/>
  <c r="Z537" i="3"/>
  <c r="Z538" i="3"/>
  <c r="Z539" i="3"/>
  <c r="Z540" i="3"/>
  <c r="Z541" i="3"/>
  <c r="Z542" i="3"/>
  <c r="Z543" i="3"/>
  <c r="Z544" i="3"/>
  <c r="Z545" i="3"/>
  <c r="Z546" i="3"/>
  <c r="Z547" i="3"/>
  <c r="Z548" i="3"/>
  <c r="Z549" i="3"/>
  <c r="Z550" i="3"/>
  <c r="Z551" i="3"/>
  <c r="Z552" i="3"/>
  <c r="Z553" i="3"/>
  <c r="Z554" i="3"/>
  <c r="Z555" i="3"/>
  <c r="Z556" i="3"/>
  <c r="Z557" i="3"/>
  <c r="Z558" i="3"/>
  <c r="Z559" i="3"/>
  <c r="Z560" i="3"/>
  <c r="Z561" i="3"/>
  <c r="Z562" i="3"/>
  <c r="Z563" i="3"/>
  <c r="Z564" i="3"/>
  <c r="Z565" i="3"/>
  <c r="Z566" i="3"/>
  <c r="Z567" i="3"/>
  <c r="Z568" i="3"/>
  <c r="Z569" i="3"/>
  <c r="Z570" i="3"/>
  <c r="Z571" i="3"/>
  <c r="Z572" i="3"/>
  <c r="Z573" i="3"/>
  <c r="Z574" i="3"/>
  <c r="Z575" i="3"/>
  <c r="Z576" i="3"/>
  <c r="Z577" i="3"/>
  <c r="Z578" i="3"/>
  <c r="Z579" i="3"/>
  <c r="Z580" i="3"/>
  <c r="Z581" i="3"/>
  <c r="Z582" i="3"/>
  <c r="Z583" i="3"/>
  <c r="Z584" i="3"/>
  <c r="Z585" i="3"/>
  <c r="Z586" i="3"/>
  <c r="Z587" i="3"/>
  <c r="Z588" i="3"/>
  <c r="Z589" i="3"/>
  <c r="Z590" i="3"/>
  <c r="Z591" i="3"/>
  <c r="Z592" i="3"/>
  <c r="Z593" i="3"/>
  <c r="Z594" i="3"/>
  <c r="Z595" i="3"/>
  <c r="Z596" i="3"/>
  <c r="Z597" i="3"/>
  <c r="Z598" i="3"/>
  <c r="Z599" i="3"/>
  <c r="Z600" i="3"/>
  <c r="Z601" i="3"/>
  <c r="Z602" i="3"/>
  <c r="Z603" i="3"/>
  <c r="Z604" i="3"/>
  <c r="Z605" i="3"/>
  <c r="Z606" i="3"/>
  <c r="Z607" i="3"/>
  <c r="Z608" i="3"/>
  <c r="Z609" i="3"/>
  <c r="Z610" i="3"/>
  <c r="Z611" i="3"/>
  <c r="Z612" i="3"/>
  <c r="Z613" i="3"/>
  <c r="Z614" i="3"/>
  <c r="Z615" i="3"/>
  <c r="Z616" i="3"/>
  <c r="Z617" i="3"/>
  <c r="Z618" i="3"/>
  <c r="Z619" i="3"/>
  <c r="Z620" i="3"/>
  <c r="Z621" i="3"/>
  <c r="Z622" i="3"/>
  <c r="Z623" i="3"/>
  <c r="Z624" i="3"/>
  <c r="Z625" i="3"/>
  <c r="Z626" i="3"/>
  <c r="Z627" i="3"/>
  <c r="Z628" i="3"/>
  <c r="Z629" i="3"/>
  <c r="Z630" i="3"/>
  <c r="Z631" i="3"/>
  <c r="Z632" i="3"/>
  <c r="Z633" i="3"/>
  <c r="Z634" i="3"/>
  <c r="Z635" i="3"/>
  <c r="Z636" i="3"/>
  <c r="Z637" i="3"/>
  <c r="Z638" i="3"/>
  <c r="Z639" i="3"/>
  <c r="Z640" i="3"/>
  <c r="Z641" i="3"/>
  <c r="Z642" i="3"/>
  <c r="Z643" i="3"/>
  <c r="Z644" i="3"/>
  <c r="Z645" i="3"/>
  <c r="Z646" i="3"/>
  <c r="Z647" i="3"/>
  <c r="Z648" i="3"/>
  <c r="Z649" i="3"/>
  <c r="Z650" i="3"/>
  <c r="Z651" i="3"/>
  <c r="Z652" i="3"/>
  <c r="Z653" i="3"/>
  <c r="Z654" i="3"/>
  <c r="Z655" i="3"/>
  <c r="Z656" i="3"/>
  <c r="Z657" i="3"/>
  <c r="Z658" i="3"/>
  <c r="Z659" i="3"/>
  <c r="Z660" i="3"/>
  <c r="Z661" i="3"/>
  <c r="Z662" i="3"/>
  <c r="Z663" i="3"/>
  <c r="Z664" i="3"/>
  <c r="Z665" i="3"/>
  <c r="Z666" i="3"/>
  <c r="Z667" i="3"/>
  <c r="Z668" i="3"/>
  <c r="Z669" i="3"/>
  <c r="Z670" i="3"/>
  <c r="Z671" i="3"/>
  <c r="Z672" i="3"/>
  <c r="Z673" i="3"/>
  <c r="Z674" i="3"/>
  <c r="Z675" i="3"/>
  <c r="Z676" i="3"/>
  <c r="Z677" i="3"/>
  <c r="Z678" i="3"/>
  <c r="Z679" i="3"/>
  <c r="Z680" i="3"/>
  <c r="Z681" i="3"/>
  <c r="Z682" i="3"/>
  <c r="Z683" i="3"/>
  <c r="Z684" i="3"/>
  <c r="Z685" i="3"/>
  <c r="Z686" i="3"/>
  <c r="Z687" i="3"/>
  <c r="Z688" i="3"/>
  <c r="Z689" i="3"/>
  <c r="Z690" i="3"/>
  <c r="Z691" i="3"/>
  <c r="Z692" i="3"/>
  <c r="Z693" i="3"/>
  <c r="Z694" i="3"/>
  <c r="Z695" i="3"/>
  <c r="Z696" i="3"/>
  <c r="Z697" i="3"/>
  <c r="Z698" i="3"/>
  <c r="Z699" i="3"/>
  <c r="Z700" i="3"/>
  <c r="Z701" i="3"/>
  <c r="Z702" i="3"/>
  <c r="Z703" i="3"/>
  <c r="Z704" i="3"/>
  <c r="Z705" i="3"/>
  <c r="Z706" i="3"/>
  <c r="Z707" i="3"/>
  <c r="Z708" i="3"/>
  <c r="Z709" i="3"/>
  <c r="Z710" i="3"/>
  <c r="Z711" i="3"/>
  <c r="Z712" i="3"/>
  <c r="Z713" i="3"/>
  <c r="Z714" i="3"/>
  <c r="Z715" i="3"/>
  <c r="Z716" i="3"/>
  <c r="Z717" i="3"/>
  <c r="Z718" i="3"/>
  <c r="Z719" i="3"/>
  <c r="Z720" i="3"/>
  <c r="Z721" i="3"/>
  <c r="Z722" i="3"/>
  <c r="Z723" i="3"/>
  <c r="Z724" i="3"/>
  <c r="Z725" i="3"/>
  <c r="Z726" i="3"/>
  <c r="Z727" i="3"/>
  <c r="Z728" i="3"/>
  <c r="Z729" i="3"/>
  <c r="Z730" i="3"/>
  <c r="Z731" i="3"/>
  <c r="Z732" i="3"/>
  <c r="Z733" i="3"/>
  <c r="Z734" i="3"/>
  <c r="Z735" i="3"/>
  <c r="Z736" i="3"/>
  <c r="Z737" i="3"/>
  <c r="Z738" i="3"/>
  <c r="Z739" i="3"/>
  <c r="Z740" i="3"/>
  <c r="Z741" i="3"/>
  <c r="Z742" i="3"/>
  <c r="Z743" i="3"/>
  <c r="Z744" i="3"/>
  <c r="Z745" i="3"/>
  <c r="Z746" i="3"/>
  <c r="Z747" i="3"/>
  <c r="Z748" i="3"/>
  <c r="Z749" i="3"/>
  <c r="Z750" i="3"/>
  <c r="Z751" i="3"/>
  <c r="Z752" i="3"/>
  <c r="Z753" i="3"/>
  <c r="Z754" i="3"/>
  <c r="Z755" i="3"/>
  <c r="Z756" i="3"/>
  <c r="Z757" i="3"/>
  <c r="Z758" i="3"/>
  <c r="Z759" i="3"/>
  <c r="Z760" i="3"/>
  <c r="Z761" i="3"/>
  <c r="Z762" i="3"/>
  <c r="Z763" i="3"/>
  <c r="Z764" i="3"/>
  <c r="Z765" i="3"/>
  <c r="Z766" i="3"/>
  <c r="Z767" i="3"/>
  <c r="Z768" i="3"/>
  <c r="Z769" i="3"/>
  <c r="Z770" i="3"/>
  <c r="Z771" i="3"/>
  <c r="Z772" i="3"/>
  <c r="Z773" i="3"/>
  <c r="Z774" i="3"/>
  <c r="Z775" i="3"/>
  <c r="Z776" i="3"/>
  <c r="Z777" i="3"/>
  <c r="Z778" i="3"/>
  <c r="Z779" i="3"/>
  <c r="Z780" i="3"/>
  <c r="Z781" i="3"/>
  <c r="Z782" i="3"/>
  <c r="Z783" i="3"/>
  <c r="Z784" i="3"/>
  <c r="Z785" i="3"/>
  <c r="Z786" i="3"/>
  <c r="Z787" i="3"/>
  <c r="Z788" i="3"/>
  <c r="Z789" i="3"/>
  <c r="Z790" i="3"/>
  <c r="Z791" i="3"/>
  <c r="Z792" i="3"/>
  <c r="Z793" i="3"/>
  <c r="Z794" i="3"/>
  <c r="Z795" i="3"/>
  <c r="Z796" i="3"/>
  <c r="Z797" i="3"/>
  <c r="Z798" i="3"/>
  <c r="Z799" i="3"/>
  <c r="Z800" i="3"/>
  <c r="Z801" i="3"/>
  <c r="Z802" i="3"/>
  <c r="Z803" i="3"/>
  <c r="Z804" i="3"/>
  <c r="Z805" i="3"/>
  <c r="Z806" i="3"/>
  <c r="Z807" i="3"/>
  <c r="Z808" i="3"/>
  <c r="Z809" i="3"/>
  <c r="Z810" i="3"/>
  <c r="Z811" i="3"/>
  <c r="Z812" i="3"/>
  <c r="Z813" i="3"/>
  <c r="Z814" i="3"/>
  <c r="Z815" i="3"/>
  <c r="Z816" i="3"/>
  <c r="Z817" i="3"/>
  <c r="Z818" i="3"/>
  <c r="Z819" i="3"/>
  <c r="Z820" i="3"/>
  <c r="Z821" i="3"/>
  <c r="Z822" i="3"/>
  <c r="Z823" i="3"/>
  <c r="Z824" i="3"/>
  <c r="Z825" i="3"/>
  <c r="Z826" i="3"/>
  <c r="Z827" i="3"/>
  <c r="Z828" i="3"/>
  <c r="Z829" i="3"/>
  <c r="Z830" i="3"/>
  <c r="Z831" i="3"/>
  <c r="Z832" i="3"/>
  <c r="Z833" i="3"/>
  <c r="Z834" i="3"/>
  <c r="Z835" i="3"/>
  <c r="Z836" i="3"/>
  <c r="Z837" i="3"/>
  <c r="Z838" i="3"/>
  <c r="Z839" i="3"/>
  <c r="Z840" i="3"/>
  <c r="Z841" i="3"/>
  <c r="Z842" i="3"/>
  <c r="Z843" i="3"/>
  <c r="Z844" i="3"/>
  <c r="Z845" i="3"/>
  <c r="Z846" i="3"/>
  <c r="Z847" i="3"/>
  <c r="Z848" i="3"/>
  <c r="Z849" i="3"/>
  <c r="Z850" i="3"/>
  <c r="Z851" i="3"/>
  <c r="Z852" i="3"/>
  <c r="Z853" i="3"/>
  <c r="Z854" i="3"/>
  <c r="Z855" i="3"/>
  <c r="Z856" i="3"/>
  <c r="Z857" i="3"/>
  <c r="Z858" i="3"/>
  <c r="Z859" i="3"/>
  <c r="Z860" i="3"/>
  <c r="Z861" i="3"/>
  <c r="Z862" i="3"/>
  <c r="Z863" i="3"/>
  <c r="Z864" i="3"/>
  <c r="Z865" i="3"/>
  <c r="Z866" i="3"/>
  <c r="Z867" i="3"/>
  <c r="Z868" i="3"/>
  <c r="Z869" i="3"/>
  <c r="Z870" i="3"/>
  <c r="Z871" i="3"/>
  <c r="Z872" i="3"/>
  <c r="Z873" i="3"/>
  <c r="Z874" i="3"/>
  <c r="Z875" i="3"/>
  <c r="Z876" i="3"/>
  <c r="Z877" i="3"/>
  <c r="Z878" i="3"/>
  <c r="Z879" i="3"/>
  <c r="Z880" i="3"/>
  <c r="Z881" i="3"/>
  <c r="Z882" i="3"/>
  <c r="Z883" i="3"/>
  <c r="Z884" i="3"/>
  <c r="Z885" i="3"/>
  <c r="Z886" i="3"/>
  <c r="Z887" i="3"/>
  <c r="Z888" i="3"/>
  <c r="Z889" i="3"/>
  <c r="Z890" i="3"/>
  <c r="Z891" i="3"/>
  <c r="Z892" i="3"/>
  <c r="Z893" i="3"/>
  <c r="Z894" i="3"/>
  <c r="Z895" i="3"/>
  <c r="Z896" i="3"/>
  <c r="Z897" i="3"/>
  <c r="Z898" i="3"/>
  <c r="Z899" i="3"/>
  <c r="Z900" i="3"/>
  <c r="Z901" i="3"/>
  <c r="Z902" i="3"/>
  <c r="Z903" i="3"/>
  <c r="Z904" i="3"/>
  <c r="Z905" i="3"/>
  <c r="Z906" i="3"/>
  <c r="Z907" i="3"/>
  <c r="Z908" i="3"/>
  <c r="Z909" i="3"/>
  <c r="Z910" i="3"/>
  <c r="Z911" i="3"/>
  <c r="Z912" i="3"/>
  <c r="Z913" i="3"/>
  <c r="Z914" i="3"/>
  <c r="Z915" i="3"/>
  <c r="Z916" i="3"/>
  <c r="Z917" i="3"/>
  <c r="Z918" i="3"/>
  <c r="Z919" i="3"/>
  <c r="Z920" i="3"/>
  <c r="Z921" i="3"/>
  <c r="Z922" i="3"/>
  <c r="Z923" i="3"/>
  <c r="Z924" i="3"/>
  <c r="Z925" i="3"/>
  <c r="Z926" i="3"/>
  <c r="Z927" i="3"/>
  <c r="Z928" i="3"/>
  <c r="Z929" i="3"/>
  <c r="Z930" i="3"/>
  <c r="Z931" i="3"/>
  <c r="Z932" i="3"/>
  <c r="Z933" i="3"/>
  <c r="Z934" i="3"/>
  <c r="Z935" i="3"/>
  <c r="Z936" i="3"/>
  <c r="Z937" i="3"/>
  <c r="Z938" i="3"/>
  <c r="Z939" i="3"/>
  <c r="Z940" i="3"/>
  <c r="Z941" i="3"/>
  <c r="Z942" i="3"/>
  <c r="Z943" i="3"/>
  <c r="Z944" i="3"/>
  <c r="Z945" i="3"/>
  <c r="Z946" i="3"/>
  <c r="Z947" i="3"/>
  <c r="Z948" i="3"/>
  <c r="Z949" i="3"/>
  <c r="Z950" i="3"/>
  <c r="Z951" i="3"/>
  <c r="Z952" i="3"/>
  <c r="Z953" i="3"/>
  <c r="Z954" i="3"/>
  <c r="Z955" i="3"/>
  <c r="Z956" i="3"/>
  <c r="Z957" i="3"/>
  <c r="Z958" i="3"/>
  <c r="Z959" i="3"/>
  <c r="Z960" i="3"/>
  <c r="Z961" i="3"/>
  <c r="Z962" i="3"/>
  <c r="Z963" i="3"/>
  <c r="Z964" i="3"/>
  <c r="Z965" i="3"/>
  <c r="Z966" i="3"/>
  <c r="Z967" i="3"/>
  <c r="Z968" i="3"/>
  <c r="Z969" i="3"/>
  <c r="Z970" i="3"/>
  <c r="Z971" i="3"/>
  <c r="Z972" i="3"/>
  <c r="Z973" i="3"/>
  <c r="Z974" i="3"/>
  <c r="Z975" i="3"/>
  <c r="Z976" i="3"/>
  <c r="Z977" i="3"/>
  <c r="Z978" i="3"/>
  <c r="Z979" i="3"/>
  <c r="Z980" i="3"/>
  <c r="Z981" i="3"/>
  <c r="Z982" i="3"/>
  <c r="Z983" i="3"/>
  <c r="Z984" i="3"/>
  <c r="Z985" i="3"/>
  <c r="Z986" i="3"/>
  <c r="Z987" i="3"/>
  <c r="Z988" i="3"/>
  <c r="Z989" i="3"/>
  <c r="Z990" i="3"/>
  <c r="Z991" i="3"/>
  <c r="Z992" i="3"/>
  <c r="Z993" i="3"/>
  <c r="Z994" i="3"/>
  <c r="Z995" i="3"/>
  <c r="Z996" i="3"/>
  <c r="Z997" i="3"/>
  <c r="Z998" i="3"/>
  <c r="Z999" i="3"/>
  <c r="Z1000" i="3"/>
  <c r="Z1001"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P1001" i="3"/>
  <c r="O1001" i="3"/>
  <c r="P1000" i="3"/>
  <c r="O1000" i="3"/>
  <c r="P999" i="3"/>
  <c r="O999" i="3"/>
  <c r="P998" i="3"/>
  <c r="O998" i="3"/>
  <c r="P997" i="3"/>
  <c r="O997" i="3"/>
  <c r="P996" i="3"/>
  <c r="O996" i="3"/>
  <c r="P995" i="3"/>
  <c r="O995" i="3"/>
  <c r="P994" i="3"/>
  <c r="O994" i="3"/>
  <c r="P993" i="3"/>
  <c r="O993" i="3"/>
  <c r="P992" i="3"/>
  <c r="O992" i="3"/>
  <c r="P991" i="3"/>
  <c r="O991" i="3"/>
  <c r="P990" i="3"/>
  <c r="O990" i="3"/>
  <c r="P989" i="3"/>
  <c r="O989" i="3"/>
  <c r="P988" i="3"/>
  <c r="O988" i="3"/>
  <c r="P987" i="3"/>
  <c r="O987" i="3"/>
  <c r="P986" i="3"/>
  <c r="O986" i="3"/>
  <c r="P985" i="3"/>
  <c r="O985" i="3"/>
  <c r="P984" i="3"/>
  <c r="O984" i="3"/>
  <c r="P983" i="3"/>
  <c r="O983" i="3"/>
  <c r="P982" i="3"/>
  <c r="O982" i="3"/>
  <c r="P981" i="3"/>
  <c r="O981" i="3"/>
  <c r="P980" i="3"/>
  <c r="O980" i="3"/>
  <c r="P979" i="3"/>
  <c r="O979" i="3"/>
  <c r="P978" i="3"/>
  <c r="O978" i="3"/>
  <c r="P977" i="3"/>
  <c r="O977" i="3"/>
  <c r="P976" i="3"/>
  <c r="O976" i="3"/>
  <c r="P975" i="3"/>
  <c r="O975" i="3"/>
  <c r="P974" i="3"/>
  <c r="O974" i="3"/>
  <c r="P973" i="3"/>
  <c r="O973" i="3"/>
  <c r="P972" i="3"/>
  <c r="O972" i="3"/>
  <c r="P971" i="3"/>
  <c r="O971" i="3"/>
  <c r="P970" i="3"/>
  <c r="O970" i="3"/>
  <c r="P969" i="3"/>
  <c r="O969" i="3"/>
  <c r="P968" i="3"/>
  <c r="O968" i="3"/>
  <c r="P967" i="3"/>
  <c r="O967" i="3"/>
  <c r="P966" i="3"/>
  <c r="O966" i="3"/>
  <c r="P965" i="3"/>
  <c r="O965" i="3"/>
  <c r="P964" i="3"/>
  <c r="O964" i="3"/>
  <c r="P963" i="3"/>
  <c r="O963" i="3"/>
  <c r="P962" i="3"/>
  <c r="O962" i="3"/>
  <c r="P961" i="3"/>
  <c r="O961" i="3"/>
  <c r="P960" i="3"/>
  <c r="O960" i="3"/>
  <c r="P959" i="3"/>
  <c r="O959" i="3"/>
  <c r="P958" i="3"/>
  <c r="O958" i="3"/>
  <c r="P957" i="3"/>
  <c r="O957" i="3"/>
  <c r="P956" i="3"/>
  <c r="O956" i="3"/>
  <c r="P955" i="3"/>
  <c r="O955" i="3"/>
  <c r="P954" i="3"/>
  <c r="O954" i="3"/>
  <c r="P953" i="3"/>
  <c r="O953" i="3"/>
  <c r="P952" i="3"/>
  <c r="O952" i="3"/>
  <c r="P951" i="3"/>
  <c r="O951" i="3"/>
  <c r="P950" i="3"/>
  <c r="O950" i="3"/>
  <c r="P949" i="3"/>
  <c r="O949" i="3"/>
  <c r="P948" i="3"/>
  <c r="O948" i="3"/>
  <c r="P947" i="3"/>
  <c r="O947" i="3"/>
  <c r="P946" i="3"/>
  <c r="O946" i="3"/>
  <c r="P945" i="3"/>
  <c r="O945" i="3"/>
  <c r="P944" i="3"/>
  <c r="O944" i="3"/>
  <c r="P943" i="3"/>
  <c r="O943" i="3"/>
  <c r="P942" i="3"/>
  <c r="O942" i="3"/>
  <c r="P941" i="3"/>
  <c r="O941" i="3"/>
  <c r="P940" i="3"/>
  <c r="O940" i="3"/>
  <c r="P939" i="3"/>
  <c r="O939" i="3"/>
  <c r="P938" i="3"/>
  <c r="O938" i="3"/>
  <c r="P937" i="3"/>
  <c r="O937" i="3"/>
  <c r="P936" i="3"/>
  <c r="O936" i="3"/>
  <c r="P935" i="3"/>
  <c r="O935" i="3"/>
  <c r="P934" i="3"/>
  <c r="O934" i="3"/>
  <c r="P933" i="3"/>
  <c r="O933" i="3"/>
  <c r="P932" i="3"/>
  <c r="O932" i="3"/>
  <c r="P931" i="3"/>
  <c r="O931" i="3"/>
  <c r="P930" i="3"/>
  <c r="O930" i="3"/>
  <c r="P929" i="3"/>
  <c r="O929" i="3"/>
  <c r="P928" i="3"/>
  <c r="O928" i="3"/>
  <c r="P927" i="3"/>
  <c r="O927" i="3"/>
  <c r="P926" i="3"/>
  <c r="O926" i="3"/>
  <c r="P925" i="3"/>
  <c r="O925" i="3"/>
  <c r="P924" i="3"/>
  <c r="O924" i="3"/>
  <c r="P923" i="3"/>
  <c r="O923" i="3"/>
  <c r="P922" i="3"/>
  <c r="O922" i="3"/>
  <c r="P921" i="3"/>
  <c r="O921" i="3"/>
  <c r="P920" i="3"/>
  <c r="O920" i="3"/>
  <c r="P919" i="3"/>
  <c r="O919" i="3"/>
  <c r="P918" i="3"/>
  <c r="O918" i="3"/>
  <c r="P917" i="3"/>
  <c r="O917" i="3"/>
  <c r="P916" i="3"/>
  <c r="O916" i="3"/>
  <c r="P915" i="3"/>
  <c r="O915" i="3"/>
  <c r="P914" i="3"/>
  <c r="O914" i="3"/>
  <c r="P913" i="3"/>
  <c r="O913" i="3"/>
  <c r="P912" i="3"/>
  <c r="O912" i="3"/>
  <c r="P911" i="3"/>
  <c r="O911" i="3"/>
  <c r="P910" i="3"/>
  <c r="O910" i="3"/>
  <c r="P909" i="3"/>
  <c r="O909" i="3"/>
  <c r="P908" i="3"/>
  <c r="O908" i="3"/>
  <c r="P907" i="3"/>
  <c r="O907" i="3"/>
  <c r="P906" i="3"/>
  <c r="O906" i="3"/>
  <c r="P905" i="3"/>
  <c r="O905" i="3"/>
  <c r="P904" i="3"/>
  <c r="O904" i="3"/>
  <c r="P903" i="3"/>
  <c r="O903" i="3"/>
  <c r="P902" i="3"/>
  <c r="O902" i="3"/>
  <c r="P901" i="3"/>
  <c r="O901" i="3"/>
  <c r="P900" i="3"/>
  <c r="O900" i="3"/>
  <c r="P899" i="3"/>
  <c r="O899" i="3"/>
  <c r="P898" i="3"/>
  <c r="O898" i="3"/>
  <c r="P897" i="3"/>
  <c r="O897" i="3"/>
  <c r="P896" i="3"/>
  <c r="O896" i="3"/>
  <c r="P895" i="3"/>
  <c r="O895" i="3"/>
  <c r="P894" i="3"/>
  <c r="O894" i="3"/>
  <c r="P893" i="3"/>
  <c r="O893" i="3"/>
  <c r="P892" i="3"/>
  <c r="O892" i="3"/>
  <c r="P891" i="3"/>
  <c r="O891" i="3"/>
  <c r="P890" i="3"/>
  <c r="O890" i="3"/>
  <c r="P889" i="3"/>
  <c r="O889" i="3"/>
  <c r="P888" i="3"/>
  <c r="O888" i="3"/>
  <c r="P887" i="3"/>
  <c r="O887" i="3"/>
  <c r="P886" i="3"/>
  <c r="O886" i="3"/>
  <c r="P885" i="3"/>
  <c r="O885" i="3"/>
  <c r="P884" i="3"/>
  <c r="O884" i="3"/>
  <c r="P883" i="3"/>
  <c r="O883" i="3"/>
  <c r="P882" i="3"/>
  <c r="O882" i="3"/>
  <c r="P881" i="3"/>
  <c r="O881" i="3"/>
  <c r="P880" i="3"/>
  <c r="O880" i="3"/>
  <c r="P879" i="3"/>
  <c r="O879" i="3"/>
  <c r="P878" i="3"/>
  <c r="O878" i="3"/>
  <c r="P877" i="3"/>
  <c r="O877" i="3"/>
  <c r="P876" i="3"/>
  <c r="O876" i="3"/>
  <c r="P875" i="3"/>
  <c r="O875" i="3"/>
  <c r="P874" i="3"/>
  <c r="O874" i="3"/>
  <c r="P873" i="3"/>
  <c r="O873" i="3"/>
  <c r="P872" i="3"/>
  <c r="O872" i="3"/>
  <c r="P871" i="3"/>
  <c r="O871" i="3"/>
  <c r="P870" i="3"/>
  <c r="O870" i="3"/>
  <c r="P869" i="3"/>
  <c r="O869" i="3"/>
  <c r="P868" i="3"/>
  <c r="O868" i="3"/>
  <c r="P867" i="3"/>
  <c r="O867" i="3"/>
  <c r="P866" i="3"/>
  <c r="O866" i="3"/>
  <c r="P865" i="3"/>
  <c r="O865" i="3"/>
  <c r="P864" i="3"/>
  <c r="O864" i="3"/>
  <c r="P863" i="3"/>
  <c r="O863" i="3"/>
  <c r="P862" i="3"/>
  <c r="O862" i="3"/>
  <c r="P861" i="3"/>
  <c r="O861" i="3"/>
  <c r="P860" i="3"/>
  <c r="O860" i="3"/>
  <c r="P859" i="3"/>
  <c r="O859" i="3"/>
  <c r="P858" i="3"/>
  <c r="O858" i="3"/>
  <c r="P857" i="3"/>
  <c r="O857" i="3"/>
  <c r="P856" i="3"/>
  <c r="O856" i="3"/>
  <c r="P855" i="3"/>
  <c r="O855" i="3"/>
  <c r="P854" i="3"/>
  <c r="O854" i="3"/>
  <c r="P853" i="3"/>
  <c r="O853" i="3"/>
  <c r="P852" i="3"/>
  <c r="O852" i="3"/>
  <c r="P851" i="3"/>
  <c r="O851" i="3"/>
  <c r="P850" i="3"/>
  <c r="O850" i="3"/>
  <c r="P849" i="3"/>
  <c r="O849" i="3"/>
  <c r="P848" i="3"/>
  <c r="O848" i="3"/>
  <c r="P847" i="3"/>
  <c r="O847" i="3"/>
  <c r="P846" i="3"/>
  <c r="O846" i="3"/>
  <c r="P845" i="3"/>
  <c r="O845" i="3"/>
  <c r="P844" i="3"/>
  <c r="O844" i="3"/>
  <c r="P843" i="3"/>
  <c r="O843" i="3"/>
  <c r="P842" i="3"/>
  <c r="O842" i="3"/>
  <c r="P841" i="3"/>
  <c r="O841" i="3"/>
  <c r="P840" i="3"/>
  <c r="O840" i="3"/>
  <c r="P839" i="3"/>
  <c r="O839" i="3"/>
  <c r="P838" i="3"/>
  <c r="O838" i="3"/>
  <c r="P837" i="3"/>
  <c r="O837" i="3"/>
  <c r="P836" i="3"/>
  <c r="O836" i="3"/>
  <c r="P835" i="3"/>
  <c r="O835" i="3"/>
  <c r="P834" i="3"/>
  <c r="O834" i="3"/>
  <c r="P833" i="3"/>
  <c r="O833" i="3"/>
  <c r="P832" i="3"/>
  <c r="O832" i="3"/>
  <c r="P831" i="3"/>
  <c r="O831" i="3"/>
  <c r="P830" i="3"/>
  <c r="O830" i="3"/>
  <c r="P829" i="3"/>
  <c r="O829" i="3"/>
  <c r="P828" i="3"/>
  <c r="O828" i="3"/>
  <c r="P827" i="3"/>
  <c r="O827" i="3"/>
  <c r="P826" i="3"/>
  <c r="O826" i="3"/>
  <c r="P825" i="3"/>
  <c r="O825" i="3"/>
  <c r="P824" i="3"/>
  <c r="O824" i="3"/>
  <c r="P823" i="3"/>
  <c r="O823" i="3"/>
  <c r="P822" i="3"/>
  <c r="O822" i="3"/>
  <c r="P821" i="3"/>
  <c r="O821" i="3"/>
  <c r="P820" i="3"/>
  <c r="O820" i="3"/>
  <c r="P819" i="3"/>
  <c r="O819" i="3"/>
  <c r="P818" i="3"/>
  <c r="O818" i="3"/>
  <c r="P817" i="3"/>
  <c r="O817" i="3"/>
  <c r="P816" i="3"/>
  <c r="O816" i="3"/>
  <c r="P815" i="3"/>
  <c r="O815" i="3"/>
  <c r="P814" i="3"/>
  <c r="O814" i="3"/>
  <c r="P813" i="3"/>
  <c r="O813" i="3"/>
  <c r="P812" i="3"/>
  <c r="O812" i="3"/>
  <c r="P811" i="3"/>
  <c r="O811" i="3"/>
  <c r="P810" i="3"/>
  <c r="O810" i="3"/>
  <c r="P809" i="3"/>
  <c r="O809" i="3"/>
  <c r="P808" i="3"/>
  <c r="O808" i="3"/>
  <c r="P807" i="3"/>
  <c r="O807" i="3"/>
  <c r="P806" i="3"/>
  <c r="O806" i="3"/>
  <c r="P805" i="3"/>
  <c r="O805" i="3"/>
  <c r="P804" i="3"/>
  <c r="O804" i="3"/>
  <c r="P803" i="3"/>
  <c r="O803" i="3"/>
  <c r="P802" i="3"/>
  <c r="O802" i="3"/>
  <c r="P801" i="3"/>
  <c r="O801" i="3"/>
  <c r="P800" i="3"/>
  <c r="O800" i="3"/>
  <c r="P799" i="3"/>
  <c r="O799" i="3"/>
  <c r="P798" i="3"/>
  <c r="O798" i="3"/>
  <c r="P797" i="3"/>
  <c r="O797" i="3"/>
  <c r="P796" i="3"/>
  <c r="O796" i="3"/>
  <c r="P795" i="3"/>
  <c r="O795" i="3"/>
  <c r="P794" i="3"/>
  <c r="O794" i="3"/>
  <c r="P793" i="3"/>
  <c r="O793" i="3"/>
  <c r="P792" i="3"/>
  <c r="O792" i="3"/>
  <c r="P791" i="3"/>
  <c r="O791" i="3"/>
  <c r="P790" i="3"/>
  <c r="O790" i="3"/>
  <c r="P789" i="3"/>
  <c r="O789" i="3"/>
  <c r="P788" i="3"/>
  <c r="O788" i="3"/>
  <c r="P787" i="3"/>
  <c r="O787" i="3"/>
  <c r="P786" i="3"/>
  <c r="O786" i="3"/>
  <c r="P785" i="3"/>
  <c r="O785" i="3"/>
  <c r="P784" i="3"/>
  <c r="O784" i="3"/>
  <c r="P783" i="3"/>
  <c r="O783" i="3"/>
  <c r="P782" i="3"/>
  <c r="O782" i="3"/>
  <c r="P781" i="3"/>
  <c r="O781" i="3"/>
  <c r="P780" i="3"/>
  <c r="O780" i="3"/>
  <c r="P779" i="3"/>
  <c r="O779" i="3"/>
  <c r="P778" i="3"/>
  <c r="O778" i="3"/>
  <c r="P777" i="3"/>
  <c r="O777" i="3"/>
  <c r="P776" i="3"/>
  <c r="O776" i="3"/>
  <c r="P775" i="3"/>
  <c r="O775" i="3"/>
  <c r="P774" i="3"/>
  <c r="O774" i="3"/>
  <c r="P773" i="3"/>
  <c r="O773" i="3"/>
  <c r="P772" i="3"/>
  <c r="O772" i="3"/>
  <c r="P771" i="3"/>
  <c r="O771" i="3"/>
  <c r="P770" i="3"/>
  <c r="O770" i="3"/>
  <c r="P769" i="3"/>
  <c r="O769" i="3"/>
  <c r="P768" i="3"/>
  <c r="O768" i="3"/>
  <c r="P767" i="3"/>
  <c r="O767" i="3"/>
  <c r="P766" i="3"/>
  <c r="O766" i="3"/>
  <c r="P765" i="3"/>
  <c r="O765" i="3"/>
  <c r="P764" i="3"/>
  <c r="O764" i="3"/>
  <c r="P763" i="3"/>
  <c r="O763" i="3"/>
  <c r="P762" i="3"/>
  <c r="O762" i="3"/>
  <c r="P761" i="3"/>
  <c r="O761" i="3"/>
  <c r="P760" i="3"/>
  <c r="O760" i="3"/>
  <c r="P759" i="3"/>
  <c r="O759" i="3"/>
  <c r="P758" i="3"/>
  <c r="O758" i="3"/>
  <c r="P757" i="3"/>
  <c r="O757" i="3"/>
  <c r="P756" i="3"/>
  <c r="O756" i="3"/>
  <c r="P755" i="3"/>
  <c r="O755" i="3"/>
  <c r="P754" i="3"/>
  <c r="O754" i="3"/>
  <c r="P753" i="3"/>
  <c r="O753" i="3"/>
  <c r="P752" i="3"/>
  <c r="O752" i="3"/>
  <c r="P751" i="3"/>
  <c r="O751" i="3"/>
  <c r="P750" i="3"/>
  <c r="O750" i="3"/>
  <c r="P749" i="3"/>
  <c r="O749" i="3"/>
  <c r="P748" i="3"/>
  <c r="O748" i="3"/>
  <c r="P747" i="3"/>
  <c r="O747" i="3"/>
  <c r="P746" i="3"/>
  <c r="O746" i="3"/>
  <c r="P745" i="3"/>
  <c r="O745" i="3"/>
  <c r="P744" i="3"/>
  <c r="O744" i="3"/>
  <c r="P743" i="3"/>
  <c r="O743" i="3"/>
  <c r="P742" i="3"/>
  <c r="O742" i="3"/>
  <c r="P741" i="3"/>
  <c r="O741" i="3"/>
  <c r="P740" i="3"/>
  <c r="O740" i="3"/>
  <c r="P739" i="3"/>
  <c r="O739" i="3"/>
  <c r="P738" i="3"/>
  <c r="O738" i="3"/>
  <c r="P737" i="3"/>
  <c r="O737" i="3"/>
  <c r="P736" i="3"/>
  <c r="O736" i="3"/>
  <c r="P735" i="3"/>
  <c r="O735" i="3"/>
  <c r="P734" i="3"/>
  <c r="O734" i="3"/>
  <c r="P733" i="3"/>
  <c r="O733" i="3"/>
  <c r="P732" i="3"/>
  <c r="O732" i="3"/>
  <c r="P731" i="3"/>
  <c r="O731" i="3"/>
  <c r="P730" i="3"/>
  <c r="O730" i="3"/>
  <c r="P729" i="3"/>
  <c r="O729" i="3"/>
  <c r="P728" i="3"/>
  <c r="O728" i="3"/>
  <c r="P727" i="3"/>
  <c r="O727" i="3"/>
  <c r="P726" i="3"/>
  <c r="O726" i="3"/>
  <c r="P725" i="3"/>
  <c r="O725" i="3"/>
  <c r="P724" i="3"/>
  <c r="O724" i="3"/>
  <c r="P723" i="3"/>
  <c r="O723" i="3"/>
  <c r="P722" i="3"/>
  <c r="O722" i="3"/>
  <c r="P721" i="3"/>
  <c r="O721" i="3"/>
  <c r="P720" i="3"/>
  <c r="O720" i="3"/>
  <c r="P719" i="3"/>
  <c r="O719" i="3"/>
  <c r="P718" i="3"/>
  <c r="O718" i="3"/>
  <c r="P717" i="3"/>
  <c r="O717" i="3"/>
  <c r="P716" i="3"/>
  <c r="O716" i="3"/>
  <c r="P715" i="3"/>
  <c r="O715" i="3"/>
  <c r="P714" i="3"/>
  <c r="O714" i="3"/>
  <c r="P713" i="3"/>
  <c r="O713" i="3"/>
  <c r="P712" i="3"/>
  <c r="O712" i="3"/>
  <c r="P711" i="3"/>
  <c r="O711" i="3"/>
  <c r="P710" i="3"/>
  <c r="O710" i="3"/>
  <c r="P709" i="3"/>
  <c r="O709" i="3"/>
  <c r="P708" i="3"/>
  <c r="O708" i="3"/>
  <c r="P707" i="3"/>
  <c r="O707" i="3"/>
  <c r="P706" i="3"/>
  <c r="O706" i="3"/>
  <c r="P705" i="3"/>
  <c r="O705" i="3"/>
  <c r="P704" i="3"/>
  <c r="O704" i="3"/>
  <c r="P703" i="3"/>
  <c r="O703" i="3"/>
  <c r="P702" i="3"/>
  <c r="O702" i="3"/>
  <c r="P701" i="3"/>
  <c r="O701" i="3"/>
  <c r="P700" i="3"/>
  <c r="O700" i="3"/>
  <c r="P699" i="3"/>
  <c r="O699" i="3"/>
  <c r="P698" i="3"/>
  <c r="O698" i="3"/>
  <c r="P697" i="3"/>
  <c r="O697" i="3"/>
  <c r="P696" i="3"/>
  <c r="O696" i="3"/>
  <c r="P695" i="3"/>
  <c r="O695" i="3"/>
  <c r="P694" i="3"/>
  <c r="O694" i="3"/>
  <c r="P693" i="3"/>
  <c r="O693" i="3"/>
  <c r="P692" i="3"/>
  <c r="O692" i="3"/>
  <c r="P691" i="3"/>
  <c r="O691" i="3"/>
  <c r="P690" i="3"/>
  <c r="O690" i="3"/>
  <c r="P689" i="3"/>
  <c r="O689" i="3"/>
  <c r="P688" i="3"/>
  <c r="O688" i="3"/>
  <c r="P687" i="3"/>
  <c r="O687" i="3"/>
  <c r="P686" i="3"/>
  <c r="O686" i="3"/>
  <c r="P685" i="3"/>
  <c r="O685" i="3"/>
  <c r="P684" i="3"/>
  <c r="O684" i="3"/>
  <c r="P683" i="3"/>
  <c r="O683" i="3"/>
  <c r="P682" i="3"/>
  <c r="O682" i="3"/>
  <c r="P681" i="3"/>
  <c r="O681" i="3"/>
  <c r="P680" i="3"/>
  <c r="O680" i="3"/>
  <c r="P679" i="3"/>
  <c r="O679" i="3"/>
  <c r="P678" i="3"/>
  <c r="O678" i="3"/>
  <c r="P677" i="3"/>
  <c r="O677" i="3"/>
  <c r="P676" i="3"/>
  <c r="O676" i="3"/>
  <c r="P675" i="3"/>
  <c r="O675" i="3"/>
  <c r="P674" i="3"/>
  <c r="O674" i="3"/>
  <c r="P673" i="3"/>
  <c r="O673" i="3"/>
  <c r="P672" i="3"/>
  <c r="O672" i="3"/>
  <c r="P671" i="3"/>
  <c r="O671" i="3"/>
  <c r="P670" i="3"/>
  <c r="O670" i="3"/>
  <c r="P669" i="3"/>
  <c r="O669" i="3"/>
  <c r="P668" i="3"/>
  <c r="O668" i="3"/>
  <c r="P667" i="3"/>
  <c r="O667" i="3"/>
  <c r="P666" i="3"/>
  <c r="O666" i="3"/>
  <c r="P665" i="3"/>
  <c r="O665" i="3"/>
  <c r="P664" i="3"/>
  <c r="O664" i="3"/>
  <c r="P663" i="3"/>
  <c r="O663" i="3"/>
  <c r="P662" i="3"/>
  <c r="O662" i="3"/>
  <c r="P661" i="3"/>
  <c r="O661" i="3"/>
  <c r="P660" i="3"/>
  <c r="O660" i="3"/>
  <c r="P659" i="3"/>
  <c r="O659" i="3"/>
  <c r="P658" i="3"/>
  <c r="O658" i="3"/>
  <c r="P657" i="3"/>
  <c r="O657" i="3"/>
  <c r="P656" i="3"/>
  <c r="O656" i="3"/>
  <c r="P655" i="3"/>
  <c r="O655" i="3"/>
  <c r="P654" i="3"/>
  <c r="O654" i="3"/>
  <c r="P653" i="3"/>
  <c r="O653" i="3"/>
  <c r="P652" i="3"/>
  <c r="O652" i="3"/>
  <c r="P651" i="3"/>
  <c r="O651" i="3"/>
  <c r="P650" i="3"/>
  <c r="O650" i="3"/>
  <c r="P649" i="3"/>
  <c r="O649" i="3"/>
  <c r="P648" i="3"/>
  <c r="O648" i="3"/>
  <c r="P647" i="3"/>
  <c r="O647" i="3"/>
  <c r="P646" i="3"/>
  <c r="O646" i="3"/>
  <c r="P645" i="3"/>
  <c r="O645" i="3"/>
  <c r="P644" i="3"/>
  <c r="O644" i="3"/>
  <c r="P643" i="3"/>
  <c r="O643" i="3"/>
  <c r="P642" i="3"/>
  <c r="O642" i="3"/>
  <c r="P641" i="3"/>
  <c r="O641" i="3"/>
  <c r="P640" i="3"/>
  <c r="O640" i="3"/>
  <c r="P639" i="3"/>
  <c r="O639" i="3"/>
  <c r="P638" i="3"/>
  <c r="O638" i="3"/>
  <c r="P637" i="3"/>
  <c r="O637" i="3"/>
  <c r="P636" i="3"/>
  <c r="O636" i="3"/>
  <c r="P635" i="3"/>
  <c r="O635" i="3"/>
  <c r="P634" i="3"/>
  <c r="O634" i="3"/>
  <c r="P633" i="3"/>
  <c r="O633" i="3"/>
  <c r="P632" i="3"/>
  <c r="O632" i="3"/>
  <c r="P631" i="3"/>
  <c r="O631" i="3"/>
  <c r="P630" i="3"/>
  <c r="O630" i="3"/>
  <c r="P629" i="3"/>
  <c r="O629" i="3"/>
  <c r="P628" i="3"/>
  <c r="O628" i="3"/>
  <c r="P627" i="3"/>
  <c r="O627" i="3"/>
  <c r="P626" i="3"/>
  <c r="O626" i="3"/>
  <c r="P625" i="3"/>
  <c r="O625" i="3"/>
  <c r="P624" i="3"/>
  <c r="O624" i="3"/>
  <c r="P623" i="3"/>
  <c r="O623" i="3"/>
  <c r="P622" i="3"/>
  <c r="O622" i="3"/>
  <c r="P621" i="3"/>
  <c r="O621" i="3"/>
  <c r="P620" i="3"/>
  <c r="O620" i="3"/>
  <c r="P619" i="3"/>
  <c r="O619" i="3"/>
  <c r="P618" i="3"/>
  <c r="O618" i="3"/>
  <c r="P617" i="3"/>
  <c r="O617" i="3"/>
  <c r="P616" i="3"/>
  <c r="O616" i="3"/>
  <c r="P615" i="3"/>
  <c r="O615" i="3"/>
  <c r="P614" i="3"/>
  <c r="O614" i="3"/>
  <c r="P613" i="3"/>
  <c r="O613" i="3"/>
  <c r="P612" i="3"/>
  <c r="O612" i="3"/>
  <c r="P611" i="3"/>
  <c r="O611" i="3"/>
  <c r="P610" i="3"/>
  <c r="O610" i="3"/>
  <c r="P609" i="3"/>
  <c r="O609" i="3"/>
  <c r="P608" i="3"/>
  <c r="O608" i="3"/>
  <c r="P607" i="3"/>
  <c r="O607" i="3"/>
  <c r="P606" i="3"/>
  <c r="O606" i="3"/>
  <c r="P605" i="3"/>
  <c r="O605" i="3"/>
  <c r="P604" i="3"/>
  <c r="O604" i="3"/>
  <c r="P603" i="3"/>
  <c r="O603" i="3"/>
  <c r="P602" i="3"/>
  <c r="O602" i="3"/>
  <c r="P601" i="3"/>
  <c r="O601" i="3"/>
  <c r="P600" i="3"/>
  <c r="O600" i="3"/>
  <c r="P599" i="3"/>
  <c r="O599" i="3"/>
  <c r="P598" i="3"/>
  <c r="O598" i="3"/>
  <c r="P597" i="3"/>
  <c r="O597" i="3"/>
  <c r="P596" i="3"/>
  <c r="O596" i="3"/>
  <c r="P595" i="3"/>
  <c r="O595" i="3"/>
  <c r="P594" i="3"/>
  <c r="O594" i="3"/>
  <c r="P593" i="3"/>
  <c r="O593" i="3"/>
  <c r="P592" i="3"/>
  <c r="O592" i="3"/>
  <c r="P591" i="3"/>
  <c r="O591" i="3"/>
  <c r="P590" i="3"/>
  <c r="O590" i="3"/>
  <c r="P589" i="3"/>
  <c r="O589" i="3"/>
  <c r="P588" i="3"/>
  <c r="O588" i="3"/>
  <c r="P587" i="3"/>
  <c r="O587" i="3"/>
  <c r="P586" i="3"/>
  <c r="O586" i="3"/>
  <c r="P585" i="3"/>
  <c r="O585" i="3"/>
  <c r="P584" i="3"/>
  <c r="O584" i="3"/>
  <c r="P583" i="3"/>
  <c r="O583" i="3"/>
  <c r="P582" i="3"/>
  <c r="O582" i="3"/>
  <c r="P581" i="3"/>
  <c r="O581" i="3"/>
  <c r="P580" i="3"/>
  <c r="O580" i="3"/>
  <c r="P579" i="3"/>
  <c r="O579" i="3"/>
  <c r="P578" i="3"/>
  <c r="O578" i="3"/>
  <c r="P577" i="3"/>
  <c r="O577" i="3"/>
  <c r="P576" i="3"/>
  <c r="O576" i="3"/>
  <c r="P575" i="3"/>
  <c r="O575" i="3"/>
  <c r="P574" i="3"/>
  <c r="O574" i="3"/>
  <c r="P573" i="3"/>
  <c r="O573" i="3"/>
  <c r="P572" i="3"/>
  <c r="O572" i="3"/>
  <c r="P571" i="3"/>
  <c r="O571" i="3"/>
  <c r="P570" i="3"/>
  <c r="O570" i="3"/>
  <c r="P569" i="3"/>
  <c r="O569" i="3"/>
  <c r="P568" i="3"/>
  <c r="O568" i="3"/>
  <c r="P567" i="3"/>
  <c r="O567" i="3"/>
  <c r="P566" i="3"/>
  <c r="O566" i="3"/>
  <c r="P565" i="3"/>
  <c r="O565" i="3"/>
  <c r="P564" i="3"/>
  <c r="O564" i="3"/>
  <c r="P563" i="3"/>
  <c r="O563" i="3"/>
  <c r="P562" i="3"/>
  <c r="O562" i="3"/>
  <c r="P561" i="3"/>
  <c r="O561" i="3"/>
  <c r="P560" i="3"/>
  <c r="O560" i="3"/>
  <c r="P559" i="3"/>
  <c r="O559" i="3"/>
  <c r="P558" i="3"/>
  <c r="O558" i="3"/>
  <c r="P557" i="3"/>
  <c r="O557" i="3"/>
  <c r="P556" i="3"/>
  <c r="O556" i="3"/>
  <c r="P555" i="3"/>
  <c r="O555" i="3"/>
  <c r="P554" i="3"/>
  <c r="O554" i="3"/>
  <c r="P553" i="3"/>
  <c r="O553" i="3"/>
  <c r="P552" i="3"/>
  <c r="O552" i="3"/>
  <c r="P551" i="3"/>
  <c r="O551" i="3"/>
  <c r="P550" i="3"/>
  <c r="O550" i="3"/>
  <c r="P549" i="3"/>
  <c r="O549" i="3"/>
  <c r="P548" i="3"/>
  <c r="O548" i="3"/>
  <c r="P547" i="3"/>
  <c r="O547" i="3"/>
  <c r="P546" i="3"/>
  <c r="O546" i="3"/>
  <c r="P545" i="3"/>
  <c r="O545" i="3"/>
  <c r="P544" i="3"/>
  <c r="O544" i="3"/>
  <c r="P543" i="3"/>
  <c r="O543" i="3"/>
  <c r="P542" i="3"/>
  <c r="O542" i="3"/>
  <c r="P541" i="3"/>
  <c r="O541" i="3"/>
  <c r="P540" i="3"/>
  <c r="O540" i="3"/>
  <c r="P539" i="3"/>
  <c r="O539" i="3"/>
  <c r="P538" i="3"/>
  <c r="O538" i="3"/>
  <c r="P537" i="3"/>
  <c r="O537" i="3"/>
  <c r="P536" i="3"/>
  <c r="O536" i="3"/>
  <c r="P535" i="3"/>
  <c r="O535" i="3"/>
  <c r="P534" i="3"/>
  <c r="O534" i="3"/>
  <c r="P533" i="3"/>
  <c r="O533" i="3"/>
  <c r="P532" i="3"/>
  <c r="O532" i="3"/>
  <c r="P531" i="3"/>
  <c r="O531" i="3"/>
  <c r="P530" i="3"/>
  <c r="O530" i="3"/>
  <c r="P529" i="3"/>
  <c r="O529" i="3"/>
  <c r="P528" i="3"/>
  <c r="O528" i="3"/>
  <c r="P527" i="3"/>
  <c r="O527" i="3"/>
  <c r="P526" i="3"/>
  <c r="O526" i="3"/>
  <c r="P525" i="3"/>
  <c r="O525" i="3"/>
  <c r="P524" i="3"/>
  <c r="O524" i="3"/>
  <c r="P523" i="3"/>
  <c r="O523" i="3"/>
  <c r="P522" i="3"/>
  <c r="O522" i="3"/>
  <c r="P521" i="3"/>
  <c r="O521" i="3"/>
  <c r="P520" i="3"/>
  <c r="O520" i="3"/>
  <c r="P519" i="3"/>
  <c r="O519" i="3"/>
  <c r="P518" i="3"/>
  <c r="O518" i="3"/>
  <c r="P517" i="3"/>
  <c r="O517" i="3"/>
  <c r="P516" i="3"/>
  <c r="O516" i="3"/>
  <c r="P515" i="3"/>
  <c r="O515" i="3"/>
  <c r="P514" i="3"/>
  <c r="O514" i="3"/>
  <c r="P513" i="3"/>
  <c r="O513" i="3"/>
  <c r="P512" i="3"/>
  <c r="O512" i="3"/>
  <c r="P511" i="3"/>
  <c r="O511" i="3"/>
  <c r="P510" i="3"/>
  <c r="O510" i="3"/>
  <c r="P509" i="3"/>
  <c r="O509" i="3"/>
  <c r="P508" i="3"/>
  <c r="O508" i="3"/>
  <c r="P507" i="3"/>
  <c r="O507" i="3"/>
  <c r="P506" i="3"/>
  <c r="O506" i="3"/>
  <c r="P505" i="3"/>
  <c r="O505" i="3"/>
  <c r="P504" i="3"/>
  <c r="O504" i="3"/>
  <c r="P503" i="3"/>
  <c r="O503" i="3"/>
  <c r="P502" i="3"/>
  <c r="O502" i="3"/>
  <c r="P501" i="3"/>
  <c r="O501" i="3"/>
  <c r="P500" i="3"/>
  <c r="O500" i="3"/>
  <c r="P499" i="3"/>
  <c r="O499" i="3"/>
  <c r="P498" i="3"/>
  <c r="O498" i="3"/>
  <c r="P497" i="3"/>
  <c r="O497" i="3"/>
  <c r="P496" i="3"/>
  <c r="O496" i="3"/>
  <c r="P495" i="3"/>
  <c r="O495" i="3"/>
  <c r="P494" i="3"/>
  <c r="O494" i="3"/>
  <c r="P493" i="3"/>
  <c r="O493" i="3"/>
  <c r="P492" i="3"/>
  <c r="O492" i="3"/>
  <c r="P491" i="3"/>
  <c r="O491" i="3"/>
  <c r="P490" i="3"/>
  <c r="O490" i="3"/>
  <c r="P489" i="3"/>
  <c r="O489" i="3"/>
  <c r="P488" i="3"/>
  <c r="O488" i="3"/>
  <c r="P487" i="3"/>
  <c r="O487" i="3"/>
  <c r="P486" i="3"/>
  <c r="O486" i="3"/>
  <c r="P485" i="3"/>
  <c r="O485" i="3"/>
  <c r="P484" i="3"/>
  <c r="O484" i="3"/>
  <c r="P483" i="3"/>
  <c r="O483" i="3"/>
  <c r="P482" i="3"/>
  <c r="O482" i="3"/>
  <c r="P481" i="3"/>
  <c r="O481" i="3"/>
  <c r="P480" i="3"/>
  <c r="O480" i="3"/>
  <c r="P479" i="3"/>
  <c r="O479" i="3"/>
  <c r="P478" i="3"/>
  <c r="O478" i="3"/>
  <c r="P477" i="3"/>
  <c r="O477" i="3"/>
  <c r="P476" i="3"/>
  <c r="O476" i="3"/>
  <c r="P475" i="3"/>
  <c r="O475" i="3"/>
  <c r="P474" i="3"/>
  <c r="O474" i="3"/>
  <c r="P473" i="3"/>
  <c r="O473" i="3"/>
  <c r="P472" i="3"/>
  <c r="O472" i="3"/>
  <c r="P471" i="3"/>
  <c r="O471" i="3"/>
  <c r="P470" i="3"/>
  <c r="O470" i="3"/>
  <c r="P469" i="3"/>
  <c r="O469" i="3"/>
  <c r="P468" i="3"/>
  <c r="O468" i="3"/>
  <c r="P467" i="3"/>
  <c r="O467" i="3"/>
  <c r="P466" i="3"/>
  <c r="O466" i="3"/>
  <c r="P465" i="3"/>
  <c r="O465" i="3"/>
  <c r="P464" i="3"/>
  <c r="O464" i="3"/>
  <c r="P463" i="3"/>
  <c r="O463" i="3"/>
  <c r="P462" i="3"/>
  <c r="O462" i="3"/>
  <c r="P461" i="3"/>
  <c r="O461" i="3"/>
  <c r="P460" i="3"/>
  <c r="O460" i="3"/>
  <c r="P459" i="3"/>
  <c r="O459" i="3"/>
  <c r="P458" i="3"/>
  <c r="O458" i="3"/>
  <c r="P457" i="3"/>
  <c r="O457" i="3"/>
  <c r="P456" i="3"/>
  <c r="O456" i="3"/>
  <c r="P455" i="3"/>
  <c r="O455" i="3"/>
  <c r="P454" i="3"/>
  <c r="O454" i="3"/>
  <c r="P453" i="3"/>
  <c r="O453" i="3"/>
  <c r="P452" i="3"/>
  <c r="O452" i="3"/>
  <c r="P451" i="3"/>
  <c r="O451" i="3"/>
  <c r="P450" i="3"/>
  <c r="O450" i="3"/>
  <c r="P449" i="3"/>
  <c r="O449" i="3"/>
  <c r="P448" i="3"/>
  <c r="O448" i="3"/>
  <c r="P447" i="3"/>
  <c r="O447" i="3"/>
  <c r="P446" i="3"/>
  <c r="O446" i="3"/>
  <c r="P445" i="3"/>
  <c r="O445" i="3"/>
  <c r="P444" i="3"/>
  <c r="O444" i="3"/>
  <c r="P443" i="3"/>
  <c r="O443" i="3"/>
  <c r="P442" i="3"/>
  <c r="O442" i="3"/>
  <c r="P441" i="3"/>
  <c r="O441" i="3"/>
  <c r="P440" i="3"/>
  <c r="O440" i="3"/>
  <c r="P439" i="3"/>
  <c r="O439" i="3"/>
  <c r="P438" i="3"/>
  <c r="O438" i="3"/>
  <c r="P437" i="3"/>
  <c r="O437" i="3"/>
  <c r="P436" i="3"/>
  <c r="O436" i="3"/>
  <c r="P435" i="3"/>
  <c r="O435" i="3"/>
  <c r="P434" i="3"/>
  <c r="O434" i="3"/>
  <c r="P433" i="3"/>
  <c r="O433" i="3"/>
  <c r="P432" i="3"/>
  <c r="O432" i="3"/>
  <c r="P431" i="3"/>
  <c r="O431" i="3"/>
  <c r="P430" i="3"/>
  <c r="O430" i="3"/>
  <c r="P429" i="3"/>
  <c r="O429" i="3"/>
  <c r="P428" i="3"/>
  <c r="O428" i="3"/>
  <c r="P427" i="3"/>
  <c r="O427" i="3"/>
  <c r="P426" i="3"/>
  <c r="O426" i="3"/>
  <c r="P425" i="3"/>
  <c r="O425" i="3"/>
  <c r="P424" i="3"/>
  <c r="O424" i="3"/>
  <c r="P423" i="3"/>
  <c r="O423" i="3"/>
  <c r="P422" i="3"/>
  <c r="O422" i="3"/>
  <c r="P421" i="3"/>
  <c r="O421" i="3"/>
  <c r="P420" i="3"/>
  <c r="O420" i="3"/>
  <c r="P419" i="3"/>
  <c r="O419" i="3"/>
  <c r="P418" i="3"/>
  <c r="O418" i="3"/>
  <c r="P417" i="3"/>
  <c r="O417" i="3"/>
  <c r="P416" i="3"/>
  <c r="O416" i="3"/>
  <c r="P415" i="3"/>
  <c r="O415" i="3"/>
  <c r="P414" i="3"/>
  <c r="O414" i="3"/>
  <c r="P413" i="3"/>
  <c r="O413" i="3"/>
  <c r="P412" i="3"/>
  <c r="O412" i="3"/>
  <c r="P411" i="3"/>
  <c r="O411" i="3"/>
  <c r="P410" i="3"/>
  <c r="O410" i="3"/>
  <c r="P409" i="3"/>
  <c r="O409" i="3"/>
  <c r="P408" i="3"/>
  <c r="O408" i="3"/>
  <c r="P407" i="3"/>
  <c r="O407" i="3"/>
  <c r="P406" i="3"/>
  <c r="O406" i="3"/>
  <c r="P405" i="3"/>
  <c r="O405" i="3"/>
  <c r="P404" i="3"/>
  <c r="O404" i="3"/>
  <c r="P403" i="3"/>
  <c r="O403" i="3"/>
  <c r="P402" i="3"/>
  <c r="O402" i="3"/>
  <c r="P401" i="3"/>
  <c r="O401" i="3"/>
  <c r="P400" i="3"/>
  <c r="O400" i="3"/>
  <c r="P399" i="3"/>
  <c r="O399" i="3"/>
  <c r="P398" i="3"/>
  <c r="O398" i="3"/>
  <c r="P397" i="3"/>
  <c r="O397" i="3"/>
  <c r="P396" i="3"/>
  <c r="O396" i="3"/>
  <c r="P395" i="3"/>
  <c r="O395" i="3"/>
  <c r="P394" i="3"/>
  <c r="O394" i="3"/>
  <c r="P393" i="3"/>
  <c r="O393" i="3"/>
  <c r="P392" i="3"/>
  <c r="O392" i="3"/>
  <c r="P391" i="3"/>
  <c r="O391" i="3"/>
  <c r="P390" i="3"/>
  <c r="O390" i="3"/>
  <c r="P389" i="3"/>
  <c r="O389" i="3"/>
  <c r="P388" i="3"/>
  <c r="O388" i="3"/>
  <c r="P387" i="3"/>
  <c r="O387" i="3"/>
  <c r="P386" i="3"/>
  <c r="O386" i="3"/>
  <c r="P385" i="3"/>
  <c r="O385" i="3"/>
  <c r="P384" i="3"/>
  <c r="O384" i="3"/>
  <c r="P383" i="3"/>
  <c r="O383" i="3"/>
  <c r="P382" i="3"/>
  <c r="O382" i="3"/>
  <c r="P381" i="3"/>
  <c r="O381" i="3"/>
  <c r="P380" i="3"/>
  <c r="O380" i="3"/>
  <c r="P379" i="3"/>
  <c r="O379" i="3"/>
  <c r="P378" i="3"/>
  <c r="O378" i="3"/>
  <c r="P377" i="3"/>
  <c r="O377" i="3"/>
  <c r="P376" i="3"/>
  <c r="O376" i="3"/>
  <c r="P375" i="3"/>
  <c r="O375" i="3"/>
  <c r="P374" i="3"/>
  <c r="O374" i="3"/>
  <c r="P373" i="3"/>
  <c r="O373" i="3"/>
  <c r="P372" i="3"/>
  <c r="O372" i="3"/>
  <c r="P371" i="3"/>
  <c r="O371" i="3"/>
  <c r="P370" i="3"/>
  <c r="O370" i="3"/>
  <c r="P369" i="3"/>
  <c r="O369" i="3"/>
  <c r="P368" i="3"/>
  <c r="O368" i="3"/>
  <c r="P367" i="3"/>
  <c r="O367" i="3"/>
  <c r="P366" i="3"/>
  <c r="O366" i="3"/>
  <c r="P365" i="3"/>
  <c r="O365" i="3"/>
  <c r="P364" i="3"/>
  <c r="O364" i="3"/>
  <c r="P363" i="3"/>
  <c r="O363" i="3"/>
  <c r="P362" i="3"/>
  <c r="O362" i="3"/>
  <c r="P361" i="3"/>
  <c r="O361" i="3"/>
  <c r="P360" i="3"/>
  <c r="O360" i="3"/>
  <c r="P359" i="3"/>
  <c r="O359" i="3"/>
  <c r="P358" i="3"/>
  <c r="O358" i="3"/>
  <c r="P357" i="3"/>
  <c r="O357" i="3"/>
  <c r="P356" i="3"/>
  <c r="O356" i="3"/>
  <c r="P355" i="3"/>
  <c r="O355" i="3"/>
  <c r="P354" i="3"/>
  <c r="O354" i="3"/>
  <c r="P353" i="3"/>
  <c r="O353" i="3"/>
  <c r="P352" i="3"/>
  <c r="O352" i="3"/>
  <c r="P351" i="3"/>
  <c r="O351" i="3"/>
  <c r="P350" i="3"/>
  <c r="O350" i="3"/>
  <c r="P349" i="3"/>
  <c r="O349" i="3"/>
  <c r="P348" i="3"/>
  <c r="O348" i="3"/>
  <c r="P347" i="3"/>
  <c r="O347" i="3"/>
  <c r="P346" i="3"/>
  <c r="O346" i="3"/>
  <c r="P345" i="3"/>
  <c r="O345" i="3"/>
  <c r="P344" i="3"/>
  <c r="O344" i="3"/>
  <c r="P343" i="3"/>
  <c r="O343" i="3"/>
  <c r="P342" i="3"/>
  <c r="O342" i="3"/>
  <c r="P341" i="3"/>
  <c r="O341" i="3"/>
  <c r="P340" i="3"/>
  <c r="O340" i="3"/>
  <c r="P339" i="3"/>
  <c r="O339" i="3"/>
  <c r="P338" i="3"/>
  <c r="O338" i="3"/>
  <c r="P337" i="3"/>
  <c r="O337" i="3"/>
  <c r="P336" i="3"/>
  <c r="O336" i="3"/>
  <c r="P335" i="3"/>
  <c r="O335" i="3"/>
  <c r="P334" i="3"/>
  <c r="O334" i="3"/>
  <c r="P333" i="3"/>
  <c r="O333" i="3"/>
  <c r="P332" i="3"/>
  <c r="O332" i="3"/>
  <c r="P331" i="3"/>
  <c r="O331" i="3"/>
  <c r="P330" i="3"/>
  <c r="O330" i="3"/>
  <c r="P329" i="3"/>
  <c r="O329" i="3"/>
  <c r="P328" i="3"/>
  <c r="O328" i="3"/>
  <c r="P327" i="3"/>
  <c r="O327" i="3"/>
  <c r="P326" i="3"/>
  <c r="O326" i="3"/>
  <c r="P325" i="3"/>
  <c r="O325" i="3"/>
  <c r="P324" i="3"/>
  <c r="O324" i="3"/>
  <c r="P323" i="3"/>
  <c r="O323" i="3"/>
  <c r="P322" i="3"/>
  <c r="O322" i="3"/>
  <c r="P321" i="3"/>
  <c r="O321" i="3"/>
  <c r="P320" i="3"/>
  <c r="O320" i="3"/>
  <c r="P319" i="3"/>
  <c r="O319" i="3"/>
  <c r="P318" i="3"/>
  <c r="O318" i="3"/>
  <c r="P317" i="3"/>
  <c r="O317" i="3"/>
  <c r="P316" i="3"/>
  <c r="O316" i="3"/>
  <c r="P315" i="3"/>
  <c r="O315" i="3"/>
  <c r="P314" i="3"/>
  <c r="O314" i="3"/>
  <c r="P313" i="3"/>
  <c r="O313" i="3"/>
  <c r="P312" i="3"/>
  <c r="O312" i="3"/>
  <c r="P311" i="3"/>
  <c r="O311" i="3"/>
  <c r="P310" i="3"/>
  <c r="O310" i="3"/>
  <c r="P309" i="3"/>
  <c r="O309" i="3"/>
  <c r="P308" i="3"/>
  <c r="O308" i="3"/>
  <c r="P307" i="3"/>
  <c r="O307" i="3"/>
  <c r="P306" i="3"/>
  <c r="O306" i="3"/>
  <c r="P305" i="3"/>
  <c r="O305" i="3"/>
  <c r="P304" i="3"/>
  <c r="O304" i="3"/>
  <c r="P303" i="3"/>
  <c r="O303" i="3"/>
  <c r="P302" i="3"/>
  <c r="O302" i="3"/>
  <c r="P301" i="3"/>
  <c r="O301" i="3"/>
  <c r="P300" i="3"/>
  <c r="O300" i="3"/>
  <c r="P299" i="3"/>
  <c r="O299" i="3"/>
  <c r="P298" i="3"/>
  <c r="O298" i="3"/>
  <c r="P297" i="3"/>
  <c r="O297" i="3"/>
  <c r="P296" i="3"/>
  <c r="O296" i="3"/>
  <c r="P295" i="3"/>
  <c r="O295" i="3"/>
  <c r="P294" i="3"/>
  <c r="O294" i="3"/>
  <c r="P293" i="3"/>
  <c r="O293" i="3"/>
  <c r="P292" i="3"/>
  <c r="O292" i="3"/>
  <c r="P291" i="3"/>
  <c r="O291" i="3"/>
  <c r="P290" i="3"/>
  <c r="O290" i="3"/>
  <c r="P289" i="3"/>
  <c r="O289" i="3"/>
  <c r="P288" i="3"/>
  <c r="O288" i="3"/>
  <c r="P287" i="3"/>
  <c r="O287" i="3"/>
  <c r="P286" i="3"/>
  <c r="O286" i="3"/>
  <c r="P285" i="3"/>
  <c r="O285" i="3"/>
  <c r="P284" i="3"/>
  <c r="O284" i="3"/>
  <c r="P283" i="3"/>
  <c r="O283" i="3"/>
  <c r="P282" i="3"/>
  <c r="O282" i="3"/>
  <c r="P281" i="3"/>
  <c r="O281" i="3"/>
  <c r="P280" i="3"/>
  <c r="O280" i="3"/>
  <c r="P279" i="3"/>
  <c r="O279" i="3"/>
  <c r="P278" i="3"/>
  <c r="O278" i="3"/>
  <c r="P277" i="3"/>
  <c r="O277" i="3"/>
  <c r="P276" i="3"/>
  <c r="O276" i="3"/>
  <c r="P275" i="3"/>
  <c r="O275" i="3"/>
  <c r="P274" i="3"/>
  <c r="O274" i="3"/>
  <c r="P273" i="3"/>
  <c r="O273" i="3"/>
  <c r="P272" i="3"/>
  <c r="O272" i="3"/>
  <c r="P271" i="3"/>
  <c r="O271" i="3"/>
  <c r="P270" i="3"/>
  <c r="O270" i="3"/>
  <c r="P269" i="3"/>
  <c r="O269" i="3"/>
  <c r="P268" i="3"/>
  <c r="O268" i="3"/>
  <c r="P267" i="3"/>
  <c r="O267" i="3"/>
  <c r="P266" i="3"/>
  <c r="O266" i="3"/>
  <c r="P265" i="3"/>
  <c r="O265" i="3"/>
  <c r="P264" i="3"/>
  <c r="O264" i="3"/>
  <c r="P263" i="3"/>
  <c r="O263" i="3"/>
  <c r="P262" i="3"/>
  <c r="O262" i="3"/>
  <c r="P261" i="3"/>
  <c r="O261" i="3"/>
  <c r="P260" i="3"/>
  <c r="O260" i="3"/>
  <c r="P259" i="3"/>
  <c r="O259" i="3"/>
  <c r="P258" i="3"/>
  <c r="O258" i="3"/>
  <c r="P257" i="3"/>
  <c r="O257" i="3"/>
  <c r="P256" i="3"/>
  <c r="O256" i="3"/>
  <c r="P255" i="3"/>
  <c r="O255" i="3"/>
  <c r="P254" i="3"/>
  <c r="O254" i="3"/>
  <c r="P253" i="3"/>
  <c r="O253" i="3"/>
  <c r="P252" i="3"/>
  <c r="O252" i="3"/>
  <c r="P251" i="3"/>
  <c r="O251" i="3"/>
  <c r="P250" i="3"/>
  <c r="O250" i="3"/>
  <c r="P249" i="3"/>
  <c r="O249" i="3"/>
  <c r="P248" i="3"/>
  <c r="O248" i="3"/>
  <c r="P247" i="3"/>
  <c r="O247" i="3"/>
  <c r="P246" i="3"/>
  <c r="O246" i="3"/>
  <c r="P245" i="3"/>
  <c r="O245" i="3"/>
  <c r="P244" i="3"/>
  <c r="O244" i="3"/>
  <c r="P243" i="3"/>
  <c r="O243" i="3"/>
  <c r="P242" i="3"/>
  <c r="O242" i="3"/>
  <c r="P241" i="3"/>
  <c r="O241" i="3"/>
  <c r="P240" i="3"/>
  <c r="O240" i="3"/>
  <c r="P239" i="3"/>
  <c r="O239" i="3"/>
  <c r="P238" i="3"/>
  <c r="O238" i="3"/>
  <c r="P237" i="3"/>
  <c r="O237" i="3"/>
  <c r="P236" i="3"/>
  <c r="O236" i="3"/>
  <c r="P235" i="3"/>
  <c r="O235" i="3"/>
  <c r="P234" i="3"/>
  <c r="O234" i="3"/>
  <c r="P233" i="3"/>
  <c r="O233" i="3"/>
  <c r="P232" i="3"/>
  <c r="O232" i="3"/>
  <c r="P231" i="3"/>
  <c r="O231" i="3"/>
  <c r="P230" i="3"/>
  <c r="O230" i="3"/>
  <c r="P229" i="3"/>
  <c r="O229" i="3"/>
  <c r="P228" i="3"/>
  <c r="O228" i="3"/>
  <c r="P227" i="3"/>
  <c r="O227" i="3"/>
  <c r="P226" i="3"/>
  <c r="O226" i="3"/>
  <c r="P225" i="3"/>
  <c r="O225" i="3"/>
  <c r="P224" i="3"/>
  <c r="O224" i="3"/>
  <c r="P223" i="3"/>
  <c r="O223" i="3"/>
  <c r="P222" i="3"/>
  <c r="O222" i="3"/>
  <c r="P221" i="3"/>
  <c r="O221" i="3"/>
  <c r="P220" i="3"/>
  <c r="O220" i="3"/>
  <c r="P219" i="3"/>
  <c r="O219" i="3"/>
  <c r="P218" i="3"/>
  <c r="O218" i="3"/>
  <c r="P217" i="3"/>
  <c r="O217" i="3"/>
  <c r="P216" i="3"/>
  <c r="O216" i="3"/>
  <c r="P215" i="3"/>
  <c r="O215" i="3"/>
  <c r="P214" i="3"/>
  <c r="O214" i="3"/>
  <c r="P213" i="3"/>
  <c r="O213" i="3"/>
  <c r="P212" i="3"/>
  <c r="O212" i="3"/>
  <c r="P211" i="3"/>
  <c r="O211" i="3"/>
  <c r="P210" i="3"/>
  <c r="O210" i="3"/>
  <c r="P209" i="3"/>
  <c r="O209" i="3"/>
  <c r="P208" i="3"/>
  <c r="O208" i="3"/>
  <c r="P207" i="3"/>
  <c r="O207" i="3"/>
  <c r="P206" i="3"/>
  <c r="O206" i="3"/>
  <c r="P205" i="3"/>
  <c r="O205" i="3"/>
  <c r="P204" i="3"/>
  <c r="O204" i="3"/>
  <c r="P203" i="3"/>
  <c r="O203" i="3"/>
  <c r="P202" i="3"/>
  <c r="O202" i="3"/>
  <c r="P201" i="3"/>
  <c r="O201" i="3"/>
  <c r="P200" i="3"/>
  <c r="O200" i="3"/>
  <c r="P199" i="3"/>
  <c r="O199" i="3"/>
  <c r="P198" i="3"/>
  <c r="O198" i="3"/>
  <c r="P197" i="3"/>
  <c r="O197" i="3"/>
  <c r="P196" i="3"/>
  <c r="O196" i="3"/>
  <c r="P195" i="3"/>
  <c r="O195" i="3"/>
  <c r="P194" i="3"/>
  <c r="O194" i="3"/>
  <c r="P193" i="3"/>
  <c r="O193" i="3"/>
  <c r="P192" i="3"/>
  <c r="O192" i="3"/>
  <c r="P191" i="3"/>
  <c r="O191" i="3"/>
  <c r="P190" i="3"/>
  <c r="O190" i="3"/>
  <c r="P189" i="3"/>
  <c r="O189" i="3"/>
  <c r="P188" i="3"/>
  <c r="O188" i="3"/>
  <c r="P187" i="3"/>
  <c r="O187" i="3"/>
  <c r="P186" i="3"/>
  <c r="O186" i="3"/>
  <c r="P185" i="3"/>
  <c r="O185" i="3"/>
  <c r="P184" i="3"/>
  <c r="O184" i="3"/>
  <c r="P183" i="3"/>
  <c r="O183" i="3"/>
  <c r="P182" i="3"/>
  <c r="O182" i="3"/>
  <c r="P181" i="3"/>
  <c r="O181" i="3"/>
  <c r="P180" i="3"/>
  <c r="O180" i="3"/>
  <c r="P179" i="3"/>
  <c r="O179" i="3"/>
  <c r="P178" i="3"/>
  <c r="O178" i="3"/>
  <c r="P177" i="3"/>
  <c r="O177" i="3"/>
  <c r="P176" i="3"/>
  <c r="O176" i="3"/>
  <c r="P175" i="3"/>
  <c r="O175" i="3"/>
  <c r="P174" i="3"/>
  <c r="O174" i="3"/>
  <c r="P173" i="3"/>
  <c r="O173" i="3"/>
  <c r="P172" i="3"/>
  <c r="O172" i="3"/>
  <c r="P171" i="3"/>
  <c r="O171" i="3"/>
  <c r="P170" i="3"/>
  <c r="O170" i="3"/>
  <c r="P169" i="3"/>
  <c r="O169" i="3"/>
  <c r="P168" i="3"/>
  <c r="O168" i="3"/>
  <c r="P167" i="3"/>
  <c r="O167" i="3"/>
  <c r="P166" i="3"/>
  <c r="O166" i="3"/>
  <c r="P165" i="3"/>
  <c r="O165" i="3"/>
  <c r="P164" i="3"/>
  <c r="O164" i="3"/>
  <c r="P163" i="3"/>
  <c r="O163" i="3"/>
  <c r="P162" i="3"/>
  <c r="O162" i="3"/>
  <c r="P161" i="3"/>
  <c r="O161" i="3"/>
  <c r="P160" i="3"/>
  <c r="O160" i="3"/>
  <c r="P159" i="3"/>
  <c r="O159" i="3"/>
  <c r="P158" i="3"/>
  <c r="O158" i="3"/>
  <c r="P157" i="3"/>
  <c r="O157" i="3"/>
  <c r="P156" i="3"/>
  <c r="O156" i="3"/>
  <c r="P155" i="3"/>
  <c r="O155" i="3"/>
  <c r="P154" i="3"/>
  <c r="O154" i="3"/>
  <c r="P153" i="3"/>
  <c r="O153" i="3"/>
  <c r="P152" i="3"/>
  <c r="O152" i="3"/>
  <c r="P151" i="3"/>
  <c r="O151" i="3"/>
  <c r="P150" i="3"/>
  <c r="O150" i="3"/>
  <c r="P149" i="3"/>
  <c r="O149" i="3"/>
  <c r="P148" i="3"/>
  <c r="O148" i="3"/>
  <c r="P147" i="3"/>
  <c r="O147" i="3"/>
  <c r="P146" i="3"/>
  <c r="O146" i="3"/>
  <c r="P145" i="3"/>
  <c r="O145" i="3"/>
  <c r="P144" i="3"/>
  <c r="O144" i="3"/>
  <c r="P143" i="3"/>
  <c r="O143" i="3"/>
  <c r="P142" i="3"/>
  <c r="O142" i="3"/>
  <c r="P141" i="3"/>
  <c r="O141" i="3"/>
  <c r="P140" i="3"/>
  <c r="O140" i="3"/>
  <c r="P139" i="3"/>
  <c r="O139" i="3"/>
  <c r="P138" i="3"/>
  <c r="O138" i="3"/>
  <c r="P137" i="3"/>
  <c r="O137" i="3"/>
  <c r="P136" i="3"/>
  <c r="O136" i="3"/>
  <c r="P135" i="3"/>
  <c r="O135" i="3"/>
  <c r="P134" i="3"/>
  <c r="O134" i="3"/>
  <c r="P133" i="3"/>
  <c r="O133" i="3"/>
  <c r="P132" i="3"/>
  <c r="O132" i="3"/>
  <c r="P131" i="3"/>
  <c r="O131" i="3"/>
  <c r="P130" i="3"/>
  <c r="O130" i="3"/>
  <c r="P129" i="3"/>
  <c r="O129" i="3"/>
  <c r="P128" i="3"/>
  <c r="O128" i="3"/>
  <c r="P127" i="3"/>
  <c r="O127" i="3"/>
  <c r="P126" i="3"/>
  <c r="O126" i="3"/>
  <c r="P125" i="3"/>
  <c r="O125" i="3"/>
  <c r="P124" i="3"/>
  <c r="O124" i="3"/>
  <c r="P123" i="3"/>
  <c r="O123" i="3"/>
  <c r="P122" i="3"/>
  <c r="O122" i="3"/>
  <c r="P121" i="3"/>
  <c r="O121" i="3"/>
  <c r="P120" i="3"/>
  <c r="O120" i="3"/>
  <c r="P119" i="3"/>
  <c r="O119" i="3"/>
  <c r="P118" i="3"/>
  <c r="O118" i="3"/>
  <c r="P117" i="3"/>
  <c r="O117" i="3"/>
  <c r="P116" i="3"/>
  <c r="O116" i="3"/>
  <c r="P115" i="3"/>
  <c r="O115" i="3"/>
  <c r="P114" i="3"/>
  <c r="O114" i="3"/>
  <c r="P113" i="3"/>
  <c r="O113" i="3"/>
  <c r="P112" i="3"/>
  <c r="O112" i="3"/>
  <c r="P111" i="3"/>
  <c r="O111" i="3"/>
  <c r="P110" i="3"/>
  <c r="O110" i="3"/>
  <c r="P109" i="3"/>
  <c r="O109" i="3"/>
  <c r="P108" i="3"/>
  <c r="O108" i="3"/>
  <c r="P107" i="3"/>
  <c r="O107" i="3"/>
  <c r="P106" i="3"/>
  <c r="O106" i="3"/>
  <c r="P105" i="3"/>
  <c r="O105" i="3"/>
  <c r="P104" i="3"/>
  <c r="O104" i="3"/>
  <c r="P103" i="3"/>
  <c r="O103" i="3"/>
  <c r="P102" i="3"/>
  <c r="O102" i="3"/>
  <c r="P101" i="3"/>
  <c r="O101" i="3"/>
  <c r="P100" i="3"/>
  <c r="O100" i="3"/>
  <c r="P99" i="3"/>
  <c r="O99" i="3"/>
  <c r="P98" i="3"/>
  <c r="O98" i="3"/>
  <c r="P97" i="3"/>
  <c r="O97" i="3"/>
  <c r="P96" i="3"/>
  <c r="O96" i="3"/>
  <c r="P95" i="3"/>
  <c r="O95" i="3"/>
  <c r="P94" i="3"/>
  <c r="O94" i="3"/>
  <c r="P93" i="3"/>
  <c r="O93" i="3"/>
  <c r="P92" i="3"/>
  <c r="O92" i="3"/>
  <c r="P91" i="3"/>
  <c r="O91" i="3"/>
  <c r="P90" i="3"/>
  <c r="O90" i="3"/>
  <c r="P89" i="3"/>
  <c r="O89" i="3"/>
  <c r="P88" i="3"/>
  <c r="O88" i="3"/>
  <c r="P87" i="3"/>
  <c r="O87" i="3"/>
  <c r="P86" i="3"/>
  <c r="O86" i="3"/>
  <c r="P85" i="3"/>
  <c r="O85" i="3"/>
  <c r="P84" i="3"/>
  <c r="O84" i="3"/>
  <c r="P83" i="3"/>
  <c r="O83" i="3"/>
  <c r="P82" i="3"/>
  <c r="O82" i="3"/>
  <c r="P81" i="3"/>
  <c r="O81" i="3"/>
  <c r="P80" i="3"/>
  <c r="O80" i="3"/>
  <c r="P79" i="3"/>
  <c r="O79" i="3"/>
  <c r="P78" i="3"/>
  <c r="O78" i="3"/>
  <c r="P77" i="3"/>
  <c r="O77" i="3"/>
  <c r="P76" i="3"/>
  <c r="O76" i="3"/>
  <c r="P75" i="3"/>
  <c r="O75" i="3"/>
  <c r="P74" i="3"/>
  <c r="O74" i="3"/>
  <c r="P73" i="3"/>
  <c r="O73" i="3"/>
  <c r="P72" i="3"/>
  <c r="O72" i="3"/>
  <c r="P71" i="3"/>
  <c r="O71" i="3"/>
  <c r="P70" i="3"/>
  <c r="O70" i="3"/>
  <c r="P69" i="3"/>
  <c r="O69" i="3"/>
  <c r="P68" i="3"/>
  <c r="O68" i="3"/>
  <c r="P67" i="3"/>
  <c r="O67" i="3"/>
  <c r="P66" i="3"/>
  <c r="O66" i="3"/>
  <c r="P65" i="3"/>
  <c r="O65" i="3"/>
  <c r="P64" i="3"/>
  <c r="O64" i="3"/>
  <c r="P63" i="3"/>
  <c r="O63" i="3"/>
  <c r="P62" i="3"/>
  <c r="O62" i="3"/>
  <c r="P61" i="3"/>
  <c r="O61" i="3"/>
  <c r="P60" i="3"/>
  <c r="O60" i="3"/>
  <c r="P59" i="3"/>
  <c r="O59" i="3"/>
  <c r="P58" i="3"/>
  <c r="O58" i="3"/>
  <c r="P57" i="3"/>
  <c r="O57" i="3"/>
  <c r="P56" i="3"/>
  <c r="O56" i="3"/>
  <c r="P55" i="3"/>
  <c r="O55" i="3"/>
  <c r="P54" i="3"/>
  <c r="O54" i="3"/>
  <c r="P53" i="3"/>
  <c r="O53" i="3"/>
  <c r="P52" i="3"/>
  <c r="O52" i="3"/>
  <c r="P51" i="3"/>
  <c r="O51" i="3"/>
  <c r="P50" i="3"/>
  <c r="O50" i="3"/>
  <c r="P49" i="3"/>
  <c r="O49" i="3"/>
  <c r="P48" i="3"/>
  <c r="O48" i="3"/>
  <c r="P47" i="3"/>
  <c r="O47" i="3"/>
  <c r="P46" i="3"/>
  <c r="O46" i="3"/>
  <c r="P45" i="3"/>
  <c r="O45" i="3"/>
  <c r="P44" i="3"/>
  <c r="O44" i="3"/>
  <c r="P43" i="3"/>
  <c r="O43" i="3"/>
  <c r="P42" i="3"/>
  <c r="O42" i="3"/>
  <c r="P41" i="3"/>
  <c r="O41" i="3"/>
  <c r="P40" i="3"/>
  <c r="O40" i="3"/>
  <c r="P39" i="3"/>
  <c r="O39" i="3"/>
  <c r="P38" i="3"/>
  <c r="O38" i="3"/>
  <c r="P37" i="3"/>
  <c r="O37" i="3"/>
  <c r="P36" i="3"/>
  <c r="O36" i="3"/>
  <c r="P35" i="3"/>
  <c r="O35" i="3"/>
  <c r="P34" i="3"/>
  <c r="O34" i="3"/>
  <c r="P33" i="3"/>
  <c r="O33" i="3"/>
  <c r="P32" i="3"/>
  <c r="O32" i="3"/>
  <c r="P31" i="3"/>
  <c r="O31" i="3"/>
  <c r="P30" i="3"/>
  <c r="O30" i="3"/>
  <c r="P29" i="3"/>
  <c r="O29" i="3"/>
  <c r="P28" i="3"/>
  <c r="O28" i="3"/>
  <c r="P27" i="3"/>
  <c r="O27" i="3"/>
  <c r="P26" i="3"/>
  <c r="O26" i="3"/>
  <c r="P25" i="3"/>
  <c r="O25" i="3"/>
  <c r="P24" i="3"/>
  <c r="O24" i="3"/>
  <c r="P23" i="3"/>
  <c r="O23" i="3"/>
  <c r="P22" i="3"/>
  <c r="O22" i="3"/>
  <c r="P21" i="3"/>
  <c r="O21" i="3"/>
  <c r="P20" i="3"/>
  <c r="O20" i="3"/>
  <c r="P19" i="3"/>
  <c r="O19" i="3"/>
  <c r="P18" i="3"/>
  <c r="O18" i="3"/>
  <c r="P17" i="3"/>
  <c r="O17" i="3"/>
  <c r="P16" i="3"/>
  <c r="O16" i="3"/>
  <c r="P15" i="3"/>
  <c r="O15" i="3"/>
  <c r="P14" i="3"/>
  <c r="O14" i="3"/>
  <c r="P13" i="3"/>
  <c r="O13" i="3"/>
  <c r="P12" i="3"/>
  <c r="O12" i="3"/>
  <c r="P11" i="3"/>
  <c r="O11" i="3"/>
  <c r="P10" i="3"/>
  <c r="O10" i="3"/>
  <c r="P9" i="3"/>
  <c r="O9" i="3"/>
  <c r="P8" i="3"/>
  <c r="O8" i="3"/>
  <c r="P7" i="3"/>
  <c r="O7" i="3"/>
  <c r="P6" i="3"/>
  <c r="O6" i="3"/>
  <c r="P5" i="3"/>
  <c r="O5" i="3"/>
  <c r="P4" i="3"/>
  <c r="O4" i="3"/>
  <c r="P3" i="3"/>
  <c r="O3" i="3"/>
  <c r="P2" i="3"/>
  <c r="O2" i="3"/>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B25" i="4"/>
  <c r="B24" i="4"/>
  <c r="B22" i="4"/>
  <c r="B19" i="4"/>
  <c r="B18" i="4"/>
  <c r="F2" i="6" l="1"/>
  <c r="AS983" i="3"/>
  <c r="AT983" i="3" s="1"/>
  <c r="AS963" i="3"/>
  <c r="AT963" i="3" s="1"/>
  <c r="AS943" i="3"/>
  <c r="AT943" i="3" s="1"/>
  <c r="AS923" i="3"/>
  <c r="AT923" i="3" s="1"/>
  <c r="AS903" i="3"/>
  <c r="AT903" i="3" s="1"/>
  <c r="AS883" i="3"/>
  <c r="AT883" i="3" s="1"/>
  <c r="AS863" i="3"/>
  <c r="AT863" i="3" s="1"/>
  <c r="AS843" i="3"/>
  <c r="AT843" i="3" s="1"/>
  <c r="AS823" i="3"/>
  <c r="AT823" i="3" s="1"/>
  <c r="AS803" i="3"/>
  <c r="AT803" i="3" s="1"/>
  <c r="AS763" i="3"/>
  <c r="AT763" i="3" s="1"/>
  <c r="AS723" i="3"/>
  <c r="AT723" i="3" s="1"/>
  <c r="AS703" i="3"/>
  <c r="AT703" i="3" s="1"/>
  <c r="AS683" i="3"/>
  <c r="AT683" i="3" s="1"/>
  <c r="AS663" i="3"/>
  <c r="AT663" i="3" s="1"/>
  <c r="AS643" i="3"/>
  <c r="AT643" i="3" s="1"/>
  <c r="AS623" i="3"/>
  <c r="AT623" i="3" s="1"/>
  <c r="AS603" i="3"/>
  <c r="AT603" i="3" s="1"/>
  <c r="AS583" i="3"/>
  <c r="AT583" i="3" s="1"/>
  <c r="AS563" i="3"/>
  <c r="AT563" i="3" s="1"/>
  <c r="AS543" i="3"/>
  <c r="AT543" i="3" s="1"/>
  <c r="AS523" i="3"/>
  <c r="AT523" i="3" s="1"/>
  <c r="AS503" i="3"/>
  <c r="AT503" i="3" s="1"/>
  <c r="AS463" i="3"/>
  <c r="AT463" i="3" s="1"/>
  <c r="AS443" i="3"/>
  <c r="AT443" i="3" s="1"/>
  <c r="AS423" i="3"/>
  <c r="AT423" i="3" s="1"/>
  <c r="AS403" i="3"/>
  <c r="AT403" i="3" s="1"/>
  <c r="AS383" i="3"/>
  <c r="AT383" i="3" s="1"/>
  <c r="AS363" i="3"/>
  <c r="AT363" i="3" s="1"/>
  <c r="AS343" i="3"/>
  <c r="AT343" i="3" s="1"/>
  <c r="AS323" i="3"/>
  <c r="AT323" i="3" s="1"/>
  <c r="AS303" i="3"/>
  <c r="AT303" i="3" s="1"/>
  <c r="AS283" i="3"/>
  <c r="AT283" i="3" s="1"/>
  <c r="AS982" i="3"/>
  <c r="AT982" i="3" s="1"/>
  <c r="AS962" i="3"/>
  <c r="AT962" i="3" s="1"/>
  <c r="AS942" i="3"/>
  <c r="AT942" i="3" s="1"/>
  <c r="AS882" i="3"/>
  <c r="AT882" i="3" s="1"/>
  <c r="AS862" i="3"/>
  <c r="AT862" i="3" s="1"/>
  <c r="AS842" i="3"/>
  <c r="AT842" i="3" s="1"/>
  <c r="AS802" i="3"/>
  <c r="AT802" i="3" s="1"/>
  <c r="AS762" i="3"/>
  <c r="AT762" i="3" s="1"/>
  <c r="AS742" i="3"/>
  <c r="AT742" i="3" s="1"/>
  <c r="AS722" i="3"/>
  <c r="AT722" i="3" s="1"/>
  <c r="AS702" i="3"/>
  <c r="AT702" i="3" s="1"/>
  <c r="AS682" i="3"/>
  <c r="AT682" i="3" s="1"/>
  <c r="AS662" i="3"/>
  <c r="AT662" i="3" s="1"/>
  <c r="AS642" i="3"/>
  <c r="AT642" i="3" s="1"/>
  <c r="AS622" i="3"/>
  <c r="AT622" i="3" s="1"/>
  <c r="AS602" i="3"/>
  <c r="AT602" i="3" s="1"/>
  <c r="AS582" i="3"/>
  <c r="AT582" i="3" s="1"/>
  <c r="AS562" i="3"/>
  <c r="AT562" i="3" s="1"/>
  <c r="AS542" i="3"/>
  <c r="AT542" i="3" s="1"/>
  <c r="AS522" i="3"/>
  <c r="AT522" i="3" s="1"/>
  <c r="AS482" i="3"/>
  <c r="AT482" i="3" s="1"/>
  <c r="AS462" i="3"/>
  <c r="AT462" i="3" s="1"/>
  <c r="AS442" i="3"/>
  <c r="AT442" i="3" s="1"/>
  <c r="AS422" i="3"/>
  <c r="AT422" i="3" s="1"/>
  <c r="AS402" i="3"/>
  <c r="AT402" i="3" s="1"/>
  <c r="AS382" i="3"/>
  <c r="AT382" i="3" s="1"/>
  <c r="AS362" i="3"/>
  <c r="AT362" i="3" s="1"/>
  <c r="AS342" i="3"/>
  <c r="AT342" i="3" s="1"/>
  <c r="AS322" i="3"/>
  <c r="AT322" i="3" s="1"/>
  <c r="AS302" i="3"/>
  <c r="AT302" i="3" s="1"/>
  <c r="AS282" i="3"/>
  <c r="AT282" i="3" s="1"/>
  <c r="AS262" i="3"/>
  <c r="AT262" i="3" s="1"/>
  <c r="AS242" i="3"/>
  <c r="AT242" i="3" s="1"/>
  <c r="AS222" i="3"/>
  <c r="AT222" i="3" s="1"/>
  <c r="AS202" i="3"/>
  <c r="AT202" i="3" s="1"/>
  <c r="AS182" i="3"/>
  <c r="AT182" i="3" s="1"/>
  <c r="AS122" i="3"/>
  <c r="AT122" i="3" s="1"/>
  <c r="AS102" i="3"/>
  <c r="AT102" i="3" s="1"/>
  <c r="AS82" i="3"/>
  <c r="AT82" i="3" s="1"/>
  <c r="AS62" i="3"/>
  <c r="AT62" i="3" s="1"/>
  <c r="AS42" i="3"/>
  <c r="AT42" i="3" s="1"/>
  <c r="AS22" i="3"/>
  <c r="AT22" i="3" s="1"/>
  <c r="AS2" i="3"/>
  <c r="AT2" i="3" s="1"/>
  <c r="AS969" i="3"/>
  <c r="AT969" i="3" s="1"/>
  <c r="AS769" i="3"/>
  <c r="AT769" i="3" s="1"/>
  <c r="AS949" i="3"/>
  <c r="AT949" i="3" s="1"/>
  <c r="AS809" i="3"/>
  <c r="AT809" i="3" s="1"/>
  <c r="AS869" i="3"/>
  <c r="AT869" i="3" s="1"/>
  <c r="AS789" i="3"/>
  <c r="AT789" i="3" s="1"/>
  <c r="AS849" i="3"/>
  <c r="AT849" i="3" s="1"/>
  <c r="AS409" i="3"/>
  <c r="AT409" i="3" s="1"/>
  <c r="AS909" i="3"/>
  <c r="AT909" i="3" s="1"/>
  <c r="AS929" i="3"/>
  <c r="AT929" i="3" s="1"/>
  <c r="AS749" i="3"/>
  <c r="AT749" i="3" s="1"/>
  <c r="AS986" i="3"/>
  <c r="AT986" i="3" s="1"/>
  <c r="AS966" i="3"/>
  <c r="AT966" i="3" s="1"/>
  <c r="AS946" i="3"/>
  <c r="AT946" i="3" s="1"/>
  <c r="AS926" i="3"/>
  <c r="AT926" i="3" s="1"/>
  <c r="AS906" i="3"/>
  <c r="AT906" i="3" s="1"/>
  <c r="AS886" i="3"/>
  <c r="AT886" i="3" s="1"/>
  <c r="AS866" i="3"/>
  <c r="AT866" i="3" s="1"/>
  <c r="AS846" i="3"/>
  <c r="AT846" i="3" s="1"/>
  <c r="AS826" i="3"/>
  <c r="AT826" i="3" s="1"/>
  <c r="AS806" i="3"/>
  <c r="AT806" i="3" s="1"/>
  <c r="AS786" i="3"/>
  <c r="AT786" i="3" s="1"/>
  <c r="AS766" i="3"/>
  <c r="AT766" i="3" s="1"/>
  <c r="AS746" i="3"/>
  <c r="AT746" i="3" s="1"/>
  <c r="AS726" i="3"/>
  <c r="AT726" i="3" s="1"/>
  <c r="AS706" i="3"/>
  <c r="AT706" i="3" s="1"/>
  <c r="AS686" i="3"/>
  <c r="AT686" i="3" s="1"/>
  <c r="AS666" i="3"/>
  <c r="AT666" i="3" s="1"/>
  <c r="AS646" i="3"/>
  <c r="AT646" i="3" s="1"/>
  <c r="AS626" i="3"/>
  <c r="AT626" i="3" s="1"/>
  <c r="AS606" i="3"/>
  <c r="AT606" i="3" s="1"/>
  <c r="AS586" i="3"/>
  <c r="AT586" i="3" s="1"/>
  <c r="AS566" i="3"/>
  <c r="AT566" i="3" s="1"/>
  <c r="AS546" i="3"/>
  <c r="AT546" i="3" s="1"/>
  <c r="AS526" i="3"/>
  <c r="AT526" i="3" s="1"/>
  <c r="AS506" i="3"/>
  <c r="AT506" i="3" s="1"/>
  <c r="AS486" i="3"/>
  <c r="AT486" i="3" s="1"/>
  <c r="AS466" i="3"/>
  <c r="AT466" i="3" s="1"/>
  <c r="AS446" i="3"/>
  <c r="AT446" i="3" s="1"/>
  <c r="AS426" i="3"/>
  <c r="AT426" i="3" s="1"/>
  <c r="AS406" i="3"/>
  <c r="AT406" i="3" s="1"/>
  <c r="AS386" i="3"/>
  <c r="AT386" i="3" s="1"/>
  <c r="AS366" i="3"/>
  <c r="AT366" i="3" s="1"/>
  <c r="AS346" i="3"/>
  <c r="AT346" i="3" s="1"/>
  <c r="AS326" i="3"/>
  <c r="AT326" i="3" s="1"/>
  <c r="AS306" i="3"/>
  <c r="AT306" i="3" s="1"/>
  <c r="AS286" i="3"/>
  <c r="AT286" i="3" s="1"/>
  <c r="AS266" i="3"/>
  <c r="AT266" i="3" s="1"/>
  <c r="AS246" i="3"/>
  <c r="AT246" i="3" s="1"/>
  <c r="AS226" i="3"/>
  <c r="AT226" i="3" s="1"/>
  <c r="AS206" i="3"/>
  <c r="AT206" i="3" s="1"/>
  <c r="AS186" i="3"/>
  <c r="AT186" i="3" s="1"/>
  <c r="AS166" i="3"/>
  <c r="AT166" i="3" s="1"/>
  <c r="AS146" i="3"/>
  <c r="AT146" i="3" s="1"/>
  <c r="AS126" i="3"/>
  <c r="AT126" i="3" s="1"/>
  <c r="AS106" i="3"/>
  <c r="AT106" i="3" s="1"/>
  <c r="AS86" i="3"/>
  <c r="AT86" i="3" s="1"/>
  <c r="AS66" i="3"/>
  <c r="AT66" i="3" s="1"/>
  <c r="AS46" i="3"/>
  <c r="AT46" i="3" s="1"/>
  <c r="AS26" i="3"/>
  <c r="AT26" i="3" s="1"/>
  <c r="AS389" i="3"/>
  <c r="AT389" i="3" s="1"/>
  <c r="AS989" i="3"/>
  <c r="AT989" i="3" s="1"/>
  <c r="AS889" i="3"/>
  <c r="AT889" i="3" s="1"/>
  <c r="AS829" i="3"/>
  <c r="AT829" i="3" s="1"/>
  <c r="AS263" i="3"/>
  <c r="AT263" i="3" s="1"/>
  <c r="AS243" i="3"/>
  <c r="AT243" i="3" s="1"/>
  <c r="AS223" i="3"/>
  <c r="AT223" i="3" s="1"/>
  <c r="AS203" i="3"/>
  <c r="AT203" i="3" s="1"/>
  <c r="AS183" i="3"/>
  <c r="AT183" i="3" s="1"/>
  <c r="AS163" i="3"/>
  <c r="AT163" i="3" s="1"/>
  <c r="AS123" i="3"/>
  <c r="AT123" i="3" s="1"/>
  <c r="AS103" i="3"/>
  <c r="AT103" i="3" s="1"/>
  <c r="AS83" i="3"/>
  <c r="AT83" i="3" s="1"/>
  <c r="AS63" i="3"/>
  <c r="AT63" i="3" s="1"/>
  <c r="AS43" i="3"/>
  <c r="AT43" i="3" s="1"/>
  <c r="AS23" i="3"/>
  <c r="AT23" i="3" s="1"/>
  <c r="AS3" i="3"/>
  <c r="AT3" i="3" s="1"/>
  <c r="AS679" i="3"/>
  <c r="AT679" i="3" s="1"/>
  <c r="AS599" i="3"/>
  <c r="AT599" i="3" s="1"/>
  <c r="AS419" i="3"/>
  <c r="AT419" i="3" s="1"/>
  <c r="AS59" i="3"/>
  <c r="AT59" i="3" s="1"/>
  <c r="AS936" i="3"/>
  <c r="AT936" i="3" s="1"/>
  <c r="AS876" i="3"/>
  <c r="AT876" i="3" s="1"/>
  <c r="AS796" i="3"/>
  <c r="AT796" i="3" s="1"/>
  <c r="AS696" i="3"/>
  <c r="AT696" i="3" s="1"/>
  <c r="AS596" i="3"/>
  <c r="AT596" i="3" s="1"/>
  <c r="AS496" i="3"/>
  <c r="AT496" i="3" s="1"/>
  <c r="AS356" i="3"/>
  <c r="AT356" i="3" s="1"/>
  <c r="AS196" i="3"/>
  <c r="AT196" i="3" s="1"/>
  <c r="AS116" i="3"/>
  <c r="AT116" i="3" s="1"/>
  <c r="AS6" i="3"/>
  <c r="AT6" i="3" s="1"/>
  <c r="AS959" i="3"/>
  <c r="AT959" i="3" s="1"/>
  <c r="AS879" i="3"/>
  <c r="AT879" i="3" s="1"/>
  <c r="AS799" i="3"/>
  <c r="AT799" i="3" s="1"/>
  <c r="AS699" i="3"/>
  <c r="AT699" i="3" s="1"/>
  <c r="AS619" i="3"/>
  <c r="AT619" i="3" s="1"/>
  <c r="AS539" i="3"/>
  <c r="AT539" i="3" s="1"/>
  <c r="AS19" i="3"/>
  <c r="AT19" i="3" s="1"/>
  <c r="AS956" i="3"/>
  <c r="AT956" i="3" s="1"/>
  <c r="AS896" i="3"/>
  <c r="AT896" i="3" s="1"/>
  <c r="AS656" i="3"/>
  <c r="AT656" i="3" s="1"/>
  <c r="AS576" i="3"/>
  <c r="AT576" i="3" s="1"/>
  <c r="AS396" i="3"/>
  <c r="AT396" i="3" s="1"/>
  <c r="AS276" i="3"/>
  <c r="AT276" i="3" s="1"/>
  <c r="AS156" i="3"/>
  <c r="AT156" i="3" s="1"/>
  <c r="AS992" i="3"/>
  <c r="AT992" i="3" s="1"/>
  <c r="AS972" i="3"/>
  <c r="AT972" i="3" s="1"/>
  <c r="AS952" i="3"/>
  <c r="AT952" i="3" s="1"/>
  <c r="AS932" i="3"/>
  <c r="AT932" i="3" s="1"/>
  <c r="AS912" i="3"/>
  <c r="AT912" i="3" s="1"/>
  <c r="AS892" i="3"/>
  <c r="AT892" i="3" s="1"/>
  <c r="AS872" i="3"/>
  <c r="AT872" i="3" s="1"/>
  <c r="AS852" i="3"/>
  <c r="AT852" i="3" s="1"/>
  <c r="AS832" i="3"/>
  <c r="AT832" i="3" s="1"/>
  <c r="AS812" i="3"/>
  <c r="AT812" i="3" s="1"/>
  <c r="AS792" i="3"/>
  <c r="AT792" i="3" s="1"/>
  <c r="AS752" i="3"/>
  <c r="AT752" i="3" s="1"/>
  <c r="AS732" i="3"/>
  <c r="AT732" i="3" s="1"/>
  <c r="AS712" i="3"/>
  <c r="AT712" i="3" s="1"/>
  <c r="AS692" i="3"/>
  <c r="AT692" i="3" s="1"/>
  <c r="AS672" i="3"/>
  <c r="AT672" i="3" s="1"/>
  <c r="AS652" i="3"/>
  <c r="AT652" i="3" s="1"/>
  <c r="AS632" i="3"/>
  <c r="AT632" i="3" s="1"/>
  <c r="AS612" i="3"/>
  <c r="AT612" i="3" s="1"/>
  <c r="AS592" i="3"/>
  <c r="AT592" i="3" s="1"/>
  <c r="AS572" i="3"/>
  <c r="AT572" i="3" s="1"/>
  <c r="AS552" i="3"/>
  <c r="AT552" i="3" s="1"/>
  <c r="AS532" i="3"/>
  <c r="AT532" i="3" s="1"/>
  <c r="AS512" i="3"/>
  <c r="AT512" i="3" s="1"/>
  <c r="AS492" i="3"/>
  <c r="AT492" i="3" s="1"/>
  <c r="AS472" i="3"/>
  <c r="AT472" i="3" s="1"/>
  <c r="AS452" i="3"/>
  <c r="AT452" i="3" s="1"/>
  <c r="AS432" i="3"/>
  <c r="AT432" i="3" s="1"/>
  <c r="AS412" i="3"/>
  <c r="AT412" i="3" s="1"/>
  <c r="AS392" i="3"/>
  <c r="AT392" i="3" s="1"/>
  <c r="AS372" i="3"/>
  <c r="AT372" i="3" s="1"/>
  <c r="AS352" i="3"/>
  <c r="AT352" i="3" s="1"/>
  <c r="AS332" i="3"/>
  <c r="AT332" i="3" s="1"/>
  <c r="AS312" i="3"/>
  <c r="AT312" i="3" s="1"/>
  <c r="AS292" i="3"/>
  <c r="AT292" i="3" s="1"/>
  <c r="AS252" i="3"/>
  <c r="AT252" i="3" s="1"/>
  <c r="AS232" i="3"/>
  <c r="AT232" i="3" s="1"/>
  <c r="AS212" i="3"/>
  <c r="AT212" i="3" s="1"/>
  <c r="AS192" i="3"/>
  <c r="AT192" i="3" s="1"/>
  <c r="AS172" i="3"/>
  <c r="AT172" i="3" s="1"/>
  <c r="AS152" i="3"/>
  <c r="AT152" i="3" s="1"/>
  <c r="AS979" i="3"/>
  <c r="AT979" i="3" s="1"/>
  <c r="AS859" i="3"/>
  <c r="AT859" i="3" s="1"/>
  <c r="AS819" i="3"/>
  <c r="AT819" i="3" s="1"/>
  <c r="AS739" i="3"/>
  <c r="AT739" i="3" s="1"/>
  <c r="AS659" i="3"/>
  <c r="AT659" i="3" s="1"/>
  <c r="AS559" i="3"/>
  <c r="AT559" i="3" s="1"/>
  <c r="AS399" i="3"/>
  <c r="AT399" i="3" s="1"/>
  <c r="AS79" i="3"/>
  <c r="AT79" i="3" s="1"/>
  <c r="AS976" i="3"/>
  <c r="AT976" i="3" s="1"/>
  <c r="AS216" i="3"/>
  <c r="AT216" i="3" s="1"/>
  <c r="AS136" i="3"/>
  <c r="AT136" i="3" s="1"/>
  <c r="AS990" i="3"/>
  <c r="AT990" i="3" s="1"/>
  <c r="AS910" i="3"/>
  <c r="AT910" i="3" s="1"/>
  <c r="AS830" i="3"/>
  <c r="AT830" i="3" s="1"/>
  <c r="AS770" i="3"/>
  <c r="AT770" i="3" s="1"/>
  <c r="AS730" i="3"/>
  <c r="AT730" i="3" s="1"/>
  <c r="AS590" i="3"/>
  <c r="AT590" i="3" s="1"/>
  <c r="AS530" i="3"/>
  <c r="AT530" i="3" s="1"/>
  <c r="AS759" i="3"/>
  <c r="AT759" i="3" s="1"/>
  <c r="AS259" i="3"/>
  <c r="AT259" i="3" s="1"/>
  <c r="AS99" i="3"/>
  <c r="AT99" i="3" s="1"/>
  <c r="AS996" i="3"/>
  <c r="AT996" i="3" s="1"/>
  <c r="AS736" i="3"/>
  <c r="AT736" i="3" s="1"/>
  <c r="AS676" i="3"/>
  <c r="AT676" i="3" s="1"/>
  <c r="AS516" i="3"/>
  <c r="AT516" i="3" s="1"/>
  <c r="AS416" i="3"/>
  <c r="AT416" i="3" s="1"/>
  <c r="AS256" i="3"/>
  <c r="AT256" i="3" s="1"/>
  <c r="AS176" i="3"/>
  <c r="AT176" i="3" s="1"/>
  <c r="AS970" i="3"/>
  <c r="AT970" i="3" s="1"/>
  <c r="AS930" i="3"/>
  <c r="AT930" i="3" s="1"/>
  <c r="AS870" i="3"/>
  <c r="AT870" i="3" s="1"/>
  <c r="AS850" i="3"/>
  <c r="AT850" i="3" s="1"/>
  <c r="AS790" i="3"/>
  <c r="AT790" i="3" s="1"/>
  <c r="AS750" i="3"/>
  <c r="AT750" i="3" s="1"/>
  <c r="AS710" i="3"/>
  <c r="AT710" i="3" s="1"/>
  <c r="AS670" i="3"/>
  <c r="AT670" i="3" s="1"/>
  <c r="AS610" i="3"/>
  <c r="AT610" i="3" s="1"/>
  <c r="AS550" i="3"/>
  <c r="AT550" i="3" s="1"/>
  <c r="AS510" i="3"/>
  <c r="AT510" i="3" s="1"/>
  <c r="AS649" i="3"/>
  <c r="AT649" i="3" s="1"/>
  <c r="AS609" i="3"/>
  <c r="AT609" i="3" s="1"/>
  <c r="AS589" i="3"/>
  <c r="AT589" i="3" s="1"/>
  <c r="AS569" i="3"/>
  <c r="AT569" i="3" s="1"/>
  <c r="AS469" i="3"/>
  <c r="AT469" i="3" s="1"/>
  <c r="AS449" i="3"/>
  <c r="AT449" i="3" s="1"/>
  <c r="AS429" i="3"/>
  <c r="AT429" i="3" s="1"/>
  <c r="AS369" i="3"/>
  <c r="AT369" i="3" s="1"/>
  <c r="AS349" i="3"/>
  <c r="AT349" i="3" s="1"/>
  <c r="AS329" i="3"/>
  <c r="AT329" i="3" s="1"/>
  <c r="AS309" i="3"/>
  <c r="AT309" i="3" s="1"/>
  <c r="AS289" i="3"/>
  <c r="AT289" i="3" s="1"/>
  <c r="AS269" i="3"/>
  <c r="AT269" i="3" s="1"/>
  <c r="AS189" i="3"/>
  <c r="AT189" i="3" s="1"/>
  <c r="AS69" i="3"/>
  <c r="AT69" i="3" s="1"/>
  <c r="AS54" i="3"/>
  <c r="AT54" i="3" s="1"/>
  <c r="AS214" i="3"/>
  <c r="AT214" i="3" s="1"/>
  <c r="AS234" i="3"/>
  <c r="AT234" i="3" s="1"/>
  <c r="AS454" i="3"/>
  <c r="AT454" i="3" s="1"/>
  <c r="AS474" i="3"/>
  <c r="AT474" i="3" s="1"/>
  <c r="AS734" i="3"/>
  <c r="AT734" i="3" s="1"/>
  <c r="AS814" i="3"/>
  <c r="AT814" i="3" s="1"/>
  <c r="AS834" i="3"/>
  <c r="AT834" i="3" s="1"/>
  <c r="AS999" i="3"/>
  <c r="AT999" i="3" s="1"/>
  <c r="AS939" i="3"/>
  <c r="AT939" i="3" s="1"/>
  <c r="AS899" i="3"/>
  <c r="AT899" i="3" s="1"/>
  <c r="AS839" i="3"/>
  <c r="AT839" i="3" s="1"/>
  <c r="AS779" i="3"/>
  <c r="AT779" i="3" s="1"/>
  <c r="AS719" i="3"/>
  <c r="AT719" i="3" s="1"/>
  <c r="AS639" i="3"/>
  <c r="AT639" i="3" s="1"/>
  <c r="AS579" i="3"/>
  <c r="AT579" i="3" s="1"/>
  <c r="AS279" i="3"/>
  <c r="AT279" i="3" s="1"/>
  <c r="AS119" i="3"/>
  <c r="AT119" i="3" s="1"/>
  <c r="AS39" i="3"/>
  <c r="AT39" i="3" s="1"/>
  <c r="AS916" i="3"/>
  <c r="AT916" i="3" s="1"/>
  <c r="AS716" i="3"/>
  <c r="AT716" i="3" s="1"/>
  <c r="AS636" i="3"/>
  <c r="AT636" i="3" s="1"/>
  <c r="AS556" i="3"/>
  <c r="AT556" i="3" s="1"/>
  <c r="AS376" i="3"/>
  <c r="AT376" i="3" s="1"/>
  <c r="AS336" i="3"/>
  <c r="AT336" i="3" s="1"/>
  <c r="AS236" i="3"/>
  <c r="AT236" i="3" s="1"/>
  <c r="AS96" i="3"/>
  <c r="AT96" i="3" s="1"/>
  <c r="AS950" i="3"/>
  <c r="AT950" i="3" s="1"/>
  <c r="AS890" i="3"/>
  <c r="AT890" i="3" s="1"/>
  <c r="AS810" i="3"/>
  <c r="AT810" i="3" s="1"/>
  <c r="AS690" i="3"/>
  <c r="AT690" i="3" s="1"/>
  <c r="AS630" i="3"/>
  <c r="AT630" i="3" s="1"/>
  <c r="AS570" i="3"/>
  <c r="AT570" i="3" s="1"/>
  <c r="AS490" i="3"/>
  <c r="AT490" i="3" s="1"/>
  <c r="AS822" i="3"/>
  <c r="AT822" i="3" s="1"/>
  <c r="AS891" i="3"/>
  <c r="AT891" i="3" s="1"/>
  <c r="AS791" i="3"/>
  <c r="AT791" i="3" s="1"/>
  <c r="AS751" i="3"/>
  <c r="AT751" i="3" s="1"/>
  <c r="AS711" i="3"/>
  <c r="AT711" i="3" s="1"/>
  <c r="AS651" i="3"/>
  <c r="AT651" i="3" s="1"/>
  <c r="AS631" i="3"/>
  <c r="AT631" i="3" s="1"/>
  <c r="AS551" i="3"/>
  <c r="AT551" i="3" s="1"/>
  <c r="AS531" i="3"/>
  <c r="AT531" i="3" s="1"/>
  <c r="AS451" i="3"/>
  <c r="AT451" i="3" s="1"/>
  <c r="AS351" i="3"/>
  <c r="AT351" i="3" s="1"/>
  <c r="AS231" i="3"/>
  <c r="AT231" i="3" s="1"/>
  <c r="AS211" i="3"/>
  <c r="AT211" i="3" s="1"/>
  <c r="AS171" i="3"/>
  <c r="AT171" i="3" s="1"/>
  <c r="AS91" i="3"/>
  <c r="AT91" i="3" s="1"/>
  <c r="AS31" i="3"/>
  <c r="AT31" i="3" s="1"/>
  <c r="AS931" i="3"/>
  <c r="AT931" i="3" s="1"/>
  <c r="AS831" i="3"/>
  <c r="AT831" i="3" s="1"/>
  <c r="AS491" i="3"/>
  <c r="AT491" i="3" s="1"/>
  <c r="AS431" i="3"/>
  <c r="AT431" i="3" s="1"/>
  <c r="AS391" i="3"/>
  <c r="AT391" i="3" s="1"/>
  <c r="AS311" i="3"/>
  <c r="AT311" i="3" s="1"/>
  <c r="AS251" i="3"/>
  <c r="AT251" i="3" s="1"/>
  <c r="AS111" i="3"/>
  <c r="AT111" i="3" s="1"/>
  <c r="AS51" i="3"/>
  <c r="AT51" i="3" s="1"/>
  <c r="AS650" i="3"/>
  <c r="AT650" i="3" s="1"/>
  <c r="AS731" i="3"/>
  <c r="AT731" i="3" s="1"/>
  <c r="AS671" i="3"/>
  <c r="AT671" i="3" s="1"/>
  <c r="AS591" i="3"/>
  <c r="AT591" i="3" s="1"/>
  <c r="AS291" i="3"/>
  <c r="AT291" i="3" s="1"/>
  <c r="AS902" i="3"/>
  <c r="AT902" i="3" s="1"/>
  <c r="AS991" i="3"/>
  <c r="AT991" i="3" s="1"/>
  <c r="AS951" i="3"/>
  <c r="AT951" i="3" s="1"/>
  <c r="AS871" i="3"/>
  <c r="AT871" i="3" s="1"/>
  <c r="AS811" i="3"/>
  <c r="AT811" i="3" s="1"/>
  <c r="AS471" i="3"/>
  <c r="AT471" i="3" s="1"/>
  <c r="AS411" i="3"/>
  <c r="AT411" i="3" s="1"/>
  <c r="AS11" i="3"/>
  <c r="AT11" i="3" s="1"/>
  <c r="AS272" i="3"/>
  <c r="AT272" i="3" s="1"/>
  <c r="AS971" i="3"/>
  <c r="AT971" i="3" s="1"/>
  <c r="AS911" i="3"/>
  <c r="AT911" i="3" s="1"/>
  <c r="AS851" i="3"/>
  <c r="AT851" i="3" s="1"/>
  <c r="AS691" i="3"/>
  <c r="AT691" i="3" s="1"/>
  <c r="AS611" i="3"/>
  <c r="AT611" i="3" s="1"/>
  <c r="AS571" i="3"/>
  <c r="AT571" i="3" s="1"/>
  <c r="AS511" i="3"/>
  <c r="AT511" i="3" s="1"/>
  <c r="AS371" i="3"/>
  <c r="AT371" i="3" s="1"/>
  <c r="AS331" i="3"/>
  <c r="AT331" i="3" s="1"/>
  <c r="AS271" i="3"/>
  <c r="AT271" i="3" s="1"/>
  <c r="AS191" i="3"/>
  <c r="AT191" i="3" s="1"/>
  <c r="AS151" i="3"/>
  <c r="AT151" i="3" s="1"/>
  <c r="AS131" i="3"/>
  <c r="AT131" i="3" s="1"/>
  <c r="AS71" i="3"/>
  <c r="AT71" i="3" s="1"/>
  <c r="AS772" i="3"/>
  <c r="AT772" i="3" s="1"/>
  <c r="AS519" i="3"/>
  <c r="AT519" i="3" s="1"/>
  <c r="AS499" i="3"/>
  <c r="AT499" i="3" s="1"/>
  <c r="AS479" i="3"/>
  <c r="AT479" i="3" s="1"/>
  <c r="AS459" i="3"/>
  <c r="AT459" i="3" s="1"/>
  <c r="AS439" i="3"/>
  <c r="AT439" i="3" s="1"/>
  <c r="AS379" i="3"/>
  <c r="AT379" i="3" s="1"/>
  <c r="AS359" i="3"/>
  <c r="AT359" i="3" s="1"/>
  <c r="AS339" i="3"/>
  <c r="AT339" i="3" s="1"/>
  <c r="AS319" i="3"/>
  <c r="AT319" i="3" s="1"/>
  <c r="AS299" i="3"/>
  <c r="AT299" i="3" s="1"/>
  <c r="AS239" i="3"/>
  <c r="AT239" i="3" s="1"/>
  <c r="AS219" i="3"/>
  <c r="AT219" i="3" s="1"/>
  <c r="AS199" i="3"/>
  <c r="AT199" i="3" s="1"/>
  <c r="AS179" i="3"/>
  <c r="AT179" i="3" s="1"/>
  <c r="AS139" i="3"/>
  <c r="AT139" i="3" s="1"/>
  <c r="AS836" i="3"/>
  <c r="AT836" i="3" s="1"/>
  <c r="AS776" i="3"/>
  <c r="AT776" i="3" s="1"/>
  <c r="AS16" i="3"/>
  <c r="AT16" i="3" s="1"/>
  <c r="AS743" i="3"/>
  <c r="AT743" i="3" s="1"/>
  <c r="AS476" i="3"/>
  <c r="AT476" i="3" s="1"/>
  <c r="AS296" i="3"/>
  <c r="AT296" i="3" s="1"/>
  <c r="AS76" i="3"/>
  <c r="AT76" i="3" s="1"/>
  <c r="AS783" i="3"/>
  <c r="AT783" i="3" s="1"/>
  <c r="AS536" i="3"/>
  <c r="AT536" i="3" s="1"/>
  <c r="AS436" i="3"/>
  <c r="AT436" i="3" s="1"/>
  <c r="AS316" i="3"/>
  <c r="AT316" i="3" s="1"/>
  <c r="AS36" i="3"/>
  <c r="AT36" i="3" s="1"/>
  <c r="AS856" i="3"/>
  <c r="AT856" i="3" s="1"/>
  <c r="AS816" i="3"/>
  <c r="AT816" i="3" s="1"/>
  <c r="AS756" i="3"/>
  <c r="AT756" i="3" s="1"/>
  <c r="AS616" i="3"/>
  <c r="AT616" i="3" s="1"/>
  <c r="AS456" i="3"/>
  <c r="AT456" i="3" s="1"/>
  <c r="AS56" i="3"/>
  <c r="AT56" i="3" s="1"/>
  <c r="AS994" i="3"/>
  <c r="AT994" i="3" s="1"/>
  <c r="AS894" i="3"/>
  <c r="AT894" i="3" s="1"/>
  <c r="AS874" i="3"/>
  <c r="AT874" i="3" s="1"/>
  <c r="AS794" i="3"/>
  <c r="AT794" i="3" s="1"/>
  <c r="AS754" i="3"/>
  <c r="AT754" i="3" s="1"/>
  <c r="AS694" i="3"/>
  <c r="AT694" i="3" s="1"/>
  <c r="AS654" i="3"/>
  <c r="AT654" i="3" s="1"/>
  <c r="AS574" i="3"/>
  <c r="AT574" i="3" s="1"/>
  <c r="AS514" i="3"/>
  <c r="AT514" i="3" s="1"/>
  <c r="AS414" i="3"/>
  <c r="AT414" i="3" s="1"/>
  <c r="AS374" i="3"/>
  <c r="AT374" i="3" s="1"/>
  <c r="AS294" i="3"/>
  <c r="AT294" i="3" s="1"/>
  <c r="AS254" i="3"/>
  <c r="AT254" i="3" s="1"/>
  <c r="AS154" i="3"/>
  <c r="AT154" i="3" s="1"/>
  <c r="AS114" i="3"/>
  <c r="AT114" i="3" s="1"/>
  <c r="AS34" i="3"/>
  <c r="AT34" i="3" s="1"/>
  <c r="AS974" i="3"/>
  <c r="AT974" i="3" s="1"/>
  <c r="AS954" i="3"/>
  <c r="AT954" i="3" s="1"/>
  <c r="AS854" i="3"/>
  <c r="AT854" i="3" s="1"/>
  <c r="AS774" i="3"/>
  <c r="AT774" i="3" s="1"/>
  <c r="AS674" i="3"/>
  <c r="AT674" i="3" s="1"/>
  <c r="AS594" i="3"/>
  <c r="AT594" i="3" s="1"/>
  <c r="AS554" i="3"/>
  <c r="AT554" i="3" s="1"/>
  <c r="AS534" i="3"/>
  <c r="AT534" i="3" s="1"/>
  <c r="AS434" i="3"/>
  <c r="AT434" i="3" s="1"/>
  <c r="AS394" i="3"/>
  <c r="AT394" i="3" s="1"/>
  <c r="AS314" i="3"/>
  <c r="AT314" i="3" s="1"/>
  <c r="AS274" i="3"/>
  <c r="AT274" i="3" s="1"/>
  <c r="AS194" i="3"/>
  <c r="AT194" i="3" s="1"/>
  <c r="AS174" i="3"/>
  <c r="AT174" i="3" s="1"/>
  <c r="AS134" i="3"/>
  <c r="AT134" i="3" s="1"/>
  <c r="AS14" i="3"/>
  <c r="AT14" i="3" s="1"/>
  <c r="AS993" i="3"/>
  <c r="AT993" i="3" s="1"/>
  <c r="AS973" i="3"/>
  <c r="AT973" i="3" s="1"/>
  <c r="AS953" i="3"/>
  <c r="AT953" i="3" s="1"/>
  <c r="AS933" i="3"/>
  <c r="AT933" i="3" s="1"/>
  <c r="AS913" i="3"/>
  <c r="AT913" i="3" s="1"/>
  <c r="AS893" i="3"/>
  <c r="AT893" i="3" s="1"/>
  <c r="AS873" i="3"/>
  <c r="AT873" i="3" s="1"/>
  <c r="AS853" i="3"/>
  <c r="AT853" i="3" s="1"/>
  <c r="AS833" i="3"/>
  <c r="AT833" i="3" s="1"/>
  <c r="AS813" i="3"/>
  <c r="AT813" i="3" s="1"/>
  <c r="AS793" i="3"/>
  <c r="AT793" i="3" s="1"/>
  <c r="AS773" i="3"/>
  <c r="AT773" i="3" s="1"/>
  <c r="AS753" i="3"/>
  <c r="AT753" i="3" s="1"/>
  <c r="AS733" i="3"/>
  <c r="AT733" i="3" s="1"/>
  <c r="AS713" i="3"/>
  <c r="AT713" i="3" s="1"/>
  <c r="AS693" i="3"/>
  <c r="AT693" i="3" s="1"/>
  <c r="AS673" i="3"/>
  <c r="AT673" i="3" s="1"/>
  <c r="AS653" i="3"/>
  <c r="AT653" i="3" s="1"/>
  <c r="AS633" i="3"/>
  <c r="AT633" i="3" s="1"/>
  <c r="AS613" i="3"/>
  <c r="AT613" i="3" s="1"/>
  <c r="AS593" i="3"/>
  <c r="AT593" i="3" s="1"/>
  <c r="AS573" i="3"/>
  <c r="AT573" i="3" s="1"/>
  <c r="AS553" i="3"/>
  <c r="AT553" i="3" s="1"/>
  <c r="AS533" i="3"/>
  <c r="AT533" i="3" s="1"/>
  <c r="AS513" i="3"/>
  <c r="AT513" i="3" s="1"/>
  <c r="AS493" i="3"/>
  <c r="AT493" i="3" s="1"/>
  <c r="AS473" i="3"/>
  <c r="AT473" i="3" s="1"/>
  <c r="AS453" i="3"/>
  <c r="AT453" i="3" s="1"/>
  <c r="AS433" i="3"/>
  <c r="AT433" i="3" s="1"/>
  <c r="AS413" i="3"/>
  <c r="AT413" i="3" s="1"/>
  <c r="AS393" i="3"/>
  <c r="AT393" i="3" s="1"/>
  <c r="AS373" i="3"/>
  <c r="AT373" i="3" s="1"/>
  <c r="AS353" i="3"/>
  <c r="AT353" i="3" s="1"/>
  <c r="AS333" i="3"/>
  <c r="AT333" i="3" s="1"/>
  <c r="AS313" i="3"/>
  <c r="AT313" i="3" s="1"/>
  <c r="AS293" i="3"/>
  <c r="AT293" i="3" s="1"/>
  <c r="AS273" i="3"/>
  <c r="AT273" i="3" s="1"/>
  <c r="AS253" i="3"/>
  <c r="AT253" i="3" s="1"/>
  <c r="AS233" i="3"/>
  <c r="AT233" i="3" s="1"/>
  <c r="AS213" i="3"/>
  <c r="AT213" i="3" s="1"/>
  <c r="AS193" i="3"/>
  <c r="AT193" i="3" s="1"/>
  <c r="AS173" i="3"/>
  <c r="AT173" i="3" s="1"/>
  <c r="AS153" i="3"/>
  <c r="AT153" i="3" s="1"/>
  <c r="AS133" i="3"/>
  <c r="AT133" i="3" s="1"/>
  <c r="AS113" i="3"/>
  <c r="AT113" i="3" s="1"/>
  <c r="AS93" i="3"/>
  <c r="AT93" i="3" s="1"/>
  <c r="AS73" i="3"/>
  <c r="AT73" i="3" s="1"/>
  <c r="AS53" i="3"/>
  <c r="AT53" i="3" s="1"/>
  <c r="AS33" i="3"/>
  <c r="AT33" i="3" s="1"/>
  <c r="AS13" i="3"/>
  <c r="AT13" i="3" s="1"/>
  <c r="AS529" i="3"/>
  <c r="AT529" i="3" s="1"/>
  <c r="AS249" i="3"/>
  <c r="AT249" i="3" s="1"/>
  <c r="AS209" i="3"/>
  <c r="AT209" i="3" s="1"/>
  <c r="AS169" i="3"/>
  <c r="AT169" i="3" s="1"/>
  <c r="AS129" i="3"/>
  <c r="AT129" i="3" s="1"/>
  <c r="AS89" i="3"/>
  <c r="AT89" i="3" s="1"/>
  <c r="AS49" i="3"/>
  <c r="AT49" i="3" s="1"/>
  <c r="AS29" i="3"/>
  <c r="AT29" i="3" s="1"/>
  <c r="AS74" i="3"/>
  <c r="AT74" i="3" s="1"/>
  <c r="AS334" i="3"/>
  <c r="AT334" i="3" s="1"/>
  <c r="AS614" i="3"/>
  <c r="AT614" i="3" s="1"/>
  <c r="AS914" i="3"/>
  <c r="AT914" i="3" s="1"/>
  <c r="AS729" i="3"/>
  <c r="AT729" i="3" s="1"/>
  <c r="AS709" i="3"/>
  <c r="AT709" i="3" s="1"/>
  <c r="AS689" i="3"/>
  <c r="AT689" i="3" s="1"/>
  <c r="AS669" i="3"/>
  <c r="AT669" i="3" s="1"/>
  <c r="AS629" i="3"/>
  <c r="AT629" i="3" s="1"/>
  <c r="AS549" i="3"/>
  <c r="AT549" i="3" s="1"/>
  <c r="AS509" i="3"/>
  <c r="AT509" i="3" s="1"/>
  <c r="AS489" i="3"/>
  <c r="AT489" i="3" s="1"/>
  <c r="AS229" i="3"/>
  <c r="AT229" i="3" s="1"/>
  <c r="AS149" i="3"/>
  <c r="AT149" i="3" s="1"/>
  <c r="AS109" i="3"/>
  <c r="AT109" i="3" s="1"/>
  <c r="AS9" i="3"/>
  <c r="AT9" i="3" s="1"/>
  <c r="AS94" i="3"/>
  <c r="AT94" i="3" s="1"/>
  <c r="AS354" i="3"/>
  <c r="AT354" i="3" s="1"/>
  <c r="AS494" i="3"/>
  <c r="AT494" i="3" s="1"/>
  <c r="AS634" i="3"/>
  <c r="AT634" i="3" s="1"/>
  <c r="AS714" i="3"/>
  <c r="AT714" i="3" s="1"/>
  <c r="AS934" i="3"/>
  <c r="AT934" i="3" s="1"/>
  <c r="AS988" i="3"/>
  <c r="AT988" i="3" s="1"/>
  <c r="AS968" i="3"/>
  <c r="AT968" i="3" s="1"/>
  <c r="AS948" i="3"/>
  <c r="AT948" i="3" s="1"/>
  <c r="AS928" i="3"/>
  <c r="AT928" i="3" s="1"/>
  <c r="AS908" i="3"/>
  <c r="AT908" i="3" s="1"/>
  <c r="AS888" i="3"/>
  <c r="AT888" i="3" s="1"/>
  <c r="AS868" i="3"/>
  <c r="AT868" i="3" s="1"/>
  <c r="AS848" i="3"/>
  <c r="AT848" i="3" s="1"/>
  <c r="AS828" i="3"/>
  <c r="AT828" i="3" s="1"/>
  <c r="AS808" i="3"/>
  <c r="AT808" i="3" s="1"/>
  <c r="AS788" i="3"/>
  <c r="AT788" i="3" s="1"/>
  <c r="AS768" i="3"/>
  <c r="AT768" i="3" s="1"/>
  <c r="AS748" i="3"/>
  <c r="AT748" i="3" s="1"/>
  <c r="AS728" i="3"/>
  <c r="AT728" i="3" s="1"/>
  <c r="AS708" i="3"/>
  <c r="AT708" i="3" s="1"/>
  <c r="AS688" i="3"/>
  <c r="AT688" i="3" s="1"/>
  <c r="AS668" i="3"/>
  <c r="AT668" i="3" s="1"/>
  <c r="AS648" i="3"/>
  <c r="AT648" i="3" s="1"/>
  <c r="AS628" i="3"/>
  <c r="AT628" i="3" s="1"/>
  <c r="AS608" i="3"/>
  <c r="AT608" i="3" s="1"/>
  <c r="AS588" i="3"/>
  <c r="AT588" i="3" s="1"/>
  <c r="AS568" i="3"/>
  <c r="AT568" i="3" s="1"/>
  <c r="AS548" i="3"/>
  <c r="AT548" i="3" s="1"/>
  <c r="AS528" i="3"/>
  <c r="AT528" i="3" s="1"/>
  <c r="AS508" i="3"/>
  <c r="AT508" i="3" s="1"/>
  <c r="AS488" i="3"/>
  <c r="AT488" i="3" s="1"/>
  <c r="AS468" i="3"/>
  <c r="AT468" i="3" s="1"/>
  <c r="AS448" i="3"/>
  <c r="AT448" i="3" s="1"/>
  <c r="AS428" i="3"/>
  <c r="AT428" i="3" s="1"/>
  <c r="AS408" i="3"/>
  <c r="AT408" i="3" s="1"/>
  <c r="AS388" i="3"/>
  <c r="AT388" i="3" s="1"/>
  <c r="AS368" i="3"/>
  <c r="AT368" i="3" s="1"/>
  <c r="AS348" i="3"/>
  <c r="AT348" i="3" s="1"/>
  <c r="AS328" i="3"/>
  <c r="AT328" i="3" s="1"/>
  <c r="AS308" i="3"/>
  <c r="AT308" i="3" s="1"/>
  <c r="AS288" i="3"/>
  <c r="AT288" i="3" s="1"/>
  <c r="AS268" i="3"/>
  <c r="AT268" i="3" s="1"/>
  <c r="AS248" i="3"/>
  <c r="AT248" i="3" s="1"/>
  <c r="AS228" i="3"/>
  <c r="AT228" i="3" s="1"/>
  <c r="AS208" i="3"/>
  <c r="AT208" i="3" s="1"/>
  <c r="AS188" i="3"/>
  <c r="AT188" i="3" s="1"/>
  <c r="AS168" i="3"/>
  <c r="AT168" i="3" s="1"/>
  <c r="AS148" i="3"/>
  <c r="AT148" i="3" s="1"/>
  <c r="AS128" i="3"/>
  <c r="AT128" i="3" s="1"/>
  <c r="AS108" i="3"/>
  <c r="AT108" i="3" s="1"/>
  <c r="AS88" i="3"/>
  <c r="AT88" i="3" s="1"/>
  <c r="AS68" i="3"/>
  <c r="AT68" i="3" s="1"/>
  <c r="AS48" i="3"/>
  <c r="AT48" i="3" s="1"/>
  <c r="AS28" i="3"/>
  <c r="AT28" i="3" s="1"/>
  <c r="AS8" i="3"/>
  <c r="AT8" i="3" s="1"/>
  <c r="AS985" i="3"/>
  <c r="AT985" i="3" s="1"/>
  <c r="AS965" i="3"/>
  <c r="AT965" i="3" s="1"/>
  <c r="AS945" i="3"/>
  <c r="AT945" i="3" s="1"/>
  <c r="AS925" i="3"/>
  <c r="AT925" i="3" s="1"/>
  <c r="AS905" i="3"/>
  <c r="AT905" i="3" s="1"/>
  <c r="AS885" i="3"/>
  <c r="AT885" i="3" s="1"/>
  <c r="AS865" i="3"/>
  <c r="AT865" i="3" s="1"/>
  <c r="AS845" i="3"/>
  <c r="AT845" i="3" s="1"/>
  <c r="AS825" i="3"/>
  <c r="AT825" i="3" s="1"/>
  <c r="AS805" i="3"/>
  <c r="AT805" i="3" s="1"/>
  <c r="AS785" i="3"/>
  <c r="AT785" i="3" s="1"/>
  <c r="AS765" i="3"/>
  <c r="AT765" i="3" s="1"/>
  <c r="AS745" i="3"/>
  <c r="AT745" i="3" s="1"/>
  <c r="AS725" i="3"/>
  <c r="AT725" i="3" s="1"/>
  <c r="AS685" i="3"/>
  <c r="AT685" i="3" s="1"/>
  <c r="AS665" i="3"/>
  <c r="AT665" i="3" s="1"/>
  <c r="AS645" i="3"/>
  <c r="AT645" i="3" s="1"/>
  <c r="AS625" i="3"/>
  <c r="AT625" i="3" s="1"/>
  <c r="AS605" i="3"/>
  <c r="AT605" i="3" s="1"/>
  <c r="AS585" i="3"/>
  <c r="AT585" i="3" s="1"/>
  <c r="AS565" i="3"/>
  <c r="AT565" i="3" s="1"/>
  <c r="AS545" i="3"/>
  <c r="AT545" i="3" s="1"/>
  <c r="AS525" i="3"/>
  <c r="AT525" i="3" s="1"/>
  <c r="AS505" i="3"/>
  <c r="AT505" i="3" s="1"/>
  <c r="AS485" i="3"/>
  <c r="AT485" i="3" s="1"/>
  <c r="AS465" i="3"/>
  <c r="AT465" i="3" s="1"/>
  <c r="AS445" i="3"/>
  <c r="AT445" i="3" s="1"/>
  <c r="AS425" i="3"/>
  <c r="AT425" i="3" s="1"/>
  <c r="AS405" i="3"/>
  <c r="AT405" i="3" s="1"/>
  <c r="AS385" i="3"/>
  <c r="AT385" i="3" s="1"/>
  <c r="AS365" i="3"/>
  <c r="AT365" i="3" s="1"/>
  <c r="AS345" i="3"/>
  <c r="AT345" i="3" s="1"/>
  <c r="AS325" i="3"/>
  <c r="AT325" i="3" s="1"/>
  <c r="AS305" i="3"/>
  <c r="AT305" i="3" s="1"/>
  <c r="AS285" i="3"/>
  <c r="AT285" i="3" s="1"/>
  <c r="AS265" i="3"/>
  <c r="AT265" i="3" s="1"/>
  <c r="AS245" i="3"/>
  <c r="AT245" i="3" s="1"/>
  <c r="AS225" i="3"/>
  <c r="AT225" i="3" s="1"/>
  <c r="AS205" i="3"/>
  <c r="AT205" i="3" s="1"/>
  <c r="AS185" i="3"/>
  <c r="AT185" i="3" s="1"/>
  <c r="AS165" i="3"/>
  <c r="AT165" i="3" s="1"/>
  <c r="AS145" i="3"/>
  <c r="AT145" i="3" s="1"/>
  <c r="AS125" i="3"/>
  <c r="AT125" i="3" s="1"/>
  <c r="AS105" i="3"/>
  <c r="AT105" i="3" s="1"/>
  <c r="AS85" i="3"/>
  <c r="AT85" i="3" s="1"/>
  <c r="AS65" i="3"/>
  <c r="AT65" i="3" s="1"/>
  <c r="AS45" i="3"/>
  <c r="AT45" i="3" s="1"/>
  <c r="AS25" i="3"/>
  <c r="AT25" i="3" s="1"/>
  <c r="AS5" i="3"/>
  <c r="AT5" i="3" s="1"/>
  <c r="AS984" i="3"/>
  <c r="AT984" i="3" s="1"/>
  <c r="AS964" i="3"/>
  <c r="AT964" i="3" s="1"/>
  <c r="AS944" i="3"/>
  <c r="AT944" i="3" s="1"/>
  <c r="AS924" i="3"/>
  <c r="AT924" i="3" s="1"/>
  <c r="AS904" i="3"/>
  <c r="AT904" i="3" s="1"/>
  <c r="AS884" i="3"/>
  <c r="AT884" i="3" s="1"/>
  <c r="AS864" i="3"/>
  <c r="AT864" i="3" s="1"/>
  <c r="AS824" i="3"/>
  <c r="AT824" i="3" s="1"/>
  <c r="AS804" i="3"/>
  <c r="AT804" i="3" s="1"/>
  <c r="AS784" i="3"/>
  <c r="AT784" i="3" s="1"/>
  <c r="AS764" i="3"/>
  <c r="AT764" i="3" s="1"/>
  <c r="AS744" i="3"/>
  <c r="AT744" i="3" s="1"/>
  <c r="AS724" i="3"/>
  <c r="AT724" i="3" s="1"/>
  <c r="AS704" i="3"/>
  <c r="AT704" i="3" s="1"/>
  <c r="AS684" i="3"/>
  <c r="AT684" i="3" s="1"/>
  <c r="AS705" i="3"/>
  <c r="AT705" i="3" s="1"/>
  <c r="AS460" i="3"/>
  <c r="AT460" i="3" s="1"/>
  <c r="AS919" i="3"/>
  <c r="AT919" i="3" s="1"/>
  <c r="AS958" i="3"/>
  <c r="AT958" i="3" s="1"/>
  <c r="AS878" i="3"/>
  <c r="AT878" i="3" s="1"/>
  <c r="AS778" i="3"/>
  <c r="AT778" i="3" s="1"/>
  <c r="AS618" i="3"/>
  <c r="AT618" i="3" s="1"/>
  <c r="AS518" i="3"/>
  <c r="AT518" i="3" s="1"/>
  <c r="AS458" i="3"/>
  <c r="AT458" i="3" s="1"/>
  <c r="AS98" i="3"/>
  <c r="AT98" i="3" s="1"/>
  <c r="AS957" i="3"/>
  <c r="AT957" i="3" s="1"/>
  <c r="AS737" i="3"/>
  <c r="AT737" i="3" s="1"/>
  <c r="AS317" i="3"/>
  <c r="AT317" i="3" s="1"/>
  <c r="AS237" i="3"/>
  <c r="AT237" i="3" s="1"/>
  <c r="AS17" i="3"/>
  <c r="AT17" i="3" s="1"/>
  <c r="AS980" i="3"/>
  <c r="AT980" i="3" s="1"/>
  <c r="AS960" i="3"/>
  <c r="AT960" i="3" s="1"/>
  <c r="AS880" i="3"/>
  <c r="AT880" i="3" s="1"/>
  <c r="AS820" i="3"/>
  <c r="AT820" i="3" s="1"/>
  <c r="AS740" i="3"/>
  <c r="AT740" i="3" s="1"/>
  <c r="AS680" i="3"/>
  <c r="AT680" i="3" s="1"/>
  <c r="AS600" i="3"/>
  <c r="AT600" i="3" s="1"/>
  <c r="AS380" i="3"/>
  <c r="AT380" i="3" s="1"/>
  <c r="AS240" i="3"/>
  <c r="AT240" i="3" s="1"/>
  <c r="AS200" i="3"/>
  <c r="AT200" i="3" s="1"/>
  <c r="AS140" i="3"/>
  <c r="AT140" i="3" s="1"/>
  <c r="AS20" i="3"/>
  <c r="AT20" i="3" s="1"/>
  <c r="AS159" i="3"/>
  <c r="AT159" i="3" s="1"/>
  <c r="AS798" i="3"/>
  <c r="AT798" i="3" s="1"/>
  <c r="AS638" i="3"/>
  <c r="AT638" i="3" s="1"/>
  <c r="AS558" i="3"/>
  <c r="AT558" i="3" s="1"/>
  <c r="AS438" i="3"/>
  <c r="AT438" i="3" s="1"/>
  <c r="AS238" i="3"/>
  <c r="AT238" i="3" s="1"/>
  <c r="AS158" i="3"/>
  <c r="AT158" i="3" s="1"/>
  <c r="AS78" i="3"/>
  <c r="AT78" i="3" s="1"/>
  <c r="AS217" i="3"/>
  <c r="AT217" i="3" s="1"/>
  <c r="AS157" i="3"/>
  <c r="AT157" i="3" s="1"/>
  <c r="AS97" i="3"/>
  <c r="AT97" i="3" s="1"/>
  <c r="AS132" i="3"/>
  <c r="AT132" i="3" s="1"/>
  <c r="AS112" i="3"/>
  <c r="AT112" i="3" s="1"/>
  <c r="AS92" i="3"/>
  <c r="AT92" i="3" s="1"/>
  <c r="AS72" i="3"/>
  <c r="AT72" i="3" s="1"/>
  <c r="AS52" i="3"/>
  <c r="AT52" i="3" s="1"/>
  <c r="AS32" i="3"/>
  <c r="AT32" i="3" s="1"/>
  <c r="AS12" i="3"/>
  <c r="AT12" i="3" s="1"/>
  <c r="AS143" i="3"/>
  <c r="AT143" i="3" s="1"/>
  <c r="AS771" i="3"/>
  <c r="AT771" i="3" s="1"/>
  <c r="AS470" i="3"/>
  <c r="AT470" i="3" s="1"/>
  <c r="AS450" i="3"/>
  <c r="AT450" i="3" s="1"/>
  <c r="AS430" i="3"/>
  <c r="AT430" i="3" s="1"/>
  <c r="AS410" i="3"/>
  <c r="AT410" i="3" s="1"/>
  <c r="AS390" i="3"/>
  <c r="AT390" i="3" s="1"/>
  <c r="AS370" i="3"/>
  <c r="AT370" i="3" s="1"/>
  <c r="AS350" i="3"/>
  <c r="AT350" i="3" s="1"/>
  <c r="AS330" i="3"/>
  <c r="AT330" i="3" s="1"/>
  <c r="AS310" i="3"/>
  <c r="AT310" i="3" s="1"/>
  <c r="AS290" i="3"/>
  <c r="AT290" i="3" s="1"/>
  <c r="AS270" i="3"/>
  <c r="AT270" i="3" s="1"/>
  <c r="AS250" i="3"/>
  <c r="AT250" i="3" s="1"/>
  <c r="AS230" i="3"/>
  <c r="AT230" i="3" s="1"/>
  <c r="AS210" i="3"/>
  <c r="AT210" i="3" s="1"/>
  <c r="AS190" i="3"/>
  <c r="AT190" i="3" s="1"/>
  <c r="AS170" i="3"/>
  <c r="AT170" i="3" s="1"/>
  <c r="AS150" i="3"/>
  <c r="AT150" i="3" s="1"/>
  <c r="AS130" i="3"/>
  <c r="AT130" i="3" s="1"/>
  <c r="AS110" i="3"/>
  <c r="AT110" i="3" s="1"/>
  <c r="AS90" i="3"/>
  <c r="AT90" i="3" s="1"/>
  <c r="AS70" i="3"/>
  <c r="AT70" i="3" s="1"/>
  <c r="AS50" i="3"/>
  <c r="AT50" i="3" s="1"/>
  <c r="AS30" i="3"/>
  <c r="AT30" i="3" s="1"/>
  <c r="AS10" i="3"/>
  <c r="AT10" i="3" s="1"/>
  <c r="AS987" i="3"/>
  <c r="AT987" i="3" s="1"/>
  <c r="AS967" i="3"/>
  <c r="AT967" i="3" s="1"/>
  <c r="AS947" i="3"/>
  <c r="AT947" i="3" s="1"/>
  <c r="AS927" i="3"/>
  <c r="AT927" i="3" s="1"/>
  <c r="AS907" i="3"/>
  <c r="AT907" i="3" s="1"/>
  <c r="AS887" i="3"/>
  <c r="AT887" i="3" s="1"/>
  <c r="AS867" i="3"/>
  <c r="AT867" i="3" s="1"/>
  <c r="AS847" i="3"/>
  <c r="AT847" i="3" s="1"/>
  <c r="AS827" i="3"/>
  <c r="AT827" i="3" s="1"/>
  <c r="AS807" i="3"/>
  <c r="AT807" i="3" s="1"/>
  <c r="AS787" i="3"/>
  <c r="AT787" i="3" s="1"/>
  <c r="AS767" i="3"/>
  <c r="AT767" i="3" s="1"/>
  <c r="AS747" i="3"/>
  <c r="AT747" i="3" s="1"/>
  <c r="AS727" i="3"/>
  <c r="AT727" i="3" s="1"/>
  <c r="AS707" i="3"/>
  <c r="AT707" i="3" s="1"/>
  <c r="AS687" i="3"/>
  <c r="AT687" i="3" s="1"/>
  <c r="AS667" i="3"/>
  <c r="AT667" i="3" s="1"/>
  <c r="AS647" i="3"/>
  <c r="AT647" i="3" s="1"/>
  <c r="AS627" i="3"/>
  <c r="AT627" i="3" s="1"/>
  <c r="AS607" i="3"/>
  <c r="AT607" i="3" s="1"/>
  <c r="AS587" i="3"/>
  <c r="AT587" i="3" s="1"/>
  <c r="AS567" i="3"/>
  <c r="AT567" i="3" s="1"/>
  <c r="AS547" i="3"/>
  <c r="AT547" i="3" s="1"/>
  <c r="AS527" i="3"/>
  <c r="AT527" i="3" s="1"/>
  <c r="AS507" i="3"/>
  <c r="AT507" i="3" s="1"/>
  <c r="AS487" i="3"/>
  <c r="AT487" i="3" s="1"/>
  <c r="AS467" i="3"/>
  <c r="AT467" i="3" s="1"/>
  <c r="AS447" i="3"/>
  <c r="AT447" i="3" s="1"/>
  <c r="AS427" i="3"/>
  <c r="AT427" i="3" s="1"/>
  <c r="AS407" i="3"/>
  <c r="AT407" i="3" s="1"/>
  <c r="AS387" i="3"/>
  <c r="AT387" i="3" s="1"/>
  <c r="AS367" i="3"/>
  <c r="AT367" i="3" s="1"/>
  <c r="AS347" i="3"/>
  <c r="AT347" i="3" s="1"/>
  <c r="AS327" i="3"/>
  <c r="AT327" i="3" s="1"/>
  <c r="AS307" i="3"/>
  <c r="AT307" i="3" s="1"/>
  <c r="AS287" i="3"/>
  <c r="AT287" i="3" s="1"/>
  <c r="AS267" i="3"/>
  <c r="AT267" i="3" s="1"/>
  <c r="AS247" i="3"/>
  <c r="AT247" i="3" s="1"/>
  <c r="AS227" i="3"/>
  <c r="AT227" i="3" s="1"/>
  <c r="AS207" i="3"/>
  <c r="AT207" i="3" s="1"/>
  <c r="AS187" i="3"/>
  <c r="AT187" i="3" s="1"/>
  <c r="AS167" i="3"/>
  <c r="AT167" i="3" s="1"/>
  <c r="AS147" i="3"/>
  <c r="AT147" i="3" s="1"/>
  <c r="AS127" i="3"/>
  <c r="AT127" i="3" s="1"/>
  <c r="AS107" i="3"/>
  <c r="AT107" i="3" s="1"/>
  <c r="AS87" i="3"/>
  <c r="AT87" i="3" s="1"/>
  <c r="AS67" i="3"/>
  <c r="AT67" i="3" s="1"/>
  <c r="AS47" i="3"/>
  <c r="AT47" i="3" s="1"/>
  <c r="AS27" i="3"/>
  <c r="AT27" i="3" s="1"/>
  <c r="AS7" i="3"/>
  <c r="AT7" i="3" s="1"/>
  <c r="AS844" i="3"/>
  <c r="AT844" i="3" s="1"/>
  <c r="AS664" i="3"/>
  <c r="AT664" i="3" s="1"/>
  <c r="AS644" i="3"/>
  <c r="AT644" i="3" s="1"/>
  <c r="AS624" i="3"/>
  <c r="AT624" i="3" s="1"/>
  <c r="AS604" i="3"/>
  <c r="AT604" i="3" s="1"/>
  <c r="AS584" i="3"/>
  <c r="AT584" i="3" s="1"/>
  <c r="AS564" i="3"/>
  <c r="AT564" i="3" s="1"/>
  <c r="AS544" i="3"/>
  <c r="AT544" i="3" s="1"/>
  <c r="AS524" i="3"/>
  <c r="AT524" i="3" s="1"/>
  <c r="AS504" i="3"/>
  <c r="AT504" i="3" s="1"/>
  <c r="AS484" i="3"/>
  <c r="AT484" i="3" s="1"/>
  <c r="AS464" i="3"/>
  <c r="AT464" i="3" s="1"/>
  <c r="AS444" i="3"/>
  <c r="AT444" i="3" s="1"/>
  <c r="AS424" i="3"/>
  <c r="AT424" i="3" s="1"/>
  <c r="AS404" i="3"/>
  <c r="AT404" i="3" s="1"/>
  <c r="AS384" i="3"/>
  <c r="AT384" i="3" s="1"/>
  <c r="AS364" i="3"/>
  <c r="AT364" i="3" s="1"/>
  <c r="AS344" i="3"/>
  <c r="AT344" i="3" s="1"/>
  <c r="AS324" i="3"/>
  <c r="AT324" i="3" s="1"/>
  <c r="AS304" i="3"/>
  <c r="AT304" i="3" s="1"/>
  <c r="AS284" i="3"/>
  <c r="AT284" i="3" s="1"/>
  <c r="AS264" i="3"/>
  <c r="AT264" i="3" s="1"/>
  <c r="AS244" i="3"/>
  <c r="AT244" i="3" s="1"/>
  <c r="AS224" i="3"/>
  <c r="AT224" i="3" s="1"/>
  <c r="AS204" i="3"/>
  <c r="AT204" i="3" s="1"/>
  <c r="AS184" i="3"/>
  <c r="AT184" i="3" s="1"/>
  <c r="AS164" i="3"/>
  <c r="AT164" i="3" s="1"/>
  <c r="AS144" i="3"/>
  <c r="AT144" i="3" s="1"/>
  <c r="AS124" i="3"/>
  <c r="AT124" i="3" s="1"/>
  <c r="AS104" i="3"/>
  <c r="AT104" i="3" s="1"/>
  <c r="AS84" i="3"/>
  <c r="AT84" i="3" s="1"/>
  <c r="AS64" i="3"/>
  <c r="AT64" i="3" s="1"/>
  <c r="AS44" i="3"/>
  <c r="AT44" i="3" s="1"/>
  <c r="AS24" i="3"/>
  <c r="AT24" i="3" s="1"/>
  <c r="AS4" i="3"/>
  <c r="AT4" i="3" s="1"/>
  <c r="AS483" i="3"/>
  <c r="AT483" i="3" s="1"/>
  <c r="AS162" i="3"/>
  <c r="AT162" i="3" s="1"/>
  <c r="AS1001" i="3"/>
  <c r="AT1001" i="3" s="1"/>
  <c r="AS981" i="3"/>
  <c r="AT981" i="3" s="1"/>
  <c r="AS961" i="3"/>
  <c r="AT961" i="3" s="1"/>
  <c r="AS941" i="3"/>
  <c r="AT941" i="3" s="1"/>
  <c r="AS921" i="3"/>
  <c r="AT921" i="3" s="1"/>
  <c r="AS901" i="3"/>
  <c r="AT901" i="3" s="1"/>
  <c r="AS881" i="3"/>
  <c r="AT881" i="3" s="1"/>
  <c r="AS861" i="3"/>
  <c r="AT861" i="3" s="1"/>
  <c r="AS841" i="3"/>
  <c r="AT841" i="3" s="1"/>
  <c r="AS821" i="3"/>
  <c r="AT821" i="3" s="1"/>
  <c r="AS801" i="3"/>
  <c r="AT801" i="3" s="1"/>
  <c r="AS781" i="3"/>
  <c r="AT781" i="3" s="1"/>
  <c r="AS761" i="3"/>
  <c r="AT761" i="3" s="1"/>
  <c r="AS741" i="3"/>
  <c r="AT741" i="3" s="1"/>
  <c r="AS721" i="3"/>
  <c r="AT721" i="3" s="1"/>
  <c r="AS701" i="3"/>
  <c r="AT701" i="3" s="1"/>
  <c r="AS681" i="3"/>
  <c r="AT681" i="3" s="1"/>
  <c r="AS661" i="3"/>
  <c r="AT661" i="3" s="1"/>
  <c r="AS641" i="3"/>
  <c r="AT641" i="3" s="1"/>
  <c r="AS621" i="3"/>
  <c r="AT621" i="3" s="1"/>
  <c r="AS601" i="3"/>
  <c r="AT601" i="3" s="1"/>
  <c r="AS581" i="3"/>
  <c r="AT581" i="3" s="1"/>
  <c r="AS561" i="3"/>
  <c r="AT561" i="3" s="1"/>
  <c r="AS541" i="3"/>
  <c r="AT541" i="3" s="1"/>
  <c r="AS521" i="3"/>
  <c r="AT521" i="3" s="1"/>
  <c r="AS501" i="3"/>
  <c r="AT501" i="3" s="1"/>
  <c r="AS481" i="3"/>
  <c r="AT481" i="3" s="1"/>
  <c r="AS461" i="3"/>
  <c r="AT461" i="3" s="1"/>
  <c r="AS441" i="3"/>
  <c r="AT441" i="3" s="1"/>
  <c r="AS421" i="3"/>
  <c r="AT421" i="3" s="1"/>
  <c r="AS401" i="3"/>
  <c r="AT401" i="3" s="1"/>
  <c r="AS381" i="3"/>
  <c r="AT381" i="3" s="1"/>
  <c r="AS361" i="3"/>
  <c r="AT361" i="3" s="1"/>
  <c r="AS341" i="3"/>
  <c r="AT341" i="3" s="1"/>
  <c r="AS321" i="3"/>
  <c r="AT321" i="3" s="1"/>
  <c r="AS301" i="3"/>
  <c r="AT301" i="3" s="1"/>
  <c r="AS281" i="3"/>
  <c r="AT281" i="3" s="1"/>
  <c r="AS261" i="3"/>
  <c r="AT261" i="3" s="1"/>
  <c r="AS241" i="3"/>
  <c r="AT241" i="3" s="1"/>
  <c r="AS221" i="3"/>
  <c r="AT221" i="3" s="1"/>
  <c r="AS201" i="3"/>
  <c r="AT201" i="3" s="1"/>
  <c r="AS181" i="3"/>
  <c r="AT181" i="3" s="1"/>
  <c r="AS161" i="3"/>
  <c r="AT161" i="3" s="1"/>
  <c r="AS141" i="3"/>
  <c r="AT141" i="3" s="1"/>
  <c r="AS121" i="3"/>
  <c r="AT121" i="3" s="1"/>
  <c r="AS101" i="3"/>
  <c r="AT101" i="3" s="1"/>
  <c r="AS81" i="3"/>
  <c r="AT81" i="3" s="1"/>
  <c r="AS61" i="3"/>
  <c r="AT61" i="3" s="1"/>
  <c r="AS41" i="3"/>
  <c r="AT41" i="3" s="1"/>
  <c r="AS21" i="3"/>
  <c r="AT21" i="3" s="1"/>
  <c r="AS782" i="3"/>
  <c r="AT782" i="3" s="1"/>
  <c r="AS80" i="3"/>
  <c r="AT80" i="3" s="1"/>
  <c r="AS502" i="3"/>
  <c r="AT502" i="3" s="1"/>
  <c r="AS142" i="3"/>
  <c r="AT142" i="3" s="1"/>
  <c r="AS1000" i="3"/>
  <c r="AT1000" i="3" s="1"/>
  <c r="AS920" i="3"/>
  <c r="AT920" i="3" s="1"/>
  <c r="AS800" i="3"/>
  <c r="AT800" i="3" s="1"/>
  <c r="AS640" i="3"/>
  <c r="AT640" i="3" s="1"/>
  <c r="AS580" i="3"/>
  <c r="AT580" i="3" s="1"/>
  <c r="AS540" i="3"/>
  <c r="AT540" i="3" s="1"/>
  <c r="AS440" i="3"/>
  <c r="AT440" i="3" s="1"/>
  <c r="AS360" i="3"/>
  <c r="AT360" i="3" s="1"/>
  <c r="AS300" i="3"/>
  <c r="AT300" i="3" s="1"/>
  <c r="AS180" i="3"/>
  <c r="AT180" i="3" s="1"/>
  <c r="AS100" i="3"/>
  <c r="AT100" i="3" s="1"/>
  <c r="AS998" i="3"/>
  <c r="AT998" i="3" s="1"/>
  <c r="AS918" i="3"/>
  <c r="AT918" i="3" s="1"/>
  <c r="AS858" i="3"/>
  <c r="AT858" i="3" s="1"/>
  <c r="AS818" i="3"/>
  <c r="AT818" i="3" s="1"/>
  <c r="AS718" i="3"/>
  <c r="AT718" i="3" s="1"/>
  <c r="AS678" i="3"/>
  <c r="AT678" i="3" s="1"/>
  <c r="AS478" i="3"/>
  <c r="AT478" i="3" s="1"/>
  <c r="AS378" i="3"/>
  <c r="AT378" i="3" s="1"/>
  <c r="AS318" i="3"/>
  <c r="AT318" i="3" s="1"/>
  <c r="AS198" i="3"/>
  <c r="AT198" i="3" s="1"/>
  <c r="AS38" i="3"/>
  <c r="AT38" i="3" s="1"/>
  <c r="AS922" i="3"/>
  <c r="AT922" i="3" s="1"/>
  <c r="AS940" i="3"/>
  <c r="AT940" i="3" s="1"/>
  <c r="AS860" i="3"/>
  <c r="AT860" i="3" s="1"/>
  <c r="AS780" i="3"/>
  <c r="AT780" i="3" s="1"/>
  <c r="AS720" i="3"/>
  <c r="AT720" i="3" s="1"/>
  <c r="AS660" i="3"/>
  <c r="AT660" i="3" s="1"/>
  <c r="AS560" i="3"/>
  <c r="AT560" i="3" s="1"/>
  <c r="AS520" i="3"/>
  <c r="AT520" i="3" s="1"/>
  <c r="AS480" i="3"/>
  <c r="AT480" i="3" s="1"/>
  <c r="AS420" i="3"/>
  <c r="AT420" i="3" s="1"/>
  <c r="AS340" i="3"/>
  <c r="AT340" i="3" s="1"/>
  <c r="AS260" i="3"/>
  <c r="AT260" i="3" s="1"/>
  <c r="AS160" i="3"/>
  <c r="AT160" i="3" s="1"/>
  <c r="AS40" i="3"/>
  <c r="AT40" i="3" s="1"/>
  <c r="AS978" i="3"/>
  <c r="AT978" i="3" s="1"/>
  <c r="AS738" i="3"/>
  <c r="AT738" i="3" s="1"/>
  <c r="AS698" i="3"/>
  <c r="AT698" i="3" s="1"/>
  <c r="AS658" i="3"/>
  <c r="AT658" i="3" s="1"/>
  <c r="AS598" i="3"/>
  <c r="AT598" i="3" s="1"/>
  <c r="AS538" i="3"/>
  <c r="AT538" i="3" s="1"/>
  <c r="AS418" i="3"/>
  <c r="AT418" i="3" s="1"/>
  <c r="AS358" i="3"/>
  <c r="AT358" i="3" s="1"/>
  <c r="AS118" i="3"/>
  <c r="AT118" i="3" s="1"/>
  <c r="AS977" i="3"/>
  <c r="AT977" i="3" s="1"/>
  <c r="AS937" i="3"/>
  <c r="AT937" i="3" s="1"/>
  <c r="AS877" i="3"/>
  <c r="AT877" i="3" s="1"/>
  <c r="AS837" i="3"/>
  <c r="AT837" i="3" s="1"/>
  <c r="AS777" i="3"/>
  <c r="AT777" i="3" s="1"/>
  <c r="AS717" i="3"/>
  <c r="AT717" i="3" s="1"/>
  <c r="AS677" i="3"/>
  <c r="AT677" i="3" s="1"/>
  <c r="AS637" i="3"/>
  <c r="AT637" i="3" s="1"/>
  <c r="AS577" i="3"/>
  <c r="AT577" i="3" s="1"/>
  <c r="AS537" i="3"/>
  <c r="AT537" i="3" s="1"/>
  <c r="AS497" i="3"/>
  <c r="AT497" i="3" s="1"/>
  <c r="AS477" i="3"/>
  <c r="AT477" i="3" s="1"/>
  <c r="AS437" i="3"/>
  <c r="AT437" i="3" s="1"/>
  <c r="AS417" i="3"/>
  <c r="AT417" i="3" s="1"/>
  <c r="AS377" i="3"/>
  <c r="AT377" i="3" s="1"/>
  <c r="AS337" i="3"/>
  <c r="AT337" i="3" s="1"/>
  <c r="AS277" i="3"/>
  <c r="AT277" i="3" s="1"/>
  <c r="AS197" i="3"/>
  <c r="AT197" i="3" s="1"/>
  <c r="AS57" i="3"/>
  <c r="AT57" i="3" s="1"/>
  <c r="AS900" i="3"/>
  <c r="AT900" i="3" s="1"/>
  <c r="AS840" i="3"/>
  <c r="AT840" i="3" s="1"/>
  <c r="AS760" i="3"/>
  <c r="AT760" i="3" s="1"/>
  <c r="AS700" i="3"/>
  <c r="AT700" i="3" s="1"/>
  <c r="AS620" i="3"/>
  <c r="AT620" i="3" s="1"/>
  <c r="AS500" i="3"/>
  <c r="AT500" i="3" s="1"/>
  <c r="AS400" i="3"/>
  <c r="AT400" i="3" s="1"/>
  <c r="AS320" i="3"/>
  <c r="AT320" i="3" s="1"/>
  <c r="AS280" i="3"/>
  <c r="AT280" i="3" s="1"/>
  <c r="AS220" i="3"/>
  <c r="AT220" i="3" s="1"/>
  <c r="AS120" i="3"/>
  <c r="AT120" i="3" s="1"/>
  <c r="AS60" i="3"/>
  <c r="AT60" i="3" s="1"/>
  <c r="AS938" i="3"/>
  <c r="AT938" i="3" s="1"/>
  <c r="AS898" i="3"/>
  <c r="AT898" i="3" s="1"/>
  <c r="AS838" i="3"/>
  <c r="AT838" i="3" s="1"/>
  <c r="AS758" i="3"/>
  <c r="AT758" i="3" s="1"/>
  <c r="AS578" i="3"/>
  <c r="AT578" i="3" s="1"/>
  <c r="AS498" i="3"/>
  <c r="AT498" i="3" s="1"/>
  <c r="AS398" i="3"/>
  <c r="AT398" i="3" s="1"/>
  <c r="AS338" i="3"/>
  <c r="AT338" i="3" s="1"/>
  <c r="AS278" i="3"/>
  <c r="AT278" i="3" s="1"/>
  <c r="AS218" i="3"/>
  <c r="AT218" i="3" s="1"/>
  <c r="AS138" i="3"/>
  <c r="AT138" i="3" s="1"/>
  <c r="AS18" i="3"/>
  <c r="AT18" i="3" s="1"/>
  <c r="AS997" i="3"/>
  <c r="AT997" i="3" s="1"/>
  <c r="AS917" i="3"/>
  <c r="AT917" i="3" s="1"/>
  <c r="AS857" i="3"/>
  <c r="AT857" i="3" s="1"/>
  <c r="AS817" i="3"/>
  <c r="AT817" i="3" s="1"/>
  <c r="AS757" i="3"/>
  <c r="AT757" i="3" s="1"/>
  <c r="AS697" i="3"/>
  <c r="AT697" i="3" s="1"/>
  <c r="AS657" i="3"/>
  <c r="AT657" i="3" s="1"/>
  <c r="AS617" i="3"/>
  <c r="AT617" i="3" s="1"/>
  <c r="AS597" i="3"/>
  <c r="AT597" i="3" s="1"/>
  <c r="AS557" i="3"/>
  <c r="AT557" i="3" s="1"/>
  <c r="AS517" i="3"/>
  <c r="AT517" i="3" s="1"/>
  <c r="AS457" i="3"/>
  <c r="AT457" i="3" s="1"/>
  <c r="AS397" i="3"/>
  <c r="AT397" i="3" s="1"/>
  <c r="AS357" i="3"/>
  <c r="AT357" i="3" s="1"/>
  <c r="AS297" i="3"/>
  <c r="AT297" i="3" s="1"/>
  <c r="AS177" i="3"/>
  <c r="AT177" i="3" s="1"/>
  <c r="AS77" i="3"/>
  <c r="AT77" i="3" s="1"/>
  <c r="AS298" i="3"/>
  <c r="AT298" i="3" s="1"/>
  <c r="AS258" i="3"/>
  <c r="AT258" i="3" s="1"/>
  <c r="AS178" i="3"/>
  <c r="AT178" i="3" s="1"/>
  <c r="AS58" i="3"/>
  <c r="AT58" i="3" s="1"/>
  <c r="AS897" i="3"/>
  <c r="AT897" i="3" s="1"/>
  <c r="AS797" i="3"/>
  <c r="AT797" i="3" s="1"/>
  <c r="AS257" i="3"/>
  <c r="AT257" i="3" s="1"/>
  <c r="AS137" i="3"/>
  <c r="AT137" i="3" s="1"/>
  <c r="AS117" i="3"/>
  <c r="AT117" i="3" s="1"/>
  <c r="AS37" i="3"/>
  <c r="AT37" i="3" s="1"/>
  <c r="AS995" i="3"/>
  <c r="AT995" i="3" s="1"/>
  <c r="AS975" i="3"/>
  <c r="AT975" i="3" s="1"/>
  <c r="AS955" i="3"/>
  <c r="AT955" i="3" s="1"/>
  <c r="AS935" i="3"/>
  <c r="AT935" i="3" s="1"/>
  <c r="AS915" i="3"/>
  <c r="AT915" i="3" s="1"/>
  <c r="AS895" i="3"/>
  <c r="AT895" i="3" s="1"/>
  <c r="AS875" i="3"/>
  <c r="AT875" i="3" s="1"/>
  <c r="AS855" i="3"/>
  <c r="AT855" i="3" s="1"/>
  <c r="AS835" i="3"/>
  <c r="AT835" i="3" s="1"/>
  <c r="AS815" i="3"/>
  <c r="AT815" i="3" s="1"/>
  <c r="AS795" i="3"/>
  <c r="AT795" i="3" s="1"/>
  <c r="AS775" i="3"/>
  <c r="AT775" i="3" s="1"/>
  <c r="AS755" i="3"/>
  <c r="AT755" i="3" s="1"/>
  <c r="AS735" i="3"/>
  <c r="AT735" i="3" s="1"/>
  <c r="AS715" i="3"/>
  <c r="AT715" i="3" s="1"/>
  <c r="AS695" i="3"/>
  <c r="AT695" i="3" s="1"/>
  <c r="AS675" i="3"/>
  <c r="AT675" i="3" s="1"/>
  <c r="AS655" i="3"/>
  <c r="AT655" i="3" s="1"/>
  <c r="AS635" i="3"/>
  <c r="AT635" i="3" s="1"/>
  <c r="AS615" i="3"/>
  <c r="AT615" i="3" s="1"/>
  <c r="AS595" i="3"/>
  <c r="AT595" i="3" s="1"/>
  <c r="AS575" i="3"/>
  <c r="AT575" i="3" s="1"/>
  <c r="AS555" i="3"/>
  <c r="AT555" i="3" s="1"/>
  <c r="AS535" i="3"/>
  <c r="AT535" i="3" s="1"/>
  <c r="AS515" i="3"/>
  <c r="AT515" i="3" s="1"/>
  <c r="AS495" i="3"/>
  <c r="AT495" i="3" s="1"/>
  <c r="AS475" i="3"/>
  <c r="AT475" i="3" s="1"/>
  <c r="AS455" i="3"/>
  <c r="AT455" i="3" s="1"/>
  <c r="AS435" i="3"/>
  <c r="AT435" i="3" s="1"/>
  <c r="AS415" i="3"/>
  <c r="AT415" i="3" s="1"/>
  <c r="AS395" i="3"/>
  <c r="AT395" i="3" s="1"/>
  <c r="AS375" i="3"/>
  <c r="AT375" i="3" s="1"/>
  <c r="AS355" i="3"/>
  <c r="AT355" i="3" s="1"/>
  <c r="AS335" i="3"/>
  <c r="AT335" i="3" s="1"/>
  <c r="AS315" i="3"/>
  <c r="AT315" i="3" s="1"/>
  <c r="AS295" i="3"/>
  <c r="AT295" i="3" s="1"/>
  <c r="AS275" i="3"/>
  <c r="AT275" i="3" s="1"/>
  <c r="AS255" i="3"/>
  <c r="AT255" i="3" s="1"/>
  <c r="AS235" i="3"/>
  <c r="AT235" i="3" s="1"/>
  <c r="AS215" i="3"/>
  <c r="AT215" i="3" s="1"/>
  <c r="AS195" i="3"/>
  <c r="AT195" i="3" s="1"/>
  <c r="AS175" i="3"/>
  <c r="AT175" i="3" s="1"/>
  <c r="AS155" i="3"/>
  <c r="AT155" i="3" s="1"/>
  <c r="AS135" i="3"/>
  <c r="AT135" i="3" s="1"/>
  <c r="AS115" i="3"/>
  <c r="AT115" i="3" s="1"/>
  <c r="AS95" i="3"/>
  <c r="AT95" i="3" s="1"/>
  <c r="AS75" i="3"/>
  <c r="AT75" i="3" s="1"/>
  <c r="AS55" i="3"/>
  <c r="AT55" i="3" s="1"/>
  <c r="AS35" i="3"/>
  <c r="AT35" i="3" s="1"/>
  <c r="AS15" i="3"/>
  <c r="AT15" i="3" s="1"/>
  <c r="AU580" i="3" l="1"/>
  <c r="AV580" i="3"/>
  <c r="AU229" i="3"/>
  <c r="AV229" i="3"/>
  <c r="AU550" i="3"/>
  <c r="AV550" i="3"/>
  <c r="AU404" i="3"/>
  <c r="AV404" i="3"/>
  <c r="AU185" i="3"/>
  <c r="AV185" i="3"/>
  <c r="AU13" i="3"/>
  <c r="AV13" i="3"/>
  <c r="AU813" i="3"/>
  <c r="AV813" i="3"/>
  <c r="AU894" i="3"/>
  <c r="AV894" i="3"/>
  <c r="AU271" i="3"/>
  <c r="AV271" i="3"/>
  <c r="AU531" i="3"/>
  <c r="AV531" i="3"/>
  <c r="AU234" i="3"/>
  <c r="AV234" i="3"/>
  <c r="AU590" i="3"/>
  <c r="AV590" i="3"/>
  <c r="AU632" i="3"/>
  <c r="AV632" i="3"/>
  <c r="AU876" i="3"/>
  <c r="AV876" i="3"/>
  <c r="AU366" i="3"/>
  <c r="AV366" i="3"/>
  <c r="AU949" i="3"/>
  <c r="AV949" i="3"/>
  <c r="AU583" i="3"/>
  <c r="AV583" i="3"/>
  <c r="AU455" i="3"/>
  <c r="AV455" i="3"/>
  <c r="AU297" i="3"/>
  <c r="AV297" i="3"/>
  <c r="AU197" i="3"/>
  <c r="AV197" i="3"/>
  <c r="AU922" i="3"/>
  <c r="AV922" i="3"/>
  <c r="AU281" i="3"/>
  <c r="AV281" i="3"/>
  <c r="AU24" i="3"/>
  <c r="AV24" i="3"/>
  <c r="AU424" i="3"/>
  <c r="AV424" i="3"/>
  <c r="AU527" i="3"/>
  <c r="AV527" i="3"/>
  <c r="AU927" i="3"/>
  <c r="AV927" i="3"/>
  <c r="AU330" i="3"/>
  <c r="AV330" i="3"/>
  <c r="AU78" i="3"/>
  <c r="AV78" i="3"/>
  <c r="AU17" i="3"/>
  <c r="AV17" i="3"/>
  <c r="AU784" i="3"/>
  <c r="AV784" i="3"/>
  <c r="AU205" i="3"/>
  <c r="AV205" i="3"/>
  <c r="AU605" i="3"/>
  <c r="AV605" i="3"/>
  <c r="AU28" i="3"/>
  <c r="AV28" i="3"/>
  <c r="AU428" i="3"/>
  <c r="AV428" i="3"/>
  <c r="AU828" i="3"/>
  <c r="AV828" i="3"/>
  <c r="AU509" i="3"/>
  <c r="AV509" i="3"/>
  <c r="AU33" i="3"/>
  <c r="AV33" i="3"/>
  <c r="AU433" i="3"/>
  <c r="AV433" i="3"/>
  <c r="AU833" i="3"/>
  <c r="AV833" i="3"/>
  <c r="AU674" i="3"/>
  <c r="AV674" i="3"/>
  <c r="AU994" i="3"/>
  <c r="AV994" i="3"/>
  <c r="AU179" i="3"/>
  <c r="AV179" i="3"/>
  <c r="AU331" i="3"/>
  <c r="AV331" i="3"/>
  <c r="AU671" i="3"/>
  <c r="AV671" i="3"/>
  <c r="AU551" i="3"/>
  <c r="AV551" i="3"/>
  <c r="AU636" i="3"/>
  <c r="AV636" i="3"/>
  <c r="AU214" i="3"/>
  <c r="AV214" i="3"/>
  <c r="AU670" i="3"/>
  <c r="AV670" i="3"/>
  <c r="AU730" i="3"/>
  <c r="AV730" i="3"/>
  <c r="AU232" i="3"/>
  <c r="AV232" i="3"/>
  <c r="AU652" i="3"/>
  <c r="AV652" i="3"/>
  <c r="AU576" i="3"/>
  <c r="AV576" i="3"/>
  <c r="AU936" i="3"/>
  <c r="AV936" i="3"/>
  <c r="AU989" i="3"/>
  <c r="AV989" i="3"/>
  <c r="AU386" i="3"/>
  <c r="AV386" i="3"/>
  <c r="AU786" i="3"/>
  <c r="AV786" i="3"/>
  <c r="AU769" i="3"/>
  <c r="AV769" i="3"/>
  <c r="AU402" i="3"/>
  <c r="AV402" i="3"/>
  <c r="AU862" i="3"/>
  <c r="AV862" i="3"/>
  <c r="AU603" i="3"/>
  <c r="AV603" i="3"/>
  <c r="AU483" i="3"/>
  <c r="AV483" i="3"/>
  <c r="AU454" i="3"/>
  <c r="AV454" i="3"/>
  <c r="AU35" i="3"/>
  <c r="AV35" i="3"/>
  <c r="AU310" i="3"/>
  <c r="AV310" i="3"/>
  <c r="AU8" i="3"/>
  <c r="AV8" i="3"/>
  <c r="AU413" i="3"/>
  <c r="AV413" i="3"/>
  <c r="AU594" i="3"/>
  <c r="AV594" i="3"/>
  <c r="AU139" i="3"/>
  <c r="AV139" i="3"/>
  <c r="AU591" i="3"/>
  <c r="AV591" i="3"/>
  <c r="AU556" i="3"/>
  <c r="AV556" i="3"/>
  <c r="AU610" i="3"/>
  <c r="AV610" i="3"/>
  <c r="AU212" i="3"/>
  <c r="AV212" i="3"/>
  <c r="AU396" i="3"/>
  <c r="AV396" i="3"/>
  <c r="AU889" i="3"/>
  <c r="AV889" i="3"/>
  <c r="AU766" i="3"/>
  <c r="AV766" i="3"/>
  <c r="AU382" i="3"/>
  <c r="AV382" i="3"/>
  <c r="AU842" i="3"/>
  <c r="AV842" i="3"/>
  <c r="AU55" i="3"/>
  <c r="AV55" i="3"/>
  <c r="AU855" i="3"/>
  <c r="AV855" i="3"/>
  <c r="AU398" i="3"/>
  <c r="AV398" i="3"/>
  <c r="AU418" i="3"/>
  <c r="AV418" i="3"/>
  <c r="AU800" i="3"/>
  <c r="AV800" i="3"/>
  <c r="AU681" i="3"/>
  <c r="AV681" i="3"/>
  <c r="AU127" i="3"/>
  <c r="AV127" i="3"/>
  <c r="AU75" i="3"/>
  <c r="AV75" i="3"/>
  <c r="AU475" i="3"/>
  <c r="AV475" i="3"/>
  <c r="AU875" i="3"/>
  <c r="AV875" i="3"/>
  <c r="AU357" i="3"/>
  <c r="AV357" i="3"/>
  <c r="AU498" i="3"/>
  <c r="AV498" i="3"/>
  <c r="AU277" i="3"/>
  <c r="AV277" i="3"/>
  <c r="AU538" i="3"/>
  <c r="AV538" i="3"/>
  <c r="AU38" i="3"/>
  <c r="AV38" i="3"/>
  <c r="AU920" i="3"/>
  <c r="AV920" i="3"/>
  <c r="AU301" i="3"/>
  <c r="AV301" i="3"/>
  <c r="AU701" i="3"/>
  <c r="AV701" i="3"/>
  <c r="AU44" i="3"/>
  <c r="AV44" i="3"/>
  <c r="AU444" i="3"/>
  <c r="AV444" i="3"/>
  <c r="AU147" i="3"/>
  <c r="AV147" i="3"/>
  <c r="AU547" i="3"/>
  <c r="AV547" i="3"/>
  <c r="AU947" i="3"/>
  <c r="AV947" i="3"/>
  <c r="AU350" i="3"/>
  <c r="AV350" i="3"/>
  <c r="AU158" i="3"/>
  <c r="AV158" i="3"/>
  <c r="AU237" i="3"/>
  <c r="AV237" i="3"/>
  <c r="AU804" i="3"/>
  <c r="AV804" i="3"/>
  <c r="AU225" i="3"/>
  <c r="AV225" i="3"/>
  <c r="AU625" i="3"/>
  <c r="AV625" i="3"/>
  <c r="AU48" i="3"/>
  <c r="AV48" i="3"/>
  <c r="AU448" i="3"/>
  <c r="AV448" i="3"/>
  <c r="AU848" i="3"/>
  <c r="AV848" i="3"/>
  <c r="AU549" i="3"/>
  <c r="AV549" i="3"/>
  <c r="AU53" i="3"/>
  <c r="AV53" i="3"/>
  <c r="AU453" i="3"/>
  <c r="AV453" i="3"/>
  <c r="AU853" i="3"/>
  <c r="AV853" i="3"/>
  <c r="AU774" i="3"/>
  <c r="AV774" i="3"/>
  <c r="AU56" i="3"/>
  <c r="AV56" i="3"/>
  <c r="AU199" i="3"/>
  <c r="AV199" i="3"/>
  <c r="AU371" i="3"/>
  <c r="AV371" i="3"/>
  <c r="AU731" i="3"/>
  <c r="AV731" i="3"/>
  <c r="AU631" i="3"/>
  <c r="AV631" i="3"/>
  <c r="AU716" i="3"/>
  <c r="AV716" i="3"/>
  <c r="AU54" i="3"/>
  <c r="AV54" i="3"/>
  <c r="AU710" i="3"/>
  <c r="AV710" i="3"/>
  <c r="AU770" i="3"/>
  <c r="AV770" i="3"/>
  <c r="AU252" i="3"/>
  <c r="AV252" i="3"/>
  <c r="AU672" i="3"/>
  <c r="AV672" i="3"/>
  <c r="AU656" i="3"/>
  <c r="AV656" i="3"/>
  <c r="AU59" i="3"/>
  <c r="AV59" i="3"/>
  <c r="AU389" i="3"/>
  <c r="AV389" i="3"/>
  <c r="AU406" i="3"/>
  <c r="AV406" i="3"/>
  <c r="AU806" i="3"/>
  <c r="AV806" i="3"/>
  <c r="AU969" i="3"/>
  <c r="AV969" i="3"/>
  <c r="AU422" i="3"/>
  <c r="AV422" i="3"/>
  <c r="AU882" i="3"/>
  <c r="AV882" i="3"/>
  <c r="AU623" i="3"/>
  <c r="AV623" i="3"/>
  <c r="AU278" i="3"/>
  <c r="AV278" i="3"/>
  <c r="AU487" i="3"/>
  <c r="AV487" i="3"/>
  <c r="AU793" i="3"/>
  <c r="AV793" i="3"/>
  <c r="AU291" i="3"/>
  <c r="AV291" i="3"/>
  <c r="AU796" i="3"/>
  <c r="AV796" i="3"/>
  <c r="AU338" i="3"/>
  <c r="AV338" i="3"/>
  <c r="AU489" i="3"/>
  <c r="AV489" i="3"/>
  <c r="AU598" i="3"/>
  <c r="AV598" i="3"/>
  <c r="AU370" i="3"/>
  <c r="AV370" i="3"/>
  <c r="AU854" i="3"/>
  <c r="AV854" i="3"/>
  <c r="AU69" i="3"/>
  <c r="AV69" i="3"/>
  <c r="AU442" i="3"/>
  <c r="AV442" i="3"/>
  <c r="AU457" i="3"/>
  <c r="AV457" i="3"/>
  <c r="AU587" i="3"/>
  <c r="AV587" i="3"/>
  <c r="AU737" i="3"/>
  <c r="AV737" i="3"/>
  <c r="AU488" i="3"/>
  <c r="AV488" i="3"/>
  <c r="AU954" i="3"/>
  <c r="AV954" i="3"/>
  <c r="AU711" i="3"/>
  <c r="AV711" i="3"/>
  <c r="AU790" i="3"/>
  <c r="AV790" i="3"/>
  <c r="AU910" i="3"/>
  <c r="AV910" i="3"/>
  <c r="AU312" i="3"/>
  <c r="AV312" i="3"/>
  <c r="AU712" i="3"/>
  <c r="AV712" i="3"/>
  <c r="AU956" i="3"/>
  <c r="AV956" i="3"/>
  <c r="AU599" i="3"/>
  <c r="AV599" i="3"/>
  <c r="AU46" i="3"/>
  <c r="AV46" i="3"/>
  <c r="AU446" i="3"/>
  <c r="AV446" i="3"/>
  <c r="AU846" i="3"/>
  <c r="AV846" i="3"/>
  <c r="AU22" i="3"/>
  <c r="AV22" i="3"/>
  <c r="AU462" i="3"/>
  <c r="AV462" i="3"/>
  <c r="AU962" i="3"/>
  <c r="AV962" i="3"/>
  <c r="AU663" i="3"/>
  <c r="AV663" i="3"/>
  <c r="AU135" i="3"/>
  <c r="AV135" i="3"/>
  <c r="AU535" i="3"/>
  <c r="AV535" i="3"/>
  <c r="AU935" i="3"/>
  <c r="AV935" i="3"/>
  <c r="AU517" i="3"/>
  <c r="AV517" i="3"/>
  <c r="AU838" i="3"/>
  <c r="AV838" i="3"/>
  <c r="AU417" i="3"/>
  <c r="AV417" i="3"/>
  <c r="AU698" i="3"/>
  <c r="AV698" i="3"/>
  <c r="AU378" i="3"/>
  <c r="AV378" i="3"/>
  <c r="AU502" i="3"/>
  <c r="AV502" i="3"/>
  <c r="AU361" i="3"/>
  <c r="AV361" i="3"/>
  <c r="AU761" i="3"/>
  <c r="AV761" i="3"/>
  <c r="AU104" i="3"/>
  <c r="AV104" i="3"/>
  <c r="AU504" i="3"/>
  <c r="AV504" i="3"/>
  <c r="AU207" i="3"/>
  <c r="AV207" i="3"/>
  <c r="AU607" i="3"/>
  <c r="AV607" i="3"/>
  <c r="AU10" i="3"/>
  <c r="AV10" i="3"/>
  <c r="AU410" i="3"/>
  <c r="AV410" i="3"/>
  <c r="AU558" i="3"/>
  <c r="AV558" i="3"/>
  <c r="AU957" i="3"/>
  <c r="AV957" i="3"/>
  <c r="AU884" i="3"/>
  <c r="AV884" i="3"/>
  <c r="AU285" i="3"/>
  <c r="AV285" i="3"/>
  <c r="AU685" i="3"/>
  <c r="AV685" i="3"/>
  <c r="AU108" i="3"/>
  <c r="AV108" i="3"/>
  <c r="AU508" i="3"/>
  <c r="AV508" i="3"/>
  <c r="AU908" i="3"/>
  <c r="AV908" i="3"/>
  <c r="AU689" i="3"/>
  <c r="AV689" i="3"/>
  <c r="AU113" i="3"/>
  <c r="AV113" i="3"/>
  <c r="AU513" i="3"/>
  <c r="AV513" i="3"/>
  <c r="AU913" i="3"/>
  <c r="AV913" i="3"/>
  <c r="AU974" i="3"/>
  <c r="AV974" i="3"/>
  <c r="AU756" i="3"/>
  <c r="AV756" i="3"/>
  <c r="AU299" i="3"/>
  <c r="AV299" i="3"/>
  <c r="AU611" i="3"/>
  <c r="AV611" i="3"/>
  <c r="AU111" i="3"/>
  <c r="AV111" i="3"/>
  <c r="AU751" i="3"/>
  <c r="AV751" i="3"/>
  <c r="AU119" i="3"/>
  <c r="AV119" i="3"/>
  <c r="AU269" i="3"/>
  <c r="AV269" i="3"/>
  <c r="AU850" i="3"/>
  <c r="AV850" i="3"/>
  <c r="AU990" i="3"/>
  <c r="AV990" i="3"/>
  <c r="AU332" i="3"/>
  <c r="AV332" i="3"/>
  <c r="AU732" i="3"/>
  <c r="AV732" i="3"/>
  <c r="AU19" i="3"/>
  <c r="AV19" i="3"/>
  <c r="AU679" i="3"/>
  <c r="AV679" i="3"/>
  <c r="AU66" i="3"/>
  <c r="AV66" i="3"/>
  <c r="AU466" i="3"/>
  <c r="AV466" i="3"/>
  <c r="AU866" i="3"/>
  <c r="AV866" i="3"/>
  <c r="AU42" i="3"/>
  <c r="AV42" i="3"/>
  <c r="AU482" i="3"/>
  <c r="AV482" i="3"/>
  <c r="AU982" i="3"/>
  <c r="AV982" i="3"/>
  <c r="AU683" i="3"/>
  <c r="AV683" i="3"/>
  <c r="AU15" i="3"/>
  <c r="AV15" i="3"/>
  <c r="AU641" i="3"/>
  <c r="AV641" i="3"/>
  <c r="AU165" i="3"/>
  <c r="AV165" i="3"/>
  <c r="AU836" i="3"/>
  <c r="AV836" i="3"/>
  <c r="AU809" i="3"/>
  <c r="AV809" i="3"/>
  <c r="AU177" i="3"/>
  <c r="AV177" i="3"/>
  <c r="AU261" i="3"/>
  <c r="AV261" i="3"/>
  <c r="AU980" i="3"/>
  <c r="AV980" i="3"/>
  <c r="AU321" i="3"/>
  <c r="AV321" i="3"/>
  <c r="AU824" i="3"/>
  <c r="AV824" i="3"/>
  <c r="AU830" i="3"/>
  <c r="AV830" i="3"/>
  <c r="AU239" i="3"/>
  <c r="AV239" i="3"/>
  <c r="AU960" i="3"/>
  <c r="AV960" i="3"/>
  <c r="AU346" i="3"/>
  <c r="AV346" i="3"/>
  <c r="AU661" i="3"/>
  <c r="AV661" i="3"/>
  <c r="AU495" i="3"/>
  <c r="AV495" i="3"/>
  <c r="AU645" i="3"/>
  <c r="AV645" i="3"/>
  <c r="AU419" i="3"/>
  <c r="AV419" i="3"/>
  <c r="AU318" i="3"/>
  <c r="AV318" i="3"/>
  <c r="AU893" i="3"/>
  <c r="AV893" i="3"/>
  <c r="AU381" i="3"/>
  <c r="AV381" i="3"/>
  <c r="AU928" i="3"/>
  <c r="AV928" i="3"/>
  <c r="AU752" i="3"/>
  <c r="AV752" i="3"/>
  <c r="AU801" i="3"/>
  <c r="AV801" i="3"/>
  <c r="AU216" i="3"/>
  <c r="AV216" i="3"/>
  <c r="AU60" i="3"/>
  <c r="AV60" i="3"/>
  <c r="AU43" i="3"/>
  <c r="AV43" i="3"/>
  <c r="AU415" i="3"/>
  <c r="AV415" i="3"/>
  <c r="AU87" i="3"/>
  <c r="AV87" i="3"/>
  <c r="AU393" i="3"/>
  <c r="AV393" i="3"/>
  <c r="AU376" i="3"/>
  <c r="AV376" i="3"/>
  <c r="AU276" i="3"/>
  <c r="AV276" i="3"/>
  <c r="AU57" i="3"/>
  <c r="AV57" i="3"/>
  <c r="AU808" i="3"/>
  <c r="AV808" i="3"/>
  <c r="AU578" i="3"/>
  <c r="AV578" i="3"/>
  <c r="AU967" i="3"/>
  <c r="AV967" i="3"/>
  <c r="AU873" i="3"/>
  <c r="AV873" i="3"/>
  <c r="AU651" i="3"/>
  <c r="AV651" i="3"/>
  <c r="AU2" i="3"/>
  <c r="AV2" i="3"/>
  <c r="AU758" i="3"/>
  <c r="AV758" i="3"/>
  <c r="AU987" i="3"/>
  <c r="AV987" i="3"/>
  <c r="AU265" i="3"/>
  <c r="AV265" i="3"/>
  <c r="AU571" i="3"/>
  <c r="AV571" i="3"/>
  <c r="AU437" i="3"/>
  <c r="AV437" i="3"/>
  <c r="AU627" i="3"/>
  <c r="AV627" i="3"/>
  <c r="AU528" i="3"/>
  <c r="AV528" i="3"/>
  <c r="AU319" i="3"/>
  <c r="AV319" i="3"/>
  <c r="AU279" i="3"/>
  <c r="AV279" i="3"/>
  <c r="AU352" i="3"/>
  <c r="AV352" i="3"/>
  <c r="AU703" i="3"/>
  <c r="AV703" i="3"/>
  <c r="AU938" i="3"/>
  <c r="AV938" i="3"/>
  <c r="AU544" i="3"/>
  <c r="AV544" i="3"/>
  <c r="AU924" i="3"/>
  <c r="AV924" i="3"/>
  <c r="AU856" i="3"/>
  <c r="AV856" i="3"/>
  <c r="AU930" i="3"/>
  <c r="AV930" i="3"/>
  <c r="AU542" i="3"/>
  <c r="AV542" i="3"/>
  <c r="AU595" i="3"/>
  <c r="AV595" i="3"/>
  <c r="AU821" i="3"/>
  <c r="AV821" i="3"/>
  <c r="AU470" i="3"/>
  <c r="AV470" i="3"/>
  <c r="AU168" i="3"/>
  <c r="AV168" i="3"/>
  <c r="AU173" i="3"/>
  <c r="AV173" i="3"/>
  <c r="AU973" i="3"/>
  <c r="AV973" i="3"/>
  <c r="AU391" i="3"/>
  <c r="AV391" i="3"/>
  <c r="AU812" i="3"/>
  <c r="AV812" i="3"/>
  <c r="AU126" i="3"/>
  <c r="AV126" i="3"/>
  <c r="AU926" i="3"/>
  <c r="AV926" i="3"/>
  <c r="AU562" i="3"/>
  <c r="AV562" i="3"/>
  <c r="AU763" i="3"/>
  <c r="AV763" i="3"/>
  <c r="AU615" i="3"/>
  <c r="AV615" i="3"/>
  <c r="AU657" i="3"/>
  <c r="AV657" i="3"/>
  <c r="AU537" i="3"/>
  <c r="AV537" i="3"/>
  <c r="AU818" i="3"/>
  <c r="AV818" i="3"/>
  <c r="AU441" i="3"/>
  <c r="AV441" i="3"/>
  <c r="AU584" i="3"/>
  <c r="AV584" i="3"/>
  <c r="AU687" i="3"/>
  <c r="AV687" i="3"/>
  <c r="AU771" i="3"/>
  <c r="AV771" i="3"/>
  <c r="AU964" i="3"/>
  <c r="AV964" i="3"/>
  <c r="AU188" i="3"/>
  <c r="AV188" i="3"/>
  <c r="AU988" i="3"/>
  <c r="AV988" i="3"/>
  <c r="AU593" i="3"/>
  <c r="AV593" i="3"/>
  <c r="AU254" i="3"/>
  <c r="AV254" i="3"/>
  <c r="AU379" i="3"/>
  <c r="AV379" i="3"/>
  <c r="AU431" i="3"/>
  <c r="AV431" i="3"/>
  <c r="AU490" i="3"/>
  <c r="AV490" i="3"/>
  <c r="AU719" i="3"/>
  <c r="AV719" i="3"/>
  <c r="AU349" i="3"/>
  <c r="AV349" i="3"/>
  <c r="AU176" i="3"/>
  <c r="AV176" i="3"/>
  <c r="AU79" i="3"/>
  <c r="AV79" i="3"/>
  <c r="AU412" i="3"/>
  <c r="AV412" i="3"/>
  <c r="AU799" i="3"/>
  <c r="AV799" i="3"/>
  <c r="AU63" i="3"/>
  <c r="AV63" i="3"/>
  <c r="AU146" i="3"/>
  <c r="AV146" i="3"/>
  <c r="AU546" i="3"/>
  <c r="AV546" i="3"/>
  <c r="AU946" i="3"/>
  <c r="AV946" i="3"/>
  <c r="AU122" i="3"/>
  <c r="AV122" i="3"/>
  <c r="AU582" i="3"/>
  <c r="AV582" i="3"/>
  <c r="AU343" i="3"/>
  <c r="AV343" i="3"/>
  <c r="AU803" i="3"/>
  <c r="AV803" i="3"/>
  <c r="AU235" i="3"/>
  <c r="AV235" i="3"/>
  <c r="AU635" i="3"/>
  <c r="AV635" i="3"/>
  <c r="AU117" i="3"/>
  <c r="AV117" i="3"/>
  <c r="AU697" i="3"/>
  <c r="AV697" i="3"/>
  <c r="AU220" i="3"/>
  <c r="AV220" i="3"/>
  <c r="AU577" i="3"/>
  <c r="AV577" i="3"/>
  <c r="AU260" i="3"/>
  <c r="AV260" i="3"/>
  <c r="AU858" i="3"/>
  <c r="AV858" i="3"/>
  <c r="AU61" i="3"/>
  <c r="AV61" i="3"/>
  <c r="AU461" i="3"/>
  <c r="AV461" i="3"/>
  <c r="AU861" i="3"/>
  <c r="AV861" i="3"/>
  <c r="AU204" i="3"/>
  <c r="AV204" i="3"/>
  <c r="AU604" i="3"/>
  <c r="AV604" i="3"/>
  <c r="AU307" i="3"/>
  <c r="AV307" i="3"/>
  <c r="AU707" i="3"/>
  <c r="AV707" i="3"/>
  <c r="AU110" i="3"/>
  <c r="AV110" i="3"/>
  <c r="AU143" i="3"/>
  <c r="AV143" i="3"/>
  <c r="AU140" i="3"/>
  <c r="AV140" i="3"/>
  <c r="AU778" i="3"/>
  <c r="AV778" i="3"/>
  <c r="AU984" i="3"/>
  <c r="AV984" i="3"/>
  <c r="AU385" i="3"/>
  <c r="AV385" i="3"/>
  <c r="AU805" i="3"/>
  <c r="AV805" i="3"/>
  <c r="AU208" i="3"/>
  <c r="AV208" i="3"/>
  <c r="AU608" i="3"/>
  <c r="AV608" i="3"/>
  <c r="AU934" i="3"/>
  <c r="AV934" i="3"/>
  <c r="AU334" i="3"/>
  <c r="AV334" i="3"/>
  <c r="AU213" i="3"/>
  <c r="AV213" i="3"/>
  <c r="AU613" i="3"/>
  <c r="AV613" i="3"/>
  <c r="AU14" i="3"/>
  <c r="AV14" i="3"/>
  <c r="AU294" i="3"/>
  <c r="AV294" i="3"/>
  <c r="AU436" i="3"/>
  <c r="AV436" i="3"/>
  <c r="AU439" i="3"/>
  <c r="AV439" i="3"/>
  <c r="AU272" i="3"/>
  <c r="AV272" i="3"/>
  <c r="AU491" i="3"/>
  <c r="AV491" i="3"/>
  <c r="AU570" i="3"/>
  <c r="AV570" i="3"/>
  <c r="AU779" i="3"/>
  <c r="AV779" i="3"/>
  <c r="AU369" i="3"/>
  <c r="AV369" i="3"/>
  <c r="AU256" i="3"/>
  <c r="AV256" i="3"/>
  <c r="AU399" i="3"/>
  <c r="AV399" i="3"/>
  <c r="AU432" i="3"/>
  <c r="AV432" i="3"/>
  <c r="AU852" i="3"/>
  <c r="AV852" i="3"/>
  <c r="AU879" i="3"/>
  <c r="AV879" i="3"/>
  <c r="AU83" i="3"/>
  <c r="AV83" i="3"/>
  <c r="AU166" i="3"/>
  <c r="AV166" i="3"/>
  <c r="AU566" i="3"/>
  <c r="AV566" i="3"/>
  <c r="AU966" i="3"/>
  <c r="AV966" i="3"/>
  <c r="AU182" i="3"/>
  <c r="AV182" i="3"/>
  <c r="AU602" i="3"/>
  <c r="AV602" i="3"/>
  <c r="AU363" i="3"/>
  <c r="AV363" i="3"/>
  <c r="AU823" i="3"/>
  <c r="AV823" i="3"/>
  <c r="AU860" i="3"/>
  <c r="AV860" i="3"/>
  <c r="AU887" i="3"/>
  <c r="AV887" i="3"/>
  <c r="AU388" i="3"/>
  <c r="AV388" i="3"/>
  <c r="AU874" i="3"/>
  <c r="AV874" i="3"/>
  <c r="AU563" i="3"/>
  <c r="AV563" i="3"/>
  <c r="AU835" i="3"/>
  <c r="AV835" i="3"/>
  <c r="AU940" i="3"/>
  <c r="AV940" i="3"/>
  <c r="AU764" i="3"/>
  <c r="AV764" i="3"/>
  <c r="AU397" i="3"/>
  <c r="AV397" i="3"/>
  <c r="AU167" i="3"/>
  <c r="AV167" i="3"/>
  <c r="AU245" i="3"/>
  <c r="AV245" i="3"/>
  <c r="AU650" i="3"/>
  <c r="AV650" i="3"/>
  <c r="AU643" i="3"/>
  <c r="AV643" i="3"/>
  <c r="AU915" i="3"/>
  <c r="AV915" i="3"/>
  <c r="AU142" i="3"/>
  <c r="AV142" i="3"/>
  <c r="AU390" i="3"/>
  <c r="AV390" i="3"/>
  <c r="AU665" i="3"/>
  <c r="AV665" i="3"/>
  <c r="AU51" i="3"/>
  <c r="AV51" i="3"/>
  <c r="AU555" i="3"/>
  <c r="AV555" i="3"/>
  <c r="AU781" i="3"/>
  <c r="AV781" i="3"/>
  <c r="AU30" i="3"/>
  <c r="AV30" i="3"/>
  <c r="AU725" i="3"/>
  <c r="AV725" i="3"/>
  <c r="AU933" i="3"/>
  <c r="AV933" i="3"/>
  <c r="AU251" i="3"/>
  <c r="AV251" i="3"/>
  <c r="AU136" i="3"/>
  <c r="AV136" i="3"/>
  <c r="AU283" i="3"/>
  <c r="AV283" i="3"/>
  <c r="AU477" i="3"/>
  <c r="AV477" i="3"/>
  <c r="AU247" i="3"/>
  <c r="AV247" i="3"/>
  <c r="AU458" i="3"/>
  <c r="AV458" i="3"/>
  <c r="AU153" i="3"/>
  <c r="AV153" i="3"/>
  <c r="AU339" i="3"/>
  <c r="AV339" i="3"/>
  <c r="AU579" i="3"/>
  <c r="AV579" i="3"/>
  <c r="AU82" i="3"/>
  <c r="AV82" i="3"/>
  <c r="AU195" i="3"/>
  <c r="AV195" i="3"/>
  <c r="AU164" i="3"/>
  <c r="AV164" i="3"/>
  <c r="AU345" i="3"/>
  <c r="AV345" i="3"/>
  <c r="AU568" i="3"/>
  <c r="AV568" i="3"/>
  <c r="AU914" i="3"/>
  <c r="AV914" i="3"/>
  <c r="AU573" i="3"/>
  <c r="AV573" i="3"/>
  <c r="AU154" i="3"/>
  <c r="AV154" i="3"/>
  <c r="AU911" i="3"/>
  <c r="AV911" i="3"/>
  <c r="AU392" i="3"/>
  <c r="AV392" i="3"/>
  <c r="AU699" i="3"/>
  <c r="AV699" i="3"/>
  <c r="AU526" i="3"/>
  <c r="AV526" i="3"/>
  <c r="AU102" i="3"/>
  <c r="AV102" i="3"/>
  <c r="AU323" i="3"/>
  <c r="AV323" i="3"/>
  <c r="AU215" i="3"/>
  <c r="AV215" i="3"/>
  <c r="AU37" i="3"/>
  <c r="AV37" i="3"/>
  <c r="AU120" i="3"/>
  <c r="AV120" i="3"/>
  <c r="AU160" i="3"/>
  <c r="AV160" i="3"/>
  <c r="AU41" i="3"/>
  <c r="AV41" i="3"/>
  <c r="AU841" i="3"/>
  <c r="AV841" i="3"/>
  <c r="AU184" i="3"/>
  <c r="AV184" i="3"/>
  <c r="AU287" i="3"/>
  <c r="AV287" i="3"/>
  <c r="AU90" i="3"/>
  <c r="AV90" i="3"/>
  <c r="AU20" i="3"/>
  <c r="AV20" i="3"/>
  <c r="AU618" i="3"/>
  <c r="AV618" i="3"/>
  <c r="AU365" i="3"/>
  <c r="AV365" i="3"/>
  <c r="AU785" i="3"/>
  <c r="AV785" i="3"/>
  <c r="AU588" i="3"/>
  <c r="AV588" i="3"/>
  <c r="AU614" i="3"/>
  <c r="AV614" i="3"/>
  <c r="AU193" i="3"/>
  <c r="AV193" i="3"/>
  <c r="AU993" i="3"/>
  <c r="AV993" i="3"/>
  <c r="AU316" i="3"/>
  <c r="AV316" i="3"/>
  <c r="AU971" i="3"/>
  <c r="AV971" i="3"/>
  <c r="AU832" i="3"/>
  <c r="AV832" i="3"/>
  <c r="AU255" i="3"/>
  <c r="AV255" i="3"/>
  <c r="AU655" i="3"/>
  <c r="AV655" i="3"/>
  <c r="AU137" i="3"/>
  <c r="AV137" i="3"/>
  <c r="AU757" i="3"/>
  <c r="AV757" i="3"/>
  <c r="AU280" i="3"/>
  <c r="AV280" i="3"/>
  <c r="AU637" i="3"/>
  <c r="AV637" i="3"/>
  <c r="AU340" i="3"/>
  <c r="AV340" i="3"/>
  <c r="AU918" i="3"/>
  <c r="AV918" i="3"/>
  <c r="AU81" i="3"/>
  <c r="AV81" i="3"/>
  <c r="AU481" i="3"/>
  <c r="AV481" i="3"/>
  <c r="AU881" i="3"/>
  <c r="AV881" i="3"/>
  <c r="AU224" i="3"/>
  <c r="AV224" i="3"/>
  <c r="AU624" i="3"/>
  <c r="AV624" i="3"/>
  <c r="AU327" i="3"/>
  <c r="AV327" i="3"/>
  <c r="AU727" i="3"/>
  <c r="AV727" i="3"/>
  <c r="AU130" i="3"/>
  <c r="AV130" i="3"/>
  <c r="AU12" i="3"/>
  <c r="AV12" i="3"/>
  <c r="AU200" i="3"/>
  <c r="AV200" i="3"/>
  <c r="AU878" i="3"/>
  <c r="AV878" i="3"/>
  <c r="AU5" i="3"/>
  <c r="AV5" i="3"/>
  <c r="AU405" i="3"/>
  <c r="AV405" i="3"/>
  <c r="AU825" i="3"/>
  <c r="AV825" i="3"/>
  <c r="AU228" i="3"/>
  <c r="AV228" i="3"/>
  <c r="AU628" i="3"/>
  <c r="AV628" i="3"/>
  <c r="AU714" i="3"/>
  <c r="AV714" i="3"/>
  <c r="AU74" i="3"/>
  <c r="AV74" i="3"/>
  <c r="AU233" i="3"/>
  <c r="AV233" i="3"/>
  <c r="AU633" i="3"/>
  <c r="AV633" i="3"/>
  <c r="AU134" i="3"/>
  <c r="AV134" i="3"/>
  <c r="AU374" i="3"/>
  <c r="AV374" i="3"/>
  <c r="AU536" i="3"/>
  <c r="AV536" i="3"/>
  <c r="AU459" i="3"/>
  <c r="AV459" i="3"/>
  <c r="AU11" i="3"/>
  <c r="AV11" i="3"/>
  <c r="AU831" i="3"/>
  <c r="AV831" i="3"/>
  <c r="AU630" i="3"/>
  <c r="AV630" i="3"/>
  <c r="AU839" i="3"/>
  <c r="AV839" i="3"/>
  <c r="AU429" i="3"/>
  <c r="AV429" i="3"/>
  <c r="AU416" i="3"/>
  <c r="AV416" i="3"/>
  <c r="AU559" i="3"/>
  <c r="AV559" i="3"/>
  <c r="AU452" i="3"/>
  <c r="AV452" i="3"/>
  <c r="AU872" i="3"/>
  <c r="AV872" i="3"/>
  <c r="AU959" i="3"/>
  <c r="AV959" i="3"/>
  <c r="AU103" i="3"/>
  <c r="AV103" i="3"/>
  <c r="AU186" i="3"/>
  <c r="AV186" i="3"/>
  <c r="AU586" i="3"/>
  <c r="AV586" i="3"/>
  <c r="AU986" i="3"/>
  <c r="AV986" i="3"/>
  <c r="AU202" i="3"/>
  <c r="AV202" i="3"/>
  <c r="AU622" i="3"/>
  <c r="AV622" i="3"/>
  <c r="AU383" i="3"/>
  <c r="AV383" i="3"/>
  <c r="AU843" i="3"/>
  <c r="AV843" i="3"/>
  <c r="AU157" i="3"/>
  <c r="AV157" i="3"/>
  <c r="AU746" i="3"/>
  <c r="AV746" i="3"/>
  <c r="AU4" i="3"/>
  <c r="AV4" i="3"/>
  <c r="AU337" i="3"/>
  <c r="AV337" i="3"/>
  <c r="AU629" i="3"/>
  <c r="AV629" i="3"/>
  <c r="AU426" i="3"/>
  <c r="AV426" i="3"/>
  <c r="AU84" i="3"/>
  <c r="AV84" i="3"/>
  <c r="AU493" i="3"/>
  <c r="AV493" i="3"/>
  <c r="AU124" i="3"/>
  <c r="AV124" i="3"/>
  <c r="AU533" i="3"/>
  <c r="AV533" i="3"/>
  <c r="AU886" i="3"/>
  <c r="AV886" i="3"/>
  <c r="AU401" i="3"/>
  <c r="AV401" i="3"/>
  <c r="AU548" i="3"/>
  <c r="AV548" i="3"/>
  <c r="AU906" i="3"/>
  <c r="AV906" i="3"/>
  <c r="AU497" i="3"/>
  <c r="AV497" i="3"/>
  <c r="AU667" i="3"/>
  <c r="AV667" i="3"/>
  <c r="AU36" i="3"/>
  <c r="AV36" i="3"/>
  <c r="AU677" i="3"/>
  <c r="AV677" i="3"/>
  <c r="AU998" i="3"/>
  <c r="AV998" i="3"/>
  <c r="AU101" i="3"/>
  <c r="AV101" i="3"/>
  <c r="AU501" i="3"/>
  <c r="AV501" i="3"/>
  <c r="AU901" i="3"/>
  <c r="AV901" i="3"/>
  <c r="AU244" i="3"/>
  <c r="AV244" i="3"/>
  <c r="AU644" i="3"/>
  <c r="AV644" i="3"/>
  <c r="AU347" i="3"/>
  <c r="AV347" i="3"/>
  <c r="AU747" i="3"/>
  <c r="AV747" i="3"/>
  <c r="AU150" i="3"/>
  <c r="AV150" i="3"/>
  <c r="AU32" i="3"/>
  <c r="AV32" i="3"/>
  <c r="AU240" i="3"/>
  <c r="AV240" i="3"/>
  <c r="AU958" i="3"/>
  <c r="AV958" i="3"/>
  <c r="AU25" i="3"/>
  <c r="AV25" i="3"/>
  <c r="AU425" i="3"/>
  <c r="AV425" i="3"/>
  <c r="AU845" i="3"/>
  <c r="AV845" i="3"/>
  <c r="AU248" i="3"/>
  <c r="AV248" i="3"/>
  <c r="AU648" i="3"/>
  <c r="AV648" i="3"/>
  <c r="AU634" i="3"/>
  <c r="AV634" i="3"/>
  <c r="AU29" i="3"/>
  <c r="AV29" i="3"/>
  <c r="AU253" i="3"/>
  <c r="AV253" i="3"/>
  <c r="AU653" i="3"/>
  <c r="AV653" i="3"/>
  <c r="AU174" i="3"/>
  <c r="AV174" i="3"/>
  <c r="AU414" i="3"/>
  <c r="AV414" i="3"/>
  <c r="AU783" i="3"/>
  <c r="AV783" i="3"/>
  <c r="AU479" i="3"/>
  <c r="AV479" i="3"/>
  <c r="AU411" i="3"/>
  <c r="AV411" i="3"/>
  <c r="AU931" i="3"/>
  <c r="AV931" i="3"/>
  <c r="AU690" i="3"/>
  <c r="AV690" i="3"/>
  <c r="AU899" i="3"/>
  <c r="AV899" i="3"/>
  <c r="AU449" i="3"/>
  <c r="AV449" i="3"/>
  <c r="AU516" i="3"/>
  <c r="AV516" i="3"/>
  <c r="AU659" i="3"/>
  <c r="AV659" i="3"/>
  <c r="AU472" i="3"/>
  <c r="AV472" i="3"/>
  <c r="AU892" i="3"/>
  <c r="AV892" i="3"/>
  <c r="AU6" i="3"/>
  <c r="AV6" i="3"/>
  <c r="AU123" i="3"/>
  <c r="AV123" i="3"/>
  <c r="AU206" i="3"/>
  <c r="AV206" i="3"/>
  <c r="AU606" i="3"/>
  <c r="AV606" i="3"/>
  <c r="AU749" i="3"/>
  <c r="AV749" i="3"/>
  <c r="AU222" i="3"/>
  <c r="AV222" i="3"/>
  <c r="AU642" i="3"/>
  <c r="AV642" i="3"/>
  <c r="AU403" i="3"/>
  <c r="AV403" i="3"/>
  <c r="AU863" i="3"/>
  <c r="AV863" i="3"/>
  <c r="AU900" i="3"/>
  <c r="AV900" i="3"/>
  <c r="AU565" i="3"/>
  <c r="AV565" i="3"/>
  <c r="AU192" i="3"/>
  <c r="AV192" i="3"/>
  <c r="AU907" i="3"/>
  <c r="AV907" i="3"/>
  <c r="AU198" i="3"/>
  <c r="AV198" i="3"/>
  <c r="AU68" i="3"/>
  <c r="AV68" i="3"/>
  <c r="AU896" i="3"/>
  <c r="AV896" i="3"/>
  <c r="AU484" i="3"/>
  <c r="AV484" i="3"/>
  <c r="AU93" i="3"/>
  <c r="AV93" i="3"/>
  <c r="AU955" i="3"/>
  <c r="AV955" i="3"/>
  <c r="AU638" i="3"/>
  <c r="AV638" i="3"/>
  <c r="AU3" i="3"/>
  <c r="AV3" i="3"/>
  <c r="AU978" i="3"/>
  <c r="AV978" i="3"/>
  <c r="AU148" i="3"/>
  <c r="AV148" i="3"/>
  <c r="AU506" i="3"/>
  <c r="AV506" i="3"/>
  <c r="AU564" i="3"/>
  <c r="AV564" i="3"/>
  <c r="AU329" i="3"/>
  <c r="AV329" i="3"/>
  <c r="AU695" i="3"/>
  <c r="AV695" i="3"/>
  <c r="AU521" i="3"/>
  <c r="AV521" i="3"/>
  <c r="AU264" i="3"/>
  <c r="AV264" i="3"/>
  <c r="AU664" i="3"/>
  <c r="AV664" i="3"/>
  <c r="AU367" i="3"/>
  <c r="AV367" i="3"/>
  <c r="AU767" i="3"/>
  <c r="AV767" i="3"/>
  <c r="AU170" i="3"/>
  <c r="AV170" i="3"/>
  <c r="AU52" i="3"/>
  <c r="AV52" i="3"/>
  <c r="AU380" i="3"/>
  <c r="AV380" i="3"/>
  <c r="AU919" i="3"/>
  <c r="AV919" i="3"/>
  <c r="AU45" i="3"/>
  <c r="AV45" i="3"/>
  <c r="AU445" i="3"/>
  <c r="AV445" i="3"/>
  <c r="AU865" i="3"/>
  <c r="AV865" i="3"/>
  <c r="AU268" i="3"/>
  <c r="AV268" i="3"/>
  <c r="AU668" i="3"/>
  <c r="AV668" i="3"/>
  <c r="AU494" i="3"/>
  <c r="AV494" i="3"/>
  <c r="AU49" i="3"/>
  <c r="AV49" i="3"/>
  <c r="AU273" i="3"/>
  <c r="AV273" i="3"/>
  <c r="AU673" i="3"/>
  <c r="AV673" i="3"/>
  <c r="AU194" i="3"/>
  <c r="AV194" i="3"/>
  <c r="AU514" i="3"/>
  <c r="AV514" i="3"/>
  <c r="AU76" i="3"/>
  <c r="AV76" i="3"/>
  <c r="AU499" i="3"/>
  <c r="AV499" i="3"/>
  <c r="AU471" i="3"/>
  <c r="AV471" i="3"/>
  <c r="AU31" i="3"/>
  <c r="AV31" i="3"/>
  <c r="AU810" i="3"/>
  <c r="AV810" i="3"/>
  <c r="AU939" i="3"/>
  <c r="AV939" i="3"/>
  <c r="AU469" i="3"/>
  <c r="AV469" i="3"/>
  <c r="AU676" i="3"/>
  <c r="AV676" i="3"/>
  <c r="AU739" i="3"/>
  <c r="AV739" i="3"/>
  <c r="AU492" i="3"/>
  <c r="AV492" i="3"/>
  <c r="AU912" i="3"/>
  <c r="AV912" i="3"/>
  <c r="AU116" i="3"/>
  <c r="AV116" i="3"/>
  <c r="AU163" i="3"/>
  <c r="AV163" i="3"/>
  <c r="AU226" i="3"/>
  <c r="AV226" i="3"/>
  <c r="AU626" i="3"/>
  <c r="AV626" i="3"/>
  <c r="AU929" i="3"/>
  <c r="AV929" i="3"/>
  <c r="AU242" i="3"/>
  <c r="AV242" i="3"/>
  <c r="AU662" i="3"/>
  <c r="AV662" i="3"/>
  <c r="AU423" i="3"/>
  <c r="AV423" i="3"/>
  <c r="AU883" i="3"/>
  <c r="AV883" i="3"/>
  <c r="AU77" i="3"/>
  <c r="AV77" i="3"/>
  <c r="AU985" i="3"/>
  <c r="AV985" i="3"/>
  <c r="AU612" i="3"/>
  <c r="AV612" i="3"/>
  <c r="AU107" i="3"/>
  <c r="AV107" i="3"/>
  <c r="AU895" i="3"/>
  <c r="AV895" i="3"/>
  <c r="AU468" i="3"/>
  <c r="AV468" i="3"/>
  <c r="AU26" i="3"/>
  <c r="AV26" i="3"/>
  <c r="AU741" i="3"/>
  <c r="AV741" i="3"/>
  <c r="AU669" i="3"/>
  <c r="AV669" i="3"/>
  <c r="AU557" i="3"/>
  <c r="AV557" i="3"/>
  <c r="AU305" i="3"/>
  <c r="AV305" i="3"/>
  <c r="AU486" i="3"/>
  <c r="AV486" i="3"/>
  <c r="AU575" i="3"/>
  <c r="AV575" i="3"/>
  <c r="AU647" i="3"/>
  <c r="AV647" i="3"/>
  <c r="AU729" i="3"/>
  <c r="AV729" i="3"/>
  <c r="AU23" i="3"/>
  <c r="AV23" i="3"/>
  <c r="AU617" i="3"/>
  <c r="AV617" i="3"/>
  <c r="AU70" i="3"/>
  <c r="AV70" i="3"/>
  <c r="AU639" i="3"/>
  <c r="AV639" i="3"/>
  <c r="AU257" i="3"/>
  <c r="AV257" i="3"/>
  <c r="AU857" i="3"/>
  <c r="AV857" i="3"/>
  <c r="AU777" i="3"/>
  <c r="AV777" i="3"/>
  <c r="AU541" i="3"/>
  <c r="AV541" i="3"/>
  <c r="AU844" i="3"/>
  <c r="AV844" i="3"/>
  <c r="AU387" i="3"/>
  <c r="AV387" i="3"/>
  <c r="AU787" i="3"/>
  <c r="AV787" i="3"/>
  <c r="AU190" i="3"/>
  <c r="AV190" i="3"/>
  <c r="AU72" i="3"/>
  <c r="AV72" i="3"/>
  <c r="AU600" i="3"/>
  <c r="AV600" i="3"/>
  <c r="AU460" i="3"/>
  <c r="AV460" i="3"/>
  <c r="AU65" i="3"/>
  <c r="AV65" i="3"/>
  <c r="AU465" i="3"/>
  <c r="AV465" i="3"/>
  <c r="AU885" i="3"/>
  <c r="AV885" i="3"/>
  <c r="AU288" i="3"/>
  <c r="AV288" i="3"/>
  <c r="AU688" i="3"/>
  <c r="AV688" i="3"/>
  <c r="AU354" i="3"/>
  <c r="AV354" i="3"/>
  <c r="AU89" i="3"/>
  <c r="AV89" i="3"/>
  <c r="AU293" i="3"/>
  <c r="AV293" i="3"/>
  <c r="AU693" i="3"/>
  <c r="AV693" i="3"/>
  <c r="AU274" i="3"/>
  <c r="AV274" i="3"/>
  <c r="AU574" i="3"/>
  <c r="AV574" i="3"/>
  <c r="AU296" i="3"/>
  <c r="AV296" i="3"/>
  <c r="AU519" i="3"/>
  <c r="AV519" i="3"/>
  <c r="AU811" i="3"/>
  <c r="AV811" i="3"/>
  <c r="AU91" i="3"/>
  <c r="AV91" i="3"/>
  <c r="AU890" i="3"/>
  <c r="AV890" i="3"/>
  <c r="AU999" i="3"/>
  <c r="AV999" i="3"/>
  <c r="AU569" i="3"/>
  <c r="AV569" i="3"/>
  <c r="AU736" i="3"/>
  <c r="AV736" i="3"/>
  <c r="AU819" i="3"/>
  <c r="AV819" i="3"/>
  <c r="AU512" i="3"/>
  <c r="AV512" i="3"/>
  <c r="AU932" i="3"/>
  <c r="AV932" i="3"/>
  <c r="AU196" i="3"/>
  <c r="AV196" i="3"/>
  <c r="AU183" i="3"/>
  <c r="AV183" i="3"/>
  <c r="AU246" i="3"/>
  <c r="AV246" i="3"/>
  <c r="AU646" i="3"/>
  <c r="AV646" i="3"/>
  <c r="AU909" i="3"/>
  <c r="AV909" i="3"/>
  <c r="AU262" i="3"/>
  <c r="AV262" i="3"/>
  <c r="AU682" i="3"/>
  <c r="AV682" i="3"/>
  <c r="AU443" i="3"/>
  <c r="AV443" i="3"/>
  <c r="AU903" i="3"/>
  <c r="AV903" i="3"/>
  <c r="AU241" i="3"/>
  <c r="AV241" i="3"/>
  <c r="AU529" i="3"/>
  <c r="AV529" i="3"/>
  <c r="AU530" i="3"/>
  <c r="AV530" i="3"/>
  <c r="AU217" i="3"/>
  <c r="AV217" i="3"/>
  <c r="AU64" i="3"/>
  <c r="AV64" i="3"/>
  <c r="AU473" i="3"/>
  <c r="AV473" i="3"/>
  <c r="AU692" i="3"/>
  <c r="AV692" i="3"/>
  <c r="AU658" i="3"/>
  <c r="AV658" i="3"/>
  <c r="AU616" i="3"/>
  <c r="AV616" i="3"/>
  <c r="AU80" i="3"/>
  <c r="AV80" i="3"/>
  <c r="AU128" i="3"/>
  <c r="AV128" i="3"/>
  <c r="AU539" i="3"/>
  <c r="AV539" i="3"/>
  <c r="AU678" i="3"/>
  <c r="AV678" i="3"/>
  <c r="AU948" i="3"/>
  <c r="AV948" i="3"/>
  <c r="AU106" i="3"/>
  <c r="AV106" i="3"/>
  <c r="AU421" i="3"/>
  <c r="AV421" i="3"/>
  <c r="AU944" i="3"/>
  <c r="AV944" i="3"/>
  <c r="AU359" i="3"/>
  <c r="AV359" i="3"/>
  <c r="AU275" i="3"/>
  <c r="AV275" i="3"/>
  <c r="AU100" i="3"/>
  <c r="AV100" i="3"/>
  <c r="AU897" i="3"/>
  <c r="AV897" i="3"/>
  <c r="AU58" i="3"/>
  <c r="AV58" i="3"/>
  <c r="AU161" i="3"/>
  <c r="AV161" i="3"/>
  <c r="AU807" i="3"/>
  <c r="AV807" i="3"/>
  <c r="AU680" i="3"/>
  <c r="AV680" i="3"/>
  <c r="AU85" i="3"/>
  <c r="AV85" i="3"/>
  <c r="AU308" i="3"/>
  <c r="AV308" i="3"/>
  <c r="AU708" i="3"/>
  <c r="AV708" i="3"/>
  <c r="AU94" i="3"/>
  <c r="AV94" i="3"/>
  <c r="AU129" i="3"/>
  <c r="AV129" i="3"/>
  <c r="AU313" i="3"/>
  <c r="AV313" i="3"/>
  <c r="AU713" i="3"/>
  <c r="AV713" i="3"/>
  <c r="AU314" i="3"/>
  <c r="AV314" i="3"/>
  <c r="AU654" i="3"/>
  <c r="AV654" i="3"/>
  <c r="AU476" i="3"/>
  <c r="AV476" i="3"/>
  <c r="AU772" i="3"/>
  <c r="AV772" i="3"/>
  <c r="AU871" i="3"/>
  <c r="AV871" i="3"/>
  <c r="AU171" i="3"/>
  <c r="AV171" i="3"/>
  <c r="AU950" i="3"/>
  <c r="AV950" i="3"/>
  <c r="AU834" i="3"/>
  <c r="AV834" i="3"/>
  <c r="AU589" i="3"/>
  <c r="AV589" i="3"/>
  <c r="AU996" i="3"/>
  <c r="AV996" i="3"/>
  <c r="AU859" i="3"/>
  <c r="AV859" i="3"/>
  <c r="AU532" i="3"/>
  <c r="AV532" i="3"/>
  <c r="AU952" i="3"/>
  <c r="AV952" i="3"/>
  <c r="AU356" i="3"/>
  <c r="AV356" i="3"/>
  <c r="AU203" i="3"/>
  <c r="AV203" i="3"/>
  <c r="AU266" i="3"/>
  <c r="AV266" i="3"/>
  <c r="AU666" i="3"/>
  <c r="AV666" i="3"/>
  <c r="AU409" i="3"/>
  <c r="AV409" i="3"/>
  <c r="AU282" i="3"/>
  <c r="AV282" i="3"/>
  <c r="AU702" i="3"/>
  <c r="AV702" i="3"/>
  <c r="AU463" i="3"/>
  <c r="AV463" i="3"/>
  <c r="AU923" i="3"/>
  <c r="AV923" i="3"/>
  <c r="AU744" i="3"/>
  <c r="AV744" i="3"/>
  <c r="AU829" i="3"/>
  <c r="AV829" i="3"/>
  <c r="AU507" i="3"/>
  <c r="AV507" i="3"/>
  <c r="AU95" i="3"/>
  <c r="AV95" i="3"/>
  <c r="AU317" i="3"/>
  <c r="AV317" i="3"/>
  <c r="AU292" i="3"/>
  <c r="AV292" i="3"/>
  <c r="AU115" i="3"/>
  <c r="AV115" i="3"/>
  <c r="AU187" i="3"/>
  <c r="AV187" i="3"/>
  <c r="AU888" i="3"/>
  <c r="AV888" i="3"/>
  <c r="AU898" i="3"/>
  <c r="AV898" i="3"/>
  <c r="AU904" i="3"/>
  <c r="AV904" i="3"/>
  <c r="AU86" i="3"/>
  <c r="AV86" i="3"/>
  <c r="AU975" i="3"/>
  <c r="AV975" i="3"/>
  <c r="AU450" i="3"/>
  <c r="AV450" i="3"/>
  <c r="AU553" i="3"/>
  <c r="AV553" i="3"/>
  <c r="AU619" i="3"/>
  <c r="AV619" i="3"/>
  <c r="AU40" i="3"/>
  <c r="AV40" i="3"/>
  <c r="AU518" i="3"/>
  <c r="AV518" i="3"/>
  <c r="AU822" i="3"/>
  <c r="AV822" i="3"/>
  <c r="AU817" i="3"/>
  <c r="AV817" i="3"/>
  <c r="AU717" i="3"/>
  <c r="AV717" i="3"/>
  <c r="AU715" i="3"/>
  <c r="AV715" i="3"/>
  <c r="AU141" i="3"/>
  <c r="AV141" i="3"/>
  <c r="AU837" i="3"/>
  <c r="AV837" i="3"/>
  <c r="AU304" i="3"/>
  <c r="AV304" i="3"/>
  <c r="AU705" i="3"/>
  <c r="AV705" i="3"/>
  <c r="AU877" i="3"/>
  <c r="AV877" i="3"/>
  <c r="AU581" i="3"/>
  <c r="AV581" i="3"/>
  <c r="AU427" i="3"/>
  <c r="AV427" i="3"/>
  <c r="AU740" i="3"/>
  <c r="AV740" i="3"/>
  <c r="AU505" i="3"/>
  <c r="AV505" i="3"/>
  <c r="AU9" i="3"/>
  <c r="AV9" i="3"/>
  <c r="AU394" i="3"/>
  <c r="AV394" i="3"/>
  <c r="AU951" i="3"/>
  <c r="AV951" i="3"/>
  <c r="AU814" i="3"/>
  <c r="AV814" i="3"/>
  <c r="AU609" i="3"/>
  <c r="AV609" i="3"/>
  <c r="AU99" i="3"/>
  <c r="AV99" i="3"/>
  <c r="AU979" i="3"/>
  <c r="AV979" i="3"/>
  <c r="AU972" i="3"/>
  <c r="AV972" i="3"/>
  <c r="AU496" i="3"/>
  <c r="AV496" i="3"/>
  <c r="AU223" i="3"/>
  <c r="AV223" i="3"/>
  <c r="AU286" i="3"/>
  <c r="AV286" i="3"/>
  <c r="AU686" i="3"/>
  <c r="AV686" i="3"/>
  <c r="AU849" i="3"/>
  <c r="AV849" i="3"/>
  <c r="AU302" i="3"/>
  <c r="AV302" i="3"/>
  <c r="AU722" i="3"/>
  <c r="AV722" i="3"/>
  <c r="AU503" i="3"/>
  <c r="AV503" i="3"/>
  <c r="AU943" i="3"/>
  <c r="AV943" i="3"/>
  <c r="AU118" i="3"/>
  <c r="AV118" i="3"/>
  <c r="AU290" i="3"/>
  <c r="AV290" i="3"/>
  <c r="AU554" i="3"/>
  <c r="AV554" i="3"/>
  <c r="AU451" i="3"/>
  <c r="AV451" i="3"/>
  <c r="AU362" i="3"/>
  <c r="AV362" i="3"/>
  <c r="AU358" i="3"/>
  <c r="AV358" i="3"/>
  <c r="AU408" i="3"/>
  <c r="AV408" i="3"/>
  <c r="AU1000" i="3"/>
  <c r="AV1000" i="3"/>
  <c r="AU464" i="3"/>
  <c r="AV464" i="3"/>
  <c r="AU238" i="3"/>
  <c r="AV238" i="3"/>
  <c r="AU73" i="3"/>
  <c r="AV73" i="3"/>
  <c r="AU456" i="3"/>
  <c r="AV456" i="3"/>
  <c r="AU511" i="3"/>
  <c r="AV511" i="3"/>
  <c r="AU750" i="3"/>
  <c r="AV750" i="3"/>
  <c r="AU826" i="3"/>
  <c r="AV826" i="3"/>
  <c r="AU515" i="3"/>
  <c r="AV515" i="3"/>
  <c r="AU341" i="3"/>
  <c r="AV341" i="3"/>
  <c r="AU864" i="3"/>
  <c r="AV864" i="3"/>
  <c r="AU39" i="3"/>
  <c r="AV39" i="3"/>
  <c r="AU155" i="3"/>
  <c r="AV155" i="3"/>
  <c r="AU478" i="3"/>
  <c r="AV478" i="3"/>
  <c r="AU227" i="3"/>
  <c r="AV227" i="3"/>
  <c r="AU98" i="3"/>
  <c r="AV98" i="3"/>
  <c r="AU133" i="3"/>
  <c r="AV133" i="3"/>
  <c r="AU816" i="3"/>
  <c r="AV816" i="3"/>
  <c r="AU791" i="3"/>
  <c r="AV791" i="3"/>
  <c r="AU870" i="3"/>
  <c r="AV870" i="3"/>
  <c r="AU522" i="3"/>
  <c r="AV522" i="3"/>
  <c r="AU597" i="3"/>
  <c r="AV597" i="3"/>
  <c r="AU144" i="3"/>
  <c r="AV144" i="3"/>
  <c r="AU798" i="3"/>
  <c r="AV798" i="3"/>
  <c r="AU745" i="3"/>
  <c r="AV745" i="3"/>
  <c r="AU114" i="3"/>
  <c r="AV114" i="3"/>
  <c r="AU311" i="3"/>
  <c r="AV311" i="3"/>
  <c r="AU309" i="3"/>
  <c r="AV309" i="3"/>
  <c r="AU792" i="3"/>
  <c r="AV792" i="3"/>
  <c r="AU723" i="3"/>
  <c r="AV723" i="3"/>
  <c r="AU21" i="3"/>
  <c r="AV21" i="3"/>
  <c r="AU159" i="3"/>
  <c r="AV159" i="3"/>
  <c r="AU968" i="3"/>
  <c r="AV968" i="3"/>
  <c r="AU976" i="3"/>
  <c r="AV976" i="3"/>
  <c r="AU320" i="3"/>
  <c r="AV320" i="3"/>
  <c r="AU295" i="3"/>
  <c r="AV295" i="3"/>
  <c r="AU400" i="3"/>
  <c r="AV400" i="3"/>
  <c r="AU121" i="3"/>
  <c r="AV121" i="3"/>
  <c r="AU315" i="3"/>
  <c r="AV315" i="3"/>
  <c r="AU500" i="3"/>
  <c r="AV500" i="3"/>
  <c r="AU180" i="3"/>
  <c r="AV180" i="3"/>
  <c r="AU941" i="3"/>
  <c r="AV941" i="3"/>
  <c r="AU335" i="3"/>
  <c r="AV335" i="3"/>
  <c r="AU997" i="3"/>
  <c r="AV997" i="3"/>
  <c r="AU560" i="3"/>
  <c r="AV560" i="3"/>
  <c r="AU561" i="3"/>
  <c r="AV561" i="3"/>
  <c r="AU7" i="3"/>
  <c r="AV7" i="3"/>
  <c r="AU210" i="3"/>
  <c r="AV210" i="3"/>
  <c r="AU485" i="3"/>
  <c r="AV485" i="3"/>
  <c r="AU355" i="3"/>
  <c r="AV355" i="3"/>
  <c r="AU18" i="3"/>
  <c r="AV18" i="3"/>
  <c r="AU660" i="3"/>
  <c r="AV660" i="3"/>
  <c r="AU181" i="3"/>
  <c r="AV181" i="3"/>
  <c r="AU981" i="3"/>
  <c r="AV981" i="3"/>
  <c r="AU27" i="3"/>
  <c r="AV27" i="3"/>
  <c r="AU827" i="3"/>
  <c r="AV827" i="3"/>
  <c r="AU230" i="3"/>
  <c r="AV230" i="3"/>
  <c r="AU112" i="3"/>
  <c r="AV112" i="3"/>
  <c r="AU684" i="3"/>
  <c r="AV684" i="3"/>
  <c r="AU105" i="3"/>
  <c r="AV105" i="3"/>
  <c r="AU925" i="3"/>
  <c r="AV925" i="3"/>
  <c r="AU328" i="3"/>
  <c r="AV328" i="3"/>
  <c r="AU728" i="3"/>
  <c r="AV728" i="3"/>
  <c r="AU169" i="3"/>
  <c r="AV169" i="3"/>
  <c r="AU333" i="3"/>
  <c r="AV333" i="3"/>
  <c r="AU733" i="3"/>
  <c r="AV733" i="3"/>
  <c r="AU694" i="3"/>
  <c r="AV694" i="3"/>
  <c r="AU743" i="3"/>
  <c r="AV743" i="3"/>
  <c r="AU71" i="3"/>
  <c r="AV71" i="3"/>
  <c r="AU211" i="3"/>
  <c r="AV211" i="3"/>
  <c r="AU96" i="3"/>
  <c r="AV96" i="3"/>
  <c r="AU552" i="3"/>
  <c r="AV552" i="3"/>
  <c r="AU375" i="3"/>
  <c r="AV375" i="3"/>
  <c r="AU775" i="3"/>
  <c r="AV775" i="3"/>
  <c r="AU258" i="3"/>
  <c r="AV258" i="3"/>
  <c r="AU138" i="3"/>
  <c r="AV138" i="3"/>
  <c r="AU760" i="3"/>
  <c r="AV760" i="3"/>
  <c r="AU937" i="3"/>
  <c r="AV937" i="3"/>
  <c r="AU720" i="3"/>
  <c r="AV720" i="3"/>
  <c r="AU440" i="3"/>
  <c r="AV440" i="3"/>
  <c r="AU201" i="3"/>
  <c r="AV201" i="3"/>
  <c r="AU601" i="3"/>
  <c r="AV601" i="3"/>
  <c r="AU1001" i="3"/>
  <c r="AV1001" i="3"/>
  <c r="AU344" i="3"/>
  <c r="AV344" i="3"/>
  <c r="AU47" i="3"/>
  <c r="AV47" i="3"/>
  <c r="AU447" i="3"/>
  <c r="AV447" i="3"/>
  <c r="AU847" i="3"/>
  <c r="AV847" i="3"/>
  <c r="AU250" i="3"/>
  <c r="AV250" i="3"/>
  <c r="AU132" i="3"/>
  <c r="AV132" i="3"/>
  <c r="AU820" i="3"/>
  <c r="AV820" i="3"/>
  <c r="AU704" i="3"/>
  <c r="AV704" i="3"/>
  <c r="AU125" i="3"/>
  <c r="AV125" i="3"/>
  <c r="AU525" i="3"/>
  <c r="AV525" i="3"/>
  <c r="AU945" i="3"/>
  <c r="AV945" i="3"/>
  <c r="AU348" i="3"/>
  <c r="AV348" i="3"/>
  <c r="AU748" i="3"/>
  <c r="AV748" i="3"/>
  <c r="AU109" i="3"/>
  <c r="AV109" i="3"/>
  <c r="AU209" i="3"/>
  <c r="AV209" i="3"/>
  <c r="AU353" i="3"/>
  <c r="AV353" i="3"/>
  <c r="AU753" i="3"/>
  <c r="AV753" i="3"/>
  <c r="AU434" i="3"/>
  <c r="AV434" i="3"/>
  <c r="AU754" i="3"/>
  <c r="AV754" i="3"/>
  <c r="AU16" i="3"/>
  <c r="AV16" i="3"/>
  <c r="AU131" i="3"/>
  <c r="AV131" i="3"/>
  <c r="AU991" i="3"/>
  <c r="AV991" i="3"/>
  <c r="AU231" i="3"/>
  <c r="AV231" i="3"/>
  <c r="AU236" i="3"/>
  <c r="AV236" i="3"/>
  <c r="AU734" i="3"/>
  <c r="AV734" i="3"/>
  <c r="AU649" i="3"/>
  <c r="AV649" i="3"/>
  <c r="AU259" i="3"/>
  <c r="AV259" i="3"/>
  <c r="AU152" i="3"/>
  <c r="AV152" i="3"/>
  <c r="AU572" i="3"/>
  <c r="AV572" i="3"/>
  <c r="AU992" i="3"/>
  <c r="AV992" i="3"/>
  <c r="AU596" i="3"/>
  <c r="AV596" i="3"/>
  <c r="AU243" i="3"/>
  <c r="AV243" i="3"/>
  <c r="AU306" i="3"/>
  <c r="AV306" i="3"/>
  <c r="AU706" i="3"/>
  <c r="AV706" i="3"/>
  <c r="AU789" i="3"/>
  <c r="AV789" i="3"/>
  <c r="AU322" i="3"/>
  <c r="AV322" i="3"/>
  <c r="AU742" i="3"/>
  <c r="AV742" i="3"/>
  <c r="AU523" i="3"/>
  <c r="AV523" i="3"/>
  <c r="AU963" i="3"/>
  <c r="AV963" i="3"/>
  <c r="AU815" i="3"/>
  <c r="AV815" i="3"/>
  <c r="AU384" i="3"/>
  <c r="AV384" i="3"/>
  <c r="AU788" i="3"/>
  <c r="AV788" i="3"/>
  <c r="AU191" i="3"/>
  <c r="AV191" i="3"/>
  <c r="AU802" i="3"/>
  <c r="AV802" i="3"/>
  <c r="AU435" i="3"/>
  <c r="AV435" i="3"/>
  <c r="AU640" i="3"/>
  <c r="AV640" i="3"/>
  <c r="AU585" i="3"/>
  <c r="AV585" i="3"/>
  <c r="AU721" i="3"/>
  <c r="AV721" i="3"/>
  <c r="AU567" i="3"/>
  <c r="AV567" i="3"/>
  <c r="AU868" i="3"/>
  <c r="AV868" i="3"/>
  <c r="AU219" i="3"/>
  <c r="AV219" i="3"/>
  <c r="AU916" i="3"/>
  <c r="AV916" i="3"/>
  <c r="AU942" i="3"/>
  <c r="AV942" i="3"/>
  <c r="AU377" i="3"/>
  <c r="AV377" i="3"/>
  <c r="AU438" i="3"/>
  <c r="AV438" i="3"/>
  <c r="AU88" i="3"/>
  <c r="AV88" i="3"/>
  <c r="AU189" i="3"/>
  <c r="AV189" i="3"/>
  <c r="AU738" i="3"/>
  <c r="AV738" i="3"/>
  <c r="AU524" i="3"/>
  <c r="AV524" i="3"/>
  <c r="AU430" i="3"/>
  <c r="AV430" i="3"/>
  <c r="AU709" i="3"/>
  <c r="AV709" i="3"/>
  <c r="AU34" i="3"/>
  <c r="AV34" i="3"/>
  <c r="AU691" i="3"/>
  <c r="AV691" i="3"/>
  <c r="AU289" i="3"/>
  <c r="AV289" i="3"/>
  <c r="AU62" i="3"/>
  <c r="AV62" i="3"/>
  <c r="AU175" i="3"/>
  <c r="AV175" i="3"/>
  <c r="AU782" i="3"/>
  <c r="AV782" i="3"/>
  <c r="AU50" i="3"/>
  <c r="AV50" i="3"/>
  <c r="AU325" i="3"/>
  <c r="AV325" i="3"/>
  <c r="AU953" i="3"/>
  <c r="AV953" i="3"/>
  <c r="AU851" i="3"/>
  <c r="AV851" i="3"/>
  <c r="AU891" i="3"/>
  <c r="AV891" i="3"/>
  <c r="AU372" i="3"/>
  <c r="AV372" i="3"/>
  <c r="AU303" i="3"/>
  <c r="AV303" i="3"/>
  <c r="AU995" i="3"/>
  <c r="AV995" i="3"/>
  <c r="AU718" i="3"/>
  <c r="AV718" i="3"/>
  <c r="AU267" i="3"/>
  <c r="AV267" i="3"/>
  <c r="AU765" i="3"/>
  <c r="AV765" i="3"/>
  <c r="AU970" i="3"/>
  <c r="AV970" i="3"/>
  <c r="AU675" i="3"/>
  <c r="AV675" i="3"/>
  <c r="AU420" i="3"/>
  <c r="AV420" i="3"/>
  <c r="AU797" i="3"/>
  <c r="AV797" i="3"/>
  <c r="AU480" i="3"/>
  <c r="AV480" i="3"/>
  <c r="AU921" i="3"/>
  <c r="AV921" i="3"/>
  <c r="AU917" i="3"/>
  <c r="AV917" i="3"/>
  <c r="AU520" i="3"/>
  <c r="AV520" i="3"/>
  <c r="AU284" i="3"/>
  <c r="AV284" i="3"/>
  <c r="AU735" i="3"/>
  <c r="AV735" i="3"/>
  <c r="AU620" i="3"/>
  <c r="AV620" i="3"/>
  <c r="AU300" i="3"/>
  <c r="AV300" i="3"/>
  <c r="AU961" i="3"/>
  <c r="AV961" i="3"/>
  <c r="AU407" i="3"/>
  <c r="AV407" i="3"/>
  <c r="AU92" i="3"/>
  <c r="AV92" i="3"/>
  <c r="AU905" i="3"/>
  <c r="AV905" i="3"/>
  <c r="AU755" i="3"/>
  <c r="AV755" i="3"/>
  <c r="AU178" i="3"/>
  <c r="AV178" i="3"/>
  <c r="AU700" i="3"/>
  <c r="AV700" i="3"/>
  <c r="AU360" i="3"/>
  <c r="AV360" i="3"/>
  <c r="AU324" i="3"/>
  <c r="AV324" i="3"/>
  <c r="AU395" i="3"/>
  <c r="AV395" i="3"/>
  <c r="AU795" i="3"/>
  <c r="AV795" i="3"/>
  <c r="AU298" i="3"/>
  <c r="AV298" i="3"/>
  <c r="AU218" i="3"/>
  <c r="AV218" i="3"/>
  <c r="AU840" i="3"/>
  <c r="AV840" i="3"/>
  <c r="AU977" i="3"/>
  <c r="AV977" i="3"/>
  <c r="AU780" i="3"/>
  <c r="AV780" i="3"/>
  <c r="AU540" i="3"/>
  <c r="AV540" i="3"/>
  <c r="AU221" i="3"/>
  <c r="AV221" i="3"/>
  <c r="AU621" i="3"/>
  <c r="AV621" i="3"/>
  <c r="AU162" i="3"/>
  <c r="AV162" i="3"/>
  <c r="AU364" i="3"/>
  <c r="AV364" i="3"/>
  <c r="AU67" i="3"/>
  <c r="AV67" i="3"/>
  <c r="AU467" i="3"/>
  <c r="AV467" i="3"/>
  <c r="AU867" i="3"/>
  <c r="AV867" i="3"/>
  <c r="AU270" i="3"/>
  <c r="AV270" i="3"/>
  <c r="AU97" i="3"/>
  <c r="AV97" i="3"/>
  <c r="AU880" i="3"/>
  <c r="AV880" i="3"/>
  <c r="AU724" i="3"/>
  <c r="AV724" i="3"/>
  <c r="AU145" i="3"/>
  <c r="AV145" i="3"/>
  <c r="AU545" i="3"/>
  <c r="AV545" i="3"/>
  <c r="AU965" i="3"/>
  <c r="AV965" i="3"/>
  <c r="AU368" i="3"/>
  <c r="AV368" i="3"/>
  <c r="AU768" i="3"/>
  <c r="AV768" i="3"/>
  <c r="AU149" i="3"/>
  <c r="AV149" i="3"/>
  <c r="AU249" i="3"/>
  <c r="AV249" i="3"/>
  <c r="AU373" i="3"/>
  <c r="AV373" i="3"/>
  <c r="AU773" i="3"/>
  <c r="AV773" i="3"/>
  <c r="AU534" i="3"/>
  <c r="AV534" i="3"/>
  <c r="AU794" i="3"/>
  <c r="AV794" i="3"/>
  <c r="AU776" i="3"/>
  <c r="AV776" i="3"/>
  <c r="AU151" i="3"/>
  <c r="AV151" i="3"/>
  <c r="AU902" i="3"/>
  <c r="AV902" i="3"/>
  <c r="AU351" i="3"/>
  <c r="AV351" i="3"/>
  <c r="AU336" i="3"/>
  <c r="AV336" i="3"/>
  <c r="AU474" i="3"/>
  <c r="AV474" i="3"/>
  <c r="AU510" i="3"/>
  <c r="AV510" i="3"/>
  <c r="AU759" i="3"/>
  <c r="AV759" i="3"/>
  <c r="AU172" i="3"/>
  <c r="AV172" i="3"/>
  <c r="AU592" i="3"/>
  <c r="AV592" i="3"/>
  <c r="AU156" i="3"/>
  <c r="AV156" i="3"/>
  <c r="AU696" i="3"/>
  <c r="AV696" i="3"/>
  <c r="AU263" i="3"/>
  <c r="AV263" i="3"/>
  <c r="AU326" i="3"/>
  <c r="AV326" i="3"/>
  <c r="AU726" i="3"/>
  <c r="AV726" i="3"/>
  <c r="AU869" i="3"/>
  <c r="AV869" i="3"/>
  <c r="AU342" i="3"/>
  <c r="AV342" i="3"/>
  <c r="AU762" i="3"/>
  <c r="AV762" i="3"/>
  <c r="AU543" i="3"/>
  <c r="AV543" i="3"/>
  <c r="AU983" i="3"/>
  <c r="AV98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<sst xmlns="http://schemas.openxmlformats.org/spreadsheetml/2006/main" count="37853" uniqueCount="1220">
  <si>
    <t>Years Driving:</t>
  </si>
  <si>
    <t>Years Driving</t>
  </si>
  <si>
    <t>Years Driving Factor</t>
  </si>
  <si>
    <t>At Fault Accidents:</t>
  </si>
  <si>
    <t>(in last 36 months)</t>
  </si>
  <si>
    <t>At Fault Accidents</t>
  </si>
  <si>
    <t>At Fault Accident Factor</t>
  </si>
  <si>
    <t>5+</t>
  </si>
  <si>
    <t>Usage-Based Insurance:</t>
  </si>
  <si>
    <t>Usage-Based Insurance</t>
  </si>
  <si>
    <t>No</t>
  </si>
  <si>
    <t>Yes (Low Score)</t>
  </si>
  <si>
    <t>Yes (Medium Score)</t>
  </si>
  <si>
    <t>Yes (High Score)</t>
  </si>
  <si>
    <t>Yearly Miles:</t>
  </si>
  <si>
    <t>Yearly Miles</t>
  </si>
  <si>
    <t>Yearly Miles Factor</t>
  </si>
  <si>
    <t>Usage-Based Insurance Discount</t>
  </si>
  <si>
    <t>City/Zip Code</t>
  </si>
  <si>
    <t>City/Zip Code:</t>
  </si>
  <si>
    <t>City/Zip Code Factor</t>
  </si>
  <si>
    <t>DTLA (90012)</t>
  </si>
  <si>
    <t>Koreatown (90006)</t>
  </si>
  <si>
    <t>Costa Mesa (92626)</t>
  </si>
  <si>
    <t>Hollywood (90028)</t>
  </si>
  <si>
    <t>Santa Monica (90401)</t>
  </si>
  <si>
    <t>Fountain Valley (92708)</t>
  </si>
  <si>
    <t>Newport Beach (92603)</t>
  </si>
  <si>
    <t>Lake Forrest (92609)</t>
  </si>
  <si>
    <t>Irvine (92602)</t>
  </si>
  <si>
    <t>Orange (92705)</t>
  </si>
  <si>
    <t>Anaheim (92801)</t>
  </si>
  <si>
    <t>Long Beach (90712)</t>
  </si>
  <si>
    <t>Santa Ana (92702)</t>
  </si>
  <si>
    <t>Compton (90220)</t>
  </si>
  <si>
    <t>Torrance (90248)</t>
  </si>
  <si>
    <t>Huntington Beach (90742)</t>
  </si>
  <si>
    <t>Westminster (92655)</t>
  </si>
  <si>
    <t>Fullerton (92832)</t>
  </si>
  <si>
    <t>Cypress (90630)</t>
  </si>
  <si>
    <t>Hawthorne (90250)</t>
  </si>
  <si>
    <t>Culver City (90066)</t>
  </si>
  <si>
    <t>Beverly Hills (90035)</t>
  </si>
  <si>
    <t>West Hollywood (90046)</t>
  </si>
  <si>
    <t>Silverlake (90026 )</t>
  </si>
  <si>
    <t>Vehicle Price:</t>
  </si>
  <si>
    <t>Vehicle Price</t>
  </si>
  <si>
    <t>Vehicle Price Factor</t>
  </si>
  <si>
    <t>$0-$4,999</t>
  </si>
  <si>
    <t>$5,000-$14,999</t>
  </si>
  <si>
    <t>$15,000-$24,999</t>
  </si>
  <si>
    <t>$25,000-$44,999</t>
  </si>
  <si>
    <t>$45,000-$84,999</t>
  </si>
  <si>
    <t>$85,000-$149,999</t>
  </si>
  <si>
    <t>$150,000+</t>
  </si>
  <si>
    <t>Exotic Car</t>
  </si>
  <si>
    <t>Exotic Car Factor</t>
  </si>
  <si>
    <t>Yes</t>
  </si>
  <si>
    <t>Exotic Car:</t>
  </si>
  <si>
    <t>Difficult Parts</t>
  </si>
  <si>
    <t>Difficult Parts Factor</t>
  </si>
  <si>
    <t>High Theft Rate:</t>
  </si>
  <si>
    <t>High Theft Rate</t>
  </si>
  <si>
    <t>High Theft Rate Factor</t>
  </si>
  <si>
    <t>Advanced Safety Features:</t>
  </si>
  <si>
    <t>Advanced Safety Features</t>
  </si>
  <si>
    <t>Advanced Safety Features Factor</t>
  </si>
  <si>
    <t>Coverage:</t>
  </si>
  <si>
    <t>Coverage</t>
  </si>
  <si>
    <t>Base Rate</t>
  </si>
  <si>
    <t>Liability</t>
  </si>
  <si>
    <t>Collision</t>
  </si>
  <si>
    <t>Comprehensive</t>
  </si>
  <si>
    <t>Uninsured Motorist</t>
  </si>
  <si>
    <t>Rental Car Reinbursement</t>
  </si>
  <si>
    <t>Deductible:</t>
  </si>
  <si>
    <t>Deductible</t>
  </si>
  <si>
    <t>Deductible Factor</t>
  </si>
  <si>
    <t>Yes (Low)</t>
  </si>
  <si>
    <t>Yes (Medium)</t>
  </si>
  <si>
    <t>Yes (High)</t>
  </si>
  <si>
    <t>Coverage Limit:</t>
  </si>
  <si>
    <t>Coverage Limit</t>
  </si>
  <si>
    <t>Coverage Limit Factor</t>
  </si>
  <si>
    <t>Discounts:</t>
  </si>
  <si>
    <t>Discount</t>
  </si>
  <si>
    <t>Discount Factor</t>
  </si>
  <si>
    <t>Good Student</t>
  </si>
  <si>
    <t>Good Driver</t>
  </si>
  <si>
    <t>Multi Policy</t>
  </si>
  <si>
    <t>Loyal Customer</t>
  </si>
  <si>
    <t>Organization</t>
  </si>
  <si>
    <t>PolicyID</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</si>
  <si>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</si>
  <si>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</si>
  <si>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</si>
  <si>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</si>
  <si>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</si>
  <si>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</si>
  <si>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</si>
  <si>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</si>
  <si>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</si>
  <si>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</si>
  <si>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</si>
  <si>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</si>
  <si>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</si>
  <si>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</si>
  <si>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</si>
  <si>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</si>
  <si>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</si>
  <si>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</si>
  <si>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</si>
  <si>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</si>
  <si>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</si>
  <si>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</si>
  <si>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</si>
  <si>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</si>
  <si>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</si>
  <si>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</si>
  <si>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</si>
  <si>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</si>
  <si>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</si>
  <si>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</si>
  <si>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</si>
  <si>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</si>
  <si>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</si>
  <si>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</si>
  <si>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</si>
  <si>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</si>
  <si>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</si>
  <si>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</si>
  <si>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</si>
  <si>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</si>
  <si>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</si>
  <si>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</si>
  <si>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</si>
  <si>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</si>
  <si>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</si>
  <si>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</si>
  <si>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</si>
  <si>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</si>
  <si>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</si>
  <si>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</si>
  <si>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</si>
  <si>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</si>
  <si>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</si>
  <si>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</si>
  <si>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</si>
  <si>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</si>
  <si>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</si>
  <si>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</si>
  <si>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</si>
  <si>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</si>
  <si>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</si>
  <si>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</si>
  <si>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</si>
  <si>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</si>
  <si>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</si>
  <si>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</si>
  <si>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</si>
  <si>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</si>
  <si>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</si>
  <si>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</si>
  <si>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</si>
  <si>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</si>
  <si>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</si>
  <si>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</si>
  <si>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</si>
  <si>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</si>
  <si>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</si>
  <si>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</si>
  <si>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</si>
  <si>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</si>
  <si>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</si>
  <si>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</si>
  <si>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</si>
  <si>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</si>
  <si>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</si>
  <si>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</si>
  <si>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</si>
  <si>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</si>
  <si>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</si>
  <si>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</si>
  <si>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</si>
  <si>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</si>
  <si>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</si>
  <si>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</si>
  <si>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</si>
  <si>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</si>
  <si>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</si>
  <si>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</si>
  <si>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</si>
  <si>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</si>
  <si>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</si>
  <si>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</si>
  <si>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</si>
  <si>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</si>
  <si>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</si>
  <si>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</si>
  <si>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</si>
  <si>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</si>
  <si>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</si>
  <si>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</si>
  <si>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</si>
  <si>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</si>
  <si>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</si>
  <si>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</si>
  <si>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</si>
  <si>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</si>
  <si>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</si>
  <si>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</si>
  <si>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</si>
  <si>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</si>
  <si>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</si>
  <si>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</si>
  <si>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</si>
  <si>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</si>
  <si>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</si>
  <si>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</si>
  <si>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</si>
  <si>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</si>
  <si>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</si>
  <si>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</si>
  <si>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</si>
  <si>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</si>
  <si>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</si>
  <si>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</si>
  <si>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</si>
  <si>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</si>
  <si>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</si>
  <si>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</si>
  <si>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</si>
  <si>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</si>
  <si>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</si>
  <si>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</si>
  <si>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</si>
  <si>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</si>
  <si>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</si>
  <si>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</si>
  <si>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</si>
  <si>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</si>
  <si>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</si>
  <si>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</si>
  <si>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</si>
  <si>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</si>
  <si>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</si>
  <si>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</si>
  <si>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</si>
  <si>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</si>
  <si>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</si>
  <si>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</si>
  <si>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</si>
  <si>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</si>
  <si>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</si>
  <si>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</si>
  <si>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</si>
  <si>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</si>
  <si>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</si>
  <si>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</si>
  <si>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</si>
  <si>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</si>
  <si>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</si>
  <si>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</si>
  <si>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</si>
  <si>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</si>
  <si>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</si>
  <si>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</si>
  <si>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</si>
  <si>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</si>
  <si>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</si>
  <si>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</si>
  <si>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</si>
  <si>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</si>
  <si>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</si>
  <si>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</si>
  <si>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</si>
  <si>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</si>
  <si>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</si>
  <si>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</si>
  <si>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</si>
  <si>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</si>
  <si>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</si>
  <si>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</si>
  <si>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</si>
  <si>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</si>
  <si>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</si>
  <si>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</si>
  <si>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</si>
  <si>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</si>
  <si>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</si>
  <si>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</si>
  <si>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</si>
  <si>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</si>
  <si>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</si>
  <si>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</si>
  <si>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</si>
  <si>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</si>
  <si>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</si>
  <si>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</si>
  <si>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</si>
  <si>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</si>
  <si>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</si>
  <si>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</si>
  <si>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</si>
  <si>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</si>
  <si>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</si>
  <si>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</si>
  <si>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</si>
  <si>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</si>
  <si>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</si>
  <si>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</si>
  <si>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</si>
  <si>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</si>
  <si>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</si>
  <si>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</si>
  <si>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</si>
  <si>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</si>
  <si>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</si>
  <si>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</si>
  <si>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</si>
  <si>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</si>
  <si>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</si>
  <si>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</si>
  <si>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</si>
  <si>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</si>
  <si>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</si>
  <si>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</si>
  <si>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</si>
  <si>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</si>
  <si>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</si>
  <si>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</si>
  <si>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</si>
  <si>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</si>
  <si>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</si>
  <si>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</si>
  <si>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</si>
  <si>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</si>
  <si>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</si>
  <si>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</si>
  <si>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</si>
  <si>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</si>
  <si>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</si>
  <si>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</si>
  <si>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</si>
  <si>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</si>
  <si>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</si>
  <si>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</si>
  <si>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</si>
  <si>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</si>
  <si>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</si>
  <si>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</si>
  <si>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</si>
  <si>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</si>
  <si>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</si>
  <si>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</si>
  <si>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</si>
  <si>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</si>
  <si>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</si>
  <si>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</si>
  <si>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</si>
  <si>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</si>
  <si>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</si>
  <si>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</si>
  <si>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</si>
  <si>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</si>
  <si>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</si>
  <si>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</si>
  <si>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</si>
  <si>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</si>
  <si>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</si>
  <si>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</si>
  <si>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</si>
  <si>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</si>
  <si>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</si>
  <si>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</si>
  <si>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</si>
  <si>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</si>
  <si>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</si>
  <si>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</si>
  <si>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</si>
  <si>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</si>
  <si>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</si>
  <si>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</si>
  <si>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</si>
  <si>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</si>
  <si>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</si>
  <si>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</si>
  <si>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</si>
  <si>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</si>
  <si>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</si>
  <si>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</si>
  <si>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</si>
  <si>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</si>
  <si>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</si>
  <si>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</si>
  <si>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</si>
  <si>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</si>
  <si>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</si>
  <si>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</si>
  <si>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</si>
  <si>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</si>
  <si>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</si>
  <si>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</si>
  <si>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</si>
  <si>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</si>
  <si>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</si>
  <si>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</si>
  <si>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</si>
  <si>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</si>
  <si>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</si>
  <si>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</si>
  <si>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</si>
  <si>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</si>
  <si>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</si>
  <si>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</si>
  <si>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</si>
  <si>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</si>
  <si>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</si>
  <si>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</si>
  <si>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</si>
  <si>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</si>
  <si>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</si>
  <si>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</si>
  <si>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</si>
  <si>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</si>
  <si>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</si>
  <si>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</si>
  <si>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</si>
  <si>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</si>
  <si>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</si>
  <si>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</si>
  <si>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</si>
  <si>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</si>
  <si>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</si>
  <si>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</si>
  <si>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</si>
  <si>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</si>
  <si>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</si>
  <si>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</si>
  <si>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</si>
  <si>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</si>
  <si>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</si>
  <si>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</si>
  <si>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</si>
  <si>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</si>
  <si>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</si>
  <si>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</si>
  <si>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</si>
  <si>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</si>
  <si>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</si>
  <si>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</si>
  <si>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</si>
  <si>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</si>
  <si>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</si>
  <si>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</si>
  <si>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</si>
  <si>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</si>
  <si>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</si>
  <si>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</si>
  <si>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</si>
  <si>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</si>
  <si>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</si>
  <si>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</si>
  <si>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</si>
  <si>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</si>
  <si>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</si>
  <si>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</si>
  <si>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</si>
  <si>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</si>
  <si>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</si>
  <si>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</si>
  <si>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</si>
  <si>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</si>
  <si>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</si>
  <si>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</si>
  <si>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</si>
  <si>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</si>
  <si>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</si>
  <si>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</si>
  <si>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</si>
  <si>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</si>
  <si>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</si>
  <si>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</si>
  <si>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</si>
  <si>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</si>
  <si>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</si>
  <si>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</si>
  <si>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</si>
  <si>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</si>
  <si>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</si>
  <si>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</si>
  <si>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</si>
  <si>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</si>
  <si>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</si>
  <si>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</si>
  <si>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</si>
  <si>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</si>
  <si>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</si>
  <si>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</si>
  <si>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</si>
  <si>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</si>
  <si>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</si>
  <si>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</si>
  <si>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</si>
  <si>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</si>
  <si>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</si>
  <si>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</si>
  <si>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</si>
  <si>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</si>
  <si>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</si>
  <si>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</si>
  <si>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</si>
  <si>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</si>
  <si>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</si>
  <si>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</si>
  <si>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</si>
  <si>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</si>
  <si>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</si>
  <si>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</si>
  <si>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</si>
  <si>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</si>
  <si>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</si>
  <si>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</si>
  <si>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</si>
  <si>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</si>
  <si>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</si>
  <si>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</si>
  <si>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</si>
  <si>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</si>
  <si>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</si>
  <si>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</si>
  <si>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</si>
  <si>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</si>
  <si>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</si>
  <si>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</si>
  <si>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</si>
  <si>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</si>
  <si>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</si>
  <si>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</si>
  <si>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</si>
  <si>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</si>
  <si>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</si>
  <si>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</si>
  <si>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</si>
  <si>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</si>
  <si>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</si>
  <si>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</si>
  <si>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</si>
  <si>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</si>
  <si>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</si>
  <si>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</si>
  <si>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</si>
  <si>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</si>
  <si>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</si>
  <si>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</si>
  <si>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</si>
  <si>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</si>
  <si>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</si>
  <si>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</si>
  <si>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</si>
  <si>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</si>
  <si>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</si>
  <si>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</si>
  <si>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</si>
  <si>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</si>
  <si>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</si>
  <si>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</si>
  <si>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</si>
  <si>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</si>
  <si>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</si>
  <si>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</si>
  <si>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</si>
  <si>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</si>
  <si>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</si>
  <si>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</si>
  <si>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</si>
  <si>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</si>
  <si>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</si>
  <si>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</si>
  <si>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</si>
  <si>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</si>
  <si>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</si>
  <si>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</si>
  <si>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</si>
  <si>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</si>
  <si>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</si>
  <si>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</si>
  <si>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</si>
  <si>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</si>
  <si>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</si>
  <si>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</si>
  <si>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</si>
  <si>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</si>
  <si>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</si>
  <si>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</si>
  <si>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</si>
  <si>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</si>
  <si>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</si>
  <si>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</si>
  <si>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</si>
  <si>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</si>
  <si>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</si>
  <si>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</si>
  <si>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</si>
  <si>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</si>
  <si>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</si>
  <si>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</si>
  <si>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</si>
  <si>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</si>
  <si>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</si>
  <si>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</si>
  <si>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</si>
  <si>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</si>
  <si>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</si>
  <si>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</si>
  <si>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</si>
  <si>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</si>
  <si>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</si>
  <si>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</si>
  <si>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</si>
  <si>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</si>
  <si>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</si>
  <si>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</si>
  <si>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</si>
  <si>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</si>
  <si>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</si>
  <si>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</si>
  <si>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</si>
  <si>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</si>
  <si>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</si>
  <si>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</si>
  <si>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</si>
  <si>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</si>
  <si>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</si>
  <si>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</si>
  <si>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</si>
  <si>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</si>
  <si>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</si>
  <si>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</si>
  <si>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</si>
  <si>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</si>
  <si>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</si>
  <si>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</si>
  <si>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</si>
  <si>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</si>
  <si>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</si>
  <si>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</si>
  <si>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</si>
  <si>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</si>
  <si>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</si>
  <si>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</si>
  <si>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</si>
  <si>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</si>
  <si>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</si>
  <si>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</si>
  <si>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</si>
  <si>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</si>
  <si>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</si>
  <si>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</si>
  <si>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</si>
  <si>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</si>
  <si>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</si>
  <si>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</si>
  <si>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</si>
  <si>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</si>
  <si>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</si>
  <si>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</si>
  <si>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</si>
  <si>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</si>
  <si>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</si>
  <si>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</si>
  <si>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</si>
  <si>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</si>
  <si>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</si>
  <si>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</si>
  <si>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</si>
  <si>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</si>
  <si>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</si>
  <si>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</si>
  <si>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</si>
  <si>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</si>
  <si>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</si>
  <si>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</si>
  <si>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</si>
  <si>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</si>
  <si>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</si>
  <si>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</si>
  <si>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</si>
  <si>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</si>
  <si>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</si>
  <si>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</si>
  <si>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</si>
  <si>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</si>
  <si>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</si>
  <si>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</si>
  <si>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</si>
  <si>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</si>
  <si>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</si>
  <si>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</si>
  <si>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</si>
  <si>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</si>
  <si>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</si>
  <si>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</si>
  <si>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</si>
  <si>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</si>
  <si>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</si>
  <si>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</si>
  <si>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</si>
  <si>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</si>
  <si>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</si>
  <si>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</si>
  <si>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</si>
  <si>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</si>
  <si>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</si>
  <si>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</si>
  <si>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</si>
  <si>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</si>
  <si>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</si>
  <si>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</si>
  <si>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</si>
  <si>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</si>
  <si>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</si>
  <si>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</si>
  <si>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</si>
  <si>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</si>
  <si>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</si>
  <si>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</si>
  <si>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</si>
  <si>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</si>
  <si>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</si>
  <si>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</si>
  <si>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</si>
  <si>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</si>
  <si>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</si>
  <si>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</si>
  <si>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</si>
  <si>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</si>
  <si>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</si>
  <si>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</si>
  <si>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</si>
  <si>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</si>
  <si>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</si>
  <si>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</si>
  <si>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</si>
  <si>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</si>
  <si>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</si>
  <si>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</si>
  <si>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</si>
  <si>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</si>
  <si>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</si>
  <si>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</si>
  <si>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</si>
  <si>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</si>
  <si>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</si>
  <si>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</si>
  <si>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</si>
  <si>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</si>
  <si>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</si>
  <si>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</si>
  <si>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</si>
  <si>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</si>
  <si>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</si>
  <si>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</si>
  <si>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</si>
  <si>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</si>
  <si>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</si>
  <si>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</si>
  <si>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</si>
  <si>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</si>
  <si>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</si>
  <si>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</si>
  <si>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</si>
  <si>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</si>
  <si>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</si>
  <si>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</si>
  <si>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</si>
  <si>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</si>
  <si>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</si>
  <si>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</si>
  <si>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</si>
  <si>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</si>
  <si>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</si>
  <si>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</si>
  <si>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</si>
  <si>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</si>
  <si>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</si>
  <si>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</si>
  <si>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</si>
  <si>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</si>
  <si>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</si>
  <si>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</si>
  <si>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</si>
  <si>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</si>
  <si>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</si>
  <si>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</si>
  <si>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</si>
  <si>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</si>
  <si>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</si>
  <si>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</si>
  <si>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</si>
  <si>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</si>
  <si>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</si>
  <si>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</si>
  <si>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</si>
  <si>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</si>
  <si>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</si>
  <si>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</si>
  <si>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</si>
  <si>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</si>
  <si>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</si>
  <si>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</si>
  <si>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</si>
  <si>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</si>
  <si>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</si>
  <si>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</si>
  <si>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</si>
  <si>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</si>
  <si>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</si>
  <si>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</si>
  <si>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</si>
  <si>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</si>
  <si>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</si>
  <si>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</si>
  <si>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</si>
  <si>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</si>
  <si>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</si>
  <si>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</si>
  <si>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</si>
  <si>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</si>
  <si>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</si>
  <si>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</si>
  <si>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</si>
  <si>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</si>
  <si>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</si>
  <si>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</si>
  <si>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</si>
  <si>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</si>
  <si>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</si>
  <si>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</si>
  <si>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</si>
  <si>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</si>
  <si>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</si>
  <si>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</si>
  <si>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</si>
  <si>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</si>
  <si>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</si>
  <si>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</si>
  <si>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</si>
  <si>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</si>
  <si>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</si>
  <si>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</si>
  <si>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</si>
  <si>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</si>
  <si>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</si>
  <si>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</si>
  <si>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</si>
  <si>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</si>
  <si>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</si>
  <si>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</si>
  <si>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</si>
  <si>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</si>
  <si>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</si>
  <si>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</si>
  <si>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</si>
  <si>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</si>
  <si>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</si>
  <si>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</si>
  <si>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</si>
  <si>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</si>
  <si>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</si>
  <si>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</si>
  <si>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</si>
  <si>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</si>
  <si>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</si>
  <si>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</si>
  <si>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</si>
  <si>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</si>
  <si>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</si>
  <si>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</si>
  <si>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</si>
  <si>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</si>
  <si>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</si>
  <si>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</si>
  <si>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</si>
  <si>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</si>
  <si>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</si>
  <si>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</si>
  <si>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</si>
  <si>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</si>
  <si>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</si>
  <si>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</si>
  <si>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</si>
  <si>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</si>
  <si>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</si>
  <si>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</si>
  <si>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</si>
  <si>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</si>
  <si>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</si>
  <si>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</si>
  <si>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</si>
  <si>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</si>
  <si>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</si>
  <si>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</si>
  <si>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</si>
  <si>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</si>
  <si>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</si>
  <si>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</si>
  <si>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</si>
  <si>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</si>
  <si>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</si>
  <si>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</si>
  <si>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</si>
  <si>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</si>
  <si>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</si>
  <si>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</si>
  <si>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</si>
  <si>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</si>
  <si>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</si>
  <si>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</si>
  <si>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</si>
  <si>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</si>
  <si>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</si>
  <si>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</si>
  <si>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</si>
  <si>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</si>
  <si>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</si>
  <si>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</si>
  <si>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</si>
  <si>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</si>
  <si>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</si>
  <si>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</si>
  <si>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</si>
  <si>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</si>
  <si>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</si>
  <si>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</si>
  <si>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</si>
  <si>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</si>
  <si>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</si>
  <si>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</si>
  <si>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</si>
  <si>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</si>
  <si>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</si>
  <si>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</si>
  <si>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</si>
  <si>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</si>
  <si>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</si>
  <si>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</si>
  <si>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</si>
  <si>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</si>
  <si>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</si>
  <si>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</si>
  <si>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</si>
  <si>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</si>
  <si>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</si>
  <si>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</si>
  <si>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</si>
  <si>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</si>
  <si>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</si>
  <si>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</si>
  <si>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</si>
  <si>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</si>
  <si>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</si>
  <si>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</si>
  <si>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</si>
  <si>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</si>
  <si>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</si>
  <si>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</si>
  <si>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</si>
  <si>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</si>
  <si>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</si>
  <si>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</si>
  <si>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</si>
  <si>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</si>
  <si>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</si>
  <si>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</si>
  <si>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</si>
  <si>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</si>
  <si>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</si>
  <si>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</si>
  <si>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</si>
  <si>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</si>
  <si>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</si>
  <si>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</si>
  <si>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</si>
  <si>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</si>
  <si>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</si>
  <si>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</si>
  <si>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</si>
  <si>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</si>
  <si>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</si>
  <si>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</si>
  <si>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</si>
  <si>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</si>
  <si>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</si>
  <si>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</si>
  <si>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</si>
  <si>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</si>
  <si>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</si>
  <si>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</si>
  <si>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</si>
  <si>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</si>
  <si>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</si>
  <si>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</si>
  <si>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</si>
  <si>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</si>
  <si>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</si>
  <si>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</si>
  <si>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</si>
  <si>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</si>
  <si>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</si>
  <si>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</si>
  <si>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</si>
  <si>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</si>
  <si>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</si>
  <si>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</si>
  <si>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</si>
  <si>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</si>
  <si>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</si>
  <si>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</si>
  <si>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</si>
  <si>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</si>
  <si>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</si>
  <si>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</si>
  <si>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</si>
  <si>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</si>
  <si>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</si>
  <si>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</si>
  <si>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</si>
  <si>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</si>
  <si>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</si>
  <si>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</si>
  <si>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</si>
  <si>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</si>
  <si>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</si>
  <si>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</si>
  <si>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</si>
  <si>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</si>
  <si>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</si>
  <si>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</si>
  <si>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</si>
  <si>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</si>
  <si>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</si>
  <si>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</si>
  <si>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</si>
  <si>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</si>
  <si>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</si>
  <si>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</si>
  <si>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</si>
  <si>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</si>
  <si>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</si>
  <si>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</si>
  <si>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</si>
  <si>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</si>
  <si>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</si>
  <si>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</si>
  <si>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</si>
  <si>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</si>
  <si>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</si>
  <si>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</si>
  <si>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</si>
  <si>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</si>
  <si>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</si>
  <si>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</si>
  <si>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</si>
  <si>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</si>
  <si>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</si>
  <si>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</si>
  <si>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</si>
  <si>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</si>
  <si>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</si>
  <si>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</si>
  <si>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</si>
  <si>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</si>
  <si>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</si>
  <si>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</si>
  <si>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</si>
  <si>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</si>
  <si>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</si>
  <si>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</si>
  <si>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</si>
  <si>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</si>
  <si>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</si>
  <si>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</si>
  <si>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</si>
  <si>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</si>
  <si>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</si>
  <si>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</si>
  <si>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</si>
  <si>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</si>
  <si>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</si>
  <si>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</si>
  <si>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</si>
  <si>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</si>
  <si>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Rate Change:</t>
  </si>
  <si>
    <t>Age:</t>
  </si>
  <si>
    <t>Ageband</t>
  </si>
  <si>
    <t>Ageband Factor</t>
  </si>
  <si>
    <t>16-24</t>
  </si>
  <si>
    <t>25-34</t>
  </si>
  <si>
    <t>35-44</t>
  </si>
  <si>
    <t>45-54</t>
  </si>
  <si>
    <t>55-64</t>
  </si>
  <si>
    <t>65+</t>
  </si>
  <si>
    <t>8+</t>
  </si>
  <si>
    <t>Effective Date</t>
  </si>
  <si>
    <t>Rate Change Factor</t>
  </si>
  <si>
    <t>0-4,999</t>
  </si>
  <si>
    <t>5,000-8,499</t>
  </si>
  <si>
    <t>8,500-13,499</t>
  </si>
  <si>
    <t>13,500-16,999</t>
  </si>
  <si>
    <t>17,000+</t>
  </si>
  <si>
    <t>Difficult Parts:</t>
  </si>
  <si>
    <t>Deductible Applies</t>
  </si>
  <si>
    <t>Coverage Limit Applies</t>
  </si>
  <si>
    <t>Good Student Discount</t>
  </si>
  <si>
    <t>Good Driver Discount</t>
  </si>
  <si>
    <t>Multi Policy Discount</t>
  </si>
  <si>
    <t>Loyal Customer Discount</t>
  </si>
  <si>
    <t>Organization Discount</t>
  </si>
  <si>
    <t>At Fault Accidents Factor</t>
  </si>
  <si>
    <t>Usage Based Insurance Factor</t>
  </si>
  <si>
    <t>City/ Zip Code Factor</t>
  </si>
  <si>
    <t>Good Student Factor</t>
  </si>
  <si>
    <t>Good Driver Factor</t>
  </si>
  <si>
    <t>Multi Policy Factor</t>
  </si>
  <si>
    <t>Loyal Customer Factor</t>
  </si>
  <si>
    <t>Organization Factor</t>
  </si>
  <si>
    <t>System-Generated Premium</t>
  </si>
  <si>
    <t>Expected Premium</t>
  </si>
  <si>
    <t>Difference</t>
  </si>
  <si>
    <t>PASS/FAIL</t>
  </si>
  <si>
    <t>Absolute Difference</t>
  </si>
  <si>
    <t>Likely Issue</t>
  </si>
  <si>
    <t>Rate Change Factor not applied</t>
  </si>
  <si>
    <t>Row Labels</t>
  </si>
  <si>
    <t>Grand Total</t>
  </si>
  <si>
    <t>No Issue</t>
  </si>
  <si>
    <t>Count of Likely Issue</t>
  </si>
  <si>
    <t>Good Driver Factor not applied</t>
  </si>
  <si>
    <t>Advanced Safety Features Factor not applied</t>
  </si>
  <si>
    <t>Loyal Customer Factor not applied</t>
  </si>
  <si>
    <t>Ageband Factor not applied</t>
  </si>
  <si>
    <t>At Fault Accidents Factor not applied</t>
  </si>
  <si>
    <t>Vehicle Price Factor not applied</t>
  </si>
  <si>
    <t>City/Zip Code Factor not applied</t>
  </si>
  <si>
    <t>Usage Based Insurance Factor not applied</t>
  </si>
  <si>
    <t>Yearly Miles Factor not applied</t>
  </si>
  <si>
    <t>Sum of Difference</t>
  </si>
  <si>
    <t>Sum of Absolute Difference</t>
  </si>
  <si>
    <t>Percent of Test Cases</t>
  </si>
  <si>
    <t>Years Driving Factor not applied</t>
  </si>
  <si>
    <t>Metric</t>
  </si>
  <si>
    <t>Value</t>
  </si>
  <si>
    <t>Total Premium Difference</t>
  </si>
  <si>
    <t>Total Test Cases</t>
  </si>
  <si>
    <t>Total Passed</t>
  </si>
  <si>
    <t>Total Failed</t>
  </si>
  <si>
    <t>Pass Rate</t>
  </si>
  <si>
    <t>Average Premium Difference</t>
  </si>
  <si>
    <t>Total Absolute Difference</t>
  </si>
  <si>
    <t>Average Absolute Difference</t>
  </si>
  <si>
    <t>Cases After Rate Change</t>
  </si>
  <si>
    <t>Passed Cases After Rate Change</t>
  </si>
  <si>
    <t>Pass Rate after Rate Change</t>
  </si>
  <si>
    <t>Issue ID</t>
  </si>
  <si>
    <t>Policy ID</t>
  </si>
  <si>
    <t>Issue Category</t>
  </si>
  <si>
    <t>Recommended Action</t>
  </si>
  <si>
    <t>Status</t>
  </si>
  <si>
    <t>ISS-001</t>
  </si>
  <si>
    <t>ISS-002</t>
  </si>
  <si>
    <t>ISS-003</t>
  </si>
  <si>
    <t>ISS-004</t>
  </si>
  <si>
    <t>ISS-005</t>
  </si>
  <si>
    <t>ISS-006</t>
  </si>
  <si>
    <t>ISS-007</t>
  </si>
  <si>
    <t>ISS-008</t>
  </si>
  <si>
    <t>ISS-009</t>
  </si>
  <si>
    <t>ISS-010</t>
  </si>
  <si>
    <t>ISS-011</t>
  </si>
  <si>
    <t>ISS-012</t>
  </si>
  <si>
    <t>ISS-013</t>
  </si>
  <si>
    <t>ISS-014</t>
  </si>
  <si>
    <t>ISS-015</t>
  </si>
  <si>
    <t>ISS-016</t>
  </si>
  <si>
    <t>ISS-017</t>
  </si>
  <si>
    <t>ISS-018</t>
  </si>
  <si>
    <t>ISS-019</t>
  </si>
  <si>
    <t>ISS-020</t>
  </si>
  <si>
    <t>ISS-021</t>
  </si>
  <si>
    <t>ISS-022</t>
  </si>
  <si>
    <t>ISS-023</t>
  </si>
  <si>
    <t>ISS-024</t>
  </si>
  <si>
    <t>ISS-025</t>
  </si>
  <si>
    <t>ISS-026</t>
  </si>
  <si>
    <t>ISS-027</t>
  </si>
  <si>
    <t>ISS-028</t>
  </si>
  <si>
    <t>ISS-029</t>
  </si>
  <si>
    <t>ISS-030</t>
  </si>
  <si>
    <t>ISS-031</t>
  </si>
  <si>
    <t>ISS-032</t>
  </si>
  <si>
    <t>ISS-033</t>
  </si>
  <si>
    <t>ISS-034</t>
  </si>
  <si>
    <t>ISS-035</t>
  </si>
  <si>
    <t>ISS-036</t>
  </si>
  <si>
    <t>ISS-037</t>
  </si>
  <si>
    <t>ISS-038</t>
  </si>
  <si>
    <t>ISS-039</t>
  </si>
  <si>
    <t>System Premium</t>
  </si>
  <si>
    <t>UNRESOLVED</t>
  </si>
  <si>
    <t>Overview:</t>
  </si>
  <si>
    <t>Project: Insurance Product Rules Testing and Premium Validation Project</t>
  </si>
  <si>
    <t>An Excel project that tests premium calculations across 1,000 synthetic auto insurance policies.</t>
  </si>
  <si>
    <t>This project simulates the process of testing an auto insurance rating system in Excel.</t>
  </si>
  <si>
    <t>I first created a rate book containing coverage base rates and the different factors that could affect a policy’s premium. These included the driver’s age, years of driving experience, accident history, annual mileage, location, vehicle value and characteristics, coverage selections, deductibles, limits, discounts, and a rate change that takes effect on January 1, 2026.</t>
  </si>
  <si>
    <t>I then created 1,000 test policies with different combinations of these characteristics and coverage selections.</t>
  </si>
  <si>
    <t>The Test Cases tab contains the original test population. Those policies are carried into the Premium Validation tab, where the applicable base rate and rating factors are added. The workbook then calculates an expected premium for each policy and compares it with a simulated system-generated premium.</t>
  </si>
  <si>
    <t>Each test case receives a PASS or FAIL result based on the difference between the two premiums. The workbook also identifies the factor that was most likely applied incorrectly when a policy fails.</t>
  </si>
  <si>
    <t>The QA Summary shows the overall testing results and breaks down the failed cases by likely cause. The Issue Log contains all 39 failed cases, along with the system premium, expected premium, difference, likely issue, recommended action, and current status.</t>
  </si>
  <si>
    <t>All policies, rating factors, premiums, system results, and issues in this project are synthetic. They were created for educational and portfolio purposes and do not represent the actual rates or pricing methods of  any other insurance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</si>
</sst>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4" formatCode="_(&quot;$&quot;* #,##0.00_);_(&quot;$&quot;* \(#,##0.00\);_(&quot;$&quot;* &quot;-&quot;??_);_(@_)"/>
    <numFmt numFmtId="164" formatCode="&quot;$&quot;#,##0.00"/>
    <numFmt numFmtId="165" formatCode="0.0%"/>
  </numFmts>
  <fonts count="1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sz val="22"/>
      <color theme="1"/>
      <name val="Aptos Narrow"/>
      <family val="2"/>
      <scheme val="minor"/>
    </font>
    <font>
      <b/>
      <u val="double"/>
      <sz val="26"/>
      <color theme="1"/>
      <name val="Aptos Narrow"/>
      <family val="2"/>
      <scheme val="minor"/>
    </font>
    <font>
      <u val="double"/>
      <sz val="11"/>
      <color theme="1"/>
      <name val="Aptos Narrow"/>
      <family val="2"/>
      <scheme val="minor"/>
    </font>
    <font>
      <sz val="20"/>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4"/>
        <bgColor theme="4"/>
      </patternFill>
    </fill>
  </fills>
  <borders count="13">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2">
    <xf numFmtId="0" fontId="0" fillId="0" borderId="0" xfId="0"/>
    <xf numFmtId="0" fontId="2" fillId="2" borderId="1" xfId="0" applyFont="1" applyFill="1" applyBorder="1"/>
    <xf numFmtId="0" fontId="2" fillId="2" borderId="2" xfId="0" applyFont="1" applyFill="1" applyBorder="1"/>
    <xf numFmtId="0" fontId="0" fillId="0" borderId="0" xfId="0" applyAlignment="1">
      <alignment horizontal="right"/>
    </xf>
    <xf numFmtId="0" fontId="3" fillId="0" borderId="0" xfId="0" applyFont="1"/>
    <xf numFmtId="6" fontId="0" fillId="0" borderId="0" xfId="0" applyNumberFormat="1"/>
    <xf numFmtId="0" fontId="2" fillId="2" borderId="3" xfId="0" applyFont="1" applyFill="1" applyBorder="1"/>
    <xf numFmtId="14" fontId="0" fillId="0" borderId="0" xfId="0" applyNumberFormat="1"/>
    <xf numFmtId="0" fontId="0" fillId="0" borderId="4" xfId="0" applyBorder="1"/>
    <xf numFmtId="164" fontId="0" fillId="0" borderId="0" xfId="0" applyNumberFormat="1"/>
    <xf numFmtId="164" fontId="3" fillId="0" borderId="0" xfId="0" applyNumberFormat="1" applyFont="1"/>
    <xf numFmtId="164" fontId="3" fillId="0" borderId="4" xfId="0" applyNumberFormat="1" applyFont="1" applyBorder="1"/>
    <xf numFmtId="0" fontId="0" fillId="0" borderId="5" xfId="0" pivotButton="1" applyBorder="1"/>
    <xf numFmtId="0" fontId="0" fillId="0" borderId="6" xfId="0" applyBorder="1" applyAlignment="1">
      <alignment horizontal="left"/>
    </xf>
    <xf numFmtId="0" fontId="0" fillId="0" borderId="5" xfId="0" applyBorder="1" applyAlignment="1">
      <alignment horizontal="left"/>
    </xf>
    <xf numFmtId="0" fontId="0" fillId="0" borderId="5" xfId="0" applyBorder="1"/>
    <xf numFmtId="0" fontId="0" fillId="0" borderId="6" xfId="0" applyBorder="1"/>
    <xf numFmtId="165" fontId="0" fillId="0" borderId="6" xfId="0" applyNumberFormat="1" applyBorder="1"/>
    <xf numFmtId="10" fontId="0" fillId="0" borderId="5" xfId="0" applyNumberFormat="1" applyBorder="1"/>
    <xf numFmtId="164" fontId="0" fillId="0" borderId="6" xfId="0" applyNumberFormat="1" applyBorder="1"/>
    <xf numFmtId="164" fontId="0" fillId="0" borderId="5" xfId="0" applyNumberFormat="1" applyBorder="1"/>
    <xf numFmtId="0" fontId="0" fillId="0" borderId="7" xfId="0" applyBorder="1" applyAlignment="1">
      <alignment horizontal="left"/>
    </xf>
    <xf numFmtId="0" fontId="0" fillId="0" borderId="8" xfId="0" applyBorder="1" applyAlignment="1">
      <alignment horizontal="left"/>
    </xf>
    <xf numFmtId="0" fontId="0" fillId="0" borderId="7" xfId="0" applyBorder="1"/>
    <xf numFmtId="165" fontId="0" fillId="0" borderId="7" xfId="0" applyNumberFormat="1" applyBorder="1"/>
    <xf numFmtId="164" fontId="0" fillId="0" borderId="7" xfId="0" applyNumberForma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xf numFmtId="0" fontId="0" fillId="0" borderId="10" xfId="0" applyBorder="1"/>
    <xf numFmtId="0" fontId="0" fillId="0" borderId="0" xfId="0" applyBorder="1"/>
    <xf numFmtId="0" fontId="0" fillId="0" borderId="9" xfId="0" applyBorder="1"/>
    <xf numFmtId="0" fontId="0" fillId="0" borderId="11" xfId="0" applyBorder="1"/>
    <xf numFmtId="165" fontId="0" fillId="0" borderId="11" xfId="2" applyNumberFormat="1" applyFont="1" applyBorder="1"/>
    <xf numFmtId="164" fontId="0" fillId="0" borderId="11" xfId="1" applyNumberFormat="1" applyFont="1" applyBorder="1"/>
    <xf numFmtId="164" fontId="0" fillId="0" borderId="11" xfId="0" applyNumberFormat="1" applyBorder="1"/>
    <xf numFmtId="165" fontId="0" fillId="0" borderId="12" xfId="2" applyNumberFormat="1" applyFont="1" applyBorder="1"/>
    <xf numFmtId="0" fontId="8" fillId="0" borderId="0" xfId="0" applyFont="1" applyAlignment="1">
      <alignment horizontal="left" vertical="center" indent="1"/>
    </xf>
    <xf numFmtId="0" fontId="5" fillId="0" borderId="0" xfId="0" applyFont="1" applyAlignment="1">
      <alignment horizontal="left" vertical="center" wrapText="1"/>
    </xf>
    <xf numFmtId="0" fontId="5" fillId="0" borderId="0" xfId="0" quotePrefix="1" applyFont="1" applyAlignment="1">
      <alignment vertical="top" wrapText="1"/>
    </xf>
    <xf numFmtId="0" fontId="9" fillId="0" borderId="0" xfId="0" applyFont="1"/>
  </cellXfs>
  <cellStyles count="3">
    <cellStyle name="Currency" xfId="1" builtinId="4"/>
    <cellStyle name="Normal" xfId="0" builtinId="0"/>
    <cellStyle name="Percent" xfId="2" builtinId="5"/>
  </cellStyles>
  <dxfs count="91">
    <dxf>
      <font>
        <color rgb="FF006100"/>
      </font>
      <fill>
        <patternFill>
          <bgColor rgb="FFC6EFCE"/>
        </patternFill>
      </fill>
    </dxf>
    <dxf>
      <font>
        <color rgb="FF9C0006"/>
      </font>
      <fill>
        <patternFill>
          <bgColor rgb="FFFFC7CE"/>
        </patternFill>
      </fill>
    </dxf>
    <dxf>
      <border diagonalUp="0" diagonalDown="0">
        <left style="thin">
          <color indexed="64"/>
        </left>
        <right style="thin">
          <color indexed="64"/>
        </right>
        <vertical/>
      </border>
    </dxf>
    <dxf>
      <border diagonalUp="0" diagonalDown="0">
        <left style="thin">
          <color indexed="64"/>
        </left>
        <right style="thin">
          <color indexed="64"/>
        </right>
        <top style="thin">
          <color indexed="64"/>
        </top>
        <bottom style="thin">
          <color indexed="64"/>
        </bottom>
      </border>
    </dxf>
    <dxf>
      <border diagonalUp="0" diagonalDown="0">
        <left/>
        <right/>
        <top/>
        <bottom/>
        <vertical/>
        <horizontal/>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
    </dxf>
    <dxf>
      <numFmt numFmtId="164" formatCode="&quot;$&quot;#,##0.00"/>
    </dxf>
    <dxf>
      <numFmt numFmtId="164" formatCode="&quot;$&quot;#,##0.00"/>
    </dxf>
    <dxf>
      <numFmt numFmtId="0" formatCode="General"/>
    </dxf>
    <dxf>
      <numFmt numFmtId="164" formatCode="&quot;$&quot;#,##0.00"/>
    </dxf>
    <dxf>
      <font>
        <b/>
      </font>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numFmt numFmtId="164" formatCode="&quot;$&quot;#,##0.00"/>
      <border diagonalUp="0" diagonalDown="0" outline="0">
        <left/>
        <right style="thick">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y Quinones" refreshedDate="46149.72418020833" createdVersion="8" refreshedVersion="8" minRefreshableVersion="3" recordCount="1000" xr:uid="{7EFB5E2E-5669-428C-93D9-9C84FB1757CF}">
  <cacheSource type="worksheet">
    <worksheetSource name="Table1820"/>
  </cacheSource>
  <cacheFields count="49">
    <cacheField name="PolicyID" numFmtId="0">
      <sharedItems/>
    </cacheField>
    <cacheField name="Effective Date" numFmtId="14">
      <sharedItems containsSemiMixedTypes="0" containsNonDate="0" containsDate="1" containsString="0" minDate="2025-05-01T00:00:00" maxDate="2026-05-02T00:00:00"/>
    </cacheField>
    <cacheField name="Coverage" numFmtId="0">
      <sharedItems/>
    </cacheField>
    <cacheField name="Ageband" numFmtId="0">
      <sharedItems/>
    </cacheField>
    <cacheField name="Years Driving" numFmtId="0">
      <sharedItems containsMixedTypes="1" containsNumber="1" containsInteger="1" minValue="1" maxValue="7"/>
    </cacheField>
    <cacheField name="At Fault Accidents" numFmtId="0">
      <sharedItems containsMixedTypes="1" containsNumber="1" containsInteger="1" minValue="0" maxValue="4"/>
    </cacheField>
    <cacheField name="Usage-Based Insurance" numFmtId="0">
      <sharedItems/>
    </cacheField>
    <cacheField name="Yearly Miles" numFmtId="0">
      <sharedItems/>
    </cacheField>
    <cacheField name="City/Zip Code" numFmtId="0">
      <sharedItems/>
    </cacheField>
    <cacheField name="Vehicle Price" numFmtId="0">
      <sharedItems/>
    </cacheField>
    <cacheField name="Exotic Car" numFmtId="0">
      <sharedItems/>
    </cacheField>
    <cacheField name="Difficult Parts" numFmtId="0">
      <sharedItems/>
    </cacheField>
    <cacheField name="High Theft Rate" numFmtId="0">
      <sharedItems/>
    </cacheField>
    <cacheField name="Advanced Safety Features" numFmtId="0">
      <sharedItems/>
    </cacheField>
    <cacheField name="Deductible Applies" numFmtId="0">
      <sharedItems/>
    </cacheField>
    <cacheField name="Coverage Limit Applies" numFmtId="0">
      <sharedItems/>
    </cacheField>
    <cacheField name="Deductible" numFmtId="0">
      <sharedItems/>
    </cacheField>
    <cacheField name="Coverage Limit" numFmtId="0">
      <sharedItems/>
    </cacheField>
    <cacheField name="Good Student Discount" numFmtId="0">
      <sharedItems/>
    </cacheField>
    <cacheField name="Good Driver Discount" numFmtId="0">
      <sharedItems/>
    </cacheField>
    <cacheField name="Multi Policy Discount" numFmtId="0">
      <sharedItems/>
    </cacheField>
    <cacheField name="Loyal Customer Discount" numFmtId="0">
      <sharedItems/>
    </cacheField>
    <cacheField name="Organization Discount" numFmtId="0">
      <sharedItems/>
    </cacheField>
    <cacheField name="System-Generated Premium" numFmtId="164">
      <sharedItems containsSemiMixedTypes="0" containsString="0" containsNumber="1" minValue="20.574168794206894" maxValue="7037.8636433414285"/>
    </cacheField>
    <cacheField name="Base Rate" numFmtId="0">
      <sharedItems containsSemiMixedTypes="0" containsString="0" containsNumber="1" containsInteger="1" minValue="41" maxValue="622"/>
    </cacheField>
    <cacheField name="Ageband Factor" numFmtId="0">
      <sharedItems containsSemiMixedTypes="0" containsString="0" containsNumber="1" minValue="1" maxValue="1.32"/>
    </cacheField>
    <cacheField name="Years Driving Factor" numFmtId="0">
      <sharedItems containsSemiMixedTypes="0" containsString="0" containsNumber="1" minValue="0.93" maxValue="1.64"/>
    </cacheField>
    <cacheField name="At Fault Accidents Factor" numFmtId="0">
      <sharedItems containsSemiMixedTypes="0" containsString="0" containsNumber="1" minValue="1" maxValue="2.4700000000000002"/>
    </cacheField>
    <cacheField name="Usage Based Insurance Factor" numFmtId="0">
      <sharedItems containsSemiMixedTypes="0" containsString="0" containsNumber="1" minValue="0.65" maxValue="1"/>
    </cacheField>
    <cacheField name="Yearly Miles Factor" numFmtId="0">
      <sharedItems containsSemiMixedTypes="0" containsString="0" containsNumber="1" minValue="0.82" maxValue="1.31"/>
    </cacheField>
    <cacheField name="City/ Zip Code Factor" numFmtId="0">
      <sharedItems containsSemiMixedTypes="0" containsString="0" containsNumber="1" minValue="0.92" maxValue="1.56"/>
    </cacheField>
    <cacheField name="Vehicle Price Factor" numFmtId="0">
      <sharedItems containsSemiMixedTypes="0" containsString="0" containsNumber="1" minValue="0.82" maxValue="2.87"/>
    </cacheField>
    <cacheField name="Exotic Car Factor" numFmtId="0">
      <sharedItems containsSemiMixedTypes="0" containsString="0" containsNumber="1" minValue="1" maxValue="1.28"/>
    </cacheField>
    <cacheField name="Difficult Parts Factor" numFmtId="0">
      <sharedItems containsSemiMixedTypes="0" containsString="0" containsNumber="1" minValue="1" maxValue="1.21"/>
    </cacheField>
    <cacheField name="High Theft Rate Factor" numFmtId="0">
      <sharedItems containsSemiMixedTypes="0" containsString="0" containsNumber="1" minValue="1" maxValue="1.1599999999999999"/>
    </cacheField>
    <cacheField name="Advanced Safety Features Factor" numFmtId="0">
      <sharedItems containsSemiMixedTypes="0" containsString="0" containsNumber="1" minValue="0.88" maxValue="1"/>
    </cacheField>
    <cacheField name="Deductible Factor" numFmtId="0">
      <sharedItems containsSemiMixedTypes="0" containsString="0" containsNumber="1" minValue="0.72" maxValue="1"/>
    </cacheField>
    <cacheField name="Coverage Limit Factor" numFmtId="0">
      <sharedItems containsSemiMixedTypes="0" containsString="0" containsNumber="1" minValue="0.61" maxValue="1"/>
    </cacheField>
    <cacheField name="Good Student Factor" numFmtId="0">
      <sharedItems containsSemiMixedTypes="0" containsString="0" containsNumber="1" minValue="0.92" maxValue="1"/>
    </cacheField>
    <cacheField name="Good Driver Factor" numFmtId="0">
      <sharedItems containsSemiMixedTypes="0" containsString="0" containsNumber="1" minValue="0.89" maxValue="1"/>
    </cacheField>
    <cacheField name="Multi Policy Factor" numFmtId="0">
      <sharedItems containsSemiMixedTypes="0" containsString="0" containsNumber="1" minValue="0.93" maxValue="1"/>
    </cacheField>
    <cacheField name="Loyal Customer Factor" numFmtId="0">
      <sharedItems containsSemiMixedTypes="0" containsString="0" containsNumber="1" minValue="0.94" maxValue="1"/>
    </cacheField>
    <cacheField name="Organization Factor" numFmtId="0">
      <sharedItems containsSemiMixedTypes="0" containsString="0" containsNumber="1" minValue="0.97" maxValue="1"/>
    </cacheField>
    <cacheField name="Rate Change Factor" numFmtId="0">
      <sharedItems containsSemiMixedTypes="0" containsString="0" containsNumber="1" minValue="1" maxValue="1.06"/>
    </cacheField>
    <cacheField name="Expected Premium" numFmtId="164">
      <sharedItems containsSemiMixedTypes="0" containsString="0" containsNumber="1" minValue="20.574168794206894" maxValue="7037.8636433414285"/>
    </cacheField>
    <cacheField name="Difference" numFmtId="164">
      <sharedItems containsSemiMixedTypes="0" containsString="0" containsNumber="1" minValue="-582.40790075913628" maxValue="1003.7426420144968"/>
    </cacheField>
    <cacheField name="PASS/FAIL" numFmtId="0">
      <sharedItems/>
    </cacheField>
    <cacheField name="Absolute Difference" numFmtId="164">
      <sharedItems containsSemiMixedTypes="0" containsString="0" containsNumber="1" minValue="0" maxValue="1003.7426420144968"/>
    </cacheField>
    <cacheField name="Likely Issue" numFmtId="164">
      <sharedItems containsBlank="1" count="16">
        <s v="No Issue"/>
        <s v="Rate Change Factor not applied"/>
        <s v="Good Driver Factor not applied"/>
        <s v="Advanced Safety Features Factor not applied"/>
        <s v="Loyal Customer Factor not applied"/>
        <s v="Vehicle Price Factor not applied"/>
        <s v="Ageband Factor not applied"/>
        <s v="Years Driving Factor not applied"/>
        <s v="At Fault Accidents Factor not applied"/>
        <s v="Yearly Miles Factor not applied"/>
        <s v="Usage Based Insurance Factor not applied"/>
        <s v="City/Zip Code Factor not applied"/>
        <s v="Year Driving Factor not applied" u="1"/>
        <s v="Usage Based Insurance factor" u="1"/>
        <s v="Yearly Miles Factor" u="1"/>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P0001"/>
    <d v="2025-09-08T00:00:00"/>
    <s v="Comprehensive"/>
    <s v="25-34"/>
    <n v="1"/>
    <s v="5+"/>
    <s v="Yes (Medium Score)"/>
    <s v="5,000-8,499"/>
    <s v="Costa Mesa (92626)"/>
    <s v="$5,000-$14,999"/>
    <s v="No"/>
    <s v="No"/>
    <s v="No"/>
    <s v="No"/>
    <s v="Yes"/>
    <s v="No"/>
    <s v="Yes (Medium)"/>
    <s v="No"/>
    <s v="Yes"/>
    <s v="No"/>
    <s v="No"/>
    <s v="No"/>
    <s v="Yes"/>
    <n v="300.05621586423615"/>
    <n v="121"/>
    <n v="1.23"/>
    <n v="1.64"/>
    <n v="2.4700000000000002"/>
    <n v="0.8"/>
    <n v="0.93"/>
    <n v="0.92"/>
    <n v="0.97"/>
    <n v="1"/>
    <n v="1"/>
    <n v="1"/>
    <n v="1"/>
    <n v="0.84"/>
    <n v="1"/>
    <n v="0.92"/>
    <n v="1"/>
    <n v="1"/>
    <n v="1"/>
    <n v="0.97"/>
    <n v="1"/>
    <n v="300.05621586423615"/>
    <n v="0"/>
    <s v="PASS"/>
    <n v="0"/>
    <x v="0"/>
  </r>
  <r>
    <s v="P0002"/>
    <d v="2025-08-20T00:00:00"/>
    <s v="Rental Car Reinbursement"/>
    <s v="16-24"/>
    <n v="5"/>
    <n v="4"/>
    <s v="No"/>
    <s v="8,500-13,499"/>
    <s v="West Hollywood (90046)"/>
    <s v="$85,000-$149,999"/>
    <s v="No"/>
    <s v="Yes"/>
    <s v="No"/>
    <s v="No"/>
    <s v="No"/>
    <s v="Yes"/>
    <s v="No"/>
    <s v="Yes (High)"/>
    <s v="No"/>
    <s v="No"/>
    <s v="Yes"/>
    <s v="No"/>
    <s v="No"/>
    <n v="276.60396944576314"/>
    <n v="41"/>
    <n v="1.32"/>
    <n v="1.07"/>
    <n v="2.12"/>
    <n v="1"/>
    <n v="1"/>
    <n v="1.18"/>
    <n v="2.02"/>
    <n v="1"/>
    <n v="1.21"/>
    <n v="1"/>
    <n v="1"/>
    <n v="1"/>
    <n v="0.84"/>
    <n v="1"/>
    <n v="1"/>
    <n v="0.93"/>
    <n v="1"/>
    <n v="1"/>
    <n v="1"/>
    <n v="276.60396944576314"/>
    <n v="0"/>
    <s v="PASS"/>
    <n v="0"/>
    <x v="0"/>
  </r>
  <r>
    <s v="P0003"/>
    <d v="2025-10-16T00:00:00"/>
    <s v="Rental Car Reinbursement"/>
    <s v="55-64"/>
    <n v="5"/>
    <s v="5+"/>
    <s v="No"/>
    <s v="5,000-8,499"/>
    <s v="Anaheim (92801)"/>
    <s v="$5,000-$14,999"/>
    <s v="No"/>
    <s v="No"/>
    <s v="No"/>
    <s v="No"/>
    <s v="No"/>
    <s v="Yes"/>
    <s v="No"/>
    <s v="Yes (High)"/>
    <s v="No"/>
    <s v="No"/>
    <s v="No"/>
    <s v="No"/>
    <s v="No"/>
    <n v="102.07974065470273"/>
    <n v="41"/>
    <n v="1.1200000000000001"/>
    <n v="1.07"/>
    <n v="2.4700000000000002"/>
    <n v="1"/>
    <n v="0.93"/>
    <n v="1.1100000000000001"/>
    <n v="0.97"/>
    <n v="1"/>
    <n v="1"/>
    <n v="1"/>
    <n v="1"/>
    <n v="1"/>
    <n v="0.84"/>
    <n v="1"/>
    <n v="1"/>
    <n v="1"/>
    <n v="1"/>
    <n v="1"/>
    <n v="1"/>
    <n v="102.07974065470273"/>
    <n v="0"/>
    <s v="PASS"/>
    <n v="0"/>
    <x v="0"/>
  </r>
  <r>
    <s v="P0004"/>
    <d v="2026-03-25T00:00:00"/>
    <s v="Comprehensive"/>
    <s v="65+"/>
    <s v="8+"/>
    <n v="2"/>
    <s v="Yes (Medium Score)"/>
    <s v="17,000+"/>
    <s v="Westminster (92655)"/>
    <s v="$0-$4,999"/>
    <s v="No"/>
    <s v="No"/>
    <s v="No"/>
    <s v="Yes"/>
    <s v="Yes"/>
    <s v="No"/>
    <s v="Yes (Low)"/>
    <s v="No"/>
    <s v="No"/>
    <s v="Yes"/>
    <s v="Yes"/>
    <s v="No"/>
    <s v="No"/>
    <n v="143.58000000000001"/>
    <n v="121"/>
    <n v="1.27"/>
    <n v="0.93"/>
    <n v="1.55"/>
    <n v="0.8"/>
    <n v="1.31"/>
    <n v="1.0900000000000001"/>
    <n v="0.82"/>
    <n v="1"/>
    <n v="1"/>
    <n v="1"/>
    <n v="0.88"/>
    <n v="0.95"/>
    <n v="1"/>
    <n v="1"/>
    <n v="0.89"/>
    <n v="0.93"/>
    <n v="1"/>
    <n v="1"/>
    <n v="1.06"/>
    <n v="152.19152502276773"/>
    <n v="-8.6115250227677222"/>
    <s v="FAIL"/>
    <n v="8.6115250227677222"/>
    <x v="1"/>
  </r>
  <r>
    <s v="P0005"/>
    <d v="2026-01-01T00:00:00"/>
    <s v="Collision"/>
    <s v="55-64"/>
    <n v="7"/>
    <n v="3"/>
    <s v="Yes (Medium Score)"/>
    <s v="13,500-16,999"/>
    <s v="Culver City (90066)"/>
    <s v="$25,000-$44,999"/>
    <s v="No"/>
    <s v="No"/>
    <s v="No"/>
    <s v="Yes"/>
    <s v="Yes"/>
    <s v="No"/>
    <s v="Yes (Low)"/>
    <s v="No"/>
    <s v="No"/>
    <s v="No"/>
    <s v="Yes"/>
    <s v="No"/>
    <s v="No"/>
    <n v="1004.5836683877213"/>
    <n v="453"/>
    <n v="1.1200000000000001"/>
    <n v="0.95"/>
    <n v="1.82"/>
    <n v="0.8"/>
    <n v="1.18"/>
    <n v="1.1499999999999999"/>
    <n v="1.28"/>
    <n v="1"/>
    <n v="1"/>
    <n v="1"/>
    <n v="0.88"/>
    <n v="0.95"/>
    <n v="1"/>
    <n v="1"/>
    <n v="1"/>
    <n v="0.93"/>
    <n v="1"/>
    <n v="1"/>
    <n v="1.06"/>
    <n v="1004.5836683877213"/>
    <n v="0"/>
    <s v="PASS"/>
    <n v="0"/>
    <x v="0"/>
  </r>
  <r>
    <s v="P0006"/>
    <d v="2025-09-24T00:00:00"/>
    <s v="Collision"/>
    <s v="25-34"/>
    <s v="8+"/>
    <n v="4"/>
    <s v="No"/>
    <s v="17,000+"/>
    <s v="Westminster (92655)"/>
    <s v="$5,000-$14,999"/>
    <s v="No"/>
    <s v="No"/>
    <s v="No"/>
    <s v="No"/>
    <s v="Yes"/>
    <s v="No"/>
    <s v="Yes (High)"/>
    <s v="No"/>
    <s v="No"/>
    <s v="No"/>
    <s v="No"/>
    <s v="No"/>
    <s v="No"/>
    <n v="1095.5296782400696"/>
    <n v="453"/>
    <n v="1.23"/>
    <n v="0.93"/>
    <n v="2.12"/>
    <n v="1"/>
    <n v="1.31"/>
    <n v="1.0900000000000001"/>
    <n v="0.97"/>
    <n v="1"/>
    <n v="1"/>
    <n v="1"/>
    <n v="1"/>
    <n v="0.72"/>
    <n v="1"/>
    <n v="1"/>
    <n v="1"/>
    <n v="1"/>
    <n v="1"/>
    <n v="1"/>
    <n v="1"/>
    <n v="1095.5296782400696"/>
    <n v="0"/>
    <s v="PASS"/>
    <n v="0"/>
    <x v="0"/>
  </r>
  <r>
    <s v="P0007"/>
    <d v="2026-04-08T00:00:00"/>
    <s v="Rental Car Reinbursement"/>
    <s v="35-44"/>
    <n v="5"/>
    <n v="3"/>
    <s v="No"/>
    <s v="0-4,999"/>
    <s v="Silverlake (90026 )"/>
    <s v="$85,000-$149,999"/>
    <s v="No"/>
    <s v="No"/>
    <s v="No"/>
    <s v="No"/>
    <s v="No"/>
    <s v="Yes"/>
    <s v="No"/>
    <s v="Yes (Low)"/>
    <s v="No"/>
    <s v="No"/>
    <s v="No"/>
    <s v="No"/>
    <s v="No"/>
    <n v="99.196861966034575"/>
    <n v="41"/>
    <n v="1"/>
    <n v="1.07"/>
    <n v="1.82"/>
    <n v="1"/>
    <n v="0.82"/>
    <n v="1.1599999999999999"/>
    <n v="2.02"/>
    <n v="1"/>
    <n v="1"/>
    <n v="1"/>
    <n v="1"/>
    <n v="1"/>
    <n v="0.61"/>
    <n v="1"/>
    <n v="1"/>
    <n v="1"/>
    <n v="1"/>
    <n v="1"/>
    <n v="1.06"/>
    <n v="99.196861966034575"/>
    <n v="0"/>
    <s v="PASS"/>
    <n v="0"/>
    <x v="0"/>
  </r>
  <r>
    <s v="P0008"/>
    <d v="2026-05-01T00:00:00"/>
    <s v="Liability"/>
    <s v="25-34"/>
    <n v="7"/>
    <n v="2"/>
    <s v="Yes (Medium Score)"/>
    <s v="8,500-13,499"/>
    <s v="Compton (90220)"/>
    <s v="$45,000-$84,999"/>
    <s v="No"/>
    <s v="No"/>
    <s v="No"/>
    <s v="Yes"/>
    <s v="No"/>
    <s v="Yes"/>
    <s v="No"/>
    <s v="Yes (Medium)"/>
    <s v="Yes"/>
    <s v="No"/>
    <s v="No"/>
    <s v="No"/>
    <s v="No"/>
    <n v="1363.872895136479"/>
    <n v="622"/>
    <n v="1.23"/>
    <n v="0.95"/>
    <n v="1.55"/>
    <n v="0.8"/>
    <n v="1"/>
    <n v="1.56"/>
    <n v="1.57"/>
    <n v="1"/>
    <n v="1"/>
    <n v="1"/>
    <n v="0.88"/>
    <n v="1"/>
    <n v="0.72"/>
    <n v="0.92"/>
    <n v="1"/>
    <n v="1"/>
    <n v="1"/>
    <n v="1"/>
    <n v="1.06"/>
    <n v="1363.872895136479"/>
    <n v="0"/>
    <s v="PASS"/>
    <n v="0"/>
    <x v="0"/>
  </r>
  <r>
    <s v="P0009"/>
    <d v="2026-02-19T00:00:00"/>
    <s v="Liability"/>
    <s v="35-44"/>
    <n v="6"/>
    <n v="3"/>
    <s v="Yes (High Score)"/>
    <s v="17,000+"/>
    <s v="Newport Beach (92603)"/>
    <s v="$85,000-$149,999"/>
    <s v="No"/>
    <s v="No"/>
    <s v="No"/>
    <s v="No"/>
    <s v="No"/>
    <s v="Yes"/>
    <s v="No"/>
    <s v="Yes (Medium)"/>
    <s v="Yes"/>
    <s v="Yes"/>
    <s v="Yes"/>
    <s v="No"/>
    <s v="Yes"/>
    <n v="1031.802382914268"/>
    <n v="622"/>
    <n v="1"/>
    <n v="1"/>
    <n v="1.82"/>
    <n v="0.65"/>
    <n v="1.31"/>
    <n v="0.94"/>
    <n v="2.02"/>
    <n v="1"/>
    <n v="1"/>
    <n v="1"/>
    <n v="1"/>
    <n v="1"/>
    <n v="0.72"/>
    <n v="0.92"/>
    <n v="0.89"/>
    <n v="0.93"/>
    <n v="1"/>
    <n v="0.97"/>
    <n v="1.06"/>
    <n v="1031.802382914268"/>
    <n v="0"/>
    <s v="PASS"/>
    <n v="0"/>
    <x v="0"/>
  </r>
  <r>
    <s v="P0010"/>
    <d v="2025-12-06T00:00:00"/>
    <s v="Liability"/>
    <s v="25-34"/>
    <s v="8+"/>
    <n v="2"/>
    <s v="No"/>
    <s v="5,000-8,499"/>
    <s v="Huntington Beach (90742)"/>
    <s v="$15,000-$24,999"/>
    <s v="No"/>
    <s v="No"/>
    <s v="No"/>
    <s v="No"/>
    <s v="No"/>
    <s v="Yes"/>
    <s v="No"/>
    <s v="Yes (Medium)"/>
    <s v="No"/>
    <s v="No"/>
    <s v="No"/>
    <s v="No"/>
    <s v="Yes"/>
    <n v="758.13605888683242"/>
    <n v="622"/>
    <n v="1.23"/>
    <n v="0.93"/>
    <n v="1.55"/>
    <n v="1"/>
    <n v="0.93"/>
    <n v="0.98"/>
    <n v="1.08"/>
    <n v="1"/>
    <n v="1"/>
    <n v="1"/>
    <n v="1"/>
    <n v="1"/>
    <n v="0.72"/>
    <n v="1"/>
    <n v="1"/>
    <n v="1"/>
    <n v="1"/>
    <n v="0.97"/>
    <n v="1"/>
    <n v="758.13605888683242"/>
    <n v="0"/>
    <s v="PASS"/>
    <n v="0"/>
    <x v="0"/>
  </r>
  <r>
    <s v="P0011"/>
    <d v="2026-02-10T00:00:00"/>
    <s v="Comprehensive"/>
    <s v="35-44"/>
    <n v="2"/>
    <n v="1"/>
    <s v="No"/>
    <s v="5,000-8,499"/>
    <s v="Culver City (90066)"/>
    <s v="$15,000-$24,999"/>
    <s v="Yes"/>
    <s v="No"/>
    <s v="No"/>
    <s v="No"/>
    <s v="Yes"/>
    <s v="No"/>
    <s v="Yes (High)"/>
    <s v="No"/>
    <s v="No"/>
    <s v="No"/>
    <s v="No"/>
    <s v="Yes"/>
    <s v="No"/>
    <n v="242.48786550998784"/>
    <n v="121"/>
    <n v="1"/>
    <n v="1.41"/>
    <n v="1.34"/>
    <n v="1"/>
    <n v="0.93"/>
    <n v="1.1499999999999999"/>
    <n v="1.08"/>
    <n v="1.28"/>
    <n v="1"/>
    <n v="1"/>
    <n v="1"/>
    <n v="0.72"/>
    <n v="1"/>
    <n v="1"/>
    <n v="1"/>
    <n v="1"/>
    <n v="0.94"/>
    <n v="1"/>
    <n v="1.06"/>
    <n v="242.48786550998784"/>
    <n v="0"/>
    <s v="PASS"/>
    <n v="0"/>
    <x v="0"/>
  </r>
  <r>
    <s v="P0012"/>
    <d v="2026-03-16T00:00:00"/>
    <s v="Liability"/>
    <s v="65+"/>
    <n v="5"/>
    <s v="5+"/>
    <s v="Yes (Low Score)"/>
    <s v="17,000+"/>
    <s v="West Hollywood (90046)"/>
    <s v="$15,000-$24,999"/>
    <s v="No"/>
    <s v="No"/>
    <s v="Yes"/>
    <s v="Yes"/>
    <s v="No"/>
    <s v="Yes"/>
    <s v="No"/>
    <s v="Yes (Medium)"/>
    <s v="Yes"/>
    <s v="Yes"/>
    <s v="No"/>
    <s v="No"/>
    <s v="No"/>
    <n v="2373.25"/>
    <n v="622"/>
    <n v="1.27"/>
    <n v="1.07"/>
    <n v="2.4700000000000002"/>
    <n v="0.95"/>
    <n v="1.31"/>
    <n v="1.18"/>
    <n v="1.08"/>
    <n v="1"/>
    <n v="1"/>
    <n v="1.1599999999999999"/>
    <n v="0.88"/>
    <n v="1"/>
    <n v="0.72"/>
    <n v="0.92"/>
    <n v="0.89"/>
    <n v="1"/>
    <n v="1"/>
    <n v="1"/>
    <n v="1.06"/>
    <n v="2112.1869614624734"/>
    <n v="261.06303853752661"/>
    <s v="FAIL"/>
    <n v="261.06303853752661"/>
    <x v="2"/>
  </r>
  <r>
    <s v="P0013"/>
    <d v="2026-04-27T00:00:00"/>
    <s v="Uninsured Motorist"/>
    <s v="45-54"/>
    <n v="1"/>
    <n v="3"/>
    <s v="Yes (Low Score)"/>
    <s v="13,500-16,999"/>
    <s v="Torrance (90248)"/>
    <s v="$5,000-$14,999"/>
    <s v="Yes"/>
    <s v="No"/>
    <s v="No"/>
    <s v="Yes"/>
    <s v="No"/>
    <s v="Yes"/>
    <s v="No"/>
    <s v="Yes (Medium)"/>
    <s v="No"/>
    <s v="No"/>
    <s v="No"/>
    <s v="No"/>
    <s v="No"/>
    <n v="260.80744790798434"/>
    <n v="78"/>
    <n v="1.07"/>
    <n v="1.64"/>
    <n v="1.82"/>
    <n v="0.95"/>
    <n v="1.18"/>
    <n v="1.1200000000000001"/>
    <n v="0.97"/>
    <n v="1.28"/>
    <n v="1"/>
    <n v="1"/>
    <n v="0.88"/>
    <n v="1"/>
    <n v="0.72"/>
    <n v="1"/>
    <n v="1"/>
    <n v="1"/>
    <n v="1"/>
    <n v="1"/>
    <n v="1.06"/>
    <n v="260.80744790798434"/>
    <n v="0"/>
    <s v="PASS"/>
    <n v="0"/>
    <x v="0"/>
  </r>
  <r>
    <s v="P0014"/>
    <d v="2025-09-01T00:00:00"/>
    <s v="Liability"/>
    <s v="55-64"/>
    <n v="5"/>
    <n v="3"/>
    <s v="Yes (High Score)"/>
    <s v="17,000+"/>
    <s v="Costa Mesa (92626)"/>
    <s v="$45,000-$84,999"/>
    <s v="No"/>
    <s v="No"/>
    <s v="No"/>
    <s v="Yes"/>
    <s v="No"/>
    <s v="Yes"/>
    <s v="No"/>
    <s v="Yes (Medium)"/>
    <s v="No"/>
    <s v="Yes"/>
    <s v="No"/>
    <s v="Yes"/>
    <s v="No"/>
    <n v="884.44072907121927"/>
    <n v="622"/>
    <n v="1.1200000000000001"/>
    <n v="1.07"/>
    <n v="1.82"/>
    <n v="0.65"/>
    <n v="1.31"/>
    <n v="0.92"/>
    <n v="1.57"/>
    <n v="1"/>
    <n v="1"/>
    <n v="1"/>
    <n v="0.88"/>
    <n v="1"/>
    <n v="0.72"/>
    <n v="1"/>
    <n v="0.89"/>
    <n v="1"/>
    <n v="0.94"/>
    <n v="1"/>
    <n v="1"/>
    <n v="884.44072907121927"/>
    <n v="0"/>
    <s v="PASS"/>
    <n v="0"/>
    <x v="0"/>
  </r>
  <r>
    <s v="P0015"/>
    <d v="2025-06-05T00:00:00"/>
    <s v="Liability"/>
    <s v="35-44"/>
    <n v="7"/>
    <n v="4"/>
    <s v="No"/>
    <s v="5,000-8,499"/>
    <s v="Long Beach (90712)"/>
    <s v="$0-$4,999"/>
    <s v="No"/>
    <s v="No"/>
    <s v="No"/>
    <s v="Yes"/>
    <s v="No"/>
    <s v="Yes"/>
    <s v="No"/>
    <s v="Yes (Medium)"/>
    <s v="No"/>
    <s v="No"/>
    <s v="No"/>
    <s v="No"/>
    <s v="Yes"/>
    <n v="657.58451440943929"/>
    <n v="622"/>
    <n v="1"/>
    <n v="0.95"/>
    <n v="2.12"/>
    <n v="1"/>
    <n v="0.93"/>
    <n v="1.1200000000000001"/>
    <n v="0.82"/>
    <n v="1"/>
    <n v="1"/>
    <n v="1"/>
    <n v="0.88"/>
    <n v="1"/>
    <n v="0.72"/>
    <n v="1"/>
    <n v="1"/>
    <n v="1"/>
    <n v="1"/>
    <n v="0.97"/>
    <n v="1"/>
    <n v="657.58451440943929"/>
    <n v="0"/>
    <s v="PASS"/>
    <n v="0"/>
    <x v="0"/>
  </r>
  <r>
    <s v="P0016"/>
    <d v="2025-10-14T00:00:00"/>
    <s v="Collision"/>
    <s v="16-24"/>
    <n v="7"/>
    <n v="0"/>
    <s v="Yes (Medium Score)"/>
    <s v="8,500-13,499"/>
    <s v="Fullerton (92832)"/>
    <s v="$150,000+"/>
    <s v="No"/>
    <s v="No"/>
    <s v="No"/>
    <s v="No"/>
    <s v="Yes"/>
    <s v="No"/>
    <s v="Yes (Medium)"/>
    <s v="No"/>
    <s v="No"/>
    <s v="Yes"/>
    <s v="No"/>
    <s v="No"/>
    <s v="No"/>
    <n v="1092.0812169738242"/>
    <n v="453"/>
    <n v="1.32"/>
    <n v="0.95"/>
    <n v="1"/>
    <n v="0.8"/>
    <n v="1"/>
    <n v="1.1200000000000001"/>
    <n v="2.87"/>
    <n v="1"/>
    <n v="1"/>
    <n v="1"/>
    <n v="1"/>
    <n v="0.84"/>
    <n v="1"/>
    <n v="1"/>
    <n v="0.89"/>
    <n v="1"/>
    <n v="1"/>
    <n v="1"/>
    <n v="1"/>
    <n v="1092.0812169738242"/>
    <n v="0"/>
    <s v="PASS"/>
    <n v="0"/>
    <x v="0"/>
  </r>
  <r>
    <s v="P0017"/>
    <d v="2025-05-15T00:00:00"/>
    <s v="Uninsured Motorist"/>
    <s v="65+"/>
    <n v="7"/>
    <n v="1"/>
    <s v="Yes (Low Score)"/>
    <s v="17,000+"/>
    <s v="Compton (90220)"/>
    <s v="$5,000-$14,999"/>
    <s v="No"/>
    <s v="No"/>
    <s v="No"/>
    <s v="Yes"/>
    <s v="No"/>
    <s v="Yes"/>
    <s v="No"/>
    <s v="Yes (High)"/>
    <s v="No"/>
    <s v="No"/>
    <s v="No"/>
    <s v="No"/>
    <s v="No"/>
    <n v="175.54154607868921"/>
    <n v="78"/>
    <n v="1.27"/>
    <n v="0.95"/>
    <n v="1.34"/>
    <n v="0.95"/>
    <n v="1.31"/>
    <n v="1.56"/>
    <n v="0.97"/>
    <n v="1"/>
    <n v="1"/>
    <n v="1"/>
    <n v="0.88"/>
    <n v="1"/>
    <n v="0.84"/>
    <n v="1"/>
    <n v="1"/>
    <n v="1"/>
    <n v="1"/>
    <n v="1"/>
    <n v="1"/>
    <n v="175.54154607868921"/>
    <n v="0"/>
    <s v="PASS"/>
    <n v="0"/>
    <x v="0"/>
  </r>
  <r>
    <s v="P0018"/>
    <d v="2025-06-17T00:00:00"/>
    <s v="Collision"/>
    <s v="65+"/>
    <n v="7"/>
    <n v="1"/>
    <s v="No"/>
    <s v="0-4,999"/>
    <s v="West Hollywood (90046)"/>
    <s v="$15,000-$24,999"/>
    <s v="No"/>
    <s v="No"/>
    <s v="No"/>
    <s v="No"/>
    <s v="Yes"/>
    <s v="No"/>
    <s v="Yes (Low)"/>
    <s v="No"/>
    <s v="No"/>
    <s v="No"/>
    <s v="No"/>
    <s v="No"/>
    <s v="No"/>
    <n v="727.06551619168818"/>
    <n v="453"/>
    <n v="1.27"/>
    <n v="0.95"/>
    <n v="1.34"/>
    <n v="1"/>
    <n v="0.82"/>
    <n v="1.18"/>
    <n v="1.08"/>
    <n v="1"/>
    <n v="1"/>
    <n v="1"/>
    <n v="1"/>
    <n v="0.95"/>
    <n v="1"/>
    <n v="1"/>
    <n v="1"/>
    <n v="1"/>
    <n v="1"/>
    <n v="1"/>
    <n v="1"/>
    <n v="727.06551619168818"/>
    <n v="0"/>
    <s v="PASS"/>
    <n v="0"/>
    <x v="0"/>
  </r>
  <r>
    <s v="P0019"/>
    <d v="2026-03-04T00:00:00"/>
    <s v="Uninsured Motorist"/>
    <s v="65+"/>
    <n v="3"/>
    <s v="5+"/>
    <s v="No"/>
    <s v="0-4,999"/>
    <s v="Santa Monica (90401)"/>
    <s v="$15,000-$24,999"/>
    <s v="No"/>
    <s v="Yes"/>
    <s v="No"/>
    <s v="Yes"/>
    <s v="No"/>
    <s v="Yes"/>
    <s v="No"/>
    <s v="Yes (High)"/>
    <s v="No"/>
    <s v="No"/>
    <s v="No"/>
    <s v="No"/>
    <s v="No"/>
    <n v="330.39"/>
    <n v="78"/>
    <n v="1.27"/>
    <n v="1.22"/>
    <n v="2.4700000000000002"/>
    <n v="1"/>
    <n v="0.82"/>
    <n v="1.1599999999999999"/>
    <n v="1.08"/>
    <n v="1"/>
    <n v="1.21"/>
    <n v="1"/>
    <n v="0.88"/>
    <n v="1"/>
    <n v="0.84"/>
    <n v="1"/>
    <n v="1"/>
    <n v="1"/>
    <n v="1"/>
    <n v="1"/>
    <n v="1.06"/>
    <n v="290.73940577325436"/>
    <n v="39.650594226745625"/>
    <s v="FAIL"/>
    <n v="39.650594226745625"/>
    <x v="3"/>
  </r>
  <r>
    <s v="P0020"/>
    <d v="2025-08-20T00:00:00"/>
    <s v="Uninsured Motorist"/>
    <s v="25-34"/>
    <n v="6"/>
    <n v="0"/>
    <s v="Yes (High Score)"/>
    <s v="8,500-13,499"/>
    <s v="Compton (90220)"/>
    <s v="$85,000-$149,999"/>
    <s v="No"/>
    <s v="No"/>
    <s v="No"/>
    <s v="Yes"/>
    <s v="No"/>
    <s v="Yes"/>
    <s v="No"/>
    <s v="Yes (High)"/>
    <s v="No"/>
    <s v="No"/>
    <s v="No"/>
    <s v="No"/>
    <s v="No"/>
    <n v="145.26165798144004"/>
    <n v="78"/>
    <n v="1.23"/>
    <n v="1"/>
    <n v="1"/>
    <n v="0.65"/>
    <n v="1"/>
    <n v="1.56"/>
    <n v="2.02"/>
    <n v="1"/>
    <n v="1"/>
    <n v="1"/>
    <n v="0.88"/>
    <n v="1"/>
    <n v="0.84"/>
    <n v="1"/>
    <n v="1"/>
    <n v="1"/>
    <n v="1"/>
    <n v="1"/>
    <n v="1"/>
    <n v="145.26165798144004"/>
    <n v="0"/>
    <s v="PASS"/>
    <n v="0"/>
    <x v="0"/>
  </r>
  <r>
    <s v="P0021"/>
    <d v="2025-07-25T00:00:00"/>
    <s v="Collision"/>
    <s v="16-24"/>
    <n v="1"/>
    <n v="4"/>
    <s v="No"/>
    <s v="0-4,999"/>
    <s v="Westminster (92655)"/>
    <s v="$0-$4,999"/>
    <s v="No"/>
    <s v="No"/>
    <s v="No"/>
    <s v="Yes"/>
    <s v="Yes"/>
    <s v="No"/>
    <s v="Yes (Low)"/>
    <s v="No"/>
    <s v="No"/>
    <s v="No"/>
    <s v="No"/>
    <s v="Yes"/>
    <s v="No"/>
    <n v="1197.402542427682"/>
    <n v="453"/>
    <n v="1.32"/>
    <n v="1.64"/>
    <n v="2.12"/>
    <n v="1"/>
    <n v="0.82"/>
    <n v="1.0900000000000001"/>
    <n v="0.82"/>
    <n v="1"/>
    <n v="1"/>
    <n v="1"/>
    <n v="0.88"/>
    <n v="0.95"/>
    <n v="1"/>
    <n v="1"/>
    <n v="1"/>
    <n v="1"/>
    <n v="0.94"/>
    <n v="1"/>
    <n v="1"/>
    <n v="1197.402542427682"/>
    <n v="0"/>
    <s v="PASS"/>
    <n v="0"/>
    <x v="0"/>
  </r>
  <r>
    <s v="P0022"/>
    <d v="2025-10-31T00:00:00"/>
    <s v="Collision"/>
    <s v="65+"/>
    <n v="7"/>
    <n v="3"/>
    <s v="Yes (Low Score)"/>
    <s v="13,500-16,999"/>
    <s v="Compton (90220)"/>
    <s v="$45,000-$84,999"/>
    <s v="No"/>
    <s v="No"/>
    <s v="Yes"/>
    <s v="Yes"/>
    <s v="Yes"/>
    <s v="No"/>
    <s v="Yes (Low)"/>
    <s v="No"/>
    <s v="No"/>
    <s v="Yes"/>
    <s v="No"/>
    <s v="No"/>
    <s v="No"/>
    <n v="2357.1165268206842"/>
    <n v="453"/>
    <n v="1.27"/>
    <n v="0.95"/>
    <n v="1.82"/>
    <n v="0.95"/>
    <n v="1.18"/>
    <n v="1.56"/>
    <n v="1.57"/>
    <n v="1"/>
    <n v="1"/>
    <n v="1.1599999999999999"/>
    <n v="0.88"/>
    <n v="0.95"/>
    <n v="1"/>
    <n v="1"/>
    <n v="0.89"/>
    <n v="1"/>
    <n v="1"/>
    <n v="1"/>
    <n v="1"/>
    <n v="2357.1165268206842"/>
    <n v="0"/>
    <s v="PASS"/>
    <n v="0"/>
    <x v="0"/>
  </r>
  <r>
    <s v="P0023"/>
    <d v="2025-07-29T00:00:00"/>
    <s v="Collision"/>
    <s v="25-34"/>
    <n v="2"/>
    <n v="0"/>
    <s v="No"/>
    <s v="0-4,999"/>
    <s v="Fullerton (92832)"/>
    <s v="$25,000-$44,999"/>
    <s v="No"/>
    <s v="No"/>
    <s v="No"/>
    <s v="No"/>
    <s v="Yes"/>
    <s v="No"/>
    <s v="Yes (Low)"/>
    <s v="No"/>
    <s v="No"/>
    <s v="Yes"/>
    <s v="Yes"/>
    <s v="No"/>
    <s v="No"/>
    <n v="726.2076696664044"/>
    <n v="453"/>
    <n v="1.23"/>
    <n v="1.41"/>
    <n v="1"/>
    <n v="1"/>
    <n v="0.82"/>
    <n v="1.1200000000000001"/>
    <n v="1.28"/>
    <n v="1"/>
    <n v="1"/>
    <n v="1"/>
    <n v="1"/>
    <n v="0.95"/>
    <n v="1"/>
    <n v="1"/>
    <n v="0.89"/>
    <n v="0.93"/>
    <n v="1"/>
    <n v="1"/>
    <n v="1"/>
    <n v="726.2076696664044"/>
    <n v="0"/>
    <s v="PASS"/>
    <n v="0"/>
    <x v="0"/>
  </r>
  <r>
    <s v="P0024"/>
    <d v="2025-06-16T00:00:00"/>
    <s v="Collision"/>
    <s v="65+"/>
    <n v="1"/>
    <n v="0"/>
    <s v="No"/>
    <s v="13,500-16,999"/>
    <s v="Westminster (92655)"/>
    <s v="$45,000-$84,999"/>
    <s v="No"/>
    <s v="No"/>
    <s v="Yes"/>
    <s v="No"/>
    <s v="Yes"/>
    <s v="No"/>
    <s v="Yes (Medium)"/>
    <s v="No"/>
    <s v="No"/>
    <s v="No"/>
    <s v="No"/>
    <s v="No"/>
    <s v="No"/>
    <n v="1856.4839714656162"/>
    <n v="453"/>
    <n v="1.27"/>
    <n v="1.64"/>
    <n v="1"/>
    <n v="1"/>
    <n v="1.18"/>
    <n v="1.0900000000000001"/>
    <n v="1.57"/>
    <n v="1"/>
    <n v="1"/>
    <n v="1.1599999999999999"/>
    <n v="1"/>
    <n v="0.84"/>
    <n v="1"/>
    <n v="1"/>
    <n v="1"/>
    <n v="1"/>
    <n v="1"/>
    <n v="1"/>
    <n v="1"/>
    <n v="1856.4839714656162"/>
    <n v="0"/>
    <s v="PASS"/>
    <n v="0"/>
    <x v="0"/>
  </r>
  <r>
    <s v="P0025"/>
    <d v="2025-07-23T00:00:00"/>
    <s v="Collision"/>
    <s v="45-54"/>
    <n v="1"/>
    <n v="0"/>
    <s v="Yes (High Score)"/>
    <s v="8,500-13,499"/>
    <s v="Lake Forrest (92609)"/>
    <s v="$25,000-$44,999"/>
    <s v="No"/>
    <s v="No"/>
    <s v="No"/>
    <s v="Yes"/>
    <s v="Yes"/>
    <s v="No"/>
    <s v="Yes (High)"/>
    <s v="No"/>
    <s v="No"/>
    <s v="No"/>
    <s v="No"/>
    <s v="No"/>
    <s v="No"/>
    <n v="398.09610451353598"/>
    <n v="453"/>
    <n v="1.07"/>
    <n v="1.64"/>
    <n v="1"/>
    <n v="0.65"/>
    <n v="1"/>
    <n v="0.95"/>
    <n v="1.28"/>
    <n v="1"/>
    <n v="1"/>
    <n v="1"/>
    <n v="0.88"/>
    <n v="0.72"/>
    <n v="1"/>
    <n v="1"/>
    <n v="1"/>
    <n v="1"/>
    <n v="1"/>
    <n v="1"/>
    <n v="1"/>
    <n v="398.09610451353598"/>
    <n v="0"/>
    <s v="PASS"/>
    <n v="0"/>
    <x v="0"/>
  </r>
  <r>
    <s v="P0026"/>
    <d v="2026-01-21T00:00:00"/>
    <s v="Collision"/>
    <s v="65+"/>
    <n v="2"/>
    <n v="3"/>
    <s v="No"/>
    <s v="5,000-8,499"/>
    <s v="Culver City (90066)"/>
    <s v="$150,000+"/>
    <s v="No"/>
    <s v="Yes"/>
    <s v="No"/>
    <s v="Yes"/>
    <s v="Yes"/>
    <s v="No"/>
    <s v="Yes (Low)"/>
    <s v="No"/>
    <s v="Yes"/>
    <s v="No"/>
    <s v="No"/>
    <s v="No"/>
    <s v="No"/>
    <n v="4470.3389105133983"/>
    <n v="453"/>
    <n v="1.27"/>
    <n v="1.41"/>
    <n v="1.82"/>
    <n v="1"/>
    <n v="0.93"/>
    <n v="1.1499999999999999"/>
    <n v="2.87"/>
    <n v="1"/>
    <n v="1.21"/>
    <n v="1"/>
    <n v="0.88"/>
    <n v="0.95"/>
    <n v="1"/>
    <n v="0.92"/>
    <n v="1"/>
    <n v="1"/>
    <n v="1"/>
    <n v="1"/>
    <n v="1.06"/>
    <n v="4470.3389105133983"/>
    <n v="0"/>
    <s v="PASS"/>
    <n v="0"/>
    <x v="0"/>
  </r>
  <r>
    <s v="P0027"/>
    <d v="2025-09-27T00:00:00"/>
    <s v="Liability"/>
    <s v="35-44"/>
    <s v="8+"/>
    <n v="2"/>
    <s v="Yes (High Score)"/>
    <s v="5,000-8,499"/>
    <s v="Silverlake (90026 )"/>
    <s v="$5,000-$14,999"/>
    <s v="No"/>
    <s v="No"/>
    <s v="No"/>
    <s v="Yes"/>
    <s v="No"/>
    <s v="Yes"/>
    <s v="No"/>
    <s v="Yes (High)"/>
    <s v="No"/>
    <s v="No"/>
    <s v="Yes"/>
    <s v="No"/>
    <s v="No"/>
    <n v="419.25279529536925"/>
    <n v="622"/>
    <n v="1"/>
    <n v="0.93"/>
    <n v="1.55"/>
    <n v="0.65"/>
    <n v="0.93"/>
    <n v="1.1599999999999999"/>
    <n v="0.97"/>
    <n v="1"/>
    <n v="1"/>
    <n v="1"/>
    <n v="0.88"/>
    <n v="1"/>
    <n v="0.84"/>
    <n v="1"/>
    <n v="1"/>
    <n v="0.93"/>
    <n v="1"/>
    <n v="1"/>
    <n v="1"/>
    <n v="419.25279529536925"/>
    <n v="0"/>
    <s v="PASS"/>
    <n v="0"/>
    <x v="0"/>
  </r>
  <r>
    <s v="P0028"/>
    <d v="2025-05-22T00:00:00"/>
    <s v="Rental Car Reinbursement"/>
    <s v="45-54"/>
    <n v="3"/>
    <n v="1"/>
    <s v="Yes (Medium Score)"/>
    <s v="13,500-16,999"/>
    <s v="Hawthorne (90250)"/>
    <s v="$85,000-$149,999"/>
    <s v="No"/>
    <s v="No"/>
    <s v="No"/>
    <s v="No"/>
    <s v="No"/>
    <s v="Yes"/>
    <s v="No"/>
    <s v="Yes (High)"/>
    <s v="No"/>
    <s v="No"/>
    <s v="No"/>
    <s v="No"/>
    <s v="Yes"/>
    <n v="121.45996327107507"/>
    <n v="41"/>
    <n v="1.07"/>
    <n v="1.22"/>
    <n v="1.34"/>
    <n v="0.8"/>
    <n v="1.18"/>
    <n v="1.0900000000000001"/>
    <n v="2.02"/>
    <n v="1"/>
    <n v="1"/>
    <n v="1"/>
    <n v="1"/>
    <n v="1"/>
    <n v="0.84"/>
    <n v="1"/>
    <n v="1"/>
    <n v="1"/>
    <n v="1"/>
    <n v="0.97"/>
    <n v="1"/>
    <n v="121.45996327107507"/>
    <n v="0"/>
    <s v="PASS"/>
    <n v="0"/>
    <x v="0"/>
  </r>
  <r>
    <s v="P0029"/>
    <d v="2025-06-11T00:00:00"/>
    <s v="Rental Car Reinbursement"/>
    <s v="25-34"/>
    <n v="5"/>
    <n v="2"/>
    <s v="Yes (Low Score)"/>
    <s v="13,500-16,999"/>
    <s v="Beverly Hills (90035)"/>
    <s v="$25,000-$44,999"/>
    <s v="No"/>
    <s v="No"/>
    <s v="No"/>
    <s v="No"/>
    <s v="No"/>
    <s v="Yes"/>
    <s v="No"/>
    <s v="Yes (High)"/>
    <s v="No"/>
    <s v="No"/>
    <s v="No"/>
    <s v="No"/>
    <s v="No"/>
    <n v="121.97889158628094"/>
    <n v="41"/>
    <n v="1.23"/>
    <n v="1.07"/>
    <n v="1.55"/>
    <n v="0.95"/>
    <n v="1.18"/>
    <n v="1.21"/>
    <n v="1.28"/>
    <n v="1"/>
    <n v="1"/>
    <n v="1"/>
    <n v="1"/>
    <n v="1"/>
    <n v="0.84"/>
    <n v="1"/>
    <n v="1"/>
    <n v="1"/>
    <n v="1"/>
    <n v="1"/>
    <n v="1"/>
    <n v="121.97889158628094"/>
    <n v="0"/>
    <s v="PASS"/>
    <n v="0"/>
    <x v="0"/>
  </r>
  <r>
    <s v="P0030"/>
    <d v="2025-10-03T00:00:00"/>
    <s v="Uninsured Motorist"/>
    <s v="25-34"/>
    <n v="3"/>
    <n v="1"/>
    <s v="No"/>
    <s v="17,000+"/>
    <s v="Culver City (90066)"/>
    <s v="$5,000-$14,999"/>
    <s v="No"/>
    <s v="No"/>
    <s v="No"/>
    <s v="Yes"/>
    <s v="No"/>
    <s v="Yes"/>
    <s v="No"/>
    <s v="Yes (High)"/>
    <s v="No"/>
    <s v="No"/>
    <s v="Yes"/>
    <s v="No"/>
    <s v="No"/>
    <n v="157.5615049089451"/>
    <n v="78"/>
    <n v="1.23"/>
    <n v="1.22"/>
    <n v="1.34"/>
    <n v="1"/>
    <n v="1.31"/>
    <n v="1.1499999999999999"/>
    <n v="0.97"/>
    <n v="1"/>
    <n v="1"/>
    <n v="1"/>
    <n v="0.88"/>
    <n v="1"/>
    <n v="0.84"/>
    <n v="1"/>
    <n v="1"/>
    <n v="0.93"/>
    <n v="1"/>
    <n v="1"/>
    <n v="1"/>
    <n v="157.5615049089451"/>
    <n v="0"/>
    <s v="PASS"/>
    <n v="0"/>
    <x v="0"/>
  </r>
  <r>
    <s v="P0031"/>
    <d v="2026-01-25T00:00:00"/>
    <s v="Liability"/>
    <s v="16-24"/>
    <n v="1"/>
    <n v="0"/>
    <s v="Yes (Medium Score)"/>
    <s v="5,000-8,499"/>
    <s v="Silverlake (90026 )"/>
    <s v="$15,000-$24,999"/>
    <s v="Yes"/>
    <s v="No"/>
    <s v="No"/>
    <s v="No"/>
    <s v="No"/>
    <s v="Yes"/>
    <s v="No"/>
    <s v="Yes (Medium)"/>
    <s v="No"/>
    <s v="No"/>
    <s v="No"/>
    <s v="No"/>
    <s v="No"/>
    <n v="1226.058452005364"/>
    <n v="622"/>
    <n v="1.32"/>
    <n v="1.64"/>
    <n v="1"/>
    <n v="0.8"/>
    <n v="0.93"/>
    <n v="1.1599999999999999"/>
    <n v="1.08"/>
    <n v="1.28"/>
    <n v="1"/>
    <n v="1"/>
    <n v="1"/>
    <n v="1"/>
    <n v="0.72"/>
    <n v="1"/>
    <n v="1"/>
    <n v="1"/>
    <n v="1"/>
    <n v="1"/>
    <n v="1.06"/>
    <n v="1226.058452005364"/>
    <n v="0"/>
    <s v="PASS"/>
    <n v="0"/>
    <x v="0"/>
  </r>
  <r>
    <s v="P0032"/>
    <d v="2025-09-27T00:00:00"/>
    <s v="Collision"/>
    <s v="25-34"/>
    <n v="4"/>
    <n v="4"/>
    <s v="No"/>
    <s v="17,000+"/>
    <s v="DTLA (90012)"/>
    <s v="$5,000-$14,999"/>
    <s v="No"/>
    <s v="No"/>
    <s v="No"/>
    <s v="Yes"/>
    <s v="Yes"/>
    <s v="No"/>
    <s v="Yes (Low)"/>
    <s v="No"/>
    <s v="No"/>
    <s v="Yes"/>
    <s v="No"/>
    <s v="No"/>
    <s v="No"/>
    <n v="1618.2546881404303"/>
    <n v="453"/>
    <n v="1.23"/>
    <n v="1.1499999999999999"/>
    <n v="2.12"/>
    <n v="1"/>
    <n v="1.31"/>
    <n v="1.26"/>
    <n v="0.97"/>
    <n v="1"/>
    <n v="1"/>
    <n v="1"/>
    <n v="0.88"/>
    <n v="0.95"/>
    <n v="1"/>
    <n v="1"/>
    <n v="0.89"/>
    <n v="1"/>
    <n v="1"/>
    <n v="1"/>
    <n v="1"/>
    <n v="1618.2546881404303"/>
    <n v="0"/>
    <s v="PASS"/>
    <n v="0"/>
    <x v="0"/>
  </r>
  <r>
    <s v="P0033"/>
    <d v="2025-07-03T00:00:00"/>
    <s v="Liability"/>
    <s v="25-34"/>
    <n v="5"/>
    <n v="4"/>
    <s v="No"/>
    <s v="17,000+"/>
    <s v="DTLA (90012)"/>
    <s v="$0-$4,999"/>
    <s v="No"/>
    <s v="No"/>
    <s v="No"/>
    <s v="Yes"/>
    <s v="No"/>
    <s v="Yes"/>
    <s v="No"/>
    <s v="Yes (Medium)"/>
    <s v="No"/>
    <s v="No"/>
    <s v="No"/>
    <s v="No"/>
    <s v="No"/>
    <n v="1488.2846293289574"/>
    <n v="622"/>
    <n v="1.23"/>
    <n v="1.07"/>
    <n v="2.12"/>
    <n v="1"/>
    <n v="1.31"/>
    <n v="1.26"/>
    <n v="0.82"/>
    <n v="1"/>
    <n v="1"/>
    <n v="1"/>
    <n v="0.88"/>
    <n v="1"/>
    <n v="0.72"/>
    <n v="1"/>
    <n v="1"/>
    <n v="1"/>
    <n v="1"/>
    <n v="1"/>
    <n v="1"/>
    <n v="1488.2846293289574"/>
    <n v="0"/>
    <s v="PASS"/>
    <n v="0"/>
    <x v="0"/>
  </r>
  <r>
    <s v="P0034"/>
    <d v="2025-06-08T00:00:00"/>
    <s v="Liability"/>
    <s v="45-54"/>
    <s v="8+"/>
    <n v="4"/>
    <s v="Yes (Medium Score)"/>
    <s v="5,000-8,499"/>
    <s v="Silverlake (90026 )"/>
    <s v="$25,000-$44,999"/>
    <s v="No"/>
    <s v="No"/>
    <s v="No"/>
    <s v="Yes"/>
    <s v="No"/>
    <s v="Yes"/>
    <s v="No"/>
    <s v="Yes (Low)"/>
    <s v="Yes"/>
    <s v="No"/>
    <s v="No"/>
    <s v="No"/>
    <s v="No"/>
    <n v="715.87006261648253"/>
    <n v="622"/>
    <n v="1.07"/>
    <n v="0.93"/>
    <n v="2.12"/>
    <n v="0.8"/>
    <n v="0.93"/>
    <n v="1.1599999999999999"/>
    <n v="1.28"/>
    <n v="1"/>
    <n v="1"/>
    <n v="1"/>
    <n v="0.88"/>
    <n v="1"/>
    <n v="0.61"/>
    <n v="0.92"/>
    <n v="1"/>
    <n v="1"/>
    <n v="1"/>
    <n v="1"/>
    <n v="1"/>
    <n v="715.87006261648253"/>
    <n v="0"/>
    <s v="PASS"/>
    <n v="0"/>
    <x v="0"/>
  </r>
  <r>
    <s v="P0035"/>
    <d v="2026-04-19T00:00:00"/>
    <s v="Rental Car Reinbursement"/>
    <s v="65+"/>
    <n v="5"/>
    <n v="1"/>
    <s v="No"/>
    <s v="13,500-16,999"/>
    <s v="Fullerton (92832)"/>
    <s v="$15,000-$24,999"/>
    <s v="No"/>
    <s v="No"/>
    <s v="No"/>
    <s v="Yes"/>
    <s v="No"/>
    <s v="Yes"/>
    <s v="No"/>
    <s v="Yes (Medium)"/>
    <s v="No"/>
    <s v="No"/>
    <s v="No"/>
    <s v="Yes"/>
    <s v="No"/>
    <n v="67.274244091794358"/>
    <n v="41"/>
    <n v="1.27"/>
    <n v="1.07"/>
    <n v="1.34"/>
    <n v="1"/>
    <n v="1.18"/>
    <n v="1.1200000000000001"/>
    <n v="1.08"/>
    <n v="1"/>
    <n v="1"/>
    <n v="1"/>
    <n v="0.88"/>
    <n v="1"/>
    <n v="0.72"/>
    <n v="1"/>
    <n v="1"/>
    <n v="1"/>
    <n v="0.94"/>
    <n v="1"/>
    <n v="1.06"/>
    <n v="67.274244091794358"/>
    <n v="0"/>
    <s v="PASS"/>
    <n v="0"/>
    <x v="0"/>
  </r>
  <r>
    <s v="P0036"/>
    <d v="2025-08-03T00:00:00"/>
    <s v="Collision"/>
    <s v="45-54"/>
    <n v="7"/>
    <n v="0"/>
    <s v="No"/>
    <s v="8,500-13,499"/>
    <s v="Long Beach (90712)"/>
    <s v="$0-$4,999"/>
    <s v="No"/>
    <s v="No"/>
    <s v="No"/>
    <s v="Yes"/>
    <s v="Yes"/>
    <s v="No"/>
    <s v="Yes (Low)"/>
    <s v="No"/>
    <s v="No"/>
    <s v="No"/>
    <s v="Yes"/>
    <s v="No"/>
    <s v="No"/>
    <n v="328.79612157638405"/>
    <n v="453"/>
    <n v="1.07"/>
    <n v="0.95"/>
    <n v="1"/>
    <n v="1"/>
    <n v="1"/>
    <n v="1.1200000000000001"/>
    <n v="0.82"/>
    <n v="1"/>
    <n v="1"/>
    <n v="1"/>
    <n v="0.88"/>
    <n v="0.95"/>
    <n v="1"/>
    <n v="1"/>
    <n v="1"/>
    <n v="0.93"/>
    <n v="1"/>
    <n v="1"/>
    <n v="1"/>
    <n v="328.79612157638405"/>
    <n v="0"/>
    <s v="PASS"/>
    <n v="0"/>
    <x v="0"/>
  </r>
  <r>
    <s v="P0037"/>
    <d v="2026-02-24T00:00:00"/>
    <s v="Liability"/>
    <s v="45-54"/>
    <n v="7"/>
    <n v="3"/>
    <s v="No"/>
    <s v="8,500-13,499"/>
    <s v="Hollywood (90028)"/>
    <s v="$150,000+"/>
    <s v="No"/>
    <s v="No"/>
    <s v="No"/>
    <s v="No"/>
    <s v="No"/>
    <s v="Yes"/>
    <s v="No"/>
    <s v="Yes (Low)"/>
    <s v="No"/>
    <s v="Yes"/>
    <s v="No"/>
    <s v="No"/>
    <s v="No"/>
    <n v="2261.6412711456724"/>
    <n v="622"/>
    <n v="1.07"/>
    <n v="0.95"/>
    <n v="1.82"/>
    <n v="1"/>
    <n v="1"/>
    <n v="1.19"/>
    <n v="2.87"/>
    <n v="1"/>
    <n v="1"/>
    <n v="1"/>
    <n v="1"/>
    <n v="1"/>
    <n v="0.61"/>
    <n v="1"/>
    <n v="0.89"/>
    <n v="1"/>
    <n v="1"/>
    <n v="1"/>
    <n v="1.06"/>
    <n v="2261.6412711456724"/>
    <n v="0"/>
    <s v="PASS"/>
    <n v="0"/>
    <x v="0"/>
  </r>
  <r>
    <s v="P0038"/>
    <d v="2026-04-01T00:00:00"/>
    <s v="Liability"/>
    <s v="55-64"/>
    <n v="2"/>
    <n v="0"/>
    <s v="No"/>
    <s v="13,500-16,999"/>
    <s v="West Hollywood (90046)"/>
    <s v="$45,000-$84,999"/>
    <s v="No"/>
    <s v="No"/>
    <s v="Yes"/>
    <s v="No"/>
    <s v="No"/>
    <s v="Yes"/>
    <s v="No"/>
    <s v="Yes (Medium)"/>
    <s v="No"/>
    <s v="No"/>
    <s v="No"/>
    <s v="No"/>
    <s v="No"/>
    <n v="1901.0237294441079"/>
    <n v="622"/>
    <n v="1.1200000000000001"/>
    <n v="1.41"/>
    <n v="1"/>
    <n v="1"/>
    <n v="1.18"/>
    <n v="1.18"/>
    <n v="1.57"/>
    <n v="1"/>
    <n v="1"/>
    <n v="1.1599999999999999"/>
    <n v="1"/>
    <n v="1"/>
    <n v="0.72"/>
    <n v="1"/>
    <n v="1"/>
    <n v="1"/>
    <n v="1"/>
    <n v="1"/>
    <n v="1.06"/>
    <n v="1901.0237294441079"/>
    <n v="0"/>
    <s v="PASS"/>
    <n v="0"/>
    <x v="0"/>
  </r>
  <r>
    <s v="P0039"/>
    <d v="2026-04-16T00:00:00"/>
    <s v="Liability"/>
    <s v="35-44"/>
    <n v="6"/>
    <n v="2"/>
    <s v="Yes (Low Score)"/>
    <s v="8,500-13,499"/>
    <s v="Cypress (90630)"/>
    <s v="$85,000-$149,999"/>
    <s v="No"/>
    <s v="No"/>
    <s v="No"/>
    <s v="Yes"/>
    <s v="No"/>
    <s v="Yes"/>
    <s v="No"/>
    <s v="Yes (Low)"/>
    <s v="No"/>
    <s v="No"/>
    <s v="No"/>
    <s v="No"/>
    <s v="Yes"/>
    <n v="1102.8359628910482"/>
    <n v="622"/>
    <n v="1"/>
    <n v="1"/>
    <n v="1.55"/>
    <n v="0.95"/>
    <n v="1"/>
    <n v="1.08"/>
    <n v="2.02"/>
    <n v="1"/>
    <n v="1"/>
    <n v="1"/>
    <n v="0.88"/>
    <n v="1"/>
    <n v="0.61"/>
    <n v="1"/>
    <n v="1"/>
    <n v="1"/>
    <n v="1"/>
    <n v="0.97"/>
    <n v="1.06"/>
    <n v="1102.8359628910482"/>
    <n v="0"/>
    <s v="PASS"/>
    <n v="0"/>
    <x v="0"/>
  </r>
  <r>
    <s v="P0040"/>
    <d v="2025-09-01T00:00:00"/>
    <s v="Rental Car Reinbursement"/>
    <s v="65+"/>
    <n v="1"/>
    <n v="1"/>
    <s v="Yes (Low Score)"/>
    <s v="0-4,999"/>
    <s v="Huntington Beach (90742)"/>
    <s v="$5,000-$14,999"/>
    <s v="No"/>
    <s v="No"/>
    <s v="Yes"/>
    <s v="No"/>
    <s v="No"/>
    <s v="Yes"/>
    <s v="No"/>
    <s v="Yes (Medium)"/>
    <s v="Yes"/>
    <s v="Yes"/>
    <s v="No"/>
    <s v="No"/>
    <s v="No"/>
    <n v="57.948181454707772"/>
    <n v="41"/>
    <n v="1.27"/>
    <n v="1.64"/>
    <n v="1.34"/>
    <n v="0.95"/>
    <n v="0.82"/>
    <n v="0.98"/>
    <n v="0.97"/>
    <n v="1"/>
    <n v="1"/>
    <n v="1.1599999999999999"/>
    <n v="1"/>
    <n v="1"/>
    <n v="0.72"/>
    <n v="0.92"/>
    <n v="0.89"/>
    <n v="1"/>
    <n v="1"/>
    <n v="1"/>
    <n v="1"/>
    <n v="57.948181454707772"/>
    <n v="0"/>
    <s v="PASS"/>
    <n v="0"/>
    <x v="0"/>
  </r>
  <r>
    <s v="P0041"/>
    <d v="2025-12-01T00:00:00"/>
    <s v="Liability"/>
    <s v="25-34"/>
    <n v="7"/>
    <n v="1"/>
    <s v="No"/>
    <s v="0-4,999"/>
    <s v="Culver City (90066)"/>
    <s v="$25,000-$44,999"/>
    <s v="No"/>
    <s v="No"/>
    <s v="No"/>
    <s v="Yes"/>
    <s v="No"/>
    <s v="Yes"/>
    <s v="No"/>
    <s v="Yes (Low)"/>
    <s v="No"/>
    <s v="Yes"/>
    <s v="No"/>
    <s v="No"/>
    <s v="No"/>
    <n v="561.62712649076173"/>
    <n v="622"/>
    <n v="1.23"/>
    <n v="0.95"/>
    <n v="1.34"/>
    <n v="1"/>
    <n v="0.82"/>
    <n v="1.1499999999999999"/>
    <n v="1.28"/>
    <n v="1"/>
    <n v="1"/>
    <n v="1"/>
    <n v="0.88"/>
    <n v="1"/>
    <n v="0.61"/>
    <n v="1"/>
    <n v="0.89"/>
    <n v="1"/>
    <n v="1"/>
    <n v="1"/>
    <n v="1"/>
    <n v="561.62712649076173"/>
    <n v="0"/>
    <s v="PASS"/>
    <n v="0"/>
    <x v="0"/>
  </r>
  <r>
    <s v="P0042"/>
    <d v="2025-12-03T00:00:00"/>
    <s v="Comprehensive"/>
    <s v="16-24"/>
    <s v="8+"/>
    <n v="4"/>
    <s v="Yes (High Score)"/>
    <s v="0-4,999"/>
    <s v="Long Beach (90712)"/>
    <s v="$0-$4,999"/>
    <s v="No"/>
    <s v="No"/>
    <s v="No"/>
    <s v="No"/>
    <s v="Yes"/>
    <s v="No"/>
    <s v="Yes (Medium)"/>
    <s v="No"/>
    <s v="No"/>
    <s v="Yes"/>
    <s v="No"/>
    <s v="No"/>
    <s v="No"/>
    <n v="115.24085925499091"/>
    <n v="121"/>
    <n v="1.32"/>
    <n v="0.93"/>
    <n v="2.12"/>
    <n v="0.65"/>
    <n v="0.82"/>
    <n v="1.1200000000000001"/>
    <n v="0.82"/>
    <n v="1"/>
    <n v="1"/>
    <n v="1"/>
    <n v="1"/>
    <n v="0.84"/>
    <n v="1"/>
    <n v="1"/>
    <n v="0.89"/>
    <n v="1"/>
    <n v="1"/>
    <n v="1"/>
    <n v="1"/>
    <n v="115.24085925499091"/>
    <n v="0"/>
    <s v="PASS"/>
    <n v="0"/>
    <x v="0"/>
  </r>
  <r>
    <s v="P0043"/>
    <d v="2025-05-29T00:00:00"/>
    <s v="Collision"/>
    <s v="55-64"/>
    <n v="3"/>
    <n v="4"/>
    <s v="Yes (Low Score)"/>
    <s v="17,000+"/>
    <s v="Long Beach (90712)"/>
    <s v="$0-$4,999"/>
    <s v="No"/>
    <s v="Yes"/>
    <s v="No"/>
    <s v="Yes"/>
    <s v="Yes"/>
    <s v="No"/>
    <s v="Yes (Medium)"/>
    <s v="No"/>
    <s v="No"/>
    <s v="Yes"/>
    <s v="Yes"/>
    <s v="No"/>
    <s v="No"/>
    <n v="1110.3476455838561"/>
    <n v="453"/>
    <n v="1.1200000000000001"/>
    <n v="1.22"/>
    <n v="2.12"/>
    <n v="0.95"/>
    <n v="1.31"/>
    <n v="1.1200000000000001"/>
    <n v="0.82"/>
    <n v="1"/>
    <n v="1.21"/>
    <n v="1"/>
    <n v="0.88"/>
    <n v="0.84"/>
    <n v="1"/>
    <n v="1"/>
    <n v="0.89"/>
    <n v="0.93"/>
    <n v="1"/>
    <n v="1"/>
    <n v="1"/>
    <n v="1110.3476455838561"/>
    <n v="0"/>
    <s v="PASS"/>
    <n v="0"/>
    <x v="0"/>
  </r>
  <r>
    <s v="P0044"/>
    <d v="2025-05-04T00:00:00"/>
    <s v="Uninsured Motorist"/>
    <s v="25-34"/>
    <s v="8+"/>
    <n v="0"/>
    <s v="No"/>
    <s v="13,500-16,999"/>
    <s v="Irvine (92602)"/>
    <s v="$45,000-$84,999"/>
    <s v="No"/>
    <s v="No"/>
    <s v="No"/>
    <s v="No"/>
    <s v="No"/>
    <s v="Yes"/>
    <s v="No"/>
    <s v="Yes (High)"/>
    <s v="No"/>
    <s v="No"/>
    <s v="No"/>
    <s v="No"/>
    <s v="No"/>
    <n v="151.34570697355198"/>
    <n v="78"/>
    <n v="1.23"/>
    <n v="0.93"/>
    <n v="1"/>
    <n v="1"/>
    <n v="1.18"/>
    <n v="1.0900000000000001"/>
    <n v="1.57"/>
    <n v="1"/>
    <n v="1"/>
    <n v="1"/>
    <n v="1"/>
    <n v="1"/>
    <n v="0.84"/>
    <n v="1"/>
    <n v="1"/>
    <n v="1"/>
    <n v="1"/>
    <n v="1"/>
    <n v="1"/>
    <n v="151.34570697355198"/>
    <n v="0"/>
    <s v="PASS"/>
    <n v="0"/>
    <x v="0"/>
  </r>
  <r>
    <s v="P0045"/>
    <d v="2025-11-26T00:00:00"/>
    <s v="Liability"/>
    <s v="35-44"/>
    <n v="3"/>
    <n v="1"/>
    <s v="Yes (Low Score)"/>
    <s v="0-4,999"/>
    <s v="Newport Beach (92603)"/>
    <s v="$150,000+"/>
    <s v="No"/>
    <s v="No"/>
    <s v="Yes"/>
    <s v="No"/>
    <s v="No"/>
    <s v="Yes"/>
    <s v="No"/>
    <s v="Yes (High)"/>
    <s v="No"/>
    <s v="No"/>
    <s v="No"/>
    <s v="No"/>
    <s v="No"/>
    <n v="2082.2817702701573"/>
    <n v="622"/>
    <n v="1"/>
    <n v="1.22"/>
    <n v="1.34"/>
    <n v="0.95"/>
    <n v="0.82"/>
    <n v="0.94"/>
    <n v="2.87"/>
    <n v="1"/>
    <n v="1"/>
    <n v="1.1599999999999999"/>
    <n v="1"/>
    <n v="1"/>
    <n v="0.84"/>
    <n v="1"/>
    <n v="1"/>
    <n v="1"/>
    <n v="1"/>
    <n v="1"/>
    <n v="1"/>
    <n v="2082.2817702701573"/>
    <n v="0"/>
    <s v="PASS"/>
    <n v="0"/>
    <x v="0"/>
  </r>
  <r>
    <s v="P0046"/>
    <d v="2025-07-29T00:00:00"/>
    <s v="Rental Car Reinbursement"/>
    <s v="55-64"/>
    <s v="8+"/>
    <n v="1"/>
    <s v="Yes (High Score)"/>
    <s v="13,500-16,999"/>
    <s v="Long Beach (90712)"/>
    <s v="$15,000-$24,999"/>
    <s v="No"/>
    <s v="No"/>
    <s v="No"/>
    <s v="No"/>
    <s v="No"/>
    <s v="Yes"/>
    <s v="No"/>
    <s v="Yes (Low)"/>
    <s v="No"/>
    <s v="Yes"/>
    <s v="Yes"/>
    <s v="No"/>
    <s v="No"/>
    <n v="26.805848493068265"/>
    <n v="41"/>
    <n v="1.1200000000000001"/>
    <n v="0.93"/>
    <n v="1.34"/>
    <n v="0.65"/>
    <n v="1.18"/>
    <n v="1.1200000000000001"/>
    <n v="1.08"/>
    <n v="1"/>
    <n v="1"/>
    <n v="1"/>
    <n v="1"/>
    <n v="1"/>
    <n v="0.61"/>
    <n v="1"/>
    <n v="0.89"/>
    <n v="0.93"/>
    <n v="1"/>
    <n v="1"/>
    <n v="1"/>
    <n v="26.805848493068265"/>
    <n v="0"/>
    <s v="PASS"/>
    <n v="0"/>
    <x v="0"/>
  </r>
  <r>
    <s v="P0047"/>
    <d v="2025-08-15T00:00:00"/>
    <s v="Liability"/>
    <s v="55-64"/>
    <n v="4"/>
    <n v="3"/>
    <s v="No"/>
    <s v="17,000+"/>
    <s v="Hawthorne (90250)"/>
    <s v="$150,000+"/>
    <s v="No"/>
    <s v="Yes"/>
    <s v="No"/>
    <s v="Yes"/>
    <s v="No"/>
    <s v="Yes"/>
    <s v="No"/>
    <s v="Yes (Low)"/>
    <s v="Yes"/>
    <s v="No"/>
    <s v="Yes"/>
    <s v="No"/>
    <s v="No"/>
    <n v="3320.6719939522754"/>
    <n v="622"/>
    <n v="1.1200000000000001"/>
    <n v="1.1499999999999999"/>
    <n v="1.82"/>
    <n v="1"/>
    <n v="1.31"/>
    <n v="1.0900000000000001"/>
    <n v="2.87"/>
    <n v="1"/>
    <n v="1.21"/>
    <n v="1"/>
    <n v="0.88"/>
    <n v="1"/>
    <n v="0.61"/>
    <n v="0.92"/>
    <n v="1"/>
    <n v="0.93"/>
    <n v="1"/>
    <n v="1"/>
    <n v="1"/>
    <n v="3320.6719939522754"/>
    <n v="0"/>
    <s v="PASS"/>
    <n v="0"/>
    <x v="0"/>
  </r>
  <r>
    <s v="P0048"/>
    <d v="2025-10-30T00:00:00"/>
    <s v="Liability"/>
    <s v="65+"/>
    <n v="1"/>
    <n v="1"/>
    <s v="Yes (High Score)"/>
    <s v="5,000-8,499"/>
    <s v="Hawthorne (90250)"/>
    <s v="$85,000-$149,999"/>
    <s v="No"/>
    <s v="No"/>
    <s v="No"/>
    <s v="Yes"/>
    <s v="No"/>
    <s v="Yes"/>
    <s v="No"/>
    <s v="Yes (Low)"/>
    <s v="No"/>
    <s v="Yes"/>
    <s v="Yes"/>
    <s v="No"/>
    <s v="No"/>
    <n v="1026.6026642294407"/>
    <n v="622"/>
    <n v="1.27"/>
    <n v="1.64"/>
    <n v="1.34"/>
    <n v="0.65"/>
    <n v="0.93"/>
    <n v="1.0900000000000001"/>
    <n v="2.02"/>
    <n v="1"/>
    <n v="1"/>
    <n v="1"/>
    <n v="0.88"/>
    <n v="1"/>
    <n v="0.61"/>
    <n v="1"/>
    <n v="0.89"/>
    <n v="0.93"/>
    <n v="1"/>
    <n v="1"/>
    <n v="1"/>
    <n v="1026.6026642294407"/>
    <n v="0"/>
    <s v="PASS"/>
    <n v="0"/>
    <x v="0"/>
  </r>
  <r>
    <s v="P0049"/>
    <d v="2025-09-26T00:00:00"/>
    <s v="Collision"/>
    <s v="25-34"/>
    <n v="4"/>
    <n v="0"/>
    <s v="No"/>
    <s v="8,500-13,499"/>
    <s v="Costa Mesa (92626)"/>
    <s v="$5,000-$14,999"/>
    <s v="No"/>
    <s v="No"/>
    <s v="No"/>
    <s v="No"/>
    <s v="Yes"/>
    <s v="No"/>
    <s v="Yes (Medium)"/>
    <s v="No"/>
    <s v="No"/>
    <s v="Yes"/>
    <s v="Yes"/>
    <s v="No"/>
    <s v="No"/>
    <n v="397.56940577791914"/>
    <n v="453"/>
    <n v="1.23"/>
    <n v="1.1499999999999999"/>
    <n v="1"/>
    <n v="1"/>
    <n v="1"/>
    <n v="0.92"/>
    <n v="0.97"/>
    <n v="1"/>
    <n v="1"/>
    <n v="1"/>
    <n v="1"/>
    <n v="0.84"/>
    <n v="1"/>
    <n v="1"/>
    <n v="0.89"/>
    <n v="0.93"/>
    <n v="1"/>
    <n v="1"/>
    <n v="1"/>
    <n v="397.56940577791914"/>
    <n v="0"/>
    <s v="PASS"/>
    <n v="0"/>
    <x v="0"/>
  </r>
  <r>
    <s v="P0050"/>
    <d v="2025-10-01T00:00:00"/>
    <s v="Uninsured Motorist"/>
    <s v="25-34"/>
    <n v="7"/>
    <n v="3"/>
    <s v="Yes (High Score)"/>
    <s v="17,000+"/>
    <s v="Hollywood (90028)"/>
    <s v="$150,000+"/>
    <s v="No"/>
    <s v="No"/>
    <s v="No"/>
    <s v="Yes"/>
    <s v="No"/>
    <s v="Yes"/>
    <s v="No"/>
    <s v="Yes (Medium)"/>
    <s v="Yes"/>
    <s v="No"/>
    <s v="No"/>
    <s v="Yes"/>
    <s v="No"/>
    <n v="264.32550301967518"/>
    <n v="78"/>
    <n v="1.23"/>
    <n v="0.95"/>
    <n v="1.82"/>
    <n v="0.65"/>
    <n v="1.31"/>
    <n v="1.19"/>
    <n v="2.87"/>
    <n v="1"/>
    <n v="1"/>
    <n v="1"/>
    <n v="0.88"/>
    <n v="1"/>
    <n v="0.72"/>
    <n v="0.92"/>
    <n v="1"/>
    <n v="1"/>
    <n v="0.94"/>
    <n v="1"/>
    <n v="1"/>
    <n v="264.32550301967518"/>
    <n v="0"/>
    <s v="PASS"/>
    <n v="0"/>
    <x v="0"/>
  </r>
  <r>
    <s v="P0051"/>
    <d v="2025-06-09T00:00:00"/>
    <s v="Liability"/>
    <s v="55-64"/>
    <n v="6"/>
    <n v="1"/>
    <s v="No"/>
    <s v="8,500-13,499"/>
    <s v="Orange (92705)"/>
    <s v="$5,000-$14,999"/>
    <s v="No"/>
    <s v="Yes"/>
    <s v="No"/>
    <s v="Yes"/>
    <s v="No"/>
    <s v="Yes"/>
    <s v="No"/>
    <s v="Yes (Low)"/>
    <s v="No"/>
    <s v="Yes"/>
    <s v="Yes"/>
    <s v="No"/>
    <s v="Yes"/>
    <n v="481.64569037177597"/>
    <n v="622"/>
    <n v="1.1200000000000001"/>
    <n v="1"/>
    <n v="1.34"/>
    <n v="1"/>
    <n v="1"/>
    <n v="1.02"/>
    <n v="0.97"/>
    <n v="1"/>
    <n v="1.21"/>
    <n v="1"/>
    <n v="0.88"/>
    <n v="1"/>
    <n v="0.61"/>
    <n v="1"/>
    <n v="0.89"/>
    <n v="0.93"/>
    <n v="1"/>
    <n v="0.97"/>
    <n v="1"/>
    <n v="481.64569037177597"/>
    <n v="0"/>
    <s v="PASS"/>
    <n v="0"/>
    <x v="0"/>
  </r>
  <r>
    <s v="P0052"/>
    <d v="2025-11-09T00:00:00"/>
    <s v="Liability"/>
    <s v="16-24"/>
    <n v="2"/>
    <n v="1"/>
    <s v="Yes (Low Score)"/>
    <s v="13,500-16,999"/>
    <s v="Koreatown (90006)"/>
    <s v="$5,000-$14,999"/>
    <s v="No"/>
    <s v="No"/>
    <s v="No"/>
    <s v="No"/>
    <s v="No"/>
    <s v="Yes"/>
    <s v="No"/>
    <s v="Yes (Low)"/>
    <s v="No"/>
    <s v="No"/>
    <s v="No"/>
    <s v="No"/>
    <s v="No"/>
    <n v="1245.032760353474"/>
    <n v="622"/>
    <n v="1.32"/>
    <n v="1.41"/>
    <n v="1.34"/>
    <n v="0.95"/>
    <n v="1.18"/>
    <n v="1.21"/>
    <n v="0.97"/>
    <n v="1"/>
    <n v="1"/>
    <n v="1"/>
    <n v="1"/>
    <n v="1"/>
    <n v="0.61"/>
    <n v="1"/>
    <n v="1"/>
    <n v="1"/>
    <n v="1"/>
    <n v="1"/>
    <n v="1"/>
    <n v="1245.032760353474"/>
    <n v="0"/>
    <s v="PASS"/>
    <n v="0"/>
    <x v="0"/>
  </r>
  <r>
    <s v="P0053"/>
    <d v="2026-03-10T00:00:00"/>
    <s v="Collision"/>
    <s v="55-64"/>
    <s v="8+"/>
    <n v="4"/>
    <s v="Yes (Low Score)"/>
    <s v="8,500-13,499"/>
    <s v="West Hollywood (90046)"/>
    <s v="$0-$4,999"/>
    <s v="No"/>
    <s v="Yes"/>
    <s v="No"/>
    <s v="No"/>
    <s v="Yes"/>
    <s v="No"/>
    <s v="Yes (Low)"/>
    <s v="No"/>
    <s v="No"/>
    <s v="No"/>
    <s v="No"/>
    <s v="Yes"/>
    <s v="No"/>
    <n v="1053.1668816042034"/>
    <n v="453"/>
    <n v="1.1200000000000001"/>
    <n v="0.93"/>
    <n v="2.12"/>
    <n v="0.95"/>
    <n v="1"/>
    <n v="1.18"/>
    <n v="0.82"/>
    <n v="1"/>
    <n v="1.21"/>
    <n v="1"/>
    <n v="1"/>
    <n v="0.95"/>
    <n v="1"/>
    <n v="1"/>
    <n v="1"/>
    <n v="1"/>
    <n v="0.94"/>
    <n v="1"/>
    <n v="1.06"/>
    <n v="1053.1668816042034"/>
    <n v="0"/>
    <s v="PASS"/>
    <n v="0"/>
    <x v="0"/>
  </r>
  <r>
    <s v="P0054"/>
    <d v="2025-11-29T00:00:00"/>
    <s v="Collision"/>
    <s v="55-64"/>
    <n v="3"/>
    <n v="1"/>
    <s v="Yes (High Score)"/>
    <s v="8,500-13,499"/>
    <s v="Newport Beach (92603)"/>
    <s v="$0-$4,999"/>
    <s v="No"/>
    <s v="No"/>
    <s v="No"/>
    <s v="No"/>
    <s v="Yes"/>
    <s v="No"/>
    <s v="Yes (Medium)"/>
    <s v="No"/>
    <s v="No"/>
    <s v="No"/>
    <s v="No"/>
    <s v="No"/>
    <s v="No"/>
    <n v="349.07215120727039"/>
    <n v="453"/>
    <n v="1.1200000000000001"/>
    <n v="1.22"/>
    <n v="1.34"/>
    <n v="0.65"/>
    <n v="1"/>
    <n v="0.94"/>
    <n v="0.82"/>
    <n v="1"/>
    <n v="1"/>
    <n v="1"/>
    <n v="1"/>
    <n v="0.84"/>
    <n v="1"/>
    <n v="1"/>
    <n v="1"/>
    <n v="1"/>
    <n v="1"/>
    <n v="1"/>
    <n v="1"/>
    <n v="349.07215120727039"/>
    <n v="0"/>
    <s v="PASS"/>
    <n v="0"/>
    <x v="0"/>
  </r>
  <r>
    <s v="P0055"/>
    <d v="2025-07-25T00:00:00"/>
    <s v="Comprehensive"/>
    <s v="55-64"/>
    <n v="4"/>
    <s v="5+"/>
    <s v="No"/>
    <s v="17,000+"/>
    <s v="Santa Ana (92702)"/>
    <s v="$15,000-$24,999"/>
    <s v="No"/>
    <s v="No"/>
    <s v="No"/>
    <s v="No"/>
    <s v="Yes"/>
    <s v="No"/>
    <s v="Yes (High)"/>
    <s v="No"/>
    <s v="No"/>
    <s v="No"/>
    <s v="No"/>
    <s v="No"/>
    <s v="No"/>
    <n v="399.96860742558738"/>
    <n v="121"/>
    <n v="1.1200000000000001"/>
    <n v="1.1499999999999999"/>
    <n v="2.4700000000000002"/>
    <n v="1"/>
    <n v="1.31"/>
    <n v="1.02"/>
    <n v="1.08"/>
    <n v="1"/>
    <n v="1"/>
    <n v="1"/>
    <n v="1"/>
    <n v="0.72"/>
    <n v="1"/>
    <n v="1"/>
    <n v="1"/>
    <n v="1"/>
    <n v="1"/>
    <n v="1"/>
    <n v="1"/>
    <n v="399.96860742558738"/>
    <n v="0"/>
    <s v="PASS"/>
    <n v="0"/>
    <x v="0"/>
  </r>
  <r>
    <s v="P0056"/>
    <d v="2025-07-09T00:00:00"/>
    <s v="Collision"/>
    <s v="25-34"/>
    <n v="7"/>
    <s v="5+"/>
    <s v="No"/>
    <s v="8,500-13,499"/>
    <s v="Lake Forrest (92609)"/>
    <s v="$0-$4,999"/>
    <s v="No"/>
    <s v="No"/>
    <s v="Yes"/>
    <s v="Yes"/>
    <s v="Yes"/>
    <s v="No"/>
    <s v="Yes (Low)"/>
    <s v="No"/>
    <s v="No"/>
    <s v="Yes"/>
    <s v="Yes"/>
    <s v="Yes"/>
    <s v="Yes"/>
    <n v="745.41501987963056"/>
    <n v="453"/>
    <n v="1.23"/>
    <n v="0.95"/>
    <n v="2.4700000000000002"/>
    <n v="1"/>
    <n v="1"/>
    <n v="0.95"/>
    <n v="0.82"/>
    <n v="1"/>
    <n v="1"/>
    <n v="1.1599999999999999"/>
    <n v="0.88"/>
    <n v="0.95"/>
    <n v="1"/>
    <n v="1"/>
    <n v="0.89"/>
    <n v="0.93"/>
    <n v="0.94"/>
    <n v="0.97"/>
    <n v="1"/>
    <n v="745.41501987963056"/>
    <n v="0"/>
    <s v="PASS"/>
    <n v="0"/>
    <x v="0"/>
  </r>
  <r>
    <s v="P0057"/>
    <d v="2026-04-20T00:00:00"/>
    <s v="Collision"/>
    <s v="35-44"/>
    <n v="4"/>
    <n v="1"/>
    <s v="Yes (Medium Score)"/>
    <s v="13,500-16,999"/>
    <s v="Torrance (90248)"/>
    <s v="$150,000+"/>
    <s v="No"/>
    <s v="No"/>
    <s v="Yes"/>
    <s v="No"/>
    <s v="Yes"/>
    <s v="No"/>
    <s v="Yes (Low)"/>
    <s v="No"/>
    <s v="No"/>
    <s v="No"/>
    <s v="No"/>
    <s v="No"/>
    <s v="No"/>
    <n v="2474.3447758355351"/>
    <n v="453"/>
    <n v="1"/>
    <n v="1.1499999999999999"/>
    <n v="1.34"/>
    <n v="0.8"/>
    <n v="1.18"/>
    <n v="1.1200000000000001"/>
    <n v="2.87"/>
    <n v="1"/>
    <n v="1"/>
    <n v="1.1599999999999999"/>
    <n v="1"/>
    <n v="0.95"/>
    <n v="1"/>
    <n v="1"/>
    <n v="1"/>
    <n v="1"/>
    <n v="1"/>
    <n v="1"/>
    <n v="1.06"/>
    <n v="2474.3447758355351"/>
    <n v="0"/>
    <s v="PASS"/>
    <n v="0"/>
    <x v="0"/>
  </r>
  <r>
    <s v="P0058"/>
    <d v="2025-09-20T00:00:00"/>
    <s v="Liability"/>
    <s v="25-34"/>
    <s v="8+"/>
    <n v="1"/>
    <s v="No"/>
    <s v="0-4,999"/>
    <s v="West Hollywood (90046)"/>
    <s v="$25,000-$44,999"/>
    <s v="No"/>
    <s v="No"/>
    <s v="No"/>
    <s v="Yes"/>
    <s v="No"/>
    <s v="Yes"/>
    <s v="No"/>
    <s v="Yes (High)"/>
    <s v="No"/>
    <s v="No"/>
    <s v="Yes"/>
    <s v="No"/>
    <s v="No"/>
    <n v="811.77183512205806"/>
    <n v="622"/>
    <n v="1.23"/>
    <n v="0.93"/>
    <n v="1.34"/>
    <n v="1"/>
    <n v="0.82"/>
    <n v="1.18"/>
    <n v="1.28"/>
    <n v="1"/>
    <n v="1"/>
    <n v="1"/>
    <n v="0.88"/>
    <n v="1"/>
    <n v="0.84"/>
    <n v="1"/>
    <n v="1"/>
    <n v="0.93"/>
    <n v="1"/>
    <n v="1"/>
    <n v="1"/>
    <n v="811.77183512205806"/>
    <n v="0"/>
    <s v="PASS"/>
    <n v="0"/>
    <x v="0"/>
  </r>
  <r>
    <s v="P0059"/>
    <d v="2025-12-05T00:00:00"/>
    <s v="Liability"/>
    <s v="55-64"/>
    <n v="4"/>
    <n v="0"/>
    <s v="Yes (Low Score)"/>
    <s v="8,500-13,499"/>
    <s v="Torrance (90248)"/>
    <s v="$150,000+"/>
    <s v="No"/>
    <s v="Yes"/>
    <s v="No"/>
    <s v="No"/>
    <s v="No"/>
    <s v="Yes"/>
    <s v="No"/>
    <s v="Yes (Low)"/>
    <s v="No"/>
    <s v="Yes"/>
    <s v="No"/>
    <s v="No"/>
    <s v="No"/>
    <n v="1607.0707045941365"/>
    <n v="622"/>
    <n v="1.1200000000000001"/>
    <n v="1.1499999999999999"/>
    <n v="1"/>
    <n v="0.95"/>
    <n v="1"/>
    <n v="1.1200000000000001"/>
    <n v="2.87"/>
    <n v="1"/>
    <n v="1.21"/>
    <n v="1"/>
    <n v="1"/>
    <n v="1"/>
    <n v="0.61"/>
    <n v="1"/>
    <n v="0.89"/>
    <n v="1"/>
    <n v="1"/>
    <n v="1"/>
    <n v="1"/>
    <n v="1607.0707045941365"/>
    <n v="0"/>
    <s v="PASS"/>
    <n v="0"/>
    <x v="0"/>
  </r>
  <r>
    <s v="P0060"/>
    <d v="2026-04-13T00:00:00"/>
    <s v="Collision"/>
    <s v="55-64"/>
    <n v="1"/>
    <n v="1"/>
    <s v="No"/>
    <s v="17,000+"/>
    <s v="Santa Ana (92702)"/>
    <s v="$85,000-$149,999"/>
    <s v="Yes"/>
    <s v="No"/>
    <s v="No"/>
    <s v="No"/>
    <s v="Yes"/>
    <s v="No"/>
    <s v="Yes (Medium)"/>
    <s v="No"/>
    <s v="No"/>
    <s v="No"/>
    <s v="Yes"/>
    <s v="No"/>
    <s v="No"/>
    <n v="3189.8170677039043"/>
    <n v="453"/>
    <n v="1.1200000000000001"/>
    <n v="1.64"/>
    <n v="1.34"/>
    <n v="1"/>
    <n v="1.31"/>
    <n v="1.02"/>
    <n v="2.02"/>
    <n v="1.28"/>
    <n v="1"/>
    <n v="1"/>
    <n v="1"/>
    <n v="0.84"/>
    <n v="1"/>
    <n v="1"/>
    <n v="1"/>
    <n v="0.93"/>
    <n v="1"/>
    <n v="1"/>
    <n v="1.06"/>
    <n v="3189.8170677039043"/>
    <n v="0"/>
    <s v="PASS"/>
    <n v="0"/>
    <x v="0"/>
  </r>
  <r>
    <s v="P0061"/>
    <d v="2026-03-26T00:00:00"/>
    <s v="Liability"/>
    <s v="55-64"/>
    <n v="1"/>
    <n v="4"/>
    <s v="No"/>
    <s v="17,000+"/>
    <s v="Long Beach (90712)"/>
    <s v="$150,000+"/>
    <s v="No"/>
    <s v="No"/>
    <s v="Yes"/>
    <s v="No"/>
    <s v="No"/>
    <s v="Yes"/>
    <s v="No"/>
    <s v="Yes (Low)"/>
    <s v="Yes"/>
    <s v="No"/>
    <s v="No"/>
    <s v="No"/>
    <s v="No"/>
    <n v="7037.8636433414285"/>
    <n v="622"/>
    <n v="1.1200000000000001"/>
    <n v="1.64"/>
    <n v="2.12"/>
    <n v="1"/>
    <n v="1.31"/>
    <n v="1.1200000000000001"/>
    <n v="2.87"/>
    <n v="1"/>
    <n v="1"/>
    <n v="1.1599999999999999"/>
    <n v="1"/>
    <n v="1"/>
    <n v="0.61"/>
    <n v="0.92"/>
    <n v="1"/>
    <n v="1"/>
    <n v="1"/>
    <n v="1"/>
    <n v="1.06"/>
    <n v="7037.8636433414285"/>
    <n v="0"/>
    <s v="PASS"/>
    <n v="0"/>
    <x v="0"/>
  </r>
  <r>
    <s v="P0062"/>
    <d v="2026-04-09T00:00:00"/>
    <s v="Collision"/>
    <s v="35-44"/>
    <n v="2"/>
    <n v="2"/>
    <s v="No"/>
    <s v="8,500-13,499"/>
    <s v="Torrance (90248)"/>
    <s v="$150,000+"/>
    <s v="No"/>
    <s v="Yes"/>
    <s v="Yes"/>
    <s v="Yes"/>
    <s v="Yes"/>
    <s v="No"/>
    <s v="Yes (Low)"/>
    <s v="No"/>
    <s v="No"/>
    <s v="Yes"/>
    <s v="Yes"/>
    <s v="No"/>
    <s v="No"/>
    <n v="3276.2526836032243"/>
    <n v="453"/>
    <n v="1"/>
    <n v="1.41"/>
    <n v="1.55"/>
    <n v="1"/>
    <n v="1"/>
    <n v="1.1200000000000001"/>
    <n v="2.87"/>
    <n v="1"/>
    <n v="1.21"/>
    <n v="1.1599999999999999"/>
    <n v="0.88"/>
    <n v="0.95"/>
    <n v="1"/>
    <n v="1"/>
    <n v="0.89"/>
    <n v="0.93"/>
    <n v="1"/>
    <n v="1"/>
    <n v="1.06"/>
    <n v="3276.2526836032243"/>
    <n v="0"/>
    <s v="PASS"/>
    <n v="0"/>
    <x v="0"/>
  </r>
  <r>
    <s v="P0063"/>
    <d v="2026-02-28T00:00:00"/>
    <s v="Collision"/>
    <s v="25-34"/>
    <n v="5"/>
    <n v="4"/>
    <s v="Yes (High Score)"/>
    <s v="17,000+"/>
    <s v="Long Beach (90712)"/>
    <s v="$25,000-$44,999"/>
    <s v="No"/>
    <s v="No"/>
    <s v="No"/>
    <s v="No"/>
    <s v="Yes"/>
    <s v="No"/>
    <s v="Yes (Medium)"/>
    <s v="No"/>
    <s v="No"/>
    <s v="No"/>
    <s v="No"/>
    <s v="No"/>
    <s v="No"/>
    <n v="1373.7912565926392"/>
    <n v="453"/>
    <n v="1.23"/>
    <n v="1.07"/>
    <n v="2.12"/>
    <n v="0.65"/>
    <n v="1.31"/>
    <n v="1.1200000000000001"/>
    <n v="1.28"/>
    <n v="1"/>
    <n v="1"/>
    <n v="1"/>
    <n v="1"/>
    <n v="0.84"/>
    <n v="1"/>
    <n v="1"/>
    <n v="1"/>
    <n v="1"/>
    <n v="1"/>
    <n v="1"/>
    <n v="1.06"/>
    <n v="1373.7912565926392"/>
    <n v="0"/>
    <s v="PASS"/>
    <n v="0"/>
    <x v="0"/>
  </r>
  <r>
    <s v="P0064"/>
    <d v="2026-03-23T00:00:00"/>
    <s v="Uninsured Motorist"/>
    <s v="65+"/>
    <n v="4"/>
    <n v="0"/>
    <s v="Yes (Medium Score)"/>
    <s v="13,500-16,999"/>
    <s v="Lake Forrest (92609)"/>
    <s v="$150,000+"/>
    <s v="No"/>
    <s v="No"/>
    <s v="No"/>
    <s v="No"/>
    <s v="No"/>
    <s v="Yes"/>
    <s v="No"/>
    <s v="Yes (High)"/>
    <s v="Yes"/>
    <s v="Yes"/>
    <s v="No"/>
    <s v="No"/>
    <s v="No"/>
    <n v="213.76502288856869"/>
    <n v="78"/>
    <n v="1.27"/>
    <n v="1.1499999999999999"/>
    <n v="1"/>
    <n v="0.8"/>
    <n v="1.18"/>
    <n v="0.95"/>
    <n v="2.87"/>
    <n v="1"/>
    <n v="1"/>
    <n v="1"/>
    <n v="1"/>
    <n v="1"/>
    <n v="0.84"/>
    <n v="0.92"/>
    <n v="0.89"/>
    <n v="1"/>
    <n v="1"/>
    <n v="1"/>
    <n v="1.06"/>
    <n v="213.76502288856869"/>
    <n v="0"/>
    <s v="PASS"/>
    <n v="0"/>
    <x v="0"/>
  </r>
  <r>
    <s v="P0065"/>
    <d v="2025-06-25T00:00:00"/>
    <s v="Liability"/>
    <s v="65+"/>
    <n v="7"/>
    <n v="1"/>
    <s v="Yes (High Score)"/>
    <s v="5,000-8,499"/>
    <s v="Anaheim (92801)"/>
    <s v="$0-$4,999"/>
    <s v="No"/>
    <s v="No"/>
    <s v="No"/>
    <s v="Yes"/>
    <s v="No"/>
    <s v="Yes"/>
    <s v="No"/>
    <s v="Yes (High)"/>
    <s v="No"/>
    <s v="Yes"/>
    <s v="No"/>
    <s v="Yes"/>
    <s v="No"/>
    <n v="342.16490589469817"/>
    <n v="622"/>
    <n v="1.27"/>
    <n v="0.95"/>
    <n v="1.34"/>
    <n v="0.65"/>
    <n v="0.93"/>
    <n v="1.1100000000000001"/>
    <n v="0.82"/>
    <n v="1"/>
    <n v="1"/>
    <n v="1"/>
    <n v="0.88"/>
    <n v="1"/>
    <n v="0.84"/>
    <n v="1"/>
    <n v="0.89"/>
    <n v="1"/>
    <n v="0.94"/>
    <n v="1"/>
    <n v="1"/>
    <n v="342.16490589469817"/>
    <n v="0"/>
    <s v="PASS"/>
    <n v="0"/>
    <x v="0"/>
  </r>
  <r>
    <s v="P0066"/>
    <d v="2025-11-28T00:00:00"/>
    <s v="Liability"/>
    <s v="55-64"/>
    <n v="1"/>
    <s v="5+"/>
    <s v="No"/>
    <s v="0-4,999"/>
    <s v="DTLA (90012)"/>
    <s v="$85,000-$149,999"/>
    <s v="No"/>
    <s v="No"/>
    <s v="No"/>
    <s v="No"/>
    <s v="No"/>
    <s v="Yes"/>
    <s v="No"/>
    <s v="Yes (Low)"/>
    <s v="No"/>
    <s v="No"/>
    <s v="No"/>
    <s v="No"/>
    <s v="No"/>
    <n v="3592.6491795289803"/>
    <n v="622"/>
    <n v="1.1200000000000001"/>
    <n v="1.64"/>
    <n v="2.4700000000000002"/>
    <n v="1"/>
    <n v="0.82"/>
    <n v="1.26"/>
    <n v="2.02"/>
    <n v="1"/>
    <n v="1"/>
    <n v="1"/>
    <n v="1"/>
    <n v="1"/>
    <n v="0.61"/>
    <n v="1"/>
    <n v="1"/>
    <n v="1"/>
    <n v="1"/>
    <n v="1"/>
    <n v="1"/>
    <n v="3592.6491795289803"/>
    <n v="0"/>
    <s v="PASS"/>
    <n v="0"/>
    <x v="0"/>
  </r>
  <r>
    <s v="P0067"/>
    <d v="2025-08-04T00:00:00"/>
    <s v="Liability"/>
    <s v="25-34"/>
    <n v="1"/>
    <n v="1"/>
    <s v="No"/>
    <s v="0-4,999"/>
    <s v="Westminster (92655)"/>
    <s v="$25,000-$44,999"/>
    <s v="Yes"/>
    <s v="No"/>
    <s v="No"/>
    <s v="Yes"/>
    <s v="No"/>
    <s v="Yes"/>
    <s v="No"/>
    <s v="Yes (Low)"/>
    <s v="No"/>
    <s v="No"/>
    <s v="No"/>
    <s v="Yes"/>
    <s v="Yes"/>
    <n v="1205.0817992010986"/>
    <n v="622"/>
    <n v="1.23"/>
    <n v="1.64"/>
    <n v="1.34"/>
    <n v="1"/>
    <n v="0.82"/>
    <n v="1.0900000000000001"/>
    <n v="1.28"/>
    <n v="1.28"/>
    <n v="1"/>
    <n v="1"/>
    <n v="0.88"/>
    <n v="1"/>
    <n v="0.61"/>
    <n v="1"/>
    <n v="1"/>
    <n v="1"/>
    <n v="0.94"/>
    <n v="0.97"/>
    <n v="1"/>
    <n v="1205.0817992010986"/>
    <n v="0"/>
    <s v="PASS"/>
    <n v="0"/>
    <x v="0"/>
  </r>
  <r>
    <s v="P0068"/>
    <d v="2025-09-05T00:00:00"/>
    <s v="Liability"/>
    <s v="35-44"/>
    <n v="1"/>
    <n v="0"/>
    <s v="Yes (High Score)"/>
    <s v="13,500-16,999"/>
    <s v="Culver City (90066)"/>
    <s v="$15,000-$24,999"/>
    <s v="No"/>
    <s v="No"/>
    <s v="No"/>
    <s v="No"/>
    <s v="No"/>
    <s v="Yes"/>
    <s v="No"/>
    <s v="Yes (Medium)"/>
    <s v="No"/>
    <s v="No"/>
    <s v="No"/>
    <s v="No"/>
    <s v="No"/>
    <n v="699.65459216639999"/>
    <n v="622"/>
    <n v="1"/>
    <n v="1.64"/>
    <n v="1"/>
    <n v="0.65"/>
    <n v="1.18"/>
    <n v="1.1499999999999999"/>
    <n v="1.08"/>
    <n v="1"/>
    <n v="1"/>
    <n v="1"/>
    <n v="1"/>
    <n v="1"/>
    <n v="0.72"/>
    <n v="1"/>
    <n v="1"/>
    <n v="1"/>
    <n v="1"/>
    <n v="1"/>
    <n v="1"/>
    <n v="699.65459216639999"/>
    <n v="0"/>
    <s v="PASS"/>
    <n v="0"/>
    <x v="0"/>
  </r>
  <r>
    <s v="P0069"/>
    <d v="2025-09-12T00:00:00"/>
    <s v="Liability"/>
    <s v="45-54"/>
    <n v="4"/>
    <n v="0"/>
    <s v="Yes (Medium Score)"/>
    <s v="8,500-13,499"/>
    <s v="Fullerton (92832)"/>
    <s v="$15,000-$24,999"/>
    <s v="No"/>
    <s v="Yes"/>
    <s v="No"/>
    <s v="No"/>
    <s v="No"/>
    <s v="Yes"/>
    <s v="No"/>
    <s v="Yes (High)"/>
    <s v="Yes"/>
    <s v="No"/>
    <s v="Yes"/>
    <s v="Yes"/>
    <s v="No"/>
    <n v="605.43434477212486"/>
    <n v="622"/>
    <n v="1.07"/>
    <n v="1.1499999999999999"/>
    <n v="1"/>
    <n v="0.8"/>
    <n v="1"/>
    <n v="1.1200000000000001"/>
    <n v="1.08"/>
    <n v="1"/>
    <n v="1.21"/>
    <n v="1"/>
    <n v="1"/>
    <n v="1"/>
    <n v="0.84"/>
    <n v="0.92"/>
    <n v="1"/>
    <n v="0.93"/>
    <n v="0.94"/>
    <n v="1"/>
    <n v="1"/>
    <n v="605.43434477212486"/>
    <n v="0"/>
    <s v="PASS"/>
    <n v="0"/>
    <x v="0"/>
  </r>
  <r>
    <s v="P0070"/>
    <d v="2025-05-06T00:00:00"/>
    <s v="Collision"/>
    <s v="25-34"/>
    <s v="8+"/>
    <n v="1"/>
    <s v="Yes (High Score)"/>
    <s v="17,000+"/>
    <s v="Santa Monica (90401)"/>
    <s v="$0-$4,999"/>
    <s v="No"/>
    <s v="No"/>
    <s v="No"/>
    <s v="Yes"/>
    <s v="Yes"/>
    <s v="No"/>
    <s v="Yes (Medium)"/>
    <s v="No"/>
    <s v="No"/>
    <s v="No"/>
    <s v="No"/>
    <s v="No"/>
    <s v="No"/>
    <n v="415.72822640508315"/>
    <n v="453"/>
    <n v="1.23"/>
    <n v="0.93"/>
    <n v="1.34"/>
    <n v="0.65"/>
    <n v="1.31"/>
    <n v="1.1599999999999999"/>
    <n v="0.82"/>
    <n v="1"/>
    <n v="1"/>
    <n v="1"/>
    <n v="0.88"/>
    <n v="0.84"/>
    <n v="1"/>
    <n v="1"/>
    <n v="1"/>
    <n v="1"/>
    <n v="1"/>
    <n v="1"/>
    <n v="1"/>
    <n v="415.72822640508315"/>
    <n v="0"/>
    <s v="PASS"/>
    <n v="0"/>
    <x v="0"/>
  </r>
  <r>
    <s v="P0071"/>
    <d v="2025-07-21T00:00:00"/>
    <s v="Liability"/>
    <s v="16-24"/>
    <n v="4"/>
    <n v="3"/>
    <s v="Yes (High Score)"/>
    <s v="17,000+"/>
    <s v="Lake Forrest (92609)"/>
    <s v="$45,000-$84,999"/>
    <s v="No"/>
    <s v="No"/>
    <s v="No"/>
    <s v="No"/>
    <s v="No"/>
    <s v="Yes"/>
    <s v="No"/>
    <s v="Yes (High)"/>
    <s v="No"/>
    <s v="No"/>
    <s v="Yes"/>
    <s v="No"/>
    <s v="No"/>
    <n v="1704.9187573171594"/>
    <n v="622"/>
    <n v="1.32"/>
    <n v="1.1499999999999999"/>
    <n v="1.82"/>
    <n v="0.65"/>
    <n v="1.31"/>
    <n v="0.95"/>
    <n v="1.57"/>
    <n v="1"/>
    <n v="1"/>
    <n v="1"/>
    <n v="1"/>
    <n v="1"/>
    <n v="0.84"/>
    <n v="1"/>
    <n v="1"/>
    <n v="0.93"/>
    <n v="1"/>
    <n v="1"/>
    <n v="1"/>
    <n v="1704.9187573171594"/>
    <n v="0"/>
    <s v="PASS"/>
    <n v="0"/>
    <x v="0"/>
  </r>
  <r>
    <s v="P0072"/>
    <d v="2026-01-22T00:00:00"/>
    <s v="Liability"/>
    <s v="45-54"/>
    <n v="2"/>
    <n v="0"/>
    <s v="No"/>
    <s v="5,000-8,499"/>
    <s v="Fountain Valley (92708)"/>
    <s v="$85,000-$149,999"/>
    <s v="No"/>
    <s v="Yes"/>
    <s v="No"/>
    <s v="Yes"/>
    <s v="No"/>
    <s v="Yes"/>
    <s v="No"/>
    <s v="Yes (High)"/>
    <s v="No"/>
    <s v="No"/>
    <s v="No"/>
    <s v="No"/>
    <s v="Yes"/>
    <n v="1864.4483699706975"/>
    <n v="622"/>
    <n v="1.07"/>
    <n v="1.41"/>
    <n v="1"/>
    <n v="1"/>
    <n v="0.93"/>
    <n v="1.1499999999999999"/>
    <n v="2.02"/>
    <n v="1"/>
    <n v="1.21"/>
    <n v="1"/>
    <n v="0.88"/>
    <n v="1"/>
    <n v="0.84"/>
    <n v="1"/>
    <n v="1"/>
    <n v="1"/>
    <n v="1"/>
    <n v="0.97"/>
    <n v="1.06"/>
    <n v="1864.4483699706975"/>
    <n v="0"/>
    <s v="PASS"/>
    <n v="0"/>
    <x v="0"/>
  </r>
  <r>
    <s v="P0073"/>
    <d v="2025-11-24T00:00:00"/>
    <s v="Collision"/>
    <s v="65+"/>
    <n v="4"/>
    <n v="4"/>
    <s v="No"/>
    <s v="0-4,999"/>
    <s v="Long Beach (90712)"/>
    <s v="$85,000-$149,999"/>
    <s v="Yes"/>
    <s v="No"/>
    <s v="No"/>
    <s v="Yes"/>
    <s v="Yes"/>
    <s v="No"/>
    <s v="Yes (Medium)"/>
    <s v="No"/>
    <s v="No"/>
    <s v="Yes"/>
    <s v="Yes"/>
    <s v="No"/>
    <s v="No"/>
    <n v="2037.8102942881194"/>
    <n v="453"/>
    <n v="1.27"/>
    <n v="1.1499999999999999"/>
    <n v="2.12"/>
    <n v="1"/>
    <n v="0.82"/>
    <n v="1.1200000000000001"/>
    <n v="2.02"/>
    <n v="1.28"/>
    <n v="1"/>
    <n v="1"/>
    <n v="0.88"/>
    <n v="0.84"/>
    <n v="1"/>
    <n v="1"/>
    <n v="0.89"/>
    <n v="0.93"/>
    <n v="1"/>
    <n v="1"/>
    <n v="1"/>
    <n v="2037.8102942881194"/>
    <n v="0"/>
    <s v="PASS"/>
    <n v="0"/>
    <x v="0"/>
  </r>
  <r>
    <s v="P0074"/>
    <d v="2025-12-11T00:00:00"/>
    <s v="Liability"/>
    <s v="55-64"/>
    <n v="1"/>
    <n v="3"/>
    <s v="No"/>
    <s v="17,000+"/>
    <s v="Irvine (92602)"/>
    <s v="$0-$4,999"/>
    <s v="No"/>
    <s v="No"/>
    <s v="No"/>
    <s v="Yes"/>
    <s v="No"/>
    <s v="Yes"/>
    <s v="No"/>
    <s v="Yes (Low)"/>
    <s v="No"/>
    <s v="No"/>
    <s v="No"/>
    <s v="No"/>
    <s v="No"/>
    <n v="1306.9163661153091"/>
    <n v="622"/>
    <n v="1.1200000000000001"/>
    <n v="1.64"/>
    <n v="1.82"/>
    <n v="1"/>
    <n v="1.31"/>
    <n v="1.0900000000000001"/>
    <n v="0.82"/>
    <n v="1"/>
    <n v="1"/>
    <n v="1"/>
    <n v="0.88"/>
    <n v="1"/>
    <n v="0.61"/>
    <n v="1"/>
    <n v="1"/>
    <n v="1"/>
    <n v="1"/>
    <n v="1"/>
    <n v="1"/>
    <n v="1306.9163661153091"/>
    <n v="0"/>
    <s v="PASS"/>
    <n v="0"/>
    <x v="0"/>
  </r>
  <r>
    <s v="P0075"/>
    <d v="2026-03-08T00:00:00"/>
    <s v="Collision"/>
    <s v="45-54"/>
    <n v="5"/>
    <n v="4"/>
    <s v="No"/>
    <s v="5,000-8,499"/>
    <s v="Compton (90220)"/>
    <s v="$45,000-$84,999"/>
    <s v="No"/>
    <s v="Yes"/>
    <s v="Yes"/>
    <s v="Yes"/>
    <s v="Yes"/>
    <s v="No"/>
    <s v="Yes (Low)"/>
    <s v="No"/>
    <s v="No"/>
    <s v="No"/>
    <s v="No"/>
    <s v="No"/>
    <s v="No"/>
    <n v="3115.0449642073172"/>
    <n v="453"/>
    <n v="1.07"/>
    <n v="1.07"/>
    <n v="2.12"/>
    <n v="1"/>
    <n v="0.93"/>
    <n v="1.56"/>
    <n v="1.57"/>
    <n v="1"/>
    <n v="1.21"/>
    <n v="1.1599999999999999"/>
    <n v="0.88"/>
    <n v="0.95"/>
    <n v="1"/>
    <n v="1"/>
    <n v="1"/>
    <n v="1"/>
    <n v="1"/>
    <n v="1"/>
    <n v="1.06"/>
    <n v="3115.0449642073172"/>
    <n v="0"/>
    <s v="PASS"/>
    <n v="0"/>
    <x v="0"/>
  </r>
  <r>
    <s v="P0076"/>
    <d v="2026-03-29T00:00:00"/>
    <s v="Liability"/>
    <s v="65+"/>
    <n v="5"/>
    <n v="0"/>
    <s v="No"/>
    <s v="17,000+"/>
    <s v="Costa Mesa (92626)"/>
    <s v="$0-$4,999"/>
    <s v="No"/>
    <s v="Yes"/>
    <s v="Yes"/>
    <s v="No"/>
    <s v="No"/>
    <s v="Yes"/>
    <s v="No"/>
    <s v="Yes (High)"/>
    <s v="Yes"/>
    <s v="Yes"/>
    <s v="No"/>
    <s v="No"/>
    <s v="No"/>
    <n v="854.78561238374573"/>
    <n v="622"/>
    <n v="1.27"/>
    <n v="1.07"/>
    <n v="1"/>
    <n v="1"/>
    <n v="1.31"/>
    <n v="0.92"/>
    <n v="0.82"/>
    <n v="1"/>
    <n v="1.21"/>
    <n v="1.1599999999999999"/>
    <n v="1"/>
    <n v="1"/>
    <n v="0.84"/>
    <n v="0.92"/>
    <n v="0.89"/>
    <n v="1"/>
    <n v="1"/>
    <n v="1"/>
    <n v="1.06"/>
    <n v="854.78561238374573"/>
    <n v="0"/>
    <s v="PASS"/>
    <n v="0"/>
    <x v="0"/>
  </r>
  <r>
    <s v="P0077"/>
    <d v="2026-04-19T00:00:00"/>
    <s v="Rental Car Reinbursement"/>
    <s v="65+"/>
    <n v="2"/>
    <n v="4"/>
    <s v="Yes (High Score)"/>
    <s v="13,500-16,999"/>
    <s v="Huntington Beach (90742)"/>
    <s v="$15,000-$24,999"/>
    <s v="No"/>
    <s v="Yes"/>
    <s v="No"/>
    <s v="Yes"/>
    <s v="No"/>
    <s v="Yes"/>
    <s v="No"/>
    <s v="Yes (High)"/>
    <s v="No"/>
    <s v="No"/>
    <s v="Yes"/>
    <s v="No"/>
    <s v="Yes"/>
    <n v="108.06762895895812"/>
    <n v="41"/>
    <n v="1.27"/>
    <n v="1.41"/>
    <n v="2.12"/>
    <n v="0.65"/>
    <n v="1.18"/>
    <n v="0.98"/>
    <n v="1.08"/>
    <n v="1"/>
    <n v="1.21"/>
    <n v="1"/>
    <n v="0.88"/>
    <n v="1"/>
    <n v="0.84"/>
    <n v="1"/>
    <n v="1"/>
    <n v="0.93"/>
    <n v="1"/>
    <n v="0.97"/>
    <n v="1.06"/>
    <n v="108.06762895895812"/>
    <n v="0"/>
    <s v="PASS"/>
    <n v="0"/>
    <x v="0"/>
  </r>
  <r>
    <s v="P0078"/>
    <d v="2026-04-06T00:00:00"/>
    <s v="Liability"/>
    <s v="65+"/>
    <n v="1"/>
    <n v="3"/>
    <s v="No"/>
    <s v="5,000-8,499"/>
    <s v="Huntington Beach (90742)"/>
    <s v="$0-$4,999"/>
    <s v="No"/>
    <s v="No"/>
    <s v="No"/>
    <s v="No"/>
    <s v="No"/>
    <s v="Yes"/>
    <s v="No"/>
    <s v="Yes (Medium)"/>
    <s v="No"/>
    <s v="No"/>
    <s v="No"/>
    <s v="No"/>
    <s v="No"/>
    <n v="1344.8398824049098"/>
    <n v="622"/>
    <n v="1.27"/>
    <n v="1.64"/>
    <n v="1.82"/>
    <n v="1"/>
    <n v="0.93"/>
    <n v="0.98"/>
    <n v="0.82"/>
    <n v="1"/>
    <n v="1"/>
    <n v="1"/>
    <n v="1"/>
    <n v="1"/>
    <n v="0.72"/>
    <n v="1"/>
    <n v="1"/>
    <n v="1"/>
    <n v="1"/>
    <n v="1"/>
    <n v="1.06"/>
    <n v="1344.8398824049098"/>
    <n v="0"/>
    <s v="PASS"/>
    <n v="0"/>
    <x v="0"/>
  </r>
  <r>
    <s v="P0079"/>
    <d v="2025-08-26T00:00:00"/>
    <s v="Liability"/>
    <s v="16-24"/>
    <n v="2"/>
    <n v="1"/>
    <s v="Yes (Medium Score)"/>
    <s v="17,000+"/>
    <s v="Irvine (92602)"/>
    <s v="$45,000-$84,999"/>
    <s v="No"/>
    <s v="No"/>
    <s v="No"/>
    <s v="No"/>
    <s v="No"/>
    <s v="Yes"/>
    <s v="No"/>
    <s v="Yes (High)"/>
    <s v="No"/>
    <s v="No"/>
    <s v="Yes"/>
    <s v="No"/>
    <s v="No"/>
    <n v="2173.3911511983742"/>
    <n v="622"/>
    <n v="1.32"/>
    <n v="1.41"/>
    <n v="1.34"/>
    <n v="0.8"/>
    <n v="1.31"/>
    <n v="1.0900000000000001"/>
    <n v="1.57"/>
    <n v="1"/>
    <n v="1"/>
    <n v="1"/>
    <n v="1"/>
    <n v="1"/>
    <n v="0.84"/>
    <n v="1"/>
    <n v="1"/>
    <n v="0.93"/>
    <n v="1"/>
    <n v="1"/>
    <n v="1"/>
    <n v="2173.3911511983742"/>
    <n v="0"/>
    <s v="PASS"/>
    <n v="0"/>
    <x v="0"/>
  </r>
  <r>
    <s v="P0080"/>
    <d v="2025-12-03T00:00:00"/>
    <s v="Collision"/>
    <s v="45-54"/>
    <n v="7"/>
    <n v="0"/>
    <s v="No"/>
    <s v="0-4,999"/>
    <s v="Orange (92705)"/>
    <s v="$15,000-$24,999"/>
    <s v="No"/>
    <s v="No"/>
    <s v="No"/>
    <s v="No"/>
    <s v="Yes"/>
    <s v="No"/>
    <s v="Yes (High)"/>
    <s v="No"/>
    <s v="No"/>
    <s v="Yes"/>
    <s v="No"/>
    <s v="Yes"/>
    <s v="No"/>
    <n v="266.54000000000002"/>
    <n v="453"/>
    <n v="1.07"/>
    <n v="0.95"/>
    <n v="1"/>
    <n v="1"/>
    <n v="0.82"/>
    <n v="1.02"/>
    <n v="1.08"/>
    <n v="1"/>
    <n v="1"/>
    <n v="1"/>
    <n v="1"/>
    <n v="0.72"/>
    <n v="1"/>
    <n v="1"/>
    <n v="0.89"/>
    <n v="1"/>
    <n v="0.94"/>
    <n v="1"/>
    <n v="1"/>
    <n v="250.54960436331149"/>
    <n v="15.990395636688532"/>
    <s v="FAIL"/>
    <n v="15.990395636688532"/>
    <x v="4"/>
  </r>
  <r>
    <s v="P0081"/>
    <d v="2025-12-14T00:00:00"/>
    <s v="Collision"/>
    <s v="35-44"/>
    <s v="8+"/>
    <n v="4"/>
    <s v="Yes (Low Score)"/>
    <s v="17,000+"/>
    <s v="Orange (92705)"/>
    <s v="$15,000-$24,999"/>
    <s v="No"/>
    <s v="No"/>
    <s v="No"/>
    <s v="No"/>
    <s v="Yes"/>
    <s v="No"/>
    <s v="Yes (High)"/>
    <s v="No"/>
    <s v="No"/>
    <s v="Yes"/>
    <s v="No"/>
    <s v="No"/>
    <s v="Yes"/>
    <n v="761.07959259782206"/>
    <n v="453"/>
    <n v="1"/>
    <n v="0.93"/>
    <n v="2.12"/>
    <n v="0.95"/>
    <n v="1.31"/>
    <n v="1.02"/>
    <n v="1.08"/>
    <n v="1"/>
    <n v="1"/>
    <n v="1"/>
    <n v="1"/>
    <n v="0.72"/>
    <n v="1"/>
    <n v="1"/>
    <n v="0.89"/>
    <n v="1"/>
    <n v="1"/>
    <n v="0.97"/>
    <n v="1"/>
    <n v="761.07959259782206"/>
    <n v="0"/>
    <s v="PASS"/>
    <n v="0"/>
    <x v="0"/>
  </r>
  <r>
    <s v="P0082"/>
    <d v="2025-12-01T00:00:00"/>
    <s v="Comprehensive"/>
    <s v="16-24"/>
    <n v="2"/>
    <s v="5+"/>
    <s v="No"/>
    <s v="0-4,999"/>
    <s v="Hawthorne (90250)"/>
    <s v="$25,000-$44,999"/>
    <s v="No"/>
    <s v="No"/>
    <s v="Yes"/>
    <s v="Yes"/>
    <s v="Yes"/>
    <s v="No"/>
    <s v="Yes (High)"/>
    <s v="No"/>
    <s v="No"/>
    <s v="Yes"/>
    <s v="No"/>
    <s v="No"/>
    <s v="No"/>
    <n v="416.28316885383833"/>
    <n v="121"/>
    <n v="1.32"/>
    <n v="1.41"/>
    <n v="2.4700000000000002"/>
    <n v="1"/>
    <n v="0.82"/>
    <n v="1.0900000000000001"/>
    <n v="1.28"/>
    <n v="1"/>
    <n v="1"/>
    <n v="1.1599999999999999"/>
    <n v="0.88"/>
    <n v="0.72"/>
    <n v="1"/>
    <n v="1"/>
    <n v="0.89"/>
    <n v="1"/>
    <n v="1"/>
    <n v="1"/>
    <n v="1"/>
    <n v="416.28316885383833"/>
    <n v="0"/>
    <s v="PASS"/>
    <n v="0"/>
    <x v="0"/>
  </r>
  <r>
    <s v="P0083"/>
    <d v="2025-05-26T00:00:00"/>
    <s v="Collision"/>
    <s v="16-24"/>
    <n v="7"/>
    <n v="0"/>
    <s v="Yes (High Score)"/>
    <s v="5,000-8,499"/>
    <s v="Anaheim (92801)"/>
    <s v="$5,000-$14,999"/>
    <s v="Yes"/>
    <s v="No"/>
    <s v="Yes"/>
    <s v="No"/>
    <s v="Yes"/>
    <s v="No"/>
    <s v="Yes (Low)"/>
    <s v="No"/>
    <s v="No"/>
    <s v="No"/>
    <s v="No"/>
    <s v="No"/>
    <s v="No"/>
    <n v="521.52882974836314"/>
    <n v="453"/>
    <n v="1.32"/>
    <n v="0.95"/>
    <n v="1"/>
    <n v="0.65"/>
    <n v="0.93"/>
    <n v="1.1100000000000001"/>
    <n v="0.97"/>
    <n v="1.28"/>
    <n v="1"/>
    <n v="1.1599999999999999"/>
    <n v="1"/>
    <n v="0.95"/>
    <n v="1"/>
    <n v="1"/>
    <n v="1"/>
    <n v="1"/>
    <n v="1"/>
    <n v="1"/>
    <n v="1"/>
    <n v="521.52882974836314"/>
    <n v="0"/>
    <s v="PASS"/>
    <n v="0"/>
    <x v="0"/>
  </r>
  <r>
    <s v="P0084"/>
    <d v="2026-04-17T00:00:00"/>
    <s v="Collision"/>
    <s v="25-34"/>
    <s v="8+"/>
    <n v="1"/>
    <s v="Yes (High Score)"/>
    <s v="13,500-16,999"/>
    <s v="Huntington Beach (90742)"/>
    <s v="$85,000-$149,999"/>
    <s v="No"/>
    <s v="No"/>
    <s v="No"/>
    <s v="No"/>
    <s v="Yes"/>
    <s v="No"/>
    <s v="Yes (High)"/>
    <s v="No"/>
    <s v="No"/>
    <s v="Yes"/>
    <s v="Yes"/>
    <s v="No"/>
    <s v="Yes"/>
    <n v="646.02142382759564"/>
    <n v="453"/>
    <n v="1.23"/>
    <n v="0.93"/>
    <n v="1.34"/>
    <n v="0.65"/>
    <n v="1.18"/>
    <n v="0.98"/>
    <n v="2.02"/>
    <n v="1"/>
    <n v="1"/>
    <n v="1"/>
    <n v="1"/>
    <n v="0.72"/>
    <n v="1"/>
    <n v="1"/>
    <n v="0.89"/>
    <n v="0.93"/>
    <n v="1"/>
    <n v="0.97"/>
    <n v="1.06"/>
    <n v="646.02142382759564"/>
    <n v="0"/>
    <s v="PASS"/>
    <n v="0"/>
    <x v="0"/>
  </r>
  <r>
    <s v="P0085"/>
    <d v="2025-09-16T00:00:00"/>
    <s v="Liability"/>
    <s v="35-44"/>
    <n v="1"/>
    <s v="5+"/>
    <s v="Yes (Medium Score)"/>
    <s v="13,500-16,999"/>
    <s v="DTLA (90012)"/>
    <s v="$15,000-$24,999"/>
    <s v="No"/>
    <s v="Yes"/>
    <s v="No"/>
    <s v="No"/>
    <s v="No"/>
    <s v="Yes"/>
    <s v="No"/>
    <s v="Yes (Low)"/>
    <s v="Yes"/>
    <s v="No"/>
    <s v="No"/>
    <s v="No"/>
    <s v="No"/>
    <n v="2197.8624718584529"/>
    <n v="622"/>
    <n v="1"/>
    <n v="1.64"/>
    <n v="2.4700000000000002"/>
    <n v="0.8"/>
    <n v="1.18"/>
    <n v="1.26"/>
    <n v="1.08"/>
    <n v="1"/>
    <n v="1.21"/>
    <n v="1"/>
    <n v="1"/>
    <n v="1"/>
    <n v="0.61"/>
    <n v="0.92"/>
    <n v="1"/>
    <n v="1"/>
    <n v="1"/>
    <n v="1"/>
    <n v="1"/>
    <n v="2197.8624718584529"/>
    <n v="0"/>
    <s v="PASS"/>
    <n v="0"/>
    <x v="0"/>
  </r>
  <r>
    <s v="P0086"/>
    <d v="2025-05-03T00:00:00"/>
    <s v="Collision"/>
    <s v="16-24"/>
    <n v="7"/>
    <n v="1"/>
    <s v="Yes (High Score)"/>
    <s v="0-4,999"/>
    <s v="Anaheim (92801)"/>
    <s v="$0-$4,999"/>
    <s v="No"/>
    <s v="No"/>
    <s v="No"/>
    <s v="No"/>
    <s v="Yes"/>
    <s v="No"/>
    <s v="Yes (Low)"/>
    <s v="No"/>
    <s v="Yes"/>
    <s v="No"/>
    <s v="Yes"/>
    <s v="No"/>
    <s v="Yes"/>
    <n v="291.15931738913463"/>
    <n v="453"/>
    <n v="1.32"/>
    <n v="0.95"/>
    <n v="1.34"/>
    <n v="0.65"/>
    <n v="0.82"/>
    <n v="1.1100000000000001"/>
    <n v="0.82"/>
    <n v="1"/>
    <n v="1"/>
    <n v="1"/>
    <n v="1"/>
    <n v="0.95"/>
    <n v="1"/>
    <n v="0.92"/>
    <n v="1"/>
    <n v="0.93"/>
    <n v="1"/>
    <n v="0.97"/>
    <n v="1"/>
    <n v="291.15931738913463"/>
    <n v="0"/>
    <s v="PASS"/>
    <n v="0"/>
    <x v="0"/>
  </r>
  <r>
    <s v="P0087"/>
    <d v="2025-07-16T00:00:00"/>
    <s v="Comprehensive"/>
    <s v="35-44"/>
    <n v="2"/>
    <n v="4"/>
    <s v="Yes (Medium Score)"/>
    <s v="17,000+"/>
    <s v="West Hollywood (90046)"/>
    <s v="$5,000-$14,999"/>
    <s v="No"/>
    <s v="No"/>
    <s v="No"/>
    <s v="Yes"/>
    <s v="Yes"/>
    <s v="No"/>
    <s v="Yes (Medium)"/>
    <s v="No"/>
    <s v="No"/>
    <s v="No"/>
    <s v="No"/>
    <s v="No"/>
    <s v="No"/>
    <n v="320.71356275670831"/>
    <n v="121"/>
    <n v="1"/>
    <n v="1.41"/>
    <n v="2.12"/>
    <n v="0.8"/>
    <n v="1.31"/>
    <n v="1.18"/>
    <n v="0.97"/>
    <n v="1"/>
    <n v="1"/>
    <n v="1"/>
    <n v="0.88"/>
    <n v="0.84"/>
    <n v="1"/>
    <n v="1"/>
    <n v="1"/>
    <n v="1"/>
    <n v="1"/>
    <n v="1"/>
    <n v="1"/>
    <n v="320.71356275670831"/>
    <n v="0"/>
    <s v="PASS"/>
    <n v="0"/>
    <x v="0"/>
  </r>
  <r>
    <s v="P0088"/>
    <d v="2025-10-30T00:00:00"/>
    <s v="Collision"/>
    <s v="35-44"/>
    <n v="7"/>
    <s v="5+"/>
    <s v="No"/>
    <s v="17,000+"/>
    <s v="Cypress (90630)"/>
    <s v="$0-$4,999"/>
    <s v="No"/>
    <s v="No"/>
    <s v="No"/>
    <s v="Yes"/>
    <s v="Yes"/>
    <s v="No"/>
    <s v="Yes (Low)"/>
    <s v="No"/>
    <s v="No"/>
    <s v="No"/>
    <s v="Yes"/>
    <s v="No"/>
    <s v="No"/>
    <n v="958.77541674856684"/>
    <n v="453"/>
    <n v="1"/>
    <n v="0.95"/>
    <n v="2.4700000000000002"/>
    <n v="1"/>
    <n v="1.31"/>
    <n v="1.08"/>
    <n v="0.82"/>
    <n v="1"/>
    <n v="1"/>
    <n v="1"/>
    <n v="0.88"/>
    <n v="0.95"/>
    <n v="1"/>
    <n v="1"/>
    <n v="1"/>
    <n v="0.93"/>
    <n v="1"/>
    <n v="1"/>
    <n v="1"/>
    <n v="958.77541674856684"/>
    <n v="0"/>
    <s v="PASS"/>
    <n v="0"/>
    <x v="0"/>
  </r>
  <r>
    <s v="P0089"/>
    <d v="2026-01-13T00:00:00"/>
    <s v="Collision"/>
    <s v="16-24"/>
    <n v="1"/>
    <n v="1"/>
    <s v="No"/>
    <s v="17,000+"/>
    <s v="Anaheim (92801)"/>
    <s v="$25,000-$44,999"/>
    <s v="No"/>
    <s v="No"/>
    <s v="No"/>
    <s v="Yes"/>
    <s v="Yes"/>
    <s v="No"/>
    <s v="Yes (Low)"/>
    <s v="No"/>
    <s v="No"/>
    <s v="Yes"/>
    <s v="No"/>
    <s v="No"/>
    <s v="No"/>
    <n v="1928.9775492981169"/>
    <n v="453"/>
    <n v="1.32"/>
    <n v="1.64"/>
    <n v="1.34"/>
    <n v="1"/>
    <n v="1.31"/>
    <n v="1.1100000000000001"/>
    <n v="1.28"/>
    <n v="1"/>
    <n v="1"/>
    <n v="1"/>
    <n v="0.88"/>
    <n v="0.95"/>
    <n v="1"/>
    <n v="1"/>
    <n v="0.89"/>
    <n v="1"/>
    <n v="1"/>
    <n v="1"/>
    <n v="1.06"/>
    <n v="1928.9775492981169"/>
    <n v="0"/>
    <s v="PASS"/>
    <n v="0"/>
    <x v="0"/>
  </r>
  <r>
    <s v="P0090"/>
    <d v="2025-07-16T00:00:00"/>
    <s v="Liability"/>
    <s v="35-44"/>
    <s v="8+"/>
    <n v="0"/>
    <s v="Yes (Low Score)"/>
    <s v="8,500-13,499"/>
    <s v="Lake Forrest (92609)"/>
    <s v="$0-$4,999"/>
    <s v="No"/>
    <s v="No"/>
    <s v="No"/>
    <s v="No"/>
    <s v="No"/>
    <s v="Yes"/>
    <s v="No"/>
    <s v="Yes (Medium)"/>
    <s v="No"/>
    <s v="No"/>
    <s v="No"/>
    <s v="Yes"/>
    <s v="No"/>
    <n v="289.73085380639998"/>
    <n v="622"/>
    <n v="1"/>
    <n v="0.93"/>
    <n v="1"/>
    <n v="0.95"/>
    <n v="1"/>
    <n v="0.95"/>
    <n v="0.82"/>
    <n v="1"/>
    <n v="1"/>
    <n v="1"/>
    <n v="1"/>
    <n v="1"/>
    <n v="0.72"/>
    <n v="1"/>
    <n v="1"/>
    <n v="1"/>
    <n v="0.94"/>
    <n v="1"/>
    <n v="1"/>
    <n v="289.73085380639998"/>
    <n v="0"/>
    <s v="PASS"/>
    <n v="0"/>
    <x v="0"/>
  </r>
  <r>
    <s v="P0091"/>
    <d v="2025-10-01T00:00:00"/>
    <s v="Collision"/>
    <s v="16-24"/>
    <n v="2"/>
    <s v="5+"/>
    <s v="No"/>
    <s v="8,500-13,499"/>
    <s v="Silverlake (90026 )"/>
    <s v="$150,000+"/>
    <s v="No"/>
    <s v="Yes"/>
    <s v="No"/>
    <s v="Yes"/>
    <s v="Yes"/>
    <s v="No"/>
    <s v="Yes (Low)"/>
    <s v="No"/>
    <s v="No"/>
    <s v="No"/>
    <s v="No"/>
    <s v="No"/>
    <s v="No"/>
    <n v="7013.2566606874607"/>
    <n v="453"/>
    <n v="1.32"/>
    <n v="1.41"/>
    <n v="2.4700000000000002"/>
    <n v="1"/>
    <n v="1"/>
    <n v="1.1599999999999999"/>
    <n v="2.87"/>
    <n v="1"/>
    <n v="1.21"/>
    <n v="1"/>
    <n v="0.88"/>
    <n v="0.95"/>
    <n v="1"/>
    <n v="1"/>
    <n v="1"/>
    <n v="1"/>
    <n v="1"/>
    <n v="1"/>
    <n v="1"/>
    <n v="7013.2566606874607"/>
    <n v="0"/>
    <s v="PASS"/>
    <n v="0"/>
    <x v="0"/>
  </r>
  <r>
    <s v="P0092"/>
    <d v="2025-12-29T00:00:00"/>
    <s v="Liability"/>
    <s v="35-44"/>
    <n v="7"/>
    <s v="5+"/>
    <s v="No"/>
    <s v="5,000-8,499"/>
    <s v="West Hollywood (90046)"/>
    <s v="$0-$4,999"/>
    <s v="No"/>
    <s v="No"/>
    <s v="No"/>
    <s v="No"/>
    <s v="No"/>
    <s v="Yes"/>
    <s v="No"/>
    <s v="Yes (Low)"/>
    <s v="No"/>
    <s v="No"/>
    <s v="Yes"/>
    <s v="No"/>
    <s v="Yes"/>
    <n v="722.72698286027276"/>
    <n v="622"/>
    <n v="1"/>
    <n v="0.95"/>
    <n v="2.4700000000000002"/>
    <n v="1"/>
    <n v="0.93"/>
    <n v="1.18"/>
    <n v="0.82"/>
    <n v="1"/>
    <n v="1"/>
    <n v="1"/>
    <n v="1"/>
    <n v="1"/>
    <n v="0.61"/>
    <n v="1"/>
    <n v="1"/>
    <n v="0.93"/>
    <n v="1"/>
    <n v="0.97"/>
    <n v="1"/>
    <n v="722.72698286027276"/>
    <n v="0"/>
    <s v="PASS"/>
    <n v="0"/>
    <x v="0"/>
  </r>
  <r>
    <s v="P0093"/>
    <d v="2025-08-03T00:00:00"/>
    <s v="Uninsured Motorist"/>
    <s v="45-54"/>
    <n v="2"/>
    <n v="0"/>
    <s v="No"/>
    <s v="8,500-13,499"/>
    <s v="Compton (90220)"/>
    <s v="$45,000-$84,999"/>
    <s v="No"/>
    <s v="No"/>
    <s v="No"/>
    <s v="No"/>
    <s v="No"/>
    <s v="Yes"/>
    <s v="No"/>
    <s v="Yes (Medium)"/>
    <s v="No"/>
    <s v="No"/>
    <s v="No"/>
    <s v="No"/>
    <s v="No"/>
    <n v="207.51726752639999"/>
    <n v="78"/>
    <n v="1.07"/>
    <n v="1.41"/>
    <n v="1"/>
    <n v="1"/>
    <n v="1"/>
    <n v="1.56"/>
    <n v="1.57"/>
    <n v="1"/>
    <n v="1"/>
    <n v="1"/>
    <n v="1"/>
    <n v="1"/>
    <n v="0.72"/>
    <n v="1"/>
    <n v="1"/>
    <n v="1"/>
    <n v="1"/>
    <n v="1"/>
    <n v="1"/>
    <n v="207.51726752639999"/>
    <n v="0"/>
    <s v="PASS"/>
    <n v="0"/>
    <x v="0"/>
  </r>
  <r>
    <s v="P0094"/>
    <d v="2026-02-16T00:00:00"/>
    <s v="Uninsured Motorist"/>
    <s v="55-64"/>
    <s v="8+"/>
    <n v="1"/>
    <s v="Yes (Low Score)"/>
    <s v="17,000+"/>
    <s v="Compton (90220)"/>
    <s v="$0-$4,999"/>
    <s v="No"/>
    <s v="Yes"/>
    <s v="No"/>
    <s v="Yes"/>
    <s v="No"/>
    <s v="Yes"/>
    <s v="No"/>
    <s v="Yes (Medium)"/>
    <s v="No"/>
    <s v="Yes"/>
    <s v="No"/>
    <s v="No"/>
    <s v="No"/>
    <n v="125.35167304234071"/>
    <n v="78"/>
    <n v="1.1200000000000001"/>
    <n v="0.93"/>
    <n v="1.34"/>
    <n v="0.95"/>
    <n v="1.31"/>
    <n v="1.56"/>
    <n v="0.82"/>
    <n v="1"/>
    <n v="1.21"/>
    <n v="1"/>
    <n v="0.88"/>
    <n v="1"/>
    <n v="0.72"/>
    <n v="1"/>
    <n v="0.89"/>
    <n v="1"/>
    <n v="1"/>
    <n v="1"/>
    <n v="1.06"/>
    <n v="125.35167304234071"/>
    <n v="0"/>
    <s v="PASS"/>
    <n v="0"/>
    <x v="0"/>
  </r>
  <r>
    <s v="P0095"/>
    <d v="2025-06-15T00:00:00"/>
    <s v="Collision"/>
    <s v="35-44"/>
    <n v="2"/>
    <n v="3"/>
    <s v="No"/>
    <s v="17,000+"/>
    <s v="Hollywood (90028)"/>
    <s v="$150,000+"/>
    <s v="No"/>
    <s v="No"/>
    <s v="No"/>
    <s v="No"/>
    <s v="Yes"/>
    <s v="No"/>
    <s v="Yes (Low)"/>
    <s v="No"/>
    <s v="No"/>
    <s v="No"/>
    <s v="No"/>
    <s v="No"/>
    <s v="No"/>
    <n v="4940.9727842393095"/>
    <n v="453"/>
    <n v="1"/>
    <n v="1.41"/>
    <n v="1.82"/>
    <n v="1"/>
    <n v="1.31"/>
    <n v="1.19"/>
    <n v="2.87"/>
    <n v="1"/>
    <n v="1"/>
    <n v="1"/>
    <n v="1"/>
    <n v="0.95"/>
    <n v="1"/>
    <n v="1"/>
    <n v="1"/>
    <n v="1"/>
    <n v="1"/>
    <n v="1"/>
    <n v="1"/>
    <n v="4940.9727842393095"/>
    <n v="0"/>
    <s v="PASS"/>
    <n v="0"/>
    <x v="0"/>
  </r>
  <r>
    <s v="P0096"/>
    <d v="2025-05-28T00:00:00"/>
    <s v="Rental Car Reinbursement"/>
    <s v="65+"/>
    <n v="6"/>
    <n v="0"/>
    <s v="No"/>
    <s v="8,500-13,499"/>
    <s v="Newport Beach (92603)"/>
    <s v="$15,000-$24,999"/>
    <s v="No"/>
    <s v="No"/>
    <s v="No"/>
    <s v="No"/>
    <s v="No"/>
    <s v="Yes"/>
    <s v="No"/>
    <s v="Yes (Medium)"/>
    <s v="No"/>
    <s v="Yes"/>
    <s v="Yes"/>
    <s v="Yes"/>
    <s v="No"/>
    <n v="29.612323963895037"/>
    <n v="41"/>
    <n v="1.27"/>
    <n v="1"/>
    <n v="1"/>
    <n v="1"/>
    <n v="1"/>
    <n v="0.94"/>
    <n v="1.08"/>
    <n v="1"/>
    <n v="1"/>
    <n v="1"/>
    <n v="1"/>
    <n v="1"/>
    <n v="0.72"/>
    <n v="1"/>
    <n v="0.89"/>
    <n v="0.93"/>
    <n v="0.94"/>
    <n v="1"/>
    <n v="1"/>
    <n v="29.612323963895037"/>
    <n v="0"/>
    <s v="PASS"/>
    <n v="0"/>
    <x v="0"/>
  </r>
  <r>
    <s v="P0097"/>
    <d v="2026-01-27T00:00:00"/>
    <s v="Collision"/>
    <s v="25-34"/>
    <n v="1"/>
    <n v="0"/>
    <s v="No"/>
    <s v="8,500-13,499"/>
    <s v="Lake Forrest (92609)"/>
    <s v="$25,000-$44,999"/>
    <s v="No"/>
    <s v="No"/>
    <s v="No"/>
    <s v="Yes"/>
    <s v="Yes"/>
    <s v="No"/>
    <s v="Yes (Medium)"/>
    <s v="No"/>
    <s v="No"/>
    <s v="No"/>
    <s v="Yes"/>
    <s v="No"/>
    <s v="No"/>
    <n v="809.71373925988746"/>
    <n v="453"/>
    <n v="1.23"/>
    <n v="1.64"/>
    <n v="1"/>
    <n v="1"/>
    <n v="1"/>
    <n v="0.95"/>
    <n v="1.28"/>
    <n v="1"/>
    <n v="1"/>
    <n v="1"/>
    <n v="0.88"/>
    <n v="0.84"/>
    <n v="1"/>
    <n v="1"/>
    <n v="1"/>
    <n v="0.93"/>
    <n v="1"/>
    <n v="1"/>
    <n v="1.06"/>
    <n v="809.71373925988746"/>
    <n v="0"/>
    <s v="PASS"/>
    <n v="0"/>
    <x v="0"/>
  </r>
  <r>
    <s v="P0098"/>
    <d v="2026-03-27T00:00:00"/>
    <s v="Rental Car Reinbursement"/>
    <s v="45-54"/>
    <s v="8+"/>
    <n v="4"/>
    <s v="Yes (Low Score)"/>
    <s v="8,500-13,499"/>
    <s v="Santa Ana (92702)"/>
    <s v="$15,000-$24,999"/>
    <s v="No"/>
    <s v="No"/>
    <s v="No"/>
    <s v="Yes"/>
    <s v="No"/>
    <s v="Yes"/>
    <s v="No"/>
    <s v="Yes (Medium)"/>
    <s v="No"/>
    <s v="Yes"/>
    <s v="No"/>
    <s v="No"/>
    <s v="No"/>
    <n v="54.105948762999766"/>
    <n v="41"/>
    <n v="1.07"/>
    <n v="0.93"/>
    <n v="2.12"/>
    <n v="0.95"/>
    <n v="1"/>
    <n v="1.02"/>
    <n v="1.08"/>
    <n v="1"/>
    <n v="1"/>
    <n v="1"/>
    <n v="0.88"/>
    <n v="1"/>
    <n v="0.72"/>
    <n v="1"/>
    <n v="0.89"/>
    <n v="1"/>
    <n v="1"/>
    <n v="1"/>
    <n v="1.06"/>
    <n v="54.105948762999766"/>
    <n v="0"/>
    <s v="PASS"/>
    <n v="0"/>
    <x v="0"/>
  </r>
  <r>
    <s v="P0099"/>
    <d v="2025-12-14T00:00:00"/>
    <s v="Liability"/>
    <s v="16-24"/>
    <n v="5"/>
    <n v="0"/>
    <s v="Yes (Low Score)"/>
    <s v="8,500-13,499"/>
    <s v="Newport Beach (92603)"/>
    <s v="$5,000-$14,999"/>
    <s v="No"/>
    <s v="No"/>
    <s v="No"/>
    <s v="No"/>
    <s v="No"/>
    <s v="Yes"/>
    <s v="No"/>
    <s v="Yes (Medium)"/>
    <s v="Yes"/>
    <s v="Yes"/>
    <s v="No"/>
    <s v="No"/>
    <s v="No"/>
    <n v="448.6230846382856"/>
    <n v="622"/>
    <n v="1.32"/>
    <n v="1.07"/>
    <n v="1"/>
    <n v="0.95"/>
    <n v="1"/>
    <n v="0.94"/>
    <n v="0.97"/>
    <n v="1"/>
    <n v="1"/>
    <n v="1"/>
    <n v="1"/>
    <n v="1"/>
    <n v="0.72"/>
    <n v="0.92"/>
    <n v="0.89"/>
    <n v="1"/>
    <n v="1"/>
    <n v="1"/>
    <n v="1"/>
    <n v="448.6230846382856"/>
    <n v="0"/>
    <s v="PASS"/>
    <n v="0"/>
    <x v="0"/>
  </r>
  <r>
    <s v="P0100"/>
    <d v="2025-06-18T00:00:00"/>
    <s v="Liability"/>
    <s v="16-24"/>
    <n v="3"/>
    <n v="1"/>
    <s v="No"/>
    <s v="5,000-8,499"/>
    <s v="Torrance (90248)"/>
    <s v="$45,000-$84,999"/>
    <s v="No"/>
    <s v="No"/>
    <s v="No"/>
    <s v="Yes"/>
    <s v="No"/>
    <s v="Yes"/>
    <s v="No"/>
    <s v="Yes (Medium)"/>
    <s v="No"/>
    <s v="Yes"/>
    <s v="No"/>
    <s v="No"/>
    <s v="No"/>
    <n v="1237.7551551137592"/>
    <n v="622"/>
    <n v="1.32"/>
    <n v="1.22"/>
    <n v="1.34"/>
    <n v="1"/>
    <n v="0.93"/>
    <n v="1.1200000000000001"/>
    <n v="1.57"/>
    <n v="1"/>
    <n v="1"/>
    <n v="1"/>
    <n v="0.88"/>
    <n v="1"/>
    <n v="0.72"/>
    <n v="1"/>
    <n v="0.89"/>
    <n v="1"/>
    <n v="1"/>
    <n v="1"/>
    <n v="1"/>
    <n v="1237.7551551137592"/>
    <n v="0"/>
    <s v="PASS"/>
    <n v="0"/>
    <x v="0"/>
  </r>
  <r>
    <s v="P0101"/>
    <d v="2025-08-10T00:00:00"/>
    <s v="Liability"/>
    <s v="35-44"/>
    <s v="8+"/>
    <s v="5+"/>
    <s v="No"/>
    <s v="5,000-8,499"/>
    <s v="Hawthorne (90250)"/>
    <s v="$5,000-$14,999"/>
    <s v="No"/>
    <s v="Yes"/>
    <s v="No"/>
    <s v="Yes"/>
    <s v="No"/>
    <s v="Yes"/>
    <s v="No"/>
    <s v="Yes (Low)"/>
    <s v="No"/>
    <s v="No"/>
    <s v="Yes"/>
    <s v="No"/>
    <s v="No"/>
    <n v="848.65718665945974"/>
    <n v="622"/>
    <n v="1"/>
    <n v="0.93"/>
    <n v="2.4700000000000002"/>
    <n v="1"/>
    <n v="0.93"/>
    <n v="1.0900000000000001"/>
    <n v="0.97"/>
    <n v="1"/>
    <n v="1.21"/>
    <n v="1"/>
    <n v="0.88"/>
    <n v="1"/>
    <n v="0.61"/>
    <n v="1"/>
    <n v="1"/>
    <n v="0.93"/>
    <n v="1"/>
    <n v="1"/>
    <n v="1"/>
    <n v="848.65718665945974"/>
    <n v="0"/>
    <s v="PASS"/>
    <n v="0"/>
    <x v="0"/>
  </r>
  <r>
    <s v="P0102"/>
    <d v="2026-02-18T00:00:00"/>
    <s v="Comprehensive"/>
    <s v="45-54"/>
    <s v="8+"/>
    <n v="2"/>
    <s v="Yes (High Score)"/>
    <s v="5,000-8,499"/>
    <s v="Hawthorne (90250)"/>
    <s v="$85,000-$149,999"/>
    <s v="No"/>
    <s v="No"/>
    <s v="No"/>
    <s v="No"/>
    <s v="Yes"/>
    <s v="No"/>
    <s v="Yes (High)"/>
    <s v="No"/>
    <s v="No"/>
    <s v="No"/>
    <s v="Yes"/>
    <s v="No"/>
    <s v="No"/>
    <n v="176.31094677281769"/>
    <n v="121"/>
    <n v="1.07"/>
    <n v="0.93"/>
    <n v="1.55"/>
    <n v="0.65"/>
    <n v="0.93"/>
    <n v="1.0900000000000001"/>
    <n v="2.02"/>
    <n v="1"/>
    <n v="1"/>
    <n v="1"/>
    <n v="1"/>
    <n v="0.72"/>
    <n v="1"/>
    <n v="1"/>
    <n v="1"/>
    <n v="0.93"/>
    <n v="1"/>
    <n v="1"/>
    <n v="1.06"/>
    <n v="176.31094677281769"/>
    <n v="0"/>
    <s v="PASS"/>
    <n v="0"/>
    <x v="0"/>
  </r>
  <r>
    <s v="P0103"/>
    <d v="2025-05-12T00:00:00"/>
    <s v="Collision"/>
    <s v="16-24"/>
    <n v="3"/>
    <n v="4"/>
    <s v="Yes (Medium Score)"/>
    <s v="0-4,999"/>
    <s v="Santa Ana (92702)"/>
    <s v="$5,000-$14,999"/>
    <s v="No"/>
    <s v="No"/>
    <s v="Yes"/>
    <s v="No"/>
    <s v="Yes"/>
    <s v="No"/>
    <s v="Yes (Medium)"/>
    <s v="No"/>
    <s v="No"/>
    <s v="Yes"/>
    <s v="Yes"/>
    <s v="No"/>
    <s v="No"/>
    <n v="809.56887118160523"/>
    <n v="453"/>
    <n v="1.32"/>
    <n v="1.22"/>
    <n v="2.12"/>
    <n v="0.8"/>
    <n v="0.82"/>
    <n v="1.02"/>
    <n v="0.97"/>
    <n v="1"/>
    <n v="1"/>
    <n v="1.1599999999999999"/>
    <n v="1"/>
    <n v="0.84"/>
    <n v="1"/>
    <n v="1"/>
    <n v="0.89"/>
    <n v="0.93"/>
    <n v="1"/>
    <n v="1"/>
    <n v="1"/>
    <n v="809.56887118160523"/>
    <n v="0"/>
    <s v="PASS"/>
    <n v="0"/>
    <x v="0"/>
  </r>
  <r>
    <s v="P0104"/>
    <d v="2026-02-02T00:00:00"/>
    <s v="Liability"/>
    <s v="25-34"/>
    <s v="8+"/>
    <n v="0"/>
    <s v="No"/>
    <s v="0-4,999"/>
    <s v="Fullerton (92832)"/>
    <s v="$0-$4,999"/>
    <s v="Yes"/>
    <s v="No"/>
    <s v="No"/>
    <s v="No"/>
    <s v="No"/>
    <s v="Yes"/>
    <s v="No"/>
    <s v="Yes (High)"/>
    <s v="Yes"/>
    <s v="Yes"/>
    <s v="Yes"/>
    <s v="No"/>
    <s v="No"/>
    <n v="465.02904129215028"/>
    <n v="622"/>
    <n v="1.23"/>
    <n v="0.93"/>
    <n v="1"/>
    <n v="1"/>
    <n v="0.82"/>
    <n v="1.1200000000000001"/>
    <n v="0.82"/>
    <n v="1.28"/>
    <n v="1"/>
    <n v="1"/>
    <n v="1"/>
    <n v="1"/>
    <n v="0.84"/>
    <n v="0.92"/>
    <n v="0.89"/>
    <n v="0.93"/>
    <n v="1"/>
    <n v="1"/>
    <n v="1.06"/>
    <n v="465.02904129215028"/>
    <n v="0"/>
    <s v="PASS"/>
    <n v="0"/>
    <x v="0"/>
  </r>
  <r>
    <s v="P0105"/>
    <d v="2025-11-03T00:00:00"/>
    <s v="Liability"/>
    <s v="65+"/>
    <n v="3"/>
    <s v="5+"/>
    <s v="No"/>
    <s v="0-4,999"/>
    <s v="Hawthorne (90250)"/>
    <s v="$85,000-$149,999"/>
    <s v="No"/>
    <s v="No"/>
    <s v="No"/>
    <s v="No"/>
    <s v="No"/>
    <s v="Yes"/>
    <s v="No"/>
    <s v="Yes (High)"/>
    <s v="No"/>
    <s v="Yes"/>
    <s v="No"/>
    <s v="No"/>
    <s v="No"/>
    <n v="3213.0087040560043"/>
    <n v="622"/>
    <n v="1.27"/>
    <n v="1.22"/>
    <n v="2.4700000000000002"/>
    <n v="1"/>
    <n v="0.82"/>
    <n v="1.0900000000000001"/>
    <n v="2.02"/>
    <n v="1"/>
    <n v="1"/>
    <n v="1"/>
    <n v="1"/>
    <n v="1"/>
    <n v="0.84"/>
    <n v="1"/>
    <n v="0.89"/>
    <n v="1"/>
    <n v="1"/>
    <n v="1"/>
    <n v="1"/>
    <n v="3213.0087040560043"/>
    <n v="0"/>
    <s v="PASS"/>
    <n v="0"/>
    <x v="0"/>
  </r>
  <r>
    <s v="P0106"/>
    <d v="2026-03-11T00:00:00"/>
    <s v="Collision"/>
    <s v="35-44"/>
    <n v="7"/>
    <n v="1"/>
    <s v="Yes (Low Score)"/>
    <s v="17,000+"/>
    <s v="Santa Ana (92702)"/>
    <s v="$150,000+"/>
    <s v="No"/>
    <s v="Yes"/>
    <s v="No"/>
    <s v="No"/>
    <s v="Yes"/>
    <s v="No"/>
    <s v="Yes (High)"/>
    <s v="No"/>
    <s v="No"/>
    <s v="No"/>
    <s v="No"/>
    <s v="Yes"/>
    <s v="No"/>
    <n v="1823.707401631387"/>
    <n v="453"/>
    <n v="1"/>
    <n v="0.95"/>
    <n v="1.34"/>
    <n v="0.95"/>
    <n v="1.31"/>
    <n v="1.02"/>
    <n v="2.87"/>
    <n v="1"/>
    <n v="1.21"/>
    <n v="1"/>
    <n v="1"/>
    <n v="0.72"/>
    <n v="1"/>
    <n v="1"/>
    <n v="1"/>
    <n v="1"/>
    <n v="0.94"/>
    <n v="1"/>
    <n v="1.06"/>
    <n v="1823.707401631387"/>
    <n v="0"/>
    <s v="PASS"/>
    <n v="0"/>
    <x v="0"/>
  </r>
  <r>
    <s v="P0107"/>
    <d v="2025-05-15T00:00:00"/>
    <s v="Liability"/>
    <s v="65+"/>
    <n v="4"/>
    <n v="1"/>
    <s v="Yes (Low Score)"/>
    <s v="13,500-16,999"/>
    <s v="Newport Beach (92603)"/>
    <s v="$15,000-$24,999"/>
    <s v="No"/>
    <s v="No"/>
    <s v="No"/>
    <s v="Yes"/>
    <s v="No"/>
    <s v="Yes"/>
    <s v="No"/>
    <s v="Yes (Medium)"/>
    <s v="Yes"/>
    <s v="Yes"/>
    <s v="Yes"/>
    <s v="Yes"/>
    <s v="No"/>
    <n v="628.28656169699855"/>
    <n v="622"/>
    <n v="1.27"/>
    <n v="1.1499999999999999"/>
    <n v="1.34"/>
    <n v="0.95"/>
    <n v="1.18"/>
    <n v="0.94"/>
    <n v="1.08"/>
    <n v="1"/>
    <n v="1"/>
    <n v="1"/>
    <n v="0.88"/>
    <n v="1"/>
    <n v="0.72"/>
    <n v="0.92"/>
    <n v="0.89"/>
    <n v="0.93"/>
    <n v="0.94"/>
    <n v="1"/>
    <n v="1"/>
    <n v="628.28656169699855"/>
    <n v="0"/>
    <s v="PASS"/>
    <n v="0"/>
    <x v="0"/>
  </r>
  <r>
    <s v="P0108"/>
    <d v="2026-05-01T00:00:00"/>
    <s v="Comprehensive"/>
    <s v="65+"/>
    <n v="2"/>
    <n v="1"/>
    <s v="Yes (Low Score)"/>
    <s v="0-4,999"/>
    <s v="Costa Mesa (92626)"/>
    <s v="$45,000-$84,999"/>
    <s v="No"/>
    <s v="Yes"/>
    <s v="No"/>
    <s v="No"/>
    <s v="Yes"/>
    <s v="No"/>
    <s v="Yes (Medium)"/>
    <s v="No"/>
    <s v="No"/>
    <s v="No"/>
    <s v="No"/>
    <s v="No"/>
    <s v="No"/>
    <n v="351.97227993685954"/>
    <n v="121"/>
    <n v="1.27"/>
    <n v="1.41"/>
    <n v="1.34"/>
    <n v="0.95"/>
    <n v="0.82"/>
    <n v="0.92"/>
    <n v="1.57"/>
    <n v="1"/>
    <n v="1.21"/>
    <n v="1"/>
    <n v="1"/>
    <n v="0.84"/>
    <n v="1"/>
    <n v="1"/>
    <n v="1"/>
    <n v="1"/>
    <n v="1"/>
    <n v="1"/>
    <n v="1.06"/>
    <n v="351.97227993685954"/>
    <n v="0"/>
    <s v="PASS"/>
    <n v="0"/>
    <x v="0"/>
  </r>
  <r>
    <s v="P0109"/>
    <d v="2025-08-13T00:00:00"/>
    <s v="Uninsured Motorist"/>
    <s v="55-64"/>
    <n v="4"/>
    <n v="1"/>
    <s v="Yes (Low Score)"/>
    <s v="8,500-13,499"/>
    <s v="Irvine (92602)"/>
    <s v="$15,000-$24,999"/>
    <s v="No"/>
    <s v="Yes"/>
    <s v="No"/>
    <s v="Yes"/>
    <s v="No"/>
    <s v="Yes"/>
    <s v="No"/>
    <s v="Yes (Low)"/>
    <s v="No"/>
    <s v="Yes"/>
    <s v="Yes"/>
    <s v="No"/>
    <s v="Yes"/>
    <n v="78.51121344600412"/>
    <n v="78"/>
    <n v="1.1200000000000001"/>
    <n v="1.1499999999999999"/>
    <n v="1.34"/>
    <n v="0.95"/>
    <n v="1"/>
    <n v="1.0900000000000001"/>
    <n v="1.08"/>
    <n v="1"/>
    <n v="1.21"/>
    <n v="1"/>
    <n v="0.88"/>
    <n v="1"/>
    <n v="0.61"/>
    <n v="1"/>
    <n v="0.89"/>
    <n v="0.93"/>
    <n v="1"/>
    <n v="0.97"/>
    <n v="1"/>
    <n v="78.51121344600412"/>
    <n v="0"/>
    <s v="PASS"/>
    <n v="0"/>
    <x v="0"/>
  </r>
  <r>
    <s v="P0110"/>
    <d v="2025-10-25T00:00:00"/>
    <s v="Liability"/>
    <s v="55-64"/>
    <n v="5"/>
    <n v="1"/>
    <s v="No"/>
    <s v="17,000+"/>
    <s v="Lake Forrest (92609)"/>
    <s v="$15,000-$24,999"/>
    <s v="No"/>
    <s v="No"/>
    <s v="No"/>
    <s v="Yes"/>
    <s v="No"/>
    <s v="Yes"/>
    <s v="No"/>
    <s v="Yes (Low)"/>
    <s v="No"/>
    <s v="No"/>
    <s v="No"/>
    <s v="No"/>
    <s v="No"/>
    <n v="720.65623263382452"/>
    <n v="622"/>
    <n v="1.1200000000000001"/>
    <n v="1.07"/>
    <n v="1.34"/>
    <n v="1"/>
    <n v="1.31"/>
    <n v="0.95"/>
    <n v="1.08"/>
    <n v="1"/>
    <n v="1"/>
    <n v="1"/>
    <n v="0.88"/>
    <n v="1"/>
    <n v="0.61"/>
    <n v="1"/>
    <n v="1"/>
    <n v="1"/>
    <n v="1"/>
    <n v="1"/>
    <n v="1"/>
    <n v="720.65623263382452"/>
    <n v="0"/>
    <s v="PASS"/>
    <n v="0"/>
    <x v="0"/>
  </r>
  <r>
    <s v="P0111"/>
    <d v="2026-02-25T00:00:00"/>
    <s v="Liability"/>
    <s v="35-44"/>
    <n v="1"/>
    <n v="0"/>
    <s v="No"/>
    <s v="13,500-16,999"/>
    <s v="Long Beach (90712)"/>
    <s v="$45,000-$84,999"/>
    <s v="No"/>
    <s v="No"/>
    <s v="No"/>
    <s v="Yes"/>
    <s v="No"/>
    <s v="Yes"/>
    <s v="No"/>
    <s v="Yes (High)"/>
    <s v="No"/>
    <s v="No"/>
    <s v="Yes"/>
    <s v="No"/>
    <s v="Yes"/>
    <n v="1496.0855262744717"/>
    <n v="622"/>
    <n v="1"/>
    <n v="1.64"/>
    <n v="1"/>
    <n v="1"/>
    <n v="1.18"/>
    <n v="1.1200000000000001"/>
    <n v="1.57"/>
    <n v="1"/>
    <n v="1"/>
    <n v="1"/>
    <n v="0.88"/>
    <n v="1"/>
    <n v="0.84"/>
    <n v="1"/>
    <n v="1"/>
    <n v="0.93"/>
    <n v="1"/>
    <n v="0.97"/>
    <n v="1.06"/>
    <n v="1496.0855262744717"/>
    <n v="0"/>
    <s v="PASS"/>
    <n v="0"/>
    <x v="0"/>
  </r>
  <r>
    <s v="P0112"/>
    <d v="2025-06-29T00:00:00"/>
    <s v="Collision"/>
    <s v="25-34"/>
    <n v="1"/>
    <n v="3"/>
    <s v="No"/>
    <s v="8,500-13,499"/>
    <s v="Lake Forrest (92609)"/>
    <s v="$85,000-$149,999"/>
    <s v="No"/>
    <s v="No"/>
    <s v="No"/>
    <s v="No"/>
    <s v="Yes"/>
    <s v="No"/>
    <s v="Yes (Medium)"/>
    <s v="No"/>
    <s v="No"/>
    <s v="No"/>
    <s v="Yes"/>
    <s v="No"/>
    <s v="No"/>
    <n v="2493.1921960554337"/>
    <n v="453"/>
    <n v="1.23"/>
    <n v="1.64"/>
    <n v="1.82"/>
    <n v="1"/>
    <n v="1"/>
    <n v="0.95"/>
    <n v="2.02"/>
    <n v="1"/>
    <n v="1"/>
    <n v="1"/>
    <n v="1"/>
    <n v="0.84"/>
    <n v="1"/>
    <n v="1"/>
    <n v="1"/>
    <n v="0.93"/>
    <n v="1"/>
    <n v="1"/>
    <n v="1"/>
    <n v="2493.1921960554337"/>
    <n v="0"/>
    <s v="PASS"/>
    <n v="0"/>
    <x v="0"/>
  </r>
  <r>
    <s v="P0113"/>
    <d v="2025-05-15T00:00:00"/>
    <s v="Comprehensive"/>
    <s v="25-34"/>
    <n v="2"/>
    <s v="5+"/>
    <s v="No"/>
    <s v="5,000-8,499"/>
    <s v="Orange (92705)"/>
    <s v="$0-$4,999"/>
    <s v="No"/>
    <s v="No"/>
    <s v="No"/>
    <s v="Yes"/>
    <s v="Yes"/>
    <s v="No"/>
    <s v="Yes (Medium)"/>
    <s v="No"/>
    <s v="No"/>
    <s v="Yes"/>
    <s v="No"/>
    <s v="No"/>
    <s v="No"/>
    <n v="265.25005658945673"/>
    <n v="121"/>
    <n v="1.23"/>
    <n v="1.41"/>
    <n v="2.4700000000000002"/>
    <n v="1"/>
    <n v="0.93"/>
    <n v="1.02"/>
    <n v="0.82"/>
    <n v="1"/>
    <n v="1"/>
    <n v="1"/>
    <n v="0.88"/>
    <n v="0.84"/>
    <n v="1"/>
    <n v="1"/>
    <n v="0.89"/>
    <n v="1"/>
    <n v="1"/>
    <n v="1"/>
    <n v="1"/>
    <n v="265.25005658945673"/>
    <n v="0"/>
    <s v="PASS"/>
    <n v="0"/>
    <x v="0"/>
  </r>
  <r>
    <s v="P0114"/>
    <d v="2026-03-08T00:00:00"/>
    <s v="Uninsured Motorist"/>
    <s v="65+"/>
    <n v="1"/>
    <s v="5+"/>
    <s v="Yes (Medium Score)"/>
    <s v="5,000-8,499"/>
    <s v="Compton (90220)"/>
    <s v="$0-$4,999"/>
    <s v="No"/>
    <s v="Yes"/>
    <s v="No"/>
    <s v="No"/>
    <s v="No"/>
    <s v="Yes"/>
    <s v="No"/>
    <s v="Yes (High)"/>
    <s v="No"/>
    <s v="No"/>
    <s v="No"/>
    <s v="Yes"/>
    <s v="No"/>
    <n v="386.76653215273075"/>
    <n v="78"/>
    <n v="1.27"/>
    <n v="1.64"/>
    <n v="2.4700000000000002"/>
    <n v="0.8"/>
    <n v="0.93"/>
    <n v="1.56"/>
    <n v="0.82"/>
    <n v="1"/>
    <n v="1.21"/>
    <n v="1"/>
    <n v="1"/>
    <n v="1"/>
    <n v="0.84"/>
    <n v="1"/>
    <n v="1"/>
    <n v="1"/>
    <n v="0.94"/>
    <n v="1"/>
    <n v="1.06"/>
    <n v="386.76653215273075"/>
    <n v="0"/>
    <s v="PASS"/>
    <n v="0"/>
    <x v="0"/>
  </r>
  <r>
    <s v="P0115"/>
    <d v="2025-10-12T00:00:00"/>
    <s v="Uninsured Motorist"/>
    <s v="35-44"/>
    <n v="1"/>
    <n v="1"/>
    <s v="No"/>
    <s v="17,000+"/>
    <s v="Newport Beach (92603)"/>
    <s v="$45,000-$84,999"/>
    <s v="No"/>
    <s v="Yes"/>
    <s v="No"/>
    <s v="Yes"/>
    <s v="No"/>
    <s v="Yes"/>
    <s v="No"/>
    <s v="Yes (Medium)"/>
    <s v="No"/>
    <s v="No"/>
    <s v="No"/>
    <s v="No"/>
    <s v="Yes"/>
    <n v="246.44177260970653"/>
    <n v="78"/>
    <n v="1"/>
    <n v="1.64"/>
    <n v="1.34"/>
    <n v="1"/>
    <n v="1.31"/>
    <n v="0.94"/>
    <n v="1.57"/>
    <n v="1"/>
    <n v="1.21"/>
    <n v="1"/>
    <n v="0.88"/>
    <n v="1"/>
    <n v="0.72"/>
    <n v="1"/>
    <n v="1"/>
    <n v="1"/>
    <n v="1"/>
    <n v="0.97"/>
    <n v="1"/>
    <n v="246.44177260970653"/>
    <n v="0"/>
    <s v="PASS"/>
    <n v="0"/>
    <x v="0"/>
  </r>
  <r>
    <s v="P0116"/>
    <d v="2025-06-20T00:00:00"/>
    <s v="Liability"/>
    <s v="65+"/>
    <n v="4"/>
    <n v="0"/>
    <s v="Yes (Medium Score)"/>
    <s v="5,000-8,499"/>
    <s v="Fullerton (92832)"/>
    <s v="$85,000-$149,999"/>
    <s v="No"/>
    <s v="No"/>
    <s v="No"/>
    <s v="No"/>
    <s v="No"/>
    <s v="Yes"/>
    <s v="No"/>
    <s v="Yes (Low)"/>
    <s v="No"/>
    <s v="Yes"/>
    <s v="No"/>
    <s v="No"/>
    <s v="No"/>
    <n v="830.14530363174163"/>
    <n v="622"/>
    <n v="1.27"/>
    <n v="1.1499999999999999"/>
    <n v="1"/>
    <n v="0.8"/>
    <n v="0.93"/>
    <n v="1.1200000000000001"/>
    <n v="2.02"/>
    <n v="1"/>
    <n v="1"/>
    <n v="1"/>
    <n v="1"/>
    <n v="1"/>
    <n v="0.61"/>
    <n v="1"/>
    <n v="0.89"/>
    <n v="1"/>
    <n v="1"/>
    <n v="1"/>
    <n v="1"/>
    <n v="830.14530363174163"/>
    <n v="0"/>
    <s v="PASS"/>
    <n v="0"/>
    <x v="0"/>
  </r>
  <r>
    <s v="P0117"/>
    <d v="2025-05-17T00:00:00"/>
    <s v="Liability"/>
    <s v="55-64"/>
    <n v="3"/>
    <s v="5+"/>
    <s v="No"/>
    <s v="13,500-16,999"/>
    <s v="Westminster (92655)"/>
    <s v="$5,000-$14,999"/>
    <s v="No"/>
    <s v="No"/>
    <s v="No"/>
    <s v="Yes"/>
    <s v="No"/>
    <s v="Yes"/>
    <s v="No"/>
    <s v="Yes (High)"/>
    <s v="No"/>
    <s v="No"/>
    <s v="No"/>
    <s v="No"/>
    <s v="No"/>
    <n v="1936.0090763260744"/>
    <n v="622"/>
    <n v="1.1200000000000001"/>
    <n v="1.22"/>
    <n v="2.4700000000000002"/>
    <n v="1"/>
    <n v="1.18"/>
    <n v="1.0900000000000001"/>
    <n v="0.97"/>
    <n v="1"/>
    <n v="1"/>
    <n v="1"/>
    <n v="0.88"/>
    <n v="1"/>
    <n v="0.84"/>
    <n v="1"/>
    <n v="1"/>
    <n v="1"/>
    <n v="1"/>
    <n v="1"/>
    <n v="1"/>
    <n v="1936.0090763260744"/>
    <n v="0"/>
    <s v="PASS"/>
    <n v="0"/>
    <x v="0"/>
  </r>
  <r>
    <s v="P0118"/>
    <d v="2026-02-01T00:00:00"/>
    <s v="Comprehensive"/>
    <s v="25-34"/>
    <n v="5"/>
    <n v="1"/>
    <s v="Yes (High Score)"/>
    <s v="0-4,999"/>
    <s v="Compton (90220)"/>
    <s v="$150,000+"/>
    <s v="No"/>
    <s v="No"/>
    <s v="No"/>
    <s v="No"/>
    <s v="Yes"/>
    <s v="No"/>
    <s v="Yes (High)"/>
    <s v="No"/>
    <s v="No"/>
    <s v="Yes"/>
    <s v="No"/>
    <s v="No"/>
    <s v="No"/>
    <n v="345.89248802850051"/>
    <n v="121"/>
    <n v="1.23"/>
    <n v="1.07"/>
    <n v="1.34"/>
    <n v="0.65"/>
    <n v="0.82"/>
    <n v="1.56"/>
    <n v="2.87"/>
    <n v="1"/>
    <n v="1"/>
    <n v="1"/>
    <n v="1"/>
    <n v="0.72"/>
    <n v="1"/>
    <n v="1"/>
    <n v="0.89"/>
    <n v="1"/>
    <n v="1"/>
    <n v="1"/>
    <n v="1.06"/>
    <n v="345.89248802850051"/>
    <n v="0"/>
    <s v="PASS"/>
    <n v="0"/>
    <x v="0"/>
  </r>
  <r>
    <s v="P0119"/>
    <d v="2025-07-21T00:00:00"/>
    <s v="Liability"/>
    <s v="25-34"/>
    <n v="1"/>
    <n v="4"/>
    <s v="Yes (Low Score)"/>
    <s v="0-4,999"/>
    <s v="West Hollywood (90046)"/>
    <s v="$45,000-$84,999"/>
    <s v="No"/>
    <s v="No"/>
    <s v="No"/>
    <s v="No"/>
    <s v="No"/>
    <s v="Yes"/>
    <s v="No"/>
    <s v="Yes (Low)"/>
    <s v="No"/>
    <s v="No"/>
    <s v="Yes"/>
    <s v="No"/>
    <s v="No"/>
    <n v="2177.7454049987718"/>
    <n v="622"/>
    <n v="1.23"/>
    <n v="1.64"/>
    <n v="2.12"/>
    <n v="0.95"/>
    <n v="0.82"/>
    <n v="1.18"/>
    <n v="1.57"/>
    <n v="1"/>
    <n v="1"/>
    <n v="1"/>
    <n v="1"/>
    <n v="1"/>
    <n v="0.61"/>
    <n v="1"/>
    <n v="1"/>
    <n v="0.93"/>
    <n v="1"/>
    <n v="1"/>
    <n v="1"/>
    <n v="2177.7454049987718"/>
    <n v="0"/>
    <s v="PASS"/>
    <n v="0"/>
    <x v="0"/>
  </r>
  <r>
    <s v="P0120"/>
    <d v="2026-02-20T00:00:00"/>
    <s v="Liability"/>
    <s v="35-44"/>
    <n v="6"/>
    <n v="1"/>
    <s v="Yes (High Score)"/>
    <s v="5,000-8,499"/>
    <s v="Beverly Hills (90035)"/>
    <s v="$150,000+"/>
    <s v="No"/>
    <s v="No"/>
    <s v="Yes"/>
    <s v="Yes"/>
    <s v="No"/>
    <s v="Yes"/>
    <s v="No"/>
    <s v="Yes (Medium)"/>
    <s v="No"/>
    <s v="Yes"/>
    <s v="No"/>
    <s v="No"/>
    <s v="Yes"/>
    <n v="1176.7914904573765"/>
    <n v="622"/>
    <n v="1"/>
    <n v="1"/>
    <n v="1.34"/>
    <n v="0.65"/>
    <n v="0.93"/>
    <n v="1.21"/>
    <n v="2.87"/>
    <n v="1"/>
    <n v="1"/>
    <n v="1.1599999999999999"/>
    <n v="0.88"/>
    <n v="1"/>
    <n v="0.72"/>
    <n v="1"/>
    <n v="0.89"/>
    <n v="1"/>
    <n v="1"/>
    <n v="0.97"/>
    <n v="1.06"/>
    <n v="1176.7914904573765"/>
    <n v="0"/>
    <s v="PASS"/>
    <n v="0"/>
    <x v="0"/>
  </r>
  <r>
    <s v="P0121"/>
    <d v="2026-03-09T00:00:00"/>
    <s v="Collision"/>
    <s v="55-64"/>
    <n v="4"/>
    <n v="3"/>
    <s v="No"/>
    <s v="8,500-13,499"/>
    <s v="Fountain Valley (92708)"/>
    <s v="$150,000+"/>
    <s v="No"/>
    <s v="No"/>
    <s v="Yes"/>
    <s v="Yes"/>
    <s v="Yes"/>
    <s v="No"/>
    <s v="Yes (Low)"/>
    <s v="No"/>
    <s v="No"/>
    <s v="Yes"/>
    <s v="No"/>
    <s v="No"/>
    <s v="No"/>
    <n v="3206.4563242420154"/>
    <n v="453"/>
    <n v="1.1200000000000001"/>
    <n v="1.1499999999999999"/>
    <n v="1.82"/>
    <n v="1"/>
    <n v="1"/>
    <n v="1.1499999999999999"/>
    <n v="2.87"/>
    <n v="1"/>
    <n v="1"/>
    <n v="1.1599999999999999"/>
    <n v="0.88"/>
    <n v="0.95"/>
    <n v="1"/>
    <n v="1"/>
    <n v="0.89"/>
    <n v="1"/>
    <n v="1"/>
    <n v="1"/>
    <n v="1.06"/>
    <n v="3206.4563242420154"/>
    <n v="0"/>
    <s v="PASS"/>
    <n v="0"/>
    <x v="0"/>
  </r>
  <r>
    <s v="P0122"/>
    <d v="2025-07-01T00:00:00"/>
    <s v="Collision"/>
    <s v="25-34"/>
    <s v="8+"/>
    <n v="3"/>
    <s v="No"/>
    <s v="8,500-13,499"/>
    <s v="Cypress (90630)"/>
    <s v="$5,000-$14,999"/>
    <s v="No"/>
    <s v="No"/>
    <s v="No"/>
    <s v="Yes"/>
    <s v="Yes"/>
    <s v="No"/>
    <s v="Yes (High)"/>
    <s v="No"/>
    <s v="No"/>
    <s v="No"/>
    <s v="No"/>
    <s v="No"/>
    <s v="No"/>
    <n v="625.9913156815719"/>
    <n v="453"/>
    <n v="1.23"/>
    <n v="0.93"/>
    <n v="1.82"/>
    <n v="1"/>
    <n v="1"/>
    <n v="1.08"/>
    <n v="0.97"/>
    <n v="1"/>
    <n v="1"/>
    <n v="1"/>
    <n v="0.88"/>
    <n v="0.72"/>
    <n v="1"/>
    <n v="1"/>
    <n v="1"/>
    <n v="1"/>
    <n v="1"/>
    <n v="1"/>
    <n v="1"/>
    <n v="625.9913156815719"/>
    <n v="0"/>
    <s v="PASS"/>
    <n v="0"/>
    <x v="0"/>
  </r>
  <r>
    <s v="P0123"/>
    <d v="2025-11-07T00:00:00"/>
    <s v="Uninsured Motorist"/>
    <s v="35-44"/>
    <n v="5"/>
    <n v="2"/>
    <s v="No"/>
    <s v="13,500-16,999"/>
    <s v="Beverly Hills (90035)"/>
    <s v="$25,000-$44,999"/>
    <s v="No"/>
    <s v="No"/>
    <s v="Yes"/>
    <s v="Yes"/>
    <s v="No"/>
    <s v="Yes"/>
    <s v="No"/>
    <s v="Yes (Medium)"/>
    <s v="No"/>
    <s v="No"/>
    <s v="No"/>
    <s v="No"/>
    <s v="No"/>
    <n v="173.7643113871442"/>
    <n v="78"/>
    <n v="1"/>
    <n v="1.07"/>
    <n v="1.55"/>
    <n v="1"/>
    <n v="1.18"/>
    <n v="1.21"/>
    <n v="1.28"/>
    <n v="1"/>
    <n v="1"/>
    <n v="1.1599999999999999"/>
    <n v="0.88"/>
    <n v="1"/>
    <n v="0.72"/>
    <n v="1"/>
    <n v="1"/>
    <n v="1"/>
    <n v="1"/>
    <n v="1"/>
    <n v="1"/>
    <n v="173.7643113871442"/>
    <n v="0"/>
    <s v="PASS"/>
    <n v="0"/>
    <x v="0"/>
  </r>
  <r>
    <s v="P0124"/>
    <d v="2025-12-19T00:00:00"/>
    <s v="Liability"/>
    <s v="55-64"/>
    <n v="3"/>
    <n v="2"/>
    <s v="Yes (Medium Score)"/>
    <s v="5,000-8,499"/>
    <s v="Santa Monica (90401)"/>
    <s v="$15,000-$24,999"/>
    <s v="No"/>
    <s v="No"/>
    <s v="No"/>
    <s v="Yes"/>
    <s v="No"/>
    <s v="Yes"/>
    <s v="No"/>
    <s v="Yes (High)"/>
    <s v="No"/>
    <s v="No"/>
    <s v="No"/>
    <s v="Yes"/>
    <s v="No"/>
    <n v="853.18739052915112"/>
    <n v="622"/>
    <n v="1.1200000000000001"/>
    <n v="1.22"/>
    <n v="1.55"/>
    <n v="0.8"/>
    <n v="0.93"/>
    <n v="1.1599999999999999"/>
    <n v="1.08"/>
    <n v="1"/>
    <n v="1"/>
    <n v="1"/>
    <n v="0.88"/>
    <n v="1"/>
    <n v="0.84"/>
    <n v="1"/>
    <n v="1"/>
    <n v="1"/>
    <n v="0.94"/>
    <n v="1"/>
    <n v="1"/>
    <n v="853.18739052915112"/>
    <n v="0"/>
    <s v="PASS"/>
    <n v="0"/>
    <x v="0"/>
  </r>
  <r>
    <s v="P0125"/>
    <d v="2026-02-20T00:00:00"/>
    <s v="Collision"/>
    <s v="25-34"/>
    <n v="4"/>
    <n v="1"/>
    <s v="No"/>
    <s v="13,500-16,999"/>
    <s v="Santa Ana (92702)"/>
    <s v="$150,000+"/>
    <s v="No"/>
    <s v="No"/>
    <s v="No"/>
    <s v="Yes"/>
    <s v="Yes"/>
    <s v="No"/>
    <s v="Yes (High)"/>
    <s v="No"/>
    <s v="No"/>
    <s v="No"/>
    <s v="No"/>
    <s v="Yes"/>
    <s v="No"/>
    <n v="1872.4874492048814"/>
    <n v="453"/>
    <n v="1.23"/>
    <n v="1.1499999999999999"/>
    <n v="1.34"/>
    <n v="1"/>
    <n v="1.18"/>
    <n v="1.02"/>
    <n v="2.87"/>
    <n v="1"/>
    <n v="1"/>
    <n v="1"/>
    <n v="0.88"/>
    <n v="0.72"/>
    <n v="1"/>
    <n v="1"/>
    <n v="1"/>
    <n v="1"/>
    <n v="0.94"/>
    <n v="1"/>
    <n v="1.06"/>
    <n v="1872.4874492048814"/>
    <n v="0"/>
    <s v="PASS"/>
    <n v="0"/>
    <x v="0"/>
  </r>
  <r>
    <s v="P0126"/>
    <d v="2026-05-01T00:00:00"/>
    <s v="Liability"/>
    <s v="25-34"/>
    <n v="1"/>
    <s v="5+"/>
    <s v="Yes (High Score)"/>
    <s v="13,500-16,999"/>
    <s v="Hawthorne (90250)"/>
    <s v="$45,000-$84,999"/>
    <s v="No"/>
    <s v="No"/>
    <s v="No"/>
    <s v="No"/>
    <s v="No"/>
    <s v="Yes"/>
    <s v="No"/>
    <s v="Yes (Low)"/>
    <s v="No"/>
    <s v="No"/>
    <s v="No"/>
    <s v="No"/>
    <s v="No"/>
    <n v="2630.2286982351425"/>
    <n v="622"/>
    <n v="1.23"/>
    <n v="1.64"/>
    <n v="2.4700000000000002"/>
    <n v="0.65"/>
    <n v="1.18"/>
    <n v="1.0900000000000001"/>
    <n v="1.57"/>
    <n v="1"/>
    <n v="1"/>
    <n v="1"/>
    <n v="1"/>
    <n v="1"/>
    <n v="0.61"/>
    <n v="1"/>
    <n v="1"/>
    <n v="1"/>
    <n v="1"/>
    <n v="1"/>
    <n v="1.06"/>
    <n v="2630.2286982351425"/>
    <n v="0"/>
    <s v="PASS"/>
    <n v="0"/>
    <x v="0"/>
  </r>
  <r>
    <s v="P0127"/>
    <d v="2025-09-28T00:00:00"/>
    <s v="Liability"/>
    <s v="65+"/>
    <n v="4"/>
    <s v="5+"/>
    <s v="No"/>
    <s v="13,500-16,999"/>
    <s v="Santa Monica (90401)"/>
    <s v="$45,000-$84,999"/>
    <s v="No"/>
    <s v="No"/>
    <s v="No"/>
    <s v="No"/>
    <s v="No"/>
    <s v="Yes"/>
    <s v="No"/>
    <s v="Yes (High)"/>
    <s v="Yes"/>
    <s v="Yes"/>
    <s v="No"/>
    <s v="No"/>
    <s v="No"/>
    <n v="3316.5432735610648"/>
    <n v="622"/>
    <n v="1.27"/>
    <n v="1.1499999999999999"/>
    <n v="2.4700000000000002"/>
    <n v="1"/>
    <n v="1.18"/>
    <n v="1.1599999999999999"/>
    <n v="1.57"/>
    <n v="1"/>
    <n v="1"/>
    <n v="1"/>
    <n v="1"/>
    <n v="1"/>
    <n v="0.84"/>
    <n v="0.92"/>
    <n v="0.89"/>
    <n v="1"/>
    <n v="1"/>
    <n v="1"/>
    <n v="1"/>
    <n v="3316.5432735610648"/>
    <n v="0"/>
    <s v="PASS"/>
    <n v="0"/>
    <x v="0"/>
  </r>
  <r>
    <s v="P0128"/>
    <d v="2025-07-10T00:00:00"/>
    <s v="Comprehensive"/>
    <s v="25-34"/>
    <n v="1"/>
    <n v="2"/>
    <s v="Yes (Medium Score)"/>
    <s v="17,000+"/>
    <s v="Cypress (90630)"/>
    <s v="$25,000-$44,999"/>
    <s v="No"/>
    <s v="No"/>
    <s v="No"/>
    <s v="Yes"/>
    <s v="Yes"/>
    <s v="No"/>
    <s v="Yes (High)"/>
    <s v="No"/>
    <s v="Yes"/>
    <s v="No"/>
    <s v="No"/>
    <s v="Yes"/>
    <s v="No"/>
    <n v="300.32527628961753"/>
    <n v="121"/>
    <n v="1.23"/>
    <n v="1.64"/>
    <n v="1.55"/>
    <n v="0.8"/>
    <n v="1.31"/>
    <n v="1.08"/>
    <n v="1.28"/>
    <n v="1"/>
    <n v="1"/>
    <n v="1"/>
    <n v="0.88"/>
    <n v="0.72"/>
    <n v="1"/>
    <n v="0.92"/>
    <n v="1"/>
    <n v="1"/>
    <n v="0.94"/>
    <n v="1"/>
    <n v="1"/>
    <n v="300.32527628961753"/>
    <n v="0"/>
    <s v="PASS"/>
    <n v="0"/>
    <x v="0"/>
  </r>
  <r>
    <s v="P0129"/>
    <d v="2025-05-25T00:00:00"/>
    <s v="Liability"/>
    <s v="16-24"/>
    <n v="3"/>
    <n v="4"/>
    <s v="Yes (Medium Score)"/>
    <s v="8,500-13,499"/>
    <s v="West Hollywood (90046)"/>
    <s v="$15,000-$24,999"/>
    <s v="No"/>
    <s v="No"/>
    <s v="No"/>
    <s v="No"/>
    <s v="No"/>
    <s v="Yes"/>
    <s v="No"/>
    <s v="Yes (High)"/>
    <s v="No"/>
    <s v="Yes"/>
    <s v="Yes"/>
    <s v="No"/>
    <s v="No"/>
    <n v="1505.2477910260452"/>
    <n v="622"/>
    <n v="1.32"/>
    <n v="1.22"/>
    <n v="2.12"/>
    <n v="0.8"/>
    <n v="1"/>
    <n v="1.18"/>
    <n v="1.08"/>
    <n v="1"/>
    <n v="1"/>
    <n v="1"/>
    <n v="1"/>
    <n v="1"/>
    <n v="0.84"/>
    <n v="1"/>
    <n v="0.89"/>
    <n v="0.93"/>
    <n v="1"/>
    <n v="1"/>
    <n v="1"/>
    <n v="1505.2477910260452"/>
    <n v="0"/>
    <s v="PASS"/>
    <n v="0"/>
    <x v="0"/>
  </r>
  <r>
    <s v="P0130"/>
    <d v="2026-02-27T00:00:00"/>
    <s v="Rental Car Reinbursement"/>
    <s v="45-54"/>
    <n v="2"/>
    <n v="1"/>
    <s v="No"/>
    <s v="8,500-13,499"/>
    <s v="Compton (90220)"/>
    <s v="$5,000-$14,999"/>
    <s v="Yes"/>
    <s v="No"/>
    <s v="No"/>
    <s v="No"/>
    <s v="No"/>
    <s v="Yes"/>
    <s v="No"/>
    <s v="Yes (Low)"/>
    <s v="No"/>
    <s v="Yes"/>
    <s v="Yes"/>
    <s v="No"/>
    <s v="No"/>
    <n v="85.922420546313276"/>
    <n v="41"/>
    <n v="1.07"/>
    <n v="1.41"/>
    <n v="1.34"/>
    <n v="1"/>
    <n v="1"/>
    <n v="1.56"/>
    <n v="0.97"/>
    <n v="1.28"/>
    <n v="1"/>
    <n v="1"/>
    <n v="1"/>
    <n v="1"/>
    <n v="0.61"/>
    <n v="1"/>
    <n v="0.89"/>
    <n v="0.93"/>
    <n v="1"/>
    <n v="1"/>
    <n v="1.06"/>
    <n v="85.922420546313276"/>
    <n v="0"/>
    <s v="PASS"/>
    <n v="0"/>
    <x v="0"/>
  </r>
  <r>
    <s v="P0131"/>
    <d v="2025-08-09T00:00:00"/>
    <s v="Liability"/>
    <s v="25-34"/>
    <n v="5"/>
    <n v="0"/>
    <s v="Yes (Medium Score)"/>
    <s v="8,500-13,499"/>
    <s v="Anaheim (92801)"/>
    <s v="$45,000-$84,999"/>
    <s v="No"/>
    <s v="No"/>
    <s v="No"/>
    <s v="No"/>
    <s v="No"/>
    <s v="Yes"/>
    <s v="No"/>
    <s v="Yes (Medium)"/>
    <s v="Yes"/>
    <s v="No"/>
    <s v="No"/>
    <s v="No"/>
    <s v="No"/>
    <n v="755.98332424289299"/>
    <n v="622"/>
    <n v="1.23"/>
    <n v="1.07"/>
    <n v="1"/>
    <n v="0.8"/>
    <n v="1"/>
    <n v="1.1100000000000001"/>
    <n v="1.57"/>
    <n v="1"/>
    <n v="1"/>
    <n v="1"/>
    <n v="1"/>
    <n v="1"/>
    <n v="0.72"/>
    <n v="0.92"/>
    <n v="1"/>
    <n v="1"/>
    <n v="1"/>
    <n v="1"/>
    <n v="1"/>
    <n v="755.98332424289299"/>
    <n v="0"/>
    <s v="PASS"/>
    <n v="0"/>
    <x v="0"/>
  </r>
  <r>
    <s v="P0132"/>
    <d v="2025-10-16T00:00:00"/>
    <s v="Liability"/>
    <s v="65+"/>
    <n v="4"/>
    <n v="1"/>
    <s v="No"/>
    <s v="8,500-13,499"/>
    <s v="West Hollywood (90046)"/>
    <s v="$0-$4,999"/>
    <s v="No"/>
    <s v="No"/>
    <s v="No"/>
    <s v="No"/>
    <s v="No"/>
    <s v="Yes"/>
    <s v="No"/>
    <s v="Yes (High)"/>
    <s v="No"/>
    <s v="Yes"/>
    <s v="No"/>
    <s v="No"/>
    <s v="No"/>
    <n v="880.56596773871036"/>
    <n v="622"/>
    <n v="1.27"/>
    <n v="1.1499999999999999"/>
    <n v="1.34"/>
    <n v="1"/>
    <n v="1"/>
    <n v="1.18"/>
    <n v="0.82"/>
    <n v="1"/>
    <n v="1"/>
    <n v="1"/>
    <n v="1"/>
    <n v="1"/>
    <n v="0.84"/>
    <n v="1"/>
    <n v="0.89"/>
    <n v="1"/>
    <n v="1"/>
    <n v="1"/>
    <n v="1"/>
    <n v="880.56596773871036"/>
    <n v="0"/>
    <s v="PASS"/>
    <n v="0"/>
    <x v="0"/>
  </r>
  <r>
    <s v="P0133"/>
    <d v="2025-08-08T00:00:00"/>
    <s v="Rental Car Reinbursement"/>
    <s v="55-64"/>
    <n v="4"/>
    <n v="0"/>
    <s v="No"/>
    <s v="8,500-13,499"/>
    <s v="Anaheim (92801)"/>
    <s v="$150,000+"/>
    <s v="No"/>
    <s v="No"/>
    <s v="No"/>
    <s v="Yes"/>
    <s v="No"/>
    <s v="Yes"/>
    <s v="No"/>
    <s v="Yes (Low)"/>
    <s v="No"/>
    <s v="No"/>
    <s v="No"/>
    <s v="Yes"/>
    <s v="No"/>
    <n v="84.887737006195223"/>
    <n v="41"/>
    <n v="1.1200000000000001"/>
    <n v="1.1499999999999999"/>
    <n v="1"/>
    <n v="1"/>
    <n v="1"/>
    <n v="1.1100000000000001"/>
    <n v="2.87"/>
    <n v="1"/>
    <n v="1"/>
    <n v="1"/>
    <n v="0.88"/>
    <n v="1"/>
    <n v="0.61"/>
    <n v="1"/>
    <n v="1"/>
    <n v="1"/>
    <n v="0.94"/>
    <n v="1"/>
    <n v="1"/>
    <n v="84.887737006195223"/>
    <n v="0"/>
    <s v="PASS"/>
    <n v="0"/>
    <x v="0"/>
  </r>
  <r>
    <s v="P0134"/>
    <d v="2025-05-30T00:00:00"/>
    <s v="Comprehensive"/>
    <s v="16-24"/>
    <n v="6"/>
    <n v="1"/>
    <s v="No"/>
    <s v="0-4,999"/>
    <s v="Beverly Hills (90035)"/>
    <s v="$25,000-$44,999"/>
    <s v="No"/>
    <s v="No"/>
    <s v="Yes"/>
    <s v="No"/>
    <s v="Yes"/>
    <s v="No"/>
    <s v="Yes (High)"/>
    <s v="No"/>
    <s v="No"/>
    <s v="Yes"/>
    <s v="No"/>
    <s v="No"/>
    <s v="No"/>
    <n v="202.04764114871247"/>
    <n v="121"/>
    <n v="1.32"/>
    <n v="1"/>
    <n v="1.34"/>
    <n v="1"/>
    <n v="0.82"/>
    <n v="1.21"/>
    <n v="1.28"/>
    <n v="1"/>
    <n v="1"/>
    <n v="1.1599999999999999"/>
    <n v="1"/>
    <n v="0.72"/>
    <n v="1"/>
    <n v="1"/>
    <n v="0.89"/>
    <n v="1"/>
    <n v="1"/>
    <n v="1"/>
    <n v="1"/>
    <n v="202.04764114871247"/>
    <n v="0"/>
    <s v="PASS"/>
    <n v="0"/>
    <x v="0"/>
  </r>
  <r>
    <s v="P0135"/>
    <d v="2025-06-23T00:00:00"/>
    <s v="Uninsured Motorist"/>
    <s v="16-24"/>
    <n v="6"/>
    <n v="0"/>
    <s v="Yes (Medium Score)"/>
    <s v="5,000-8,499"/>
    <s v="Santa Monica (90401)"/>
    <s v="$150,000+"/>
    <s v="No"/>
    <s v="No"/>
    <s v="No"/>
    <s v="Yes"/>
    <s v="No"/>
    <s v="Yes"/>
    <s v="No"/>
    <s v="Yes (High)"/>
    <s v="No"/>
    <s v="No"/>
    <s v="Yes"/>
    <s v="Yes"/>
    <s v="No"/>
    <n v="164.7988268499424"/>
    <n v="78"/>
    <n v="1.32"/>
    <n v="1"/>
    <n v="1"/>
    <n v="0.8"/>
    <n v="0.93"/>
    <n v="1.1599999999999999"/>
    <n v="2.87"/>
    <n v="1"/>
    <n v="1"/>
    <n v="1"/>
    <n v="0.88"/>
    <n v="1"/>
    <n v="0.84"/>
    <n v="1"/>
    <n v="1"/>
    <n v="0.93"/>
    <n v="0.94"/>
    <n v="1"/>
    <n v="1"/>
    <n v="164.7988268499424"/>
    <n v="0"/>
    <s v="PASS"/>
    <n v="0"/>
    <x v="0"/>
  </r>
  <r>
    <s v="P0136"/>
    <d v="2025-05-24T00:00:00"/>
    <s v="Liability"/>
    <s v="35-44"/>
    <n v="6"/>
    <n v="1"/>
    <s v="Yes (High Score)"/>
    <s v="17,000+"/>
    <s v="Compton (90220)"/>
    <s v="$0-$4,999"/>
    <s v="No"/>
    <s v="No"/>
    <s v="No"/>
    <s v="No"/>
    <s v="No"/>
    <s v="Yes"/>
    <s v="No"/>
    <s v="Yes (Medium)"/>
    <s v="No"/>
    <s v="Yes"/>
    <s v="No"/>
    <s v="No"/>
    <s v="No"/>
    <n v="581.75589021937935"/>
    <n v="622"/>
    <n v="1"/>
    <n v="1"/>
    <n v="1.34"/>
    <n v="0.65"/>
    <n v="1.31"/>
    <n v="1.56"/>
    <n v="0.82"/>
    <n v="1"/>
    <n v="1"/>
    <n v="1"/>
    <n v="1"/>
    <n v="1"/>
    <n v="0.72"/>
    <n v="1"/>
    <n v="0.89"/>
    <n v="1"/>
    <n v="1"/>
    <n v="1"/>
    <n v="1"/>
    <n v="581.75589021937935"/>
    <n v="0"/>
    <s v="PASS"/>
    <n v="0"/>
    <x v="0"/>
  </r>
  <r>
    <s v="P0137"/>
    <d v="2025-08-16T00:00:00"/>
    <s v="Uninsured Motorist"/>
    <s v="45-54"/>
    <n v="3"/>
    <n v="1"/>
    <s v="No"/>
    <s v="13,500-16,999"/>
    <s v="Cypress (90630)"/>
    <s v="$25,000-$44,999"/>
    <s v="No"/>
    <s v="No"/>
    <s v="No"/>
    <s v="Yes"/>
    <s v="No"/>
    <s v="Yes"/>
    <s v="No"/>
    <s v="Yes (Low)"/>
    <s v="Yes"/>
    <s v="Yes"/>
    <s v="No"/>
    <s v="No"/>
    <s v="No"/>
    <n v="97.824825754311718"/>
    <n v="78"/>
    <n v="1.07"/>
    <n v="1.22"/>
    <n v="1.34"/>
    <n v="1"/>
    <n v="1.18"/>
    <n v="1.08"/>
    <n v="1.28"/>
    <n v="1"/>
    <n v="1"/>
    <n v="1"/>
    <n v="0.88"/>
    <n v="1"/>
    <n v="0.61"/>
    <n v="0.92"/>
    <n v="0.89"/>
    <n v="1"/>
    <n v="1"/>
    <n v="1"/>
    <n v="1"/>
    <n v="97.824825754311718"/>
    <n v="0"/>
    <s v="PASS"/>
    <n v="0"/>
    <x v="0"/>
  </r>
  <r>
    <s v="P0138"/>
    <d v="2026-04-17T00:00:00"/>
    <s v="Liability"/>
    <s v="25-34"/>
    <n v="1"/>
    <n v="0"/>
    <s v="No"/>
    <s v="5,000-8,499"/>
    <s v="Long Beach (90712)"/>
    <s v="$5,000-$14,999"/>
    <s v="Yes"/>
    <s v="Yes"/>
    <s v="No"/>
    <s v="Yes"/>
    <s v="No"/>
    <s v="Yes"/>
    <s v="No"/>
    <s v="Yes (Medium)"/>
    <s v="No"/>
    <s v="No"/>
    <s v="No"/>
    <s v="No"/>
    <s v="Yes"/>
    <n v="1279.0872142305027"/>
    <n v="622"/>
    <n v="1.23"/>
    <n v="1.64"/>
    <n v="1"/>
    <n v="1"/>
    <n v="0.93"/>
    <n v="1.1200000000000001"/>
    <n v="0.97"/>
    <n v="1.28"/>
    <n v="1.21"/>
    <n v="1"/>
    <n v="0.88"/>
    <n v="1"/>
    <n v="0.72"/>
    <n v="1"/>
    <n v="1"/>
    <n v="1"/>
    <n v="1"/>
    <n v="0.97"/>
    <n v="1.06"/>
    <n v="1279.0872142305027"/>
    <n v="0"/>
    <s v="PASS"/>
    <n v="0"/>
    <x v="0"/>
  </r>
  <r>
    <s v="P0139"/>
    <d v="2025-11-24T00:00:00"/>
    <s v="Collision"/>
    <s v="16-24"/>
    <n v="2"/>
    <s v="5+"/>
    <s v="No"/>
    <s v="0-4,999"/>
    <s v="Silverlake (90026 )"/>
    <s v="$15,000-$24,999"/>
    <s v="No"/>
    <s v="No"/>
    <s v="No"/>
    <s v="No"/>
    <s v="Yes"/>
    <s v="No"/>
    <s v="Yes (Medium)"/>
    <s v="No"/>
    <s v="No"/>
    <s v="No"/>
    <s v="No"/>
    <s v="No"/>
    <s v="Yes"/>
    <n v="1743.15022604362"/>
    <n v="453"/>
    <n v="1.32"/>
    <n v="1.41"/>
    <n v="2.4700000000000002"/>
    <n v="1"/>
    <n v="0.82"/>
    <n v="1.1599999999999999"/>
    <n v="1.08"/>
    <n v="1"/>
    <n v="1"/>
    <n v="1"/>
    <n v="1"/>
    <n v="0.84"/>
    <n v="1"/>
    <n v="1"/>
    <n v="1"/>
    <n v="1"/>
    <n v="1"/>
    <n v="0.97"/>
    <n v="1"/>
    <n v="1743.15022604362"/>
    <n v="0"/>
    <s v="PASS"/>
    <n v="0"/>
    <x v="0"/>
  </r>
  <r>
    <s v="P0140"/>
    <d v="2025-05-31T00:00:00"/>
    <s v="Collision"/>
    <s v="45-54"/>
    <n v="1"/>
    <n v="3"/>
    <s v="No"/>
    <s v="5,000-8,499"/>
    <s v="Fountain Valley (92708)"/>
    <s v="$85,000-$149,999"/>
    <s v="No"/>
    <s v="No"/>
    <s v="Yes"/>
    <s v="No"/>
    <s v="Yes"/>
    <s v="No"/>
    <s v="Yes (High)"/>
    <s v="No"/>
    <s v="No"/>
    <s v="Yes"/>
    <s v="No"/>
    <s v="No"/>
    <s v="Yes"/>
    <n v="2253.6247349248329"/>
    <n v="453"/>
    <n v="1.07"/>
    <n v="1.64"/>
    <n v="1.82"/>
    <n v="1"/>
    <n v="0.93"/>
    <n v="1.1499999999999999"/>
    <n v="2.02"/>
    <n v="1"/>
    <n v="1"/>
    <n v="1.1599999999999999"/>
    <n v="1"/>
    <n v="0.72"/>
    <n v="1"/>
    <n v="1"/>
    <n v="0.89"/>
    <n v="1"/>
    <n v="1"/>
    <n v="0.97"/>
    <n v="1"/>
    <n v="2253.6247349248329"/>
    <n v="0"/>
    <s v="PASS"/>
    <n v="0"/>
    <x v="0"/>
  </r>
  <r>
    <s v="P0141"/>
    <d v="2026-02-04T00:00:00"/>
    <s v="Liability"/>
    <s v="25-34"/>
    <n v="3"/>
    <n v="1"/>
    <s v="No"/>
    <s v="5,000-8,499"/>
    <s v="Cypress (90630)"/>
    <s v="$0-$4,999"/>
    <s v="No"/>
    <s v="No"/>
    <s v="No"/>
    <s v="Yes"/>
    <s v="No"/>
    <s v="Yes"/>
    <s v="No"/>
    <s v="Yes (Medium)"/>
    <s v="Yes"/>
    <s v="No"/>
    <s v="No"/>
    <s v="No"/>
    <s v="No"/>
    <n v="636.48700733098087"/>
    <n v="622"/>
    <n v="1.23"/>
    <n v="1.22"/>
    <n v="1.34"/>
    <n v="1"/>
    <n v="0.93"/>
    <n v="1.08"/>
    <n v="0.82"/>
    <n v="1"/>
    <n v="1"/>
    <n v="1"/>
    <n v="0.88"/>
    <n v="1"/>
    <n v="0.72"/>
    <n v="0.92"/>
    <n v="1"/>
    <n v="1"/>
    <n v="1"/>
    <n v="1"/>
    <n v="1.06"/>
    <n v="636.48700733098087"/>
    <n v="0"/>
    <s v="PASS"/>
    <n v="0"/>
    <x v="0"/>
  </r>
  <r>
    <s v="P0142"/>
    <d v="2026-02-11T00:00:00"/>
    <s v="Rental Car Reinbursement"/>
    <s v="55-64"/>
    <n v="5"/>
    <n v="4"/>
    <s v="Yes (Low Score)"/>
    <s v="5,000-8,499"/>
    <s v="Newport Beach (92603)"/>
    <s v="$25,000-$44,999"/>
    <s v="Yes"/>
    <s v="No"/>
    <s v="Yes"/>
    <s v="Yes"/>
    <s v="No"/>
    <s v="Yes"/>
    <s v="No"/>
    <s v="Yes (High)"/>
    <s v="No"/>
    <s v="No"/>
    <s v="No"/>
    <s v="No"/>
    <s v="Yes"/>
    <n v="124.96068916918721"/>
    <n v="41"/>
    <n v="1.1200000000000001"/>
    <n v="1.07"/>
    <n v="2.12"/>
    <n v="0.95"/>
    <n v="0.93"/>
    <n v="0.94"/>
    <n v="1.28"/>
    <n v="1.28"/>
    <n v="1"/>
    <n v="1.1599999999999999"/>
    <n v="0.88"/>
    <n v="1"/>
    <n v="0.84"/>
    <n v="1"/>
    <n v="1"/>
    <n v="1"/>
    <n v="1"/>
    <n v="0.97"/>
    <n v="1.06"/>
    <n v="124.96068916918721"/>
    <n v="0"/>
    <s v="PASS"/>
    <n v="0"/>
    <x v="0"/>
  </r>
  <r>
    <s v="P0143"/>
    <d v="2025-06-22T00:00:00"/>
    <s v="Liability"/>
    <s v="16-24"/>
    <n v="1"/>
    <n v="1"/>
    <s v="Yes (Low Score)"/>
    <s v="5,000-8,499"/>
    <s v="Newport Beach (92603)"/>
    <s v="$85,000-$149,999"/>
    <s v="No"/>
    <s v="No"/>
    <s v="No"/>
    <s v="No"/>
    <s v="No"/>
    <s v="Yes"/>
    <s v="No"/>
    <s v="Yes (Medium)"/>
    <s v="No"/>
    <s v="No"/>
    <s v="No"/>
    <s v="No"/>
    <s v="No"/>
    <n v="2179.3713412837392"/>
    <n v="622"/>
    <n v="1.32"/>
    <n v="1.64"/>
    <n v="1.34"/>
    <n v="0.95"/>
    <n v="0.93"/>
    <n v="0.94"/>
    <n v="2.02"/>
    <n v="1"/>
    <n v="1"/>
    <n v="1"/>
    <n v="1"/>
    <n v="1"/>
    <n v="0.72"/>
    <n v="1"/>
    <n v="1"/>
    <n v="1"/>
    <n v="1"/>
    <n v="1"/>
    <n v="1"/>
    <n v="2179.3713412837392"/>
    <n v="0"/>
    <s v="PASS"/>
    <n v="0"/>
    <x v="0"/>
  </r>
  <r>
    <s v="P0144"/>
    <d v="2026-01-25T00:00:00"/>
    <s v="Liability"/>
    <s v="16-24"/>
    <n v="7"/>
    <s v="5+"/>
    <s v="Yes (Medium Score)"/>
    <s v="0-4,999"/>
    <s v="Torrance (90248)"/>
    <s v="$25,000-$44,999"/>
    <s v="No"/>
    <s v="No"/>
    <s v="No"/>
    <s v="Yes"/>
    <s v="No"/>
    <s v="Yes"/>
    <s v="No"/>
    <s v="Yes (Low)"/>
    <s v="No"/>
    <s v="Yes"/>
    <s v="No"/>
    <s v="No"/>
    <s v="No"/>
    <n v="917.5401666481938"/>
    <n v="622"/>
    <n v="1.32"/>
    <n v="0.95"/>
    <n v="2.4700000000000002"/>
    <n v="0.8"/>
    <n v="0.82"/>
    <n v="1.1200000000000001"/>
    <n v="1.28"/>
    <n v="1"/>
    <n v="1"/>
    <n v="1"/>
    <n v="0.88"/>
    <n v="1"/>
    <n v="0.61"/>
    <n v="1"/>
    <n v="0.89"/>
    <n v="1"/>
    <n v="1"/>
    <n v="1"/>
    <n v="1.06"/>
    <n v="917.5401666481938"/>
    <n v="0"/>
    <s v="PASS"/>
    <n v="0"/>
    <x v="0"/>
  </r>
  <r>
    <s v="P0145"/>
    <d v="2025-08-23T00:00:00"/>
    <s v="Collision"/>
    <s v="35-44"/>
    <n v="6"/>
    <n v="3"/>
    <s v="No"/>
    <s v="13,500-16,999"/>
    <s v="Costa Mesa (92626)"/>
    <s v="$25,000-$44,999"/>
    <s v="No"/>
    <s v="No"/>
    <s v="Yes"/>
    <s v="Yes"/>
    <s v="Yes"/>
    <s v="No"/>
    <s v="Yes (Low)"/>
    <s v="No"/>
    <s v="Yes"/>
    <s v="No"/>
    <s v="No"/>
    <s v="No"/>
    <s v="No"/>
    <n v="1022.1190633531635"/>
    <n v="453"/>
    <n v="1"/>
    <n v="1"/>
    <n v="1.82"/>
    <n v="1"/>
    <n v="1.18"/>
    <n v="0.92"/>
    <n v="1.28"/>
    <n v="1"/>
    <n v="1"/>
    <n v="1.1599999999999999"/>
    <n v="0.88"/>
    <n v="0.95"/>
    <n v="1"/>
    <n v="0.92"/>
    <n v="1"/>
    <n v="1"/>
    <n v="1"/>
    <n v="1"/>
    <n v="1"/>
    <n v="1022.1190633531635"/>
    <n v="0"/>
    <s v="PASS"/>
    <n v="0"/>
    <x v="0"/>
  </r>
  <r>
    <s v="P0146"/>
    <d v="2025-08-08T00:00:00"/>
    <s v="Uninsured Motorist"/>
    <s v="65+"/>
    <n v="5"/>
    <n v="3"/>
    <s v="No"/>
    <s v="5,000-8,499"/>
    <s v="Hawthorne (90250)"/>
    <s v="$15,000-$24,999"/>
    <s v="No"/>
    <s v="Yes"/>
    <s v="No"/>
    <s v="Yes"/>
    <s v="No"/>
    <s v="Yes"/>
    <s v="No"/>
    <s v="Yes (Medium)"/>
    <s v="No"/>
    <s v="No"/>
    <s v="No"/>
    <s v="No"/>
    <s v="No"/>
    <n v="161.91505443842345"/>
    <n v="78"/>
    <n v="1.27"/>
    <n v="1.07"/>
    <n v="1.82"/>
    <n v="1"/>
    <n v="0.93"/>
    <n v="1.0900000000000001"/>
    <n v="1.08"/>
    <n v="1"/>
    <n v="1.21"/>
    <n v="1"/>
    <n v="0.88"/>
    <n v="1"/>
    <n v="0.72"/>
    <n v="1"/>
    <n v="1"/>
    <n v="1"/>
    <n v="1"/>
    <n v="1"/>
    <n v="1"/>
    <n v="161.91505443842345"/>
    <n v="0"/>
    <s v="PASS"/>
    <n v="0"/>
    <x v="0"/>
  </r>
  <r>
    <s v="P0147"/>
    <d v="2026-01-24T00:00:00"/>
    <s v="Collision"/>
    <s v="35-44"/>
    <n v="2"/>
    <n v="4"/>
    <s v="No"/>
    <s v="0-4,999"/>
    <s v="Koreatown (90006)"/>
    <s v="$5,000-$14,999"/>
    <s v="No"/>
    <s v="No"/>
    <s v="No"/>
    <s v="Yes"/>
    <s v="Yes"/>
    <s v="No"/>
    <s v="Yes (Medium)"/>
    <s v="No"/>
    <s v="No"/>
    <s v="No"/>
    <s v="No"/>
    <s v="No"/>
    <s v="No"/>
    <n v="1021.155676857479"/>
    <n v="453"/>
    <n v="1"/>
    <n v="1.41"/>
    <n v="2.12"/>
    <n v="1"/>
    <n v="0.82"/>
    <n v="1.21"/>
    <n v="0.97"/>
    <n v="1"/>
    <n v="1"/>
    <n v="1"/>
    <n v="0.88"/>
    <n v="0.84"/>
    <n v="1"/>
    <n v="1"/>
    <n v="1"/>
    <n v="1"/>
    <n v="1"/>
    <n v="1"/>
    <n v="1.06"/>
    <n v="1021.155676857479"/>
    <n v="0"/>
    <s v="PASS"/>
    <n v="0"/>
    <x v="0"/>
  </r>
  <r>
    <s v="P0148"/>
    <d v="2025-08-19T00:00:00"/>
    <s v="Comprehensive"/>
    <s v="65+"/>
    <n v="1"/>
    <n v="0"/>
    <s v="No"/>
    <s v="8,500-13,499"/>
    <s v="Fountain Valley (92708)"/>
    <s v="$0-$4,999"/>
    <s v="No"/>
    <s v="No"/>
    <s v="No"/>
    <s v="No"/>
    <s v="Yes"/>
    <s v="No"/>
    <s v="Yes (High)"/>
    <s v="No"/>
    <s v="Yes"/>
    <s v="No"/>
    <s v="No"/>
    <s v="No"/>
    <s v="No"/>
    <n v="157.42182969215997"/>
    <n v="121"/>
    <n v="1.27"/>
    <n v="1.64"/>
    <n v="1"/>
    <n v="1"/>
    <n v="1"/>
    <n v="1.1499999999999999"/>
    <n v="0.82"/>
    <n v="1"/>
    <n v="1"/>
    <n v="1"/>
    <n v="1"/>
    <n v="0.72"/>
    <n v="1"/>
    <n v="0.92"/>
    <n v="1"/>
    <n v="1"/>
    <n v="1"/>
    <n v="1"/>
    <n v="1"/>
    <n v="157.42182969215997"/>
    <n v="0"/>
    <s v="PASS"/>
    <n v="0"/>
    <x v="0"/>
  </r>
  <r>
    <s v="P0149"/>
    <d v="2026-02-28T00:00:00"/>
    <s v="Collision"/>
    <s v="45-54"/>
    <s v="8+"/>
    <n v="0"/>
    <s v="Yes (High Score)"/>
    <s v="17,000+"/>
    <s v="DTLA (90012)"/>
    <s v="$85,000-$149,999"/>
    <s v="No"/>
    <s v="No"/>
    <s v="No"/>
    <s v="Yes"/>
    <s v="Yes"/>
    <s v="No"/>
    <s v="Yes (High)"/>
    <s v="No"/>
    <s v="No"/>
    <s v="Yes"/>
    <s v="Yes"/>
    <s v="No"/>
    <s v="No"/>
    <n v="543.08209435855417"/>
    <n v="453"/>
    <n v="1.07"/>
    <n v="0.93"/>
    <n v="1"/>
    <n v="0.65"/>
    <n v="1.31"/>
    <n v="1.26"/>
    <n v="2.02"/>
    <n v="1"/>
    <n v="1"/>
    <n v="1"/>
    <n v="0.88"/>
    <n v="0.72"/>
    <n v="1"/>
    <n v="1"/>
    <n v="0.89"/>
    <n v="0.93"/>
    <n v="1"/>
    <n v="1"/>
    <n v="1.06"/>
    <n v="543.08209435855417"/>
    <n v="0"/>
    <s v="PASS"/>
    <n v="0"/>
    <x v="0"/>
  </r>
  <r>
    <s v="P0150"/>
    <d v="2026-03-08T00:00:00"/>
    <s v="Uninsured Motorist"/>
    <s v="65+"/>
    <n v="2"/>
    <n v="1"/>
    <s v="Yes (High Score)"/>
    <s v="17,000+"/>
    <s v="West Hollywood (90046)"/>
    <s v="$15,000-$24,999"/>
    <s v="Yes"/>
    <s v="No"/>
    <s v="Yes"/>
    <s v="No"/>
    <s v="No"/>
    <s v="Yes"/>
    <s v="No"/>
    <s v="Yes (Low)"/>
    <s v="No"/>
    <s v="Yes"/>
    <s v="Yes"/>
    <s v="No"/>
    <s v="No"/>
    <n v="161.39469820677712"/>
    <n v="78"/>
    <n v="1.27"/>
    <n v="1.41"/>
    <n v="1.34"/>
    <n v="0.65"/>
    <n v="1.31"/>
    <n v="1.18"/>
    <n v="1.08"/>
    <n v="1.28"/>
    <n v="1"/>
    <n v="1.1599999999999999"/>
    <n v="1"/>
    <n v="1"/>
    <n v="0.61"/>
    <n v="1"/>
    <n v="0.89"/>
    <n v="0.93"/>
    <n v="1"/>
    <n v="1"/>
    <n v="1.06"/>
    <n v="161.39469820677712"/>
    <n v="0"/>
    <s v="PASS"/>
    <n v="0"/>
    <x v="0"/>
  </r>
  <r>
    <s v="P0151"/>
    <d v="2026-03-29T00:00:00"/>
    <s v="Liability"/>
    <s v="16-24"/>
    <n v="1"/>
    <s v="5+"/>
    <s v="No"/>
    <s v="8,500-13,499"/>
    <s v="Hawthorne (90250)"/>
    <s v="$85,000-$149,999"/>
    <s v="No"/>
    <s v="No"/>
    <s v="No"/>
    <s v="No"/>
    <s v="No"/>
    <s v="Yes"/>
    <s v="No"/>
    <s v="Yes (High)"/>
    <s v="No"/>
    <s v="Yes"/>
    <s v="No"/>
    <s v="No"/>
    <s v="No"/>
    <n v="5803.0744529691001"/>
    <n v="622"/>
    <n v="1.32"/>
    <n v="1.64"/>
    <n v="2.4700000000000002"/>
    <n v="1"/>
    <n v="1"/>
    <n v="1.0900000000000001"/>
    <n v="2.02"/>
    <n v="1"/>
    <n v="1"/>
    <n v="1"/>
    <n v="1"/>
    <n v="1"/>
    <n v="0.84"/>
    <n v="1"/>
    <n v="0.89"/>
    <n v="1"/>
    <n v="1"/>
    <n v="1"/>
    <n v="1.06"/>
    <n v="5803.0744529691001"/>
    <n v="0"/>
    <s v="PASS"/>
    <n v="0"/>
    <x v="0"/>
  </r>
  <r>
    <s v="P0152"/>
    <d v="2026-03-19T00:00:00"/>
    <s v="Liability"/>
    <s v="55-64"/>
    <n v="5"/>
    <n v="4"/>
    <s v="No"/>
    <s v="8,500-13,499"/>
    <s v="Anaheim (92801)"/>
    <s v="$15,000-$24,999"/>
    <s v="No"/>
    <s v="No"/>
    <s v="No"/>
    <s v="Yes"/>
    <s v="No"/>
    <s v="Yes"/>
    <s v="No"/>
    <s v="Yes (High)"/>
    <s v="No"/>
    <s v="Yes"/>
    <s v="No"/>
    <s v="No"/>
    <s v="No"/>
    <n v="1321.0906241777761"/>
    <n v="622"/>
    <n v="1.1200000000000001"/>
    <n v="1.07"/>
    <n v="2.12"/>
    <n v="1"/>
    <n v="1"/>
    <n v="1.1100000000000001"/>
    <n v="1.08"/>
    <n v="1"/>
    <n v="1"/>
    <n v="1"/>
    <n v="0.88"/>
    <n v="1"/>
    <n v="0.84"/>
    <n v="1"/>
    <n v="0.89"/>
    <n v="1"/>
    <n v="1"/>
    <n v="1"/>
    <n v="1.06"/>
    <n v="1321.0906241777761"/>
    <n v="0"/>
    <s v="PASS"/>
    <n v="0"/>
    <x v="0"/>
  </r>
  <r>
    <s v="P0153"/>
    <d v="2026-01-13T00:00:00"/>
    <s v="Rental Car Reinbursement"/>
    <s v="35-44"/>
    <n v="2"/>
    <s v="5+"/>
    <s v="No"/>
    <s v="0-4,999"/>
    <s v="Fountain Valley (92708)"/>
    <s v="$25,000-$44,999"/>
    <s v="Yes"/>
    <s v="Yes"/>
    <s v="No"/>
    <s v="Yes"/>
    <s v="No"/>
    <s v="Yes"/>
    <s v="No"/>
    <s v="Yes (Medium)"/>
    <s v="Yes"/>
    <s v="No"/>
    <s v="No"/>
    <s v="No"/>
    <s v="No"/>
    <n v="164.93992250379819"/>
    <n v="41"/>
    <n v="1"/>
    <n v="1.41"/>
    <n v="2.4700000000000002"/>
    <n v="1"/>
    <n v="0.82"/>
    <n v="1.1499999999999999"/>
    <n v="1.28"/>
    <n v="1.28"/>
    <n v="1.21"/>
    <n v="1"/>
    <n v="0.88"/>
    <n v="1"/>
    <n v="0.72"/>
    <n v="0.92"/>
    <n v="1"/>
    <n v="1"/>
    <n v="1"/>
    <n v="1"/>
    <n v="1.06"/>
    <n v="164.93992250379819"/>
    <n v="0"/>
    <s v="PASS"/>
    <n v="0"/>
    <x v="0"/>
  </r>
  <r>
    <s v="P0154"/>
    <d v="2025-12-21T00:00:00"/>
    <s v="Collision"/>
    <s v="25-34"/>
    <n v="3"/>
    <n v="3"/>
    <s v="No"/>
    <s v="8,500-13,499"/>
    <s v="Fountain Valley (92708)"/>
    <s v="$0-$4,999"/>
    <s v="No"/>
    <s v="No"/>
    <s v="No"/>
    <s v="No"/>
    <s v="Yes"/>
    <s v="No"/>
    <s v="Yes (Low)"/>
    <s v="No"/>
    <s v="No"/>
    <s v="Yes"/>
    <s v="Yes"/>
    <s v="No"/>
    <s v="No"/>
    <n v="917.36630700393027"/>
    <n v="453"/>
    <n v="1.23"/>
    <n v="1.22"/>
    <n v="1.82"/>
    <n v="1"/>
    <n v="1"/>
    <n v="1.1499999999999999"/>
    <n v="0.82"/>
    <n v="1"/>
    <n v="1"/>
    <n v="1"/>
    <n v="1"/>
    <n v="0.95"/>
    <n v="1"/>
    <n v="1"/>
    <n v="0.89"/>
    <n v="0.93"/>
    <n v="1"/>
    <n v="1"/>
    <n v="1"/>
    <n v="917.36630700393027"/>
    <n v="0"/>
    <s v="PASS"/>
    <n v="0"/>
    <x v="0"/>
  </r>
  <r>
    <s v="P0155"/>
    <d v="2025-05-05T00:00:00"/>
    <s v="Liability"/>
    <s v="45-54"/>
    <n v="5"/>
    <n v="0"/>
    <s v="No"/>
    <s v="13,500-16,999"/>
    <s v="DTLA (90012)"/>
    <s v="$5,000-$14,999"/>
    <s v="No"/>
    <s v="No"/>
    <s v="No"/>
    <s v="No"/>
    <s v="No"/>
    <s v="Yes"/>
    <s v="No"/>
    <s v="Yes (Low)"/>
    <s v="No"/>
    <s v="No"/>
    <s v="No"/>
    <s v="Yes"/>
    <s v="No"/>
    <n v="588.89777758962191"/>
    <n v="622"/>
    <n v="1.07"/>
    <n v="1.07"/>
    <n v="1"/>
    <n v="1"/>
    <n v="1.18"/>
    <n v="1.26"/>
    <n v="0.97"/>
    <n v="1"/>
    <n v="1"/>
    <n v="1"/>
    <n v="1"/>
    <n v="1"/>
    <n v="0.61"/>
    <n v="1"/>
    <n v="1"/>
    <n v="1"/>
    <n v="0.94"/>
    <n v="1"/>
    <n v="1"/>
    <n v="588.89777758962191"/>
    <n v="0"/>
    <s v="PASS"/>
    <n v="0"/>
    <x v="0"/>
  </r>
  <r>
    <s v="P0156"/>
    <d v="2026-05-01T00:00:00"/>
    <s v="Liability"/>
    <s v="16-24"/>
    <n v="5"/>
    <n v="0"/>
    <s v="Yes (Medium Score)"/>
    <s v="0-4,999"/>
    <s v="Fountain Valley (92708)"/>
    <s v="$150,000+"/>
    <s v="No"/>
    <s v="No"/>
    <s v="Yes"/>
    <s v="Yes"/>
    <s v="No"/>
    <s v="Yes"/>
    <s v="No"/>
    <s v="Yes (Low)"/>
    <s v="Yes"/>
    <s v="Yes"/>
    <s v="No"/>
    <s v="No"/>
    <s v="No"/>
    <n v="1027.9828414121525"/>
    <n v="622"/>
    <n v="1.32"/>
    <n v="1.07"/>
    <n v="1"/>
    <n v="0.8"/>
    <n v="0.82"/>
    <n v="1.1499999999999999"/>
    <n v="2.87"/>
    <n v="1"/>
    <n v="1"/>
    <n v="1.1599999999999999"/>
    <n v="0.88"/>
    <n v="1"/>
    <n v="0.61"/>
    <n v="0.92"/>
    <n v="0.89"/>
    <n v="1"/>
    <n v="1"/>
    <n v="1"/>
    <n v="1.06"/>
    <n v="1027.9828414121525"/>
    <n v="0"/>
    <s v="PASS"/>
    <n v="0"/>
    <x v="0"/>
  </r>
  <r>
    <s v="P0157"/>
    <d v="2025-08-12T00:00:00"/>
    <s v="Liability"/>
    <s v="55-64"/>
    <n v="5"/>
    <n v="1"/>
    <s v="No"/>
    <s v="13,500-16,999"/>
    <s v="Orange (92705)"/>
    <s v="$45,000-$84,999"/>
    <s v="No"/>
    <s v="No"/>
    <s v="No"/>
    <s v="No"/>
    <s v="No"/>
    <s v="Yes"/>
    <s v="No"/>
    <s v="Yes (Low)"/>
    <s v="No"/>
    <s v="Yes"/>
    <s v="Yes"/>
    <s v="No"/>
    <s v="Yes"/>
    <n v="924.38595738568131"/>
    <n v="622"/>
    <n v="1.1200000000000001"/>
    <n v="1.07"/>
    <n v="1.34"/>
    <n v="1"/>
    <n v="1.18"/>
    <n v="1.02"/>
    <n v="1.57"/>
    <n v="1"/>
    <n v="1"/>
    <n v="1"/>
    <n v="1"/>
    <n v="1"/>
    <n v="0.61"/>
    <n v="1"/>
    <n v="0.89"/>
    <n v="0.93"/>
    <n v="1"/>
    <n v="0.97"/>
    <n v="1"/>
    <n v="924.38595738568131"/>
    <n v="0"/>
    <s v="PASS"/>
    <n v="0"/>
    <x v="0"/>
  </r>
  <r>
    <s v="P0158"/>
    <d v="2025-11-30T00:00:00"/>
    <s v="Collision"/>
    <s v="65+"/>
    <n v="3"/>
    <n v="4"/>
    <s v="Yes (High Score)"/>
    <s v="8,500-13,499"/>
    <s v="West Hollywood (90046)"/>
    <s v="$5,000-$14,999"/>
    <s v="No"/>
    <s v="Yes"/>
    <s v="No"/>
    <s v="Yes"/>
    <s v="Yes"/>
    <s v="No"/>
    <s v="Yes (High)"/>
    <s v="No"/>
    <s v="No"/>
    <s v="No"/>
    <s v="No"/>
    <s v="No"/>
    <s v="Yes"/>
    <n v="823.25994547048026"/>
    <n v="453"/>
    <n v="1.27"/>
    <n v="1.22"/>
    <n v="2.12"/>
    <n v="0.65"/>
    <n v="1"/>
    <n v="1.18"/>
    <n v="0.97"/>
    <n v="1"/>
    <n v="1.21"/>
    <n v="1"/>
    <n v="0.88"/>
    <n v="0.72"/>
    <n v="1"/>
    <n v="1"/>
    <n v="1"/>
    <n v="1"/>
    <n v="1"/>
    <n v="0.97"/>
    <n v="1"/>
    <n v="823.25994547048026"/>
    <n v="0"/>
    <s v="PASS"/>
    <n v="0"/>
    <x v="0"/>
  </r>
  <r>
    <s v="P0159"/>
    <d v="2026-02-24T00:00:00"/>
    <s v="Rental Car Reinbursement"/>
    <s v="25-34"/>
    <n v="6"/>
    <n v="2"/>
    <s v="No"/>
    <s v="8,500-13,499"/>
    <s v="DTLA (90012)"/>
    <s v="$85,000-$149,999"/>
    <s v="No"/>
    <s v="No"/>
    <s v="No"/>
    <s v="No"/>
    <s v="No"/>
    <s v="Yes"/>
    <s v="No"/>
    <s v="Yes (Medium)"/>
    <s v="No"/>
    <s v="No"/>
    <s v="No"/>
    <s v="Yes"/>
    <s v="No"/>
    <n v="142.72787379392639"/>
    <n v="41"/>
    <n v="1.23"/>
    <n v="1"/>
    <n v="1.55"/>
    <n v="1"/>
    <n v="1"/>
    <n v="1.26"/>
    <n v="2.02"/>
    <n v="1"/>
    <n v="1"/>
    <n v="1"/>
    <n v="1"/>
    <n v="1"/>
    <n v="0.72"/>
    <n v="1"/>
    <n v="1"/>
    <n v="1"/>
    <n v="0.94"/>
    <n v="1"/>
    <n v="1.06"/>
    <n v="142.72787379392639"/>
    <n v="0"/>
    <s v="PASS"/>
    <n v="0"/>
    <x v="0"/>
  </r>
  <r>
    <s v="P0160"/>
    <d v="2026-04-02T00:00:00"/>
    <s v="Collision"/>
    <s v="25-34"/>
    <n v="1"/>
    <n v="2"/>
    <s v="Yes (High Score)"/>
    <s v="13,500-16,999"/>
    <s v="Torrance (90248)"/>
    <s v="$150,000+"/>
    <s v="No"/>
    <s v="No"/>
    <s v="No"/>
    <s v="No"/>
    <s v="Yes"/>
    <s v="No"/>
    <s v="Yes (High)"/>
    <s v="No"/>
    <s v="No"/>
    <s v="Yes"/>
    <s v="Yes"/>
    <s v="No"/>
    <s v="No"/>
    <n v="2205.8981675356772"/>
    <n v="453"/>
    <n v="1.23"/>
    <n v="1.64"/>
    <n v="1.55"/>
    <n v="0.65"/>
    <n v="1.18"/>
    <n v="1.1200000000000001"/>
    <n v="2.87"/>
    <n v="1"/>
    <n v="1"/>
    <n v="1"/>
    <n v="1"/>
    <n v="0.72"/>
    <n v="1"/>
    <n v="1"/>
    <n v="0.89"/>
    <n v="0.93"/>
    <n v="1"/>
    <n v="1"/>
    <n v="1.06"/>
    <n v="2205.8981675356772"/>
    <n v="0"/>
    <s v="PASS"/>
    <n v="0"/>
    <x v="0"/>
  </r>
  <r>
    <s v="P0161"/>
    <d v="2025-10-07T00:00:00"/>
    <s v="Liability"/>
    <s v="35-44"/>
    <n v="2"/>
    <n v="4"/>
    <s v="Yes (Low Score)"/>
    <s v="13,500-16,999"/>
    <s v="Lake Forrest (92609)"/>
    <s v="$85,000-$149,999"/>
    <s v="No"/>
    <s v="No"/>
    <s v="No"/>
    <s v="No"/>
    <s v="No"/>
    <s v="Yes"/>
    <s v="No"/>
    <s v="Yes (High)"/>
    <s v="Yes"/>
    <s v="No"/>
    <s v="Yes"/>
    <s v="No"/>
    <s v="Yes"/>
    <n v="2788.3529235980168"/>
    <n v="622"/>
    <n v="1"/>
    <n v="1.41"/>
    <n v="2.12"/>
    <n v="0.95"/>
    <n v="1.18"/>
    <n v="0.95"/>
    <n v="2.02"/>
    <n v="1"/>
    <n v="1"/>
    <n v="1"/>
    <n v="1"/>
    <n v="1"/>
    <n v="0.84"/>
    <n v="0.92"/>
    <n v="1"/>
    <n v="0.93"/>
    <n v="1"/>
    <n v="0.97"/>
    <n v="1"/>
    <n v="2788.3529235980168"/>
    <n v="0"/>
    <s v="PASS"/>
    <n v="0"/>
    <x v="0"/>
  </r>
  <r>
    <s v="P0162"/>
    <d v="2026-04-18T00:00:00"/>
    <s v="Liability"/>
    <s v="65+"/>
    <n v="3"/>
    <n v="0"/>
    <s v="Yes (High Score)"/>
    <s v="17,000+"/>
    <s v="Newport Beach (92603)"/>
    <s v="$150,000+"/>
    <s v="No"/>
    <s v="No"/>
    <s v="No"/>
    <s v="Yes"/>
    <s v="No"/>
    <s v="Yes"/>
    <s v="No"/>
    <s v="Yes (High)"/>
    <s v="No"/>
    <s v="Yes"/>
    <s v="No"/>
    <s v="No"/>
    <s v="No"/>
    <n v="1543.8537928365206"/>
    <n v="622"/>
    <n v="1.27"/>
    <n v="1.22"/>
    <n v="1"/>
    <n v="0.65"/>
    <n v="1.31"/>
    <n v="0.94"/>
    <n v="2.87"/>
    <n v="1"/>
    <n v="1"/>
    <n v="1"/>
    <n v="0.88"/>
    <n v="1"/>
    <n v="0.84"/>
    <n v="1"/>
    <n v="0.89"/>
    <n v="1"/>
    <n v="1"/>
    <n v="1"/>
    <n v="1.06"/>
    <n v="1543.8537928365206"/>
    <n v="0"/>
    <s v="PASS"/>
    <n v="0"/>
    <x v="0"/>
  </r>
  <r>
    <s v="P0163"/>
    <d v="2026-02-11T00:00:00"/>
    <s v="Rental Car Reinbursement"/>
    <s v="65+"/>
    <s v="8+"/>
    <n v="1"/>
    <s v="No"/>
    <s v="13,500-16,999"/>
    <s v="Compton (90220)"/>
    <s v="$25,000-$44,999"/>
    <s v="No"/>
    <s v="No"/>
    <s v="Yes"/>
    <s v="Yes"/>
    <s v="No"/>
    <s v="Yes"/>
    <s v="No"/>
    <s v="Yes (Low)"/>
    <s v="No"/>
    <s v="No"/>
    <s v="No"/>
    <s v="No"/>
    <s v="Yes"/>
    <n v="97.890375813438368"/>
    <n v="41"/>
    <n v="1.27"/>
    <n v="0.93"/>
    <n v="1.34"/>
    <n v="1"/>
    <n v="1.18"/>
    <n v="1.56"/>
    <n v="1.28"/>
    <n v="1"/>
    <n v="1"/>
    <n v="1.1599999999999999"/>
    <n v="0.88"/>
    <n v="1"/>
    <n v="0.61"/>
    <n v="1"/>
    <n v="1"/>
    <n v="1"/>
    <n v="1"/>
    <n v="0.97"/>
    <n v="1.06"/>
    <n v="97.890375813438368"/>
    <n v="0"/>
    <s v="PASS"/>
    <n v="0"/>
    <x v="0"/>
  </r>
  <r>
    <s v="P0164"/>
    <d v="2026-01-04T00:00:00"/>
    <s v="Collision"/>
    <s v="55-64"/>
    <n v="2"/>
    <n v="1"/>
    <s v="No"/>
    <s v="0-4,999"/>
    <s v="West Hollywood (90046)"/>
    <s v="$15,000-$24,999"/>
    <s v="No"/>
    <s v="No"/>
    <s v="No"/>
    <s v="No"/>
    <s v="Yes"/>
    <s v="No"/>
    <s v="Yes (High)"/>
    <s v="No"/>
    <s v="No"/>
    <s v="No"/>
    <s v="No"/>
    <s v="Yes"/>
    <s v="No"/>
    <n v="718.66412554191243"/>
    <n v="453"/>
    <n v="1.1200000000000001"/>
    <n v="1.41"/>
    <n v="1.34"/>
    <n v="1"/>
    <n v="0.82"/>
    <n v="1.18"/>
    <n v="1.08"/>
    <n v="1"/>
    <n v="1"/>
    <n v="1"/>
    <n v="1"/>
    <n v="0.72"/>
    <n v="1"/>
    <n v="1"/>
    <n v="1"/>
    <n v="1"/>
    <n v="0.94"/>
    <n v="1"/>
    <n v="1.06"/>
    <n v="718.66412554191243"/>
    <n v="0"/>
    <s v="PASS"/>
    <n v="0"/>
    <x v="0"/>
  </r>
  <r>
    <s v="P0165"/>
    <d v="2025-11-10T00:00:00"/>
    <s v="Liability"/>
    <s v="65+"/>
    <n v="3"/>
    <n v="0"/>
    <s v="No"/>
    <s v="17,000+"/>
    <s v="Fountain Valley (92708)"/>
    <s v="$150,000+"/>
    <s v="No"/>
    <s v="No"/>
    <s v="No"/>
    <s v="No"/>
    <s v="No"/>
    <s v="Yes"/>
    <s v="No"/>
    <s v="Yes (High)"/>
    <s v="No"/>
    <s v="No"/>
    <s v="Yes"/>
    <s v="No"/>
    <s v="Yes"/>
    <n v="3157.4678556315325"/>
    <n v="622"/>
    <n v="1.27"/>
    <n v="1.22"/>
    <n v="1"/>
    <n v="1"/>
    <n v="1.31"/>
    <n v="1.1499999999999999"/>
    <n v="2.87"/>
    <n v="1"/>
    <n v="1"/>
    <n v="1"/>
    <n v="1"/>
    <n v="1"/>
    <n v="0.84"/>
    <n v="1"/>
    <n v="1"/>
    <n v="0.93"/>
    <n v="1"/>
    <n v="0.97"/>
    <n v="1"/>
    <n v="3157.4678556315325"/>
    <n v="0"/>
    <s v="PASS"/>
    <n v="0"/>
    <x v="0"/>
  </r>
  <r>
    <s v="P0166"/>
    <d v="2025-06-21T00:00:00"/>
    <s v="Collision"/>
    <s v="45-54"/>
    <s v="8+"/>
    <n v="2"/>
    <s v="Yes (Medium Score)"/>
    <s v="0-4,999"/>
    <s v="Santa Ana (92702)"/>
    <s v="$0-$4,999"/>
    <s v="No"/>
    <s v="No"/>
    <s v="No"/>
    <s v="No"/>
    <s v="Yes"/>
    <s v="No"/>
    <s v="Yes (High)"/>
    <s v="No"/>
    <s v="No"/>
    <s v="No"/>
    <s v="No"/>
    <s v="Yes"/>
    <s v="No"/>
    <n v="259.46264436609067"/>
    <n v="453"/>
    <n v="1.07"/>
    <n v="0.93"/>
    <n v="1.55"/>
    <n v="0.8"/>
    <n v="0.82"/>
    <n v="1.02"/>
    <n v="0.82"/>
    <n v="1"/>
    <n v="1"/>
    <n v="1"/>
    <n v="1"/>
    <n v="0.72"/>
    <n v="1"/>
    <n v="1"/>
    <n v="1"/>
    <n v="1"/>
    <n v="0.94"/>
    <n v="1"/>
    <n v="1"/>
    <n v="259.46264436609067"/>
    <n v="0"/>
    <s v="PASS"/>
    <n v="0"/>
    <x v="0"/>
  </r>
  <r>
    <s v="P0167"/>
    <d v="2025-12-03T00:00:00"/>
    <s v="Collision"/>
    <s v="16-24"/>
    <n v="6"/>
    <n v="0"/>
    <s v="Yes (Medium Score)"/>
    <s v="8,500-13,499"/>
    <s v="Fountain Valley (92708)"/>
    <s v="$85,000-$149,999"/>
    <s v="No"/>
    <s v="No"/>
    <s v="No"/>
    <s v="No"/>
    <s v="Yes"/>
    <s v="No"/>
    <s v="Yes (High)"/>
    <s v="No"/>
    <s v="No"/>
    <s v="No"/>
    <s v="No"/>
    <s v="No"/>
    <s v="Yes"/>
    <n v="776.09620661759982"/>
    <n v="453"/>
    <n v="1.32"/>
    <n v="1"/>
    <n v="1"/>
    <n v="0.8"/>
    <n v="1"/>
    <n v="1.1499999999999999"/>
    <n v="2.02"/>
    <n v="1"/>
    <n v="1"/>
    <n v="1"/>
    <n v="1"/>
    <n v="0.72"/>
    <n v="1"/>
    <n v="1"/>
    <n v="1"/>
    <n v="1"/>
    <n v="1"/>
    <n v="0.97"/>
    <n v="1"/>
    <n v="776.09620661759982"/>
    <n v="0"/>
    <s v="PASS"/>
    <n v="0"/>
    <x v="0"/>
  </r>
  <r>
    <s v="P0168"/>
    <d v="2025-10-26T00:00:00"/>
    <s v="Collision"/>
    <s v="55-64"/>
    <n v="5"/>
    <n v="2"/>
    <s v="No"/>
    <s v="17,000+"/>
    <s v="Compton (90220)"/>
    <s v="$85,000-$149,999"/>
    <s v="No"/>
    <s v="No"/>
    <s v="No"/>
    <s v="Yes"/>
    <s v="Yes"/>
    <s v="No"/>
    <s v="Yes (High)"/>
    <s v="No"/>
    <s v="No"/>
    <s v="No"/>
    <s v="No"/>
    <s v="No"/>
    <s v="No"/>
    <n v="2200.8686924203503"/>
    <n v="453"/>
    <n v="1.1200000000000001"/>
    <n v="1.07"/>
    <n v="1.55"/>
    <n v="1"/>
    <n v="1.31"/>
    <n v="1.56"/>
    <n v="2.02"/>
    <n v="1"/>
    <n v="1"/>
    <n v="1"/>
    <n v="0.88"/>
    <n v="0.72"/>
    <n v="1"/>
    <n v="1"/>
    <n v="1"/>
    <n v="1"/>
    <n v="1"/>
    <n v="1"/>
    <n v="1"/>
    <n v="2200.8686924203503"/>
    <n v="0"/>
    <s v="PASS"/>
    <n v="0"/>
    <x v="0"/>
  </r>
  <r>
    <s v="P0169"/>
    <d v="2025-12-07T00:00:00"/>
    <s v="Comprehensive"/>
    <s v="16-24"/>
    <n v="1"/>
    <s v="5+"/>
    <s v="No"/>
    <s v="5,000-8,499"/>
    <s v="Orange (92705)"/>
    <s v="$150,000+"/>
    <s v="No"/>
    <s v="Yes"/>
    <s v="No"/>
    <s v="Yes"/>
    <s v="Yes"/>
    <s v="No"/>
    <s v="Yes (Low)"/>
    <s v="No"/>
    <s v="No"/>
    <s v="No"/>
    <s v="No"/>
    <s v="No"/>
    <s v="No"/>
    <n v="1781.7910274632168"/>
    <n v="121"/>
    <n v="1.32"/>
    <n v="1.64"/>
    <n v="2.4700000000000002"/>
    <n v="1"/>
    <n v="0.93"/>
    <n v="1.02"/>
    <n v="2.87"/>
    <n v="1"/>
    <n v="1.21"/>
    <n v="1"/>
    <n v="0.88"/>
    <n v="0.95"/>
    <n v="1"/>
    <n v="1"/>
    <n v="1"/>
    <n v="1"/>
    <n v="1"/>
    <n v="1"/>
    <n v="1"/>
    <n v="1781.7910274632168"/>
    <n v="0"/>
    <s v="PASS"/>
    <n v="0"/>
    <x v="0"/>
  </r>
  <r>
    <s v="P0170"/>
    <d v="2026-01-25T00:00:00"/>
    <s v="Collision"/>
    <s v="65+"/>
    <s v="8+"/>
    <n v="2"/>
    <s v="No"/>
    <s v="17,000+"/>
    <s v="West Hollywood (90046)"/>
    <s v="$5,000-$14,999"/>
    <s v="No"/>
    <s v="No"/>
    <s v="No"/>
    <s v="No"/>
    <s v="Yes"/>
    <s v="No"/>
    <s v="Yes (Medium)"/>
    <s v="No"/>
    <s v="No"/>
    <s v="No"/>
    <s v="No"/>
    <s v="No"/>
    <s v="No"/>
    <n v="1141.44"/>
    <n v="453"/>
    <n v="1.27"/>
    <n v="0.93"/>
    <n v="1.55"/>
    <n v="1"/>
    <n v="1.31"/>
    <n v="1.18"/>
    <n v="0.97"/>
    <n v="1"/>
    <n v="1"/>
    <n v="1"/>
    <n v="1"/>
    <n v="0.84"/>
    <n v="1"/>
    <n v="1"/>
    <n v="1"/>
    <n v="1"/>
    <n v="1"/>
    <n v="1"/>
    <n v="1.06"/>
    <n v="1107.201736502366"/>
    <n v="34.23826349763408"/>
    <s v="FAIL"/>
    <n v="34.23826349763408"/>
    <x v="5"/>
  </r>
  <r>
    <s v="P0171"/>
    <d v="2025-11-13T00:00:00"/>
    <s v="Comprehensive"/>
    <s v="35-44"/>
    <s v="8+"/>
    <n v="3"/>
    <s v="Yes (High Score)"/>
    <s v="17,000+"/>
    <s v="Fullerton (92832)"/>
    <s v="$45,000-$84,999"/>
    <s v="No"/>
    <s v="No"/>
    <s v="Yes"/>
    <s v="Yes"/>
    <s v="Yes"/>
    <s v="No"/>
    <s v="Yes (Low)"/>
    <s v="No"/>
    <s v="No"/>
    <s v="Yes"/>
    <s v="No"/>
    <s v="No"/>
    <s v="No"/>
    <n v="264.66487488582879"/>
    <n v="121"/>
    <n v="1"/>
    <n v="0.93"/>
    <n v="1.82"/>
    <n v="0.65"/>
    <n v="1.31"/>
    <n v="1.1200000000000001"/>
    <n v="1.57"/>
    <n v="1"/>
    <n v="1"/>
    <n v="1.1599999999999999"/>
    <n v="0.88"/>
    <n v="0.95"/>
    <n v="1"/>
    <n v="1"/>
    <n v="0.89"/>
    <n v="1"/>
    <n v="1"/>
    <n v="1"/>
    <n v="1"/>
    <n v="264.66487488582879"/>
    <n v="0"/>
    <s v="PASS"/>
    <n v="0"/>
    <x v="0"/>
  </r>
  <r>
    <s v="P0172"/>
    <d v="2025-06-15T00:00:00"/>
    <s v="Uninsured Motorist"/>
    <s v="55-64"/>
    <n v="5"/>
    <n v="2"/>
    <s v="Yes (Medium Score)"/>
    <s v="17,000+"/>
    <s v="DTLA (90012)"/>
    <s v="$45,000-$84,999"/>
    <s v="No"/>
    <s v="No"/>
    <s v="Yes"/>
    <s v="No"/>
    <s v="No"/>
    <s v="Yes"/>
    <s v="No"/>
    <s v="Yes (Low)"/>
    <s v="No"/>
    <s v="Yes"/>
    <s v="No"/>
    <s v="No"/>
    <s v="No"/>
    <n v="189.1635310629826"/>
    <n v="78"/>
    <n v="1.1200000000000001"/>
    <n v="1.07"/>
    <n v="1.55"/>
    <n v="0.8"/>
    <n v="1.31"/>
    <n v="1.26"/>
    <n v="1.57"/>
    <n v="1"/>
    <n v="1"/>
    <n v="1.1599999999999999"/>
    <n v="1"/>
    <n v="1"/>
    <n v="0.61"/>
    <n v="1"/>
    <n v="0.89"/>
    <n v="1"/>
    <n v="1"/>
    <n v="1"/>
    <n v="1"/>
    <n v="189.1635310629826"/>
    <n v="0"/>
    <s v="PASS"/>
    <n v="0"/>
    <x v="0"/>
  </r>
  <r>
    <s v="P0173"/>
    <d v="2025-05-31T00:00:00"/>
    <s v="Liability"/>
    <s v="55-64"/>
    <n v="2"/>
    <n v="3"/>
    <s v="No"/>
    <s v="13,500-16,999"/>
    <s v="Irvine (92602)"/>
    <s v="$150,000+"/>
    <s v="No"/>
    <s v="No"/>
    <s v="No"/>
    <s v="Yes"/>
    <s v="No"/>
    <s v="Yes"/>
    <s v="No"/>
    <s v="Yes (High)"/>
    <s v="No"/>
    <s v="No"/>
    <s v="No"/>
    <s v="Yes"/>
    <s v="No"/>
    <n v="4585.420009600366"/>
    <n v="622"/>
    <n v="1.1200000000000001"/>
    <n v="1.41"/>
    <n v="1.82"/>
    <n v="1"/>
    <n v="1.18"/>
    <n v="1.0900000000000001"/>
    <n v="2.87"/>
    <n v="1"/>
    <n v="1"/>
    <n v="1"/>
    <n v="0.88"/>
    <n v="1"/>
    <n v="0.84"/>
    <n v="1"/>
    <n v="1"/>
    <n v="1"/>
    <n v="0.94"/>
    <n v="1"/>
    <n v="1"/>
    <n v="4585.420009600366"/>
    <n v="0"/>
    <s v="PASS"/>
    <n v="0"/>
    <x v="0"/>
  </r>
  <r>
    <s v="P0174"/>
    <d v="2025-07-28T00:00:00"/>
    <s v="Collision"/>
    <s v="55-64"/>
    <s v="8+"/>
    <n v="1"/>
    <s v="Yes (Medium Score)"/>
    <s v="17,000+"/>
    <s v="Hawthorne (90250)"/>
    <s v="$85,000-$149,999"/>
    <s v="No"/>
    <s v="Yes"/>
    <s v="Yes"/>
    <s v="No"/>
    <s v="Yes"/>
    <s v="No"/>
    <s v="Yes (Medium)"/>
    <s v="No"/>
    <s v="No"/>
    <s v="No"/>
    <s v="Yes"/>
    <s v="No"/>
    <s v="No"/>
    <n v="1599.7374647261079"/>
    <n v="453"/>
    <n v="1.1200000000000001"/>
    <n v="0.93"/>
    <n v="1.34"/>
    <n v="0.8"/>
    <n v="1.31"/>
    <n v="1.0900000000000001"/>
    <n v="2.02"/>
    <n v="1"/>
    <n v="1.21"/>
    <n v="1.1599999999999999"/>
    <n v="1"/>
    <n v="0.84"/>
    <n v="1"/>
    <n v="1"/>
    <n v="1"/>
    <n v="0.93"/>
    <n v="1"/>
    <n v="1"/>
    <n v="1"/>
    <n v="1599.7374647261079"/>
    <n v="0"/>
    <s v="PASS"/>
    <n v="0"/>
    <x v="0"/>
  </r>
  <r>
    <s v="P0175"/>
    <d v="2025-12-13T00:00:00"/>
    <s v="Uninsured Motorist"/>
    <s v="65+"/>
    <n v="7"/>
    <n v="4"/>
    <s v="No"/>
    <s v="5,000-8,499"/>
    <s v="Silverlake (90026 )"/>
    <s v="$15,000-$24,999"/>
    <s v="No"/>
    <s v="No"/>
    <s v="No"/>
    <s v="Yes"/>
    <s v="No"/>
    <s v="Yes"/>
    <s v="No"/>
    <s v="Yes (Low)"/>
    <s v="No"/>
    <s v="No"/>
    <s v="No"/>
    <s v="No"/>
    <s v="No"/>
    <n v="124.77712945273805"/>
    <n v="78"/>
    <n v="1.27"/>
    <n v="0.95"/>
    <n v="2.12"/>
    <n v="1"/>
    <n v="0.93"/>
    <n v="1.1599999999999999"/>
    <n v="1.08"/>
    <n v="1"/>
    <n v="1"/>
    <n v="1"/>
    <n v="0.88"/>
    <n v="1"/>
    <n v="0.61"/>
    <n v="1"/>
    <n v="1"/>
    <n v="1"/>
    <n v="1"/>
    <n v="1"/>
    <n v="1"/>
    <n v="124.77712945273805"/>
    <n v="0"/>
    <s v="PASS"/>
    <n v="0"/>
    <x v="0"/>
  </r>
  <r>
    <s v="P0176"/>
    <d v="2026-04-08T00:00:00"/>
    <s v="Liability"/>
    <s v="55-64"/>
    <n v="6"/>
    <s v="5+"/>
    <s v="Yes (High Score)"/>
    <s v="17,000+"/>
    <s v="Silverlake (90026 )"/>
    <s v="$0-$4,999"/>
    <s v="No"/>
    <s v="No"/>
    <s v="No"/>
    <s v="Yes"/>
    <s v="No"/>
    <s v="Yes"/>
    <s v="No"/>
    <s v="Yes (High)"/>
    <s v="No"/>
    <s v="No"/>
    <s v="No"/>
    <s v="Yes"/>
    <s v="No"/>
    <n v="1026.4966387244237"/>
    <n v="622"/>
    <n v="1.1200000000000001"/>
    <n v="1"/>
    <n v="2.4700000000000002"/>
    <n v="0.65"/>
    <n v="1.31"/>
    <n v="1.1599999999999999"/>
    <n v="0.82"/>
    <n v="1"/>
    <n v="1"/>
    <n v="1"/>
    <n v="0.88"/>
    <n v="1"/>
    <n v="0.84"/>
    <n v="1"/>
    <n v="1"/>
    <n v="1"/>
    <n v="0.94"/>
    <n v="1"/>
    <n v="1.06"/>
    <n v="1026.4966387244237"/>
    <n v="0"/>
    <s v="PASS"/>
    <n v="0"/>
    <x v="0"/>
  </r>
  <r>
    <s v="P0177"/>
    <d v="2026-02-22T00:00:00"/>
    <s v="Rental Car Reinbursement"/>
    <s v="65+"/>
    <n v="6"/>
    <s v="5+"/>
    <s v="No"/>
    <s v="0-4,999"/>
    <s v="Fountain Valley (92708)"/>
    <s v="$45,000-$84,999"/>
    <s v="No"/>
    <s v="No"/>
    <s v="No"/>
    <s v="Yes"/>
    <s v="No"/>
    <s v="Yes"/>
    <s v="No"/>
    <s v="Yes (Medium)"/>
    <s v="No"/>
    <s v="Yes"/>
    <s v="No"/>
    <s v="No"/>
    <s v="No"/>
    <n v="113.8169429539266"/>
    <n v="41"/>
    <n v="1.27"/>
    <n v="1"/>
    <n v="2.4700000000000002"/>
    <n v="1"/>
    <n v="0.82"/>
    <n v="1.1499999999999999"/>
    <n v="1.57"/>
    <n v="1"/>
    <n v="1"/>
    <n v="1"/>
    <n v="0.88"/>
    <n v="1"/>
    <n v="0.72"/>
    <n v="1"/>
    <n v="0.89"/>
    <n v="1"/>
    <n v="1"/>
    <n v="1"/>
    <n v="1.06"/>
    <n v="113.8169429539266"/>
    <n v="0"/>
    <s v="PASS"/>
    <n v="0"/>
    <x v="0"/>
  </r>
  <r>
    <s v="P0178"/>
    <d v="2026-02-08T00:00:00"/>
    <s v="Liability"/>
    <s v="25-34"/>
    <s v="8+"/>
    <n v="4"/>
    <s v="No"/>
    <s v="8,500-13,499"/>
    <s v="Hollywood (90028)"/>
    <s v="$25,000-$44,999"/>
    <s v="No"/>
    <s v="No"/>
    <s v="No"/>
    <s v="Yes"/>
    <s v="No"/>
    <s v="Yes"/>
    <s v="No"/>
    <s v="Yes (Low)"/>
    <s v="No"/>
    <s v="No"/>
    <s v="No"/>
    <s v="No"/>
    <s v="No"/>
    <n v="1307.3431903221992"/>
    <n v="622"/>
    <n v="1.23"/>
    <n v="0.93"/>
    <n v="2.12"/>
    <n v="1"/>
    <n v="1"/>
    <n v="1.19"/>
    <n v="1.28"/>
    <n v="1"/>
    <n v="1"/>
    <n v="1"/>
    <n v="0.88"/>
    <n v="1"/>
    <n v="0.61"/>
    <n v="1"/>
    <n v="1"/>
    <n v="1"/>
    <n v="1"/>
    <n v="1"/>
    <n v="1.06"/>
    <n v="1307.3431903221992"/>
    <n v="0"/>
    <s v="PASS"/>
    <n v="0"/>
    <x v="0"/>
  </r>
  <r>
    <s v="P0179"/>
    <d v="2026-01-24T00:00:00"/>
    <s v="Liability"/>
    <s v="16-24"/>
    <n v="5"/>
    <n v="3"/>
    <s v="Yes (High Score)"/>
    <s v="13,500-16,999"/>
    <s v="Cypress (90630)"/>
    <s v="$150,000+"/>
    <s v="No"/>
    <s v="No"/>
    <s v="Yes"/>
    <s v="Yes"/>
    <s v="No"/>
    <s v="Yes"/>
    <s v="No"/>
    <s v="Yes (Medium)"/>
    <s v="No"/>
    <s v="No"/>
    <s v="No"/>
    <s v="Yes"/>
    <s v="Yes"/>
    <n v="2700.2197450879598"/>
    <n v="622"/>
    <n v="1.32"/>
    <n v="1.07"/>
    <n v="1.82"/>
    <n v="0.65"/>
    <n v="1.18"/>
    <n v="1.08"/>
    <n v="2.87"/>
    <n v="1"/>
    <n v="1"/>
    <n v="1.1599999999999999"/>
    <n v="0.88"/>
    <n v="1"/>
    <n v="0.72"/>
    <n v="1"/>
    <n v="1"/>
    <n v="1"/>
    <n v="0.94"/>
    <n v="0.97"/>
    <n v="1.06"/>
    <n v="2700.2197450879598"/>
    <n v="0"/>
    <s v="PASS"/>
    <n v="0"/>
    <x v="0"/>
  </r>
  <r>
    <s v="P0180"/>
    <d v="2025-10-07T00:00:00"/>
    <s v="Comprehensive"/>
    <s v="65+"/>
    <n v="7"/>
    <n v="0"/>
    <s v="Yes (Medium Score)"/>
    <s v="8,500-13,499"/>
    <s v="Cypress (90630)"/>
    <s v="$85,000-$149,999"/>
    <s v="No"/>
    <s v="Yes"/>
    <s v="No"/>
    <s v="No"/>
    <s v="Yes"/>
    <s v="No"/>
    <s v="Yes (Medium)"/>
    <s v="No"/>
    <s v="No"/>
    <s v="No"/>
    <s v="No"/>
    <s v="Yes"/>
    <s v="Yes"/>
    <n v="236.12504447512191"/>
    <n v="121"/>
    <n v="1.27"/>
    <n v="0.95"/>
    <n v="1"/>
    <n v="0.8"/>
    <n v="1"/>
    <n v="1.08"/>
    <n v="2.02"/>
    <n v="1"/>
    <n v="1.21"/>
    <n v="1"/>
    <n v="1"/>
    <n v="0.84"/>
    <n v="1"/>
    <n v="1"/>
    <n v="1"/>
    <n v="1"/>
    <n v="0.94"/>
    <n v="0.97"/>
    <n v="1"/>
    <n v="236.12504447512191"/>
    <n v="0"/>
    <s v="PASS"/>
    <n v="0"/>
    <x v="0"/>
  </r>
  <r>
    <s v="P0181"/>
    <d v="2025-05-26T00:00:00"/>
    <s v="Collision"/>
    <s v="45-54"/>
    <n v="1"/>
    <s v="5+"/>
    <s v="Yes (High Score)"/>
    <s v="17,000+"/>
    <s v="DTLA (90012)"/>
    <s v="$150,000+"/>
    <s v="No"/>
    <s v="No"/>
    <s v="No"/>
    <s v="No"/>
    <s v="Yes"/>
    <s v="No"/>
    <s v="Yes (Medium)"/>
    <s v="No"/>
    <s v="No"/>
    <s v="No"/>
    <s v="No"/>
    <s v="Yes"/>
    <s v="No"/>
    <n v="4773.8307194758954"/>
    <n v="453"/>
    <n v="1.07"/>
    <n v="1.64"/>
    <n v="2.4700000000000002"/>
    <n v="0.65"/>
    <n v="1.31"/>
    <n v="1.26"/>
    <n v="2.87"/>
    <n v="1"/>
    <n v="1"/>
    <n v="1"/>
    <n v="1"/>
    <n v="0.84"/>
    <n v="1"/>
    <n v="1"/>
    <n v="1"/>
    <n v="1"/>
    <n v="0.94"/>
    <n v="1"/>
    <n v="1"/>
    <n v="4773.8307194758954"/>
    <n v="0"/>
    <s v="PASS"/>
    <n v="0"/>
    <x v="0"/>
  </r>
  <r>
    <s v="P0182"/>
    <d v="2026-04-09T00:00:00"/>
    <s v="Liability"/>
    <s v="65+"/>
    <n v="2"/>
    <s v="5+"/>
    <s v="Yes (Low Score)"/>
    <s v="0-4,999"/>
    <s v="Anaheim (92801)"/>
    <s v="$85,000-$149,999"/>
    <s v="No"/>
    <s v="No"/>
    <s v="No"/>
    <s v="Yes"/>
    <s v="No"/>
    <s v="Yes"/>
    <s v="No"/>
    <s v="Yes (High)"/>
    <s v="No"/>
    <s v="No"/>
    <s v="No"/>
    <s v="Yes"/>
    <s v="No"/>
    <n v="3539.302269241196"/>
    <n v="622"/>
    <n v="1.27"/>
    <n v="1.41"/>
    <n v="2.4700000000000002"/>
    <n v="0.95"/>
    <n v="0.82"/>
    <n v="1.1100000000000001"/>
    <n v="2.02"/>
    <n v="1"/>
    <n v="1"/>
    <n v="1"/>
    <n v="0.88"/>
    <n v="1"/>
    <n v="0.84"/>
    <n v="1"/>
    <n v="1"/>
    <n v="1"/>
    <n v="0.94"/>
    <n v="1"/>
    <n v="1.06"/>
    <n v="3539.302269241196"/>
    <n v="0"/>
    <s v="PASS"/>
    <n v="0"/>
    <x v="0"/>
  </r>
  <r>
    <s v="P0183"/>
    <d v="2025-12-15T00:00:00"/>
    <s v="Collision"/>
    <s v="45-54"/>
    <n v="1"/>
    <n v="0"/>
    <s v="Yes (Medium Score)"/>
    <s v="5,000-8,499"/>
    <s v="Fullerton (92832)"/>
    <s v="$45,000-$84,999"/>
    <s v="No"/>
    <s v="No"/>
    <s v="No"/>
    <s v="No"/>
    <s v="Yes"/>
    <s v="No"/>
    <s v="Yes (High)"/>
    <s v="No"/>
    <s v="No"/>
    <s v="Yes"/>
    <s v="No"/>
    <s v="No"/>
    <s v="No"/>
    <n v="666.40606575401785"/>
    <n v="453"/>
    <n v="1.07"/>
    <n v="1.64"/>
    <n v="1"/>
    <n v="0.8"/>
    <n v="0.93"/>
    <n v="1.1200000000000001"/>
    <n v="1.57"/>
    <n v="1"/>
    <n v="1"/>
    <n v="1"/>
    <n v="1"/>
    <n v="0.72"/>
    <n v="1"/>
    <n v="1"/>
    <n v="0.89"/>
    <n v="1"/>
    <n v="1"/>
    <n v="1"/>
    <n v="1"/>
    <n v="666.40606575401785"/>
    <n v="0"/>
    <s v="PASS"/>
    <n v="0"/>
    <x v="0"/>
  </r>
  <r>
    <s v="P0184"/>
    <d v="2026-04-16T00:00:00"/>
    <s v="Rental Car Reinbursement"/>
    <s v="65+"/>
    <n v="2"/>
    <n v="1"/>
    <s v="No"/>
    <s v="0-4,999"/>
    <s v="Beverly Hills (90035)"/>
    <s v="$85,000-$149,999"/>
    <s v="No"/>
    <s v="Yes"/>
    <s v="No"/>
    <s v="No"/>
    <s v="No"/>
    <s v="Yes"/>
    <s v="No"/>
    <s v="Yes (Medium)"/>
    <s v="Yes"/>
    <s v="No"/>
    <s v="No"/>
    <s v="Yes"/>
    <s v="No"/>
    <n v="123.99"/>
    <n v="41"/>
    <n v="1.27"/>
    <n v="1.41"/>
    <n v="1.34"/>
    <n v="1"/>
    <n v="0.82"/>
    <n v="1.21"/>
    <n v="2.02"/>
    <n v="1"/>
    <n v="1.21"/>
    <n v="1"/>
    <n v="1"/>
    <n v="1"/>
    <n v="0.72"/>
    <n v="0.92"/>
    <n v="1"/>
    <n v="1"/>
    <n v="0.94"/>
    <n v="1"/>
    <n v="1.06"/>
    <n v="157.47132936684139"/>
    <n v="-33.481329366841393"/>
    <s v="FAIL"/>
    <n v="33.481329366841393"/>
    <x v="6"/>
  </r>
  <r>
    <s v="P0185"/>
    <d v="2025-08-12T00:00:00"/>
    <s v="Uninsured Motorist"/>
    <s v="65+"/>
    <s v="8+"/>
    <n v="1"/>
    <s v="No"/>
    <s v="5,000-8,499"/>
    <s v="West Hollywood (90046)"/>
    <s v="$45,000-$84,999"/>
    <s v="No"/>
    <s v="No"/>
    <s v="Yes"/>
    <s v="No"/>
    <s v="No"/>
    <s v="Yes"/>
    <s v="No"/>
    <s v="Yes (Medium)"/>
    <s v="No"/>
    <s v="No"/>
    <s v="No"/>
    <s v="No"/>
    <s v="No"/>
    <n v="177.64016360888982"/>
    <n v="78"/>
    <n v="1.27"/>
    <n v="0.93"/>
    <n v="1.34"/>
    <n v="1"/>
    <n v="0.93"/>
    <n v="1.18"/>
    <n v="1.57"/>
    <n v="1"/>
    <n v="1"/>
    <n v="1.1599999999999999"/>
    <n v="1"/>
    <n v="1"/>
    <n v="0.72"/>
    <n v="1"/>
    <n v="1"/>
    <n v="1"/>
    <n v="1"/>
    <n v="1"/>
    <n v="1"/>
    <n v="177.64016360888982"/>
    <n v="0"/>
    <s v="PASS"/>
    <n v="0"/>
    <x v="0"/>
  </r>
  <r>
    <s v="P0186"/>
    <d v="2025-10-20T00:00:00"/>
    <s v="Liability"/>
    <s v="25-34"/>
    <s v="8+"/>
    <s v="5+"/>
    <s v="Yes (Medium Score)"/>
    <s v="0-4,999"/>
    <s v="Huntington Beach (90742)"/>
    <s v="$0-$4,999"/>
    <s v="No"/>
    <s v="Yes"/>
    <s v="Yes"/>
    <s v="No"/>
    <s v="No"/>
    <s v="Yes"/>
    <s v="No"/>
    <s v="Yes (High)"/>
    <s v="No"/>
    <s v="No"/>
    <s v="No"/>
    <s v="No"/>
    <s v="No"/>
    <n v="1092.2996915146416"/>
    <n v="622"/>
    <n v="1.23"/>
    <n v="0.93"/>
    <n v="2.4700000000000002"/>
    <n v="0.8"/>
    <n v="0.82"/>
    <n v="0.98"/>
    <n v="0.82"/>
    <n v="1"/>
    <n v="1.21"/>
    <n v="1.1599999999999999"/>
    <n v="1"/>
    <n v="1"/>
    <n v="0.84"/>
    <n v="1"/>
    <n v="1"/>
    <n v="1"/>
    <n v="1"/>
    <n v="1"/>
    <n v="1"/>
    <n v="1092.2996915146416"/>
    <n v="0"/>
    <s v="PASS"/>
    <n v="0"/>
    <x v="0"/>
  </r>
  <r>
    <s v="P0187"/>
    <d v="2025-11-30T00:00:00"/>
    <s v="Collision"/>
    <s v="65+"/>
    <n v="5"/>
    <n v="4"/>
    <s v="No"/>
    <s v="0-4,999"/>
    <s v="Culver City (90066)"/>
    <s v="$25,000-$44,999"/>
    <s v="No"/>
    <s v="No"/>
    <s v="No"/>
    <s v="No"/>
    <s v="Yes"/>
    <s v="No"/>
    <s v="Yes (Low)"/>
    <s v="No"/>
    <s v="No"/>
    <s v="No"/>
    <s v="No"/>
    <s v="Yes"/>
    <s v="Yes"/>
    <n v="1364.4776209581314"/>
    <n v="453"/>
    <n v="1.27"/>
    <n v="1.07"/>
    <n v="2.12"/>
    <n v="1"/>
    <n v="0.82"/>
    <n v="1.1499999999999999"/>
    <n v="1.28"/>
    <n v="1"/>
    <n v="1"/>
    <n v="1"/>
    <n v="1"/>
    <n v="0.95"/>
    <n v="1"/>
    <n v="1"/>
    <n v="1"/>
    <n v="1"/>
    <n v="0.94"/>
    <n v="0.97"/>
    <n v="1"/>
    <n v="1364.4776209581314"/>
    <n v="0"/>
    <s v="PASS"/>
    <n v="0"/>
    <x v="0"/>
  </r>
  <r>
    <s v="P0188"/>
    <d v="2025-10-17T00:00:00"/>
    <s v="Collision"/>
    <s v="65+"/>
    <n v="3"/>
    <n v="1"/>
    <s v="Yes (Medium Score)"/>
    <s v="5,000-8,499"/>
    <s v="Irvine (92602)"/>
    <s v="$45,000-$84,999"/>
    <s v="No"/>
    <s v="Yes"/>
    <s v="No"/>
    <s v="No"/>
    <s v="Yes"/>
    <s v="No"/>
    <s v="Yes (Medium)"/>
    <s v="No"/>
    <s v="No"/>
    <s v="Yes"/>
    <s v="No"/>
    <s v="No"/>
    <s v="No"/>
    <n v="1083.2290563237732"/>
    <n v="453"/>
    <n v="1.27"/>
    <n v="1.22"/>
    <n v="1.34"/>
    <n v="0.8"/>
    <n v="0.93"/>
    <n v="1.0900000000000001"/>
    <n v="1.57"/>
    <n v="1"/>
    <n v="1.21"/>
    <n v="1"/>
    <n v="1"/>
    <n v="0.84"/>
    <n v="1"/>
    <n v="1"/>
    <n v="0.89"/>
    <n v="1"/>
    <n v="1"/>
    <n v="1"/>
    <n v="1"/>
    <n v="1083.2290563237732"/>
    <n v="0"/>
    <s v="PASS"/>
    <n v="0"/>
    <x v="0"/>
  </r>
  <r>
    <s v="P0189"/>
    <d v="2026-03-03T00:00:00"/>
    <s v="Collision"/>
    <s v="45-54"/>
    <n v="4"/>
    <n v="4"/>
    <s v="No"/>
    <s v="13,500-16,999"/>
    <s v="Koreatown (90006)"/>
    <s v="$0-$4,999"/>
    <s v="No"/>
    <s v="No"/>
    <s v="No"/>
    <s v="No"/>
    <s v="Yes"/>
    <s v="No"/>
    <s v="Yes (Low)"/>
    <s v="No"/>
    <s v="No"/>
    <s v="Yes"/>
    <s v="No"/>
    <s v="No"/>
    <s v="No"/>
    <n v="1239.9848761342651"/>
    <n v="453"/>
    <n v="1.07"/>
    <n v="1.1499999999999999"/>
    <n v="2.12"/>
    <n v="1"/>
    <n v="1.18"/>
    <n v="1.21"/>
    <n v="0.82"/>
    <n v="1"/>
    <n v="1"/>
    <n v="1"/>
    <n v="1"/>
    <n v="0.95"/>
    <n v="1"/>
    <n v="1"/>
    <n v="0.89"/>
    <n v="1"/>
    <n v="1"/>
    <n v="1"/>
    <n v="1.06"/>
    <n v="1239.9848761342651"/>
    <n v="0"/>
    <s v="PASS"/>
    <n v="0"/>
    <x v="0"/>
  </r>
  <r>
    <s v="P0190"/>
    <d v="2025-08-15T00:00:00"/>
    <s v="Collision"/>
    <s v="45-54"/>
    <s v="8+"/>
    <s v="5+"/>
    <s v="No"/>
    <s v="17,000+"/>
    <s v="Lake Forrest (92609)"/>
    <s v="$0-$4,999"/>
    <s v="No"/>
    <s v="No"/>
    <s v="No"/>
    <s v="Yes"/>
    <s v="Yes"/>
    <s v="No"/>
    <s v="Yes (High)"/>
    <s v="No"/>
    <s v="No"/>
    <s v="Yes"/>
    <s v="No"/>
    <s v="Yes"/>
    <s v="Yes"/>
    <n v="584.21862457491659"/>
    <n v="453"/>
    <n v="1.07"/>
    <n v="0.93"/>
    <n v="2.4700000000000002"/>
    <n v="1"/>
    <n v="1.31"/>
    <n v="0.95"/>
    <n v="0.82"/>
    <n v="1"/>
    <n v="1"/>
    <n v="1"/>
    <n v="0.88"/>
    <n v="0.72"/>
    <n v="1"/>
    <n v="1"/>
    <n v="0.89"/>
    <n v="1"/>
    <n v="0.94"/>
    <n v="0.97"/>
    <n v="1"/>
    <n v="584.21862457491659"/>
    <n v="0"/>
    <s v="PASS"/>
    <n v="0"/>
    <x v="0"/>
  </r>
  <r>
    <s v="P0191"/>
    <d v="2026-03-03T00:00:00"/>
    <s v="Liability"/>
    <s v="35-44"/>
    <n v="7"/>
    <s v="5+"/>
    <s v="Yes (Low Score)"/>
    <s v="5,000-8,499"/>
    <s v="Cypress (90630)"/>
    <s v="$45,000-$84,999"/>
    <s v="No"/>
    <s v="Yes"/>
    <s v="No"/>
    <s v="Yes"/>
    <s v="No"/>
    <s v="Yes"/>
    <s v="No"/>
    <s v="Yes (High)"/>
    <s v="No"/>
    <s v="No"/>
    <s v="No"/>
    <s v="No"/>
    <s v="Yes"/>
    <n v="2010.7859084440277"/>
    <n v="622"/>
    <n v="1"/>
    <n v="0.95"/>
    <n v="2.4700000000000002"/>
    <n v="0.95"/>
    <n v="0.93"/>
    <n v="1.08"/>
    <n v="1.57"/>
    <n v="1"/>
    <n v="1.21"/>
    <n v="1"/>
    <n v="0.88"/>
    <n v="1"/>
    <n v="0.84"/>
    <n v="1"/>
    <n v="1"/>
    <n v="1"/>
    <n v="1"/>
    <n v="0.97"/>
    <n v="1.06"/>
    <n v="2010.7859084440277"/>
    <n v="0"/>
    <s v="PASS"/>
    <n v="0"/>
    <x v="0"/>
  </r>
  <r>
    <s v="P0192"/>
    <d v="2025-12-24T00:00:00"/>
    <s v="Liability"/>
    <s v="55-64"/>
    <n v="3"/>
    <n v="1"/>
    <s v="No"/>
    <s v="5,000-8,499"/>
    <s v="Cypress (90630)"/>
    <s v="$5,000-$14,999"/>
    <s v="No"/>
    <s v="No"/>
    <s v="No"/>
    <s v="No"/>
    <s v="No"/>
    <s v="Yes"/>
    <s v="No"/>
    <s v="Yes (Medium)"/>
    <s v="Yes"/>
    <s v="No"/>
    <s v="No"/>
    <s v="Yes"/>
    <s v="No"/>
    <n v="690.87527758544434"/>
    <n v="622"/>
    <n v="1.1200000000000001"/>
    <n v="1.22"/>
    <n v="1.34"/>
    <n v="1"/>
    <n v="0.93"/>
    <n v="1.08"/>
    <n v="0.97"/>
    <n v="1"/>
    <n v="1"/>
    <n v="1"/>
    <n v="1"/>
    <n v="1"/>
    <n v="0.72"/>
    <n v="0.92"/>
    <n v="1"/>
    <n v="1"/>
    <n v="0.94"/>
    <n v="1"/>
    <n v="1"/>
    <n v="690.87527758544434"/>
    <n v="0"/>
    <s v="PASS"/>
    <n v="0"/>
    <x v="0"/>
  </r>
  <r>
    <s v="P0193"/>
    <d v="2025-12-20T00:00:00"/>
    <s v="Liability"/>
    <s v="55-64"/>
    <s v="8+"/>
    <n v="1"/>
    <s v="No"/>
    <s v="5,000-8,499"/>
    <s v="Irvine (92602)"/>
    <s v="$15,000-$24,999"/>
    <s v="No"/>
    <s v="No"/>
    <s v="No"/>
    <s v="Yes"/>
    <s v="No"/>
    <s v="Yes"/>
    <s v="No"/>
    <s v="Yes (High)"/>
    <s v="No"/>
    <s v="No"/>
    <s v="No"/>
    <s v="No"/>
    <s v="Yes"/>
    <n v="681.49558828351758"/>
    <n v="622"/>
    <n v="1.1200000000000001"/>
    <n v="0.93"/>
    <n v="1.34"/>
    <n v="1"/>
    <n v="0.93"/>
    <n v="1.0900000000000001"/>
    <n v="1.08"/>
    <n v="1"/>
    <n v="1"/>
    <n v="1"/>
    <n v="0.88"/>
    <n v="1"/>
    <n v="0.84"/>
    <n v="1"/>
    <n v="1"/>
    <n v="1"/>
    <n v="1"/>
    <n v="0.97"/>
    <n v="1"/>
    <n v="681.49558828351758"/>
    <n v="0"/>
    <s v="PASS"/>
    <n v="0"/>
    <x v="0"/>
  </r>
  <r>
    <s v="P0194"/>
    <d v="2026-04-02T00:00:00"/>
    <s v="Liability"/>
    <s v="35-44"/>
    <n v="5"/>
    <n v="3"/>
    <s v="No"/>
    <s v="0-4,999"/>
    <s v="Compton (90220)"/>
    <s v="$45,000-$84,999"/>
    <s v="No"/>
    <s v="No"/>
    <s v="No"/>
    <s v="Yes"/>
    <s v="No"/>
    <s v="Yes"/>
    <s v="No"/>
    <s v="Yes (Low)"/>
    <s v="No"/>
    <s v="No"/>
    <s v="No"/>
    <s v="Yes"/>
    <s v="No"/>
    <n v="1301.1575304119251"/>
    <n v="622"/>
    <n v="1"/>
    <n v="1.07"/>
    <n v="1.82"/>
    <n v="1"/>
    <n v="0.82"/>
    <n v="1.56"/>
    <n v="1.57"/>
    <n v="1"/>
    <n v="1"/>
    <n v="1"/>
    <n v="0.88"/>
    <n v="1"/>
    <n v="0.61"/>
    <n v="1"/>
    <n v="1"/>
    <n v="1"/>
    <n v="0.94"/>
    <n v="1"/>
    <n v="1.06"/>
    <n v="1301.1575304119251"/>
    <n v="0"/>
    <s v="PASS"/>
    <n v="0"/>
    <x v="0"/>
  </r>
  <r>
    <s v="P0195"/>
    <d v="2025-06-05T00:00:00"/>
    <s v="Uninsured Motorist"/>
    <s v="45-54"/>
    <n v="2"/>
    <n v="2"/>
    <s v="Yes (Medium Score)"/>
    <s v="8,500-13,499"/>
    <s v="West Hollywood (90046)"/>
    <s v="$45,000-$84,999"/>
    <s v="No"/>
    <s v="No"/>
    <s v="No"/>
    <s v="No"/>
    <s v="No"/>
    <s v="Yes"/>
    <s v="No"/>
    <s v="Yes (Medium)"/>
    <s v="No"/>
    <s v="Yes"/>
    <s v="Yes"/>
    <s v="No"/>
    <s v="No"/>
    <n v="161.10398739717883"/>
    <n v="78"/>
    <n v="1.07"/>
    <n v="1.41"/>
    <n v="1.55"/>
    <n v="0.8"/>
    <n v="1"/>
    <n v="1.18"/>
    <n v="1.57"/>
    <n v="1"/>
    <n v="1"/>
    <n v="1"/>
    <n v="1"/>
    <n v="1"/>
    <n v="0.72"/>
    <n v="1"/>
    <n v="0.89"/>
    <n v="0.93"/>
    <n v="1"/>
    <n v="1"/>
    <n v="1"/>
    <n v="161.10398739717883"/>
    <n v="0"/>
    <s v="PASS"/>
    <n v="0"/>
    <x v="0"/>
  </r>
  <r>
    <s v="P0196"/>
    <d v="2026-02-15T00:00:00"/>
    <s v="Liability"/>
    <s v="55-64"/>
    <n v="7"/>
    <n v="1"/>
    <s v="No"/>
    <s v="13,500-16,999"/>
    <s v="Koreatown (90006)"/>
    <s v="$150,000+"/>
    <s v="No"/>
    <s v="No"/>
    <s v="Yes"/>
    <s v="No"/>
    <s v="No"/>
    <s v="Yes"/>
    <s v="No"/>
    <s v="Yes (Low)"/>
    <s v="No"/>
    <s v="Yes"/>
    <s v="No"/>
    <s v="No"/>
    <s v="No"/>
    <n v="2425.8826114821304"/>
    <n v="622"/>
    <n v="1.1200000000000001"/>
    <n v="0.95"/>
    <n v="1.34"/>
    <n v="1"/>
    <n v="1.18"/>
    <n v="1.21"/>
    <n v="2.87"/>
    <n v="1"/>
    <n v="1"/>
    <n v="1.1599999999999999"/>
    <n v="1"/>
    <n v="1"/>
    <n v="0.61"/>
    <n v="1"/>
    <n v="0.89"/>
    <n v="1"/>
    <n v="1"/>
    <n v="1"/>
    <n v="1.06"/>
    <n v="2425.8826114821304"/>
    <n v="0"/>
    <s v="PASS"/>
    <n v="0"/>
    <x v="0"/>
  </r>
  <r>
    <s v="P0197"/>
    <d v="2025-11-21T00:00:00"/>
    <s v="Liability"/>
    <s v="65+"/>
    <n v="1"/>
    <n v="1"/>
    <s v="Yes (Low Score)"/>
    <s v="0-4,999"/>
    <s v="Orange (92705)"/>
    <s v="$25,000-$44,999"/>
    <s v="Yes"/>
    <s v="No"/>
    <s v="No"/>
    <s v="No"/>
    <s v="No"/>
    <s v="Yes"/>
    <s v="No"/>
    <s v="Yes (High)"/>
    <s v="No"/>
    <s v="Yes"/>
    <s v="No"/>
    <s v="No"/>
    <s v="No"/>
    <n v="1689.5444166964169"/>
    <n v="622"/>
    <n v="1.27"/>
    <n v="1.64"/>
    <n v="1.34"/>
    <n v="0.95"/>
    <n v="0.82"/>
    <n v="1.02"/>
    <n v="1.28"/>
    <n v="1.28"/>
    <n v="1"/>
    <n v="1"/>
    <n v="1"/>
    <n v="1"/>
    <n v="0.84"/>
    <n v="1"/>
    <n v="0.89"/>
    <n v="1"/>
    <n v="1"/>
    <n v="1"/>
    <n v="1"/>
    <n v="1689.5444166964169"/>
    <n v="0"/>
    <s v="PASS"/>
    <n v="0"/>
    <x v="0"/>
  </r>
  <r>
    <s v="P0198"/>
    <d v="2025-10-06T00:00:00"/>
    <s v="Comprehensive"/>
    <s v="16-24"/>
    <n v="5"/>
    <n v="1"/>
    <s v="No"/>
    <s v="13,500-16,999"/>
    <s v="Huntington Beach (90742)"/>
    <s v="$25,000-$44,999"/>
    <s v="No"/>
    <s v="No"/>
    <s v="No"/>
    <s v="Yes"/>
    <s v="Yes"/>
    <s v="No"/>
    <s v="Yes (High)"/>
    <s v="No"/>
    <s v="No"/>
    <s v="No"/>
    <s v="Yes"/>
    <s v="No"/>
    <s v="No"/>
    <n v="199.73954091641184"/>
    <n v="121"/>
    <n v="1.32"/>
    <n v="1.07"/>
    <n v="1.34"/>
    <n v="1"/>
    <n v="1.18"/>
    <n v="0.98"/>
    <n v="1.28"/>
    <n v="1"/>
    <n v="1"/>
    <n v="1"/>
    <n v="0.88"/>
    <n v="0.72"/>
    <n v="1"/>
    <n v="1"/>
    <n v="1"/>
    <n v="0.93"/>
    <n v="1"/>
    <n v="1"/>
    <n v="1"/>
    <n v="199.73954091641184"/>
    <n v="0"/>
    <s v="PASS"/>
    <n v="0"/>
    <x v="0"/>
  </r>
  <r>
    <s v="P0199"/>
    <d v="2025-06-10T00:00:00"/>
    <s v="Rental Car Reinbursement"/>
    <s v="55-64"/>
    <n v="4"/>
    <n v="4"/>
    <s v="No"/>
    <s v="17,000+"/>
    <s v="Cypress (90630)"/>
    <s v="$0-$4,999"/>
    <s v="No"/>
    <s v="Yes"/>
    <s v="No"/>
    <s v="No"/>
    <s v="No"/>
    <s v="Yes"/>
    <s v="No"/>
    <s v="Yes (Low)"/>
    <s v="No"/>
    <s v="No"/>
    <s v="No"/>
    <s v="No"/>
    <s v="No"/>
    <n v="95.864914557409548"/>
    <n v="41"/>
    <n v="1.1200000000000001"/>
    <n v="1.1499999999999999"/>
    <n v="2.12"/>
    <n v="1"/>
    <n v="1.31"/>
    <n v="1.08"/>
    <n v="0.82"/>
    <n v="1"/>
    <n v="1.21"/>
    <n v="1"/>
    <n v="1"/>
    <n v="1"/>
    <n v="0.61"/>
    <n v="1"/>
    <n v="1"/>
    <n v="1"/>
    <n v="1"/>
    <n v="1"/>
    <n v="1"/>
    <n v="95.864914557409548"/>
    <n v="0"/>
    <s v="PASS"/>
    <n v="0"/>
    <x v="0"/>
  </r>
  <r>
    <s v="P0200"/>
    <d v="2026-01-15T00:00:00"/>
    <s v="Collision"/>
    <s v="16-24"/>
    <n v="2"/>
    <n v="4"/>
    <s v="Yes (Medium Score)"/>
    <s v="17,000+"/>
    <s v="Beverly Hills (90035)"/>
    <s v="$45,000-$84,999"/>
    <s v="No"/>
    <s v="No"/>
    <s v="Yes"/>
    <s v="No"/>
    <s v="Yes"/>
    <s v="No"/>
    <s v="Yes (Medium)"/>
    <s v="No"/>
    <s v="Yes"/>
    <s v="No"/>
    <s v="No"/>
    <s v="No"/>
    <s v="Yes"/>
    <n v="3280.0171489296768"/>
    <n v="453"/>
    <n v="1.32"/>
    <n v="1.41"/>
    <n v="2.12"/>
    <n v="0.8"/>
    <n v="1.31"/>
    <n v="1.21"/>
    <n v="1.57"/>
    <n v="1"/>
    <n v="1"/>
    <n v="1.1599999999999999"/>
    <n v="1"/>
    <n v="0.84"/>
    <n v="1"/>
    <n v="0.92"/>
    <n v="1"/>
    <n v="1"/>
    <n v="1"/>
    <n v="0.97"/>
    <n v="1.06"/>
    <n v="3280.0171489296768"/>
    <n v="0"/>
    <s v="PASS"/>
    <n v="0"/>
    <x v="0"/>
  </r>
  <r>
    <s v="P0201"/>
    <d v="2025-11-10T00:00:00"/>
    <s v="Collision"/>
    <s v="25-34"/>
    <n v="6"/>
    <n v="0"/>
    <s v="Yes (Medium Score)"/>
    <s v="5,000-8,499"/>
    <s v="Beverly Hills (90035)"/>
    <s v="$5,000-$14,999"/>
    <s v="No"/>
    <s v="No"/>
    <s v="No"/>
    <s v="No"/>
    <s v="Yes"/>
    <s v="No"/>
    <s v="Yes (Low)"/>
    <s v="No"/>
    <s v="No"/>
    <s v="Yes"/>
    <s v="Yes"/>
    <s v="No"/>
    <s v="Yes"/>
    <n v="371.10913800938323"/>
    <n v="453"/>
    <n v="1.23"/>
    <n v="1"/>
    <n v="1"/>
    <n v="0.8"/>
    <n v="0.93"/>
    <n v="1.21"/>
    <n v="0.97"/>
    <n v="1"/>
    <n v="1"/>
    <n v="1"/>
    <n v="1"/>
    <n v="0.95"/>
    <n v="1"/>
    <n v="1"/>
    <n v="0.89"/>
    <n v="0.93"/>
    <n v="1"/>
    <n v="0.97"/>
    <n v="1"/>
    <n v="371.10913800938323"/>
    <n v="0"/>
    <s v="PASS"/>
    <n v="0"/>
    <x v="0"/>
  </r>
  <r>
    <s v="P0202"/>
    <d v="2025-06-11T00:00:00"/>
    <s v="Collision"/>
    <s v="35-44"/>
    <n v="1"/>
    <n v="2"/>
    <s v="Yes (High Score)"/>
    <s v="13,500-16,999"/>
    <s v="Newport Beach (92603)"/>
    <s v="$25,000-$44,999"/>
    <s v="No"/>
    <s v="Yes"/>
    <s v="Yes"/>
    <s v="Yes"/>
    <s v="Yes"/>
    <s v="No"/>
    <s v="Yes (High)"/>
    <s v="No"/>
    <s v="No"/>
    <s v="Yes"/>
    <s v="No"/>
    <s v="No"/>
    <s v="Yes"/>
    <n v="815.88172316226735"/>
    <n v="453"/>
    <n v="1"/>
    <n v="1.64"/>
    <n v="1.55"/>
    <n v="0.65"/>
    <n v="1.18"/>
    <n v="0.94"/>
    <n v="1.28"/>
    <n v="1"/>
    <n v="1.21"/>
    <n v="1.1599999999999999"/>
    <n v="0.88"/>
    <n v="0.72"/>
    <n v="1"/>
    <n v="1"/>
    <n v="0.89"/>
    <n v="1"/>
    <n v="1"/>
    <n v="0.97"/>
    <n v="1"/>
    <n v="815.88172316226735"/>
    <n v="0"/>
    <s v="PASS"/>
    <n v="0"/>
    <x v="0"/>
  </r>
  <r>
    <s v="P0203"/>
    <d v="2026-02-02T00:00:00"/>
    <s v="Liability"/>
    <s v="16-24"/>
    <n v="4"/>
    <n v="2"/>
    <s v="No"/>
    <s v="13,500-16,999"/>
    <s v="Compton (90220)"/>
    <s v="$5,000-$14,999"/>
    <s v="No"/>
    <s v="No"/>
    <s v="No"/>
    <s v="No"/>
    <s v="No"/>
    <s v="Yes"/>
    <s v="No"/>
    <s v="Yes (Medium)"/>
    <s v="No"/>
    <s v="No"/>
    <s v="No"/>
    <s v="No"/>
    <s v="Yes"/>
    <n v="1934.5603852471133"/>
    <n v="622"/>
    <n v="1.32"/>
    <n v="1.1499999999999999"/>
    <n v="1.55"/>
    <n v="1"/>
    <n v="1.18"/>
    <n v="1.56"/>
    <n v="0.97"/>
    <n v="1"/>
    <n v="1"/>
    <n v="1"/>
    <n v="1"/>
    <n v="1"/>
    <n v="0.72"/>
    <n v="1"/>
    <n v="1"/>
    <n v="1"/>
    <n v="1"/>
    <n v="0.97"/>
    <n v="1.06"/>
    <n v="1934.5603852471133"/>
    <n v="0"/>
    <s v="PASS"/>
    <n v="0"/>
    <x v="0"/>
  </r>
  <r>
    <s v="P0204"/>
    <d v="2025-08-23T00:00:00"/>
    <s v="Rental Car Reinbursement"/>
    <s v="16-24"/>
    <n v="6"/>
    <n v="1"/>
    <s v="Yes (High Score)"/>
    <s v="0-4,999"/>
    <s v="DTLA (90012)"/>
    <s v="$25,000-$44,999"/>
    <s v="No"/>
    <s v="Yes"/>
    <s v="No"/>
    <s v="No"/>
    <s v="No"/>
    <s v="Yes"/>
    <s v="No"/>
    <s v="Yes (High)"/>
    <s v="No"/>
    <s v="No"/>
    <s v="Yes"/>
    <s v="No"/>
    <s v="No"/>
    <n v="58.92748622493918"/>
    <n v="41"/>
    <n v="1.32"/>
    <n v="1"/>
    <n v="1.34"/>
    <n v="0.65"/>
    <n v="0.82"/>
    <n v="1.26"/>
    <n v="1.28"/>
    <n v="1"/>
    <n v="1.21"/>
    <n v="1"/>
    <n v="1"/>
    <n v="1"/>
    <n v="0.84"/>
    <n v="1"/>
    <n v="1"/>
    <n v="0.93"/>
    <n v="1"/>
    <n v="1"/>
    <n v="1"/>
    <n v="58.92748622493918"/>
    <n v="0"/>
    <s v="PASS"/>
    <n v="0"/>
    <x v="0"/>
  </r>
  <r>
    <s v="P0205"/>
    <d v="2026-01-02T00:00:00"/>
    <s v="Collision"/>
    <s v="35-44"/>
    <n v="6"/>
    <n v="2"/>
    <s v="No"/>
    <s v="8,500-13,499"/>
    <s v="DTLA (90012)"/>
    <s v="$5,000-$14,999"/>
    <s v="No"/>
    <s v="No"/>
    <s v="No"/>
    <s v="No"/>
    <s v="Yes"/>
    <s v="No"/>
    <s v="Yes (Medium)"/>
    <s v="No"/>
    <s v="No"/>
    <s v="No"/>
    <s v="No"/>
    <s v="Yes"/>
    <s v="No"/>
    <n v="718.26579398447984"/>
    <n v="453"/>
    <n v="1"/>
    <n v="1"/>
    <n v="1.55"/>
    <n v="1"/>
    <n v="1"/>
    <n v="1.26"/>
    <n v="0.97"/>
    <n v="1"/>
    <n v="1"/>
    <n v="1"/>
    <n v="1"/>
    <n v="0.84"/>
    <n v="1"/>
    <n v="1"/>
    <n v="1"/>
    <n v="1"/>
    <n v="0.94"/>
    <n v="1"/>
    <n v="1.06"/>
    <n v="718.26579398447984"/>
    <n v="0"/>
    <s v="PASS"/>
    <n v="0"/>
    <x v="0"/>
  </r>
  <r>
    <s v="P0206"/>
    <d v="2025-10-20T00:00:00"/>
    <s v="Liability"/>
    <s v="25-34"/>
    <n v="6"/>
    <n v="1"/>
    <s v="Yes (Low Score)"/>
    <s v="5,000-8,499"/>
    <s v="Lake Forrest (92609)"/>
    <s v="$5,000-$14,999"/>
    <s v="No"/>
    <s v="No"/>
    <s v="No"/>
    <s v="Yes"/>
    <s v="No"/>
    <s v="Yes"/>
    <s v="No"/>
    <s v="Yes (Medium)"/>
    <s v="No"/>
    <s v="No"/>
    <s v="No"/>
    <s v="No"/>
    <s v="No"/>
    <n v="528.831549134444"/>
    <n v="622"/>
    <n v="1.23"/>
    <n v="1"/>
    <n v="1.34"/>
    <n v="0.95"/>
    <n v="0.93"/>
    <n v="0.95"/>
    <n v="0.97"/>
    <n v="1"/>
    <n v="1"/>
    <n v="1"/>
    <n v="0.88"/>
    <n v="1"/>
    <n v="0.72"/>
    <n v="1"/>
    <n v="1"/>
    <n v="1"/>
    <n v="1"/>
    <n v="1"/>
    <n v="1"/>
    <n v="528.831549134444"/>
    <n v="0"/>
    <s v="PASS"/>
    <n v="0"/>
    <x v="0"/>
  </r>
  <r>
    <s v="P0207"/>
    <d v="2026-04-17T00:00:00"/>
    <s v="Rental Car Reinbursement"/>
    <s v="55-64"/>
    <n v="1"/>
    <n v="0"/>
    <s v="No"/>
    <s v="13,500-16,999"/>
    <s v="Compton (90220)"/>
    <s v="$5,000-$14,999"/>
    <s v="Yes"/>
    <s v="Yes"/>
    <s v="No"/>
    <s v="No"/>
    <s v="No"/>
    <s v="Yes"/>
    <s v="No"/>
    <s v="Yes (Low)"/>
    <s v="No"/>
    <s v="No"/>
    <s v="Yes"/>
    <s v="No"/>
    <s v="Yes"/>
    <n v="121.48140060614698"/>
    <n v="41"/>
    <n v="1.1200000000000001"/>
    <n v="1.64"/>
    <n v="1"/>
    <n v="1"/>
    <n v="1.18"/>
    <n v="1.56"/>
    <n v="0.97"/>
    <n v="1.28"/>
    <n v="1.21"/>
    <n v="1"/>
    <n v="1"/>
    <n v="1"/>
    <n v="0.61"/>
    <n v="1"/>
    <n v="1"/>
    <n v="0.93"/>
    <n v="1"/>
    <n v="0.97"/>
    <n v="1.06"/>
    <n v="121.48140060614698"/>
    <n v="0"/>
    <s v="PASS"/>
    <n v="0"/>
    <x v="0"/>
  </r>
  <r>
    <s v="P0208"/>
    <d v="2025-10-18T00:00:00"/>
    <s v="Collision"/>
    <s v="35-44"/>
    <n v="5"/>
    <n v="3"/>
    <s v="Yes (Medium Score)"/>
    <s v="5,000-8,499"/>
    <s v="Huntington Beach (90742)"/>
    <s v="$15,000-$24,999"/>
    <s v="No"/>
    <s v="Yes"/>
    <s v="No"/>
    <s v="Yes"/>
    <s v="Yes"/>
    <s v="No"/>
    <s v="Yes (Medium)"/>
    <s v="No"/>
    <s v="Yes"/>
    <s v="No"/>
    <s v="No"/>
    <s v="No"/>
    <s v="No"/>
    <n v="534.23"/>
    <n v="453"/>
    <n v="1"/>
    <n v="1.07"/>
    <n v="1.82"/>
    <n v="0.8"/>
    <n v="0.93"/>
    <n v="0.98"/>
    <n v="1.08"/>
    <n v="1"/>
    <n v="1.21"/>
    <n v="1"/>
    <n v="0.88"/>
    <n v="0.84"/>
    <n v="1"/>
    <n v="0.92"/>
    <n v="1"/>
    <n v="1"/>
    <n v="1"/>
    <n v="1"/>
    <n v="1"/>
    <n v="571.62509989252544"/>
    <n v="-37.395099892525423"/>
    <s v="FAIL"/>
    <n v="37.395099892525423"/>
    <x v="7"/>
  </r>
  <r>
    <s v="P0209"/>
    <d v="2025-06-04T00:00:00"/>
    <s v="Rental Car Reinbursement"/>
    <s v="25-34"/>
    <n v="6"/>
    <n v="0"/>
    <s v="Yes (High Score)"/>
    <s v="0-4,999"/>
    <s v="Torrance (90248)"/>
    <s v="$5,000-$14,999"/>
    <s v="No"/>
    <s v="No"/>
    <s v="No"/>
    <s v="No"/>
    <s v="No"/>
    <s v="Yes"/>
    <s v="No"/>
    <s v="Yes (High)"/>
    <s v="No"/>
    <s v="No"/>
    <s v="No"/>
    <s v="No"/>
    <s v="Yes"/>
    <n v="23.793424582636796"/>
    <n v="41"/>
    <n v="1.23"/>
    <n v="1"/>
    <n v="1"/>
    <n v="0.65"/>
    <n v="0.82"/>
    <n v="1.1200000000000001"/>
    <n v="0.97"/>
    <n v="1"/>
    <n v="1"/>
    <n v="1"/>
    <n v="1"/>
    <n v="1"/>
    <n v="0.84"/>
    <n v="1"/>
    <n v="1"/>
    <n v="1"/>
    <n v="1"/>
    <n v="0.97"/>
    <n v="1"/>
    <n v="23.793424582636796"/>
    <n v="0"/>
    <s v="PASS"/>
    <n v="0"/>
    <x v="0"/>
  </r>
  <r>
    <s v="P0210"/>
    <d v="2025-07-29T00:00:00"/>
    <s v="Uninsured Motorist"/>
    <s v="35-44"/>
    <n v="6"/>
    <n v="0"/>
    <s v="No"/>
    <s v="17,000+"/>
    <s v="Long Beach (90712)"/>
    <s v="$0-$4,999"/>
    <s v="No"/>
    <s v="Yes"/>
    <s v="No"/>
    <s v="Yes"/>
    <s v="No"/>
    <s v="Yes"/>
    <s v="No"/>
    <s v="Yes (Low)"/>
    <s v="No"/>
    <s v="No"/>
    <s v="No"/>
    <s v="No"/>
    <s v="No"/>
    <n v="60.953079323136009"/>
    <n v="78"/>
    <n v="1"/>
    <n v="1"/>
    <n v="1"/>
    <n v="1"/>
    <n v="1.31"/>
    <n v="1.1200000000000001"/>
    <n v="0.82"/>
    <n v="1"/>
    <n v="1.21"/>
    <n v="1"/>
    <n v="0.88"/>
    <n v="1"/>
    <n v="0.61"/>
    <n v="1"/>
    <n v="1"/>
    <n v="1"/>
    <n v="1"/>
    <n v="1"/>
    <n v="1"/>
    <n v="60.953079323136009"/>
    <n v="0"/>
    <s v="PASS"/>
    <n v="0"/>
    <x v="0"/>
  </r>
  <r>
    <s v="P0211"/>
    <d v="2025-06-30T00:00:00"/>
    <s v="Uninsured Motorist"/>
    <s v="45-54"/>
    <n v="5"/>
    <n v="2"/>
    <s v="Yes (High Score)"/>
    <s v="5,000-8,499"/>
    <s v="Fountain Valley (92708)"/>
    <s v="$0-$4,999"/>
    <s v="No"/>
    <s v="No"/>
    <s v="No"/>
    <s v="Yes"/>
    <s v="No"/>
    <s v="Yes"/>
    <s v="No"/>
    <s v="Yes (Medium)"/>
    <s v="No"/>
    <s v="Yes"/>
    <s v="No"/>
    <s v="No"/>
    <s v="Yes"/>
    <n v="43.15973442352125"/>
    <n v="78"/>
    <n v="1.07"/>
    <n v="1.07"/>
    <n v="1.55"/>
    <n v="0.65"/>
    <n v="0.93"/>
    <n v="1.1499999999999999"/>
    <n v="0.82"/>
    <n v="1"/>
    <n v="1"/>
    <n v="1"/>
    <n v="0.88"/>
    <n v="1"/>
    <n v="0.72"/>
    <n v="1"/>
    <n v="0.89"/>
    <n v="1"/>
    <n v="1"/>
    <n v="0.97"/>
    <n v="1"/>
    <n v="43.15973442352125"/>
    <n v="0"/>
    <s v="PASS"/>
    <n v="0"/>
    <x v="0"/>
  </r>
  <r>
    <s v="P0212"/>
    <d v="2026-01-27T00:00:00"/>
    <s v="Comprehensive"/>
    <s v="25-34"/>
    <n v="2"/>
    <n v="2"/>
    <s v="Yes (Low Score)"/>
    <s v="0-4,999"/>
    <s v="Anaheim (92801)"/>
    <s v="$150,000+"/>
    <s v="No"/>
    <s v="No"/>
    <s v="No"/>
    <s v="Yes"/>
    <s v="Yes"/>
    <s v="No"/>
    <s v="Yes (Low)"/>
    <s v="No"/>
    <s v="Yes"/>
    <s v="Yes"/>
    <s v="No"/>
    <s v="Yes"/>
    <s v="No"/>
    <n v="550.55594434275611"/>
    <n v="121"/>
    <n v="1.23"/>
    <n v="1.41"/>
    <n v="1.55"/>
    <n v="0.95"/>
    <n v="0.82"/>
    <n v="1.1100000000000001"/>
    <n v="2.87"/>
    <n v="1"/>
    <n v="1"/>
    <n v="1"/>
    <n v="0.88"/>
    <n v="0.95"/>
    <n v="1"/>
    <n v="0.92"/>
    <n v="0.89"/>
    <n v="1"/>
    <n v="0.94"/>
    <n v="1"/>
    <n v="1.06"/>
    <n v="550.55594434275611"/>
    <n v="0"/>
    <s v="PASS"/>
    <n v="0"/>
    <x v="0"/>
  </r>
  <r>
    <s v="P0213"/>
    <d v="2025-09-01T00:00:00"/>
    <s v="Liability"/>
    <s v="65+"/>
    <n v="7"/>
    <n v="1"/>
    <s v="No"/>
    <s v="17,000+"/>
    <s v="Compton (90220)"/>
    <s v="$85,000-$149,999"/>
    <s v="No"/>
    <s v="No"/>
    <s v="No"/>
    <s v="Yes"/>
    <s v="No"/>
    <s v="Yes"/>
    <s v="No"/>
    <s v="Yes (High)"/>
    <s v="No"/>
    <s v="No"/>
    <s v="No"/>
    <s v="Yes"/>
    <s v="Yes"/>
    <n v="2797.8943987287689"/>
    <n v="622"/>
    <n v="1.27"/>
    <n v="0.95"/>
    <n v="1.34"/>
    <n v="1"/>
    <n v="1.31"/>
    <n v="1.56"/>
    <n v="2.02"/>
    <n v="1"/>
    <n v="1"/>
    <n v="1"/>
    <n v="0.88"/>
    <n v="1"/>
    <n v="0.84"/>
    <n v="1"/>
    <n v="1"/>
    <n v="1"/>
    <n v="0.94"/>
    <n v="0.97"/>
    <n v="1"/>
    <n v="2797.8943987287689"/>
    <n v="0"/>
    <s v="PASS"/>
    <n v="0"/>
    <x v="0"/>
  </r>
  <r>
    <s v="P0214"/>
    <d v="2026-04-05T00:00:00"/>
    <s v="Uninsured Motorist"/>
    <s v="35-44"/>
    <n v="7"/>
    <n v="2"/>
    <s v="Yes (High Score)"/>
    <s v="8,500-13,499"/>
    <s v="Koreatown (90006)"/>
    <s v="$85,000-$149,999"/>
    <s v="No"/>
    <s v="No"/>
    <s v="No"/>
    <s v="No"/>
    <s v="No"/>
    <s v="Yes"/>
    <s v="No"/>
    <s v="Yes (Medium)"/>
    <s v="No"/>
    <s v="No"/>
    <s v="No"/>
    <s v="No"/>
    <s v="Yes"/>
    <n v="135.08592424058159"/>
    <n v="78"/>
    <n v="1"/>
    <n v="0.95"/>
    <n v="1.55"/>
    <n v="0.65"/>
    <n v="1"/>
    <n v="1.21"/>
    <n v="2.02"/>
    <n v="1"/>
    <n v="1"/>
    <n v="1"/>
    <n v="1"/>
    <n v="1"/>
    <n v="0.72"/>
    <n v="1"/>
    <n v="1"/>
    <n v="1"/>
    <n v="1"/>
    <n v="0.97"/>
    <n v="1.06"/>
    <n v="135.08592424058159"/>
    <n v="0"/>
    <s v="PASS"/>
    <n v="0"/>
    <x v="0"/>
  </r>
  <r>
    <s v="P0215"/>
    <d v="2025-12-07T00:00:00"/>
    <s v="Collision"/>
    <s v="16-24"/>
    <n v="4"/>
    <n v="0"/>
    <s v="Yes (High Score)"/>
    <s v="8,500-13,499"/>
    <s v="Hawthorne (90250)"/>
    <s v="$5,000-$14,999"/>
    <s v="No"/>
    <s v="No"/>
    <s v="No"/>
    <s v="No"/>
    <s v="Yes"/>
    <s v="No"/>
    <s v="Yes (High)"/>
    <s v="No"/>
    <s v="No"/>
    <s v="No"/>
    <s v="Yes"/>
    <s v="Yes"/>
    <s v="No"/>
    <n v="297.4574571535195"/>
    <n v="453"/>
    <n v="1.32"/>
    <n v="1.1499999999999999"/>
    <n v="1"/>
    <n v="0.65"/>
    <n v="1"/>
    <n v="1.0900000000000001"/>
    <n v="0.97"/>
    <n v="1"/>
    <n v="1"/>
    <n v="1"/>
    <n v="1"/>
    <n v="0.72"/>
    <n v="1"/>
    <n v="1"/>
    <n v="1"/>
    <n v="0.93"/>
    <n v="0.94"/>
    <n v="1"/>
    <n v="1"/>
    <n v="297.4574571535195"/>
    <n v="0"/>
    <s v="PASS"/>
    <n v="0"/>
    <x v="0"/>
  </r>
  <r>
    <s v="P0216"/>
    <d v="2025-05-27T00:00:00"/>
    <s v="Liability"/>
    <s v="45-54"/>
    <n v="4"/>
    <n v="1"/>
    <s v="No"/>
    <s v="0-4,999"/>
    <s v="Culver City (90066)"/>
    <s v="$150,000+"/>
    <s v="No"/>
    <s v="Yes"/>
    <s v="No"/>
    <s v="Yes"/>
    <s v="No"/>
    <s v="Yes"/>
    <s v="No"/>
    <s v="Yes (Medium)"/>
    <s v="No"/>
    <s v="Yes"/>
    <s v="Yes"/>
    <s v="No"/>
    <s v="No"/>
    <n v="1761.3427847361652"/>
    <n v="622"/>
    <n v="1.07"/>
    <n v="1.1499999999999999"/>
    <n v="1.34"/>
    <n v="1"/>
    <n v="0.82"/>
    <n v="1.1499999999999999"/>
    <n v="2.87"/>
    <n v="1"/>
    <n v="1.21"/>
    <n v="1"/>
    <n v="0.88"/>
    <n v="1"/>
    <n v="0.72"/>
    <n v="1"/>
    <n v="0.89"/>
    <n v="0.93"/>
    <n v="1"/>
    <n v="1"/>
    <n v="1"/>
    <n v="1761.3427847361652"/>
    <n v="0"/>
    <s v="PASS"/>
    <n v="0"/>
    <x v="0"/>
  </r>
  <r>
    <s v="P0217"/>
    <d v="2026-04-12T00:00:00"/>
    <s v="Liability"/>
    <s v="16-24"/>
    <n v="1"/>
    <n v="3"/>
    <s v="Yes (Medium Score)"/>
    <s v="8,500-13,499"/>
    <s v="Beverly Hills (90035)"/>
    <s v="$25,000-$44,999"/>
    <s v="No"/>
    <s v="No"/>
    <s v="No"/>
    <s v="No"/>
    <s v="No"/>
    <s v="Yes"/>
    <s v="No"/>
    <s v="Yes (Low)"/>
    <s v="Yes"/>
    <s v="No"/>
    <s v="No"/>
    <s v="No"/>
    <s v="No"/>
    <n v="1806.2938635033224"/>
    <n v="622"/>
    <n v="1.32"/>
    <n v="1.64"/>
    <n v="1.82"/>
    <n v="0.8"/>
    <n v="1"/>
    <n v="1.21"/>
    <n v="1.28"/>
    <n v="1"/>
    <n v="1"/>
    <n v="1"/>
    <n v="1"/>
    <n v="1"/>
    <n v="0.61"/>
    <n v="0.92"/>
    <n v="1"/>
    <n v="1"/>
    <n v="1"/>
    <n v="1"/>
    <n v="1.06"/>
    <n v="1806.2938635033224"/>
    <n v="0"/>
    <s v="PASS"/>
    <n v="0"/>
    <x v="0"/>
  </r>
  <r>
    <s v="P0218"/>
    <d v="2025-05-22T00:00:00"/>
    <s v="Collision"/>
    <s v="25-34"/>
    <n v="1"/>
    <n v="0"/>
    <s v="No"/>
    <s v="13,500-16,999"/>
    <s v="Torrance (90248)"/>
    <s v="$15,000-$24,999"/>
    <s v="No"/>
    <s v="No"/>
    <s v="No"/>
    <s v="No"/>
    <s v="Yes"/>
    <s v="No"/>
    <s v="Yes (Low)"/>
    <s v="No"/>
    <s v="No"/>
    <s v="Yes"/>
    <s v="No"/>
    <s v="No"/>
    <s v="No"/>
    <n v="1102.7690248022786"/>
    <n v="453"/>
    <n v="1.23"/>
    <n v="1.64"/>
    <n v="1"/>
    <n v="1"/>
    <n v="1.18"/>
    <n v="1.1200000000000001"/>
    <n v="1.08"/>
    <n v="1"/>
    <n v="1"/>
    <n v="1"/>
    <n v="1"/>
    <n v="0.95"/>
    <n v="1"/>
    <n v="1"/>
    <n v="0.89"/>
    <n v="1"/>
    <n v="1"/>
    <n v="1"/>
    <n v="1"/>
    <n v="1102.7690248022786"/>
    <n v="0"/>
    <s v="PASS"/>
    <n v="0"/>
    <x v="0"/>
  </r>
  <r>
    <s v="P0219"/>
    <d v="2026-03-31T00:00:00"/>
    <s v="Collision"/>
    <s v="55-64"/>
    <n v="2"/>
    <n v="3"/>
    <s v="No"/>
    <s v="5,000-8,499"/>
    <s v="Fountain Valley (92708)"/>
    <s v="$45,000-$84,999"/>
    <s v="No"/>
    <s v="No"/>
    <s v="No"/>
    <s v="No"/>
    <s v="Yes"/>
    <s v="No"/>
    <s v="Yes (High)"/>
    <s v="No"/>
    <s v="No"/>
    <s v="No"/>
    <s v="Yes"/>
    <s v="No"/>
    <s v="No"/>
    <n v="1551.7025609231755"/>
    <n v="453"/>
    <n v="1.1200000000000001"/>
    <n v="1.41"/>
    <n v="1.82"/>
    <n v="1"/>
    <n v="0.93"/>
    <n v="1.1499999999999999"/>
    <n v="1.57"/>
    <n v="1"/>
    <n v="1"/>
    <n v="1"/>
    <n v="1"/>
    <n v="0.72"/>
    <n v="1"/>
    <n v="1"/>
    <n v="1"/>
    <n v="0.93"/>
    <n v="1"/>
    <n v="1"/>
    <n v="1.06"/>
    <n v="1551.7025609231755"/>
    <n v="0"/>
    <s v="PASS"/>
    <n v="0"/>
    <x v="0"/>
  </r>
  <r>
    <s v="P0220"/>
    <d v="2025-12-11T00:00:00"/>
    <s v="Collision"/>
    <s v="35-44"/>
    <n v="3"/>
    <n v="3"/>
    <s v="No"/>
    <s v="17,000+"/>
    <s v="Beverly Hills (90035)"/>
    <s v="$45,000-$84,999"/>
    <s v="No"/>
    <s v="No"/>
    <s v="No"/>
    <s v="Yes"/>
    <s v="Yes"/>
    <s v="No"/>
    <s v="Yes (High)"/>
    <s v="No"/>
    <s v="No"/>
    <s v="Yes"/>
    <s v="Yes"/>
    <s v="No"/>
    <s v="No"/>
    <n v="1312.725322380506"/>
    <n v="453"/>
    <n v="1"/>
    <n v="1.22"/>
    <n v="1.82"/>
    <n v="1"/>
    <n v="1.31"/>
    <n v="1.21"/>
    <n v="1.57"/>
    <n v="1"/>
    <n v="1"/>
    <n v="1"/>
    <n v="0.88"/>
    <n v="0.72"/>
    <n v="1"/>
    <n v="1"/>
    <n v="0.89"/>
    <n v="0.93"/>
    <n v="1"/>
    <n v="1"/>
    <n v="1"/>
    <n v="1312.725322380506"/>
    <n v="0"/>
    <s v="PASS"/>
    <n v="0"/>
    <x v="0"/>
  </r>
  <r>
    <s v="P0221"/>
    <d v="2025-08-18T00:00:00"/>
    <s v="Liability"/>
    <s v="45-54"/>
    <n v="2"/>
    <n v="2"/>
    <s v="No"/>
    <s v="5,000-8,499"/>
    <s v="Westminster (92655)"/>
    <s v="$25,000-$44,999"/>
    <s v="No"/>
    <s v="No"/>
    <s v="No"/>
    <s v="Yes"/>
    <s v="No"/>
    <s v="Yes"/>
    <s v="No"/>
    <s v="Yes (Low)"/>
    <s v="No"/>
    <s v="Yes"/>
    <s v="Yes"/>
    <s v="No"/>
    <s v="Yes"/>
    <n v="813.39516394360646"/>
    <n v="622"/>
    <n v="1.07"/>
    <n v="1.41"/>
    <n v="1.55"/>
    <n v="1"/>
    <n v="0.93"/>
    <n v="1.0900000000000001"/>
    <n v="1.28"/>
    <n v="1"/>
    <n v="1"/>
    <n v="1"/>
    <n v="0.88"/>
    <n v="1"/>
    <n v="0.61"/>
    <n v="1"/>
    <n v="0.89"/>
    <n v="0.93"/>
    <n v="1"/>
    <n v="0.97"/>
    <n v="1"/>
    <n v="813.39516394360646"/>
    <n v="0"/>
    <s v="PASS"/>
    <n v="0"/>
    <x v="0"/>
  </r>
  <r>
    <s v="P0222"/>
    <d v="2025-06-04T00:00:00"/>
    <s v="Rental Car Reinbursement"/>
    <s v="55-64"/>
    <n v="3"/>
    <n v="4"/>
    <s v="Yes (Low Score)"/>
    <s v="13,500-16,999"/>
    <s v="Anaheim (92801)"/>
    <s v="$15,000-$24,999"/>
    <s v="No"/>
    <s v="No"/>
    <s v="No"/>
    <s v="No"/>
    <s v="No"/>
    <s v="Yes"/>
    <s v="No"/>
    <s v="Yes (Low)"/>
    <s v="Yes"/>
    <s v="No"/>
    <s v="Yes"/>
    <s v="Yes"/>
    <s v="No"/>
    <n v="78.302996573852624"/>
    <n v="41"/>
    <n v="1.1200000000000001"/>
    <n v="1.22"/>
    <n v="2.12"/>
    <n v="0.95"/>
    <n v="1.18"/>
    <n v="1.1100000000000001"/>
    <n v="1.08"/>
    <n v="1"/>
    <n v="1"/>
    <n v="1"/>
    <n v="1"/>
    <n v="1"/>
    <n v="0.61"/>
    <n v="0.92"/>
    <n v="1"/>
    <n v="0.93"/>
    <n v="0.94"/>
    <n v="1"/>
    <n v="1"/>
    <n v="78.302996573852624"/>
    <n v="0"/>
    <s v="PASS"/>
    <n v="0"/>
    <x v="0"/>
  </r>
  <r>
    <s v="P0223"/>
    <d v="2026-01-12T00:00:00"/>
    <s v="Comprehensive"/>
    <s v="45-54"/>
    <n v="4"/>
    <s v="5+"/>
    <s v="Yes (High Score)"/>
    <s v="8,500-13,499"/>
    <s v="Orange (92705)"/>
    <s v="$0-$4,999"/>
    <s v="No"/>
    <s v="No"/>
    <s v="No"/>
    <s v="Yes"/>
    <s v="Yes"/>
    <s v="No"/>
    <s v="Yes (High)"/>
    <s v="No"/>
    <s v="No"/>
    <s v="No"/>
    <s v="No"/>
    <s v="No"/>
    <s v="No"/>
    <n v="134.28031651118471"/>
    <n v="121"/>
    <n v="1.07"/>
    <n v="1.1499999999999999"/>
    <n v="2.4700000000000002"/>
    <n v="0.65"/>
    <n v="1"/>
    <n v="1.02"/>
    <n v="0.82"/>
    <n v="1"/>
    <n v="1"/>
    <n v="1"/>
    <n v="0.88"/>
    <n v="0.72"/>
    <n v="1"/>
    <n v="1"/>
    <n v="1"/>
    <n v="1"/>
    <n v="1"/>
    <n v="1"/>
    <n v="1.06"/>
    <n v="134.28031651118471"/>
    <n v="0"/>
    <s v="PASS"/>
    <n v="0"/>
    <x v="0"/>
  </r>
  <r>
    <s v="P0224"/>
    <d v="2025-07-30T00:00:00"/>
    <s v="Comprehensive"/>
    <s v="65+"/>
    <s v="8+"/>
    <n v="0"/>
    <s v="No"/>
    <s v="17,000+"/>
    <s v="Westminster (92655)"/>
    <s v="$25,000-$44,999"/>
    <s v="No"/>
    <s v="No"/>
    <s v="No"/>
    <s v="Yes"/>
    <s v="Yes"/>
    <s v="No"/>
    <s v="Yes (High)"/>
    <s v="No"/>
    <s v="No"/>
    <s v="No"/>
    <s v="Yes"/>
    <s v="Yes"/>
    <s v="No"/>
    <n v="144.67909177404988"/>
    <n v="121"/>
    <n v="1.27"/>
    <n v="0.93"/>
    <n v="1"/>
    <n v="1"/>
    <n v="1.31"/>
    <n v="1.0900000000000001"/>
    <n v="1.28"/>
    <n v="1"/>
    <n v="1"/>
    <n v="1"/>
    <n v="0.88"/>
    <n v="0.72"/>
    <n v="1"/>
    <n v="1"/>
    <n v="1"/>
    <n v="0.93"/>
    <n v="0.94"/>
    <n v="1"/>
    <n v="1"/>
    <n v="144.67909177404988"/>
    <n v="0"/>
    <s v="PASS"/>
    <n v="0"/>
    <x v="0"/>
  </r>
  <r>
    <s v="P0225"/>
    <d v="2026-01-21T00:00:00"/>
    <s v="Liability"/>
    <s v="65+"/>
    <n v="6"/>
    <n v="1"/>
    <s v="Yes (Low Score)"/>
    <s v="8,500-13,499"/>
    <s v="Torrance (90248)"/>
    <s v="$45,000-$84,999"/>
    <s v="No"/>
    <s v="No"/>
    <s v="No"/>
    <s v="No"/>
    <s v="No"/>
    <s v="Yes"/>
    <s v="No"/>
    <s v="Yes (Medium)"/>
    <s v="No"/>
    <s v="Yes"/>
    <s v="No"/>
    <s v="No"/>
    <s v="No"/>
    <n v="1201.0706452197412"/>
    <n v="622"/>
    <n v="1.27"/>
    <n v="1"/>
    <n v="1.34"/>
    <n v="0.95"/>
    <n v="1"/>
    <n v="1.1200000000000001"/>
    <n v="1.57"/>
    <n v="1"/>
    <n v="1"/>
    <n v="1"/>
    <n v="1"/>
    <n v="1"/>
    <n v="0.72"/>
    <n v="1"/>
    <n v="0.89"/>
    <n v="1"/>
    <n v="1"/>
    <n v="1"/>
    <n v="1.06"/>
    <n v="1201.0706452197412"/>
    <n v="0"/>
    <s v="PASS"/>
    <n v="0"/>
    <x v="0"/>
  </r>
  <r>
    <s v="P0226"/>
    <d v="2026-01-11T00:00:00"/>
    <s v="Liability"/>
    <s v="65+"/>
    <n v="2"/>
    <n v="2"/>
    <s v="Yes (High Score)"/>
    <s v="5,000-8,499"/>
    <s v="West Hollywood (90046)"/>
    <s v="$85,000-$149,999"/>
    <s v="No"/>
    <s v="No"/>
    <s v="No"/>
    <s v="No"/>
    <s v="No"/>
    <s v="Yes"/>
    <s v="No"/>
    <s v="Yes (Medium)"/>
    <s v="No"/>
    <s v="No"/>
    <s v="No"/>
    <s v="No"/>
    <s v="No"/>
    <n v="1898.5103107328805"/>
    <n v="622"/>
    <n v="1.27"/>
    <n v="1.41"/>
    <n v="1.55"/>
    <n v="0.65"/>
    <n v="0.93"/>
    <n v="1.18"/>
    <n v="2.02"/>
    <n v="1"/>
    <n v="1"/>
    <n v="1"/>
    <n v="1"/>
    <n v="1"/>
    <n v="0.72"/>
    <n v="1"/>
    <n v="1"/>
    <n v="1"/>
    <n v="1"/>
    <n v="1"/>
    <n v="1.06"/>
    <n v="1898.5103107328805"/>
    <n v="0"/>
    <s v="PASS"/>
    <n v="0"/>
    <x v="0"/>
  </r>
  <r>
    <s v="P0227"/>
    <d v="2026-01-27T00:00:00"/>
    <s v="Rental Car Reinbursement"/>
    <s v="16-24"/>
    <n v="7"/>
    <n v="3"/>
    <s v="Yes (Medium Score)"/>
    <s v="5,000-8,499"/>
    <s v="Santa Ana (92702)"/>
    <s v="$0-$4,999"/>
    <s v="No"/>
    <s v="Yes"/>
    <s v="No"/>
    <s v="No"/>
    <s v="No"/>
    <s v="Yes"/>
    <s v="No"/>
    <s v="Yes (High)"/>
    <s v="No"/>
    <s v="No"/>
    <s v="No"/>
    <s v="No"/>
    <s v="No"/>
    <n v="62.735052032632687"/>
    <n v="41"/>
    <n v="1.32"/>
    <n v="0.95"/>
    <n v="1.82"/>
    <n v="0.8"/>
    <n v="0.93"/>
    <n v="1.02"/>
    <n v="0.82"/>
    <n v="1"/>
    <n v="1.21"/>
    <n v="1"/>
    <n v="1"/>
    <n v="1"/>
    <n v="0.84"/>
    <n v="1"/>
    <n v="1"/>
    <n v="1"/>
    <n v="1"/>
    <n v="1"/>
    <n v="1.06"/>
    <n v="62.735052032632687"/>
    <n v="0"/>
    <s v="PASS"/>
    <n v="0"/>
    <x v="0"/>
  </r>
  <r>
    <s v="P0228"/>
    <d v="2026-03-01T00:00:00"/>
    <s v="Comprehensive"/>
    <s v="25-34"/>
    <n v="2"/>
    <n v="1"/>
    <s v="Yes (Low Score)"/>
    <s v="0-4,999"/>
    <s v="Santa Ana (92702)"/>
    <s v="$25,000-$44,999"/>
    <s v="No"/>
    <s v="No"/>
    <s v="Yes"/>
    <s v="Yes"/>
    <s v="Yes"/>
    <s v="No"/>
    <s v="Yes (High)"/>
    <s v="No"/>
    <s v="No"/>
    <s v="No"/>
    <s v="No"/>
    <s v="No"/>
    <s v="No"/>
    <n v="222.81325079070916"/>
    <n v="121"/>
    <n v="1.23"/>
    <n v="1.41"/>
    <n v="1.34"/>
    <n v="0.95"/>
    <n v="0.82"/>
    <n v="1.02"/>
    <n v="1.28"/>
    <n v="1"/>
    <n v="1"/>
    <n v="1.1599999999999999"/>
    <n v="0.88"/>
    <n v="0.72"/>
    <n v="1"/>
    <n v="1"/>
    <n v="1"/>
    <n v="1"/>
    <n v="1"/>
    <n v="1"/>
    <n v="1.06"/>
    <n v="222.81325079070916"/>
    <n v="0"/>
    <s v="PASS"/>
    <n v="0"/>
    <x v="0"/>
  </r>
  <r>
    <s v="P0229"/>
    <d v="2026-02-03T00:00:00"/>
    <s v="Liability"/>
    <s v="25-34"/>
    <n v="1"/>
    <n v="4"/>
    <s v="Yes (Low Score)"/>
    <s v="17,000+"/>
    <s v="Costa Mesa (92626)"/>
    <s v="$45,000-$84,999"/>
    <s v="No"/>
    <s v="No"/>
    <s v="No"/>
    <s v="Yes"/>
    <s v="No"/>
    <s v="Yes"/>
    <s v="No"/>
    <s v="Yes (Medium)"/>
    <s v="No"/>
    <s v="No"/>
    <s v="Yes"/>
    <s v="No"/>
    <s v="No"/>
    <n v="2986.4934611402728"/>
    <n v="622"/>
    <n v="1.23"/>
    <n v="1.64"/>
    <n v="2.12"/>
    <n v="0.95"/>
    <n v="1.31"/>
    <n v="0.92"/>
    <n v="1.57"/>
    <n v="1"/>
    <n v="1"/>
    <n v="1"/>
    <n v="0.88"/>
    <n v="1"/>
    <n v="0.72"/>
    <n v="1"/>
    <n v="1"/>
    <n v="0.93"/>
    <n v="1"/>
    <n v="1"/>
    <n v="1.06"/>
    <n v="2986.4934611402728"/>
    <n v="0"/>
    <s v="PASS"/>
    <n v="0"/>
    <x v="0"/>
  </r>
  <r>
    <s v="P0230"/>
    <d v="2026-04-22T00:00:00"/>
    <s v="Liability"/>
    <s v="25-34"/>
    <n v="6"/>
    <n v="2"/>
    <s v="Yes (Low Score)"/>
    <s v="17,000+"/>
    <s v="Long Beach (90712)"/>
    <s v="$5,000-$14,999"/>
    <s v="No"/>
    <s v="No"/>
    <s v="No"/>
    <s v="No"/>
    <s v="No"/>
    <s v="Yes"/>
    <s v="No"/>
    <s v="Yes (Low)"/>
    <s v="No"/>
    <s v="No"/>
    <s v="No"/>
    <s v="No"/>
    <s v="Yes"/>
    <n v="1005.5861582635838"/>
    <n v="622"/>
    <n v="1.23"/>
    <n v="1"/>
    <n v="1.55"/>
    <n v="0.95"/>
    <n v="1.31"/>
    <n v="1.1200000000000001"/>
    <n v="0.97"/>
    <n v="1"/>
    <n v="1"/>
    <n v="1"/>
    <n v="1"/>
    <n v="1"/>
    <n v="0.61"/>
    <n v="1"/>
    <n v="1"/>
    <n v="1"/>
    <n v="1"/>
    <n v="0.97"/>
    <n v="1.06"/>
    <n v="1005.5861582635838"/>
    <n v="0"/>
    <s v="PASS"/>
    <n v="0"/>
    <x v="0"/>
  </r>
  <r>
    <s v="P0231"/>
    <d v="2025-12-13T00:00:00"/>
    <s v="Uninsured Motorist"/>
    <s v="25-34"/>
    <n v="2"/>
    <n v="1"/>
    <s v="No"/>
    <s v="0-4,999"/>
    <s v="Cypress (90630)"/>
    <s v="$25,000-$44,999"/>
    <s v="No"/>
    <s v="No"/>
    <s v="No"/>
    <s v="Yes"/>
    <s v="No"/>
    <s v="Yes"/>
    <s v="No"/>
    <s v="Yes (High)"/>
    <s v="No"/>
    <s v="No"/>
    <s v="No"/>
    <s v="No"/>
    <s v="No"/>
    <n v="151.89139154145116"/>
    <n v="78"/>
    <n v="1.23"/>
    <n v="1.41"/>
    <n v="1.34"/>
    <n v="1"/>
    <n v="0.82"/>
    <n v="1.08"/>
    <n v="1.28"/>
    <n v="1"/>
    <n v="1"/>
    <n v="1"/>
    <n v="0.88"/>
    <n v="1"/>
    <n v="0.84"/>
    <n v="1"/>
    <n v="1"/>
    <n v="1"/>
    <n v="1"/>
    <n v="1"/>
    <n v="1"/>
    <n v="151.89139154145116"/>
    <n v="0"/>
    <s v="PASS"/>
    <n v="0"/>
    <x v="0"/>
  </r>
  <r>
    <s v="P0232"/>
    <d v="2026-01-15T00:00:00"/>
    <s v="Comprehensive"/>
    <s v="16-24"/>
    <n v="3"/>
    <n v="1"/>
    <s v="No"/>
    <s v="5,000-8,499"/>
    <s v="Fullerton (92832)"/>
    <s v="$0-$4,999"/>
    <s v="No"/>
    <s v="No"/>
    <s v="No"/>
    <s v="No"/>
    <s v="Yes"/>
    <s v="No"/>
    <s v="Yes (Medium)"/>
    <s v="No"/>
    <s v="No"/>
    <s v="No"/>
    <s v="No"/>
    <s v="No"/>
    <s v="No"/>
    <n v="198.57469560686721"/>
    <n v="121"/>
    <n v="1.32"/>
    <n v="1.22"/>
    <n v="1.34"/>
    <n v="1"/>
    <n v="0.93"/>
    <n v="1.1200000000000001"/>
    <n v="0.82"/>
    <n v="1"/>
    <n v="1"/>
    <n v="1"/>
    <n v="1"/>
    <n v="0.84"/>
    <n v="1"/>
    <n v="1"/>
    <n v="1"/>
    <n v="1"/>
    <n v="1"/>
    <n v="1"/>
    <n v="1.06"/>
    <n v="198.57469560686721"/>
    <n v="0"/>
    <s v="PASS"/>
    <n v="0"/>
    <x v="0"/>
  </r>
  <r>
    <s v="P0233"/>
    <d v="2025-08-23T00:00:00"/>
    <s v="Liability"/>
    <s v="16-24"/>
    <n v="7"/>
    <n v="1"/>
    <s v="No"/>
    <s v="5,000-8,499"/>
    <s v="Koreatown (90006)"/>
    <s v="$150,000+"/>
    <s v="Yes"/>
    <s v="No"/>
    <s v="No"/>
    <s v="No"/>
    <s v="No"/>
    <s v="Yes"/>
    <s v="No"/>
    <s v="Yes (Low)"/>
    <s v="No"/>
    <s v="No"/>
    <s v="Yes"/>
    <s v="No"/>
    <s v="No"/>
    <n v="2451.1262915478655"/>
    <n v="622"/>
    <n v="1.32"/>
    <n v="0.95"/>
    <n v="1.34"/>
    <n v="1"/>
    <n v="0.93"/>
    <n v="1.21"/>
    <n v="2.87"/>
    <n v="1.28"/>
    <n v="1"/>
    <n v="1"/>
    <n v="1"/>
    <n v="1"/>
    <n v="0.61"/>
    <n v="1"/>
    <n v="1"/>
    <n v="0.93"/>
    <n v="1"/>
    <n v="1"/>
    <n v="1"/>
    <n v="2451.1262915478655"/>
    <n v="0"/>
    <s v="PASS"/>
    <n v="0"/>
    <x v="0"/>
  </r>
  <r>
    <s v="P0234"/>
    <d v="2025-07-18T00:00:00"/>
    <s v="Collision"/>
    <s v="16-24"/>
    <n v="6"/>
    <n v="0"/>
    <s v="Yes (Low Score)"/>
    <s v="8,500-13,499"/>
    <s v="Hawthorne (90250)"/>
    <s v="$150,000+"/>
    <s v="No"/>
    <s v="No"/>
    <s v="No"/>
    <s v="Yes"/>
    <s v="Yes"/>
    <s v="No"/>
    <s v="Yes (Medium)"/>
    <s v="No"/>
    <s v="Yes"/>
    <s v="No"/>
    <s v="No"/>
    <s v="No"/>
    <s v="Yes"/>
    <n v="1172.2646070976136"/>
    <n v="453"/>
    <n v="1.32"/>
    <n v="1"/>
    <n v="1"/>
    <n v="0.95"/>
    <n v="1"/>
    <n v="1.0900000000000001"/>
    <n v="2.87"/>
    <n v="1"/>
    <n v="1"/>
    <n v="1"/>
    <n v="0.88"/>
    <n v="0.84"/>
    <n v="1"/>
    <n v="0.92"/>
    <n v="1"/>
    <n v="1"/>
    <n v="1"/>
    <n v="0.97"/>
    <n v="1"/>
    <n v="1172.2646070976136"/>
    <n v="0"/>
    <s v="PASS"/>
    <n v="0"/>
    <x v="0"/>
  </r>
  <r>
    <s v="P0235"/>
    <d v="2025-10-17T00:00:00"/>
    <s v="Collision"/>
    <s v="65+"/>
    <n v="6"/>
    <n v="3"/>
    <s v="No"/>
    <s v="17,000+"/>
    <s v="Compton (90220)"/>
    <s v="$150,000+"/>
    <s v="No"/>
    <s v="No"/>
    <s v="No"/>
    <s v="Yes"/>
    <s v="Yes"/>
    <s v="No"/>
    <s v="Yes (Medium)"/>
    <s v="No"/>
    <s v="No"/>
    <s v="No"/>
    <s v="No"/>
    <s v="Yes"/>
    <s v="No"/>
    <n v="4267.1795153033972"/>
    <n v="453"/>
    <n v="1.27"/>
    <n v="1"/>
    <n v="1.82"/>
    <n v="1"/>
    <n v="1.31"/>
    <n v="1.56"/>
    <n v="2.87"/>
    <n v="1"/>
    <n v="1"/>
    <n v="1"/>
    <n v="0.88"/>
    <n v="0.84"/>
    <n v="1"/>
    <n v="1"/>
    <n v="1"/>
    <n v="1"/>
    <n v="0.94"/>
    <n v="1"/>
    <n v="1"/>
    <n v="4267.1795153033972"/>
    <n v="0"/>
    <s v="PASS"/>
    <n v="0"/>
    <x v="0"/>
  </r>
  <r>
    <s v="P0236"/>
    <d v="2025-10-12T00:00:00"/>
    <s v="Rental Car Reinbursement"/>
    <s v="55-64"/>
    <n v="2"/>
    <s v="5+"/>
    <s v="No"/>
    <s v="8,500-13,499"/>
    <s v="Culver City (90066)"/>
    <s v="$85,000-$149,999"/>
    <s v="No"/>
    <s v="No"/>
    <s v="Yes"/>
    <s v="Yes"/>
    <s v="No"/>
    <s v="Yes"/>
    <s v="No"/>
    <s v="Yes (Medium)"/>
    <s v="Yes"/>
    <s v="No"/>
    <s v="No"/>
    <s v="No"/>
    <s v="No"/>
    <n v="251.20491953209188"/>
    <n v="41"/>
    <n v="1.1200000000000001"/>
    <n v="1.41"/>
    <n v="2.4700000000000002"/>
    <n v="1"/>
    <n v="1"/>
    <n v="1.1499999999999999"/>
    <n v="2.02"/>
    <n v="1"/>
    <n v="1"/>
    <n v="1.1599999999999999"/>
    <n v="0.88"/>
    <n v="1"/>
    <n v="0.72"/>
    <n v="0.92"/>
    <n v="1"/>
    <n v="1"/>
    <n v="1"/>
    <n v="1"/>
    <n v="1"/>
    <n v="251.20491953209188"/>
    <n v="0"/>
    <s v="PASS"/>
    <n v="0"/>
    <x v="0"/>
  </r>
  <r>
    <s v="P0237"/>
    <d v="2025-07-30T00:00:00"/>
    <s v="Collision"/>
    <s v="35-44"/>
    <s v="8+"/>
    <s v="5+"/>
    <s v="Yes (Low Score)"/>
    <s v="0-4,999"/>
    <s v="Fountain Valley (92708)"/>
    <s v="$25,000-$44,999"/>
    <s v="No"/>
    <s v="No"/>
    <s v="No"/>
    <s v="No"/>
    <s v="Yes"/>
    <s v="No"/>
    <s v="Yes (Low)"/>
    <s v="No"/>
    <s v="No"/>
    <s v="Yes"/>
    <s v="No"/>
    <s v="No"/>
    <s v="Yes"/>
    <n v="396.2"/>
    <n v="453"/>
    <n v="1"/>
    <n v="0.93"/>
    <n v="2.4700000000000002"/>
    <n v="0.95"/>
    <n v="0.82"/>
    <n v="1.1499999999999999"/>
    <n v="1.28"/>
    <n v="1"/>
    <n v="1"/>
    <n v="1"/>
    <n v="1"/>
    <n v="0.95"/>
    <n v="1"/>
    <n v="1"/>
    <n v="0.89"/>
    <n v="1"/>
    <n v="1"/>
    <n v="0.97"/>
    <n v="1"/>
    <n v="978.60790075913633"/>
    <n v="-582.40790075913628"/>
    <s v="FAIL"/>
    <n v="582.40790075913628"/>
    <x v="8"/>
  </r>
  <r>
    <s v="P0238"/>
    <d v="2025-08-06T00:00:00"/>
    <s v="Uninsured Motorist"/>
    <s v="25-34"/>
    <n v="3"/>
    <n v="4"/>
    <s v="Yes (High Score)"/>
    <s v="17,000+"/>
    <s v="Silverlake (90026 )"/>
    <s v="$85,000-$149,999"/>
    <s v="No"/>
    <s v="Yes"/>
    <s v="Yes"/>
    <s v="No"/>
    <s v="No"/>
    <s v="Yes"/>
    <s v="No"/>
    <s v="Yes (High)"/>
    <s v="No"/>
    <s v="No"/>
    <s v="Yes"/>
    <s v="No"/>
    <s v="No"/>
    <n v="542.86896057490833"/>
    <n v="78"/>
    <n v="1.23"/>
    <n v="1.22"/>
    <n v="2.12"/>
    <n v="0.65"/>
    <n v="1.31"/>
    <n v="1.1599999999999999"/>
    <n v="2.02"/>
    <n v="1"/>
    <n v="1.21"/>
    <n v="1.1599999999999999"/>
    <n v="1"/>
    <n v="1"/>
    <n v="0.84"/>
    <n v="1"/>
    <n v="1"/>
    <n v="0.93"/>
    <n v="1"/>
    <n v="1"/>
    <n v="1"/>
    <n v="542.86896057490833"/>
    <n v="0"/>
    <s v="PASS"/>
    <n v="0"/>
    <x v="0"/>
  </r>
  <r>
    <s v="P0239"/>
    <d v="2025-05-27T00:00:00"/>
    <s v="Uninsured Motorist"/>
    <s v="45-54"/>
    <n v="2"/>
    <n v="1"/>
    <s v="Yes (Low Score)"/>
    <s v="8,500-13,499"/>
    <s v="Lake Forrest (92609)"/>
    <s v="$0-$4,999"/>
    <s v="No"/>
    <s v="No"/>
    <s v="No"/>
    <s v="No"/>
    <s v="No"/>
    <s v="Yes"/>
    <s v="No"/>
    <s v="Yes (High)"/>
    <s v="No"/>
    <s v="No"/>
    <s v="No"/>
    <s v="No"/>
    <s v="No"/>
    <n v="98.026306750007976"/>
    <n v="78"/>
    <n v="1.07"/>
    <n v="1.41"/>
    <n v="1.34"/>
    <n v="0.95"/>
    <n v="1"/>
    <n v="0.95"/>
    <n v="0.82"/>
    <n v="1"/>
    <n v="1"/>
    <n v="1"/>
    <n v="1"/>
    <n v="1"/>
    <n v="0.84"/>
    <n v="1"/>
    <n v="1"/>
    <n v="1"/>
    <n v="1"/>
    <n v="1"/>
    <n v="1"/>
    <n v="98.026306750007976"/>
    <n v="0"/>
    <s v="PASS"/>
    <n v="0"/>
    <x v="0"/>
  </r>
  <r>
    <s v="P0240"/>
    <d v="2025-11-06T00:00:00"/>
    <s v="Liability"/>
    <s v="65+"/>
    <n v="3"/>
    <n v="1"/>
    <s v="Yes (Medium Score)"/>
    <s v="0-4,999"/>
    <s v="DTLA (90012)"/>
    <s v="$15,000-$24,999"/>
    <s v="No"/>
    <s v="No"/>
    <s v="No"/>
    <s v="Yes"/>
    <s v="No"/>
    <s v="Yes"/>
    <s v="No"/>
    <s v="Yes (Medium)"/>
    <s v="No"/>
    <s v="No"/>
    <s v="No"/>
    <s v="Yes"/>
    <s v="No"/>
    <n v="686.59383075886387"/>
    <n v="622"/>
    <n v="1.27"/>
    <n v="1.22"/>
    <n v="1.34"/>
    <n v="0.8"/>
    <n v="0.82"/>
    <n v="1.26"/>
    <n v="1.08"/>
    <n v="1"/>
    <n v="1"/>
    <n v="1"/>
    <n v="0.88"/>
    <n v="1"/>
    <n v="0.72"/>
    <n v="1"/>
    <n v="1"/>
    <n v="1"/>
    <n v="0.94"/>
    <n v="1"/>
    <n v="1"/>
    <n v="686.59383075886387"/>
    <n v="0"/>
    <s v="PASS"/>
    <n v="0"/>
    <x v="0"/>
  </r>
  <r>
    <s v="P0241"/>
    <d v="2025-12-01T00:00:00"/>
    <s v="Liability"/>
    <s v="25-34"/>
    <n v="1"/>
    <n v="1"/>
    <s v="Yes (High Score)"/>
    <s v="5,000-8,499"/>
    <s v="Anaheim (92801)"/>
    <s v="$25,000-$44,999"/>
    <s v="Yes"/>
    <s v="No"/>
    <s v="No"/>
    <s v="No"/>
    <s v="No"/>
    <s v="Yes"/>
    <s v="No"/>
    <s v="Yes (High)"/>
    <s v="No"/>
    <s v="Yes"/>
    <s v="No"/>
    <s v="No"/>
    <s v="No"/>
    <n v="1381.8237681690016"/>
    <n v="622"/>
    <n v="1.23"/>
    <n v="1.64"/>
    <n v="1.34"/>
    <n v="0.65"/>
    <n v="0.93"/>
    <n v="1.1100000000000001"/>
    <n v="1.28"/>
    <n v="1.28"/>
    <n v="1"/>
    <n v="1"/>
    <n v="1"/>
    <n v="1"/>
    <n v="0.84"/>
    <n v="1"/>
    <n v="0.89"/>
    <n v="1"/>
    <n v="1"/>
    <n v="1"/>
    <n v="1"/>
    <n v="1381.8237681690016"/>
    <n v="0"/>
    <s v="PASS"/>
    <n v="0"/>
    <x v="0"/>
  </r>
  <r>
    <s v="P0242"/>
    <d v="2025-09-30T00:00:00"/>
    <s v="Liability"/>
    <s v="65+"/>
    <n v="7"/>
    <n v="1"/>
    <s v="No"/>
    <s v="0-4,999"/>
    <s v="Irvine (92602)"/>
    <s v="$45,000-$84,999"/>
    <s v="No"/>
    <s v="No"/>
    <s v="No"/>
    <s v="No"/>
    <s v="No"/>
    <s v="Yes"/>
    <s v="No"/>
    <s v="Yes (Medium)"/>
    <s v="No"/>
    <s v="No"/>
    <s v="No"/>
    <s v="No"/>
    <s v="No"/>
    <n v="1016.0030424693025"/>
    <n v="622"/>
    <n v="1.27"/>
    <n v="0.95"/>
    <n v="1.34"/>
    <n v="1"/>
    <n v="0.82"/>
    <n v="1.0900000000000001"/>
    <n v="1.57"/>
    <n v="1"/>
    <n v="1"/>
    <n v="1"/>
    <n v="1"/>
    <n v="1"/>
    <n v="0.72"/>
    <n v="1"/>
    <n v="1"/>
    <n v="1"/>
    <n v="1"/>
    <n v="1"/>
    <n v="1"/>
    <n v="1016.0030424693025"/>
    <n v="0"/>
    <s v="PASS"/>
    <n v="0"/>
    <x v="0"/>
  </r>
  <r>
    <s v="P0243"/>
    <d v="2025-10-20T00:00:00"/>
    <s v="Collision"/>
    <s v="55-64"/>
    <n v="4"/>
    <n v="0"/>
    <s v="Yes (Medium Score)"/>
    <s v="8,500-13,499"/>
    <s v="Irvine (92602)"/>
    <s v="$85,000-$149,999"/>
    <s v="No"/>
    <s v="No"/>
    <s v="No"/>
    <s v="No"/>
    <s v="Yes"/>
    <s v="No"/>
    <s v="Yes (High)"/>
    <s v="No"/>
    <s v="No"/>
    <s v="No"/>
    <s v="No"/>
    <s v="No"/>
    <s v="Yes"/>
    <n v="717.77140078694413"/>
    <n v="453"/>
    <n v="1.1200000000000001"/>
    <n v="1.1499999999999999"/>
    <n v="1"/>
    <n v="0.8"/>
    <n v="1"/>
    <n v="1.0900000000000001"/>
    <n v="2.02"/>
    <n v="1"/>
    <n v="1"/>
    <n v="1"/>
    <n v="1"/>
    <n v="0.72"/>
    <n v="1"/>
    <n v="1"/>
    <n v="1"/>
    <n v="1"/>
    <n v="1"/>
    <n v="0.97"/>
    <n v="1"/>
    <n v="717.77140078694413"/>
    <n v="0"/>
    <s v="PASS"/>
    <n v="0"/>
    <x v="0"/>
  </r>
  <r>
    <s v="P0244"/>
    <d v="2026-04-23T00:00:00"/>
    <s v="Liability"/>
    <s v="55-64"/>
    <n v="6"/>
    <n v="1"/>
    <s v="No"/>
    <s v="17,000+"/>
    <s v="Culver City (90066)"/>
    <s v="$45,000-$84,999"/>
    <s v="Yes"/>
    <s v="No"/>
    <s v="No"/>
    <s v="No"/>
    <s v="No"/>
    <s v="Yes"/>
    <s v="No"/>
    <s v="Yes (Medium)"/>
    <s v="No"/>
    <s v="No"/>
    <s v="No"/>
    <s v="No"/>
    <s v="No"/>
    <n v="2156.9015646429511"/>
    <n v="622"/>
    <n v="1.1200000000000001"/>
    <n v="1"/>
    <n v="1.34"/>
    <n v="1"/>
    <n v="1.31"/>
    <n v="1.1499999999999999"/>
    <n v="1.57"/>
    <n v="1.28"/>
    <n v="1"/>
    <n v="1"/>
    <n v="1"/>
    <n v="1"/>
    <n v="0.72"/>
    <n v="1"/>
    <n v="1"/>
    <n v="1"/>
    <n v="1"/>
    <n v="1"/>
    <n v="1.06"/>
    <n v="2156.9015646429511"/>
    <n v="0"/>
    <s v="PASS"/>
    <n v="0"/>
    <x v="0"/>
  </r>
  <r>
    <s v="P0245"/>
    <d v="2025-09-27T00:00:00"/>
    <s v="Collision"/>
    <s v="65+"/>
    <n v="2"/>
    <n v="0"/>
    <s v="No"/>
    <s v="8,500-13,499"/>
    <s v="Lake Forrest (92609)"/>
    <s v="$150,000+"/>
    <s v="No"/>
    <s v="No"/>
    <s v="Yes"/>
    <s v="Yes"/>
    <s v="Yes"/>
    <s v="No"/>
    <s v="Yes (High)"/>
    <s v="No"/>
    <s v="No"/>
    <s v="No"/>
    <s v="No"/>
    <s v="No"/>
    <s v="No"/>
    <n v="1625.5476158511742"/>
    <n v="453"/>
    <n v="1.27"/>
    <n v="1.41"/>
    <n v="1"/>
    <n v="1"/>
    <n v="1"/>
    <n v="0.95"/>
    <n v="2.87"/>
    <n v="1"/>
    <n v="1"/>
    <n v="1.1599999999999999"/>
    <n v="0.88"/>
    <n v="0.72"/>
    <n v="1"/>
    <n v="1"/>
    <n v="1"/>
    <n v="1"/>
    <n v="1"/>
    <n v="1"/>
    <n v="1"/>
    <n v="1625.5476158511742"/>
    <n v="0"/>
    <s v="PASS"/>
    <n v="0"/>
    <x v="0"/>
  </r>
  <r>
    <s v="P0246"/>
    <d v="2026-02-14T00:00:00"/>
    <s v="Rental Car Reinbursement"/>
    <s v="65+"/>
    <s v="8+"/>
    <n v="2"/>
    <s v="No"/>
    <s v="0-4,999"/>
    <s v="Newport Beach (92603)"/>
    <s v="$5,000-$14,999"/>
    <s v="No"/>
    <s v="No"/>
    <s v="No"/>
    <s v="No"/>
    <s v="No"/>
    <s v="Yes"/>
    <s v="No"/>
    <s v="Yes (Medium)"/>
    <s v="No"/>
    <s v="No"/>
    <s v="No"/>
    <s v="No"/>
    <s v="No"/>
    <n v="42.830586983568097"/>
    <n v="41"/>
    <n v="1.27"/>
    <n v="0.93"/>
    <n v="1.55"/>
    <n v="1"/>
    <n v="0.82"/>
    <n v="0.94"/>
    <n v="0.97"/>
    <n v="1"/>
    <n v="1"/>
    <n v="1"/>
    <n v="1"/>
    <n v="1"/>
    <n v="0.72"/>
    <n v="1"/>
    <n v="1"/>
    <n v="1"/>
    <n v="1"/>
    <n v="1"/>
    <n v="1.06"/>
    <n v="42.830586983568097"/>
    <n v="0"/>
    <s v="PASS"/>
    <n v="0"/>
    <x v="0"/>
  </r>
  <r>
    <s v="P0247"/>
    <d v="2026-02-12T00:00:00"/>
    <s v="Comprehensive"/>
    <s v="16-24"/>
    <n v="5"/>
    <n v="0"/>
    <s v="No"/>
    <s v="0-4,999"/>
    <s v="Hollywood (90028)"/>
    <s v="$85,000-$149,999"/>
    <s v="No"/>
    <s v="Yes"/>
    <s v="No"/>
    <s v="Yes"/>
    <s v="Yes"/>
    <s v="No"/>
    <s v="Yes (Low)"/>
    <s v="No"/>
    <s v="No"/>
    <s v="Yes"/>
    <s v="Yes"/>
    <s v="Yes"/>
    <s v="No"/>
    <n v="281.03058294307061"/>
    <n v="121"/>
    <n v="1.32"/>
    <n v="1.07"/>
    <n v="1"/>
    <n v="1"/>
    <n v="0.82"/>
    <n v="1.19"/>
    <n v="2.02"/>
    <n v="1"/>
    <n v="1.21"/>
    <n v="1"/>
    <n v="0.88"/>
    <n v="0.95"/>
    <n v="1"/>
    <n v="1"/>
    <n v="0.89"/>
    <n v="0.93"/>
    <n v="0.94"/>
    <n v="1"/>
    <n v="1.06"/>
    <n v="281.03058294307061"/>
    <n v="0"/>
    <s v="PASS"/>
    <n v="0"/>
    <x v="0"/>
  </r>
  <r>
    <s v="P0248"/>
    <d v="2025-12-22T00:00:00"/>
    <s v="Rental Car Reinbursement"/>
    <s v="25-34"/>
    <n v="1"/>
    <n v="4"/>
    <s v="Yes (Low Score)"/>
    <s v="17,000+"/>
    <s v="Koreatown (90006)"/>
    <s v="$0-$4,999"/>
    <s v="No"/>
    <s v="Yes"/>
    <s v="No"/>
    <s v="Yes"/>
    <s v="No"/>
    <s v="Yes"/>
    <s v="No"/>
    <s v="Yes (Low)"/>
    <s v="No"/>
    <s v="Yes"/>
    <s v="No"/>
    <s v="No"/>
    <s v="No"/>
    <n v="125.15571478849915"/>
    <n v="41"/>
    <n v="1.23"/>
    <n v="1.64"/>
    <n v="2.12"/>
    <n v="0.95"/>
    <n v="1.31"/>
    <n v="1.21"/>
    <n v="0.82"/>
    <n v="1"/>
    <n v="1.21"/>
    <n v="1"/>
    <n v="0.88"/>
    <n v="1"/>
    <n v="0.61"/>
    <n v="1"/>
    <n v="0.89"/>
    <n v="1"/>
    <n v="1"/>
    <n v="1"/>
    <n v="1"/>
    <n v="125.15571478849915"/>
    <n v="0"/>
    <s v="PASS"/>
    <n v="0"/>
    <x v="0"/>
  </r>
  <r>
    <s v="P0249"/>
    <d v="2026-03-13T00:00:00"/>
    <s v="Collision"/>
    <s v="55-64"/>
    <n v="5"/>
    <n v="0"/>
    <s v="Yes (Low Score)"/>
    <s v="5,000-8,499"/>
    <s v="West Hollywood (90046)"/>
    <s v="$150,000+"/>
    <s v="No"/>
    <s v="No"/>
    <s v="No"/>
    <s v="No"/>
    <s v="Yes"/>
    <s v="No"/>
    <s v="Yes (High)"/>
    <s v="No"/>
    <s v="No"/>
    <s v="No"/>
    <s v="No"/>
    <s v="No"/>
    <s v="No"/>
    <n v="1239.6777941946266"/>
    <n v="453"/>
    <n v="1.1200000000000001"/>
    <n v="1.07"/>
    <n v="1"/>
    <n v="0.95"/>
    <n v="0.93"/>
    <n v="1.18"/>
    <n v="2.87"/>
    <n v="1"/>
    <n v="1"/>
    <n v="1"/>
    <n v="1"/>
    <n v="0.72"/>
    <n v="1"/>
    <n v="1"/>
    <n v="1"/>
    <n v="1"/>
    <n v="1"/>
    <n v="1"/>
    <n v="1.06"/>
    <n v="1239.6777941946266"/>
    <n v="0"/>
    <s v="PASS"/>
    <n v="0"/>
    <x v="0"/>
  </r>
  <r>
    <s v="P0250"/>
    <d v="2025-06-16T00:00:00"/>
    <s v="Uninsured Motorist"/>
    <s v="16-24"/>
    <n v="5"/>
    <n v="0"/>
    <s v="No"/>
    <s v="17,000+"/>
    <s v="Santa Ana (92702)"/>
    <s v="$85,000-$149,999"/>
    <s v="No"/>
    <s v="No"/>
    <s v="No"/>
    <s v="No"/>
    <s v="No"/>
    <s v="Yes"/>
    <s v="No"/>
    <s v="Yes (Medium)"/>
    <s v="No"/>
    <s v="Yes"/>
    <s v="No"/>
    <s v="No"/>
    <s v="Yes"/>
    <n v="184.82869016558368"/>
    <n v="78"/>
    <n v="1.32"/>
    <n v="1.07"/>
    <n v="1"/>
    <n v="1"/>
    <n v="1.31"/>
    <n v="1.02"/>
    <n v="2.02"/>
    <n v="1"/>
    <n v="1"/>
    <n v="1"/>
    <n v="1"/>
    <n v="1"/>
    <n v="0.72"/>
    <n v="1"/>
    <n v="0.89"/>
    <n v="1"/>
    <n v="1"/>
    <n v="0.97"/>
    <n v="1"/>
    <n v="184.82869016558368"/>
    <n v="0"/>
    <s v="PASS"/>
    <n v="0"/>
    <x v="0"/>
  </r>
  <r>
    <s v="P0251"/>
    <d v="2026-01-09T00:00:00"/>
    <s v="Comprehensive"/>
    <s v="65+"/>
    <n v="2"/>
    <n v="1"/>
    <s v="No"/>
    <s v="13,500-16,999"/>
    <s v="Koreatown (90006)"/>
    <s v="$15,000-$24,999"/>
    <s v="No"/>
    <s v="Yes"/>
    <s v="No"/>
    <s v="Yes"/>
    <s v="Yes"/>
    <s v="No"/>
    <s v="Yes (High)"/>
    <s v="No"/>
    <s v="No"/>
    <s v="No"/>
    <s v="No"/>
    <s v="No"/>
    <s v="No"/>
    <n v="363.84008089292837"/>
    <n v="121"/>
    <n v="1.27"/>
    <n v="1.41"/>
    <n v="1.34"/>
    <n v="1"/>
    <n v="1.18"/>
    <n v="1.21"/>
    <n v="1.08"/>
    <n v="1"/>
    <n v="1.21"/>
    <n v="1"/>
    <n v="0.88"/>
    <n v="0.72"/>
    <n v="1"/>
    <n v="1"/>
    <n v="1"/>
    <n v="1"/>
    <n v="1"/>
    <n v="1"/>
    <n v="1.06"/>
    <n v="363.84008089292837"/>
    <n v="0"/>
    <s v="PASS"/>
    <n v="0"/>
    <x v="0"/>
  </r>
  <r>
    <s v="P0252"/>
    <d v="2025-12-22T00:00:00"/>
    <s v="Collision"/>
    <s v="55-64"/>
    <s v="8+"/>
    <n v="3"/>
    <s v="No"/>
    <s v="0-4,999"/>
    <s v="Hollywood (90028)"/>
    <s v="$150,000+"/>
    <s v="No"/>
    <s v="No"/>
    <s v="No"/>
    <s v="No"/>
    <s v="Yes"/>
    <s v="No"/>
    <s v="Yes (High)"/>
    <s v="No"/>
    <s v="No"/>
    <s v="Yes"/>
    <s v="No"/>
    <s v="Yes"/>
    <s v="No"/>
    <n v="1448.6505258874331"/>
    <n v="453"/>
    <n v="1.1200000000000001"/>
    <n v="0.93"/>
    <n v="1.82"/>
    <n v="1"/>
    <n v="0.82"/>
    <n v="1.19"/>
    <n v="2.87"/>
    <n v="1"/>
    <n v="1"/>
    <n v="1"/>
    <n v="1"/>
    <n v="0.72"/>
    <n v="1"/>
    <n v="1"/>
    <n v="0.89"/>
    <n v="1"/>
    <n v="0.94"/>
    <n v="1"/>
    <n v="1"/>
    <n v="1448.6505258874331"/>
    <n v="0"/>
    <s v="PASS"/>
    <n v="0"/>
    <x v="0"/>
  </r>
  <r>
    <s v="P0253"/>
    <d v="2026-04-02T00:00:00"/>
    <s v="Uninsured Motorist"/>
    <s v="35-44"/>
    <n v="7"/>
    <n v="1"/>
    <s v="No"/>
    <s v="8,500-13,499"/>
    <s v="Costa Mesa (92626)"/>
    <s v="$15,000-$24,999"/>
    <s v="No"/>
    <s v="Yes"/>
    <s v="No"/>
    <s v="Yes"/>
    <s v="No"/>
    <s v="Yes"/>
    <s v="No"/>
    <s v="Yes (Medium)"/>
    <s v="No"/>
    <s v="No"/>
    <s v="Yes"/>
    <s v="No"/>
    <s v="No"/>
    <n v="74.563097622299324"/>
    <n v="78"/>
    <n v="1"/>
    <n v="0.95"/>
    <n v="1.34"/>
    <n v="1"/>
    <n v="1"/>
    <n v="0.92"/>
    <n v="1.08"/>
    <n v="1"/>
    <n v="1.21"/>
    <n v="1"/>
    <n v="0.88"/>
    <n v="1"/>
    <n v="0.72"/>
    <n v="1"/>
    <n v="1"/>
    <n v="0.93"/>
    <n v="1"/>
    <n v="1"/>
    <n v="1.06"/>
    <n v="74.563097622299324"/>
    <n v="0"/>
    <s v="PASS"/>
    <n v="0"/>
    <x v="0"/>
  </r>
  <r>
    <s v="P0254"/>
    <d v="2025-09-08T00:00:00"/>
    <s v="Comprehensive"/>
    <s v="55-64"/>
    <s v="8+"/>
    <n v="1"/>
    <s v="No"/>
    <s v="17,000+"/>
    <s v="Culver City (90066)"/>
    <s v="$5,000-$14,999"/>
    <s v="No"/>
    <s v="No"/>
    <s v="No"/>
    <s v="No"/>
    <s v="Yes"/>
    <s v="No"/>
    <s v="Yes (Low)"/>
    <s v="No"/>
    <s v="No"/>
    <s v="No"/>
    <s v="Yes"/>
    <s v="No"/>
    <s v="No"/>
    <n v="218.04120025174879"/>
    <n v="121"/>
    <n v="1.1200000000000001"/>
    <n v="0.93"/>
    <n v="1.34"/>
    <n v="1"/>
    <n v="1.31"/>
    <n v="1.1499999999999999"/>
    <n v="0.97"/>
    <n v="1"/>
    <n v="1"/>
    <n v="1"/>
    <n v="1"/>
    <n v="0.95"/>
    <n v="1"/>
    <n v="1"/>
    <n v="1"/>
    <n v="0.93"/>
    <n v="1"/>
    <n v="1"/>
    <n v="1"/>
    <n v="218.04120025174879"/>
    <n v="0"/>
    <s v="PASS"/>
    <n v="0"/>
    <x v="0"/>
  </r>
  <r>
    <s v="P0255"/>
    <d v="2026-02-16T00:00:00"/>
    <s v="Liability"/>
    <s v="35-44"/>
    <n v="1"/>
    <s v="5+"/>
    <s v="Yes (Medium Score)"/>
    <s v="8,500-13,499"/>
    <s v="Irvine (92602)"/>
    <s v="$85,000-$149,999"/>
    <s v="No"/>
    <s v="No"/>
    <s v="No"/>
    <s v="No"/>
    <s v="No"/>
    <s v="Yes"/>
    <s v="No"/>
    <s v="Yes (Low)"/>
    <s v="No"/>
    <s v="No"/>
    <s v="No"/>
    <s v="No"/>
    <s v="No"/>
    <n v="2869.6883897653511"/>
    <n v="622"/>
    <n v="1"/>
    <n v="1.64"/>
    <n v="2.4700000000000002"/>
    <n v="0.8"/>
    <n v="1"/>
    <n v="1.0900000000000001"/>
    <n v="2.02"/>
    <n v="1"/>
    <n v="1"/>
    <n v="1"/>
    <n v="1"/>
    <n v="1"/>
    <n v="0.61"/>
    <n v="1"/>
    <n v="1"/>
    <n v="1"/>
    <n v="1"/>
    <n v="1"/>
    <n v="1.06"/>
    <n v="2869.6883897653511"/>
    <n v="0"/>
    <s v="PASS"/>
    <n v="0"/>
    <x v="0"/>
  </r>
  <r>
    <s v="P0256"/>
    <d v="2025-12-29T00:00:00"/>
    <s v="Collision"/>
    <s v="35-44"/>
    <s v="8+"/>
    <n v="1"/>
    <s v="No"/>
    <s v="8,500-13,499"/>
    <s v="Orange (92705)"/>
    <s v="$25,000-$44,999"/>
    <s v="No"/>
    <s v="No"/>
    <s v="No"/>
    <s v="Yes"/>
    <s v="Yes"/>
    <s v="No"/>
    <s v="Yes (High)"/>
    <s v="No"/>
    <s v="No"/>
    <s v="No"/>
    <s v="Yes"/>
    <s v="No"/>
    <s v="No"/>
    <n v="434.30437819219981"/>
    <n v="453"/>
    <n v="1"/>
    <n v="0.93"/>
    <n v="1.34"/>
    <n v="1"/>
    <n v="1"/>
    <n v="1.02"/>
    <n v="1.28"/>
    <n v="1"/>
    <n v="1"/>
    <n v="1"/>
    <n v="0.88"/>
    <n v="0.72"/>
    <n v="1"/>
    <n v="1"/>
    <n v="1"/>
    <n v="0.93"/>
    <n v="1"/>
    <n v="1"/>
    <n v="1"/>
    <n v="434.30437819219981"/>
    <n v="0"/>
    <s v="PASS"/>
    <n v="0"/>
    <x v="0"/>
  </r>
  <r>
    <s v="P0257"/>
    <d v="2026-04-21T00:00:00"/>
    <s v="Liability"/>
    <s v="55-64"/>
    <n v="5"/>
    <n v="2"/>
    <s v="Yes (Medium Score)"/>
    <s v="5,000-8,499"/>
    <s v="Newport Beach (92603)"/>
    <s v="$0-$4,999"/>
    <s v="No"/>
    <s v="No"/>
    <s v="Yes"/>
    <s v="Yes"/>
    <s v="No"/>
    <s v="Yes"/>
    <s v="No"/>
    <s v="Yes (Low)"/>
    <s v="No"/>
    <s v="No"/>
    <s v="Yes"/>
    <s v="No"/>
    <s v="No"/>
    <n v="406.72215966527961"/>
    <n v="622"/>
    <n v="1.1200000000000001"/>
    <n v="1.07"/>
    <n v="1.55"/>
    <n v="0.8"/>
    <n v="0.93"/>
    <n v="0.94"/>
    <n v="0.82"/>
    <n v="1"/>
    <n v="1"/>
    <n v="1.1599999999999999"/>
    <n v="0.88"/>
    <n v="1"/>
    <n v="0.61"/>
    <n v="1"/>
    <n v="1"/>
    <n v="0.93"/>
    <n v="1"/>
    <n v="1"/>
    <n v="1.06"/>
    <n v="406.72215966527961"/>
    <n v="0"/>
    <s v="PASS"/>
    <n v="0"/>
    <x v="0"/>
  </r>
  <r>
    <s v="P0258"/>
    <d v="2025-06-28T00:00:00"/>
    <s v="Comprehensive"/>
    <s v="16-24"/>
    <n v="5"/>
    <n v="3"/>
    <s v="No"/>
    <s v="0-4,999"/>
    <s v="Long Beach (90712)"/>
    <s v="$45,000-$84,999"/>
    <s v="No"/>
    <s v="Yes"/>
    <s v="No"/>
    <s v="Yes"/>
    <s v="Yes"/>
    <s v="No"/>
    <s v="Yes (High)"/>
    <s v="No"/>
    <s v="No"/>
    <s v="No"/>
    <s v="No"/>
    <s v="No"/>
    <s v="No"/>
    <n v="343.83219008405513"/>
    <n v="121"/>
    <n v="1.32"/>
    <n v="1.07"/>
    <n v="1.82"/>
    <n v="1"/>
    <n v="0.82"/>
    <n v="1.1200000000000001"/>
    <n v="1.57"/>
    <n v="1"/>
    <n v="1.21"/>
    <n v="1"/>
    <n v="0.88"/>
    <n v="0.72"/>
    <n v="1"/>
    <n v="1"/>
    <n v="1"/>
    <n v="1"/>
    <n v="1"/>
    <n v="1"/>
    <n v="1"/>
    <n v="343.83219008405513"/>
    <n v="0"/>
    <s v="PASS"/>
    <n v="0"/>
    <x v="0"/>
  </r>
  <r>
    <s v="P0259"/>
    <d v="2025-11-11T00:00:00"/>
    <s v="Liability"/>
    <s v="25-34"/>
    <n v="7"/>
    <n v="1"/>
    <s v="No"/>
    <s v="0-4,999"/>
    <s v="Torrance (90248)"/>
    <s v="$45,000-$84,999"/>
    <s v="No"/>
    <s v="No"/>
    <s v="Yes"/>
    <s v="Yes"/>
    <s v="No"/>
    <s v="Yes"/>
    <s v="No"/>
    <s v="Yes (High)"/>
    <s v="No"/>
    <s v="No"/>
    <s v="No"/>
    <s v="No"/>
    <s v="No"/>
    <n v="1204.1355397859431"/>
    <n v="622"/>
    <n v="1.23"/>
    <n v="0.95"/>
    <n v="1.34"/>
    <n v="1"/>
    <n v="0.82"/>
    <n v="1.1200000000000001"/>
    <n v="1.57"/>
    <n v="1"/>
    <n v="1"/>
    <n v="1.1599999999999999"/>
    <n v="0.88"/>
    <n v="1"/>
    <n v="0.84"/>
    <n v="1"/>
    <n v="1"/>
    <n v="1"/>
    <n v="1"/>
    <n v="1"/>
    <n v="1"/>
    <n v="1204.1355397859431"/>
    <n v="0"/>
    <s v="PASS"/>
    <n v="0"/>
    <x v="0"/>
  </r>
  <r>
    <s v="P0260"/>
    <d v="2025-07-21T00:00:00"/>
    <s v="Liability"/>
    <s v="65+"/>
    <n v="1"/>
    <n v="2"/>
    <s v="No"/>
    <s v="5,000-8,499"/>
    <s v="Costa Mesa (92626)"/>
    <s v="$150,000+"/>
    <s v="No"/>
    <s v="Yes"/>
    <s v="No"/>
    <s v="No"/>
    <s v="No"/>
    <s v="Yes"/>
    <s v="No"/>
    <s v="Yes (Low)"/>
    <s v="No"/>
    <s v="Yes"/>
    <s v="Yes"/>
    <s v="No"/>
    <s v="No"/>
    <n v="3012.3850598900472"/>
    <n v="622"/>
    <n v="1.27"/>
    <n v="1.64"/>
    <n v="1.55"/>
    <n v="1"/>
    <n v="0.93"/>
    <n v="0.92"/>
    <n v="2.87"/>
    <n v="1"/>
    <n v="1.21"/>
    <n v="1"/>
    <n v="1"/>
    <n v="1"/>
    <n v="0.61"/>
    <n v="1"/>
    <n v="0.89"/>
    <n v="0.93"/>
    <n v="1"/>
    <n v="1"/>
    <n v="1"/>
    <n v="3012.3850598900472"/>
    <n v="0"/>
    <s v="PASS"/>
    <n v="0"/>
    <x v="0"/>
  </r>
  <r>
    <s v="P0261"/>
    <d v="2025-05-30T00:00:00"/>
    <s v="Rental Car Reinbursement"/>
    <s v="16-24"/>
    <n v="7"/>
    <n v="0"/>
    <s v="No"/>
    <s v="17,000+"/>
    <s v="Silverlake (90026 )"/>
    <s v="$0-$4,999"/>
    <s v="No"/>
    <s v="No"/>
    <s v="Yes"/>
    <s v="Yes"/>
    <s v="No"/>
    <s v="Yes"/>
    <s v="No"/>
    <s v="Yes (Low)"/>
    <s v="No"/>
    <s v="No"/>
    <s v="No"/>
    <s v="Yes"/>
    <s v="Yes"/>
    <n v="36.374297519022186"/>
    <n v="41"/>
    <n v="1.32"/>
    <n v="0.95"/>
    <n v="1"/>
    <n v="1"/>
    <n v="1.31"/>
    <n v="1.1599999999999999"/>
    <n v="0.82"/>
    <n v="1"/>
    <n v="1"/>
    <n v="1.1599999999999999"/>
    <n v="0.88"/>
    <n v="1"/>
    <n v="0.61"/>
    <n v="1"/>
    <n v="1"/>
    <n v="1"/>
    <n v="0.94"/>
    <n v="0.97"/>
    <n v="1"/>
    <n v="36.374297519022186"/>
    <n v="0"/>
    <s v="PASS"/>
    <n v="0"/>
    <x v="0"/>
  </r>
  <r>
    <s v="P0262"/>
    <d v="2026-03-14T00:00:00"/>
    <s v="Uninsured Motorist"/>
    <s v="35-44"/>
    <n v="3"/>
    <n v="1"/>
    <s v="No"/>
    <s v="0-4,999"/>
    <s v="Hawthorne (90250)"/>
    <s v="$25,000-$44,999"/>
    <s v="No"/>
    <s v="No"/>
    <s v="No"/>
    <s v="Yes"/>
    <s v="No"/>
    <s v="Yes"/>
    <s v="No"/>
    <s v="Yes (Medium)"/>
    <s v="No"/>
    <s v="No"/>
    <s v="No"/>
    <s v="No"/>
    <s v="No"/>
    <n v="97.978454698858897"/>
    <n v="78"/>
    <n v="1"/>
    <n v="1.22"/>
    <n v="1.34"/>
    <n v="1"/>
    <n v="0.82"/>
    <n v="1.0900000000000001"/>
    <n v="1.28"/>
    <n v="1"/>
    <n v="1"/>
    <n v="1"/>
    <n v="0.88"/>
    <n v="1"/>
    <n v="0.72"/>
    <n v="1"/>
    <n v="1"/>
    <n v="1"/>
    <n v="1"/>
    <n v="1"/>
    <n v="1.06"/>
    <n v="97.978454698858897"/>
    <n v="0"/>
    <s v="PASS"/>
    <n v="0"/>
    <x v="0"/>
  </r>
  <r>
    <s v="P0263"/>
    <d v="2025-05-17T00:00:00"/>
    <s v="Uninsured Motorist"/>
    <s v="25-34"/>
    <n v="2"/>
    <n v="2"/>
    <s v="Yes (Low Score)"/>
    <s v="0-4,999"/>
    <s v="Anaheim (92801)"/>
    <s v="$5,000-$14,999"/>
    <s v="No"/>
    <s v="No"/>
    <s v="No"/>
    <s v="Yes"/>
    <s v="No"/>
    <s v="Yes"/>
    <s v="No"/>
    <s v="Yes (Low)"/>
    <s v="No"/>
    <s v="Yes"/>
    <s v="Yes"/>
    <s v="No"/>
    <s v="No"/>
    <n v="78.139055611989917"/>
    <n v="78"/>
    <n v="1.23"/>
    <n v="1.41"/>
    <n v="1.55"/>
    <n v="0.95"/>
    <n v="0.82"/>
    <n v="1.1100000000000001"/>
    <n v="0.97"/>
    <n v="1"/>
    <n v="1"/>
    <n v="1"/>
    <n v="0.88"/>
    <n v="1"/>
    <n v="0.61"/>
    <n v="1"/>
    <n v="0.89"/>
    <n v="0.93"/>
    <n v="1"/>
    <n v="1"/>
    <n v="1"/>
    <n v="78.139055611989917"/>
    <n v="0"/>
    <s v="PASS"/>
    <n v="0"/>
    <x v="0"/>
  </r>
  <r>
    <s v="P0264"/>
    <d v="2025-07-14T00:00:00"/>
    <s v="Liability"/>
    <s v="16-24"/>
    <n v="5"/>
    <n v="3"/>
    <s v="No"/>
    <s v="17,000+"/>
    <s v="Long Beach (90712)"/>
    <s v="$150,000+"/>
    <s v="No"/>
    <s v="No"/>
    <s v="No"/>
    <s v="No"/>
    <s v="No"/>
    <s v="Yes"/>
    <s v="No"/>
    <s v="Yes (High)"/>
    <s v="No"/>
    <s v="Yes"/>
    <s v="Yes"/>
    <s v="No"/>
    <s v="No"/>
    <n v="4681.0463124325343"/>
    <n v="622"/>
    <n v="1.32"/>
    <n v="1.07"/>
    <n v="1.82"/>
    <n v="1"/>
    <n v="1.31"/>
    <n v="1.1200000000000001"/>
    <n v="2.87"/>
    <n v="1"/>
    <n v="1"/>
    <n v="1"/>
    <n v="1"/>
    <n v="1"/>
    <n v="0.84"/>
    <n v="1"/>
    <n v="0.89"/>
    <n v="0.93"/>
    <n v="1"/>
    <n v="1"/>
    <n v="1"/>
    <n v="4681.0463124325343"/>
    <n v="0"/>
    <s v="PASS"/>
    <n v="0"/>
    <x v="0"/>
  </r>
  <r>
    <s v="P0265"/>
    <d v="2026-04-17T00:00:00"/>
    <s v="Liability"/>
    <s v="35-44"/>
    <n v="7"/>
    <n v="1"/>
    <s v="Yes (High Score)"/>
    <s v="13,500-16,999"/>
    <s v="Westminster (92655)"/>
    <s v="$85,000-$149,999"/>
    <s v="No"/>
    <s v="No"/>
    <s v="No"/>
    <s v="No"/>
    <s v="No"/>
    <s v="Yes"/>
    <s v="No"/>
    <s v="Yes (Medium)"/>
    <s v="No"/>
    <s v="Yes"/>
    <s v="No"/>
    <s v="No"/>
    <s v="No"/>
    <n v="908.28133166720181"/>
    <n v="622"/>
    <n v="1"/>
    <n v="0.95"/>
    <n v="1.34"/>
    <n v="0.65"/>
    <n v="1.18"/>
    <n v="1.0900000000000001"/>
    <n v="2.02"/>
    <n v="1"/>
    <n v="1"/>
    <n v="1"/>
    <n v="1"/>
    <n v="1"/>
    <n v="0.72"/>
    <n v="1"/>
    <n v="0.89"/>
    <n v="1"/>
    <n v="1"/>
    <n v="1"/>
    <n v="1.06"/>
    <n v="908.28133166720181"/>
    <n v="0"/>
    <s v="PASS"/>
    <n v="0"/>
    <x v="0"/>
  </r>
  <r>
    <s v="P0266"/>
    <d v="2025-06-22T00:00:00"/>
    <s v="Comprehensive"/>
    <s v="55-64"/>
    <n v="2"/>
    <n v="4"/>
    <s v="No"/>
    <s v="5,000-8,499"/>
    <s v="Huntington Beach (90742)"/>
    <s v="$25,000-$44,999"/>
    <s v="No"/>
    <s v="No"/>
    <s v="No"/>
    <s v="No"/>
    <s v="Yes"/>
    <s v="No"/>
    <s v="Yes (Medium)"/>
    <s v="No"/>
    <s v="No"/>
    <s v="No"/>
    <s v="No"/>
    <s v="No"/>
    <s v="No"/>
    <n v="396.96904867479554"/>
    <n v="121"/>
    <n v="1.1200000000000001"/>
    <n v="1.41"/>
    <n v="2.12"/>
    <n v="1"/>
    <n v="0.93"/>
    <n v="0.98"/>
    <n v="1.28"/>
    <n v="1"/>
    <n v="1"/>
    <n v="1"/>
    <n v="1"/>
    <n v="0.84"/>
    <n v="1"/>
    <n v="1"/>
    <n v="1"/>
    <n v="1"/>
    <n v="1"/>
    <n v="1"/>
    <n v="1"/>
    <n v="396.96904867479554"/>
    <n v="0"/>
    <s v="PASS"/>
    <n v="0"/>
    <x v="0"/>
  </r>
  <r>
    <s v="P0267"/>
    <d v="2025-08-01T00:00:00"/>
    <s v="Comprehensive"/>
    <s v="25-34"/>
    <n v="4"/>
    <n v="0"/>
    <s v="No"/>
    <s v="5,000-8,499"/>
    <s v="Santa Ana (92702)"/>
    <s v="$0-$4,999"/>
    <s v="No"/>
    <s v="No"/>
    <s v="No"/>
    <s v="Yes"/>
    <s v="Yes"/>
    <s v="No"/>
    <s v="Yes (High)"/>
    <s v="No"/>
    <s v="No"/>
    <s v="No"/>
    <s v="No"/>
    <s v="Yes"/>
    <s v="No"/>
    <n v="79.291807325888229"/>
    <n v="121"/>
    <n v="1.23"/>
    <n v="1.1499999999999999"/>
    <n v="1"/>
    <n v="1"/>
    <n v="0.93"/>
    <n v="1.02"/>
    <n v="0.82"/>
    <n v="1"/>
    <n v="1"/>
    <n v="1"/>
    <n v="0.88"/>
    <n v="0.72"/>
    <n v="1"/>
    <n v="1"/>
    <n v="1"/>
    <n v="1"/>
    <n v="0.94"/>
    <n v="1"/>
    <n v="1"/>
    <n v="79.291807325888229"/>
    <n v="0"/>
    <s v="PASS"/>
    <n v="0"/>
    <x v="0"/>
  </r>
  <r>
    <s v="P0268"/>
    <d v="2025-11-05T00:00:00"/>
    <s v="Collision"/>
    <s v="55-64"/>
    <n v="6"/>
    <n v="2"/>
    <s v="Yes (Low Score)"/>
    <s v="8,500-13,499"/>
    <s v="Anaheim (92801)"/>
    <s v="$25,000-$44,999"/>
    <s v="No"/>
    <s v="No"/>
    <s v="No"/>
    <s v="No"/>
    <s v="Yes"/>
    <s v="No"/>
    <s v="Yes (Low)"/>
    <s v="No"/>
    <s v="No"/>
    <s v="No"/>
    <s v="Yes"/>
    <s v="No"/>
    <s v="No"/>
    <n v="937.80173184768012"/>
    <n v="453"/>
    <n v="1.1200000000000001"/>
    <n v="1"/>
    <n v="1.55"/>
    <n v="0.95"/>
    <n v="1"/>
    <n v="1.1100000000000001"/>
    <n v="1.28"/>
    <n v="1"/>
    <n v="1"/>
    <n v="1"/>
    <n v="1"/>
    <n v="0.95"/>
    <n v="1"/>
    <n v="1"/>
    <n v="1"/>
    <n v="0.93"/>
    <n v="1"/>
    <n v="1"/>
    <n v="1"/>
    <n v="937.80173184768012"/>
    <n v="0"/>
    <s v="PASS"/>
    <n v="0"/>
    <x v="0"/>
  </r>
  <r>
    <s v="P0269"/>
    <d v="2025-06-10T00:00:00"/>
    <s v="Liability"/>
    <s v="25-34"/>
    <n v="6"/>
    <n v="3"/>
    <s v="No"/>
    <s v="5,000-8,499"/>
    <s v="Lake Forrest (92609)"/>
    <s v="$45,000-$84,999"/>
    <s v="No"/>
    <s v="No"/>
    <s v="No"/>
    <s v="No"/>
    <s v="No"/>
    <s v="Yes"/>
    <s v="No"/>
    <s v="Yes (Medium)"/>
    <s v="Yes"/>
    <s v="No"/>
    <s v="Yes"/>
    <s v="No"/>
    <s v="No"/>
    <n v="1189.8065699156409"/>
    <n v="622"/>
    <n v="1.23"/>
    <n v="1"/>
    <n v="1.82"/>
    <n v="1"/>
    <n v="0.93"/>
    <n v="0.95"/>
    <n v="1.57"/>
    <n v="1"/>
    <n v="1"/>
    <n v="1"/>
    <n v="1"/>
    <n v="1"/>
    <n v="0.72"/>
    <n v="0.92"/>
    <n v="1"/>
    <n v="0.93"/>
    <n v="1"/>
    <n v="1"/>
    <n v="1"/>
    <n v="1189.8065699156409"/>
    <n v="0"/>
    <s v="PASS"/>
    <n v="0"/>
    <x v="0"/>
  </r>
  <r>
    <s v="P0270"/>
    <d v="2026-02-01T00:00:00"/>
    <s v="Rental Car Reinbursement"/>
    <s v="16-24"/>
    <s v="8+"/>
    <n v="0"/>
    <s v="No"/>
    <s v="17,000+"/>
    <s v="Culver City (90066)"/>
    <s v="$0-$4,999"/>
    <s v="No"/>
    <s v="No"/>
    <s v="No"/>
    <s v="No"/>
    <s v="No"/>
    <s v="Yes"/>
    <s v="No"/>
    <s v="Yes (High)"/>
    <s v="No"/>
    <s v="Yes"/>
    <s v="No"/>
    <s v="No"/>
    <s v="No"/>
    <n v="49.271851576731187"/>
    <n v="41"/>
    <n v="1.32"/>
    <n v="0.93"/>
    <n v="1"/>
    <n v="1"/>
    <n v="1.31"/>
    <n v="1.1499999999999999"/>
    <n v="0.82"/>
    <n v="1"/>
    <n v="1"/>
    <n v="1"/>
    <n v="1"/>
    <n v="1"/>
    <n v="0.84"/>
    <n v="1"/>
    <n v="0.89"/>
    <n v="1"/>
    <n v="1"/>
    <n v="1"/>
    <n v="1.06"/>
    <n v="49.271851576731187"/>
    <n v="0"/>
    <s v="PASS"/>
    <n v="0"/>
    <x v="0"/>
  </r>
  <r>
    <s v="P0271"/>
    <d v="2026-03-20T00:00:00"/>
    <s v="Liability"/>
    <s v="55-64"/>
    <n v="6"/>
    <n v="1"/>
    <s v="Yes (High Score)"/>
    <s v="17,000+"/>
    <s v="DTLA (90012)"/>
    <s v="$25,000-$44,999"/>
    <s v="No"/>
    <s v="No"/>
    <s v="No"/>
    <s v="Yes"/>
    <s v="No"/>
    <s v="Yes"/>
    <s v="No"/>
    <s v="Yes (Low)"/>
    <s v="Yes"/>
    <s v="No"/>
    <s v="No"/>
    <s v="No"/>
    <s v="Yes"/>
    <n v="650.96300354396647"/>
    <n v="622"/>
    <n v="1.1200000000000001"/>
    <n v="1"/>
    <n v="1.34"/>
    <n v="0.65"/>
    <n v="1.31"/>
    <n v="1.26"/>
    <n v="1.28"/>
    <n v="1"/>
    <n v="1"/>
    <n v="1"/>
    <n v="0.88"/>
    <n v="1"/>
    <n v="0.61"/>
    <n v="0.92"/>
    <n v="1"/>
    <n v="1"/>
    <n v="1"/>
    <n v="0.97"/>
    <n v="1.06"/>
    <n v="650.96300354396647"/>
    <n v="0"/>
    <s v="PASS"/>
    <n v="0"/>
    <x v="0"/>
  </r>
  <r>
    <s v="P0272"/>
    <d v="2025-10-28T00:00:00"/>
    <s v="Uninsured Motorist"/>
    <s v="25-34"/>
    <n v="7"/>
    <n v="1"/>
    <s v="Yes (High Score)"/>
    <s v="8,500-13,499"/>
    <s v="Newport Beach (92603)"/>
    <s v="$85,000-$149,999"/>
    <s v="Yes"/>
    <s v="No"/>
    <s v="Yes"/>
    <s v="Yes"/>
    <s v="No"/>
    <s v="Yes"/>
    <s v="No"/>
    <s v="Yes (High)"/>
    <s v="No"/>
    <s v="Yes"/>
    <s v="No"/>
    <s v="No"/>
    <s v="No"/>
    <n v="147.24502198267098"/>
    <n v="78"/>
    <n v="1.23"/>
    <n v="0.95"/>
    <n v="1.34"/>
    <n v="0.65"/>
    <n v="1"/>
    <n v="0.94"/>
    <n v="2.02"/>
    <n v="1.28"/>
    <n v="1"/>
    <n v="1.1599999999999999"/>
    <n v="0.88"/>
    <n v="1"/>
    <n v="0.84"/>
    <n v="1"/>
    <n v="0.89"/>
    <n v="1"/>
    <n v="1"/>
    <n v="1"/>
    <n v="1"/>
    <n v="147.24502198267098"/>
    <n v="0"/>
    <s v="PASS"/>
    <n v="0"/>
    <x v="0"/>
  </r>
  <r>
    <s v="P0273"/>
    <d v="2026-02-21T00:00:00"/>
    <s v="Liability"/>
    <s v="65+"/>
    <n v="4"/>
    <n v="1"/>
    <s v="Yes (Medium Score)"/>
    <s v="5,000-8,499"/>
    <s v="Fountain Valley (92708)"/>
    <s v="$150,000+"/>
    <s v="No"/>
    <s v="No"/>
    <s v="No"/>
    <s v="No"/>
    <s v="No"/>
    <s v="Yes"/>
    <s v="No"/>
    <s v="Yes (Medium)"/>
    <s v="No"/>
    <s v="No"/>
    <s v="Yes"/>
    <s v="No"/>
    <s v="No"/>
    <n v="2121.6352737408492"/>
    <n v="622"/>
    <n v="1.27"/>
    <n v="1.1499999999999999"/>
    <n v="1.34"/>
    <n v="0.8"/>
    <n v="0.93"/>
    <n v="1.1499999999999999"/>
    <n v="2.87"/>
    <n v="1"/>
    <n v="1"/>
    <n v="1"/>
    <n v="1"/>
    <n v="1"/>
    <n v="0.72"/>
    <n v="1"/>
    <n v="1"/>
    <n v="0.93"/>
    <n v="1"/>
    <n v="1"/>
    <n v="1.06"/>
    <n v="2121.6352737408492"/>
    <n v="0"/>
    <s v="PASS"/>
    <n v="0"/>
    <x v="0"/>
  </r>
  <r>
    <s v="P0274"/>
    <d v="2026-03-11T00:00:00"/>
    <s v="Collision"/>
    <s v="25-34"/>
    <n v="6"/>
    <s v="5+"/>
    <s v="Yes (Low Score)"/>
    <s v="13,500-16,999"/>
    <s v="Cypress (90630)"/>
    <s v="$45,000-$84,999"/>
    <s v="No"/>
    <s v="Yes"/>
    <s v="No"/>
    <s v="Yes"/>
    <s v="Yes"/>
    <s v="No"/>
    <s v="Yes (Medium)"/>
    <s v="No"/>
    <s v="No"/>
    <s v="No"/>
    <s v="Yes"/>
    <s v="No"/>
    <s v="No"/>
    <n v="2306.5635757172704"/>
    <n v="453"/>
    <n v="1.23"/>
    <n v="1"/>
    <n v="2.4700000000000002"/>
    <n v="0.95"/>
    <n v="1.18"/>
    <n v="1.08"/>
    <n v="1.57"/>
    <n v="1"/>
    <n v="1.21"/>
    <n v="1"/>
    <n v="0.88"/>
    <n v="0.84"/>
    <n v="1"/>
    <n v="1"/>
    <n v="1"/>
    <n v="0.93"/>
    <n v="1"/>
    <n v="1"/>
    <n v="1.06"/>
    <n v="2306.5635757172704"/>
    <n v="0"/>
    <s v="PASS"/>
    <n v="0"/>
    <x v="0"/>
  </r>
  <r>
    <s v="P0275"/>
    <d v="2025-06-30T00:00:00"/>
    <s v="Liability"/>
    <s v="25-34"/>
    <n v="2"/>
    <n v="0"/>
    <s v="No"/>
    <s v="13,500-16,999"/>
    <s v="Orange (92705)"/>
    <s v="$25,000-$44,999"/>
    <s v="No"/>
    <s v="No"/>
    <s v="No"/>
    <s v="No"/>
    <s v="No"/>
    <s v="Yes"/>
    <s v="No"/>
    <s v="Yes (High)"/>
    <s v="No"/>
    <s v="No"/>
    <s v="Yes"/>
    <s v="Yes"/>
    <s v="No"/>
    <n v="1220.3849570501316"/>
    <n v="622"/>
    <n v="1.23"/>
    <n v="1.41"/>
    <n v="1"/>
    <n v="1"/>
    <n v="1.18"/>
    <n v="1.02"/>
    <n v="1.28"/>
    <n v="1"/>
    <n v="1"/>
    <n v="1"/>
    <n v="1"/>
    <n v="1"/>
    <n v="0.84"/>
    <n v="1"/>
    <n v="1"/>
    <n v="0.93"/>
    <n v="0.94"/>
    <n v="1"/>
    <n v="1"/>
    <n v="1220.3849570501316"/>
    <n v="0"/>
    <s v="PASS"/>
    <n v="0"/>
    <x v="0"/>
  </r>
  <r>
    <s v="P0276"/>
    <d v="2025-08-22T00:00:00"/>
    <s v="Uninsured Motorist"/>
    <s v="65+"/>
    <n v="2"/>
    <n v="0"/>
    <s v="Yes (Low Score)"/>
    <s v="5,000-8,499"/>
    <s v="Fountain Valley (92708)"/>
    <s v="$25,000-$44,999"/>
    <s v="No"/>
    <s v="No"/>
    <s v="No"/>
    <s v="No"/>
    <s v="No"/>
    <s v="Yes"/>
    <s v="No"/>
    <s v="Yes (High)"/>
    <s v="No"/>
    <s v="No"/>
    <s v="No"/>
    <s v="No"/>
    <s v="No"/>
    <n v="152.58473445196799"/>
    <n v="78"/>
    <n v="1.27"/>
    <n v="1.41"/>
    <n v="1"/>
    <n v="0.95"/>
    <n v="0.93"/>
    <n v="1.1499999999999999"/>
    <n v="1.28"/>
    <n v="1"/>
    <n v="1"/>
    <n v="1"/>
    <n v="1"/>
    <n v="1"/>
    <n v="0.84"/>
    <n v="1"/>
    <n v="1"/>
    <n v="1"/>
    <n v="1"/>
    <n v="1"/>
    <n v="1"/>
    <n v="152.58473445196799"/>
    <n v="0"/>
    <s v="PASS"/>
    <n v="0"/>
    <x v="0"/>
  </r>
  <r>
    <s v="P0277"/>
    <d v="2025-09-17T00:00:00"/>
    <s v="Comprehensive"/>
    <s v="35-44"/>
    <n v="5"/>
    <n v="1"/>
    <s v="Yes (Low Score)"/>
    <s v="5,000-8,499"/>
    <s v="Torrance (90248)"/>
    <s v="$15,000-$24,999"/>
    <s v="No"/>
    <s v="Yes"/>
    <s v="No"/>
    <s v="No"/>
    <s v="Yes"/>
    <s v="No"/>
    <s v="Yes (High)"/>
    <s v="No"/>
    <s v="No"/>
    <s v="No"/>
    <s v="No"/>
    <s v="No"/>
    <s v="No"/>
    <n v="161.52514705993883"/>
    <n v="121"/>
    <n v="1"/>
    <n v="1.07"/>
    <n v="1.34"/>
    <n v="0.95"/>
    <n v="0.93"/>
    <n v="1.1200000000000001"/>
    <n v="1.08"/>
    <n v="1"/>
    <n v="1.21"/>
    <n v="1"/>
    <n v="1"/>
    <n v="0.72"/>
    <n v="1"/>
    <n v="1"/>
    <n v="1"/>
    <n v="1"/>
    <n v="1"/>
    <n v="1"/>
    <n v="1"/>
    <n v="161.52514705993883"/>
    <n v="0"/>
    <s v="PASS"/>
    <n v="0"/>
    <x v="0"/>
  </r>
  <r>
    <s v="P0278"/>
    <d v="2025-10-18T00:00:00"/>
    <s v="Collision"/>
    <s v="55-64"/>
    <n v="7"/>
    <n v="1"/>
    <s v="No"/>
    <s v="13,500-16,999"/>
    <s v="Santa Ana (92702)"/>
    <s v="$15,000-$24,999"/>
    <s v="No"/>
    <s v="No"/>
    <s v="No"/>
    <s v="No"/>
    <s v="Yes"/>
    <s v="No"/>
    <s v="Yes (Medium)"/>
    <s v="No"/>
    <s v="Yes"/>
    <s v="Yes"/>
    <s v="No"/>
    <s v="No"/>
    <s v="No"/>
    <n v="577.44108792161921"/>
    <n v="453"/>
    <n v="1.1200000000000001"/>
    <n v="0.95"/>
    <n v="1.34"/>
    <n v="1"/>
    <n v="1.18"/>
    <n v="1.02"/>
    <n v="1.08"/>
    <n v="1"/>
    <n v="1"/>
    <n v="1"/>
    <n v="1"/>
    <n v="0.84"/>
    <n v="1"/>
    <n v="0.92"/>
    <n v="0.89"/>
    <n v="1"/>
    <n v="1"/>
    <n v="1"/>
    <n v="1"/>
    <n v="577.44108792161921"/>
    <n v="0"/>
    <s v="PASS"/>
    <n v="0"/>
    <x v="0"/>
  </r>
  <r>
    <s v="P0279"/>
    <d v="2025-11-06T00:00:00"/>
    <s v="Liability"/>
    <s v="55-64"/>
    <n v="3"/>
    <n v="0"/>
    <s v="No"/>
    <s v="13,500-16,999"/>
    <s v="Lake Forrest (92609)"/>
    <s v="$0-$4,999"/>
    <s v="No"/>
    <s v="Yes"/>
    <s v="No"/>
    <s v="No"/>
    <s v="No"/>
    <s v="Yes"/>
    <s v="No"/>
    <s v="Yes (Medium)"/>
    <s v="No"/>
    <s v="No"/>
    <s v="Yes"/>
    <s v="No"/>
    <s v="No"/>
    <n v="632.97785793024923"/>
    <n v="622"/>
    <n v="1.1200000000000001"/>
    <n v="1.22"/>
    <n v="1"/>
    <n v="1"/>
    <n v="1.18"/>
    <n v="0.95"/>
    <n v="0.82"/>
    <n v="1"/>
    <n v="1.21"/>
    <n v="1"/>
    <n v="1"/>
    <n v="1"/>
    <n v="0.72"/>
    <n v="1"/>
    <n v="1"/>
    <n v="0.93"/>
    <n v="1"/>
    <n v="1"/>
    <n v="1"/>
    <n v="632.97785793024923"/>
    <n v="0"/>
    <s v="PASS"/>
    <n v="0"/>
    <x v="0"/>
  </r>
  <r>
    <s v="P0280"/>
    <d v="2026-04-03T00:00:00"/>
    <s v="Comprehensive"/>
    <s v="55-64"/>
    <s v="8+"/>
    <n v="0"/>
    <s v="No"/>
    <s v="5,000-8,499"/>
    <s v="Orange (92705)"/>
    <s v="$25,000-$44,999"/>
    <s v="No"/>
    <s v="No"/>
    <s v="No"/>
    <s v="No"/>
    <s v="Yes"/>
    <s v="No"/>
    <s v="Yes (High)"/>
    <s v="No"/>
    <s v="No"/>
    <s v="No"/>
    <s v="No"/>
    <s v="Yes"/>
    <s v="No"/>
    <n v="109.78566751396826"/>
    <n v="121"/>
    <n v="1.1200000000000001"/>
    <n v="0.93"/>
    <n v="1"/>
    <n v="1"/>
    <n v="0.93"/>
    <n v="1.02"/>
    <n v="1.28"/>
    <n v="1"/>
    <n v="1"/>
    <n v="1"/>
    <n v="1"/>
    <n v="0.72"/>
    <n v="1"/>
    <n v="1"/>
    <n v="1"/>
    <n v="1"/>
    <n v="0.94"/>
    <n v="1"/>
    <n v="1.06"/>
    <n v="109.78566751396826"/>
    <n v="0"/>
    <s v="PASS"/>
    <n v="0"/>
    <x v="0"/>
  </r>
  <r>
    <s v="P0281"/>
    <d v="2025-12-28T00:00:00"/>
    <s v="Collision"/>
    <s v="65+"/>
    <n v="5"/>
    <n v="0"/>
    <s v="Yes (Medium Score)"/>
    <s v="5,000-8,499"/>
    <s v="Huntington Beach (90742)"/>
    <s v="$0-$4,999"/>
    <s v="No"/>
    <s v="No"/>
    <s v="Yes"/>
    <s v="No"/>
    <s v="Yes"/>
    <s v="No"/>
    <s v="Yes (High)"/>
    <s v="No"/>
    <s v="No"/>
    <s v="No"/>
    <s v="No"/>
    <s v="No"/>
    <s v="No"/>
    <n v="307.38951515788187"/>
    <n v="453"/>
    <n v="1.27"/>
    <n v="1.07"/>
    <n v="1"/>
    <n v="0.8"/>
    <n v="0.93"/>
    <n v="0.98"/>
    <n v="0.82"/>
    <n v="1"/>
    <n v="1"/>
    <n v="1.1599999999999999"/>
    <n v="1"/>
    <n v="0.72"/>
    <n v="1"/>
    <n v="1"/>
    <n v="1"/>
    <n v="1"/>
    <n v="1"/>
    <n v="1"/>
    <n v="1"/>
    <n v="307.38951515788187"/>
    <n v="0"/>
    <s v="PASS"/>
    <n v="0"/>
    <x v="0"/>
  </r>
  <r>
    <s v="P0282"/>
    <d v="2025-11-24T00:00:00"/>
    <s v="Collision"/>
    <s v="25-34"/>
    <s v="8+"/>
    <n v="0"/>
    <s v="Yes (High Score)"/>
    <s v="8,500-13,499"/>
    <s v="Beverly Hills (90035)"/>
    <s v="$150,000+"/>
    <s v="No"/>
    <s v="No"/>
    <s v="No"/>
    <s v="Yes"/>
    <s v="Yes"/>
    <s v="No"/>
    <s v="Yes (Medium)"/>
    <s v="No"/>
    <s v="No"/>
    <s v="Yes"/>
    <s v="No"/>
    <s v="Yes"/>
    <s v="Yes"/>
    <n v="701.64662157018597"/>
    <n v="453"/>
    <n v="1.23"/>
    <n v="0.93"/>
    <n v="1"/>
    <n v="0.65"/>
    <n v="1"/>
    <n v="1.21"/>
    <n v="2.87"/>
    <n v="1"/>
    <n v="1"/>
    <n v="1"/>
    <n v="0.88"/>
    <n v="0.84"/>
    <n v="1"/>
    <n v="1"/>
    <n v="0.89"/>
    <n v="1"/>
    <n v="0.94"/>
    <n v="0.97"/>
    <n v="1"/>
    <n v="701.64662157018597"/>
    <n v="0"/>
    <s v="PASS"/>
    <n v="0"/>
    <x v="0"/>
  </r>
  <r>
    <s v="P0283"/>
    <d v="2025-09-15T00:00:00"/>
    <s v="Liability"/>
    <s v="45-54"/>
    <s v="8+"/>
    <n v="2"/>
    <s v="Yes (Medium Score)"/>
    <s v="13,500-16,999"/>
    <s v="Compton (90220)"/>
    <s v="$85,000-$149,999"/>
    <s v="No"/>
    <s v="Yes"/>
    <s v="Yes"/>
    <s v="Yes"/>
    <s v="No"/>
    <s v="Yes"/>
    <s v="No"/>
    <s v="Yes (Low)"/>
    <s v="Yes"/>
    <s v="No"/>
    <s v="No"/>
    <s v="No"/>
    <s v="No"/>
    <n v="1978.2467697600343"/>
    <n v="622"/>
    <n v="1.07"/>
    <n v="0.93"/>
    <n v="1.55"/>
    <n v="0.8"/>
    <n v="1.18"/>
    <n v="1.56"/>
    <n v="2.02"/>
    <n v="1"/>
    <n v="1.21"/>
    <n v="1.1599999999999999"/>
    <n v="0.88"/>
    <n v="1"/>
    <n v="0.61"/>
    <n v="0.92"/>
    <n v="1"/>
    <n v="1"/>
    <n v="1"/>
    <n v="1"/>
    <n v="1"/>
    <n v="1978.2467697600343"/>
    <n v="0"/>
    <s v="PASS"/>
    <n v="0"/>
    <x v="0"/>
  </r>
  <r>
    <s v="P0284"/>
    <d v="2025-09-27T00:00:00"/>
    <s v="Comprehensive"/>
    <s v="25-34"/>
    <n v="2"/>
    <n v="1"/>
    <s v="No"/>
    <s v="13,500-16,999"/>
    <s v="Torrance (90248)"/>
    <s v="$5,000-$14,999"/>
    <s v="No"/>
    <s v="No"/>
    <s v="No"/>
    <s v="No"/>
    <s v="Yes"/>
    <s v="No"/>
    <s v="Yes (Low)"/>
    <s v="No"/>
    <s v="No"/>
    <s v="Yes"/>
    <s v="Yes"/>
    <s v="No"/>
    <s v="No"/>
    <n v="283.45408323584002"/>
    <n v="121"/>
    <n v="1.23"/>
    <n v="1.41"/>
    <n v="1.34"/>
    <n v="1"/>
    <n v="1.18"/>
    <n v="1.1200000000000001"/>
    <n v="0.97"/>
    <n v="1"/>
    <n v="1"/>
    <n v="1"/>
    <n v="1"/>
    <n v="0.95"/>
    <n v="1"/>
    <n v="1"/>
    <n v="0.89"/>
    <n v="0.93"/>
    <n v="1"/>
    <n v="1"/>
    <n v="1"/>
    <n v="283.45408323584002"/>
    <n v="0"/>
    <s v="PASS"/>
    <n v="0"/>
    <x v="0"/>
  </r>
  <r>
    <s v="P0285"/>
    <d v="2026-01-22T00:00:00"/>
    <s v="Uninsured Motorist"/>
    <s v="16-24"/>
    <n v="3"/>
    <n v="1"/>
    <s v="Yes (Low Score)"/>
    <s v="17,000+"/>
    <s v="Westminster (92655)"/>
    <s v="$25,000-$44,999"/>
    <s v="No"/>
    <s v="Yes"/>
    <s v="No"/>
    <s v="Yes"/>
    <s v="No"/>
    <s v="Yes"/>
    <s v="No"/>
    <s v="Yes (Low)"/>
    <s v="No"/>
    <s v="Yes"/>
    <s v="No"/>
    <s v="No"/>
    <s v="No"/>
    <n v="179.08461634312184"/>
    <n v="78"/>
    <n v="1.32"/>
    <n v="1.22"/>
    <n v="1.34"/>
    <n v="0.95"/>
    <n v="1.31"/>
    <n v="1.0900000000000001"/>
    <n v="1.28"/>
    <n v="1"/>
    <n v="1.21"/>
    <n v="1"/>
    <n v="0.88"/>
    <n v="1"/>
    <n v="0.61"/>
    <n v="1"/>
    <n v="0.89"/>
    <n v="1"/>
    <n v="1"/>
    <n v="1"/>
    <n v="1.06"/>
    <n v="179.08461634312184"/>
    <n v="0"/>
    <s v="PASS"/>
    <n v="0"/>
    <x v="0"/>
  </r>
  <r>
    <s v="P0286"/>
    <d v="2025-11-21T00:00:00"/>
    <s v="Comprehensive"/>
    <s v="65+"/>
    <n v="5"/>
    <n v="1"/>
    <s v="Yes (Low Score)"/>
    <s v="13,500-16,999"/>
    <s v="Fullerton (92832)"/>
    <s v="$5,000-$14,999"/>
    <s v="No"/>
    <s v="No"/>
    <s v="No"/>
    <s v="No"/>
    <s v="Yes"/>
    <s v="No"/>
    <s v="Yes (Low)"/>
    <s v="No"/>
    <s v="No"/>
    <s v="No"/>
    <s v="No"/>
    <s v="No"/>
    <s v="No"/>
    <n v="254.91573409799733"/>
    <n v="121"/>
    <n v="1.27"/>
    <n v="1.07"/>
    <n v="1.34"/>
    <n v="0.95"/>
    <n v="1.18"/>
    <n v="1.1200000000000001"/>
    <n v="0.97"/>
    <n v="1"/>
    <n v="1"/>
    <n v="1"/>
    <n v="1"/>
    <n v="0.95"/>
    <n v="1"/>
    <n v="1"/>
    <n v="1"/>
    <n v="1"/>
    <n v="1"/>
    <n v="1"/>
    <n v="1"/>
    <n v="254.91573409799733"/>
    <n v="0"/>
    <s v="PASS"/>
    <n v="0"/>
    <x v="0"/>
  </r>
  <r>
    <s v="P0287"/>
    <d v="2025-09-19T00:00:00"/>
    <s v="Collision"/>
    <s v="45-54"/>
    <n v="2"/>
    <s v="5+"/>
    <s v="Yes (High Score)"/>
    <s v="0-4,999"/>
    <s v="Torrance (90248)"/>
    <s v="$5,000-$14,999"/>
    <s v="No"/>
    <s v="No"/>
    <s v="No"/>
    <s v="No"/>
    <s v="Yes"/>
    <s v="No"/>
    <s v="Yes (Low)"/>
    <s v="No"/>
    <s v="No"/>
    <s v="Yes"/>
    <s v="No"/>
    <s v="No"/>
    <s v="Yes"/>
    <n v="801.67872381827181"/>
    <n v="453"/>
    <n v="1.07"/>
    <n v="1.41"/>
    <n v="2.4700000000000002"/>
    <n v="0.65"/>
    <n v="0.82"/>
    <n v="1.1200000000000001"/>
    <n v="0.97"/>
    <n v="1"/>
    <n v="1"/>
    <n v="1"/>
    <n v="1"/>
    <n v="0.95"/>
    <n v="1"/>
    <n v="1"/>
    <n v="0.89"/>
    <n v="1"/>
    <n v="1"/>
    <n v="0.97"/>
    <n v="1"/>
    <n v="801.67872381827181"/>
    <n v="0"/>
    <s v="PASS"/>
    <n v="0"/>
    <x v="0"/>
  </r>
  <r>
    <s v="P0288"/>
    <d v="2026-03-14T00:00:00"/>
    <s v="Collision"/>
    <s v="45-54"/>
    <n v="2"/>
    <n v="0"/>
    <s v="No"/>
    <s v="8,500-13,499"/>
    <s v="Fullerton (92832)"/>
    <s v="$25,000-$44,999"/>
    <s v="No"/>
    <s v="No"/>
    <s v="No"/>
    <s v="No"/>
    <s v="Yes"/>
    <s v="No"/>
    <s v="Yes (Low)"/>
    <s v="No"/>
    <s v="No"/>
    <s v="No"/>
    <s v="Yes"/>
    <s v="No"/>
    <s v="Yes"/>
    <n v="890.04760939913035"/>
    <n v="453"/>
    <n v="1.07"/>
    <n v="1.41"/>
    <n v="1"/>
    <n v="1"/>
    <n v="1"/>
    <n v="1.1200000000000001"/>
    <n v="1.28"/>
    <n v="1"/>
    <n v="1"/>
    <n v="1"/>
    <n v="1"/>
    <n v="0.95"/>
    <n v="1"/>
    <n v="1"/>
    <n v="1"/>
    <n v="0.93"/>
    <n v="1"/>
    <n v="0.97"/>
    <n v="1.06"/>
    <n v="890.04760939913035"/>
    <n v="0"/>
    <s v="PASS"/>
    <n v="0"/>
    <x v="0"/>
  </r>
  <r>
    <s v="P0289"/>
    <d v="2025-10-21T00:00:00"/>
    <s v="Rental Car Reinbursement"/>
    <s v="45-54"/>
    <n v="2"/>
    <n v="0"/>
    <s v="Yes (Medium Score)"/>
    <s v="13,500-16,999"/>
    <s v="Compton (90220)"/>
    <s v="$5,000-$14,999"/>
    <s v="No"/>
    <s v="No"/>
    <s v="No"/>
    <s v="Yes"/>
    <s v="No"/>
    <s v="Yes"/>
    <s v="No"/>
    <s v="Yes (High)"/>
    <s v="No"/>
    <s v="Yes"/>
    <s v="No"/>
    <s v="No"/>
    <s v="No"/>
    <n v="58.130898922552127"/>
    <n v="41"/>
    <n v="1.07"/>
    <n v="1.41"/>
    <n v="1"/>
    <n v="0.8"/>
    <n v="1.18"/>
    <n v="1.56"/>
    <n v="0.97"/>
    <n v="1"/>
    <n v="1"/>
    <n v="1"/>
    <n v="0.88"/>
    <n v="1"/>
    <n v="0.84"/>
    <n v="1"/>
    <n v="0.89"/>
    <n v="1"/>
    <n v="1"/>
    <n v="1"/>
    <n v="1"/>
    <n v="58.130898922552127"/>
    <n v="0"/>
    <s v="PASS"/>
    <n v="0"/>
    <x v="0"/>
  </r>
  <r>
    <s v="P0290"/>
    <d v="2025-08-11T00:00:00"/>
    <s v="Comprehensive"/>
    <s v="65+"/>
    <s v="8+"/>
    <n v="4"/>
    <s v="Yes (Low Score)"/>
    <s v="8,500-13,499"/>
    <s v="Orange (92705)"/>
    <s v="$5,000-$14,999"/>
    <s v="No"/>
    <s v="No"/>
    <s v="No"/>
    <s v="No"/>
    <s v="Yes"/>
    <s v="No"/>
    <s v="Yes (Low)"/>
    <s v="No"/>
    <s v="No"/>
    <s v="No"/>
    <s v="No"/>
    <s v="No"/>
    <s v="No"/>
    <n v="270.53721650716204"/>
    <n v="121"/>
    <n v="1.27"/>
    <n v="0.93"/>
    <n v="2.12"/>
    <n v="0.95"/>
    <n v="1"/>
    <n v="1.02"/>
    <n v="0.97"/>
    <n v="1"/>
    <n v="1"/>
    <n v="1"/>
    <n v="1"/>
    <n v="0.95"/>
    <n v="1"/>
    <n v="1"/>
    <n v="1"/>
    <n v="1"/>
    <n v="1"/>
    <n v="1"/>
    <n v="1"/>
    <n v="270.53721650716204"/>
    <n v="0"/>
    <s v="PASS"/>
    <n v="0"/>
    <x v="0"/>
  </r>
  <r>
    <s v="P0291"/>
    <d v="2026-05-01T00:00:00"/>
    <s v="Liability"/>
    <s v="65+"/>
    <n v="7"/>
    <n v="0"/>
    <s v="No"/>
    <s v="5,000-8,499"/>
    <s v="Culver City (90066)"/>
    <s v="$45,000-$84,999"/>
    <s v="No"/>
    <s v="No"/>
    <s v="Yes"/>
    <s v="No"/>
    <s v="No"/>
    <s v="Yes"/>
    <s v="No"/>
    <s v="Yes (High)"/>
    <s v="No"/>
    <s v="Yes"/>
    <s v="Yes"/>
    <s v="Yes"/>
    <s v="No"/>
    <n v="1012.6097427529173"/>
    <n v="622"/>
    <n v="1.27"/>
    <n v="0.95"/>
    <n v="1"/>
    <n v="1"/>
    <n v="0.93"/>
    <n v="1.1499999999999999"/>
    <n v="1.57"/>
    <n v="1"/>
    <n v="1"/>
    <n v="1.1599999999999999"/>
    <n v="1"/>
    <n v="1"/>
    <n v="0.84"/>
    <n v="1"/>
    <n v="0.89"/>
    <n v="0.93"/>
    <n v="0.94"/>
    <n v="1"/>
    <n v="1.06"/>
    <n v="1012.6097427529173"/>
    <n v="0"/>
    <s v="PASS"/>
    <n v="0"/>
    <x v="0"/>
  </r>
  <r>
    <s v="P0292"/>
    <d v="2025-11-13T00:00:00"/>
    <s v="Liability"/>
    <s v="45-54"/>
    <n v="1"/>
    <n v="4"/>
    <s v="No"/>
    <s v="0-4,999"/>
    <s v="Long Beach (90712)"/>
    <s v="$150,000+"/>
    <s v="No"/>
    <s v="Yes"/>
    <s v="No"/>
    <s v="No"/>
    <s v="No"/>
    <s v="Yes"/>
    <s v="No"/>
    <s v="Yes (Medium)"/>
    <s v="No"/>
    <s v="Yes"/>
    <s v="No"/>
    <s v="No"/>
    <s v="No"/>
    <n v="4729.0675392303683"/>
    <n v="622"/>
    <n v="1.07"/>
    <n v="1.64"/>
    <n v="2.12"/>
    <n v="1"/>
    <n v="0.82"/>
    <n v="1.1200000000000001"/>
    <n v="2.87"/>
    <n v="1"/>
    <n v="1.21"/>
    <n v="1"/>
    <n v="1"/>
    <n v="1"/>
    <n v="0.72"/>
    <n v="1"/>
    <n v="0.89"/>
    <n v="1"/>
    <n v="1"/>
    <n v="1"/>
    <n v="1"/>
    <n v="4729.0675392303683"/>
    <n v="0"/>
    <s v="PASS"/>
    <n v="0"/>
    <x v="0"/>
  </r>
  <r>
    <s v="P0293"/>
    <d v="2025-07-22T00:00:00"/>
    <s v="Rental Car Reinbursement"/>
    <s v="65+"/>
    <s v="8+"/>
    <n v="0"/>
    <s v="Yes (Medium Score)"/>
    <s v="13,500-16,999"/>
    <s v="Costa Mesa (92626)"/>
    <s v="$85,000-$149,999"/>
    <s v="No"/>
    <s v="Yes"/>
    <s v="No"/>
    <s v="No"/>
    <s v="No"/>
    <s v="Yes"/>
    <s v="No"/>
    <s v="Yes (Medium)"/>
    <s v="Yes"/>
    <s v="Yes"/>
    <s v="No"/>
    <s v="Yes"/>
    <s v="No"/>
    <n v="56.964628791683239"/>
    <n v="41"/>
    <n v="1.27"/>
    <n v="0.93"/>
    <n v="1"/>
    <n v="0.8"/>
    <n v="1.18"/>
    <n v="0.92"/>
    <n v="2.02"/>
    <n v="1"/>
    <n v="1.21"/>
    <n v="1"/>
    <n v="1"/>
    <n v="1"/>
    <n v="0.72"/>
    <n v="0.92"/>
    <n v="0.89"/>
    <n v="1"/>
    <n v="0.94"/>
    <n v="1"/>
    <n v="1"/>
    <n v="56.964628791683239"/>
    <n v="0"/>
    <s v="PASS"/>
    <n v="0"/>
    <x v="0"/>
  </r>
  <r>
    <s v="P0294"/>
    <d v="2025-08-04T00:00:00"/>
    <s v="Liability"/>
    <s v="16-24"/>
    <n v="6"/>
    <n v="4"/>
    <s v="No"/>
    <s v="0-4,999"/>
    <s v="Long Beach (90712)"/>
    <s v="$0-$4,999"/>
    <s v="No"/>
    <s v="No"/>
    <s v="No"/>
    <s v="Yes"/>
    <s v="No"/>
    <s v="Yes"/>
    <s v="No"/>
    <s v="Yes (High)"/>
    <s v="No"/>
    <s v="No"/>
    <s v="Yes"/>
    <s v="No"/>
    <s v="No"/>
    <n v="901.13697753254462"/>
    <n v="622"/>
    <n v="1.32"/>
    <n v="1"/>
    <n v="2.12"/>
    <n v="1"/>
    <n v="0.82"/>
    <n v="1.1200000000000001"/>
    <n v="0.82"/>
    <n v="1"/>
    <n v="1"/>
    <n v="1"/>
    <n v="0.88"/>
    <n v="1"/>
    <n v="0.84"/>
    <n v="1"/>
    <n v="1"/>
    <n v="0.93"/>
    <n v="1"/>
    <n v="1"/>
    <n v="1"/>
    <n v="901.13697753254462"/>
    <n v="0"/>
    <s v="PASS"/>
    <n v="0"/>
    <x v="0"/>
  </r>
  <r>
    <s v="P0295"/>
    <d v="2025-09-21T00:00:00"/>
    <s v="Liability"/>
    <s v="25-34"/>
    <n v="7"/>
    <s v="5+"/>
    <s v="Yes (Low Score)"/>
    <s v="13,500-16,999"/>
    <s v="Orange (92705)"/>
    <s v="$5,000-$14,999"/>
    <s v="No"/>
    <s v="No"/>
    <s v="No"/>
    <s v="Yes"/>
    <s v="No"/>
    <s v="Yes"/>
    <s v="No"/>
    <s v="Yes (Low)"/>
    <s v="No"/>
    <s v="No"/>
    <s v="No"/>
    <s v="No"/>
    <s v="No"/>
    <n v="1125.07"/>
    <n v="622"/>
    <n v="1.23"/>
    <n v="0.95"/>
    <n v="2.4700000000000002"/>
    <n v="0.95"/>
    <n v="1.18"/>
    <n v="1.02"/>
    <n v="0.97"/>
    <n v="1"/>
    <n v="1"/>
    <n v="1"/>
    <n v="0.88"/>
    <n v="1"/>
    <n v="0.61"/>
    <n v="1"/>
    <n v="1"/>
    <n v="1"/>
    <n v="1"/>
    <n v="1"/>
    <n v="1"/>
    <n v="1068.8237128418518"/>
    <n v="56.246287158148107"/>
    <s v="FAIL"/>
    <n v="56.246287158148107"/>
    <x v="7"/>
  </r>
  <r>
    <s v="P0296"/>
    <d v="2026-04-09T00:00:00"/>
    <s v="Liability"/>
    <s v="45-54"/>
    <n v="4"/>
    <n v="0"/>
    <s v="Yes (Low Score)"/>
    <s v="13,500-16,999"/>
    <s v="Torrance (90248)"/>
    <s v="$0-$4,999"/>
    <s v="No"/>
    <s v="Yes"/>
    <s v="No"/>
    <s v="Yes"/>
    <s v="No"/>
    <s v="Yes"/>
    <s v="No"/>
    <s v="Yes (High)"/>
    <s v="No"/>
    <s v="No"/>
    <s v="No"/>
    <s v="No"/>
    <s v="Yes"/>
    <n v="724.66021487323042"/>
    <n v="622"/>
    <n v="1.07"/>
    <n v="1.1499999999999999"/>
    <n v="1"/>
    <n v="0.95"/>
    <n v="1.18"/>
    <n v="1.1200000000000001"/>
    <n v="0.82"/>
    <n v="1"/>
    <n v="1.21"/>
    <n v="1"/>
    <n v="0.88"/>
    <n v="1"/>
    <n v="0.84"/>
    <n v="1"/>
    <n v="1"/>
    <n v="1"/>
    <n v="1"/>
    <n v="0.97"/>
    <n v="1.06"/>
    <n v="724.66021487323042"/>
    <n v="0"/>
    <s v="PASS"/>
    <n v="0"/>
    <x v="0"/>
  </r>
  <r>
    <s v="P0297"/>
    <d v="2025-12-27T00:00:00"/>
    <s v="Collision"/>
    <s v="65+"/>
    <n v="4"/>
    <n v="0"/>
    <s v="Yes (Medium Score)"/>
    <s v="0-4,999"/>
    <s v="Huntington Beach (90742)"/>
    <s v="$150,000+"/>
    <s v="No"/>
    <s v="No"/>
    <s v="No"/>
    <s v="No"/>
    <s v="Yes"/>
    <s v="No"/>
    <s v="Yes (Medium)"/>
    <s v="No"/>
    <s v="No"/>
    <s v="No"/>
    <s v="No"/>
    <s v="No"/>
    <s v="Yes"/>
    <n v="994.63238453863869"/>
    <n v="453"/>
    <n v="1.27"/>
    <n v="1.1499999999999999"/>
    <n v="1"/>
    <n v="0.8"/>
    <n v="0.82"/>
    <n v="0.98"/>
    <n v="2.87"/>
    <n v="1"/>
    <n v="1"/>
    <n v="1"/>
    <n v="1"/>
    <n v="0.84"/>
    <n v="1"/>
    <n v="1"/>
    <n v="1"/>
    <n v="1"/>
    <n v="1"/>
    <n v="0.97"/>
    <n v="1"/>
    <n v="994.63238453863869"/>
    <n v="0"/>
    <s v="PASS"/>
    <n v="0"/>
    <x v="0"/>
  </r>
  <r>
    <s v="P0298"/>
    <d v="2026-02-19T00:00:00"/>
    <s v="Collision"/>
    <s v="65+"/>
    <n v="5"/>
    <s v="5+"/>
    <s v="No"/>
    <s v="13,500-16,999"/>
    <s v="Santa Ana (92702)"/>
    <s v="$0-$4,999"/>
    <s v="Yes"/>
    <s v="No"/>
    <s v="No"/>
    <s v="No"/>
    <s v="Yes"/>
    <s v="No"/>
    <s v="Yes (High)"/>
    <s v="No"/>
    <s v="No"/>
    <s v="No"/>
    <s v="No"/>
    <s v="No"/>
    <s v="No"/>
    <n v="1465.9765277013016"/>
    <n v="453"/>
    <n v="1.27"/>
    <n v="1.07"/>
    <n v="2.4700000000000002"/>
    <n v="1"/>
    <n v="1.18"/>
    <n v="1.02"/>
    <n v="0.82"/>
    <n v="1.28"/>
    <n v="1"/>
    <n v="1"/>
    <n v="1"/>
    <n v="0.72"/>
    <n v="1"/>
    <n v="1"/>
    <n v="1"/>
    <n v="1"/>
    <n v="1"/>
    <n v="1"/>
    <n v="1.06"/>
    <n v="1465.9765277013016"/>
    <n v="0"/>
    <s v="PASS"/>
    <n v="0"/>
    <x v="0"/>
  </r>
  <r>
    <s v="P0299"/>
    <d v="2025-12-03T00:00:00"/>
    <s v="Liability"/>
    <s v="55-64"/>
    <s v="8+"/>
    <n v="0"/>
    <s v="Yes (High Score)"/>
    <s v="8,500-13,499"/>
    <s v="Westminster (92655)"/>
    <s v="$45,000-$84,999"/>
    <s v="No"/>
    <s v="No"/>
    <s v="Yes"/>
    <s v="Yes"/>
    <s v="No"/>
    <s v="Yes"/>
    <s v="No"/>
    <s v="Yes (Medium)"/>
    <s v="No"/>
    <s v="No"/>
    <s v="Yes"/>
    <s v="No"/>
    <s v="No"/>
    <n v="492.59156323088928"/>
    <n v="622"/>
    <n v="1.1200000000000001"/>
    <n v="0.93"/>
    <n v="1"/>
    <n v="0.65"/>
    <n v="1"/>
    <n v="1.0900000000000001"/>
    <n v="1.57"/>
    <n v="1"/>
    <n v="1"/>
    <n v="1.1599999999999999"/>
    <n v="0.88"/>
    <n v="1"/>
    <n v="0.72"/>
    <n v="1"/>
    <n v="1"/>
    <n v="0.93"/>
    <n v="1"/>
    <n v="1"/>
    <n v="1"/>
    <n v="492.59156323088928"/>
    <n v="0"/>
    <s v="PASS"/>
    <n v="0"/>
    <x v="0"/>
  </r>
  <r>
    <s v="P0300"/>
    <d v="2025-06-17T00:00:00"/>
    <s v="Liability"/>
    <s v="45-54"/>
    <s v="8+"/>
    <n v="2"/>
    <s v="Yes (Low Score)"/>
    <s v="8,500-13,499"/>
    <s v="Fullerton (92832)"/>
    <s v="$150,000+"/>
    <s v="No"/>
    <s v="No"/>
    <s v="No"/>
    <s v="No"/>
    <s v="No"/>
    <s v="Yes"/>
    <s v="No"/>
    <s v="Yes (Medium)"/>
    <s v="No"/>
    <s v="No"/>
    <s v="No"/>
    <s v="No"/>
    <s v="No"/>
    <n v="2109.3314607711363"/>
    <n v="622"/>
    <n v="1.07"/>
    <n v="0.93"/>
    <n v="1.55"/>
    <n v="0.95"/>
    <n v="1"/>
    <n v="1.1200000000000001"/>
    <n v="2.87"/>
    <n v="1"/>
    <n v="1"/>
    <n v="1"/>
    <n v="1"/>
    <n v="1"/>
    <n v="0.72"/>
    <n v="1"/>
    <n v="1"/>
    <n v="1"/>
    <n v="1"/>
    <n v="1"/>
    <n v="1"/>
    <n v="2109.3314607711363"/>
    <n v="0"/>
    <s v="PASS"/>
    <n v="0"/>
    <x v="0"/>
  </r>
  <r>
    <s v="P0301"/>
    <d v="2025-08-08T00:00:00"/>
    <s v="Collision"/>
    <s v="65+"/>
    <n v="2"/>
    <n v="1"/>
    <s v="No"/>
    <s v="8,500-13,499"/>
    <s v="Anaheim (92801)"/>
    <s v="$5,000-$14,999"/>
    <s v="No"/>
    <s v="No"/>
    <s v="No"/>
    <s v="Yes"/>
    <s v="Yes"/>
    <s v="No"/>
    <s v="Yes (Low)"/>
    <s v="No"/>
    <s v="No"/>
    <s v="No"/>
    <s v="No"/>
    <s v="No"/>
    <s v="No"/>
    <n v="978.42338587453696"/>
    <n v="453"/>
    <n v="1.27"/>
    <n v="1.41"/>
    <n v="1.34"/>
    <n v="1"/>
    <n v="1"/>
    <n v="1.1100000000000001"/>
    <n v="0.97"/>
    <n v="1"/>
    <n v="1"/>
    <n v="1"/>
    <n v="0.88"/>
    <n v="0.95"/>
    <n v="1"/>
    <n v="1"/>
    <n v="1"/>
    <n v="1"/>
    <n v="1"/>
    <n v="1"/>
    <n v="1"/>
    <n v="978.42338587453696"/>
    <n v="0"/>
    <s v="PASS"/>
    <n v="0"/>
    <x v="0"/>
  </r>
  <r>
    <s v="P0302"/>
    <d v="2026-02-08T00:00:00"/>
    <s v="Comprehensive"/>
    <s v="35-44"/>
    <n v="5"/>
    <n v="2"/>
    <s v="No"/>
    <s v="5,000-8,499"/>
    <s v="Torrance (90248)"/>
    <s v="$5,000-$14,999"/>
    <s v="No"/>
    <s v="Yes"/>
    <s v="No"/>
    <s v="No"/>
    <s v="Yes"/>
    <s v="No"/>
    <s v="Yes (Medium)"/>
    <s v="No"/>
    <s v="No"/>
    <s v="Yes"/>
    <s v="Yes"/>
    <s v="No"/>
    <s v="No"/>
    <n v="180.80774446775069"/>
    <n v="121"/>
    <n v="1"/>
    <n v="1.07"/>
    <n v="1.55"/>
    <n v="1"/>
    <n v="0.93"/>
    <n v="1.1200000000000001"/>
    <n v="0.97"/>
    <n v="1"/>
    <n v="1.21"/>
    <n v="1"/>
    <n v="1"/>
    <n v="0.84"/>
    <n v="1"/>
    <n v="1"/>
    <n v="0.89"/>
    <n v="0.93"/>
    <n v="1"/>
    <n v="1"/>
    <n v="1.06"/>
    <n v="180.80774446775069"/>
    <n v="0"/>
    <s v="PASS"/>
    <n v="0"/>
    <x v="0"/>
  </r>
  <r>
    <s v="P0303"/>
    <d v="2025-06-07T00:00:00"/>
    <s v="Liability"/>
    <s v="16-24"/>
    <n v="7"/>
    <s v="5+"/>
    <s v="No"/>
    <s v="17,000+"/>
    <s v="Costa Mesa (92626)"/>
    <s v="$25,000-$44,999"/>
    <s v="No"/>
    <s v="No"/>
    <s v="No"/>
    <s v="Yes"/>
    <s v="No"/>
    <s v="Yes"/>
    <s v="No"/>
    <s v="Yes (Low)"/>
    <s v="No"/>
    <s v="Yes"/>
    <s v="Yes"/>
    <s v="No"/>
    <s v="No"/>
    <n v="1320.5031132708427"/>
    <n v="622"/>
    <n v="1.32"/>
    <n v="0.95"/>
    <n v="2.4700000000000002"/>
    <n v="1"/>
    <n v="1.31"/>
    <n v="0.92"/>
    <n v="1.28"/>
    <n v="1"/>
    <n v="1"/>
    <n v="1"/>
    <n v="0.88"/>
    <n v="1"/>
    <n v="0.61"/>
    <n v="1"/>
    <n v="0.89"/>
    <n v="0.93"/>
    <n v="1"/>
    <n v="1"/>
    <n v="1"/>
    <n v="1320.5031132708427"/>
    <n v="0"/>
    <s v="PASS"/>
    <n v="0"/>
    <x v="0"/>
  </r>
  <r>
    <s v="P0304"/>
    <d v="2025-09-16T00:00:00"/>
    <s v="Collision"/>
    <s v="16-24"/>
    <s v="8+"/>
    <n v="0"/>
    <s v="No"/>
    <s v="13,500-16,999"/>
    <s v="Santa Ana (92702)"/>
    <s v="$5,000-$14,999"/>
    <s v="No"/>
    <s v="No"/>
    <s v="No"/>
    <s v="Yes"/>
    <s v="Yes"/>
    <s v="No"/>
    <s v="Yes (High)"/>
    <s v="No"/>
    <s v="Yes"/>
    <s v="No"/>
    <s v="No"/>
    <s v="No"/>
    <s v="No"/>
    <n v="378.4530338033652"/>
    <n v="453"/>
    <n v="1.32"/>
    <n v="0.93"/>
    <n v="1"/>
    <n v="1"/>
    <n v="1.18"/>
    <n v="1.02"/>
    <n v="0.97"/>
    <n v="1"/>
    <n v="1"/>
    <n v="1"/>
    <n v="0.88"/>
    <n v="0.72"/>
    <n v="1"/>
    <n v="0.92"/>
    <n v="1"/>
    <n v="1"/>
    <n v="1"/>
    <n v="1"/>
    <n v="1"/>
    <n v="378.4530338033652"/>
    <n v="0"/>
    <s v="PASS"/>
    <n v="0"/>
    <x v="0"/>
  </r>
  <r>
    <s v="P0305"/>
    <d v="2025-07-14T00:00:00"/>
    <s v="Liability"/>
    <s v="55-64"/>
    <n v="2"/>
    <n v="0"/>
    <s v="Yes (High Score)"/>
    <s v="13,500-16,999"/>
    <s v="Fountain Valley (92708)"/>
    <s v="$45,000-$84,999"/>
    <s v="No"/>
    <s v="No"/>
    <s v="No"/>
    <s v="Yes"/>
    <s v="No"/>
    <s v="Yes"/>
    <s v="No"/>
    <s v="Yes (Low)"/>
    <s v="No"/>
    <s v="No"/>
    <s v="No"/>
    <s v="No"/>
    <s v="No"/>
    <n v="730.18496096337799"/>
    <n v="622"/>
    <n v="1.1200000000000001"/>
    <n v="1.41"/>
    <n v="1"/>
    <n v="0.65"/>
    <n v="1.18"/>
    <n v="1.1499999999999999"/>
    <n v="1.57"/>
    <n v="1"/>
    <n v="1"/>
    <n v="1"/>
    <n v="0.88"/>
    <n v="1"/>
    <n v="0.61"/>
    <n v="1"/>
    <n v="1"/>
    <n v="1"/>
    <n v="1"/>
    <n v="1"/>
    <n v="1"/>
    <n v="730.18496096337799"/>
    <n v="0"/>
    <s v="PASS"/>
    <n v="0"/>
    <x v="0"/>
  </r>
  <r>
    <s v="P0306"/>
    <d v="2026-01-07T00:00:00"/>
    <s v="Collision"/>
    <s v="16-24"/>
    <n v="5"/>
    <n v="0"/>
    <s v="Yes (Medium Score)"/>
    <s v="17,000+"/>
    <s v="Long Beach (90712)"/>
    <s v="$0-$4,999"/>
    <s v="No"/>
    <s v="No"/>
    <s v="Yes"/>
    <s v="Yes"/>
    <s v="Yes"/>
    <s v="No"/>
    <s v="Yes (High)"/>
    <s v="No"/>
    <s v="No"/>
    <s v="Yes"/>
    <s v="Yes"/>
    <s v="No"/>
    <s v="Yes"/>
    <n v="385.18802867001949"/>
    <n v="453"/>
    <n v="1.32"/>
    <n v="1.07"/>
    <n v="1"/>
    <n v="0.8"/>
    <n v="1.31"/>
    <n v="1.1200000000000001"/>
    <n v="0.82"/>
    <n v="1"/>
    <n v="1"/>
    <n v="1.1599999999999999"/>
    <n v="0.88"/>
    <n v="0.72"/>
    <n v="1"/>
    <n v="1"/>
    <n v="0.89"/>
    <n v="0.93"/>
    <n v="1"/>
    <n v="0.97"/>
    <n v="1.06"/>
    <n v="385.18802867001949"/>
    <n v="0"/>
    <s v="PASS"/>
    <n v="0"/>
    <x v="0"/>
  </r>
  <r>
    <s v="P0307"/>
    <d v="2026-04-08T00:00:00"/>
    <s v="Collision"/>
    <s v="65+"/>
    <n v="5"/>
    <n v="2"/>
    <s v="No"/>
    <s v="8,500-13,499"/>
    <s v="Koreatown (90006)"/>
    <s v="$25,000-$44,999"/>
    <s v="No"/>
    <s v="No"/>
    <s v="No"/>
    <s v="No"/>
    <s v="Yes"/>
    <s v="No"/>
    <s v="Yes (Medium)"/>
    <s v="No"/>
    <s v="No"/>
    <s v="No"/>
    <s v="No"/>
    <s v="No"/>
    <s v="No"/>
    <n v="1315.8242625572357"/>
    <n v="453"/>
    <n v="1.27"/>
    <n v="1.07"/>
    <n v="1.55"/>
    <n v="1"/>
    <n v="1"/>
    <n v="1.21"/>
    <n v="1.28"/>
    <n v="1"/>
    <n v="1"/>
    <n v="1"/>
    <n v="1"/>
    <n v="0.84"/>
    <n v="1"/>
    <n v="1"/>
    <n v="1"/>
    <n v="1"/>
    <n v="1"/>
    <n v="1"/>
    <n v="1.06"/>
    <n v="1315.8242625572357"/>
    <n v="0"/>
    <s v="PASS"/>
    <n v="0"/>
    <x v="0"/>
  </r>
  <r>
    <s v="P0308"/>
    <d v="2025-12-10T00:00:00"/>
    <s v="Liability"/>
    <s v="65+"/>
    <n v="7"/>
    <n v="1"/>
    <s v="No"/>
    <s v="13,500-16,999"/>
    <s v="Fullerton (92832)"/>
    <s v="$45,000-$84,999"/>
    <s v="Yes"/>
    <s v="No"/>
    <s v="No"/>
    <s v="Yes"/>
    <s v="No"/>
    <s v="Yes"/>
    <s v="No"/>
    <s v="Yes (Low)"/>
    <s v="No"/>
    <s v="No"/>
    <s v="No"/>
    <s v="No"/>
    <s v="Yes"/>
    <n v="1390.6453974161343"/>
    <n v="622"/>
    <n v="1.27"/>
    <n v="0.95"/>
    <n v="1.34"/>
    <n v="1"/>
    <n v="1.18"/>
    <n v="1.1200000000000001"/>
    <n v="1.57"/>
    <n v="1.28"/>
    <n v="1"/>
    <n v="1"/>
    <n v="0.88"/>
    <n v="1"/>
    <n v="0.61"/>
    <n v="1"/>
    <n v="1"/>
    <n v="1"/>
    <n v="1"/>
    <n v="0.97"/>
    <n v="1"/>
    <n v="1390.6453974161343"/>
    <n v="0"/>
    <s v="PASS"/>
    <n v="0"/>
    <x v="0"/>
  </r>
  <r>
    <s v="P0309"/>
    <d v="2025-09-01T00:00:00"/>
    <s v="Rental Car Reinbursement"/>
    <s v="45-54"/>
    <n v="4"/>
    <n v="1"/>
    <s v="Yes (High Score)"/>
    <s v="8,500-13,499"/>
    <s v="Fullerton (92832)"/>
    <s v="$5,000-$14,999"/>
    <s v="No"/>
    <s v="No"/>
    <s v="No"/>
    <s v="Yes"/>
    <s v="No"/>
    <s v="Yes"/>
    <s v="No"/>
    <s v="Yes (Low)"/>
    <s v="No"/>
    <s v="No"/>
    <s v="No"/>
    <s v="No"/>
    <s v="No"/>
    <n v="25.62629928354497"/>
    <n v="41"/>
    <n v="1.07"/>
    <n v="1.1499999999999999"/>
    <n v="1.34"/>
    <n v="0.65"/>
    <n v="1"/>
    <n v="1.1200000000000001"/>
    <n v="0.97"/>
    <n v="1"/>
    <n v="1"/>
    <n v="1"/>
    <n v="0.88"/>
    <n v="1"/>
    <n v="0.61"/>
    <n v="1"/>
    <n v="1"/>
    <n v="1"/>
    <n v="1"/>
    <n v="1"/>
    <n v="1"/>
    <n v="25.62629928354497"/>
    <n v="0"/>
    <s v="PASS"/>
    <n v="0"/>
    <x v="0"/>
  </r>
  <r>
    <s v="P0310"/>
    <d v="2025-10-21T00:00:00"/>
    <s v="Rental Car Reinbursement"/>
    <s v="55-64"/>
    <n v="4"/>
    <n v="4"/>
    <s v="Yes (Low Score)"/>
    <s v="17,000+"/>
    <s v="Westminster (92655)"/>
    <s v="$45,000-$84,999"/>
    <s v="No"/>
    <s v="No"/>
    <s v="No"/>
    <s v="Yes"/>
    <s v="No"/>
    <s v="Yes"/>
    <s v="No"/>
    <s v="Yes (Medium)"/>
    <s v="No"/>
    <s v="Yes"/>
    <s v="No"/>
    <s v="No"/>
    <s v="No"/>
    <n v="134.45030977912961"/>
    <n v="41"/>
    <n v="1.1200000000000001"/>
    <n v="1.1499999999999999"/>
    <n v="2.12"/>
    <n v="0.95"/>
    <n v="1.31"/>
    <n v="1.0900000000000001"/>
    <n v="1.57"/>
    <n v="1"/>
    <n v="1"/>
    <n v="1"/>
    <n v="0.88"/>
    <n v="1"/>
    <n v="0.72"/>
    <n v="1"/>
    <n v="0.89"/>
    <n v="1"/>
    <n v="1"/>
    <n v="1"/>
    <n v="1"/>
    <n v="134.45030977912961"/>
    <n v="0"/>
    <s v="PASS"/>
    <n v="0"/>
    <x v="0"/>
  </r>
  <r>
    <s v="P0311"/>
    <d v="2025-12-25T00:00:00"/>
    <s v="Collision"/>
    <s v="35-44"/>
    <n v="7"/>
    <n v="4"/>
    <s v="No"/>
    <s v="13,500-16,999"/>
    <s v="Newport Beach (92603)"/>
    <s v="$150,000+"/>
    <s v="No"/>
    <s v="No"/>
    <s v="No"/>
    <s v="No"/>
    <s v="Yes"/>
    <s v="No"/>
    <s v="Yes (High)"/>
    <s v="No"/>
    <s v="No"/>
    <s v="No"/>
    <s v="No"/>
    <s v="No"/>
    <s v="No"/>
    <n v="2091.1342839609592"/>
    <n v="453"/>
    <n v="1"/>
    <n v="0.95"/>
    <n v="2.12"/>
    <n v="1"/>
    <n v="1.18"/>
    <n v="0.94"/>
    <n v="2.87"/>
    <n v="1"/>
    <n v="1"/>
    <n v="1"/>
    <n v="1"/>
    <n v="0.72"/>
    <n v="1"/>
    <n v="1"/>
    <n v="1"/>
    <n v="1"/>
    <n v="1"/>
    <n v="1"/>
    <n v="1"/>
    <n v="2091.1342839609592"/>
    <n v="0"/>
    <s v="PASS"/>
    <n v="0"/>
    <x v="0"/>
  </r>
  <r>
    <s v="P0312"/>
    <d v="2026-01-23T00:00:00"/>
    <s v="Collision"/>
    <s v="35-44"/>
    <n v="7"/>
    <n v="1"/>
    <s v="No"/>
    <s v="13,500-16,999"/>
    <s v="Lake Forrest (92609)"/>
    <s v="$15,000-$24,999"/>
    <s v="No"/>
    <s v="No"/>
    <s v="No"/>
    <s v="Yes"/>
    <s v="Yes"/>
    <s v="No"/>
    <s v="Yes (Medium)"/>
    <s v="No"/>
    <s v="No"/>
    <s v="No"/>
    <s v="No"/>
    <s v="No"/>
    <s v="No"/>
    <n v="547.04593752931578"/>
    <n v="453"/>
    <n v="1"/>
    <n v="0.95"/>
    <n v="1.34"/>
    <n v="1"/>
    <n v="1.18"/>
    <n v="0.95"/>
    <n v="1.08"/>
    <n v="1"/>
    <n v="1"/>
    <n v="1"/>
    <n v="0.88"/>
    <n v="0.84"/>
    <n v="1"/>
    <n v="1"/>
    <n v="1"/>
    <n v="1"/>
    <n v="1"/>
    <n v="1"/>
    <n v="1.06"/>
    <n v="547.04593752931578"/>
    <n v="0"/>
    <s v="PASS"/>
    <n v="0"/>
    <x v="0"/>
  </r>
  <r>
    <s v="P0313"/>
    <d v="2025-06-26T00:00:00"/>
    <s v="Liability"/>
    <s v="65+"/>
    <n v="2"/>
    <n v="1"/>
    <s v="No"/>
    <s v="5,000-8,499"/>
    <s v="Hollywood (90028)"/>
    <s v="$5,000-$14,999"/>
    <s v="No"/>
    <s v="No"/>
    <s v="No"/>
    <s v="Yes"/>
    <s v="No"/>
    <s v="Yes"/>
    <s v="No"/>
    <s v="Yes (Low)"/>
    <s v="No"/>
    <s v="Yes"/>
    <s v="No"/>
    <s v="No"/>
    <s v="No"/>
    <n v="765.45942474363414"/>
    <n v="622"/>
    <n v="1.27"/>
    <n v="1.41"/>
    <n v="1.34"/>
    <n v="1"/>
    <n v="0.93"/>
    <n v="1.19"/>
    <n v="0.97"/>
    <n v="1"/>
    <n v="1"/>
    <n v="1"/>
    <n v="0.88"/>
    <n v="1"/>
    <n v="0.61"/>
    <n v="1"/>
    <n v="0.89"/>
    <n v="1"/>
    <n v="1"/>
    <n v="1"/>
    <n v="1"/>
    <n v="765.45942474363414"/>
    <n v="0"/>
    <s v="PASS"/>
    <n v="0"/>
    <x v="0"/>
  </r>
  <r>
    <s v="P0314"/>
    <d v="2025-10-22T00:00:00"/>
    <s v="Rental Car Reinbursement"/>
    <s v="55-64"/>
    <n v="1"/>
    <n v="0"/>
    <s v="Yes (High Score)"/>
    <s v="8,500-13,499"/>
    <s v="Silverlake (90026 )"/>
    <s v="$85,000-$149,999"/>
    <s v="No"/>
    <s v="No"/>
    <s v="No"/>
    <s v="No"/>
    <s v="No"/>
    <s v="Yes"/>
    <s v="No"/>
    <s v="Yes (High)"/>
    <s v="No"/>
    <s v="No"/>
    <s v="No"/>
    <s v="Yes"/>
    <s v="Yes"/>
    <n v="87.85112284487883"/>
    <n v="41"/>
    <n v="1.1200000000000001"/>
    <n v="1.64"/>
    <n v="1"/>
    <n v="0.65"/>
    <n v="1"/>
    <n v="1.1599999999999999"/>
    <n v="2.02"/>
    <n v="1"/>
    <n v="1"/>
    <n v="1"/>
    <n v="1"/>
    <n v="1"/>
    <n v="0.84"/>
    <n v="1"/>
    <n v="1"/>
    <n v="1"/>
    <n v="0.94"/>
    <n v="0.97"/>
    <n v="1"/>
    <n v="87.85112284487883"/>
    <n v="0"/>
    <s v="PASS"/>
    <n v="0"/>
    <x v="0"/>
  </r>
  <r>
    <s v="P0315"/>
    <d v="2025-07-06T00:00:00"/>
    <s v="Rental Car Reinbursement"/>
    <s v="25-34"/>
    <n v="4"/>
    <n v="3"/>
    <s v="Yes (Low Score)"/>
    <s v="17,000+"/>
    <s v="Anaheim (92801)"/>
    <s v="$45,000-$84,999"/>
    <s v="No"/>
    <s v="No"/>
    <s v="No"/>
    <s v="No"/>
    <s v="No"/>
    <s v="Yes"/>
    <s v="No"/>
    <s v="Yes (Medium)"/>
    <s v="No"/>
    <s v="Yes"/>
    <s v="No"/>
    <s v="Yes"/>
    <s v="No"/>
    <n v="137.88787709813121"/>
    <n v="41"/>
    <n v="1.23"/>
    <n v="1.1499999999999999"/>
    <n v="1.82"/>
    <n v="0.95"/>
    <n v="1.31"/>
    <n v="1.1100000000000001"/>
    <n v="1.57"/>
    <n v="1"/>
    <n v="1"/>
    <n v="1"/>
    <n v="1"/>
    <n v="1"/>
    <n v="0.72"/>
    <n v="1"/>
    <n v="0.89"/>
    <n v="1"/>
    <n v="0.94"/>
    <n v="1"/>
    <n v="1"/>
    <n v="137.88787709813121"/>
    <n v="0"/>
    <s v="PASS"/>
    <n v="0"/>
    <x v="0"/>
  </r>
  <r>
    <s v="P0316"/>
    <d v="2025-11-19T00:00:00"/>
    <s v="Liability"/>
    <s v="55-64"/>
    <n v="7"/>
    <n v="1"/>
    <s v="No"/>
    <s v="13,500-16,999"/>
    <s v="Hawthorne (90250)"/>
    <s v="$5,000-$14,999"/>
    <s v="No"/>
    <s v="Yes"/>
    <s v="No"/>
    <s v="No"/>
    <s v="No"/>
    <s v="Yes"/>
    <s v="No"/>
    <s v="Yes (High)"/>
    <s v="No"/>
    <s v="No"/>
    <s v="No"/>
    <s v="No"/>
    <s v="No"/>
    <n v="1124.5576050223176"/>
    <n v="622"/>
    <n v="1.1200000000000001"/>
    <n v="0.95"/>
    <n v="1.34"/>
    <n v="1"/>
    <n v="1.18"/>
    <n v="1.0900000000000001"/>
    <n v="0.97"/>
    <n v="1"/>
    <n v="1.21"/>
    <n v="1"/>
    <n v="1"/>
    <n v="1"/>
    <n v="0.84"/>
    <n v="1"/>
    <n v="1"/>
    <n v="1"/>
    <n v="1"/>
    <n v="1"/>
    <n v="1"/>
    <n v="1124.5576050223176"/>
    <n v="0"/>
    <s v="PASS"/>
    <n v="0"/>
    <x v="0"/>
  </r>
  <r>
    <s v="P0317"/>
    <d v="2025-12-20T00:00:00"/>
    <s v="Uninsured Motorist"/>
    <s v="16-24"/>
    <s v="8+"/>
    <n v="0"/>
    <s v="Yes (High Score)"/>
    <s v="8,500-13,499"/>
    <s v="DTLA (90012)"/>
    <s v="$45,000-$84,999"/>
    <s v="No"/>
    <s v="No"/>
    <s v="No"/>
    <s v="Yes"/>
    <s v="No"/>
    <s v="Yes"/>
    <s v="No"/>
    <s v="Yes (Medium)"/>
    <s v="No"/>
    <s v="No"/>
    <s v="Yes"/>
    <s v="Yes"/>
    <s v="Yes"/>
    <n v="66.150440666550395"/>
    <n v="78"/>
    <n v="1.32"/>
    <n v="0.93"/>
    <n v="1"/>
    <n v="0.65"/>
    <n v="1"/>
    <n v="1.26"/>
    <n v="1.57"/>
    <n v="1"/>
    <n v="1"/>
    <n v="1"/>
    <n v="0.88"/>
    <n v="1"/>
    <n v="0.72"/>
    <n v="1"/>
    <n v="1"/>
    <n v="0.93"/>
    <n v="0.94"/>
    <n v="0.97"/>
    <n v="1"/>
    <n v="66.150440666550395"/>
    <n v="0"/>
    <s v="PASS"/>
    <n v="0"/>
    <x v="0"/>
  </r>
  <r>
    <s v="P0318"/>
    <d v="2025-10-21T00:00:00"/>
    <s v="Liability"/>
    <s v="55-64"/>
    <n v="6"/>
    <n v="0"/>
    <s v="Yes (High Score)"/>
    <s v="5,000-8,499"/>
    <s v="Koreatown (90006)"/>
    <s v="$25,000-$44,999"/>
    <s v="No"/>
    <s v="No"/>
    <s v="Yes"/>
    <s v="No"/>
    <s v="No"/>
    <s v="Yes"/>
    <s v="No"/>
    <s v="Yes (Medium)"/>
    <s v="No"/>
    <s v="No"/>
    <s v="Yes"/>
    <s v="No"/>
    <s v="No"/>
    <n v="506.60968344905325"/>
    <n v="622"/>
    <n v="1.1200000000000001"/>
    <n v="1"/>
    <n v="1"/>
    <n v="0.65"/>
    <n v="0.93"/>
    <n v="1.21"/>
    <n v="1.28"/>
    <n v="1"/>
    <n v="1"/>
    <n v="1.1599999999999999"/>
    <n v="1"/>
    <n v="1"/>
    <n v="0.72"/>
    <n v="1"/>
    <n v="1"/>
    <n v="0.93"/>
    <n v="1"/>
    <n v="1"/>
    <n v="1"/>
    <n v="506.60968344905325"/>
    <n v="0"/>
    <s v="PASS"/>
    <n v="0"/>
    <x v="0"/>
  </r>
  <r>
    <s v="P0319"/>
    <d v="2025-07-07T00:00:00"/>
    <s v="Comprehensive"/>
    <s v="16-24"/>
    <n v="6"/>
    <n v="4"/>
    <s v="No"/>
    <s v="13,500-16,999"/>
    <s v="Santa Monica (90401)"/>
    <s v="$45,000-$84,999"/>
    <s v="No"/>
    <s v="No"/>
    <s v="No"/>
    <s v="No"/>
    <s v="Yes"/>
    <s v="No"/>
    <s v="Yes (Low)"/>
    <s v="No"/>
    <s v="No"/>
    <s v="No"/>
    <s v="No"/>
    <s v="No"/>
    <s v="No"/>
    <n v="691.28704273727988"/>
    <n v="121"/>
    <n v="1.32"/>
    <n v="1"/>
    <n v="2.12"/>
    <n v="1"/>
    <n v="1.18"/>
    <n v="1.1599999999999999"/>
    <n v="1.57"/>
    <n v="1"/>
    <n v="1"/>
    <n v="1"/>
    <n v="1"/>
    <n v="0.95"/>
    <n v="1"/>
    <n v="1"/>
    <n v="1"/>
    <n v="1"/>
    <n v="1"/>
    <n v="1"/>
    <n v="1"/>
    <n v="691.28704273727988"/>
    <n v="0"/>
    <s v="PASS"/>
    <n v="0"/>
    <x v="0"/>
  </r>
  <r>
    <s v="P0320"/>
    <d v="2025-10-16T00:00:00"/>
    <s v="Liability"/>
    <s v="55-64"/>
    <n v="2"/>
    <n v="1"/>
    <s v="No"/>
    <s v="0-4,999"/>
    <s v="Silverlake (90026 )"/>
    <s v="$15,000-$24,999"/>
    <s v="No"/>
    <s v="No"/>
    <s v="No"/>
    <s v="No"/>
    <s v="No"/>
    <s v="Yes"/>
    <s v="No"/>
    <s v="Yes (Medium)"/>
    <s v="No"/>
    <s v="Yes"/>
    <s v="No"/>
    <s v="No"/>
    <s v="No"/>
    <n v="866.4637910611674"/>
    <n v="622"/>
    <n v="1.1200000000000001"/>
    <n v="1.41"/>
    <n v="1.34"/>
    <n v="1"/>
    <n v="0.82"/>
    <n v="1.1599999999999999"/>
    <n v="1.08"/>
    <n v="1"/>
    <n v="1"/>
    <n v="1"/>
    <n v="1"/>
    <n v="1"/>
    <n v="0.72"/>
    <n v="1"/>
    <n v="0.89"/>
    <n v="1"/>
    <n v="1"/>
    <n v="1"/>
    <n v="1"/>
    <n v="866.4637910611674"/>
    <n v="0"/>
    <s v="PASS"/>
    <n v="0"/>
    <x v="0"/>
  </r>
  <r>
    <s v="P0321"/>
    <d v="2025-06-30T00:00:00"/>
    <s v="Collision"/>
    <s v="16-24"/>
    <n v="4"/>
    <s v="5+"/>
    <s v="Yes (Low Score)"/>
    <s v="8,500-13,499"/>
    <s v="Fountain Valley (92708)"/>
    <s v="$5,000-$14,999"/>
    <s v="No"/>
    <s v="No"/>
    <s v="No"/>
    <s v="Yes"/>
    <s v="Yes"/>
    <s v="No"/>
    <s v="Yes (Medium)"/>
    <s v="No"/>
    <s v="No"/>
    <s v="Yes"/>
    <s v="No"/>
    <s v="No"/>
    <s v="No"/>
    <n v="1184.1645936491411"/>
    <n v="453"/>
    <n v="1.32"/>
    <n v="1.1499999999999999"/>
    <n v="2.4700000000000002"/>
    <n v="0.95"/>
    <n v="1"/>
    <n v="1.1499999999999999"/>
    <n v="0.97"/>
    <n v="1"/>
    <n v="1"/>
    <n v="1"/>
    <n v="0.88"/>
    <n v="0.84"/>
    <n v="1"/>
    <n v="1"/>
    <n v="0.89"/>
    <n v="1"/>
    <n v="1"/>
    <n v="1"/>
    <n v="1"/>
    <n v="1184.1645936491411"/>
    <n v="0"/>
    <s v="PASS"/>
    <n v="0"/>
    <x v="0"/>
  </r>
  <r>
    <s v="P0322"/>
    <d v="2025-09-02T00:00:00"/>
    <s v="Liability"/>
    <s v="65+"/>
    <n v="1"/>
    <n v="1"/>
    <s v="Yes (Low Score)"/>
    <s v="17,000+"/>
    <s v="Cypress (90630)"/>
    <s v="$5,000-$14,999"/>
    <s v="No"/>
    <s v="No"/>
    <s v="No"/>
    <s v="No"/>
    <s v="No"/>
    <s v="Yes"/>
    <s v="No"/>
    <s v="Yes (Medium)"/>
    <s v="No"/>
    <s v="Yes"/>
    <s v="No"/>
    <s v="Yes"/>
    <s v="No"/>
    <n v="1363.2750904835482"/>
    <n v="622"/>
    <n v="1.27"/>
    <n v="1.64"/>
    <n v="1.34"/>
    <n v="0.95"/>
    <n v="1.31"/>
    <n v="1.08"/>
    <n v="0.97"/>
    <n v="1"/>
    <n v="1"/>
    <n v="1"/>
    <n v="1"/>
    <n v="1"/>
    <n v="0.72"/>
    <n v="1"/>
    <n v="0.89"/>
    <n v="1"/>
    <n v="0.94"/>
    <n v="1"/>
    <n v="1"/>
    <n v="1363.2750904835482"/>
    <n v="0"/>
    <s v="PASS"/>
    <n v="0"/>
    <x v="0"/>
  </r>
  <r>
    <s v="P0323"/>
    <d v="2026-02-27T00:00:00"/>
    <s v="Comprehensive"/>
    <s v="55-64"/>
    <s v="8+"/>
    <n v="0"/>
    <s v="Yes (Low Score)"/>
    <s v="0-4,999"/>
    <s v="Huntington Beach (90742)"/>
    <s v="$0-$4,999"/>
    <s v="No"/>
    <s v="Yes"/>
    <s v="No"/>
    <s v="No"/>
    <s v="Yes"/>
    <s v="No"/>
    <s v="Yes (High)"/>
    <s v="No"/>
    <s v="No"/>
    <s v="No"/>
    <s v="Yes"/>
    <s v="No"/>
    <s v="No"/>
    <n v="67.759533575517764"/>
    <n v="121"/>
    <n v="1.1200000000000001"/>
    <n v="0.93"/>
    <n v="1"/>
    <n v="0.95"/>
    <n v="0.82"/>
    <n v="0.98"/>
    <n v="0.82"/>
    <n v="1"/>
    <n v="1.21"/>
    <n v="1"/>
    <n v="1"/>
    <n v="0.72"/>
    <n v="1"/>
    <n v="1"/>
    <n v="1"/>
    <n v="0.93"/>
    <n v="1"/>
    <n v="1"/>
    <n v="1.06"/>
    <n v="67.759533575517764"/>
    <n v="0"/>
    <s v="PASS"/>
    <n v="0"/>
    <x v="0"/>
  </r>
  <r>
    <s v="P0324"/>
    <d v="2025-12-29T00:00:00"/>
    <s v="Liability"/>
    <s v="35-44"/>
    <n v="7"/>
    <n v="2"/>
    <s v="Yes (Low Score)"/>
    <s v="17,000+"/>
    <s v="West Hollywood (90046)"/>
    <s v="$85,000-$149,999"/>
    <s v="No"/>
    <s v="No"/>
    <s v="Yes"/>
    <s v="Yes"/>
    <s v="No"/>
    <s v="Yes"/>
    <s v="No"/>
    <s v="Yes (Low)"/>
    <s v="No"/>
    <s v="No"/>
    <s v="Yes"/>
    <s v="No"/>
    <s v="No"/>
    <n v="1573.3574858315017"/>
    <n v="622"/>
    <n v="1"/>
    <n v="0.95"/>
    <n v="1.55"/>
    <n v="0.95"/>
    <n v="1.31"/>
    <n v="1.18"/>
    <n v="2.02"/>
    <n v="1"/>
    <n v="1"/>
    <n v="1.1599999999999999"/>
    <n v="0.88"/>
    <n v="1"/>
    <n v="0.61"/>
    <n v="1"/>
    <n v="1"/>
    <n v="0.93"/>
    <n v="1"/>
    <n v="1"/>
    <n v="1"/>
    <n v="1573.3574858315017"/>
    <n v="0"/>
    <s v="PASS"/>
    <n v="0"/>
    <x v="0"/>
  </r>
  <r>
    <s v="P0325"/>
    <d v="2025-09-14T00:00:00"/>
    <s v="Collision"/>
    <s v="35-44"/>
    <n v="4"/>
    <n v="4"/>
    <s v="No"/>
    <s v="5,000-8,499"/>
    <s v="Hollywood (90028)"/>
    <s v="$150,000+"/>
    <s v="No"/>
    <s v="No"/>
    <s v="No"/>
    <s v="Yes"/>
    <s v="Yes"/>
    <s v="No"/>
    <s v="Yes (High)"/>
    <s v="No"/>
    <s v="No"/>
    <s v="No"/>
    <s v="No"/>
    <s v="No"/>
    <s v="No"/>
    <n v="2222.5875565170813"/>
    <n v="453"/>
    <n v="1"/>
    <n v="1.1499999999999999"/>
    <n v="2.12"/>
    <n v="1"/>
    <n v="0.93"/>
    <n v="1.19"/>
    <n v="2.87"/>
    <n v="1"/>
    <n v="1"/>
    <n v="1"/>
    <n v="0.88"/>
    <n v="0.72"/>
    <n v="1"/>
    <n v="1"/>
    <n v="1"/>
    <n v="1"/>
    <n v="1"/>
    <n v="1"/>
    <n v="1"/>
    <n v="2222.5875565170813"/>
    <n v="0"/>
    <s v="PASS"/>
    <n v="0"/>
    <x v="0"/>
  </r>
  <r>
    <s v="P0326"/>
    <d v="2026-01-20T00:00:00"/>
    <s v="Collision"/>
    <s v="55-64"/>
    <n v="2"/>
    <n v="0"/>
    <s v="Yes (Low Score)"/>
    <s v="13,500-16,999"/>
    <s v="Torrance (90248)"/>
    <s v="$15,000-$24,999"/>
    <s v="No"/>
    <s v="No"/>
    <s v="No"/>
    <s v="No"/>
    <s v="Yes"/>
    <s v="No"/>
    <s v="Yes (Medium)"/>
    <s v="No"/>
    <s v="No"/>
    <s v="Yes"/>
    <s v="No"/>
    <s v="No"/>
    <s v="No"/>
    <n v="768.70177883645238"/>
    <n v="453"/>
    <n v="1.1200000000000001"/>
    <n v="1.41"/>
    <n v="1"/>
    <n v="0.95"/>
    <n v="1.18"/>
    <n v="1.1200000000000001"/>
    <n v="1.08"/>
    <n v="1"/>
    <n v="1"/>
    <n v="1"/>
    <n v="1"/>
    <n v="0.84"/>
    <n v="1"/>
    <n v="1"/>
    <n v="0.89"/>
    <n v="1"/>
    <n v="1"/>
    <n v="1"/>
    <n v="1.06"/>
    <n v="768.70177883645238"/>
    <n v="0"/>
    <s v="PASS"/>
    <n v="0"/>
    <x v="0"/>
  </r>
  <r>
    <s v="P0327"/>
    <d v="2025-11-06T00:00:00"/>
    <s v="Collision"/>
    <s v="45-54"/>
    <n v="3"/>
    <n v="2"/>
    <s v="Yes (Low Score)"/>
    <s v="17,000+"/>
    <s v="Westminster (92655)"/>
    <s v="$0-$4,999"/>
    <s v="No"/>
    <s v="No"/>
    <s v="No"/>
    <s v="Yes"/>
    <s v="Yes"/>
    <s v="No"/>
    <s v="Yes (Medium)"/>
    <s v="No"/>
    <s v="No"/>
    <s v="Yes"/>
    <s v="No"/>
    <s v="Yes"/>
    <s v="No"/>
    <n v="630.50506289889529"/>
    <n v="453"/>
    <n v="1.07"/>
    <n v="1.22"/>
    <n v="1.55"/>
    <n v="0.95"/>
    <n v="1.31"/>
    <n v="1.0900000000000001"/>
    <n v="0.82"/>
    <n v="1"/>
    <n v="1"/>
    <n v="1"/>
    <n v="0.88"/>
    <n v="0.84"/>
    <n v="1"/>
    <n v="1"/>
    <n v="0.89"/>
    <n v="1"/>
    <n v="0.94"/>
    <n v="1"/>
    <n v="1"/>
    <n v="630.50506289889529"/>
    <n v="0"/>
    <s v="PASS"/>
    <n v="0"/>
    <x v="0"/>
  </r>
  <r>
    <s v="P0328"/>
    <d v="2026-04-25T00:00:00"/>
    <s v="Liability"/>
    <s v="45-54"/>
    <n v="1"/>
    <n v="0"/>
    <s v="Yes (Medium Score)"/>
    <s v="8,500-13,499"/>
    <s v="Anaheim (92801)"/>
    <s v="$45,000-$84,999"/>
    <s v="No"/>
    <s v="No"/>
    <s v="Yes"/>
    <s v="No"/>
    <s v="No"/>
    <s v="Yes"/>
    <s v="No"/>
    <s v="Yes (Low)"/>
    <s v="No"/>
    <s v="Yes"/>
    <s v="No"/>
    <s v="Yes"/>
    <s v="No"/>
    <n v="954.86544748903111"/>
    <n v="622"/>
    <n v="1.07"/>
    <n v="1.64"/>
    <n v="1"/>
    <n v="0.8"/>
    <n v="1"/>
    <n v="1.1100000000000001"/>
    <n v="1.57"/>
    <n v="1"/>
    <n v="1"/>
    <n v="1.1599999999999999"/>
    <n v="1"/>
    <n v="1"/>
    <n v="0.61"/>
    <n v="1"/>
    <n v="0.89"/>
    <n v="1"/>
    <n v="0.94"/>
    <n v="1"/>
    <n v="1.06"/>
    <n v="954.86544748903111"/>
    <n v="0"/>
    <s v="PASS"/>
    <n v="0"/>
    <x v="0"/>
  </r>
  <r>
    <s v="P0329"/>
    <d v="2025-12-16T00:00:00"/>
    <s v="Uninsured Motorist"/>
    <s v="35-44"/>
    <n v="1"/>
    <n v="4"/>
    <s v="No"/>
    <s v="5,000-8,499"/>
    <s v="Silverlake (90026 )"/>
    <s v="$0-$4,999"/>
    <s v="No"/>
    <s v="No"/>
    <s v="No"/>
    <s v="No"/>
    <s v="No"/>
    <s v="Yes"/>
    <s v="No"/>
    <s v="Yes (Medium)"/>
    <s v="No"/>
    <s v="Yes"/>
    <s v="No"/>
    <s v="Yes"/>
    <s v="No"/>
    <n v="144.50386344275682"/>
    <n v="78"/>
    <n v="1"/>
    <n v="1.64"/>
    <n v="2.12"/>
    <n v="1"/>
    <n v="0.93"/>
    <n v="1.1599999999999999"/>
    <n v="0.82"/>
    <n v="1"/>
    <n v="1"/>
    <n v="1"/>
    <n v="1"/>
    <n v="1"/>
    <n v="0.72"/>
    <n v="1"/>
    <n v="0.89"/>
    <n v="1"/>
    <n v="0.94"/>
    <n v="1"/>
    <n v="1"/>
    <n v="144.50386344275682"/>
    <n v="0"/>
    <s v="PASS"/>
    <n v="0"/>
    <x v="0"/>
  </r>
  <r>
    <s v="P0330"/>
    <d v="2025-05-09T00:00:00"/>
    <s v="Rental Car Reinbursement"/>
    <s v="35-44"/>
    <n v="3"/>
    <s v="5+"/>
    <s v="Yes (High Score)"/>
    <s v="5,000-8,499"/>
    <s v="Fullerton (92832)"/>
    <s v="$15,000-$24,999"/>
    <s v="Yes"/>
    <s v="No"/>
    <s v="No"/>
    <s v="No"/>
    <s v="No"/>
    <s v="Yes"/>
    <s v="No"/>
    <s v="Yes (Medium)"/>
    <s v="No"/>
    <s v="No"/>
    <s v="Yes"/>
    <s v="No"/>
    <s v="No"/>
    <n v="77.429087053898741"/>
    <n v="41"/>
    <n v="1"/>
    <n v="1.22"/>
    <n v="2.4700000000000002"/>
    <n v="0.65"/>
    <n v="0.93"/>
    <n v="1.1200000000000001"/>
    <n v="1.08"/>
    <n v="1.28"/>
    <n v="1"/>
    <n v="1"/>
    <n v="1"/>
    <n v="1"/>
    <n v="0.72"/>
    <n v="1"/>
    <n v="1"/>
    <n v="0.93"/>
    <n v="1"/>
    <n v="1"/>
    <n v="1"/>
    <n v="77.429087053898741"/>
    <n v="0"/>
    <s v="PASS"/>
    <n v="0"/>
    <x v="0"/>
  </r>
  <r>
    <s v="P0331"/>
    <d v="2025-11-25T00:00:00"/>
    <s v="Liability"/>
    <s v="65+"/>
    <n v="6"/>
    <n v="2"/>
    <s v="No"/>
    <s v="13,500-16,999"/>
    <s v="Compton (90220)"/>
    <s v="$0-$4,999"/>
    <s v="No"/>
    <s v="No"/>
    <s v="No"/>
    <s v="Yes"/>
    <s v="No"/>
    <s v="Yes"/>
    <s v="No"/>
    <s v="Yes (Medium)"/>
    <s v="No"/>
    <s v="No"/>
    <s v="Yes"/>
    <s v="No"/>
    <s v="No"/>
    <n v="1089.041372882851"/>
    <n v="622"/>
    <n v="1.27"/>
    <n v="1"/>
    <n v="1.55"/>
    <n v="1"/>
    <n v="1.18"/>
    <n v="1.56"/>
    <n v="0.82"/>
    <n v="1"/>
    <n v="1"/>
    <n v="1"/>
    <n v="0.88"/>
    <n v="1"/>
    <n v="0.72"/>
    <n v="1"/>
    <n v="1"/>
    <n v="0.93"/>
    <n v="1"/>
    <n v="1"/>
    <n v="1"/>
    <n v="1089.041372882851"/>
    <n v="0"/>
    <s v="PASS"/>
    <n v="0"/>
    <x v="0"/>
  </r>
  <r>
    <s v="P0332"/>
    <d v="2025-06-19T00:00:00"/>
    <s v="Collision"/>
    <s v="25-34"/>
    <n v="6"/>
    <n v="1"/>
    <s v="No"/>
    <s v="8,500-13,499"/>
    <s v="Santa Ana (92702)"/>
    <s v="$5,000-$14,999"/>
    <s v="No"/>
    <s v="No"/>
    <s v="No"/>
    <s v="No"/>
    <s v="Yes"/>
    <s v="No"/>
    <s v="Yes (Low)"/>
    <s v="No"/>
    <s v="No"/>
    <s v="No"/>
    <s v="No"/>
    <s v="No"/>
    <s v="Yes"/>
    <n v="680.73073179065989"/>
    <n v="453"/>
    <n v="1.23"/>
    <n v="1"/>
    <n v="1.34"/>
    <n v="1"/>
    <n v="1"/>
    <n v="1.02"/>
    <n v="0.97"/>
    <n v="1"/>
    <n v="1"/>
    <n v="1"/>
    <n v="1"/>
    <n v="0.95"/>
    <n v="1"/>
    <n v="1"/>
    <n v="1"/>
    <n v="1"/>
    <n v="1"/>
    <n v="0.97"/>
    <n v="1"/>
    <n v="680.73073179065989"/>
    <n v="0"/>
    <s v="PASS"/>
    <n v="0"/>
    <x v="0"/>
  </r>
  <r>
    <s v="P0333"/>
    <d v="2025-06-26T00:00:00"/>
    <s v="Collision"/>
    <s v="16-24"/>
    <n v="7"/>
    <n v="1"/>
    <s v="No"/>
    <s v="0-4,999"/>
    <s v="Cypress (90630)"/>
    <s v="$85,000-$149,999"/>
    <s v="No"/>
    <s v="Yes"/>
    <s v="Yes"/>
    <s v="Yes"/>
    <s v="Yes"/>
    <s v="No"/>
    <s v="Yes (Medium)"/>
    <s v="No"/>
    <s v="Yes"/>
    <s v="No"/>
    <s v="No"/>
    <s v="No"/>
    <s v="No"/>
    <n v="1299.8183366093388"/>
    <n v="453"/>
    <n v="1.32"/>
    <n v="0.95"/>
    <n v="1.34"/>
    <n v="1"/>
    <n v="0.82"/>
    <n v="1.08"/>
    <n v="2.02"/>
    <n v="1"/>
    <n v="1.21"/>
    <n v="1.1599999999999999"/>
    <n v="0.88"/>
    <n v="0.84"/>
    <n v="1"/>
    <n v="0.92"/>
    <n v="1"/>
    <n v="1"/>
    <n v="1"/>
    <n v="1"/>
    <n v="1"/>
    <n v="1299.8183366093388"/>
    <n v="0"/>
    <s v="PASS"/>
    <n v="0"/>
    <x v="0"/>
  </r>
  <r>
    <s v="P0334"/>
    <d v="2025-07-11T00:00:00"/>
    <s v="Rental Car Reinbursement"/>
    <s v="65+"/>
    <n v="1"/>
    <n v="1"/>
    <s v="Yes (Low Score)"/>
    <s v="17,000+"/>
    <s v="Huntington Beach (90742)"/>
    <s v="$0-$4,999"/>
    <s v="No"/>
    <s v="No"/>
    <s v="No"/>
    <s v="No"/>
    <s v="No"/>
    <s v="Yes"/>
    <s v="No"/>
    <s v="Yes (High)"/>
    <s v="No"/>
    <s v="No"/>
    <s v="No"/>
    <s v="No"/>
    <s v="No"/>
    <n v="96.128095735027742"/>
    <n v="41"/>
    <n v="1.27"/>
    <n v="1.64"/>
    <n v="1.34"/>
    <n v="0.95"/>
    <n v="1.31"/>
    <n v="0.98"/>
    <n v="0.82"/>
    <n v="1"/>
    <n v="1"/>
    <n v="1"/>
    <n v="1"/>
    <n v="1"/>
    <n v="0.84"/>
    <n v="1"/>
    <n v="1"/>
    <n v="1"/>
    <n v="1"/>
    <n v="1"/>
    <n v="1"/>
    <n v="96.128095735027742"/>
    <n v="0"/>
    <s v="PASS"/>
    <n v="0"/>
    <x v="0"/>
  </r>
  <r>
    <s v="P0335"/>
    <d v="2025-12-10T00:00:00"/>
    <s v="Liability"/>
    <s v="45-54"/>
    <n v="4"/>
    <n v="3"/>
    <s v="Yes (Low Score)"/>
    <s v="5,000-8,499"/>
    <s v="Anaheim (92801)"/>
    <s v="$25,000-$44,999"/>
    <s v="No"/>
    <s v="No"/>
    <s v="No"/>
    <s v="Yes"/>
    <s v="No"/>
    <s v="Yes"/>
    <s v="No"/>
    <s v="Yes (High)"/>
    <s v="No"/>
    <s v="No"/>
    <s v="Yes"/>
    <s v="No"/>
    <s v="No"/>
    <n v="1202.0645781336439"/>
    <n v="622"/>
    <n v="1.07"/>
    <n v="1.1499999999999999"/>
    <n v="1.82"/>
    <n v="0.95"/>
    <n v="0.93"/>
    <n v="1.1100000000000001"/>
    <n v="1.28"/>
    <n v="1"/>
    <n v="1"/>
    <n v="1"/>
    <n v="0.88"/>
    <n v="1"/>
    <n v="0.84"/>
    <n v="1"/>
    <n v="1"/>
    <n v="0.93"/>
    <n v="1"/>
    <n v="1"/>
    <n v="1"/>
    <n v="1202.0645781336439"/>
    <n v="0"/>
    <s v="PASS"/>
    <n v="0"/>
    <x v="0"/>
  </r>
  <r>
    <s v="P0336"/>
    <d v="2026-04-02T00:00:00"/>
    <s v="Liability"/>
    <s v="65+"/>
    <n v="4"/>
    <n v="1"/>
    <s v="Yes (Medium Score)"/>
    <s v="0-4,999"/>
    <s v="Long Beach (90712)"/>
    <s v="$25,000-$44,999"/>
    <s v="Yes"/>
    <s v="No"/>
    <s v="No"/>
    <s v="No"/>
    <s v="No"/>
    <s v="Yes"/>
    <s v="No"/>
    <s v="Yes (Low)"/>
    <s v="No"/>
    <s v="No"/>
    <s v="No"/>
    <s v="No"/>
    <s v="No"/>
    <n v="947.4891512176938"/>
    <n v="622"/>
    <n v="1.27"/>
    <n v="1.1499999999999999"/>
    <n v="1.34"/>
    <n v="0.8"/>
    <n v="0.82"/>
    <n v="1.1200000000000001"/>
    <n v="1.28"/>
    <n v="1.28"/>
    <n v="1"/>
    <n v="1"/>
    <n v="1"/>
    <n v="1"/>
    <n v="0.61"/>
    <n v="1"/>
    <n v="1"/>
    <n v="1"/>
    <n v="1"/>
    <n v="1"/>
    <n v="1.06"/>
    <n v="947.4891512176938"/>
    <n v="0"/>
    <s v="PASS"/>
    <n v="0"/>
    <x v="0"/>
  </r>
  <r>
    <s v="P0337"/>
    <d v="2026-02-14T00:00:00"/>
    <s v="Liability"/>
    <s v="55-64"/>
    <n v="4"/>
    <n v="0"/>
    <s v="Yes (High Score)"/>
    <s v="0-4,999"/>
    <s v="DTLA (90012)"/>
    <s v="$150,000+"/>
    <s v="No"/>
    <s v="No"/>
    <s v="No"/>
    <s v="No"/>
    <s v="No"/>
    <s v="Yes"/>
    <s v="No"/>
    <s v="Yes (Medium)"/>
    <s v="No"/>
    <s v="No"/>
    <s v="No"/>
    <s v="No"/>
    <s v="No"/>
    <n v="1178.4855459225139"/>
    <n v="622"/>
    <n v="1.1200000000000001"/>
    <n v="1.1499999999999999"/>
    <n v="1"/>
    <n v="0.65"/>
    <n v="0.82"/>
    <n v="1.26"/>
    <n v="2.87"/>
    <n v="1"/>
    <n v="1"/>
    <n v="1"/>
    <n v="1"/>
    <n v="1"/>
    <n v="0.72"/>
    <n v="1"/>
    <n v="1"/>
    <n v="1"/>
    <n v="1"/>
    <n v="1"/>
    <n v="1.06"/>
    <n v="1178.4855459225139"/>
    <n v="0"/>
    <s v="PASS"/>
    <n v="0"/>
    <x v="0"/>
  </r>
  <r>
    <s v="P0338"/>
    <d v="2025-05-03T00:00:00"/>
    <s v="Liability"/>
    <s v="16-24"/>
    <n v="6"/>
    <n v="1"/>
    <s v="No"/>
    <s v="17,000+"/>
    <s v="Fountain Valley (92708)"/>
    <s v="$25,000-$44,999"/>
    <s v="No"/>
    <s v="Yes"/>
    <s v="No"/>
    <s v="Yes"/>
    <s v="No"/>
    <s v="Yes"/>
    <s v="No"/>
    <s v="Yes (Medium)"/>
    <s v="Yes"/>
    <s v="Yes"/>
    <s v="Yes"/>
    <s v="No"/>
    <s v="Yes"/>
    <n v="1201.3824284714972"/>
    <n v="622"/>
    <n v="1.32"/>
    <n v="1"/>
    <n v="1.34"/>
    <n v="1"/>
    <n v="1.31"/>
    <n v="1.1499999999999999"/>
    <n v="1.28"/>
    <n v="1"/>
    <n v="1.21"/>
    <n v="1"/>
    <n v="0.88"/>
    <n v="1"/>
    <n v="0.72"/>
    <n v="0.92"/>
    <n v="0.89"/>
    <n v="0.93"/>
    <n v="1"/>
    <n v="0.97"/>
    <n v="1"/>
    <n v="1201.3824284714972"/>
    <n v="0"/>
    <s v="PASS"/>
    <n v="0"/>
    <x v="0"/>
  </r>
  <r>
    <s v="P0339"/>
    <d v="2026-02-21T00:00:00"/>
    <s v="Liability"/>
    <s v="65+"/>
    <n v="3"/>
    <n v="4"/>
    <s v="Yes (Medium Score)"/>
    <s v="8,500-13,499"/>
    <s v="Fountain Valley (92708)"/>
    <s v="$0-$4,999"/>
    <s v="No"/>
    <s v="No"/>
    <s v="No"/>
    <s v="No"/>
    <s v="No"/>
    <s v="Yes"/>
    <s v="No"/>
    <s v="Yes (Medium)"/>
    <s v="No"/>
    <s v="Yes"/>
    <s v="No"/>
    <s v="No"/>
    <s v="No"/>
    <n v="1046.9353047292682"/>
    <n v="622"/>
    <n v="1.27"/>
    <n v="1.22"/>
    <n v="2.12"/>
    <n v="0.8"/>
    <n v="1"/>
    <n v="1.1499999999999999"/>
    <n v="0.82"/>
    <n v="1"/>
    <n v="1"/>
    <n v="1"/>
    <n v="1"/>
    <n v="1"/>
    <n v="0.72"/>
    <n v="1"/>
    <n v="0.89"/>
    <n v="1"/>
    <n v="1"/>
    <n v="1"/>
    <n v="1.06"/>
    <n v="1046.9353047292682"/>
    <n v="0"/>
    <s v="PASS"/>
    <n v="0"/>
    <x v="0"/>
  </r>
  <r>
    <s v="P0340"/>
    <d v="2026-03-10T00:00:00"/>
    <s v="Collision"/>
    <s v="35-44"/>
    <s v="8+"/>
    <n v="1"/>
    <s v="No"/>
    <s v="13,500-16,999"/>
    <s v="Beverly Hills (90035)"/>
    <s v="$0-$4,999"/>
    <s v="No"/>
    <s v="No"/>
    <s v="No"/>
    <s v="Yes"/>
    <s v="Yes"/>
    <s v="No"/>
    <s v="Yes (High)"/>
    <s v="No"/>
    <s v="No"/>
    <s v="No"/>
    <s v="Yes"/>
    <s v="No"/>
    <s v="No"/>
    <n v="412.82991612753494"/>
    <n v="453"/>
    <n v="1"/>
    <n v="0.93"/>
    <n v="1.34"/>
    <n v="1"/>
    <n v="1.18"/>
    <n v="1.21"/>
    <n v="0.82"/>
    <n v="1"/>
    <n v="1"/>
    <n v="1"/>
    <n v="0.88"/>
    <n v="0.72"/>
    <n v="1"/>
    <n v="1"/>
    <n v="1"/>
    <n v="0.93"/>
    <n v="1"/>
    <n v="1"/>
    <n v="1.06"/>
    <n v="412.82991612753494"/>
    <n v="0"/>
    <s v="PASS"/>
    <n v="0"/>
    <x v="0"/>
  </r>
  <r>
    <s v="P0341"/>
    <d v="2025-12-07T00:00:00"/>
    <s v="Rental Car Reinbursement"/>
    <s v="55-64"/>
    <s v="8+"/>
    <n v="0"/>
    <s v="No"/>
    <s v="8,500-13,499"/>
    <s v="Orange (92705)"/>
    <s v="$85,000-$149,999"/>
    <s v="No"/>
    <s v="No"/>
    <s v="No"/>
    <s v="No"/>
    <s v="No"/>
    <s v="Yes"/>
    <s v="No"/>
    <s v="Yes (Low)"/>
    <s v="Yes"/>
    <s v="No"/>
    <s v="No"/>
    <s v="Yes"/>
    <s v="No"/>
    <n v="46.417514858910721"/>
    <n v="41"/>
    <n v="1.1200000000000001"/>
    <n v="0.93"/>
    <n v="1"/>
    <n v="1"/>
    <n v="1"/>
    <n v="1.02"/>
    <n v="2.02"/>
    <n v="1"/>
    <n v="1"/>
    <n v="1"/>
    <n v="1"/>
    <n v="1"/>
    <n v="0.61"/>
    <n v="0.92"/>
    <n v="1"/>
    <n v="1"/>
    <n v="0.94"/>
    <n v="1"/>
    <n v="1"/>
    <n v="46.417514858910721"/>
    <n v="0"/>
    <s v="PASS"/>
    <n v="0"/>
    <x v="0"/>
  </r>
  <r>
    <s v="P0342"/>
    <d v="2026-04-23T00:00:00"/>
    <s v="Liability"/>
    <s v="65+"/>
    <s v="8+"/>
    <n v="0"/>
    <s v="Yes (Low Score)"/>
    <s v="17,000+"/>
    <s v="Fullerton (92832)"/>
    <s v="$150,000+"/>
    <s v="No"/>
    <s v="No"/>
    <s v="No"/>
    <s v="Yes"/>
    <s v="No"/>
    <s v="Yes"/>
    <s v="No"/>
    <s v="Yes (High)"/>
    <s v="No"/>
    <s v="No"/>
    <s v="No"/>
    <s v="No"/>
    <s v="No"/>
    <n v="2302.7123915174493"/>
    <n v="622"/>
    <n v="1.27"/>
    <n v="0.93"/>
    <n v="1"/>
    <n v="0.95"/>
    <n v="1.31"/>
    <n v="1.1200000000000001"/>
    <n v="2.87"/>
    <n v="1"/>
    <n v="1"/>
    <n v="1"/>
    <n v="0.88"/>
    <n v="1"/>
    <n v="0.84"/>
    <n v="1"/>
    <n v="1"/>
    <n v="1"/>
    <n v="1"/>
    <n v="1"/>
    <n v="1.06"/>
    <n v="2302.7123915174493"/>
    <n v="0"/>
    <s v="PASS"/>
    <n v="0"/>
    <x v="0"/>
  </r>
  <r>
    <s v="P0343"/>
    <d v="2025-06-04T00:00:00"/>
    <s v="Collision"/>
    <s v="55-64"/>
    <n v="5"/>
    <n v="0"/>
    <s v="No"/>
    <s v="0-4,999"/>
    <s v="Orange (92705)"/>
    <s v="$85,000-$149,999"/>
    <s v="No"/>
    <s v="No"/>
    <s v="Yes"/>
    <s v="No"/>
    <s v="Yes"/>
    <s v="No"/>
    <s v="Yes (Low)"/>
    <s v="No"/>
    <s v="No"/>
    <s v="No"/>
    <s v="Yes"/>
    <s v="Yes"/>
    <s v="No"/>
    <n v="883.60424295236646"/>
    <n v="453"/>
    <n v="1.1200000000000001"/>
    <n v="1.07"/>
    <n v="1"/>
    <n v="1"/>
    <n v="0.82"/>
    <n v="1.02"/>
    <n v="2.02"/>
    <n v="1"/>
    <n v="1"/>
    <n v="1.1599999999999999"/>
    <n v="1"/>
    <n v="0.95"/>
    <n v="1"/>
    <n v="1"/>
    <n v="1"/>
    <n v="0.93"/>
    <n v="0.94"/>
    <n v="1"/>
    <n v="1"/>
    <n v="883.60424295236646"/>
    <n v="0"/>
    <s v="PASS"/>
    <n v="0"/>
    <x v="0"/>
  </r>
  <r>
    <s v="P0344"/>
    <d v="2025-11-21T00:00:00"/>
    <s v="Liability"/>
    <s v="16-24"/>
    <n v="1"/>
    <n v="1"/>
    <s v="Yes (Medium Score)"/>
    <s v="0-4,999"/>
    <s v="Orange (92705)"/>
    <s v="$0-$4,999"/>
    <s v="No"/>
    <s v="Yes"/>
    <s v="No"/>
    <s v="No"/>
    <s v="No"/>
    <s v="Yes"/>
    <s v="No"/>
    <s v="Yes (Medium)"/>
    <s v="No"/>
    <s v="Yes"/>
    <s v="No"/>
    <s v="Yes"/>
    <s v="Yes"/>
    <n v="699.90369628878091"/>
    <n v="622"/>
    <n v="1.32"/>
    <n v="1.64"/>
    <n v="1.34"/>
    <n v="0.8"/>
    <n v="0.82"/>
    <n v="1.02"/>
    <n v="0.82"/>
    <n v="1"/>
    <n v="1.21"/>
    <n v="1"/>
    <n v="1"/>
    <n v="1"/>
    <n v="0.72"/>
    <n v="1"/>
    <n v="0.89"/>
    <n v="1"/>
    <n v="0.94"/>
    <n v="0.97"/>
    <n v="1"/>
    <n v="699.90369628878091"/>
    <n v="0"/>
    <s v="PASS"/>
    <n v="0"/>
    <x v="0"/>
  </r>
  <r>
    <s v="P0345"/>
    <d v="2025-10-29T00:00:00"/>
    <s v="Collision"/>
    <s v="45-54"/>
    <n v="1"/>
    <n v="0"/>
    <s v="No"/>
    <s v="17,000+"/>
    <s v="Irvine (92602)"/>
    <s v="$15,000-$24,999"/>
    <s v="No"/>
    <s v="No"/>
    <s v="Yes"/>
    <s v="Yes"/>
    <s v="Yes"/>
    <s v="No"/>
    <s v="Yes (High)"/>
    <s v="No"/>
    <s v="No"/>
    <s v="No"/>
    <s v="Yes"/>
    <s v="No"/>
    <s v="No"/>
    <n v="837.92178783287841"/>
    <n v="453"/>
    <n v="1.07"/>
    <n v="1.64"/>
    <n v="1"/>
    <n v="1"/>
    <n v="1.31"/>
    <n v="1.0900000000000001"/>
    <n v="1.08"/>
    <n v="1"/>
    <n v="1"/>
    <n v="1.1599999999999999"/>
    <n v="0.88"/>
    <n v="0.72"/>
    <n v="1"/>
    <n v="1"/>
    <n v="1"/>
    <n v="0.93"/>
    <n v="1"/>
    <n v="1"/>
    <n v="1"/>
    <n v="837.92178783287841"/>
    <n v="0"/>
    <s v="PASS"/>
    <n v="0"/>
    <x v="0"/>
  </r>
  <r>
    <s v="P0346"/>
    <d v="2026-03-14T00:00:00"/>
    <s v="Liability"/>
    <s v="25-34"/>
    <s v="8+"/>
    <n v="1"/>
    <s v="Yes (Low Score)"/>
    <s v="8,500-13,499"/>
    <s v="Hollywood (90028)"/>
    <s v="$85,000-$149,999"/>
    <s v="No"/>
    <s v="No"/>
    <s v="No"/>
    <s v="No"/>
    <s v="No"/>
    <s v="Yes"/>
    <s v="No"/>
    <s v="Yes (Low)"/>
    <s v="No"/>
    <s v="No"/>
    <s v="Yes"/>
    <s v="Yes"/>
    <s v="No"/>
    <n v="1230.6985292878851"/>
    <n v="622"/>
    <n v="1.23"/>
    <n v="0.93"/>
    <n v="1.34"/>
    <n v="0.95"/>
    <n v="1"/>
    <n v="1.19"/>
    <n v="2.02"/>
    <n v="1"/>
    <n v="1"/>
    <n v="1"/>
    <n v="1"/>
    <n v="1"/>
    <n v="0.61"/>
    <n v="1"/>
    <n v="1"/>
    <n v="0.93"/>
    <n v="0.94"/>
    <n v="1"/>
    <n v="1.06"/>
    <n v="1230.6985292878851"/>
    <n v="0"/>
    <s v="PASS"/>
    <n v="0"/>
    <x v="0"/>
  </r>
  <r>
    <s v="P0347"/>
    <d v="2025-11-20T00:00:00"/>
    <s v="Liability"/>
    <s v="45-54"/>
    <n v="6"/>
    <n v="0"/>
    <s v="No"/>
    <s v="17,000+"/>
    <s v="Hawthorne (90250)"/>
    <s v="$150,000+"/>
    <s v="No"/>
    <s v="No"/>
    <s v="No"/>
    <s v="Yes"/>
    <s v="No"/>
    <s v="Yes"/>
    <s v="No"/>
    <s v="Yes (High)"/>
    <s v="No"/>
    <s v="No"/>
    <s v="No"/>
    <s v="No"/>
    <s v="No"/>
    <n v="2016.1173680672646"/>
    <n v="622"/>
    <n v="1.07"/>
    <n v="1"/>
    <n v="1"/>
    <n v="1"/>
    <n v="1.31"/>
    <n v="1.0900000000000001"/>
    <n v="2.87"/>
    <n v="1"/>
    <n v="1"/>
    <n v="1"/>
    <n v="0.88"/>
    <n v="1"/>
    <n v="0.84"/>
    <n v="1"/>
    <n v="1"/>
    <n v="1"/>
    <n v="1"/>
    <n v="1"/>
    <n v="1"/>
    <n v="2016.1173680672646"/>
    <n v="0"/>
    <s v="PASS"/>
    <n v="0"/>
    <x v="0"/>
  </r>
  <r>
    <s v="P0348"/>
    <d v="2025-06-17T00:00:00"/>
    <s v="Liability"/>
    <s v="45-54"/>
    <n v="7"/>
    <n v="0"/>
    <s v="No"/>
    <s v="13,500-16,999"/>
    <s v="Koreatown (90006)"/>
    <s v="$15,000-$24,999"/>
    <s v="No"/>
    <s v="Yes"/>
    <s v="No"/>
    <s v="Yes"/>
    <s v="No"/>
    <s v="Yes"/>
    <s v="No"/>
    <s v="Yes (Medium)"/>
    <s v="No"/>
    <s v="No"/>
    <s v="No"/>
    <s v="No"/>
    <s v="No"/>
    <n v="747.46255261551664"/>
    <n v="622"/>
    <n v="1.07"/>
    <n v="0.95"/>
    <n v="1"/>
    <n v="1"/>
    <n v="1.18"/>
    <n v="1.21"/>
    <n v="1.08"/>
    <n v="1"/>
    <n v="1.21"/>
    <n v="1"/>
    <n v="0.88"/>
    <n v="1"/>
    <n v="0.72"/>
    <n v="1"/>
    <n v="1"/>
    <n v="1"/>
    <n v="1"/>
    <n v="1"/>
    <n v="1"/>
    <n v="747.46255261551664"/>
    <n v="0"/>
    <s v="PASS"/>
    <n v="0"/>
    <x v="0"/>
  </r>
  <r>
    <s v="P0349"/>
    <d v="2026-02-12T00:00:00"/>
    <s v="Liability"/>
    <s v="16-24"/>
    <n v="2"/>
    <n v="1"/>
    <s v="No"/>
    <s v="13,500-16,999"/>
    <s v="Lake Forrest (92609)"/>
    <s v="$5,000-$14,999"/>
    <s v="No"/>
    <s v="No"/>
    <s v="No"/>
    <s v="Yes"/>
    <s v="No"/>
    <s v="Yes"/>
    <s v="No"/>
    <s v="Yes (Medium)"/>
    <s v="No"/>
    <s v="No"/>
    <s v="Yes"/>
    <s v="No"/>
    <s v="No"/>
    <n v="1053.5849448734989"/>
    <n v="622"/>
    <n v="1.32"/>
    <n v="1.41"/>
    <n v="1.34"/>
    <n v="1"/>
    <n v="1.18"/>
    <n v="0.95"/>
    <n v="0.97"/>
    <n v="1"/>
    <n v="1"/>
    <n v="1"/>
    <n v="0.88"/>
    <n v="1"/>
    <n v="0.72"/>
    <n v="1"/>
    <n v="1"/>
    <n v="0.93"/>
    <n v="1"/>
    <n v="1"/>
    <n v="1.06"/>
    <n v="1053.5849448734989"/>
    <n v="0"/>
    <s v="PASS"/>
    <n v="0"/>
    <x v="0"/>
  </r>
  <r>
    <s v="P0350"/>
    <d v="2026-04-24T00:00:00"/>
    <s v="Uninsured Motorist"/>
    <s v="45-54"/>
    <n v="5"/>
    <n v="1"/>
    <s v="Yes (High Score)"/>
    <s v="13,500-16,999"/>
    <s v="Newport Beach (92603)"/>
    <s v="$15,000-$24,999"/>
    <s v="No"/>
    <s v="Yes"/>
    <s v="No"/>
    <s v="Yes"/>
    <s v="No"/>
    <s v="Yes"/>
    <s v="No"/>
    <s v="Yes (Medium)"/>
    <s v="No"/>
    <s v="Yes"/>
    <s v="No"/>
    <s v="No"/>
    <s v="No"/>
    <n v="67.392309591906354"/>
    <n v="78"/>
    <n v="1.07"/>
    <n v="1.07"/>
    <n v="1.34"/>
    <n v="0.65"/>
    <n v="1.18"/>
    <n v="0.94"/>
    <n v="1.08"/>
    <n v="1"/>
    <n v="1.21"/>
    <n v="1"/>
    <n v="0.88"/>
    <n v="1"/>
    <n v="0.72"/>
    <n v="1"/>
    <n v="0.89"/>
    <n v="1"/>
    <n v="1"/>
    <n v="1"/>
    <n v="1.06"/>
    <n v="67.392309591906354"/>
    <n v="0"/>
    <s v="PASS"/>
    <n v="0"/>
    <x v="0"/>
  </r>
  <r>
    <s v="P0351"/>
    <d v="2026-03-02T00:00:00"/>
    <s v="Collision"/>
    <s v="45-54"/>
    <n v="7"/>
    <n v="1"/>
    <s v="No"/>
    <s v="13,500-16,999"/>
    <s v="Hawthorne (90250)"/>
    <s v="$45,000-$84,999"/>
    <s v="No"/>
    <s v="No"/>
    <s v="No"/>
    <s v="Yes"/>
    <s v="Yes"/>
    <s v="No"/>
    <s v="Yes (Medium)"/>
    <s v="No"/>
    <s v="No"/>
    <s v="Yes"/>
    <s v="Yes"/>
    <s v="No"/>
    <s v="No"/>
    <n v="808.08923193728754"/>
    <n v="453"/>
    <n v="1.07"/>
    <n v="0.95"/>
    <n v="1.34"/>
    <n v="1"/>
    <n v="1.18"/>
    <n v="1.0900000000000001"/>
    <n v="1.57"/>
    <n v="1"/>
    <n v="1"/>
    <n v="1"/>
    <n v="0.88"/>
    <n v="0.84"/>
    <n v="1"/>
    <n v="1"/>
    <n v="0.89"/>
    <n v="0.93"/>
    <n v="1"/>
    <n v="1"/>
    <n v="1.06"/>
    <n v="808.08923193728754"/>
    <n v="0"/>
    <s v="PASS"/>
    <n v="0"/>
    <x v="0"/>
  </r>
  <r>
    <s v="P0352"/>
    <d v="2026-01-10T00:00:00"/>
    <s v="Comprehensive"/>
    <s v="35-44"/>
    <n v="4"/>
    <n v="1"/>
    <s v="Yes (High Score)"/>
    <s v="5,000-8,499"/>
    <s v="Compton (90220)"/>
    <s v="$5,000-$14,999"/>
    <s v="No"/>
    <s v="No"/>
    <s v="No"/>
    <s v="Yes"/>
    <s v="Yes"/>
    <s v="No"/>
    <s v="Yes (High)"/>
    <s v="No"/>
    <s v="Yes"/>
    <s v="No"/>
    <s v="No"/>
    <s v="No"/>
    <s v="No"/>
    <n v="105.38759845709293"/>
    <n v="121"/>
    <n v="1"/>
    <n v="1.1499999999999999"/>
    <n v="1.34"/>
    <n v="0.65"/>
    <n v="0.93"/>
    <n v="1.56"/>
    <n v="0.97"/>
    <n v="1"/>
    <n v="1"/>
    <n v="1"/>
    <n v="0.88"/>
    <n v="0.72"/>
    <n v="1"/>
    <n v="0.92"/>
    <n v="1"/>
    <n v="1"/>
    <n v="1"/>
    <n v="1"/>
    <n v="1.06"/>
    <n v="105.38759845709293"/>
    <n v="0"/>
    <s v="PASS"/>
    <n v="0"/>
    <x v="0"/>
  </r>
  <r>
    <s v="P0353"/>
    <d v="2025-08-28T00:00:00"/>
    <s v="Rental Car Reinbursement"/>
    <s v="16-24"/>
    <n v="5"/>
    <n v="1"/>
    <s v="No"/>
    <s v="8,500-13,499"/>
    <s v="Irvine (92602)"/>
    <s v="$150,000+"/>
    <s v="No"/>
    <s v="Yes"/>
    <s v="Yes"/>
    <s v="No"/>
    <s v="No"/>
    <s v="Yes"/>
    <s v="No"/>
    <s v="Yes (Medium)"/>
    <s v="No"/>
    <s v="No"/>
    <s v="Yes"/>
    <s v="No"/>
    <s v="Yes"/>
    <n v="221.30197890224852"/>
    <n v="41"/>
    <n v="1.32"/>
    <n v="1.07"/>
    <n v="1.34"/>
    <n v="1"/>
    <n v="1"/>
    <n v="1.0900000000000001"/>
    <n v="2.87"/>
    <n v="1"/>
    <n v="1.21"/>
    <n v="1.1599999999999999"/>
    <n v="1"/>
    <n v="1"/>
    <n v="0.72"/>
    <n v="1"/>
    <n v="1"/>
    <n v="0.93"/>
    <n v="1"/>
    <n v="0.97"/>
    <n v="1"/>
    <n v="221.30197890224852"/>
    <n v="0"/>
    <s v="PASS"/>
    <n v="0"/>
    <x v="0"/>
  </r>
  <r>
    <s v="P0354"/>
    <d v="2026-01-13T00:00:00"/>
    <s v="Liability"/>
    <s v="65+"/>
    <n v="3"/>
    <n v="3"/>
    <s v="No"/>
    <s v="5,000-8,499"/>
    <s v="Hawthorne (90250)"/>
    <s v="$5,000-$14,999"/>
    <s v="No"/>
    <s v="No"/>
    <s v="No"/>
    <s v="No"/>
    <s v="No"/>
    <s v="Yes"/>
    <s v="No"/>
    <s v="Yes (Low)"/>
    <s v="No"/>
    <s v="No"/>
    <s v="No"/>
    <s v="No"/>
    <s v="No"/>
    <n v="1115.1728956922491"/>
    <n v="622"/>
    <n v="1.27"/>
    <n v="1.22"/>
    <n v="1.82"/>
    <n v="1"/>
    <n v="0.93"/>
    <n v="1.0900000000000001"/>
    <n v="0.97"/>
    <n v="1"/>
    <n v="1"/>
    <n v="1"/>
    <n v="1"/>
    <n v="1"/>
    <n v="0.61"/>
    <n v="1"/>
    <n v="1"/>
    <n v="1"/>
    <n v="1"/>
    <n v="1"/>
    <n v="1.06"/>
    <n v="1115.1728956922491"/>
    <n v="0"/>
    <s v="PASS"/>
    <n v="0"/>
    <x v="0"/>
  </r>
  <r>
    <s v="P0355"/>
    <d v="2025-11-30T00:00:00"/>
    <s v="Rental Car Reinbursement"/>
    <s v="65+"/>
    <n v="2"/>
    <n v="1"/>
    <s v="Yes (Medium Score)"/>
    <s v="0-4,999"/>
    <s v="Fullerton (92832)"/>
    <s v="$15,000-$24,999"/>
    <s v="No"/>
    <s v="Yes"/>
    <s v="No"/>
    <s v="No"/>
    <s v="No"/>
    <s v="Yes"/>
    <s v="No"/>
    <s v="Yes (High)"/>
    <s v="Yes"/>
    <s v="Yes"/>
    <s v="No"/>
    <s v="No"/>
    <s v="No"/>
    <n v="64.968014827099225"/>
    <n v="41"/>
    <n v="1.27"/>
    <n v="1.41"/>
    <n v="1.34"/>
    <n v="0.8"/>
    <n v="0.82"/>
    <n v="1.1200000000000001"/>
    <n v="1.08"/>
    <n v="1"/>
    <n v="1.21"/>
    <n v="1"/>
    <n v="1"/>
    <n v="1"/>
    <n v="0.84"/>
    <n v="0.92"/>
    <n v="0.89"/>
    <n v="1"/>
    <n v="1"/>
    <n v="1"/>
    <n v="1"/>
    <n v="64.968014827099225"/>
    <n v="0"/>
    <s v="PASS"/>
    <n v="0"/>
    <x v="0"/>
  </r>
  <r>
    <s v="P0356"/>
    <d v="2025-07-12T00:00:00"/>
    <s v="Uninsured Motorist"/>
    <s v="35-44"/>
    <n v="6"/>
    <n v="0"/>
    <s v="Yes (Low Score)"/>
    <s v="17,000+"/>
    <s v="DTLA (90012)"/>
    <s v="$25,000-$44,999"/>
    <s v="No"/>
    <s v="No"/>
    <s v="No"/>
    <s v="Yes"/>
    <s v="No"/>
    <s v="Yes"/>
    <s v="No"/>
    <s v="Yes (High)"/>
    <s v="No"/>
    <s v="Yes"/>
    <s v="No"/>
    <s v="No"/>
    <s v="No"/>
    <n v="102.99638530621439"/>
    <n v="78"/>
    <n v="1"/>
    <n v="1"/>
    <n v="1"/>
    <n v="0.95"/>
    <n v="1.31"/>
    <n v="1.26"/>
    <n v="1.28"/>
    <n v="1"/>
    <n v="1"/>
    <n v="1"/>
    <n v="0.88"/>
    <n v="1"/>
    <n v="0.84"/>
    <n v="1"/>
    <n v="0.89"/>
    <n v="1"/>
    <n v="1"/>
    <n v="1"/>
    <n v="1"/>
    <n v="102.99638530621439"/>
    <n v="0"/>
    <s v="PASS"/>
    <n v="0"/>
    <x v="0"/>
  </r>
  <r>
    <s v="P0357"/>
    <d v="2025-11-24T00:00:00"/>
    <s v="Collision"/>
    <s v="45-54"/>
    <n v="3"/>
    <s v="5+"/>
    <s v="No"/>
    <s v="13,500-16,999"/>
    <s v="Beverly Hills (90035)"/>
    <s v="$0-$4,999"/>
    <s v="No"/>
    <s v="No"/>
    <s v="No"/>
    <s v="Yes"/>
    <s v="Yes"/>
    <s v="No"/>
    <s v="Yes (Medium)"/>
    <s v="No"/>
    <s v="Yes"/>
    <s v="Yes"/>
    <s v="No"/>
    <s v="No"/>
    <s v="No"/>
    <n v="1035.0463205520682"/>
    <n v="453"/>
    <n v="1.07"/>
    <n v="1.22"/>
    <n v="2.4700000000000002"/>
    <n v="1"/>
    <n v="1.18"/>
    <n v="1.21"/>
    <n v="0.82"/>
    <n v="1"/>
    <n v="1"/>
    <n v="1"/>
    <n v="0.88"/>
    <n v="0.84"/>
    <n v="1"/>
    <n v="0.92"/>
    <n v="0.89"/>
    <n v="1"/>
    <n v="1"/>
    <n v="1"/>
    <n v="1"/>
    <n v="1035.0463205520682"/>
    <n v="0"/>
    <s v="PASS"/>
    <n v="0"/>
    <x v="0"/>
  </r>
  <r>
    <s v="P0358"/>
    <d v="2025-07-10T00:00:00"/>
    <s v="Collision"/>
    <s v="55-64"/>
    <n v="3"/>
    <n v="0"/>
    <s v="No"/>
    <s v="0-4,999"/>
    <s v="Cypress (90630)"/>
    <s v="$0-$4,999"/>
    <s v="Yes"/>
    <s v="No"/>
    <s v="No"/>
    <s v="No"/>
    <s v="Yes"/>
    <s v="No"/>
    <s v="Yes (High)"/>
    <s v="No"/>
    <s v="No"/>
    <s v="No"/>
    <s v="Yes"/>
    <s v="No"/>
    <s v="No"/>
    <n v="385.25912172928702"/>
    <n v="453"/>
    <n v="1.1200000000000001"/>
    <n v="1.22"/>
    <n v="1"/>
    <n v="1"/>
    <n v="0.82"/>
    <n v="1.08"/>
    <n v="0.82"/>
    <n v="1.28"/>
    <n v="1"/>
    <n v="1"/>
    <n v="1"/>
    <n v="0.72"/>
    <n v="1"/>
    <n v="1"/>
    <n v="1"/>
    <n v="0.93"/>
    <n v="1"/>
    <n v="1"/>
    <n v="1"/>
    <n v="385.25912172928702"/>
    <n v="0"/>
    <s v="PASS"/>
    <n v="0"/>
    <x v="0"/>
  </r>
  <r>
    <s v="P0359"/>
    <d v="2026-01-02T00:00:00"/>
    <s v="Comprehensive"/>
    <s v="25-34"/>
    <n v="2"/>
    <n v="1"/>
    <s v="Yes (High Score)"/>
    <s v="8,500-13,499"/>
    <s v="Irvine (92602)"/>
    <s v="$150,000+"/>
    <s v="No"/>
    <s v="No"/>
    <s v="No"/>
    <s v="Yes"/>
    <s v="Yes"/>
    <s v="No"/>
    <s v="Yes (High)"/>
    <s v="No"/>
    <s v="No"/>
    <s v="No"/>
    <s v="No"/>
    <s v="Yes"/>
    <s v="No"/>
    <n v="360.98157172548736"/>
    <n v="121"/>
    <n v="1.23"/>
    <n v="1.41"/>
    <n v="1.34"/>
    <n v="0.65"/>
    <n v="1"/>
    <n v="1.0900000000000001"/>
    <n v="2.87"/>
    <n v="1"/>
    <n v="1"/>
    <n v="1"/>
    <n v="0.88"/>
    <n v="0.72"/>
    <n v="1"/>
    <n v="1"/>
    <n v="1"/>
    <n v="1"/>
    <n v="0.94"/>
    <n v="1"/>
    <n v="1.06"/>
    <n v="360.98157172548736"/>
    <n v="0"/>
    <s v="PASS"/>
    <n v="0"/>
    <x v="0"/>
  </r>
  <r>
    <s v="P0360"/>
    <d v="2025-09-21T00:00:00"/>
    <s v="Collision"/>
    <s v="16-24"/>
    <n v="4"/>
    <n v="0"/>
    <s v="No"/>
    <s v="8,500-13,499"/>
    <s v="Long Beach (90712)"/>
    <s v="$85,000-$149,999"/>
    <s v="No"/>
    <s v="No"/>
    <s v="Yes"/>
    <s v="No"/>
    <s v="Yes"/>
    <s v="No"/>
    <s v="Yes (Medium)"/>
    <s v="No"/>
    <s v="No"/>
    <s v="Yes"/>
    <s v="No"/>
    <s v="No"/>
    <s v="No"/>
    <n v="1349.1699127796735"/>
    <n v="453"/>
    <n v="1.32"/>
    <n v="1.1499999999999999"/>
    <n v="1"/>
    <n v="1"/>
    <n v="1"/>
    <n v="1.1200000000000001"/>
    <n v="2.02"/>
    <n v="1"/>
    <n v="1"/>
    <n v="1.1599999999999999"/>
    <n v="1"/>
    <n v="0.84"/>
    <n v="1"/>
    <n v="1"/>
    <n v="0.89"/>
    <n v="1"/>
    <n v="1"/>
    <n v="1"/>
    <n v="1"/>
    <n v="1349.1699127796735"/>
    <n v="0"/>
    <s v="PASS"/>
    <n v="0"/>
    <x v="0"/>
  </r>
  <r>
    <s v="P0361"/>
    <d v="2025-12-23T00:00:00"/>
    <s v="Liability"/>
    <s v="16-24"/>
    <n v="1"/>
    <n v="3"/>
    <s v="Yes (Low Score)"/>
    <s v="17,000+"/>
    <s v="Torrance (90248)"/>
    <s v="$5,000-$14,999"/>
    <s v="No"/>
    <s v="No"/>
    <s v="No"/>
    <s v="Yes"/>
    <s v="No"/>
    <s v="Yes"/>
    <s v="No"/>
    <s v="Yes (High)"/>
    <s v="No"/>
    <s v="Yes"/>
    <s v="No"/>
    <s v="No"/>
    <s v="No"/>
    <n v="2179.7976230258491"/>
    <n v="622"/>
    <n v="1.32"/>
    <n v="1.64"/>
    <n v="1.82"/>
    <n v="0.95"/>
    <n v="1.31"/>
    <n v="1.1200000000000001"/>
    <n v="0.97"/>
    <n v="1"/>
    <n v="1"/>
    <n v="1"/>
    <n v="0.88"/>
    <n v="1"/>
    <n v="0.84"/>
    <n v="1"/>
    <n v="0.89"/>
    <n v="1"/>
    <n v="1"/>
    <n v="1"/>
    <n v="1"/>
    <n v="2179.7976230258491"/>
    <n v="0"/>
    <s v="PASS"/>
    <n v="0"/>
    <x v="0"/>
  </r>
  <r>
    <s v="P0362"/>
    <d v="2025-10-03T00:00:00"/>
    <s v="Uninsured Motorist"/>
    <s v="65+"/>
    <n v="6"/>
    <n v="1"/>
    <s v="No"/>
    <s v="17,000+"/>
    <s v="Anaheim (92801)"/>
    <s v="$25,000-$44,999"/>
    <s v="No"/>
    <s v="No"/>
    <s v="No"/>
    <s v="No"/>
    <s v="No"/>
    <s v="Yes"/>
    <s v="No"/>
    <s v="Yes (Medium)"/>
    <s v="No"/>
    <s v="No"/>
    <s v="No"/>
    <s v="No"/>
    <s v="No"/>
    <n v="177.88521889382406"/>
    <n v="78"/>
    <n v="1.27"/>
    <n v="1"/>
    <n v="1.34"/>
    <n v="1"/>
    <n v="1.31"/>
    <n v="1.1100000000000001"/>
    <n v="1.28"/>
    <n v="1"/>
    <n v="1"/>
    <n v="1"/>
    <n v="1"/>
    <n v="1"/>
    <n v="0.72"/>
    <n v="1"/>
    <n v="1"/>
    <n v="1"/>
    <n v="1"/>
    <n v="1"/>
    <n v="1"/>
    <n v="177.88521889382406"/>
    <n v="0"/>
    <s v="PASS"/>
    <n v="0"/>
    <x v="0"/>
  </r>
  <r>
    <s v="P0363"/>
    <d v="2026-03-01T00:00:00"/>
    <s v="Liability"/>
    <s v="55-64"/>
    <n v="3"/>
    <n v="1"/>
    <s v="No"/>
    <s v="13,500-16,999"/>
    <s v="Silverlake (90026 )"/>
    <s v="$15,000-$24,999"/>
    <s v="Yes"/>
    <s v="No"/>
    <s v="No"/>
    <s v="Yes"/>
    <s v="No"/>
    <s v="Yes"/>
    <s v="No"/>
    <s v="Yes (Low)"/>
    <s v="No"/>
    <s v="No"/>
    <s v="No"/>
    <s v="No"/>
    <s v="No"/>
    <n v="1226.2107818871484"/>
    <n v="622"/>
    <n v="1.1200000000000001"/>
    <n v="1.22"/>
    <n v="1.34"/>
    <n v="1"/>
    <n v="1.18"/>
    <n v="1.1599999999999999"/>
    <n v="1.08"/>
    <n v="1.28"/>
    <n v="1"/>
    <n v="1"/>
    <n v="0.88"/>
    <n v="1"/>
    <n v="0.61"/>
    <n v="1"/>
    <n v="1"/>
    <n v="1"/>
    <n v="1"/>
    <n v="1"/>
    <n v="1.06"/>
    <n v="1226.2107818871484"/>
    <n v="0"/>
    <s v="PASS"/>
    <n v="0"/>
    <x v="0"/>
  </r>
  <r>
    <s v="P0364"/>
    <d v="2025-12-09T00:00:00"/>
    <s v="Collision"/>
    <s v="16-24"/>
    <n v="1"/>
    <n v="4"/>
    <s v="Yes (Low Score)"/>
    <s v="5,000-8,499"/>
    <s v="Culver City (90066)"/>
    <s v="$15,000-$24,999"/>
    <s v="No"/>
    <s v="No"/>
    <s v="No"/>
    <s v="Yes"/>
    <s v="Yes"/>
    <s v="No"/>
    <s v="Yes (Low)"/>
    <s v="No"/>
    <s v="Yes"/>
    <s v="Yes"/>
    <s v="No"/>
    <s v="No"/>
    <s v="No"/>
    <n v="1561.579515282584"/>
    <n v="453"/>
    <n v="1.32"/>
    <n v="1.64"/>
    <n v="2.12"/>
    <n v="0.95"/>
    <n v="0.93"/>
    <n v="1.1499999999999999"/>
    <n v="1.08"/>
    <n v="1"/>
    <n v="1"/>
    <n v="1"/>
    <n v="0.88"/>
    <n v="0.95"/>
    <n v="1"/>
    <n v="0.92"/>
    <n v="0.89"/>
    <n v="1"/>
    <n v="1"/>
    <n v="1"/>
    <n v="1"/>
    <n v="1561.579515282584"/>
    <n v="0"/>
    <s v="PASS"/>
    <n v="0"/>
    <x v="0"/>
  </r>
  <r>
    <s v="P0365"/>
    <d v="2026-01-30T00:00:00"/>
    <s v="Liability"/>
    <s v="45-54"/>
    <n v="3"/>
    <n v="3"/>
    <s v="Yes (Low Score)"/>
    <s v="13,500-16,999"/>
    <s v="Westminster (92655)"/>
    <s v="$0-$4,999"/>
    <s v="No"/>
    <s v="No"/>
    <s v="No"/>
    <s v="Yes"/>
    <s v="No"/>
    <s v="Yes"/>
    <s v="No"/>
    <s v="Yes (Low)"/>
    <s v="No"/>
    <s v="No"/>
    <s v="Yes"/>
    <s v="No"/>
    <s v="Yes"/>
    <n v="760.01891196395309"/>
    <n v="622"/>
    <n v="1.07"/>
    <n v="1.22"/>
    <n v="1.82"/>
    <n v="0.95"/>
    <n v="1.18"/>
    <n v="1.0900000000000001"/>
    <n v="0.82"/>
    <n v="1"/>
    <n v="1"/>
    <n v="1"/>
    <n v="0.88"/>
    <n v="1"/>
    <n v="0.61"/>
    <n v="1"/>
    <n v="1"/>
    <n v="0.93"/>
    <n v="1"/>
    <n v="0.97"/>
    <n v="1.06"/>
    <n v="760.01891196395309"/>
    <n v="0"/>
    <s v="PASS"/>
    <n v="0"/>
    <x v="0"/>
  </r>
  <r>
    <s v="P0366"/>
    <d v="2025-07-18T00:00:00"/>
    <s v="Uninsured Motorist"/>
    <s v="16-24"/>
    <n v="7"/>
    <n v="0"/>
    <s v="Yes (Low Score)"/>
    <s v="5,000-8,499"/>
    <s v="Koreatown (90006)"/>
    <s v="$45,000-$84,999"/>
    <s v="No"/>
    <s v="Yes"/>
    <s v="No"/>
    <s v="Yes"/>
    <s v="No"/>
    <s v="Yes"/>
    <s v="No"/>
    <s v="Yes (High)"/>
    <s v="No"/>
    <s v="No"/>
    <s v="No"/>
    <s v="No"/>
    <s v="No"/>
    <n v="157.88999999999999"/>
    <n v="78"/>
    <n v="1.32"/>
    <n v="0.95"/>
    <n v="1"/>
    <n v="0.95"/>
    <n v="0.93"/>
    <n v="1.21"/>
    <n v="1.57"/>
    <n v="1"/>
    <n v="1.21"/>
    <n v="1"/>
    <n v="0.88"/>
    <n v="1"/>
    <n v="0.84"/>
    <n v="1"/>
    <n v="1"/>
    <n v="1"/>
    <n v="1"/>
    <n v="1"/>
    <n v="1"/>
    <n v="146.83549251761465"/>
    <n v="11.054507482385333"/>
    <s v="FAIL"/>
    <n v="11.054507482385333"/>
    <x v="9"/>
  </r>
  <r>
    <s v="P0367"/>
    <d v="2026-04-16T00:00:00"/>
    <s v="Liability"/>
    <s v="65+"/>
    <n v="7"/>
    <n v="1"/>
    <s v="No"/>
    <s v="17,000+"/>
    <s v="West Hollywood (90046)"/>
    <s v="$150,000+"/>
    <s v="No"/>
    <s v="No"/>
    <s v="No"/>
    <s v="No"/>
    <s v="No"/>
    <s v="Yes"/>
    <s v="No"/>
    <s v="Yes (High)"/>
    <s v="No"/>
    <s v="No"/>
    <s v="No"/>
    <s v="Yes"/>
    <s v="Yes"/>
    <n v="3621.9499790047289"/>
    <n v="622"/>
    <n v="1.27"/>
    <n v="0.95"/>
    <n v="1.34"/>
    <n v="1"/>
    <n v="1.31"/>
    <n v="1.18"/>
    <n v="2.87"/>
    <n v="1"/>
    <n v="1"/>
    <n v="1"/>
    <n v="1"/>
    <n v="1"/>
    <n v="0.84"/>
    <n v="1"/>
    <n v="1"/>
    <n v="1"/>
    <n v="0.94"/>
    <n v="0.97"/>
    <n v="1.06"/>
    <n v="3621.9499790047289"/>
    <n v="0"/>
    <s v="PASS"/>
    <n v="0"/>
    <x v="0"/>
  </r>
  <r>
    <s v="P0368"/>
    <d v="2025-08-27T00:00:00"/>
    <s v="Uninsured Motorist"/>
    <s v="45-54"/>
    <n v="4"/>
    <n v="0"/>
    <s v="No"/>
    <s v="0-4,999"/>
    <s v="Cypress (90630)"/>
    <s v="$85,000-$149,999"/>
    <s v="No"/>
    <s v="No"/>
    <s v="Yes"/>
    <s v="No"/>
    <s v="No"/>
    <s v="Yes"/>
    <s v="No"/>
    <s v="Yes (Medium)"/>
    <s v="No"/>
    <s v="No"/>
    <s v="No"/>
    <s v="No"/>
    <s v="No"/>
    <n v="143.4021569450496"/>
    <n v="78"/>
    <n v="1.07"/>
    <n v="1.1499999999999999"/>
    <n v="1"/>
    <n v="1"/>
    <n v="0.82"/>
    <n v="1.08"/>
    <n v="2.02"/>
    <n v="1"/>
    <n v="1"/>
    <n v="1.1599999999999999"/>
    <n v="1"/>
    <n v="1"/>
    <n v="0.72"/>
    <n v="1"/>
    <n v="1"/>
    <n v="1"/>
    <n v="1"/>
    <n v="1"/>
    <n v="1"/>
    <n v="143.4021569450496"/>
    <n v="0"/>
    <s v="PASS"/>
    <n v="0"/>
    <x v="0"/>
  </r>
  <r>
    <s v="P0369"/>
    <d v="2026-03-08T00:00:00"/>
    <s v="Uninsured Motorist"/>
    <s v="25-34"/>
    <n v="7"/>
    <s v="5+"/>
    <s v="Yes (Low Score)"/>
    <s v="17,000+"/>
    <s v="Fullerton (92832)"/>
    <s v="$25,000-$44,999"/>
    <s v="Yes"/>
    <s v="No"/>
    <s v="No"/>
    <s v="No"/>
    <s v="No"/>
    <s v="Yes"/>
    <s v="No"/>
    <s v="Yes (High)"/>
    <s v="No"/>
    <s v="Yes"/>
    <s v="Yes"/>
    <s v="No"/>
    <s v="No"/>
    <n v="378.88834149671766"/>
    <n v="78"/>
    <n v="1.23"/>
    <n v="0.95"/>
    <n v="2.4700000000000002"/>
    <n v="0.95"/>
    <n v="1.31"/>
    <n v="1.1200000000000001"/>
    <n v="1.28"/>
    <n v="1.28"/>
    <n v="1"/>
    <n v="1"/>
    <n v="1"/>
    <n v="1"/>
    <n v="0.84"/>
    <n v="1"/>
    <n v="0.89"/>
    <n v="0.93"/>
    <n v="1"/>
    <n v="1"/>
    <n v="1.06"/>
    <n v="378.88834149671766"/>
    <n v="0"/>
    <s v="PASS"/>
    <n v="0"/>
    <x v="0"/>
  </r>
  <r>
    <s v="P0370"/>
    <d v="2025-08-22T00:00:00"/>
    <s v="Comprehensive"/>
    <s v="16-24"/>
    <n v="3"/>
    <n v="1"/>
    <s v="Yes (High Score)"/>
    <s v="5,000-8,499"/>
    <s v="Fountain Valley (92708)"/>
    <s v="$85,000-$149,999"/>
    <s v="No"/>
    <s v="No"/>
    <s v="No"/>
    <s v="Yes"/>
    <s v="Yes"/>
    <s v="No"/>
    <s v="Yes (Low)"/>
    <s v="No"/>
    <s v="No"/>
    <s v="No"/>
    <s v="No"/>
    <s v="Yes"/>
    <s v="No"/>
    <n v="288.14001642834239"/>
    <n v="121"/>
    <n v="1.32"/>
    <n v="1.22"/>
    <n v="1.34"/>
    <n v="0.65"/>
    <n v="0.93"/>
    <n v="1.1499999999999999"/>
    <n v="2.02"/>
    <n v="1"/>
    <n v="1"/>
    <n v="1"/>
    <n v="0.88"/>
    <n v="0.95"/>
    <n v="1"/>
    <n v="1"/>
    <n v="1"/>
    <n v="1"/>
    <n v="0.94"/>
    <n v="1"/>
    <n v="1"/>
    <n v="288.14001642834239"/>
    <n v="0"/>
    <s v="PASS"/>
    <n v="0"/>
    <x v="0"/>
  </r>
  <r>
    <s v="P0371"/>
    <d v="2026-01-24T00:00:00"/>
    <s v="Rental Car Reinbursement"/>
    <s v="16-24"/>
    <n v="1"/>
    <n v="2"/>
    <s v="No"/>
    <s v="13,500-16,999"/>
    <s v="Newport Beach (92603)"/>
    <s v="$85,000-$149,999"/>
    <s v="No"/>
    <s v="No"/>
    <s v="No"/>
    <s v="No"/>
    <s v="No"/>
    <s v="Yes"/>
    <s v="No"/>
    <s v="Yes (Medium)"/>
    <s v="No"/>
    <s v="No"/>
    <s v="Yes"/>
    <s v="No"/>
    <s v="No"/>
    <n v="218.78415945600042"/>
    <n v="41"/>
    <n v="1.32"/>
    <n v="1.64"/>
    <n v="1.55"/>
    <n v="1"/>
    <n v="1.18"/>
    <n v="0.94"/>
    <n v="2.02"/>
    <n v="1"/>
    <n v="1"/>
    <n v="1"/>
    <n v="1"/>
    <n v="1"/>
    <n v="0.72"/>
    <n v="1"/>
    <n v="1"/>
    <n v="0.93"/>
    <n v="1"/>
    <n v="1"/>
    <n v="1.06"/>
    <n v="218.78415945600042"/>
    <n v="0"/>
    <s v="PASS"/>
    <n v="0"/>
    <x v="0"/>
  </r>
  <r>
    <s v="P0372"/>
    <d v="2025-10-01T00:00:00"/>
    <s v="Comprehensive"/>
    <s v="55-64"/>
    <n v="7"/>
    <s v="5+"/>
    <s v="Yes (High Score)"/>
    <s v="17,000+"/>
    <s v="Anaheim (92801)"/>
    <s v="$5,000-$14,999"/>
    <s v="No"/>
    <s v="No"/>
    <s v="No"/>
    <s v="No"/>
    <s v="Yes"/>
    <s v="No"/>
    <s v="Yes (High)"/>
    <s v="No"/>
    <s v="No"/>
    <s v="No"/>
    <s v="No"/>
    <s v="No"/>
    <s v="No"/>
    <n v="209.9112976084925"/>
    <n v="121"/>
    <n v="1.1200000000000001"/>
    <n v="0.95"/>
    <n v="2.4700000000000002"/>
    <n v="0.65"/>
    <n v="1.31"/>
    <n v="1.1100000000000001"/>
    <n v="0.97"/>
    <n v="1"/>
    <n v="1"/>
    <n v="1"/>
    <n v="1"/>
    <n v="0.72"/>
    <n v="1"/>
    <n v="1"/>
    <n v="1"/>
    <n v="1"/>
    <n v="1"/>
    <n v="1"/>
    <n v="1"/>
    <n v="209.9112976084925"/>
    <n v="0"/>
    <s v="PASS"/>
    <n v="0"/>
    <x v="0"/>
  </r>
  <r>
    <s v="P0373"/>
    <d v="2025-09-16T00:00:00"/>
    <s v="Liability"/>
    <s v="45-54"/>
    <n v="5"/>
    <n v="2"/>
    <s v="Yes (High Score)"/>
    <s v="8,500-13,499"/>
    <s v="Silverlake (90026 )"/>
    <s v="$5,000-$14,999"/>
    <s v="No"/>
    <s v="No"/>
    <s v="No"/>
    <s v="No"/>
    <s v="No"/>
    <s v="Yes"/>
    <s v="No"/>
    <s v="Yes (Low)"/>
    <s v="No"/>
    <s v="Yes"/>
    <s v="No"/>
    <s v="No"/>
    <s v="No"/>
    <n v="438.28091537115432"/>
    <n v="622"/>
    <n v="1.07"/>
    <n v="1.07"/>
    <n v="1.55"/>
    <n v="0.65"/>
    <n v="1"/>
    <n v="1.1599999999999999"/>
    <n v="0.97"/>
    <n v="1"/>
    <n v="1"/>
    <n v="1"/>
    <n v="1"/>
    <n v="1"/>
    <n v="0.61"/>
    <n v="1"/>
    <n v="0.89"/>
    <n v="1"/>
    <n v="1"/>
    <n v="1"/>
    <n v="1"/>
    <n v="438.28091537115432"/>
    <n v="0"/>
    <s v="PASS"/>
    <n v="0"/>
    <x v="0"/>
  </r>
  <r>
    <s v="P0374"/>
    <d v="2026-04-20T00:00:00"/>
    <s v="Liability"/>
    <s v="16-24"/>
    <n v="4"/>
    <n v="2"/>
    <s v="Yes (Medium Score)"/>
    <s v="0-4,999"/>
    <s v="Long Beach (90712)"/>
    <s v="$25,000-$44,999"/>
    <s v="Yes"/>
    <s v="No"/>
    <s v="No"/>
    <s v="No"/>
    <s v="No"/>
    <s v="Yes"/>
    <s v="No"/>
    <s v="Yes (High)"/>
    <s v="Yes"/>
    <s v="No"/>
    <s v="Yes"/>
    <s v="No"/>
    <s v="No"/>
    <n v="1342.1207256430646"/>
    <n v="622"/>
    <n v="1.32"/>
    <n v="1.1499999999999999"/>
    <n v="1.55"/>
    <n v="0.8"/>
    <n v="0.82"/>
    <n v="1.1200000000000001"/>
    <n v="1.28"/>
    <n v="1.28"/>
    <n v="1"/>
    <n v="1"/>
    <n v="1"/>
    <n v="1"/>
    <n v="0.84"/>
    <n v="0.92"/>
    <n v="1"/>
    <n v="0.93"/>
    <n v="1"/>
    <n v="1"/>
    <n v="1.06"/>
    <n v="1342.1207256430646"/>
    <n v="0"/>
    <s v="PASS"/>
    <n v="0"/>
    <x v="0"/>
  </r>
  <r>
    <s v="P0375"/>
    <d v="2025-07-12T00:00:00"/>
    <s v="Collision"/>
    <s v="65+"/>
    <n v="5"/>
    <n v="3"/>
    <s v="Yes (Medium Score)"/>
    <s v="0-4,999"/>
    <s v="DTLA (90012)"/>
    <s v="$45,000-$84,999"/>
    <s v="No"/>
    <s v="No"/>
    <s v="No"/>
    <s v="No"/>
    <s v="Yes"/>
    <s v="No"/>
    <s v="Yes (High)"/>
    <s v="No"/>
    <s v="No"/>
    <s v="No"/>
    <s v="No"/>
    <s v="No"/>
    <s v="No"/>
    <n v="1046.7997782601285"/>
    <n v="453"/>
    <n v="1.27"/>
    <n v="1.07"/>
    <n v="1.82"/>
    <n v="0.8"/>
    <n v="0.82"/>
    <n v="1.26"/>
    <n v="1.57"/>
    <n v="1"/>
    <n v="1"/>
    <n v="1"/>
    <n v="1"/>
    <n v="0.72"/>
    <n v="1"/>
    <n v="1"/>
    <n v="1"/>
    <n v="1"/>
    <n v="1"/>
    <n v="1"/>
    <n v="1"/>
    <n v="1046.7997782601285"/>
    <n v="0"/>
    <s v="PASS"/>
    <n v="0"/>
    <x v="0"/>
  </r>
  <r>
    <s v="P0376"/>
    <d v="2026-02-23T00:00:00"/>
    <s v="Liability"/>
    <s v="25-34"/>
    <n v="6"/>
    <n v="2"/>
    <s v="Yes (Medium Score)"/>
    <s v="5,000-8,499"/>
    <s v="Torrance (90248)"/>
    <s v="$150,000+"/>
    <s v="No"/>
    <s v="No"/>
    <s v="No"/>
    <s v="No"/>
    <s v="No"/>
    <s v="Yes"/>
    <s v="No"/>
    <s v="Yes (Low)"/>
    <s v="No"/>
    <s v="No"/>
    <s v="No"/>
    <s v="No"/>
    <s v="No"/>
    <n v="1833.7315174264397"/>
    <n v="622"/>
    <n v="1.23"/>
    <n v="1"/>
    <n v="1.55"/>
    <n v="0.8"/>
    <n v="0.93"/>
    <n v="1.1200000000000001"/>
    <n v="2.87"/>
    <n v="1"/>
    <n v="1"/>
    <n v="1"/>
    <n v="1"/>
    <n v="1"/>
    <n v="0.61"/>
    <n v="1"/>
    <n v="1"/>
    <n v="1"/>
    <n v="1"/>
    <n v="1"/>
    <n v="1.06"/>
    <n v="1833.7315174264397"/>
    <n v="0"/>
    <s v="PASS"/>
    <n v="0"/>
    <x v="0"/>
  </r>
  <r>
    <s v="P0377"/>
    <d v="2026-01-27T00:00:00"/>
    <s v="Collision"/>
    <s v="35-44"/>
    <n v="3"/>
    <n v="4"/>
    <s v="Yes (Medium Score)"/>
    <s v="17,000+"/>
    <s v="Santa Ana (92702)"/>
    <s v="$15,000-$24,999"/>
    <s v="No"/>
    <s v="No"/>
    <s v="No"/>
    <s v="Yes"/>
    <s v="Yes"/>
    <s v="No"/>
    <s v="Yes (Medium)"/>
    <s v="No"/>
    <s v="No"/>
    <s v="No"/>
    <s v="No"/>
    <s v="No"/>
    <s v="No"/>
    <n v="1059.8561567436011"/>
    <n v="453"/>
    <n v="1"/>
    <n v="1.22"/>
    <n v="2.12"/>
    <n v="0.8"/>
    <n v="1.31"/>
    <n v="1.02"/>
    <n v="1.08"/>
    <n v="1"/>
    <n v="1"/>
    <n v="1"/>
    <n v="0.88"/>
    <n v="0.84"/>
    <n v="1"/>
    <n v="1"/>
    <n v="1"/>
    <n v="1"/>
    <n v="1"/>
    <n v="1"/>
    <n v="1.06"/>
    <n v="1059.8561567436011"/>
    <n v="0"/>
    <s v="PASS"/>
    <n v="0"/>
    <x v="0"/>
  </r>
  <r>
    <s v="P0378"/>
    <d v="2026-03-19T00:00:00"/>
    <s v="Collision"/>
    <s v="35-44"/>
    <n v="7"/>
    <s v="5+"/>
    <s v="No"/>
    <s v="8,500-13,499"/>
    <s v="Koreatown (90006)"/>
    <s v="$150,000+"/>
    <s v="No"/>
    <s v="Yes"/>
    <s v="No"/>
    <s v="No"/>
    <s v="Yes"/>
    <s v="No"/>
    <s v="Yes (Medium)"/>
    <s v="No"/>
    <s v="No"/>
    <s v="No"/>
    <s v="No"/>
    <s v="No"/>
    <s v="No"/>
    <n v="3977.0087752431041"/>
    <n v="453"/>
    <n v="1"/>
    <n v="0.95"/>
    <n v="2.4700000000000002"/>
    <n v="1"/>
    <n v="1"/>
    <n v="1.21"/>
    <n v="2.87"/>
    <n v="1"/>
    <n v="1.21"/>
    <n v="1"/>
    <n v="1"/>
    <n v="0.84"/>
    <n v="1"/>
    <n v="1"/>
    <n v="1"/>
    <n v="1"/>
    <n v="1"/>
    <n v="1"/>
    <n v="1.06"/>
    <n v="3977.0087752431041"/>
    <n v="0"/>
    <s v="PASS"/>
    <n v="0"/>
    <x v="0"/>
  </r>
  <r>
    <s v="P0379"/>
    <d v="2026-04-06T00:00:00"/>
    <s v="Liability"/>
    <s v="25-34"/>
    <n v="6"/>
    <n v="0"/>
    <s v="No"/>
    <s v="0-4,999"/>
    <s v="Koreatown (90006)"/>
    <s v="$15,000-$24,999"/>
    <s v="No"/>
    <s v="Yes"/>
    <s v="No"/>
    <s v="Yes"/>
    <s v="No"/>
    <s v="Yes"/>
    <s v="No"/>
    <s v="Yes (Low)"/>
    <s v="Yes"/>
    <s v="No"/>
    <s v="No"/>
    <s v="No"/>
    <s v="No"/>
    <n v="519.2901015940065"/>
    <n v="622"/>
    <n v="1.23"/>
    <n v="1"/>
    <n v="1"/>
    <n v="1"/>
    <n v="0.82"/>
    <n v="1.21"/>
    <n v="1.08"/>
    <n v="1"/>
    <n v="1.21"/>
    <n v="1"/>
    <n v="0.88"/>
    <n v="1"/>
    <n v="0.61"/>
    <n v="0.92"/>
    <n v="1"/>
    <n v="1"/>
    <n v="1"/>
    <n v="1"/>
    <n v="1.06"/>
    <n v="519.2901015940065"/>
    <n v="0"/>
    <s v="PASS"/>
    <n v="0"/>
    <x v="0"/>
  </r>
  <r>
    <s v="P0380"/>
    <d v="2025-11-06T00:00:00"/>
    <s v="Liability"/>
    <s v="45-54"/>
    <n v="7"/>
    <n v="0"/>
    <s v="No"/>
    <s v="17,000+"/>
    <s v="Fullerton (92832)"/>
    <s v="$150,000+"/>
    <s v="No"/>
    <s v="Yes"/>
    <s v="No"/>
    <s v="No"/>
    <s v="No"/>
    <s v="Yes"/>
    <s v="No"/>
    <s v="Yes (Medium)"/>
    <s v="Yes"/>
    <s v="No"/>
    <s v="No"/>
    <s v="No"/>
    <s v="No"/>
    <n v="2133.903013937469"/>
    <n v="622"/>
    <n v="1.07"/>
    <n v="0.95"/>
    <n v="1"/>
    <n v="1"/>
    <n v="1.31"/>
    <n v="1.1200000000000001"/>
    <n v="2.87"/>
    <n v="1"/>
    <n v="1.21"/>
    <n v="1"/>
    <n v="1"/>
    <n v="1"/>
    <n v="0.72"/>
    <n v="0.92"/>
    <n v="1"/>
    <n v="1"/>
    <n v="1"/>
    <n v="1"/>
    <n v="1"/>
    <n v="2133.903013937469"/>
    <n v="0"/>
    <s v="PASS"/>
    <n v="0"/>
    <x v="0"/>
  </r>
  <r>
    <s v="P0381"/>
    <d v="2025-06-09T00:00:00"/>
    <s v="Collision"/>
    <s v="25-34"/>
    <n v="4"/>
    <n v="0"/>
    <s v="Yes (Low Score)"/>
    <s v="8,500-13,499"/>
    <s v="West Hollywood (90046)"/>
    <s v="$0-$4,999"/>
    <s v="Yes"/>
    <s v="No"/>
    <s v="No"/>
    <s v="Yes"/>
    <s v="Yes"/>
    <s v="No"/>
    <s v="Yes (High)"/>
    <s v="No"/>
    <s v="No"/>
    <s v="No"/>
    <s v="No"/>
    <s v="No"/>
    <s v="Yes"/>
    <n v="463.35888090183323"/>
    <n v="453"/>
    <n v="1.23"/>
    <n v="1.1499999999999999"/>
    <n v="1"/>
    <n v="0.95"/>
    <n v="1"/>
    <n v="1.18"/>
    <n v="0.82"/>
    <n v="1.28"/>
    <n v="1"/>
    <n v="1"/>
    <n v="0.88"/>
    <n v="0.72"/>
    <n v="1"/>
    <n v="1"/>
    <n v="1"/>
    <n v="1"/>
    <n v="1"/>
    <n v="0.97"/>
    <n v="1"/>
    <n v="463.35888090183323"/>
    <n v="0"/>
    <s v="PASS"/>
    <n v="0"/>
    <x v="0"/>
  </r>
  <r>
    <s v="P0382"/>
    <d v="2025-11-07T00:00:00"/>
    <s v="Liability"/>
    <s v="35-44"/>
    <n v="7"/>
    <n v="0"/>
    <s v="Yes (Low Score)"/>
    <s v="5,000-8,499"/>
    <s v="DTLA (90012)"/>
    <s v="$150,000+"/>
    <s v="No"/>
    <s v="No"/>
    <s v="No"/>
    <s v="No"/>
    <s v="No"/>
    <s v="Yes"/>
    <s v="No"/>
    <s v="Yes (Low)"/>
    <s v="No"/>
    <s v="Yes"/>
    <s v="Yes"/>
    <s v="No"/>
    <s v="No"/>
    <n v="953.1818757739635"/>
    <n v="622"/>
    <n v="1"/>
    <n v="0.95"/>
    <n v="1"/>
    <n v="0.95"/>
    <n v="0.93"/>
    <n v="1.26"/>
    <n v="2.87"/>
    <n v="1"/>
    <n v="1"/>
    <n v="1"/>
    <n v="1"/>
    <n v="1"/>
    <n v="0.61"/>
    <n v="1"/>
    <n v="0.89"/>
    <n v="0.93"/>
    <n v="1"/>
    <n v="1"/>
    <n v="1"/>
    <n v="953.1818757739635"/>
    <n v="0"/>
    <s v="PASS"/>
    <n v="0"/>
    <x v="0"/>
  </r>
  <r>
    <s v="P0383"/>
    <d v="2026-03-08T00:00:00"/>
    <s v="Collision"/>
    <s v="35-44"/>
    <n v="2"/>
    <n v="0"/>
    <s v="No"/>
    <s v="0-4,999"/>
    <s v="Hollywood (90028)"/>
    <s v="$5,000-$14,999"/>
    <s v="No"/>
    <s v="Yes"/>
    <s v="No"/>
    <s v="Yes"/>
    <s v="Yes"/>
    <s v="No"/>
    <s v="Yes (Medium)"/>
    <s v="No"/>
    <s v="No"/>
    <s v="Yes"/>
    <s v="No"/>
    <s v="No"/>
    <s v="No"/>
    <n v="510.14432894328127"/>
    <n v="453"/>
    <n v="1"/>
    <n v="1.41"/>
    <n v="1"/>
    <n v="1"/>
    <n v="0.82"/>
    <n v="1.19"/>
    <n v="0.97"/>
    <n v="1"/>
    <n v="1.21"/>
    <n v="1"/>
    <n v="0.88"/>
    <n v="0.84"/>
    <n v="1"/>
    <n v="1"/>
    <n v="0.89"/>
    <n v="1"/>
    <n v="1"/>
    <n v="1"/>
    <n v="1.06"/>
    <n v="510.14432894328127"/>
    <n v="0"/>
    <s v="PASS"/>
    <n v="0"/>
    <x v="0"/>
  </r>
  <r>
    <s v="P0384"/>
    <d v="2025-10-23T00:00:00"/>
    <s v="Collision"/>
    <s v="35-44"/>
    <n v="6"/>
    <n v="1"/>
    <s v="Yes (High Score)"/>
    <s v="13,500-16,999"/>
    <s v="Koreatown (90006)"/>
    <s v="$150,000+"/>
    <s v="No"/>
    <s v="No"/>
    <s v="No"/>
    <s v="No"/>
    <s v="Yes"/>
    <s v="No"/>
    <s v="Yes (Low)"/>
    <s v="No"/>
    <s v="No"/>
    <s v="Yes"/>
    <s v="No"/>
    <s v="No"/>
    <s v="No"/>
    <n v="1367.0337705714687"/>
    <n v="453"/>
    <n v="1"/>
    <n v="1"/>
    <n v="1.34"/>
    <n v="0.65"/>
    <n v="1.18"/>
    <n v="1.21"/>
    <n v="2.87"/>
    <n v="1"/>
    <n v="1"/>
    <n v="1"/>
    <n v="1"/>
    <n v="0.95"/>
    <n v="1"/>
    <n v="1"/>
    <n v="0.89"/>
    <n v="1"/>
    <n v="1"/>
    <n v="1"/>
    <n v="1"/>
    <n v="1367.0337705714687"/>
    <n v="0"/>
    <s v="PASS"/>
    <n v="0"/>
    <x v="0"/>
  </r>
  <r>
    <s v="P0385"/>
    <d v="2026-01-06T00:00:00"/>
    <s v="Liability"/>
    <s v="16-24"/>
    <n v="4"/>
    <s v="5+"/>
    <s v="Yes (Low Score)"/>
    <s v="0-4,999"/>
    <s v="Culver City (90066)"/>
    <s v="$150,000+"/>
    <s v="No"/>
    <s v="No"/>
    <s v="Yes"/>
    <s v="No"/>
    <s v="No"/>
    <s v="Yes"/>
    <s v="No"/>
    <s v="Yes (Medium)"/>
    <s v="No"/>
    <s v="Yes"/>
    <s v="Yes"/>
    <s v="No"/>
    <s v="No"/>
    <n v="4393.8538826955601"/>
    <n v="622"/>
    <n v="1.32"/>
    <n v="1.1499999999999999"/>
    <n v="2.4700000000000002"/>
    <n v="0.95"/>
    <n v="0.82"/>
    <n v="1.1499999999999999"/>
    <n v="2.87"/>
    <n v="1"/>
    <n v="1"/>
    <n v="1.1599999999999999"/>
    <n v="1"/>
    <n v="1"/>
    <n v="0.72"/>
    <n v="1"/>
    <n v="0.89"/>
    <n v="0.93"/>
    <n v="1"/>
    <n v="1"/>
    <n v="1.06"/>
    <n v="4393.8538826955601"/>
    <n v="0"/>
    <s v="PASS"/>
    <n v="0"/>
    <x v="0"/>
  </r>
  <r>
    <s v="P0386"/>
    <d v="2025-08-24T00:00:00"/>
    <s v="Liability"/>
    <s v="45-54"/>
    <n v="6"/>
    <n v="1"/>
    <s v="No"/>
    <s v="8,500-13,499"/>
    <s v="Long Beach (90712)"/>
    <s v="$25,000-$44,999"/>
    <s v="No"/>
    <s v="No"/>
    <s v="No"/>
    <s v="Yes"/>
    <s v="No"/>
    <s v="Yes"/>
    <s v="No"/>
    <s v="Yes (High)"/>
    <s v="No"/>
    <s v="No"/>
    <s v="No"/>
    <s v="No"/>
    <s v="No"/>
    <n v="945.08073694003235"/>
    <n v="622"/>
    <n v="1.07"/>
    <n v="1"/>
    <n v="1.34"/>
    <n v="1"/>
    <n v="1"/>
    <n v="1.1200000000000001"/>
    <n v="1.28"/>
    <n v="1"/>
    <n v="1"/>
    <n v="1"/>
    <n v="0.88"/>
    <n v="1"/>
    <n v="0.84"/>
    <n v="1"/>
    <n v="1"/>
    <n v="1"/>
    <n v="1"/>
    <n v="1"/>
    <n v="1"/>
    <n v="945.08073694003235"/>
    <n v="0"/>
    <s v="PASS"/>
    <n v="0"/>
    <x v="0"/>
  </r>
  <r>
    <s v="P0387"/>
    <d v="2026-04-15T00:00:00"/>
    <s v="Collision"/>
    <s v="45-54"/>
    <n v="7"/>
    <n v="0"/>
    <s v="Yes (Medium Score)"/>
    <s v="17,000+"/>
    <s v="Long Beach (90712)"/>
    <s v="$150,000+"/>
    <s v="No"/>
    <s v="No"/>
    <s v="Yes"/>
    <s v="No"/>
    <s v="Yes"/>
    <s v="No"/>
    <s v="Yes (Low)"/>
    <s v="No"/>
    <s v="No"/>
    <s v="No"/>
    <s v="Yes"/>
    <s v="Yes"/>
    <s v="Yes"/>
    <n v="1536.514925315757"/>
    <n v="453"/>
    <n v="1.07"/>
    <n v="0.95"/>
    <n v="1"/>
    <n v="0.8"/>
    <n v="1.31"/>
    <n v="1.1200000000000001"/>
    <n v="2.87"/>
    <n v="1"/>
    <n v="1"/>
    <n v="1.1599999999999999"/>
    <n v="1"/>
    <n v="0.95"/>
    <n v="1"/>
    <n v="1"/>
    <n v="1"/>
    <n v="0.93"/>
    <n v="0.94"/>
    <n v="0.97"/>
    <n v="1.06"/>
    <n v="1536.514925315757"/>
    <n v="0"/>
    <s v="PASS"/>
    <n v="0"/>
    <x v="0"/>
  </r>
  <r>
    <s v="P0388"/>
    <d v="2025-08-01T00:00:00"/>
    <s v="Liability"/>
    <s v="45-54"/>
    <n v="7"/>
    <s v="5+"/>
    <s v="No"/>
    <s v="8,500-13,499"/>
    <s v="Koreatown (90006)"/>
    <s v="$0-$4,999"/>
    <s v="No"/>
    <s v="No"/>
    <s v="No"/>
    <s v="No"/>
    <s v="No"/>
    <s v="Yes"/>
    <s v="No"/>
    <s v="Yes (High)"/>
    <s v="No"/>
    <s v="Yes"/>
    <s v="No"/>
    <s v="Yes"/>
    <s v="No"/>
    <n v="1088.9077528641792"/>
    <n v="622"/>
    <n v="1.07"/>
    <n v="0.95"/>
    <n v="2.4700000000000002"/>
    <n v="1"/>
    <n v="1"/>
    <n v="1.21"/>
    <n v="0.82"/>
    <n v="1"/>
    <n v="1"/>
    <n v="1"/>
    <n v="1"/>
    <n v="1"/>
    <n v="0.84"/>
    <n v="1"/>
    <n v="0.89"/>
    <n v="1"/>
    <n v="0.94"/>
    <n v="1"/>
    <n v="1"/>
    <n v="1088.9077528641792"/>
    <n v="0"/>
    <s v="PASS"/>
    <n v="0"/>
    <x v="0"/>
  </r>
  <r>
    <s v="P0389"/>
    <d v="2026-02-17T00:00:00"/>
    <s v="Rental Car Reinbursement"/>
    <s v="25-34"/>
    <n v="7"/>
    <n v="1"/>
    <s v="No"/>
    <s v="17,000+"/>
    <s v="Santa Monica (90401)"/>
    <s v="$15,000-$24,999"/>
    <s v="No"/>
    <s v="No"/>
    <s v="No"/>
    <s v="Yes"/>
    <s v="No"/>
    <s v="Yes"/>
    <s v="No"/>
    <s v="Yes (Low)"/>
    <s v="No"/>
    <s v="No"/>
    <s v="No"/>
    <s v="No"/>
    <s v="Yes"/>
    <n v="58.151446062017129"/>
    <n v="41"/>
    <n v="1.23"/>
    <n v="0.95"/>
    <n v="1.34"/>
    <n v="1"/>
    <n v="1.31"/>
    <n v="1.1599999999999999"/>
    <n v="1.08"/>
    <n v="1"/>
    <n v="1"/>
    <n v="1"/>
    <n v="0.88"/>
    <n v="1"/>
    <n v="0.61"/>
    <n v="1"/>
    <n v="1"/>
    <n v="1"/>
    <n v="1"/>
    <n v="0.97"/>
    <n v="1.06"/>
    <n v="58.151446062017129"/>
    <n v="0"/>
    <s v="PASS"/>
    <n v="0"/>
    <x v="0"/>
  </r>
  <r>
    <s v="P0390"/>
    <d v="2025-08-28T00:00:00"/>
    <s v="Liability"/>
    <s v="35-44"/>
    <n v="4"/>
    <n v="1"/>
    <s v="Yes (Low Score)"/>
    <s v="17,000+"/>
    <s v="Costa Mesa (92626)"/>
    <s v="$25,000-$44,999"/>
    <s v="No"/>
    <s v="No"/>
    <s v="No"/>
    <s v="No"/>
    <s v="No"/>
    <s v="Yes"/>
    <s v="No"/>
    <s v="Yes (Medium)"/>
    <s v="Yes"/>
    <s v="Yes"/>
    <s v="No"/>
    <s v="No"/>
    <s v="No"/>
    <n v="828.12529775530959"/>
    <n v="622"/>
    <n v="1"/>
    <n v="1.1499999999999999"/>
    <n v="1.34"/>
    <n v="0.95"/>
    <n v="1.31"/>
    <n v="0.92"/>
    <n v="1.28"/>
    <n v="1"/>
    <n v="1"/>
    <n v="1"/>
    <n v="1"/>
    <n v="1"/>
    <n v="0.72"/>
    <n v="0.92"/>
    <n v="0.89"/>
    <n v="1"/>
    <n v="1"/>
    <n v="1"/>
    <n v="1"/>
    <n v="828.12529775530959"/>
    <n v="0"/>
    <s v="PASS"/>
    <n v="0"/>
    <x v="0"/>
  </r>
  <r>
    <s v="P0391"/>
    <d v="2025-08-26T00:00:00"/>
    <s v="Collision"/>
    <s v="25-34"/>
    <s v="8+"/>
    <n v="1"/>
    <s v="Yes (Medium Score)"/>
    <s v="17,000+"/>
    <s v="DTLA (90012)"/>
    <s v="$85,000-$149,999"/>
    <s v="No"/>
    <s v="Yes"/>
    <s v="No"/>
    <s v="No"/>
    <s v="Yes"/>
    <s v="No"/>
    <s v="Yes (High)"/>
    <s v="No"/>
    <s v="No"/>
    <s v="Yes"/>
    <s v="No"/>
    <s v="No"/>
    <s v="No"/>
    <n v="1436.0915637770879"/>
    <n v="453"/>
    <n v="1.23"/>
    <n v="0.93"/>
    <n v="1.34"/>
    <n v="0.8"/>
    <n v="1.31"/>
    <n v="1.26"/>
    <n v="2.02"/>
    <n v="1"/>
    <n v="1.21"/>
    <n v="1"/>
    <n v="1"/>
    <n v="0.72"/>
    <n v="1"/>
    <n v="1"/>
    <n v="0.89"/>
    <n v="1"/>
    <n v="1"/>
    <n v="1"/>
    <n v="1"/>
    <n v="1436.0915637770879"/>
    <n v="0"/>
    <s v="PASS"/>
    <n v="0"/>
    <x v="0"/>
  </r>
  <r>
    <s v="P0392"/>
    <d v="2025-08-06T00:00:00"/>
    <s v="Rental Car Reinbursement"/>
    <s v="55-64"/>
    <n v="5"/>
    <n v="4"/>
    <s v="Yes (High Score)"/>
    <s v="0-4,999"/>
    <s v="Costa Mesa (92626)"/>
    <s v="$150,000+"/>
    <s v="No"/>
    <s v="No"/>
    <s v="Yes"/>
    <s v="Yes"/>
    <s v="No"/>
    <s v="Yes"/>
    <s v="No"/>
    <s v="Yes (High)"/>
    <s v="No"/>
    <s v="No"/>
    <s v="Yes"/>
    <s v="Yes"/>
    <s v="No"/>
    <n v="109.88772965617274"/>
    <n v="41"/>
    <n v="1.1200000000000001"/>
    <n v="1.07"/>
    <n v="2.12"/>
    <n v="0.65"/>
    <n v="0.82"/>
    <n v="0.92"/>
    <n v="2.87"/>
    <n v="1"/>
    <n v="1"/>
    <n v="1.1599999999999999"/>
    <n v="0.88"/>
    <n v="1"/>
    <n v="0.84"/>
    <n v="1"/>
    <n v="1"/>
    <n v="0.93"/>
    <n v="0.94"/>
    <n v="1"/>
    <n v="1"/>
    <n v="109.88772965617274"/>
    <n v="0"/>
    <s v="PASS"/>
    <n v="0"/>
    <x v="0"/>
  </r>
  <r>
    <s v="P0393"/>
    <d v="2025-06-09T00:00:00"/>
    <s v="Collision"/>
    <s v="25-34"/>
    <n v="2"/>
    <n v="3"/>
    <s v="No"/>
    <s v="5,000-8,499"/>
    <s v="Hawthorne (90250)"/>
    <s v="$25,000-$44,999"/>
    <s v="No"/>
    <s v="No"/>
    <s v="No"/>
    <s v="Yes"/>
    <s v="Yes"/>
    <s v="No"/>
    <s v="Yes (Low)"/>
    <s v="No"/>
    <s v="No"/>
    <s v="Yes"/>
    <s v="No"/>
    <s v="No"/>
    <s v="Yes"/>
    <n v="1339.0020705704312"/>
    <n v="453"/>
    <n v="1.23"/>
    <n v="1.41"/>
    <n v="1.82"/>
    <n v="1"/>
    <n v="0.93"/>
    <n v="1.0900000000000001"/>
    <n v="1.28"/>
    <n v="1"/>
    <n v="1"/>
    <n v="1"/>
    <n v="0.88"/>
    <n v="0.95"/>
    <n v="1"/>
    <n v="1"/>
    <n v="0.89"/>
    <n v="1"/>
    <n v="1"/>
    <n v="0.97"/>
    <n v="1"/>
    <n v="1339.0020705704312"/>
    <n v="0"/>
    <s v="PASS"/>
    <n v="0"/>
    <x v="0"/>
  </r>
  <r>
    <s v="P0394"/>
    <d v="2026-03-06T00:00:00"/>
    <s v="Collision"/>
    <s v="35-44"/>
    <n v="4"/>
    <n v="4"/>
    <s v="Yes (Low Score)"/>
    <s v="0-4,999"/>
    <s v="Koreatown (90006)"/>
    <s v="$15,000-$24,999"/>
    <s v="No"/>
    <s v="No"/>
    <s v="Yes"/>
    <s v="No"/>
    <s v="Yes"/>
    <s v="No"/>
    <s v="Yes (Medium)"/>
    <s v="No"/>
    <s v="Yes"/>
    <s v="Yes"/>
    <s v="Yes"/>
    <s v="Yes"/>
    <s v="No"/>
    <n v="831.20905076998974"/>
    <n v="453"/>
    <n v="1"/>
    <n v="1.1499999999999999"/>
    <n v="2.12"/>
    <n v="0.95"/>
    <n v="0.82"/>
    <n v="1.21"/>
    <n v="1.08"/>
    <n v="1"/>
    <n v="1"/>
    <n v="1.1599999999999999"/>
    <n v="1"/>
    <n v="0.84"/>
    <n v="1"/>
    <n v="0.92"/>
    <n v="0.89"/>
    <n v="0.93"/>
    <n v="0.94"/>
    <n v="1"/>
    <n v="1.06"/>
    <n v="831.20905076998974"/>
    <n v="0"/>
    <s v="PASS"/>
    <n v="0"/>
    <x v="0"/>
  </r>
  <r>
    <s v="P0395"/>
    <d v="2026-03-08T00:00:00"/>
    <s v="Liability"/>
    <s v="55-64"/>
    <n v="1"/>
    <s v="5+"/>
    <s v="Yes (High Score)"/>
    <s v="5,000-8,499"/>
    <s v="Irvine (92602)"/>
    <s v="$0-$4,999"/>
    <s v="No"/>
    <s v="No"/>
    <s v="No"/>
    <s v="Yes"/>
    <s v="No"/>
    <s v="Yes"/>
    <s v="No"/>
    <s v="Yes (Low)"/>
    <s v="No"/>
    <s v="No"/>
    <s v="No"/>
    <s v="No"/>
    <s v="No"/>
    <n v="867.56942194102669"/>
    <n v="622"/>
    <n v="1.1200000000000001"/>
    <n v="1.64"/>
    <n v="2.4700000000000002"/>
    <n v="0.65"/>
    <n v="0.93"/>
    <n v="1.0900000000000001"/>
    <n v="0.82"/>
    <n v="1"/>
    <n v="1"/>
    <n v="1"/>
    <n v="0.88"/>
    <n v="1"/>
    <n v="0.61"/>
    <n v="1"/>
    <n v="1"/>
    <n v="1"/>
    <n v="1"/>
    <n v="1"/>
    <n v="1.06"/>
    <n v="867.56942194102669"/>
    <n v="0"/>
    <s v="PASS"/>
    <n v="0"/>
    <x v="0"/>
  </r>
  <r>
    <s v="P0396"/>
    <d v="2025-10-10T00:00:00"/>
    <s v="Collision"/>
    <s v="35-44"/>
    <s v="8+"/>
    <n v="4"/>
    <s v="Yes (High Score)"/>
    <s v="13,500-16,999"/>
    <s v="Beverly Hills (90035)"/>
    <s v="$45,000-$84,999"/>
    <s v="No"/>
    <s v="Yes"/>
    <s v="Yes"/>
    <s v="Yes"/>
    <s v="Yes"/>
    <s v="No"/>
    <s v="Yes (Low)"/>
    <s v="No"/>
    <s v="No"/>
    <s v="No"/>
    <s v="Yes"/>
    <s v="No"/>
    <s v="No"/>
    <n v="1420.1361534082998"/>
    <n v="453"/>
    <n v="1"/>
    <n v="0.93"/>
    <n v="2.12"/>
    <n v="0.65"/>
    <n v="1.18"/>
    <n v="1.21"/>
    <n v="1.57"/>
    <n v="1"/>
    <n v="1.21"/>
    <n v="1.1599999999999999"/>
    <n v="0.88"/>
    <n v="0.95"/>
    <n v="1"/>
    <n v="1"/>
    <n v="1"/>
    <n v="0.93"/>
    <n v="1"/>
    <n v="1"/>
    <n v="1"/>
    <n v="1420.1361534082998"/>
    <n v="0"/>
    <s v="PASS"/>
    <n v="0"/>
    <x v="0"/>
  </r>
  <r>
    <s v="P0397"/>
    <d v="2025-08-22T00:00:00"/>
    <s v="Rental Car Reinbursement"/>
    <s v="65+"/>
    <n v="1"/>
    <n v="0"/>
    <s v="No"/>
    <s v="13,500-16,999"/>
    <s v="Koreatown (90006)"/>
    <s v="$25,000-$44,999"/>
    <s v="No"/>
    <s v="No"/>
    <s v="No"/>
    <s v="Yes"/>
    <s v="No"/>
    <s v="Yes"/>
    <s v="No"/>
    <s v="Yes (Medium)"/>
    <s v="No"/>
    <s v="Yes"/>
    <s v="No"/>
    <s v="No"/>
    <s v="No"/>
    <n v="88.006337619709129"/>
    <n v="41"/>
    <n v="1.27"/>
    <n v="1.64"/>
    <n v="1"/>
    <n v="1"/>
    <n v="1.18"/>
    <n v="1.21"/>
    <n v="1.28"/>
    <n v="1"/>
    <n v="1"/>
    <n v="1"/>
    <n v="0.88"/>
    <n v="1"/>
    <n v="0.72"/>
    <n v="1"/>
    <n v="0.89"/>
    <n v="1"/>
    <n v="1"/>
    <n v="1"/>
    <n v="1"/>
    <n v="88.006337619709129"/>
    <n v="0"/>
    <s v="PASS"/>
    <n v="0"/>
    <x v="0"/>
  </r>
  <r>
    <s v="P0398"/>
    <d v="2026-03-27T00:00:00"/>
    <s v="Liability"/>
    <s v="25-34"/>
    <n v="5"/>
    <n v="3"/>
    <s v="Yes (Medium Score)"/>
    <s v="5,000-8,499"/>
    <s v="Compton (90220)"/>
    <s v="$15,000-$24,999"/>
    <s v="No"/>
    <s v="No"/>
    <s v="No"/>
    <s v="Yes"/>
    <s v="No"/>
    <s v="Yes"/>
    <s v="No"/>
    <s v="Yes (High)"/>
    <s v="No"/>
    <s v="No"/>
    <s v="No"/>
    <s v="No"/>
    <s v="No"/>
    <n v="1354.93"/>
    <n v="622"/>
    <n v="1.23"/>
    <n v="1.07"/>
    <n v="1.82"/>
    <n v="0.8"/>
    <n v="0.93"/>
    <n v="1.56"/>
    <n v="1.08"/>
    <n v="1"/>
    <n v="1"/>
    <n v="1"/>
    <n v="0.88"/>
    <n v="1"/>
    <n v="0.84"/>
    <n v="1"/>
    <n v="1"/>
    <n v="1"/>
    <n v="1"/>
    <n v="1"/>
    <n v="1.06"/>
    <n v="1463.32157111131"/>
    <n v="-108.39157111130999"/>
    <s v="FAIL"/>
    <n v="108.39157111130999"/>
    <x v="5"/>
  </r>
  <r>
    <s v="P0399"/>
    <d v="2025-12-08T00:00:00"/>
    <s v="Comprehensive"/>
    <s v="25-34"/>
    <s v="8+"/>
    <n v="4"/>
    <s v="Yes (High Score)"/>
    <s v="8,500-13,499"/>
    <s v="Fullerton (92832)"/>
    <s v="$5,000-$14,999"/>
    <s v="No"/>
    <s v="No"/>
    <s v="Yes"/>
    <s v="No"/>
    <s v="Yes"/>
    <s v="No"/>
    <s v="Yes (Low)"/>
    <s v="No"/>
    <s v="Yes"/>
    <s v="Yes"/>
    <s v="Yes"/>
    <s v="No"/>
    <s v="No"/>
    <n v="173.88206207954028"/>
    <n v="121"/>
    <n v="1.23"/>
    <n v="0.93"/>
    <n v="2.12"/>
    <n v="0.65"/>
    <n v="1"/>
    <n v="1.1200000000000001"/>
    <n v="0.97"/>
    <n v="1"/>
    <n v="1"/>
    <n v="1.1599999999999999"/>
    <n v="1"/>
    <n v="0.95"/>
    <n v="1"/>
    <n v="0.92"/>
    <n v="0.89"/>
    <n v="0.93"/>
    <n v="1"/>
    <n v="1"/>
    <n v="1"/>
    <n v="173.88206207954028"/>
    <n v="0"/>
    <s v="PASS"/>
    <n v="0"/>
    <x v="0"/>
  </r>
  <r>
    <s v="P0400"/>
    <d v="2025-09-17T00:00:00"/>
    <s v="Collision"/>
    <s v="65+"/>
    <n v="7"/>
    <n v="1"/>
    <s v="Yes (Medium Score)"/>
    <s v="13,500-16,999"/>
    <s v="Newport Beach (92603)"/>
    <s v="$45,000-$84,999"/>
    <s v="No"/>
    <s v="No"/>
    <s v="No"/>
    <s v="Yes"/>
    <s v="Yes"/>
    <s v="No"/>
    <s v="Yes (Medium)"/>
    <s v="No"/>
    <s v="No"/>
    <s v="No"/>
    <s v="No"/>
    <s v="No"/>
    <s v="Yes"/>
    <n v="731.58285565106576"/>
    <n v="453"/>
    <n v="1.27"/>
    <n v="0.95"/>
    <n v="1.34"/>
    <n v="0.8"/>
    <n v="1.18"/>
    <n v="0.94"/>
    <n v="1.57"/>
    <n v="1"/>
    <n v="1"/>
    <n v="1"/>
    <n v="0.88"/>
    <n v="0.84"/>
    <n v="1"/>
    <n v="1"/>
    <n v="1"/>
    <n v="1"/>
    <n v="1"/>
    <n v="0.97"/>
    <n v="1"/>
    <n v="731.58285565106576"/>
    <n v="0"/>
    <s v="PASS"/>
    <n v="0"/>
    <x v="0"/>
  </r>
  <r>
    <s v="P0401"/>
    <d v="2026-04-10T00:00:00"/>
    <s v="Collision"/>
    <s v="55-64"/>
    <n v="5"/>
    <n v="1"/>
    <s v="No"/>
    <s v="13,500-16,999"/>
    <s v="Anaheim (92801)"/>
    <s v="$5,000-$14,999"/>
    <s v="No"/>
    <s v="No"/>
    <s v="No"/>
    <s v="Yes"/>
    <s v="Yes"/>
    <s v="No"/>
    <s v="Yes (Low)"/>
    <s v="No"/>
    <s v="No"/>
    <s v="No"/>
    <s v="No"/>
    <s v="No"/>
    <s v="No"/>
    <n v="819.01840962113249"/>
    <n v="453"/>
    <n v="1.1200000000000001"/>
    <n v="1.07"/>
    <n v="1.34"/>
    <n v="1"/>
    <n v="1.18"/>
    <n v="1.1100000000000001"/>
    <n v="0.97"/>
    <n v="1"/>
    <n v="1"/>
    <n v="1"/>
    <n v="0.88"/>
    <n v="0.95"/>
    <n v="1"/>
    <n v="1"/>
    <n v="1"/>
    <n v="1"/>
    <n v="1"/>
    <n v="1"/>
    <n v="1.06"/>
    <n v="819.01840962113249"/>
    <n v="0"/>
    <s v="PASS"/>
    <n v="0"/>
    <x v="0"/>
  </r>
  <r>
    <s v="P0402"/>
    <d v="2026-03-23T00:00:00"/>
    <s v="Liability"/>
    <s v="45-54"/>
    <n v="2"/>
    <n v="1"/>
    <s v="Yes (Medium Score)"/>
    <s v="5,000-8,499"/>
    <s v="Lake Forrest (92609)"/>
    <s v="$85,000-$149,999"/>
    <s v="No"/>
    <s v="No"/>
    <s v="No"/>
    <s v="Yes"/>
    <s v="No"/>
    <s v="Yes"/>
    <s v="No"/>
    <s v="Yes (Medium)"/>
    <s v="No"/>
    <s v="No"/>
    <s v="Yes"/>
    <s v="No"/>
    <s v="No"/>
    <n v="1121.3726668361639"/>
    <n v="622"/>
    <n v="1.07"/>
    <n v="1.41"/>
    <n v="1.34"/>
    <n v="0.8"/>
    <n v="0.93"/>
    <n v="0.95"/>
    <n v="2.02"/>
    <n v="1"/>
    <n v="1"/>
    <n v="1"/>
    <n v="0.88"/>
    <n v="1"/>
    <n v="0.72"/>
    <n v="1"/>
    <n v="1"/>
    <n v="0.93"/>
    <n v="1"/>
    <n v="1"/>
    <n v="1.06"/>
    <n v="1121.3726668361639"/>
    <n v="0"/>
    <s v="PASS"/>
    <n v="0"/>
    <x v="0"/>
  </r>
  <r>
    <s v="P0403"/>
    <d v="2025-10-23T00:00:00"/>
    <s v="Liability"/>
    <s v="45-54"/>
    <n v="5"/>
    <n v="4"/>
    <s v="Yes (High Score)"/>
    <s v="17,000+"/>
    <s v="Costa Mesa (92626)"/>
    <s v="$15,000-$24,999"/>
    <s v="No"/>
    <s v="No"/>
    <s v="No"/>
    <s v="Yes"/>
    <s v="No"/>
    <s v="Yes"/>
    <s v="No"/>
    <s v="Yes (Medium)"/>
    <s v="No"/>
    <s v="No"/>
    <s v="No"/>
    <s v="No"/>
    <s v="No"/>
    <n v="809.291920559554"/>
    <n v="622"/>
    <n v="1.07"/>
    <n v="1.07"/>
    <n v="2.12"/>
    <n v="0.65"/>
    <n v="1.31"/>
    <n v="0.92"/>
    <n v="1.08"/>
    <n v="1"/>
    <n v="1"/>
    <n v="1"/>
    <n v="0.88"/>
    <n v="1"/>
    <n v="0.72"/>
    <n v="1"/>
    <n v="1"/>
    <n v="1"/>
    <n v="1"/>
    <n v="1"/>
    <n v="1"/>
    <n v="809.291920559554"/>
    <n v="0"/>
    <s v="PASS"/>
    <n v="0"/>
    <x v="0"/>
  </r>
  <r>
    <s v="P0404"/>
    <d v="2026-03-04T00:00:00"/>
    <s v="Liability"/>
    <s v="35-44"/>
    <n v="1"/>
    <n v="2"/>
    <s v="No"/>
    <s v="5,000-8,499"/>
    <s v="Hawthorne (90250)"/>
    <s v="$85,000-$149,999"/>
    <s v="No"/>
    <s v="Yes"/>
    <s v="No"/>
    <s v="No"/>
    <s v="No"/>
    <s v="Yes"/>
    <s v="No"/>
    <s v="Yes (Low)"/>
    <s v="No"/>
    <s v="Yes"/>
    <s v="No"/>
    <s v="Yes"/>
    <s v="No"/>
    <n v="2119.1694165868794"/>
    <n v="622"/>
    <n v="1"/>
    <n v="1.64"/>
    <n v="1.55"/>
    <n v="1"/>
    <n v="0.93"/>
    <n v="1.0900000000000001"/>
    <n v="2.02"/>
    <n v="1"/>
    <n v="1.21"/>
    <n v="1"/>
    <n v="1"/>
    <n v="1"/>
    <n v="0.61"/>
    <n v="1"/>
    <n v="0.89"/>
    <n v="1"/>
    <n v="0.94"/>
    <n v="1"/>
    <n v="1.06"/>
    <n v="2119.1694165868794"/>
    <n v="0"/>
    <s v="PASS"/>
    <n v="0"/>
    <x v="0"/>
  </r>
  <r>
    <s v="P0405"/>
    <d v="2026-03-17T00:00:00"/>
    <s v="Comprehensive"/>
    <s v="55-64"/>
    <n v="5"/>
    <n v="4"/>
    <s v="Yes (Low Score)"/>
    <s v="5,000-8,499"/>
    <s v="Compton (90220)"/>
    <s v="$25,000-$44,999"/>
    <s v="No"/>
    <s v="No"/>
    <s v="Yes"/>
    <s v="Yes"/>
    <s v="Yes"/>
    <s v="No"/>
    <s v="Yes (High)"/>
    <s v="No"/>
    <s v="No"/>
    <s v="No"/>
    <s v="No"/>
    <s v="No"/>
    <s v="No"/>
    <n v="422.51601643153083"/>
    <n v="121"/>
    <n v="1.1200000000000001"/>
    <n v="1.07"/>
    <n v="2.12"/>
    <n v="0.95"/>
    <n v="0.93"/>
    <n v="1.56"/>
    <n v="1.28"/>
    <n v="1"/>
    <n v="1"/>
    <n v="1.1599999999999999"/>
    <n v="0.88"/>
    <n v="0.72"/>
    <n v="1"/>
    <n v="1"/>
    <n v="1"/>
    <n v="1"/>
    <n v="1"/>
    <n v="1"/>
    <n v="1.06"/>
    <n v="422.51601643153083"/>
    <n v="0"/>
    <s v="PASS"/>
    <n v="0"/>
    <x v="0"/>
  </r>
  <r>
    <s v="P0406"/>
    <d v="2025-11-15T00:00:00"/>
    <s v="Collision"/>
    <s v="55-64"/>
    <n v="6"/>
    <n v="0"/>
    <s v="Yes (High Score)"/>
    <s v="13,500-16,999"/>
    <s v="Silverlake (90026 )"/>
    <s v="$150,000+"/>
    <s v="No"/>
    <s v="No"/>
    <s v="No"/>
    <s v="No"/>
    <s v="Yes"/>
    <s v="No"/>
    <s v="Yes (Medium)"/>
    <s v="No"/>
    <s v="No"/>
    <s v="Yes"/>
    <s v="No"/>
    <s v="No"/>
    <s v="No"/>
    <n v="968.54714948759045"/>
    <n v="453"/>
    <n v="1.1200000000000001"/>
    <n v="1"/>
    <n v="1"/>
    <n v="0.65"/>
    <n v="1.18"/>
    <n v="1.1599999999999999"/>
    <n v="2.87"/>
    <n v="1"/>
    <n v="1"/>
    <n v="1"/>
    <n v="1"/>
    <n v="0.84"/>
    <n v="1"/>
    <n v="1"/>
    <n v="0.89"/>
    <n v="1"/>
    <n v="1"/>
    <n v="1"/>
    <n v="1"/>
    <n v="968.54714948759045"/>
    <n v="0"/>
    <s v="PASS"/>
    <n v="0"/>
    <x v="0"/>
  </r>
  <r>
    <s v="P0407"/>
    <d v="2025-09-04T00:00:00"/>
    <s v="Collision"/>
    <s v="65+"/>
    <n v="4"/>
    <n v="1"/>
    <s v="No"/>
    <s v="0-4,999"/>
    <s v="West Hollywood (90046)"/>
    <s v="$0-$4,999"/>
    <s v="No"/>
    <s v="No"/>
    <s v="No"/>
    <s v="No"/>
    <s v="Yes"/>
    <s v="No"/>
    <s v="Yes (Low)"/>
    <s v="No"/>
    <s v="Yes"/>
    <s v="Yes"/>
    <s v="No"/>
    <s v="Yes"/>
    <s v="Yes"/>
    <n v="498.90206428736889"/>
    <n v="453"/>
    <n v="1.27"/>
    <n v="1.1499999999999999"/>
    <n v="1.34"/>
    <n v="1"/>
    <n v="0.82"/>
    <n v="1.18"/>
    <n v="0.82"/>
    <n v="1"/>
    <n v="1"/>
    <n v="1"/>
    <n v="1"/>
    <n v="0.95"/>
    <n v="1"/>
    <n v="0.92"/>
    <n v="0.89"/>
    <n v="1"/>
    <n v="0.94"/>
    <n v="0.97"/>
    <n v="1"/>
    <n v="498.90206428736889"/>
    <n v="0"/>
    <s v="PASS"/>
    <n v="0"/>
    <x v="0"/>
  </r>
  <r>
    <s v="P0408"/>
    <d v="2025-08-14T00:00:00"/>
    <s v="Collision"/>
    <s v="55-64"/>
    <n v="2"/>
    <n v="3"/>
    <s v="No"/>
    <s v="0-4,999"/>
    <s v="Koreatown (90006)"/>
    <s v="$5,000-$14,999"/>
    <s v="No"/>
    <s v="No"/>
    <s v="No"/>
    <s v="Yes"/>
    <s v="Yes"/>
    <s v="No"/>
    <s v="Yes (Medium)"/>
    <s v="No"/>
    <s v="Yes"/>
    <s v="No"/>
    <s v="No"/>
    <s v="Yes"/>
    <s v="Yes"/>
    <n v="777.01080076726942"/>
    <n v="453"/>
    <n v="1.1200000000000001"/>
    <n v="1.41"/>
    <n v="1.82"/>
    <n v="1"/>
    <n v="0.82"/>
    <n v="1.21"/>
    <n v="0.97"/>
    <n v="1"/>
    <n v="1"/>
    <n v="1"/>
    <n v="0.88"/>
    <n v="0.84"/>
    <n v="1"/>
    <n v="0.92"/>
    <n v="1"/>
    <n v="1"/>
    <n v="0.94"/>
    <n v="0.97"/>
    <n v="1"/>
    <n v="777.01080076726942"/>
    <n v="0"/>
    <s v="PASS"/>
    <n v="0"/>
    <x v="0"/>
  </r>
  <r>
    <s v="P0409"/>
    <d v="2025-11-17T00:00:00"/>
    <s v="Collision"/>
    <s v="45-54"/>
    <n v="1"/>
    <n v="3"/>
    <s v="No"/>
    <s v="0-4,999"/>
    <s v="Fountain Valley (92708)"/>
    <s v="$25,000-$44,999"/>
    <s v="No"/>
    <s v="No"/>
    <s v="No"/>
    <s v="Yes"/>
    <s v="Yes"/>
    <s v="No"/>
    <s v="Yes (Low)"/>
    <s v="No"/>
    <s v="No"/>
    <s v="No"/>
    <s v="No"/>
    <s v="Yes"/>
    <s v="No"/>
    <n v="1372.3124681890113"/>
    <n v="453"/>
    <n v="1.07"/>
    <n v="1.64"/>
    <n v="1.82"/>
    <n v="1"/>
    <n v="0.82"/>
    <n v="1.1499999999999999"/>
    <n v="1.28"/>
    <n v="1"/>
    <n v="1"/>
    <n v="1"/>
    <n v="0.88"/>
    <n v="0.95"/>
    <n v="1"/>
    <n v="1"/>
    <n v="1"/>
    <n v="1"/>
    <n v="0.94"/>
    <n v="1"/>
    <n v="1"/>
    <n v="1372.3124681890113"/>
    <n v="0"/>
    <s v="PASS"/>
    <n v="0"/>
    <x v="0"/>
  </r>
  <r>
    <s v="P0410"/>
    <d v="2025-05-06T00:00:00"/>
    <s v="Uninsured Motorist"/>
    <s v="45-54"/>
    <s v="8+"/>
    <n v="0"/>
    <s v="No"/>
    <s v="13,500-16,999"/>
    <s v="Huntington Beach (90742)"/>
    <s v="$45,000-$84,999"/>
    <s v="No"/>
    <s v="No"/>
    <s v="No"/>
    <s v="Yes"/>
    <s v="No"/>
    <s v="Yes"/>
    <s v="No"/>
    <s v="Yes (Low)"/>
    <s v="No"/>
    <s v="No"/>
    <s v="Yes"/>
    <s v="No"/>
    <s v="No"/>
    <n v="70.350067756153805"/>
    <n v="78"/>
    <n v="1.07"/>
    <n v="0.93"/>
    <n v="1"/>
    <n v="1"/>
    <n v="1.18"/>
    <n v="0.98"/>
    <n v="1.57"/>
    <n v="1"/>
    <n v="1"/>
    <n v="1"/>
    <n v="0.88"/>
    <n v="1"/>
    <n v="0.61"/>
    <n v="1"/>
    <n v="1"/>
    <n v="0.93"/>
    <n v="1"/>
    <n v="1"/>
    <n v="1"/>
    <n v="70.350067756153805"/>
    <n v="0"/>
    <s v="PASS"/>
    <n v="0"/>
    <x v="0"/>
  </r>
  <r>
    <s v="P0411"/>
    <d v="2025-07-30T00:00:00"/>
    <s v="Collision"/>
    <s v="16-24"/>
    <s v="8+"/>
    <n v="3"/>
    <s v="No"/>
    <s v="17,000+"/>
    <s v="Koreatown (90006)"/>
    <s v="$15,000-$24,999"/>
    <s v="No"/>
    <s v="No"/>
    <s v="No"/>
    <s v="Yes"/>
    <s v="Yes"/>
    <s v="No"/>
    <s v="Yes (High)"/>
    <s v="No"/>
    <s v="Yes"/>
    <s v="Yes"/>
    <s v="No"/>
    <s v="No"/>
    <s v="No"/>
    <n v="898.87622534133766"/>
    <n v="453"/>
    <n v="1.32"/>
    <n v="0.93"/>
    <n v="1.82"/>
    <n v="1"/>
    <n v="1.31"/>
    <n v="1.21"/>
    <n v="1.08"/>
    <n v="1"/>
    <n v="1"/>
    <n v="1"/>
    <n v="0.88"/>
    <n v="0.72"/>
    <n v="1"/>
    <n v="0.92"/>
    <n v="0.89"/>
    <n v="1"/>
    <n v="1"/>
    <n v="1"/>
    <n v="1"/>
    <n v="898.87622534133766"/>
    <n v="0"/>
    <s v="PASS"/>
    <n v="0"/>
    <x v="0"/>
  </r>
  <r>
    <s v="P0412"/>
    <d v="2026-04-25T00:00:00"/>
    <s v="Uninsured Motorist"/>
    <s v="55-64"/>
    <n v="2"/>
    <n v="2"/>
    <s v="Yes (High Score)"/>
    <s v="5,000-8,499"/>
    <s v="Koreatown (90006)"/>
    <s v="$15,000-$24,999"/>
    <s v="No"/>
    <s v="No"/>
    <s v="No"/>
    <s v="Yes"/>
    <s v="No"/>
    <s v="Yes"/>
    <s v="No"/>
    <s v="Yes (Medium)"/>
    <s v="No"/>
    <s v="No"/>
    <s v="Yes"/>
    <s v="Yes"/>
    <s v="No"/>
    <n v="88.552474829593919"/>
    <n v="78"/>
    <n v="1.1200000000000001"/>
    <n v="1.41"/>
    <n v="1.55"/>
    <n v="0.65"/>
    <n v="0.93"/>
    <n v="1.21"/>
    <n v="1.08"/>
    <n v="1"/>
    <n v="1"/>
    <n v="1"/>
    <n v="0.88"/>
    <n v="1"/>
    <n v="0.72"/>
    <n v="1"/>
    <n v="1"/>
    <n v="0.93"/>
    <n v="0.94"/>
    <n v="1"/>
    <n v="1.06"/>
    <n v="88.552474829593919"/>
    <n v="0"/>
    <s v="PASS"/>
    <n v="0"/>
    <x v="0"/>
  </r>
  <r>
    <s v="P0413"/>
    <d v="2026-01-24T00:00:00"/>
    <s v="Liability"/>
    <s v="45-54"/>
    <n v="4"/>
    <n v="0"/>
    <s v="Yes (High Score)"/>
    <s v="5,000-8,499"/>
    <s v="Silverlake (90026 )"/>
    <s v="$5,000-$14,999"/>
    <s v="No"/>
    <s v="No"/>
    <s v="No"/>
    <s v="Yes"/>
    <s v="No"/>
    <s v="Yes"/>
    <s v="No"/>
    <s v="Yes (Medium)"/>
    <s v="No"/>
    <s v="No"/>
    <s v="No"/>
    <s v="No"/>
    <s v="No"/>
    <n v="349.63835257858892"/>
    <n v="622"/>
    <n v="1.07"/>
    <n v="1.1499999999999999"/>
    <n v="1"/>
    <n v="0.65"/>
    <n v="0.93"/>
    <n v="1.1599999999999999"/>
    <n v="0.97"/>
    <n v="1"/>
    <n v="1"/>
    <n v="1"/>
    <n v="0.88"/>
    <n v="1"/>
    <n v="0.72"/>
    <n v="1"/>
    <n v="1"/>
    <n v="1"/>
    <n v="1"/>
    <n v="1"/>
    <n v="1.06"/>
    <n v="349.63835257858892"/>
    <n v="0"/>
    <s v="PASS"/>
    <n v="0"/>
    <x v="0"/>
  </r>
  <r>
    <s v="P0414"/>
    <d v="2025-05-01T00:00:00"/>
    <s v="Liability"/>
    <s v="35-44"/>
    <n v="3"/>
    <n v="4"/>
    <s v="No"/>
    <s v="5,000-8,499"/>
    <s v="Compton (90220)"/>
    <s v="$25,000-$44,999"/>
    <s v="No"/>
    <s v="No"/>
    <s v="No"/>
    <s v="Yes"/>
    <s v="No"/>
    <s v="Yes"/>
    <s v="No"/>
    <s v="Yes (Low)"/>
    <s v="No"/>
    <s v="No"/>
    <s v="No"/>
    <s v="No"/>
    <s v="No"/>
    <n v="1603.6740438235547"/>
    <n v="622"/>
    <n v="1"/>
    <n v="1.22"/>
    <n v="2.12"/>
    <n v="1"/>
    <n v="0.93"/>
    <n v="1.56"/>
    <n v="1.28"/>
    <n v="1"/>
    <n v="1"/>
    <n v="1"/>
    <n v="0.88"/>
    <n v="1"/>
    <n v="0.61"/>
    <n v="1"/>
    <n v="1"/>
    <n v="1"/>
    <n v="1"/>
    <n v="1"/>
    <n v="1"/>
    <n v="1603.6740438235547"/>
    <n v="0"/>
    <s v="PASS"/>
    <n v="0"/>
    <x v="0"/>
  </r>
  <r>
    <s v="P0415"/>
    <d v="2025-12-07T00:00:00"/>
    <s v="Liability"/>
    <s v="25-34"/>
    <n v="2"/>
    <n v="1"/>
    <s v="No"/>
    <s v="8,500-13,499"/>
    <s v="Torrance (90248)"/>
    <s v="$0-$4,999"/>
    <s v="No"/>
    <s v="Yes"/>
    <s v="Yes"/>
    <s v="No"/>
    <s v="No"/>
    <s v="Yes"/>
    <s v="No"/>
    <s v="Yes (Medium)"/>
    <s v="No"/>
    <s v="No"/>
    <s v="No"/>
    <s v="Yes"/>
    <s v="No"/>
    <n v="1261.1158724741515"/>
    <n v="622"/>
    <n v="1.23"/>
    <n v="1.41"/>
    <n v="1.34"/>
    <n v="1"/>
    <n v="1"/>
    <n v="1.1200000000000001"/>
    <n v="0.82"/>
    <n v="1"/>
    <n v="1.21"/>
    <n v="1.1599999999999999"/>
    <n v="1"/>
    <n v="1"/>
    <n v="0.72"/>
    <n v="1"/>
    <n v="1"/>
    <n v="1"/>
    <n v="0.94"/>
    <n v="1"/>
    <n v="1"/>
    <n v="1261.1158724741515"/>
    <n v="0"/>
    <s v="PASS"/>
    <n v="0"/>
    <x v="0"/>
  </r>
  <r>
    <s v="P0416"/>
    <d v="2025-10-02T00:00:00"/>
    <s v="Liability"/>
    <s v="35-44"/>
    <n v="7"/>
    <s v="5+"/>
    <s v="No"/>
    <s v="0-4,999"/>
    <s v="Fountain Valley (92708)"/>
    <s v="$0-$4,999"/>
    <s v="No"/>
    <s v="No"/>
    <s v="No"/>
    <s v="No"/>
    <s v="No"/>
    <s v="Yes"/>
    <s v="No"/>
    <s v="Yes (Medium)"/>
    <s v="No"/>
    <s v="Yes"/>
    <s v="No"/>
    <s v="No"/>
    <s v="Yes"/>
    <n v="701.50492711744846"/>
    <n v="622"/>
    <n v="1"/>
    <n v="0.95"/>
    <n v="2.4700000000000002"/>
    <n v="1"/>
    <n v="0.82"/>
    <n v="1.1499999999999999"/>
    <n v="0.82"/>
    <n v="1"/>
    <n v="1"/>
    <n v="1"/>
    <n v="1"/>
    <n v="1"/>
    <n v="0.72"/>
    <n v="1"/>
    <n v="0.89"/>
    <n v="1"/>
    <n v="1"/>
    <n v="0.97"/>
    <n v="1"/>
    <n v="701.50492711744846"/>
    <n v="0"/>
    <s v="PASS"/>
    <n v="0"/>
    <x v="0"/>
  </r>
  <r>
    <s v="P0417"/>
    <d v="2026-01-15T00:00:00"/>
    <s v="Liability"/>
    <s v="25-34"/>
    <n v="7"/>
    <n v="1"/>
    <s v="No"/>
    <s v="5,000-8,499"/>
    <s v="Long Beach (90712)"/>
    <s v="$25,000-$44,999"/>
    <s v="No"/>
    <s v="No"/>
    <s v="No"/>
    <s v="Yes"/>
    <s v="No"/>
    <s v="Yes"/>
    <s v="No"/>
    <s v="Yes (Low)"/>
    <s v="No"/>
    <s v="No"/>
    <s v="Yes"/>
    <s v="No"/>
    <s v="No"/>
    <n v="687.12565131655867"/>
    <n v="622"/>
    <n v="1.23"/>
    <n v="0.95"/>
    <n v="1.34"/>
    <n v="1"/>
    <n v="0.93"/>
    <n v="1.1200000000000001"/>
    <n v="1.28"/>
    <n v="1"/>
    <n v="1"/>
    <n v="1"/>
    <n v="0.88"/>
    <n v="1"/>
    <n v="0.61"/>
    <n v="1"/>
    <n v="1"/>
    <n v="0.93"/>
    <n v="1"/>
    <n v="1"/>
    <n v="1.06"/>
    <n v="687.12565131655867"/>
    <n v="0"/>
    <s v="PASS"/>
    <n v="0"/>
    <x v="0"/>
  </r>
  <r>
    <s v="P0418"/>
    <d v="2026-02-15T00:00:00"/>
    <s v="Liability"/>
    <s v="55-64"/>
    <n v="7"/>
    <n v="0"/>
    <s v="Yes (High Score)"/>
    <s v="5,000-8,499"/>
    <s v="DTLA (90012)"/>
    <s v="$5,000-$14,999"/>
    <s v="No"/>
    <s v="No"/>
    <s v="No"/>
    <s v="Yes"/>
    <s v="No"/>
    <s v="Yes"/>
    <s v="No"/>
    <s v="Yes (Medium)"/>
    <s v="No"/>
    <s v="No"/>
    <s v="No"/>
    <s v="Yes"/>
    <s v="Yes"/>
    <n v="299.42717916789843"/>
    <n v="622"/>
    <n v="1.1200000000000001"/>
    <n v="0.95"/>
    <n v="1"/>
    <n v="0.65"/>
    <n v="0.93"/>
    <n v="1.26"/>
    <n v="0.97"/>
    <n v="1"/>
    <n v="1"/>
    <n v="1"/>
    <n v="0.88"/>
    <n v="1"/>
    <n v="0.72"/>
    <n v="1"/>
    <n v="1"/>
    <n v="1"/>
    <n v="0.94"/>
    <n v="0.97"/>
    <n v="1.06"/>
    <n v="299.42717916789843"/>
    <n v="0"/>
    <s v="PASS"/>
    <n v="0"/>
    <x v="0"/>
  </r>
  <r>
    <s v="P0419"/>
    <d v="2025-05-29T00:00:00"/>
    <s v="Liability"/>
    <s v="16-24"/>
    <n v="6"/>
    <n v="1"/>
    <s v="Yes (Medium Score)"/>
    <s v="0-4,999"/>
    <s v="Santa Monica (90401)"/>
    <s v="$85,000-$149,999"/>
    <s v="No"/>
    <s v="No"/>
    <s v="No"/>
    <s v="Yes"/>
    <s v="No"/>
    <s v="Yes"/>
    <s v="No"/>
    <s v="Yes (Medium)"/>
    <s v="Yes"/>
    <s v="No"/>
    <s v="Yes"/>
    <s v="No"/>
    <s v="No"/>
    <n v="916.78659976163271"/>
    <n v="622"/>
    <n v="1.32"/>
    <n v="1"/>
    <n v="1.34"/>
    <n v="0.8"/>
    <n v="0.82"/>
    <n v="1.1599999999999999"/>
    <n v="2.02"/>
    <n v="1"/>
    <n v="1"/>
    <n v="1"/>
    <n v="0.88"/>
    <n v="1"/>
    <n v="0.72"/>
    <n v="0.92"/>
    <n v="1"/>
    <n v="0.93"/>
    <n v="1"/>
    <n v="1"/>
    <n v="1"/>
    <n v="916.78659976163271"/>
    <n v="0"/>
    <s v="PASS"/>
    <n v="0"/>
    <x v="0"/>
  </r>
  <r>
    <s v="P0420"/>
    <d v="2025-12-29T00:00:00"/>
    <s v="Uninsured Motorist"/>
    <s v="65+"/>
    <n v="3"/>
    <n v="0"/>
    <s v="Yes (Medium Score)"/>
    <s v="8,500-13,499"/>
    <s v="Orange (92705)"/>
    <s v="$25,000-$44,999"/>
    <s v="No"/>
    <s v="No"/>
    <s v="No"/>
    <s v="No"/>
    <s v="No"/>
    <s v="Yes"/>
    <s v="No"/>
    <s v="Yes (Low)"/>
    <s v="No"/>
    <s v="No"/>
    <s v="Yes"/>
    <s v="No"/>
    <s v="No"/>
    <n v="71.609570065612814"/>
    <n v="78"/>
    <n v="1.27"/>
    <n v="1.22"/>
    <n v="1"/>
    <n v="0.8"/>
    <n v="1"/>
    <n v="1.02"/>
    <n v="1.28"/>
    <n v="1"/>
    <n v="1"/>
    <n v="1"/>
    <n v="1"/>
    <n v="1"/>
    <n v="0.61"/>
    <n v="1"/>
    <n v="1"/>
    <n v="0.93"/>
    <n v="1"/>
    <n v="1"/>
    <n v="1"/>
    <n v="71.609570065612814"/>
    <n v="0"/>
    <s v="PASS"/>
    <n v="0"/>
    <x v="0"/>
  </r>
  <r>
    <s v="P0421"/>
    <d v="2025-12-04T00:00:00"/>
    <s v="Rental Car Reinbursement"/>
    <s v="35-44"/>
    <n v="6"/>
    <n v="1"/>
    <s v="No"/>
    <s v="0-4,999"/>
    <s v="Long Beach (90712)"/>
    <s v="$0-$4,999"/>
    <s v="No"/>
    <s v="No"/>
    <s v="No"/>
    <s v="No"/>
    <s v="No"/>
    <s v="Yes"/>
    <s v="No"/>
    <s v="Yes (Medium)"/>
    <s v="No"/>
    <s v="No"/>
    <s v="Yes"/>
    <s v="No"/>
    <s v="No"/>
    <n v="27.704468800512"/>
    <n v="41"/>
    <n v="1"/>
    <n v="1"/>
    <n v="1.34"/>
    <n v="1"/>
    <n v="0.82"/>
    <n v="1.1200000000000001"/>
    <n v="0.82"/>
    <n v="1"/>
    <n v="1"/>
    <n v="1"/>
    <n v="1"/>
    <n v="1"/>
    <n v="0.72"/>
    <n v="1"/>
    <n v="1"/>
    <n v="0.93"/>
    <n v="1"/>
    <n v="1"/>
    <n v="1"/>
    <n v="27.704468800512"/>
    <n v="0"/>
    <s v="PASS"/>
    <n v="0"/>
    <x v="0"/>
  </r>
  <r>
    <s v="P0422"/>
    <d v="2025-05-22T00:00:00"/>
    <s v="Rental Car Reinbursement"/>
    <s v="25-34"/>
    <s v="8+"/>
    <n v="0"/>
    <s v="Yes (Medium Score)"/>
    <s v="13,500-16,999"/>
    <s v="Santa Ana (92702)"/>
    <s v="$5,000-$14,999"/>
    <s v="No"/>
    <s v="No"/>
    <s v="No"/>
    <s v="Yes"/>
    <s v="No"/>
    <s v="Yes"/>
    <s v="No"/>
    <s v="Yes (Low)"/>
    <s v="No"/>
    <s v="Yes"/>
    <s v="No"/>
    <s v="No"/>
    <s v="No"/>
    <n v="20.927547235428644"/>
    <n v="41"/>
    <n v="1.23"/>
    <n v="0.93"/>
    <n v="1"/>
    <n v="0.8"/>
    <n v="1.18"/>
    <n v="1.02"/>
    <n v="0.97"/>
    <n v="1"/>
    <n v="1"/>
    <n v="1"/>
    <n v="0.88"/>
    <n v="1"/>
    <n v="0.61"/>
    <n v="1"/>
    <n v="0.89"/>
    <n v="1"/>
    <n v="1"/>
    <n v="1"/>
    <n v="1"/>
    <n v="20.927547235428644"/>
    <n v="0"/>
    <s v="PASS"/>
    <n v="0"/>
    <x v="0"/>
  </r>
  <r>
    <s v="P0423"/>
    <d v="2026-01-26T00:00:00"/>
    <s v="Liability"/>
    <s v="16-24"/>
    <n v="6"/>
    <s v="5+"/>
    <s v="Yes (High Score)"/>
    <s v="17,000+"/>
    <s v="DTLA (90012)"/>
    <s v="$0-$4,999"/>
    <s v="Yes"/>
    <s v="No"/>
    <s v="No"/>
    <s v="No"/>
    <s v="No"/>
    <s v="Yes"/>
    <s v="No"/>
    <s v="Yes (Medium)"/>
    <s v="No"/>
    <s v="No"/>
    <s v="No"/>
    <s v="No"/>
    <s v="No"/>
    <n v="1742.9248032004684"/>
    <n v="622"/>
    <n v="1.32"/>
    <n v="1"/>
    <n v="2.4700000000000002"/>
    <n v="0.65"/>
    <n v="1.31"/>
    <n v="1.26"/>
    <n v="0.82"/>
    <n v="1.28"/>
    <n v="1"/>
    <n v="1"/>
    <n v="1"/>
    <n v="1"/>
    <n v="0.72"/>
    <n v="1"/>
    <n v="1"/>
    <n v="1"/>
    <n v="1"/>
    <n v="1"/>
    <n v="1.06"/>
    <n v="1742.9248032004684"/>
    <n v="0"/>
    <s v="PASS"/>
    <n v="0"/>
    <x v="0"/>
  </r>
  <r>
    <s v="P0424"/>
    <d v="2025-07-10T00:00:00"/>
    <s v="Liability"/>
    <s v="45-54"/>
    <n v="5"/>
    <s v="5+"/>
    <s v="Yes (Low Score)"/>
    <s v="17,000+"/>
    <s v="Newport Beach (92603)"/>
    <s v="$45,000-$84,999"/>
    <s v="No"/>
    <s v="No"/>
    <s v="Yes"/>
    <s v="No"/>
    <s v="No"/>
    <s v="Yes"/>
    <s v="No"/>
    <s v="Yes (Low)"/>
    <s v="No"/>
    <s v="Yes"/>
    <s v="No"/>
    <s v="No"/>
    <s v="No"/>
    <n v="2034.4879932304955"/>
    <n v="622"/>
    <n v="1.07"/>
    <n v="1.07"/>
    <n v="2.4700000000000002"/>
    <n v="0.95"/>
    <n v="1.31"/>
    <n v="0.94"/>
    <n v="1.57"/>
    <n v="1"/>
    <n v="1"/>
    <n v="1.1599999999999999"/>
    <n v="1"/>
    <n v="1"/>
    <n v="0.61"/>
    <n v="1"/>
    <n v="0.89"/>
    <n v="1"/>
    <n v="1"/>
    <n v="1"/>
    <n v="1"/>
    <n v="2034.4879932304955"/>
    <n v="0"/>
    <s v="PASS"/>
    <n v="0"/>
    <x v="0"/>
  </r>
  <r>
    <s v="P0425"/>
    <d v="2025-10-12T00:00:00"/>
    <s v="Collision"/>
    <s v="35-44"/>
    <s v="8+"/>
    <n v="4"/>
    <s v="No"/>
    <s v="0-4,999"/>
    <s v="Compton (90220)"/>
    <s v="$5,000-$14,999"/>
    <s v="No"/>
    <s v="Yes"/>
    <s v="No"/>
    <s v="Yes"/>
    <s v="Yes"/>
    <s v="No"/>
    <s v="Yes (Medium)"/>
    <s v="No"/>
    <s v="No"/>
    <s v="Yes"/>
    <s v="No"/>
    <s v="No"/>
    <s v="Yes"/>
    <n v="855.7290311198343"/>
    <n v="453"/>
    <n v="1"/>
    <n v="0.93"/>
    <n v="2.12"/>
    <n v="1"/>
    <n v="0.82"/>
    <n v="1.56"/>
    <n v="0.97"/>
    <n v="1"/>
    <n v="1.21"/>
    <n v="1"/>
    <n v="0.88"/>
    <n v="0.84"/>
    <n v="1"/>
    <n v="1"/>
    <n v="0.89"/>
    <n v="1"/>
    <n v="1"/>
    <n v="0.97"/>
    <n v="1"/>
    <n v="855.7290311198343"/>
    <n v="0"/>
    <s v="PASS"/>
    <n v="0"/>
    <x v="0"/>
  </r>
  <r>
    <s v="P0426"/>
    <d v="2025-12-10T00:00:00"/>
    <s v="Liability"/>
    <s v="65+"/>
    <n v="7"/>
    <n v="0"/>
    <s v="Yes (Medium Score)"/>
    <s v="17,000+"/>
    <s v="Lake Forrest (92609)"/>
    <s v="$85,000-$149,999"/>
    <s v="No"/>
    <s v="No"/>
    <s v="No"/>
    <s v="Yes"/>
    <s v="No"/>
    <s v="Yes"/>
    <s v="No"/>
    <s v="Yes (High)"/>
    <s v="No"/>
    <s v="Yes"/>
    <s v="No"/>
    <s v="No"/>
    <s v="No"/>
    <n v="992.90096588999495"/>
    <n v="622"/>
    <n v="1.27"/>
    <n v="0.95"/>
    <n v="1"/>
    <n v="0.8"/>
    <n v="1.31"/>
    <n v="0.95"/>
    <n v="2.02"/>
    <n v="1"/>
    <n v="1"/>
    <n v="1"/>
    <n v="0.88"/>
    <n v="1"/>
    <n v="0.84"/>
    <n v="1"/>
    <n v="0.89"/>
    <n v="1"/>
    <n v="1"/>
    <n v="1"/>
    <n v="1"/>
    <n v="992.90096588999495"/>
    <n v="0"/>
    <s v="PASS"/>
    <n v="0"/>
    <x v="0"/>
  </r>
  <r>
    <s v="P0427"/>
    <d v="2025-08-19T00:00:00"/>
    <s v="Uninsured Motorist"/>
    <s v="35-44"/>
    <s v="8+"/>
    <n v="2"/>
    <s v="No"/>
    <s v="0-4,999"/>
    <s v="Hollywood (90028)"/>
    <s v="$85,000-$149,999"/>
    <s v="No"/>
    <s v="No"/>
    <s v="No"/>
    <s v="Yes"/>
    <s v="No"/>
    <s v="Yes"/>
    <s v="No"/>
    <s v="Yes (Low)"/>
    <s v="No"/>
    <s v="No"/>
    <s v="No"/>
    <s v="No"/>
    <s v="Yes"/>
    <n v="115.39996419314562"/>
    <n v="78"/>
    <n v="1"/>
    <n v="0.93"/>
    <n v="1.55"/>
    <n v="1"/>
    <n v="0.82"/>
    <n v="1.19"/>
    <n v="2.02"/>
    <n v="1"/>
    <n v="1"/>
    <n v="1"/>
    <n v="0.88"/>
    <n v="1"/>
    <n v="0.61"/>
    <n v="1"/>
    <n v="1"/>
    <n v="1"/>
    <n v="1"/>
    <n v="0.97"/>
    <n v="1"/>
    <n v="115.39996419314562"/>
    <n v="0"/>
    <s v="PASS"/>
    <n v="0"/>
    <x v="0"/>
  </r>
  <r>
    <s v="P0428"/>
    <d v="2025-05-22T00:00:00"/>
    <s v="Collision"/>
    <s v="35-44"/>
    <s v="8+"/>
    <n v="3"/>
    <s v="Yes (Medium Score)"/>
    <s v="13,500-16,999"/>
    <s v="Long Beach (90712)"/>
    <s v="$150,000+"/>
    <s v="No"/>
    <s v="No"/>
    <s v="No"/>
    <s v="No"/>
    <s v="Yes"/>
    <s v="No"/>
    <s v="Yes (High)"/>
    <s v="No"/>
    <s v="No"/>
    <s v="Yes"/>
    <s v="No"/>
    <s v="No"/>
    <s v="No"/>
    <n v="1490.8946466595187"/>
    <n v="453"/>
    <n v="1"/>
    <n v="0.93"/>
    <n v="1.82"/>
    <n v="0.8"/>
    <n v="1.18"/>
    <n v="1.1200000000000001"/>
    <n v="2.87"/>
    <n v="1"/>
    <n v="1"/>
    <n v="1"/>
    <n v="1"/>
    <n v="0.72"/>
    <n v="1"/>
    <n v="1"/>
    <n v="0.89"/>
    <n v="1"/>
    <n v="1"/>
    <n v="1"/>
    <n v="1"/>
    <n v="1490.8946466595187"/>
    <n v="0"/>
    <s v="PASS"/>
    <n v="0"/>
    <x v="0"/>
  </r>
  <r>
    <s v="P0429"/>
    <d v="2026-03-21T00:00:00"/>
    <s v="Liability"/>
    <s v="35-44"/>
    <n v="4"/>
    <n v="0"/>
    <s v="No"/>
    <s v="17,000+"/>
    <s v="West Hollywood (90046)"/>
    <s v="$25,000-$44,999"/>
    <s v="No"/>
    <s v="No"/>
    <s v="Yes"/>
    <s v="Yes"/>
    <s v="No"/>
    <s v="Yes"/>
    <s v="No"/>
    <s v="Yes (High)"/>
    <s v="No"/>
    <s v="No"/>
    <s v="No"/>
    <s v="No"/>
    <s v="No"/>
    <n v="1286.4037883241431"/>
    <n v="622"/>
    <n v="1"/>
    <n v="1.1499999999999999"/>
    <n v="1"/>
    <n v="1"/>
    <n v="1.31"/>
    <n v="1.18"/>
    <n v="1.28"/>
    <n v="1"/>
    <n v="1"/>
    <n v="1.1599999999999999"/>
    <n v="0.88"/>
    <n v="1"/>
    <n v="0.84"/>
    <n v="1"/>
    <n v="1"/>
    <n v="1"/>
    <n v="1"/>
    <n v="1"/>
    <n v="1.06"/>
    <n v="1286.4037883241431"/>
    <n v="0"/>
    <s v="PASS"/>
    <n v="0"/>
    <x v="0"/>
  </r>
  <r>
    <s v="P0430"/>
    <d v="2025-07-30T00:00:00"/>
    <s v="Collision"/>
    <s v="45-54"/>
    <n v="3"/>
    <n v="4"/>
    <s v="No"/>
    <s v="0-4,999"/>
    <s v="Beverly Hills (90035)"/>
    <s v="$0-$4,999"/>
    <s v="No"/>
    <s v="Yes"/>
    <s v="No"/>
    <s v="No"/>
    <s v="Yes"/>
    <s v="No"/>
    <s v="Yes (Low)"/>
    <s v="No"/>
    <s v="No"/>
    <s v="No"/>
    <s v="No"/>
    <s v="Yes"/>
    <s v="No"/>
    <n v="1102.1166807981406"/>
    <n v="453"/>
    <n v="1.07"/>
    <n v="1.22"/>
    <n v="2.12"/>
    <n v="1"/>
    <n v="0.82"/>
    <n v="1.21"/>
    <n v="0.82"/>
    <n v="1"/>
    <n v="1.21"/>
    <n v="1"/>
    <n v="1"/>
    <n v="0.95"/>
    <n v="1"/>
    <n v="1"/>
    <n v="1"/>
    <n v="1"/>
    <n v="0.94"/>
    <n v="1"/>
    <n v="1"/>
    <n v="1102.1166807981406"/>
    <n v="0"/>
    <s v="PASS"/>
    <n v="0"/>
    <x v="0"/>
  </r>
  <r>
    <s v="P0431"/>
    <d v="2026-01-07T00:00:00"/>
    <s v="Collision"/>
    <s v="65+"/>
    <s v="8+"/>
    <n v="1"/>
    <s v="Yes (Low Score)"/>
    <s v="0-4,999"/>
    <s v="Santa Monica (90401)"/>
    <s v="$45,000-$84,999"/>
    <s v="No"/>
    <s v="No"/>
    <s v="Yes"/>
    <s v="Yes"/>
    <s v="Yes"/>
    <s v="No"/>
    <s v="Yes (High)"/>
    <s v="No"/>
    <s v="Yes"/>
    <s v="No"/>
    <s v="No"/>
    <s v="No"/>
    <s v="No"/>
    <n v="729.04044040009262"/>
    <n v="453"/>
    <n v="1.27"/>
    <n v="0.93"/>
    <n v="1.34"/>
    <n v="0.95"/>
    <n v="0.82"/>
    <n v="1.1599999999999999"/>
    <n v="1.57"/>
    <n v="1"/>
    <n v="1"/>
    <n v="1.1599999999999999"/>
    <n v="0.88"/>
    <n v="0.72"/>
    <n v="1"/>
    <n v="0.92"/>
    <n v="1"/>
    <n v="1"/>
    <n v="1"/>
    <n v="1"/>
    <n v="1.06"/>
    <n v="729.04044040009262"/>
    <n v="0"/>
    <s v="PASS"/>
    <n v="0"/>
    <x v="0"/>
  </r>
  <r>
    <s v="P0432"/>
    <d v="2026-03-23T00:00:00"/>
    <s v="Collision"/>
    <s v="45-54"/>
    <n v="7"/>
    <n v="0"/>
    <s v="Yes (Medium Score)"/>
    <s v="0-4,999"/>
    <s v="Lake Forrest (92609)"/>
    <s v="$15,000-$24,999"/>
    <s v="No"/>
    <s v="No"/>
    <s v="No"/>
    <s v="Yes"/>
    <s v="Yes"/>
    <s v="No"/>
    <s v="Yes (Medium)"/>
    <s v="No"/>
    <s v="No"/>
    <s v="Yes"/>
    <s v="No"/>
    <s v="No"/>
    <s v="No"/>
    <n v="216.12978192437004"/>
    <n v="453"/>
    <n v="1.07"/>
    <n v="0.95"/>
    <n v="1"/>
    <n v="0.8"/>
    <n v="0.82"/>
    <n v="0.95"/>
    <n v="1.08"/>
    <n v="1"/>
    <n v="1"/>
    <n v="1"/>
    <n v="0.88"/>
    <n v="0.84"/>
    <n v="1"/>
    <n v="1"/>
    <n v="0.89"/>
    <n v="1"/>
    <n v="1"/>
    <n v="1"/>
    <n v="1.06"/>
    <n v="216.12978192437004"/>
    <n v="0"/>
    <s v="PASS"/>
    <n v="0"/>
    <x v="0"/>
  </r>
  <r>
    <s v="P0433"/>
    <d v="2025-11-27T00:00:00"/>
    <s v="Liability"/>
    <s v="65+"/>
    <n v="5"/>
    <s v="5+"/>
    <s v="Yes (High Score)"/>
    <s v="5,000-8,499"/>
    <s v="Santa Ana (92702)"/>
    <s v="$0-$4,999"/>
    <s v="No"/>
    <s v="No"/>
    <s v="No"/>
    <s v="Yes"/>
    <s v="No"/>
    <s v="Yes"/>
    <s v="No"/>
    <s v="Yes (Medium)"/>
    <s v="No"/>
    <s v="Yes"/>
    <s v="Yes"/>
    <s v="No"/>
    <s v="No"/>
    <n v="553.57094788541042"/>
    <n v="622"/>
    <n v="1.27"/>
    <n v="1.07"/>
    <n v="2.4700000000000002"/>
    <n v="0.65"/>
    <n v="0.93"/>
    <n v="1.02"/>
    <n v="0.82"/>
    <n v="1"/>
    <n v="1"/>
    <n v="1"/>
    <n v="0.88"/>
    <n v="1"/>
    <n v="0.72"/>
    <n v="1"/>
    <n v="0.89"/>
    <n v="0.93"/>
    <n v="1"/>
    <n v="1"/>
    <n v="1"/>
    <n v="553.57094788541042"/>
    <n v="0"/>
    <s v="PASS"/>
    <n v="0"/>
    <x v="0"/>
  </r>
  <r>
    <s v="P0434"/>
    <d v="2026-04-05T00:00:00"/>
    <s v="Liability"/>
    <s v="35-44"/>
    <n v="5"/>
    <n v="1"/>
    <s v="Yes (Medium Score)"/>
    <s v="8,500-13,499"/>
    <s v="Torrance (90248)"/>
    <s v="$85,000-$149,999"/>
    <s v="No"/>
    <s v="No"/>
    <s v="No"/>
    <s v="No"/>
    <s v="No"/>
    <s v="Yes"/>
    <s v="No"/>
    <s v="Yes (Medium)"/>
    <s v="No"/>
    <s v="No"/>
    <s v="No"/>
    <s v="Yes"/>
    <s v="No"/>
    <n v="1157.9893231533099"/>
    <n v="622"/>
    <n v="1"/>
    <n v="1.07"/>
    <n v="1.34"/>
    <n v="0.8"/>
    <n v="1"/>
    <n v="1.1200000000000001"/>
    <n v="2.02"/>
    <n v="1"/>
    <n v="1"/>
    <n v="1"/>
    <n v="1"/>
    <n v="1"/>
    <n v="0.72"/>
    <n v="1"/>
    <n v="1"/>
    <n v="1"/>
    <n v="0.94"/>
    <n v="1"/>
    <n v="1.06"/>
    <n v="1157.9893231533099"/>
    <n v="0"/>
    <s v="PASS"/>
    <n v="0"/>
    <x v="0"/>
  </r>
  <r>
    <s v="P0435"/>
    <d v="2025-08-20T00:00:00"/>
    <s v="Collision"/>
    <s v="55-64"/>
    <n v="5"/>
    <n v="0"/>
    <s v="No"/>
    <s v="17,000+"/>
    <s v="Santa Monica (90401)"/>
    <s v="$0-$4,999"/>
    <s v="No"/>
    <s v="Yes"/>
    <s v="No"/>
    <s v="Yes"/>
    <s v="Yes"/>
    <s v="No"/>
    <s v="Yes (Medium)"/>
    <s v="No"/>
    <s v="No"/>
    <s v="Yes"/>
    <s v="No"/>
    <s v="No"/>
    <s v="No"/>
    <n v="538.49351163801725"/>
    <n v="453"/>
    <n v="1.1200000000000001"/>
    <n v="1.07"/>
    <n v="1"/>
    <n v="1"/>
    <n v="1.31"/>
    <n v="1.1599999999999999"/>
    <n v="0.82"/>
    <n v="1"/>
    <n v="1.21"/>
    <n v="1"/>
    <n v="0.88"/>
    <n v="0.84"/>
    <n v="1"/>
    <n v="1"/>
    <n v="0.89"/>
    <n v="1"/>
    <n v="1"/>
    <n v="1"/>
    <n v="1"/>
    <n v="538.49351163801725"/>
    <n v="0"/>
    <s v="PASS"/>
    <n v="0"/>
    <x v="0"/>
  </r>
  <r>
    <s v="P0436"/>
    <d v="2025-09-13T00:00:00"/>
    <s v="Collision"/>
    <s v="45-54"/>
    <n v="6"/>
    <n v="1"/>
    <s v="No"/>
    <s v="0-4,999"/>
    <s v="Torrance (90248)"/>
    <s v="$150,000+"/>
    <s v="No"/>
    <s v="No"/>
    <s v="No"/>
    <s v="Yes"/>
    <s v="Yes"/>
    <s v="No"/>
    <s v="Yes (Low)"/>
    <s v="No"/>
    <s v="No"/>
    <s v="Yes"/>
    <s v="No"/>
    <s v="No"/>
    <s v="No"/>
    <n v="1273.7870635869015"/>
    <n v="453"/>
    <n v="1.07"/>
    <n v="1"/>
    <n v="1.34"/>
    <n v="1"/>
    <n v="0.82"/>
    <n v="1.1200000000000001"/>
    <n v="2.87"/>
    <n v="1"/>
    <n v="1"/>
    <n v="1"/>
    <n v="0.88"/>
    <n v="0.95"/>
    <n v="1"/>
    <n v="1"/>
    <n v="0.89"/>
    <n v="1"/>
    <n v="1"/>
    <n v="1"/>
    <n v="1"/>
    <n v="1273.7870635869015"/>
    <n v="0"/>
    <s v="PASS"/>
    <n v="0"/>
    <x v="0"/>
  </r>
  <r>
    <s v="P0437"/>
    <d v="2025-11-07T00:00:00"/>
    <s v="Liability"/>
    <s v="35-44"/>
    <n v="2"/>
    <n v="1"/>
    <s v="Yes (High Score)"/>
    <s v="13,500-16,999"/>
    <s v="Lake Forrest (92609)"/>
    <s v="$150,000+"/>
    <s v="No"/>
    <s v="No"/>
    <s v="Yes"/>
    <s v="Yes"/>
    <s v="No"/>
    <s v="Yes"/>
    <s v="No"/>
    <s v="Yes (Medium)"/>
    <s v="No"/>
    <s v="No"/>
    <s v="No"/>
    <s v="No"/>
    <s v="Yes"/>
    <n v="1307.54"/>
    <n v="622"/>
    <n v="1"/>
    <n v="1.41"/>
    <n v="1.34"/>
    <n v="0.65"/>
    <n v="1.18"/>
    <n v="0.95"/>
    <n v="2.87"/>
    <n v="1"/>
    <n v="1"/>
    <n v="1.1599999999999999"/>
    <n v="0.88"/>
    <n v="1"/>
    <n v="0.72"/>
    <n v="1"/>
    <n v="1"/>
    <n v="1"/>
    <n v="1"/>
    <n v="0.97"/>
    <n v="1"/>
    <n v="1752.1046965449952"/>
    <n v="-444.56469654499529"/>
    <s v="FAIL"/>
    <n v="444.56469654499529"/>
    <x v="8"/>
  </r>
  <r>
    <s v="P0438"/>
    <d v="2025-12-14T00:00:00"/>
    <s v="Collision"/>
    <s v="16-24"/>
    <n v="1"/>
    <n v="0"/>
    <s v="No"/>
    <s v="5,000-8,499"/>
    <s v="Fountain Valley (92708)"/>
    <s v="$25,000-$44,999"/>
    <s v="No"/>
    <s v="Yes"/>
    <s v="No"/>
    <s v="No"/>
    <s v="Yes"/>
    <s v="No"/>
    <s v="Yes (Medium)"/>
    <s v="No"/>
    <s v="No"/>
    <s v="No"/>
    <s v="No"/>
    <s v="No"/>
    <s v="No"/>
    <n v="1364.4932644417536"/>
    <n v="453"/>
    <n v="1.32"/>
    <n v="1.64"/>
    <n v="1"/>
    <n v="1"/>
    <n v="0.93"/>
    <n v="1.1499999999999999"/>
    <n v="1.28"/>
    <n v="1"/>
    <n v="1.21"/>
    <n v="1"/>
    <n v="1"/>
    <n v="0.84"/>
    <n v="1"/>
    <n v="1"/>
    <n v="1"/>
    <n v="1"/>
    <n v="1"/>
    <n v="1"/>
    <n v="1"/>
    <n v="1364.4932644417536"/>
    <n v="0"/>
    <s v="PASS"/>
    <n v="0"/>
    <x v="0"/>
  </r>
  <r>
    <s v="P0439"/>
    <d v="2025-05-19T00:00:00"/>
    <s v="Liability"/>
    <s v="45-54"/>
    <n v="1"/>
    <n v="0"/>
    <s v="No"/>
    <s v="13,500-16,999"/>
    <s v="Beverly Hills (90035)"/>
    <s v="$5,000-$14,999"/>
    <s v="No"/>
    <s v="No"/>
    <s v="No"/>
    <s v="Yes"/>
    <s v="No"/>
    <s v="Yes"/>
    <s v="No"/>
    <s v="Yes (Medium)"/>
    <s v="No"/>
    <s v="Yes"/>
    <s v="No"/>
    <s v="No"/>
    <s v="No"/>
    <n v="852.4370108933673"/>
    <n v="622"/>
    <n v="1.07"/>
    <n v="1.64"/>
    <n v="1"/>
    <n v="1"/>
    <n v="1.18"/>
    <n v="1.21"/>
    <n v="0.97"/>
    <n v="1"/>
    <n v="1"/>
    <n v="1"/>
    <n v="0.88"/>
    <n v="1"/>
    <n v="0.72"/>
    <n v="1"/>
    <n v="0.89"/>
    <n v="1"/>
    <n v="1"/>
    <n v="1"/>
    <n v="1"/>
    <n v="852.4370108933673"/>
    <n v="0"/>
    <s v="PASS"/>
    <n v="0"/>
    <x v="0"/>
  </r>
  <r>
    <s v="P0440"/>
    <d v="2025-05-13T00:00:00"/>
    <s v="Liability"/>
    <s v="16-24"/>
    <n v="7"/>
    <n v="3"/>
    <s v="Yes (Medium Score)"/>
    <s v="8,500-13,499"/>
    <s v="Lake Forrest (92609)"/>
    <s v="$45,000-$84,999"/>
    <s v="No"/>
    <s v="No"/>
    <s v="No"/>
    <s v="Yes"/>
    <s v="No"/>
    <s v="Yes"/>
    <s v="No"/>
    <s v="Yes (Medium)"/>
    <s v="No"/>
    <s v="No"/>
    <s v="No"/>
    <s v="No"/>
    <s v="No"/>
    <n v="1073.2174425004034"/>
    <n v="622"/>
    <n v="1.32"/>
    <n v="0.95"/>
    <n v="1.82"/>
    <n v="0.8"/>
    <n v="1"/>
    <n v="0.95"/>
    <n v="1.57"/>
    <n v="1"/>
    <n v="1"/>
    <n v="1"/>
    <n v="0.88"/>
    <n v="1"/>
    <n v="0.72"/>
    <n v="1"/>
    <n v="1"/>
    <n v="1"/>
    <n v="1"/>
    <n v="1"/>
    <n v="1"/>
    <n v="1073.2174425004034"/>
    <n v="0"/>
    <s v="PASS"/>
    <n v="0"/>
    <x v="0"/>
  </r>
  <r>
    <s v="P0441"/>
    <d v="2025-11-23T00:00:00"/>
    <s v="Comprehensive"/>
    <s v="35-44"/>
    <n v="1"/>
    <n v="0"/>
    <s v="No"/>
    <s v="13,500-16,999"/>
    <s v="Costa Mesa (92626)"/>
    <s v="$0-$4,999"/>
    <s v="No"/>
    <s v="No"/>
    <s v="No"/>
    <s v="No"/>
    <s v="Yes"/>
    <s v="No"/>
    <s v="Yes (Low)"/>
    <s v="No"/>
    <s v="No"/>
    <s v="No"/>
    <s v="No"/>
    <s v="No"/>
    <s v="No"/>
    <n v="167.81721545599999"/>
    <n v="121"/>
    <n v="1"/>
    <n v="1.64"/>
    <n v="1"/>
    <n v="1"/>
    <n v="1.18"/>
    <n v="0.92"/>
    <n v="0.82"/>
    <n v="1"/>
    <n v="1"/>
    <n v="1"/>
    <n v="1"/>
    <n v="0.95"/>
    <n v="1"/>
    <n v="1"/>
    <n v="1"/>
    <n v="1"/>
    <n v="1"/>
    <n v="1"/>
    <n v="1"/>
    <n v="167.81721545599999"/>
    <n v="0"/>
    <s v="PASS"/>
    <n v="0"/>
    <x v="0"/>
  </r>
  <r>
    <s v="P0442"/>
    <d v="2025-09-04T00:00:00"/>
    <s v="Comprehensive"/>
    <s v="16-24"/>
    <n v="7"/>
    <n v="0"/>
    <s v="Yes (Medium Score)"/>
    <s v="8,500-13,499"/>
    <s v="Lake Forrest (92609)"/>
    <s v="$5,000-$14,999"/>
    <s v="No"/>
    <s v="No"/>
    <s v="No"/>
    <s v="Yes"/>
    <s v="Yes"/>
    <s v="No"/>
    <s v="Yes (Low)"/>
    <s v="No"/>
    <s v="Yes"/>
    <s v="No"/>
    <s v="No"/>
    <s v="No"/>
    <s v="No"/>
    <n v="86.032459387775987"/>
    <n v="121"/>
    <n v="1.32"/>
    <n v="0.95"/>
    <n v="1"/>
    <n v="0.8"/>
    <n v="1"/>
    <n v="0.95"/>
    <n v="0.97"/>
    <n v="1"/>
    <n v="1"/>
    <n v="1"/>
    <n v="0.88"/>
    <n v="0.95"/>
    <n v="1"/>
    <n v="0.92"/>
    <n v="1"/>
    <n v="1"/>
    <n v="1"/>
    <n v="1"/>
    <n v="1"/>
    <n v="86.032459387775987"/>
    <n v="0"/>
    <s v="PASS"/>
    <n v="0"/>
    <x v="0"/>
  </r>
  <r>
    <s v="P0443"/>
    <d v="2025-06-07T00:00:00"/>
    <s v="Liability"/>
    <s v="16-24"/>
    <n v="2"/>
    <n v="1"/>
    <s v="No"/>
    <s v="5,000-8,499"/>
    <s v="Newport Beach (92603)"/>
    <s v="$25,000-$44,999"/>
    <s v="No"/>
    <s v="No"/>
    <s v="No"/>
    <s v="Yes"/>
    <s v="No"/>
    <s v="Yes"/>
    <s v="No"/>
    <s v="Yes (Medium)"/>
    <s v="Yes"/>
    <s v="Yes"/>
    <s v="Yes"/>
    <s v="No"/>
    <s v="Yes"/>
    <n v="812.3752509085391"/>
    <n v="622"/>
    <n v="1.32"/>
    <n v="1.41"/>
    <n v="1.34"/>
    <n v="1"/>
    <n v="0.93"/>
    <n v="0.94"/>
    <n v="1.28"/>
    <n v="1"/>
    <n v="1"/>
    <n v="1"/>
    <n v="0.88"/>
    <n v="1"/>
    <n v="0.72"/>
    <n v="0.92"/>
    <n v="0.89"/>
    <n v="0.93"/>
    <n v="1"/>
    <n v="0.97"/>
    <n v="1"/>
    <n v="812.3752509085391"/>
    <n v="0"/>
    <s v="PASS"/>
    <n v="0"/>
    <x v="0"/>
  </r>
  <r>
    <s v="P0444"/>
    <d v="2025-05-07T00:00:00"/>
    <s v="Liability"/>
    <s v="25-34"/>
    <n v="1"/>
    <n v="1"/>
    <s v="Yes (Medium Score)"/>
    <s v="17,000+"/>
    <s v="Torrance (90248)"/>
    <s v="$5,000-$14,999"/>
    <s v="No"/>
    <s v="No"/>
    <s v="No"/>
    <s v="No"/>
    <s v="No"/>
    <s v="Yes"/>
    <s v="No"/>
    <s v="Yes (High)"/>
    <s v="No"/>
    <s v="Yes"/>
    <s v="No"/>
    <s v="Yes"/>
    <s v="No"/>
    <n v="1345.2169424415031"/>
    <n v="622"/>
    <n v="1.23"/>
    <n v="1.64"/>
    <n v="1.34"/>
    <n v="0.8"/>
    <n v="1.31"/>
    <n v="1.1200000000000001"/>
    <n v="0.97"/>
    <n v="1"/>
    <n v="1"/>
    <n v="1"/>
    <n v="1"/>
    <n v="1"/>
    <n v="0.84"/>
    <n v="1"/>
    <n v="0.89"/>
    <n v="1"/>
    <n v="0.94"/>
    <n v="1"/>
    <n v="1"/>
    <n v="1345.2169424415031"/>
    <n v="0"/>
    <s v="PASS"/>
    <n v="0"/>
    <x v="0"/>
  </r>
  <r>
    <s v="P0445"/>
    <d v="2025-06-30T00:00:00"/>
    <s v="Liability"/>
    <s v="25-34"/>
    <n v="4"/>
    <n v="4"/>
    <s v="Yes (High Score)"/>
    <s v="5,000-8,499"/>
    <s v="Koreatown (90006)"/>
    <s v="$25,000-$44,999"/>
    <s v="No"/>
    <s v="No"/>
    <s v="No"/>
    <s v="Yes"/>
    <s v="No"/>
    <s v="Yes"/>
    <s v="No"/>
    <s v="Yes (Low)"/>
    <s v="No"/>
    <s v="No"/>
    <s v="No"/>
    <s v="No"/>
    <s v="Yes"/>
    <n v="909.29558831827387"/>
    <n v="622"/>
    <n v="1.23"/>
    <n v="1.1499999999999999"/>
    <n v="2.12"/>
    <n v="0.65"/>
    <n v="0.93"/>
    <n v="1.21"/>
    <n v="1.28"/>
    <n v="1"/>
    <n v="1"/>
    <n v="1"/>
    <n v="0.88"/>
    <n v="1"/>
    <n v="0.61"/>
    <n v="1"/>
    <n v="1"/>
    <n v="1"/>
    <n v="1"/>
    <n v="0.97"/>
    <n v="1"/>
    <n v="909.29558831827387"/>
    <n v="0"/>
    <s v="PASS"/>
    <n v="0"/>
    <x v="0"/>
  </r>
  <r>
    <s v="P0446"/>
    <d v="2025-11-22T00:00:00"/>
    <s v="Liability"/>
    <s v="65+"/>
    <n v="1"/>
    <n v="3"/>
    <s v="Yes (High Score)"/>
    <s v="13,500-16,999"/>
    <s v="Lake Forrest (92609)"/>
    <s v="$25,000-$44,999"/>
    <s v="No"/>
    <s v="No"/>
    <s v="No"/>
    <s v="Yes"/>
    <s v="No"/>
    <s v="Yes"/>
    <s v="No"/>
    <s v="Yes (Medium)"/>
    <s v="No"/>
    <s v="No"/>
    <s v="No"/>
    <s v="No"/>
    <s v="No"/>
    <n v="1393.3282709876837"/>
    <n v="622"/>
    <n v="1.27"/>
    <n v="1.64"/>
    <n v="1.82"/>
    <n v="0.65"/>
    <n v="1.18"/>
    <n v="0.95"/>
    <n v="1.28"/>
    <n v="1"/>
    <n v="1"/>
    <n v="1"/>
    <n v="0.88"/>
    <n v="1"/>
    <n v="0.72"/>
    <n v="1"/>
    <n v="1"/>
    <n v="1"/>
    <n v="1"/>
    <n v="1"/>
    <n v="1"/>
    <n v="1393.3282709876837"/>
    <n v="0"/>
    <s v="PASS"/>
    <n v="0"/>
    <x v="0"/>
  </r>
  <r>
    <s v="P0447"/>
    <d v="2026-04-30T00:00:00"/>
    <s v="Liability"/>
    <s v="25-34"/>
    <s v="8+"/>
    <s v="5+"/>
    <s v="No"/>
    <s v="0-4,999"/>
    <s v="Santa Ana (92702)"/>
    <s v="$25,000-$44,999"/>
    <s v="No"/>
    <s v="No"/>
    <s v="No"/>
    <s v="Yes"/>
    <s v="No"/>
    <s v="Yes"/>
    <s v="No"/>
    <s v="Yes (High)"/>
    <s v="No"/>
    <s v="Yes"/>
    <s v="No"/>
    <s v="No"/>
    <s v="No"/>
    <n v="1312.0706532883046"/>
    <n v="622"/>
    <n v="1.23"/>
    <n v="0.93"/>
    <n v="2.4700000000000002"/>
    <n v="1"/>
    <n v="0.82"/>
    <n v="1.02"/>
    <n v="1.28"/>
    <n v="1"/>
    <n v="1"/>
    <n v="1"/>
    <n v="0.88"/>
    <n v="1"/>
    <n v="0.84"/>
    <n v="1"/>
    <n v="0.89"/>
    <n v="1"/>
    <n v="1"/>
    <n v="1"/>
    <n v="1.06"/>
    <n v="1312.0706532883046"/>
    <n v="0"/>
    <s v="PASS"/>
    <n v="0"/>
    <x v="0"/>
  </r>
  <r>
    <s v="P0448"/>
    <d v="2026-01-04T00:00:00"/>
    <s v="Collision"/>
    <s v="65+"/>
    <n v="2"/>
    <s v="5+"/>
    <s v="No"/>
    <s v="8,500-13,499"/>
    <s v="Koreatown (90006)"/>
    <s v="$0-$4,999"/>
    <s v="No"/>
    <s v="No"/>
    <s v="Yes"/>
    <s v="Yes"/>
    <s v="Yes"/>
    <s v="No"/>
    <s v="Yes (High)"/>
    <s v="No"/>
    <s v="No"/>
    <s v="No"/>
    <s v="No"/>
    <s v="No"/>
    <s v="No"/>
    <n v="1548.8031906959607"/>
    <n v="453"/>
    <n v="1.27"/>
    <n v="1.41"/>
    <n v="2.4700000000000002"/>
    <n v="1"/>
    <n v="1"/>
    <n v="1.21"/>
    <n v="0.82"/>
    <n v="1"/>
    <n v="1"/>
    <n v="1.1599999999999999"/>
    <n v="0.88"/>
    <n v="0.72"/>
    <n v="1"/>
    <n v="1"/>
    <n v="1"/>
    <n v="1"/>
    <n v="1"/>
    <n v="1"/>
    <n v="1.06"/>
    <n v="1548.8031906959607"/>
    <n v="0"/>
    <s v="PASS"/>
    <n v="0"/>
    <x v="0"/>
  </r>
  <r>
    <s v="P0449"/>
    <d v="2025-07-28T00:00:00"/>
    <s v="Comprehensive"/>
    <s v="65+"/>
    <n v="7"/>
    <n v="4"/>
    <s v="No"/>
    <s v="17,000+"/>
    <s v="West Hollywood (90046)"/>
    <s v="$150,000+"/>
    <s v="No"/>
    <s v="No"/>
    <s v="No"/>
    <s v="No"/>
    <s v="Yes"/>
    <s v="No"/>
    <s v="Yes (Medium)"/>
    <s v="No"/>
    <s v="No"/>
    <s v="Yes"/>
    <s v="No"/>
    <s v="No"/>
    <s v="No"/>
    <n v="1026.4860458190051"/>
    <n v="121"/>
    <n v="1.27"/>
    <n v="0.95"/>
    <n v="2.12"/>
    <n v="1"/>
    <n v="1.31"/>
    <n v="1.18"/>
    <n v="2.87"/>
    <n v="1"/>
    <n v="1"/>
    <n v="1"/>
    <n v="1"/>
    <n v="0.84"/>
    <n v="1"/>
    <n v="1"/>
    <n v="0.89"/>
    <n v="1"/>
    <n v="1"/>
    <n v="1"/>
    <n v="1"/>
    <n v="1026.4860458190051"/>
    <n v="0"/>
    <s v="PASS"/>
    <n v="0"/>
    <x v="0"/>
  </r>
  <r>
    <s v="P0450"/>
    <d v="2025-06-13T00:00:00"/>
    <s v="Liability"/>
    <s v="35-44"/>
    <n v="2"/>
    <n v="4"/>
    <s v="Yes (High Score)"/>
    <s v="0-4,999"/>
    <s v="Koreatown (90006)"/>
    <s v="$0-$4,999"/>
    <s v="No"/>
    <s v="No"/>
    <s v="No"/>
    <s v="No"/>
    <s v="No"/>
    <s v="Yes"/>
    <s v="No"/>
    <s v="Yes (Medium)"/>
    <s v="No"/>
    <s v="Yes"/>
    <s v="No"/>
    <s v="No"/>
    <s v="No"/>
    <n v="630.07796686299378"/>
    <n v="622"/>
    <n v="1"/>
    <n v="1.41"/>
    <n v="2.12"/>
    <n v="0.65"/>
    <n v="0.82"/>
    <n v="1.21"/>
    <n v="0.82"/>
    <n v="1"/>
    <n v="1"/>
    <n v="1"/>
    <n v="1"/>
    <n v="1"/>
    <n v="0.72"/>
    <n v="1"/>
    <n v="0.89"/>
    <n v="1"/>
    <n v="1"/>
    <n v="1"/>
    <n v="1"/>
    <n v="630.07796686299378"/>
    <n v="0"/>
    <s v="PASS"/>
    <n v="0"/>
    <x v="0"/>
  </r>
  <r>
    <s v="P0451"/>
    <d v="2025-11-27T00:00:00"/>
    <s v="Liability"/>
    <s v="55-64"/>
    <n v="3"/>
    <n v="0"/>
    <s v="No"/>
    <s v="17,000+"/>
    <s v="Torrance (90248)"/>
    <s v="$15,000-$24,999"/>
    <s v="No"/>
    <s v="No"/>
    <s v="Yes"/>
    <s v="No"/>
    <s v="No"/>
    <s v="Yes"/>
    <s v="No"/>
    <s v="Yes (High)"/>
    <s v="No"/>
    <s v="No"/>
    <s v="Yes"/>
    <s v="No"/>
    <s v="No"/>
    <n v="1220.3981361378169"/>
    <n v="622"/>
    <n v="1.1200000000000001"/>
    <n v="1.22"/>
    <n v="1"/>
    <n v="1"/>
    <n v="1.31"/>
    <n v="1.1200000000000001"/>
    <n v="1.08"/>
    <n v="1"/>
    <n v="1"/>
    <n v="1.1599999999999999"/>
    <n v="1"/>
    <n v="1"/>
    <n v="0.84"/>
    <n v="1"/>
    <n v="1"/>
    <n v="0.93"/>
    <n v="1"/>
    <n v="1"/>
    <n v="1"/>
    <n v="1220.3981361378169"/>
    <n v="0"/>
    <s v="PASS"/>
    <n v="0"/>
    <x v="0"/>
  </r>
  <r>
    <s v="P0452"/>
    <d v="2026-01-05T00:00:00"/>
    <s v="Collision"/>
    <s v="16-24"/>
    <s v="8+"/>
    <n v="1"/>
    <s v="Yes (Medium Score)"/>
    <s v="17,000+"/>
    <s v="Cypress (90630)"/>
    <s v="$25,000-$44,999"/>
    <s v="No"/>
    <s v="No"/>
    <s v="No"/>
    <s v="Yes"/>
    <s v="Yes"/>
    <s v="No"/>
    <s v="Yes (Medium)"/>
    <s v="No"/>
    <s v="No"/>
    <s v="No"/>
    <s v="No"/>
    <s v="No"/>
    <s v="No"/>
    <n v="845.90718031317567"/>
    <n v="453"/>
    <n v="1.32"/>
    <n v="0.93"/>
    <n v="1.34"/>
    <n v="0.8"/>
    <n v="1.31"/>
    <n v="1.08"/>
    <n v="1.28"/>
    <n v="1"/>
    <n v="1"/>
    <n v="1"/>
    <n v="0.88"/>
    <n v="0.84"/>
    <n v="1"/>
    <n v="1"/>
    <n v="1"/>
    <n v="1"/>
    <n v="1"/>
    <n v="1"/>
    <n v="1.06"/>
    <n v="845.90718031317567"/>
    <n v="0"/>
    <s v="PASS"/>
    <n v="0"/>
    <x v="0"/>
  </r>
  <r>
    <s v="P0453"/>
    <d v="2026-04-22T00:00:00"/>
    <s v="Collision"/>
    <s v="65+"/>
    <n v="4"/>
    <n v="4"/>
    <s v="Yes (Medium Score)"/>
    <s v="8,500-13,499"/>
    <s v="Orange (92705)"/>
    <s v="$15,000-$24,999"/>
    <s v="No"/>
    <s v="No"/>
    <s v="Yes"/>
    <s v="Yes"/>
    <s v="Yes"/>
    <s v="No"/>
    <s v="Yes (Medium)"/>
    <s v="No"/>
    <s v="No"/>
    <s v="No"/>
    <s v="No"/>
    <s v="Yes"/>
    <s v="No"/>
    <n v="1056.0955308559389"/>
    <n v="453"/>
    <n v="1.27"/>
    <n v="1.1499999999999999"/>
    <n v="2.12"/>
    <n v="0.8"/>
    <n v="1"/>
    <n v="1.02"/>
    <n v="1.08"/>
    <n v="1"/>
    <n v="1"/>
    <n v="1.1599999999999999"/>
    <n v="0.88"/>
    <n v="0.84"/>
    <n v="1"/>
    <n v="1"/>
    <n v="1"/>
    <n v="1"/>
    <n v="0.94"/>
    <n v="1"/>
    <n v="1.06"/>
    <n v="1056.0955308559389"/>
    <n v="0"/>
    <s v="PASS"/>
    <n v="0"/>
    <x v="0"/>
  </r>
  <r>
    <s v="P0454"/>
    <d v="2025-06-19T00:00:00"/>
    <s v="Liability"/>
    <s v="35-44"/>
    <n v="4"/>
    <n v="1"/>
    <s v="Yes (Medium Score)"/>
    <s v="8,500-13,499"/>
    <s v="DTLA (90012)"/>
    <s v="$85,000-$149,999"/>
    <s v="No"/>
    <s v="No"/>
    <s v="No"/>
    <s v="Yes"/>
    <s v="No"/>
    <s v="Yes"/>
    <s v="No"/>
    <s v="Yes (Medium)"/>
    <s v="No"/>
    <s v="Yes"/>
    <s v="Yes"/>
    <s v="No"/>
    <s v="No"/>
    <n v="1023.512259009249"/>
    <n v="622"/>
    <n v="1"/>
    <n v="1.1499999999999999"/>
    <n v="1.34"/>
    <n v="0.8"/>
    <n v="1"/>
    <n v="1.26"/>
    <n v="2.02"/>
    <n v="1"/>
    <n v="1"/>
    <n v="1"/>
    <n v="0.88"/>
    <n v="1"/>
    <n v="0.72"/>
    <n v="1"/>
    <n v="0.89"/>
    <n v="0.93"/>
    <n v="1"/>
    <n v="1"/>
    <n v="1"/>
    <n v="1023.512259009249"/>
    <n v="0"/>
    <s v="PASS"/>
    <n v="0"/>
    <x v="0"/>
  </r>
  <r>
    <s v="P0455"/>
    <d v="2025-08-20T00:00:00"/>
    <s v="Comprehensive"/>
    <s v="55-64"/>
    <n v="6"/>
    <n v="1"/>
    <s v="Yes (Medium Score)"/>
    <s v="5,000-8,499"/>
    <s v="Costa Mesa (92626)"/>
    <s v="$25,000-$44,999"/>
    <s v="No"/>
    <s v="Yes"/>
    <s v="Yes"/>
    <s v="Yes"/>
    <s v="Yes"/>
    <s v="No"/>
    <s v="Yes (Low)"/>
    <s v="No"/>
    <s v="No"/>
    <s v="No"/>
    <s v="No"/>
    <s v="No"/>
    <s v="No"/>
    <n v="186.69322627195291"/>
    <n v="121"/>
    <n v="1.1200000000000001"/>
    <n v="1"/>
    <n v="1.34"/>
    <n v="0.8"/>
    <n v="0.93"/>
    <n v="0.92"/>
    <n v="1.28"/>
    <n v="1"/>
    <n v="1.21"/>
    <n v="1.1599999999999999"/>
    <n v="0.88"/>
    <n v="0.95"/>
    <n v="1"/>
    <n v="1"/>
    <n v="1"/>
    <n v="1"/>
    <n v="1"/>
    <n v="1"/>
    <n v="1"/>
    <n v="186.69322627195291"/>
    <n v="0"/>
    <s v="PASS"/>
    <n v="0"/>
    <x v="0"/>
  </r>
  <r>
    <s v="P0456"/>
    <d v="2026-03-22T00:00:00"/>
    <s v="Collision"/>
    <s v="16-24"/>
    <n v="1"/>
    <n v="3"/>
    <s v="Yes (Low Score)"/>
    <s v="0-4,999"/>
    <s v="Compton (90220)"/>
    <s v="$85,000-$149,999"/>
    <s v="No"/>
    <s v="No"/>
    <s v="No"/>
    <s v="No"/>
    <s v="Yes"/>
    <s v="No"/>
    <s v="Yes (High)"/>
    <s v="No"/>
    <s v="No"/>
    <s v="Yes"/>
    <s v="Yes"/>
    <s v="Yes"/>
    <s v="No"/>
    <n v="2601.5966531969052"/>
    <n v="453"/>
    <n v="1.32"/>
    <n v="1.64"/>
    <n v="1.82"/>
    <n v="0.95"/>
    <n v="0.82"/>
    <n v="1.56"/>
    <n v="2.02"/>
    <n v="1"/>
    <n v="1"/>
    <n v="1"/>
    <n v="1"/>
    <n v="0.72"/>
    <n v="1"/>
    <n v="1"/>
    <n v="0.89"/>
    <n v="0.93"/>
    <n v="0.94"/>
    <n v="1"/>
    <n v="1.06"/>
    <n v="2601.5966531969052"/>
    <n v="0"/>
    <s v="PASS"/>
    <n v="0"/>
    <x v="0"/>
  </r>
  <r>
    <s v="P0457"/>
    <d v="2025-07-12T00:00:00"/>
    <s v="Rental Car Reinbursement"/>
    <s v="55-64"/>
    <n v="7"/>
    <s v="5+"/>
    <s v="No"/>
    <s v="5,000-8,499"/>
    <s v="Silverlake (90026 )"/>
    <s v="$15,000-$24,999"/>
    <s v="No"/>
    <s v="No"/>
    <s v="Yes"/>
    <s v="No"/>
    <s v="No"/>
    <s v="Yes"/>
    <s v="No"/>
    <s v="Yes (Low)"/>
    <s v="No"/>
    <s v="No"/>
    <s v="No"/>
    <s v="No"/>
    <s v="No"/>
    <n v="88.833128132915718"/>
    <n v="41"/>
    <n v="1.1200000000000001"/>
    <n v="0.95"/>
    <n v="2.4700000000000002"/>
    <n v="1"/>
    <n v="0.93"/>
    <n v="1.1599999999999999"/>
    <n v="1.08"/>
    <n v="1"/>
    <n v="1"/>
    <n v="1.1599999999999999"/>
    <n v="1"/>
    <n v="1"/>
    <n v="0.61"/>
    <n v="1"/>
    <n v="1"/>
    <n v="1"/>
    <n v="1"/>
    <n v="1"/>
    <n v="1"/>
    <n v="88.833128132915718"/>
    <n v="0"/>
    <s v="PASS"/>
    <n v="0"/>
    <x v="0"/>
  </r>
  <r>
    <s v="P0458"/>
    <d v="2026-02-22T00:00:00"/>
    <s v="Liability"/>
    <s v="16-24"/>
    <s v="8+"/>
    <n v="4"/>
    <s v="Yes (Medium Score)"/>
    <s v="8,500-13,499"/>
    <s v="Long Beach (90712)"/>
    <s v="$25,000-$44,999"/>
    <s v="No"/>
    <s v="No"/>
    <s v="Yes"/>
    <s v="No"/>
    <s v="No"/>
    <s v="Yes"/>
    <s v="No"/>
    <s v="Yes (Medium)"/>
    <s v="Yes"/>
    <s v="Yes"/>
    <s v="No"/>
    <s v="No"/>
    <s v="No"/>
    <n v="1345.7837797515408"/>
    <n v="622"/>
    <n v="1.32"/>
    <n v="0.93"/>
    <n v="2.12"/>
    <n v="0.8"/>
    <n v="1"/>
    <n v="1.1200000000000001"/>
    <n v="1.28"/>
    <n v="1"/>
    <n v="1"/>
    <n v="1.1599999999999999"/>
    <n v="1"/>
    <n v="1"/>
    <n v="0.72"/>
    <n v="0.92"/>
    <n v="0.89"/>
    <n v="1"/>
    <n v="1"/>
    <n v="1"/>
    <n v="1.06"/>
    <n v="1345.7837797515408"/>
    <n v="0"/>
    <s v="PASS"/>
    <n v="0"/>
    <x v="0"/>
  </r>
  <r>
    <s v="P0459"/>
    <d v="2026-03-08T00:00:00"/>
    <s v="Liability"/>
    <s v="35-44"/>
    <n v="7"/>
    <n v="1"/>
    <s v="Yes (High Score)"/>
    <s v="5,000-8,499"/>
    <s v="Culver City (90066)"/>
    <s v="$0-$4,999"/>
    <s v="No"/>
    <s v="No"/>
    <s v="No"/>
    <s v="Yes"/>
    <s v="No"/>
    <s v="Yes"/>
    <s v="No"/>
    <s v="Yes (Medium)"/>
    <s v="No"/>
    <s v="No"/>
    <s v="No"/>
    <s v="No"/>
    <s v="No"/>
    <n v="466.37"/>
    <n v="622"/>
    <n v="1"/>
    <n v="0.95"/>
    <n v="1.34"/>
    <n v="0.65"/>
    <n v="0.93"/>
    <n v="1.1499999999999999"/>
    <n v="0.82"/>
    <n v="1"/>
    <n v="1"/>
    <n v="1"/>
    <n v="0.88"/>
    <n v="1"/>
    <n v="0.72"/>
    <n v="1"/>
    <n v="1"/>
    <n v="1"/>
    <n v="1"/>
    <n v="1"/>
    <n v="1.06"/>
    <n v="303.14319258938457"/>
    <n v="163.22680741061544"/>
    <s v="FAIL"/>
    <n v="163.22680741061544"/>
    <x v="10"/>
  </r>
  <r>
    <s v="P0460"/>
    <d v="2025-10-08T00:00:00"/>
    <s v="Liability"/>
    <s v="35-44"/>
    <n v="2"/>
    <n v="4"/>
    <s v="No"/>
    <s v="13,500-16,999"/>
    <s v="Silverlake (90026 )"/>
    <s v="$15,000-$24,999"/>
    <s v="No"/>
    <s v="No"/>
    <s v="No"/>
    <s v="No"/>
    <s v="No"/>
    <s v="Yes"/>
    <s v="No"/>
    <s v="Yes (Low)"/>
    <s v="No"/>
    <s v="No"/>
    <s v="Yes"/>
    <s v="No"/>
    <s v="No"/>
    <n v="1559.2720487138381"/>
    <n v="622"/>
    <n v="1"/>
    <n v="1.41"/>
    <n v="2.12"/>
    <n v="1"/>
    <n v="1.18"/>
    <n v="1.1599999999999999"/>
    <n v="1.08"/>
    <n v="1"/>
    <n v="1"/>
    <n v="1"/>
    <n v="1"/>
    <n v="1"/>
    <n v="0.61"/>
    <n v="1"/>
    <n v="1"/>
    <n v="0.93"/>
    <n v="1"/>
    <n v="1"/>
    <n v="1"/>
    <n v="1559.2720487138381"/>
    <n v="0"/>
    <s v="PASS"/>
    <n v="0"/>
    <x v="0"/>
  </r>
  <r>
    <s v="P0461"/>
    <d v="2025-05-29T00:00:00"/>
    <s v="Comprehensive"/>
    <s v="25-34"/>
    <n v="6"/>
    <n v="2"/>
    <s v="Yes (High Score)"/>
    <s v="13,500-16,999"/>
    <s v="Culver City (90066)"/>
    <s v="$5,000-$14,999"/>
    <s v="No"/>
    <s v="No"/>
    <s v="No"/>
    <s v="No"/>
    <s v="Yes"/>
    <s v="No"/>
    <s v="Yes (High)"/>
    <s v="No"/>
    <s v="No"/>
    <s v="No"/>
    <s v="Yes"/>
    <s v="No"/>
    <s v="No"/>
    <n v="132.16077097191538"/>
    <n v="121"/>
    <n v="1.23"/>
    <n v="1"/>
    <n v="1.55"/>
    <n v="0.65"/>
    <n v="1.18"/>
    <n v="1.1499999999999999"/>
    <n v="0.97"/>
    <n v="1"/>
    <n v="1"/>
    <n v="1"/>
    <n v="1"/>
    <n v="0.72"/>
    <n v="1"/>
    <n v="1"/>
    <n v="1"/>
    <n v="0.93"/>
    <n v="1"/>
    <n v="1"/>
    <n v="1"/>
    <n v="132.16077097191538"/>
    <n v="0"/>
    <s v="PASS"/>
    <n v="0"/>
    <x v="0"/>
  </r>
  <r>
    <s v="P0462"/>
    <d v="2026-04-29T00:00:00"/>
    <s v="Liability"/>
    <s v="16-24"/>
    <n v="4"/>
    <n v="1"/>
    <s v="Yes (High Score)"/>
    <s v="0-4,999"/>
    <s v="Fullerton (92832)"/>
    <s v="$15,000-$24,999"/>
    <s v="No"/>
    <s v="No"/>
    <s v="No"/>
    <s v="No"/>
    <s v="No"/>
    <s v="Yes"/>
    <s v="No"/>
    <s v="Yes (High)"/>
    <s v="No"/>
    <s v="No"/>
    <s v="Yes"/>
    <s v="Yes"/>
    <s v="No"/>
    <n v="634.93884154612294"/>
    <n v="622"/>
    <n v="1.32"/>
    <n v="1.1499999999999999"/>
    <n v="1.34"/>
    <n v="0.65"/>
    <n v="0.82"/>
    <n v="1.1200000000000001"/>
    <n v="1.08"/>
    <n v="1"/>
    <n v="1"/>
    <n v="1"/>
    <n v="1"/>
    <n v="1"/>
    <n v="0.84"/>
    <n v="1"/>
    <n v="1"/>
    <n v="0.93"/>
    <n v="0.94"/>
    <n v="1"/>
    <n v="1.06"/>
    <n v="634.93884154612294"/>
    <n v="0"/>
    <s v="PASS"/>
    <n v="0"/>
    <x v="0"/>
  </r>
  <r>
    <s v="P0463"/>
    <d v="2025-05-05T00:00:00"/>
    <s v="Liability"/>
    <s v="16-24"/>
    <n v="1"/>
    <n v="1"/>
    <s v="No"/>
    <s v="0-4,999"/>
    <s v="Lake Forrest (92609)"/>
    <s v="$150,000+"/>
    <s v="No"/>
    <s v="No"/>
    <s v="Yes"/>
    <s v="No"/>
    <s v="No"/>
    <s v="Yes"/>
    <s v="No"/>
    <s v="Yes (Low)"/>
    <s v="Yes"/>
    <s v="No"/>
    <s v="No"/>
    <s v="No"/>
    <s v="Yes"/>
    <n v="2547.2976947017601"/>
    <n v="622"/>
    <n v="1.32"/>
    <n v="1.64"/>
    <n v="1.34"/>
    <n v="1"/>
    <n v="0.82"/>
    <n v="0.95"/>
    <n v="2.87"/>
    <n v="1"/>
    <n v="1"/>
    <n v="1.1599999999999999"/>
    <n v="1"/>
    <n v="1"/>
    <n v="0.61"/>
    <n v="0.92"/>
    <n v="1"/>
    <n v="1"/>
    <n v="1"/>
    <n v="0.97"/>
    <n v="1"/>
    <n v="2547.2976947017601"/>
    <n v="0"/>
    <s v="PASS"/>
    <n v="0"/>
    <x v="0"/>
  </r>
  <r>
    <s v="P0464"/>
    <d v="2026-01-23T00:00:00"/>
    <s v="Liability"/>
    <s v="25-34"/>
    <n v="6"/>
    <n v="0"/>
    <s v="Yes (High Score)"/>
    <s v="17,000+"/>
    <s v="Fountain Valley (92708)"/>
    <s v="$150,000+"/>
    <s v="Yes"/>
    <s v="No"/>
    <s v="Yes"/>
    <s v="Yes"/>
    <s v="No"/>
    <s v="Yes"/>
    <s v="No"/>
    <s v="Yes (Low)"/>
    <s v="No"/>
    <s v="No"/>
    <s v="No"/>
    <s v="No"/>
    <s v="No"/>
    <n v="1816.5452342808235"/>
    <n v="622"/>
    <n v="1.23"/>
    <n v="1"/>
    <n v="1"/>
    <n v="0.65"/>
    <n v="1.31"/>
    <n v="1.1499999999999999"/>
    <n v="2.87"/>
    <n v="1.28"/>
    <n v="1"/>
    <n v="1.1599999999999999"/>
    <n v="0.88"/>
    <n v="1"/>
    <n v="0.61"/>
    <n v="1"/>
    <n v="1"/>
    <n v="1"/>
    <n v="1"/>
    <n v="1"/>
    <n v="1.06"/>
    <n v="1816.5452342808235"/>
    <n v="0"/>
    <s v="PASS"/>
    <n v="0"/>
    <x v="0"/>
  </r>
  <r>
    <s v="P0465"/>
    <d v="2025-07-30T00:00:00"/>
    <s v="Collision"/>
    <s v="35-44"/>
    <n v="2"/>
    <n v="4"/>
    <s v="No"/>
    <s v="8,500-13,499"/>
    <s v="West Hollywood (90046)"/>
    <s v="$5,000-$14,999"/>
    <s v="No"/>
    <s v="No"/>
    <s v="No"/>
    <s v="Yes"/>
    <s v="Yes"/>
    <s v="No"/>
    <s v="Yes (Medium)"/>
    <s v="No"/>
    <s v="No"/>
    <s v="No"/>
    <s v="No"/>
    <s v="No"/>
    <s v="Yes"/>
    <n v="1111.3237856517349"/>
    <n v="453"/>
    <n v="1"/>
    <n v="1.41"/>
    <n v="2.12"/>
    <n v="1"/>
    <n v="1"/>
    <n v="1.18"/>
    <n v="0.97"/>
    <n v="1"/>
    <n v="1"/>
    <n v="1"/>
    <n v="0.88"/>
    <n v="0.84"/>
    <n v="1"/>
    <n v="1"/>
    <n v="1"/>
    <n v="1"/>
    <n v="1"/>
    <n v="0.97"/>
    <n v="1"/>
    <n v="1111.3237856517349"/>
    <n v="0"/>
    <s v="PASS"/>
    <n v="0"/>
    <x v="0"/>
  </r>
  <r>
    <s v="P0466"/>
    <d v="2025-12-17T00:00:00"/>
    <s v="Collision"/>
    <s v="55-64"/>
    <n v="3"/>
    <n v="4"/>
    <s v="Yes (High Score)"/>
    <s v="0-4,999"/>
    <s v="Costa Mesa (92626)"/>
    <s v="$25,000-$44,999"/>
    <s v="No"/>
    <s v="No"/>
    <s v="No"/>
    <s v="No"/>
    <s v="Yes"/>
    <s v="No"/>
    <s v="Yes (Low)"/>
    <s v="No"/>
    <s v="No"/>
    <s v="No"/>
    <s v="No"/>
    <s v="No"/>
    <s v="No"/>
    <n v="782.45708542869534"/>
    <n v="453"/>
    <n v="1.1200000000000001"/>
    <n v="1.22"/>
    <n v="2.12"/>
    <n v="0.65"/>
    <n v="0.82"/>
    <n v="0.92"/>
    <n v="1.28"/>
    <n v="1"/>
    <n v="1"/>
    <n v="1"/>
    <n v="1"/>
    <n v="0.95"/>
    <n v="1"/>
    <n v="1"/>
    <n v="1"/>
    <n v="1"/>
    <n v="1"/>
    <n v="1"/>
    <n v="1"/>
    <n v="782.45708542869534"/>
    <n v="0"/>
    <s v="PASS"/>
    <n v="0"/>
    <x v="0"/>
  </r>
  <r>
    <s v="P0467"/>
    <d v="2026-02-03T00:00:00"/>
    <s v="Liability"/>
    <s v="55-64"/>
    <n v="5"/>
    <n v="4"/>
    <s v="Yes (Medium Score)"/>
    <s v="13,500-16,999"/>
    <s v="Anaheim (92801)"/>
    <s v="$5,000-$14,999"/>
    <s v="No"/>
    <s v="No"/>
    <s v="No"/>
    <s v="No"/>
    <s v="No"/>
    <s v="Yes"/>
    <s v="No"/>
    <s v="Yes (Low)"/>
    <s v="No"/>
    <s v="No"/>
    <s v="No"/>
    <s v="No"/>
    <s v="No"/>
    <n v="1038.5572781775622"/>
    <n v="622"/>
    <n v="1.1200000000000001"/>
    <n v="1.07"/>
    <n v="2.12"/>
    <n v="0.8"/>
    <n v="1.18"/>
    <n v="1.1100000000000001"/>
    <n v="0.97"/>
    <n v="1"/>
    <n v="1"/>
    <n v="1"/>
    <n v="1"/>
    <n v="1"/>
    <n v="0.61"/>
    <n v="1"/>
    <n v="1"/>
    <n v="1"/>
    <n v="1"/>
    <n v="1"/>
    <n v="1.06"/>
    <n v="1038.5572781775622"/>
    <n v="0"/>
    <s v="PASS"/>
    <n v="0"/>
    <x v="0"/>
  </r>
  <r>
    <s v="P0468"/>
    <d v="2025-10-15T00:00:00"/>
    <s v="Comprehensive"/>
    <s v="65+"/>
    <n v="3"/>
    <n v="1"/>
    <s v="No"/>
    <s v="5,000-8,499"/>
    <s v="Hawthorne (90250)"/>
    <s v="$15,000-$24,999"/>
    <s v="No"/>
    <s v="No"/>
    <s v="No"/>
    <s v="No"/>
    <s v="Yes"/>
    <s v="No"/>
    <s v="Yes (Medium)"/>
    <s v="No"/>
    <s v="No"/>
    <s v="Yes"/>
    <s v="Yes"/>
    <s v="Yes"/>
    <s v="No"/>
    <n v="179.74922110229429"/>
    <n v="121"/>
    <n v="1.27"/>
    <n v="1.22"/>
    <n v="1.34"/>
    <n v="1"/>
    <n v="0.93"/>
    <n v="1.0900000000000001"/>
    <n v="1.08"/>
    <n v="1"/>
    <n v="1"/>
    <n v="1"/>
    <n v="1"/>
    <n v="0.84"/>
    <n v="1"/>
    <n v="1"/>
    <n v="0.89"/>
    <n v="0.93"/>
    <n v="0.94"/>
    <n v="1"/>
    <n v="1"/>
    <n v="179.74922110229429"/>
    <n v="0"/>
    <s v="PASS"/>
    <n v="0"/>
    <x v="0"/>
  </r>
  <r>
    <s v="P0469"/>
    <d v="2025-07-06T00:00:00"/>
    <s v="Collision"/>
    <s v="35-44"/>
    <n v="7"/>
    <n v="1"/>
    <s v="Yes (High Score)"/>
    <s v="13,500-16,999"/>
    <s v="Hawthorne (90250)"/>
    <s v="$85,000-$149,999"/>
    <s v="No"/>
    <s v="No"/>
    <s v="No"/>
    <s v="Yes"/>
    <s v="Yes"/>
    <s v="No"/>
    <s v="Yes (Medium)"/>
    <s v="No"/>
    <s v="No"/>
    <s v="No"/>
    <s v="No"/>
    <s v="No"/>
    <s v="No"/>
    <n v="719.88279673197894"/>
    <n v="453"/>
    <n v="1"/>
    <n v="0.95"/>
    <n v="1.34"/>
    <n v="0.65"/>
    <n v="1.18"/>
    <n v="1.0900000000000001"/>
    <n v="2.02"/>
    <n v="1"/>
    <n v="1"/>
    <n v="1"/>
    <n v="0.88"/>
    <n v="0.84"/>
    <n v="1"/>
    <n v="1"/>
    <n v="1"/>
    <n v="1"/>
    <n v="1"/>
    <n v="1"/>
    <n v="1"/>
    <n v="719.88279673197894"/>
    <n v="0"/>
    <s v="PASS"/>
    <n v="0"/>
    <x v="0"/>
  </r>
  <r>
    <s v="P0470"/>
    <d v="2025-09-02T00:00:00"/>
    <s v="Liability"/>
    <s v="35-44"/>
    <n v="7"/>
    <n v="1"/>
    <s v="No"/>
    <s v="0-4,999"/>
    <s v="West Hollywood (90046)"/>
    <s v="$0-$4,999"/>
    <s v="No"/>
    <s v="No"/>
    <s v="Yes"/>
    <s v="No"/>
    <s v="No"/>
    <s v="Yes"/>
    <s v="No"/>
    <s v="Yes (High)"/>
    <s v="No"/>
    <s v="No"/>
    <s v="No"/>
    <s v="No"/>
    <s v="No"/>
    <n v="612.16116620628475"/>
    <n v="622"/>
    <n v="1"/>
    <n v="0.95"/>
    <n v="1.34"/>
    <n v="1"/>
    <n v="0.82"/>
    <n v="1.18"/>
    <n v="0.82"/>
    <n v="1"/>
    <n v="1"/>
    <n v="1.1599999999999999"/>
    <n v="1"/>
    <n v="1"/>
    <n v="0.84"/>
    <n v="1"/>
    <n v="1"/>
    <n v="1"/>
    <n v="1"/>
    <n v="1"/>
    <n v="1"/>
    <n v="612.16116620628475"/>
    <n v="0"/>
    <s v="PASS"/>
    <n v="0"/>
    <x v="0"/>
  </r>
  <r>
    <s v="P0471"/>
    <d v="2025-10-21T00:00:00"/>
    <s v="Rental Car Reinbursement"/>
    <s v="16-24"/>
    <n v="4"/>
    <n v="0"/>
    <s v="No"/>
    <s v="17,000+"/>
    <s v="Lake Forrest (92609)"/>
    <s v="$5,000-$14,999"/>
    <s v="No"/>
    <s v="No"/>
    <s v="No"/>
    <s v="Yes"/>
    <s v="No"/>
    <s v="Yes"/>
    <s v="No"/>
    <s v="Yes (High)"/>
    <s v="No"/>
    <s v="No"/>
    <s v="Yes"/>
    <s v="No"/>
    <s v="No"/>
    <n v="51.649624710573121"/>
    <n v="41"/>
    <n v="1.32"/>
    <n v="1.1499999999999999"/>
    <n v="1"/>
    <n v="1"/>
    <n v="1.31"/>
    <n v="0.95"/>
    <n v="0.97"/>
    <n v="1"/>
    <n v="1"/>
    <n v="1"/>
    <n v="0.88"/>
    <n v="1"/>
    <n v="0.84"/>
    <n v="1"/>
    <n v="1"/>
    <n v="0.93"/>
    <n v="1"/>
    <n v="1"/>
    <n v="1"/>
    <n v="51.649624710573121"/>
    <n v="0"/>
    <s v="PASS"/>
    <n v="0"/>
    <x v="0"/>
  </r>
  <r>
    <s v="P0472"/>
    <d v="2026-01-24T00:00:00"/>
    <s v="Rental Car Reinbursement"/>
    <s v="25-34"/>
    <n v="6"/>
    <s v="5+"/>
    <s v="No"/>
    <s v="0-4,999"/>
    <s v="Hawthorne (90250)"/>
    <s v="$150,000+"/>
    <s v="No"/>
    <s v="No"/>
    <s v="No"/>
    <s v="No"/>
    <s v="No"/>
    <s v="Yes"/>
    <s v="No"/>
    <s v="Yes (Low)"/>
    <s v="No"/>
    <s v="Yes"/>
    <s v="Yes"/>
    <s v="No"/>
    <s v="No"/>
    <n v="171.00815599384262"/>
    <n v="41"/>
    <n v="1.23"/>
    <n v="1"/>
    <n v="2.4700000000000002"/>
    <n v="1"/>
    <n v="0.82"/>
    <n v="1.0900000000000001"/>
    <n v="2.87"/>
    <n v="1"/>
    <n v="1"/>
    <n v="1"/>
    <n v="1"/>
    <n v="1"/>
    <n v="0.61"/>
    <n v="1"/>
    <n v="0.89"/>
    <n v="0.93"/>
    <n v="1"/>
    <n v="1"/>
    <n v="1.06"/>
    <n v="171.00815599384262"/>
    <n v="0"/>
    <s v="PASS"/>
    <n v="0"/>
    <x v="0"/>
  </r>
  <r>
    <s v="P0473"/>
    <d v="2025-10-21T00:00:00"/>
    <s v="Liability"/>
    <s v="55-64"/>
    <n v="6"/>
    <s v="5+"/>
    <s v="No"/>
    <s v="8,500-13,499"/>
    <s v="Anaheim (92801)"/>
    <s v="$25,000-$44,999"/>
    <s v="No"/>
    <s v="No"/>
    <s v="No"/>
    <s v="No"/>
    <s v="No"/>
    <s v="Yes"/>
    <s v="No"/>
    <s v="Yes (Low)"/>
    <s v="No"/>
    <s v="No"/>
    <s v="No"/>
    <s v="Yes"/>
    <s v="Yes"/>
    <n v="1359.7771281277751"/>
    <n v="622"/>
    <n v="1.1200000000000001"/>
    <n v="1"/>
    <n v="2.4700000000000002"/>
    <n v="1"/>
    <n v="1"/>
    <n v="1.1100000000000001"/>
    <n v="1.28"/>
    <n v="1"/>
    <n v="1"/>
    <n v="1"/>
    <n v="1"/>
    <n v="1"/>
    <n v="0.61"/>
    <n v="1"/>
    <n v="1"/>
    <n v="1"/>
    <n v="0.94"/>
    <n v="0.97"/>
    <n v="1"/>
    <n v="1359.7771281277751"/>
    <n v="0"/>
    <s v="PASS"/>
    <n v="0"/>
    <x v="0"/>
  </r>
  <r>
    <s v="P0474"/>
    <d v="2025-05-07T00:00:00"/>
    <s v="Liability"/>
    <s v="55-64"/>
    <n v="4"/>
    <n v="1"/>
    <s v="Yes (High Score)"/>
    <s v="5,000-8,499"/>
    <s v="Westminster (92655)"/>
    <s v="$5,000-$14,999"/>
    <s v="Yes"/>
    <s v="No"/>
    <s v="No"/>
    <s v="Yes"/>
    <s v="No"/>
    <s v="Yes"/>
    <s v="No"/>
    <s v="Yes (High)"/>
    <s v="No"/>
    <s v="No"/>
    <s v="Yes"/>
    <s v="No"/>
    <s v="No"/>
    <n v="603.75461006450894"/>
    <n v="622"/>
    <n v="1.1200000000000001"/>
    <n v="1.1499999999999999"/>
    <n v="1.34"/>
    <n v="0.65"/>
    <n v="0.93"/>
    <n v="1.0900000000000001"/>
    <n v="0.97"/>
    <n v="1.28"/>
    <n v="1"/>
    <n v="1"/>
    <n v="0.88"/>
    <n v="1"/>
    <n v="0.84"/>
    <n v="1"/>
    <n v="1"/>
    <n v="0.93"/>
    <n v="1"/>
    <n v="1"/>
    <n v="1"/>
    <n v="603.75461006450894"/>
    <n v="0"/>
    <s v="PASS"/>
    <n v="0"/>
    <x v="0"/>
  </r>
  <r>
    <s v="P0475"/>
    <d v="2025-10-03T00:00:00"/>
    <s v="Liability"/>
    <s v="25-34"/>
    <n v="1"/>
    <n v="4"/>
    <s v="No"/>
    <s v="5,000-8,499"/>
    <s v="Silverlake (90026 )"/>
    <s v="$85,000-$149,999"/>
    <s v="No"/>
    <s v="No"/>
    <s v="No"/>
    <s v="Yes"/>
    <s v="No"/>
    <s v="Yes"/>
    <s v="No"/>
    <s v="Yes (Medium)"/>
    <s v="No"/>
    <s v="Yes"/>
    <s v="Yes"/>
    <s v="No"/>
    <s v="No"/>
    <n v="3039.8743726718453"/>
    <n v="622"/>
    <n v="1.23"/>
    <n v="1.64"/>
    <n v="2.12"/>
    <n v="1"/>
    <n v="0.93"/>
    <n v="1.1599999999999999"/>
    <n v="2.02"/>
    <n v="1"/>
    <n v="1"/>
    <n v="1"/>
    <n v="0.88"/>
    <n v="1"/>
    <n v="0.72"/>
    <n v="1"/>
    <n v="0.89"/>
    <n v="0.93"/>
    <n v="1"/>
    <n v="1"/>
    <n v="1"/>
    <n v="3039.8743726718453"/>
    <n v="0"/>
    <s v="PASS"/>
    <n v="0"/>
    <x v="0"/>
  </r>
  <r>
    <s v="P0476"/>
    <d v="2025-05-28T00:00:00"/>
    <s v="Liability"/>
    <s v="35-44"/>
    <n v="7"/>
    <n v="1"/>
    <s v="Yes (Low Score)"/>
    <s v="0-4,999"/>
    <s v="Compton (90220)"/>
    <s v="$85,000-$149,999"/>
    <s v="No"/>
    <s v="No"/>
    <s v="No"/>
    <s v="No"/>
    <s v="No"/>
    <s v="Yes"/>
    <s v="No"/>
    <s v="Yes (Medium)"/>
    <s v="No"/>
    <s v="No"/>
    <s v="No"/>
    <s v="No"/>
    <s v="No"/>
    <n v="1399.4736000111359"/>
    <n v="622"/>
    <n v="1"/>
    <n v="0.95"/>
    <n v="1.34"/>
    <n v="0.95"/>
    <n v="0.82"/>
    <n v="1.56"/>
    <n v="2.02"/>
    <n v="1"/>
    <n v="1"/>
    <n v="1"/>
    <n v="1"/>
    <n v="1"/>
    <n v="0.72"/>
    <n v="1"/>
    <n v="1"/>
    <n v="1"/>
    <n v="1"/>
    <n v="1"/>
    <n v="1"/>
    <n v="1399.4736000111359"/>
    <n v="0"/>
    <s v="PASS"/>
    <n v="0"/>
    <x v="0"/>
  </r>
  <r>
    <s v="P0477"/>
    <d v="2026-03-05T00:00:00"/>
    <s v="Liability"/>
    <s v="25-34"/>
    <n v="5"/>
    <n v="0"/>
    <s v="Yes (Low Score)"/>
    <s v="13,500-16,999"/>
    <s v="Costa Mesa (92626)"/>
    <s v="$15,000-$24,999"/>
    <s v="No"/>
    <s v="No"/>
    <s v="No"/>
    <s v="Yes"/>
    <s v="No"/>
    <s v="Yes"/>
    <s v="No"/>
    <s v="Yes (High)"/>
    <s v="No"/>
    <s v="No"/>
    <s v="No"/>
    <s v="No"/>
    <s v="Yes"/>
    <n v="693.00445578195593"/>
    <n v="622"/>
    <n v="1.23"/>
    <n v="1.07"/>
    <n v="1"/>
    <n v="0.95"/>
    <n v="1.18"/>
    <n v="0.92"/>
    <n v="1.08"/>
    <n v="1"/>
    <n v="1"/>
    <n v="1"/>
    <n v="0.88"/>
    <n v="1"/>
    <n v="0.84"/>
    <n v="1"/>
    <n v="1"/>
    <n v="1"/>
    <n v="1"/>
    <n v="0.97"/>
    <n v="1.06"/>
    <n v="693.00445578195593"/>
    <n v="0"/>
    <s v="PASS"/>
    <n v="0"/>
    <x v="0"/>
  </r>
  <r>
    <s v="P0478"/>
    <d v="2026-03-19T00:00:00"/>
    <s v="Comprehensive"/>
    <s v="25-34"/>
    <n v="4"/>
    <n v="1"/>
    <s v="Yes (High Score)"/>
    <s v="8,500-13,499"/>
    <s v="Santa Monica (90401)"/>
    <s v="$15,000-$24,999"/>
    <s v="No"/>
    <s v="No"/>
    <s v="No"/>
    <s v="No"/>
    <s v="Yes"/>
    <s v="No"/>
    <s v="Yes (Low)"/>
    <s v="No"/>
    <s v="No"/>
    <s v="No"/>
    <s v="No"/>
    <s v="Yes"/>
    <s v="No"/>
    <n v="176.78505418885393"/>
    <n v="121"/>
    <n v="1.23"/>
    <n v="1.1499999999999999"/>
    <n v="1.34"/>
    <n v="0.65"/>
    <n v="1"/>
    <n v="1.1599999999999999"/>
    <n v="1.08"/>
    <n v="1"/>
    <n v="1"/>
    <n v="1"/>
    <n v="1"/>
    <n v="0.95"/>
    <n v="1"/>
    <n v="1"/>
    <n v="1"/>
    <n v="1"/>
    <n v="0.94"/>
    <n v="1"/>
    <n v="1.06"/>
    <n v="176.78505418885393"/>
    <n v="0"/>
    <s v="PASS"/>
    <n v="0"/>
    <x v="0"/>
  </r>
  <r>
    <s v="P0479"/>
    <d v="2025-10-06T00:00:00"/>
    <s v="Rental Car Reinbursement"/>
    <s v="35-44"/>
    <n v="7"/>
    <n v="0"/>
    <s v="Yes (High Score)"/>
    <s v="13,500-16,999"/>
    <s v="Hawthorne (90250)"/>
    <s v="$25,000-$44,999"/>
    <s v="No"/>
    <s v="No"/>
    <s v="No"/>
    <s v="Yes"/>
    <s v="No"/>
    <s v="Yes"/>
    <s v="No"/>
    <s v="Yes (High)"/>
    <s v="No"/>
    <s v="No"/>
    <s v="No"/>
    <s v="No"/>
    <s v="No"/>
    <n v="30.810677753855995"/>
    <n v="41"/>
    <n v="1"/>
    <n v="0.95"/>
    <n v="1"/>
    <n v="0.65"/>
    <n v="1.18"/>
    <n v="1.0900000000000001"/>
    <n v="1.28"/>
    <n v="1"/>
    <n v="1"/>
    <n v="1"/>
    <n v="0.88"/>
    <n v="1"/>
    <n v="0.84"/>
    <n v="1"/>
    <n v="1"/>
    <n v="1"/>
    <n v="1"/>
    <n v="1"/>
    <n v="1"/>
    <n v="30.810677753855995"/>
    <n v="0"/>
    <s v="PASS"/>
    <n v="0"/>
    <x v="0"/>
  </r>
  <r>
    <s v="P0480"/>
    <d v="2026-01-27T00:00:00"/>
    <s v="Uninsured Motorist"/>
    <s v="35-44"/>
    <n v="5"/>
    <n v="1"/>
    <s v="Yes (High Score)"/>
    <s v="17,000+"/>
    <s v="Cypress (90630)"/>
    <s v="$0-$4,999"/>
    <s v="No"/>
    <s v="No"/>
    <s v="No"/>
    <s v="No"/>
    <s v="No"/>
    <s v="Yes"/>
    <s v="No"/>
    <s v="Yes (Low)"/>
    <s v="No"/>
    <s v="No"/>
    <s v="Yes"/>
    <s v="Yes"/>
    <s v="No"/>
    <n v="47.670745240405402"/>
    <n v="78"/>
    <n v="1"/>
    <n v="1.07"/>
    <n v="1.34"/>
    <n v="0.65"/>
    <n v="1.31"/>
    <n v="1.08"/>
    <n v="0.82"/>
    <n v="1"/>
    <n v="1"/>
    <n v="1"/>
    <n v="1"/>
    <n v="1"/>
    <n v="0.61"/>
    <n v="1"/>
    <n v="1"/>
    <n v="0.93"/>
    <n v="0.94"/>
    <n v="1"/>
    <n v="1.06"/>
    <n v="47.670745240405402"/>
    <n v="0"/>
    <s v="PASS"/>
    <n v="0"/>
    <x v="0"/>
  </r>
  <r>
    <s v="P0481"/>
    <d v="2025-07-29T00:00:00"/>
    <s v="Liability"/>
    <s v="55-64"/>
    <n v="4"/>
    <n v="1"/>
    <s v="Yes (Low Score)"/>
    <s v="8,500-13,499"/>
    <s v="Hollywood (90028)"/>
    <s v="$45,000-$84,999"/>
    <s v="No"/>
    <s v="No"/>
    <s v="No"/>
    <s v="Yes"/>
    <s v="No"/>
    <s v="Yes"/>
    <s v="No"/>
    <s v="Yes (Low)"/>
    <s v="Yes"/>
    <s v="No"/>
    <s v="No"/>
    <s v="No"/>
    <s v="No"/>
    <n v="940.98261483853003"/>
    <n v="622"/>
    <n v="1.1200000000000001"/>
    <n v="1.1499999999999999"/>
    <n v="1.34"/>
    <n v="0.95"/>
    <n v="1"/>
    <n v="1.19"/>
    <n v="1.57"/>
    <n v="1"/>
    <n v="1"/>
    <n v="1"/>
    <n v="0.88"/>
    <n v="1"/>
    <n v="0.61"/>
    <n v="0.92"/>
    <n v="1"/>
    <n v="1"/>
    <n v="1"/>
    <n v="1"/>
    <n v="1"/>
    <n v="940.98261483853003"/>
    <n v="0"/>
    <s v="PASS"/>
    <n v="0"/>
    <x v="0"/>
  </r>
  <r>
    <s v="P0482"/>
    <d v="2026-01-25T00:00:00"/>
    <s v="Liability"/>
    <s v="65+"/>
    <n v="6"/>
    <s v="5+"/>
    <s v="Yes (High Score)"/>
    <s v="0-4,999"/>
    <s v="Compton (90220)"/>
    <s v="$0-$4,999"/>
    <s v="No"/>
    <s v="No"/>
    <s v="No"/>
    <s v="No"/>
    <s v="No"/>
    <s v="Yes"/>
    <s v="No"/>
    <s v="Yes (Low)"/>
    <s v="No"/>
    <s v="No"/>
    <s v="No"/>
    <s v="No"/>
    <s v="No"/>
    <n v="860.18609715603702"/>
    <n v="622"/>
    <n v="1.27"/>
    <n v="1"/>
    <n v="2.4700000000000002"/>
    <n v="0.65"/>
    <n v="0.82"/>
    <n v="1.56"/>
    <n v="0.82"/>
    <n v="1"/>
    <n v="1"/>
    <n v="1"/>
    <n v="1"/>
    <n v="1"/>
    <n v="0.61"/>
    <n v="1"/>
    <n v="1"/>
    <n v="1"/>
    <n v="1"/>
    <n v="1"/>
    <n v="1.06"/>
    <n v="860.18609715603702"/>
    <n v="0"/>
    <s v="PASS"/>
    <n v="0"/>
    <x v="0"/>
  </r>
  <r>
    <s v="P0483"/>
    <d v="2025-12-13T00:00:00"/>
    <s v="Liability"/>
    <s v="35-44"/>
    <s v="8+"/>
    <n v="4"/>
    <s v="Yes (High Score)"/>
    <s v="0-4,999"/>
    <s v="Lake Forrest (92609)"/>
    <s v="$85,000-$149,999"/>
    <s v="No"/>
    <s v="No"/>
    <s v="Yes"/>
    <s v="Yes"/>
    <s v="No"/>
    <s v="Yes"/>
    <s v="No"/>
    <s v="Yes (Medium)"/>
    <s v="No"/>
    <s v="Yes"/>
    <s v="No"/>
    <s v="No"/>
    <s v="Yes"/>
    <n v="795.87759086070378"/>
    <n v="622"/>
    <n v="1"/>
    <n v="0.93"/>
    <n v="2.12"/>
    <n v="0.65"/>
    <n v="0.82"/>
    <n v="0.95"/>
    <n v="2.02"/>
    <n v="1"/>
    <n v="1"/>
    <n v="1.1599999999999999"/>
    <n v="0.88"/>
    <n v="1"/>
    <n v="0.72"/>
    <n v="1"/>
    <n v="0.89"/>
    <n v="1"/>
    <n v="1"/>
    <n v="0.97"/>
    <n v="1"/>
    <n v="795.87759086070378"/>
    <n v="0"/>
    <s v="PASS"/>
    <n v="0"/>
    <x v="0"/>
  </r>
  <r>
    <s v="P0484"/>
    <d v="2025-10-16T00:00:00"/>
    <s v="Liability"/>
    <s v="55-64"/>
    <n v="7"/>
    <n v="4"/>
    <s v="No"/>
    <s v="8,500-13,499"/>
    <s v="Beverly Hills (90035)"/>
    <s v="$150,000+"/>
    <s v="No"/>
    <s v="No"/>
    <s v="No"/>
    <s v="No"/>
    <s v="No"/>
    <s v="Yes"/>
    <s v="No"/>
    <s v="Yes (High)"/>
    <s v="No"/>
    <s v="No"/>
    <s v="No"/>
    <s v="Yes"/>
    <s v="No"/>
    <n v="3847.1779975276036"/>
    <n v="622"/>
    <n v="1.1200000000000001"/>
    <n v="0.95"/>
    <n v="2.12"/>
    <n v="1"/>
    <n v="1"/>
    <n v="1.21"/>
    <n v="2.87"/>
    <n v="1"/>
    <n v="1"/>
    <n v="1"/>
    <n v="1"/>
    <n v="1"/>
    <n v="0.84"/>
    <n v="1"/>
    <n v="1"/>
    <n v="1"/>
    <n v="0.94"/>
    <n v="1"/>
    <n v="1"/>
    <n v="3847.1779975276036"/>
    <n v="0"/>
    <s v="PASS"/>
    <n v="0"/>
    <x v="0"/>
  </r>
  <r>
    <s v="P0485"/>
    <d v="2025-12-24T00:00:00"/>
    <s v="Liability"/>
    <s v="35-44"/>
    <n v="4"/>
    <n v="4"/>
    <s v="Yes (Medium Score)"/>
    <s v="0-4,999"/>
    <s v="Cypress (90630)"/>
    <s v="$85,000-$149,999"/>
    <s v="No"/>
    <s v="No"/>
    <s v="No"/>
    <s v="No"/>
    <s v="No"/>
    <s v="Yes"/>
    <s v="No"/>
    <s v="Yes (High)"/>
    <s v="No"/>
    <s v="No"/>
    <s v="No"/>
    <s v="No"/>
    <s v="No"/>
    <n v="1822.981814728704"/>
    <n v="622"/>
    <n v="1"/>
    <n v="1.1499999999999999"/>
    <n v="2.12"/>
    <n v="0.8"/>
    <n v="0.82"/>
    <n v="1.08"/>
    <n v="2.02"/>
    <n v="1"/>
    <n v="1"/>
    <n v="1"/>
    <n v="1"/>
    <n v="1"/>
    <n v="0.84"/>
    <n v="1"/>
    <n v="1"/>
    <n v="1"/>
    <n v="1"/>
    <n v="1"/>
    <n v="1"/>
    <n v="1822.981814728704"/>
    <n v="0"/>
    <s v="PASS"/>
    <n v="0"/>
    <x v="0"/>
  </r>
  <r>
    <s v="P0486"/>
    <d v="2025-08-22T00:00:00"/>
    <s v="Liability"/>
    <s v="25-34"/>
    <n v="4"/>
    <n v="1"/>
    <s v="Yes (Low Score)"/>
    <s v="13,500-16,999"/>
    <s v="Culver City (90066)"/>
    <s v="$0-$4,999"/>
    <s v="No"/>
    <s v="Yes"/>
    <s v="Yes"/>
    <s v="No"/>
    <s v="No"/>
    <s v="Yes"/>
    <s v="No"/>
    <s v="Yes (Medium)"/>
    <s v="No"/>
    <s v="Yes"/>
    <s v="Yes"/>
    <s v="No"/>
    <s v="No"/>
    <n v="847.54"/>
    <n v="622"/>
    <n v="1.23"/>
    <n v="1.1499999999999999"/>
    <n v="1.34"/>
    <n v="0.95"/>
    <n v="1.18"/>
    <n v="1.1499999999999999"/>
    <n v="0.82"/>
    <n v="1"/>
    <n v="1.21"/>
    <n v="1.1599999999999999"/>
    <n v="1"/>
    <n v="1"/>
    <n v="0.72"/>
    <n v="1"/>
    <n v="0.89"/>
    <n v="0.93"/>
    <n v="1"/>
    <n v="1"/>
    <n v="1"/>
    <n v="1042.4716456303186"/>
    <n v="-194.9316456303186"/>
    <s v="FAIL"/>
    <n v="194.9316456303186"/>
    <x v="6"/>
  </r>
  <r>
    <s v="P0487"/>
    <d v="2025-08-24T00:00:00"/>
    <s v="Liability"/>
    <s v="45-54"/>
    <n v="6"/>
    <n v="3"/>
    <s v="No"/>
    <s v="17,000+"/>
    <s v="DTLA (90012)"/>
    <s v="$0-$4,999"/>
    <s v="No"/>
    <s v="No"/>
    <s v="No"/>
    <s v="No"/>
    <s v="No"/>
    <s v="Yes"/>
    <s v="No"/>
    <s v="Yes (Low)"/>
    <s v="No"/>
    <s v="Yes"/>
    <s v="No"/>
    <s v="No"/>
    <s v="Yes"/>
    <n v="863.36178078503428"/>
    <n v="622"/>
    <n v="1.07"/>
    <n v="1"/>
    <n v="1.82"/>
    <n v="1"/>
    <n v="1.31"/>
    <n v="1.26"/>
    <n v="0.82"/>
    <n v="1"/>
    <n v="1"/>
    <n v="1"/>
    <n v="1"/>
    <n v="1"/>
    <n v="0.61"/>
    <n v="1"/>
    <n v="0.89"/>
    <n v="1"/>
    <n v="1"/>
    <n v="0.97"/>
    <n v="1"/>
    <n v="863.36178078503428"/>
    <n v="0"/>
    <s v="PASS"/>
    <n v="0"/>
    <x v="0"/>
  </r>
  <r>
    <s v="P0488"/>
    <d v="2025-09-06T00:00:00"/>
    <s v="Collision"/>
    <s v="65+"/>
    <s v="8+"/>
    <n v="0"/>
    <s v="Yes (Low Score)"/>
    <s v="5,000-8,499"/>
    <s v="Anaheim (92801)"/>
    <s v="$85,000-$149,999"/>
    <s v="Yes"/>
    <s v="No"/>
    <s v="Yes"/>
    <s v="Yes"/>
    <s v="Yes"/>
    <s v="No"/>
    <s v="Yes (Medium)"/>
    <s v="No"/>
    <s v="Yes"/>
    <s v="No"/>
    <s v="Yes"/>
    <s v="No"/>
    <s v="No"/>
    <n v="995.32856154148658"/>
    <n v="453"/>
    <n v="1.27"/>
    <n v="0.93"/>
    <n v="1"/>
    <n v="0.95"/>
    <n v="0.93"/>
    <n v="1.1100000000000001"/>
    <n v="2.02"/>
    <n v="1.28"/>
    <n v="1"/>
    <n v="1.1599999999999999"/>
    <n v="0.88"/>
    <n v="0.84"/>
    <n v="1"/>
    <n v="0.92"/>
    <n v="1"/>
    <n v="0.93"/>
    <n v="1"/>
    <n v="1"/>
    <n v="1"/>
    <n v="995.32856154148658"/>
    <n v="0"/>
    <s v="PASS"/>
    <n v="0"/>
    <x v="0"/>
  </r>
  <r>
    <s v="P0489"/>
    <d v="2025-05-16T00:00:00"/>
    <s v="Liability"/>
    <s v="35-44"/>
    <s v="8+"/>
    <s v="5+"/>
    <s v="No"/>
    <s v="0-4,999"/>
    <s v="Long Beach (90712)"/>
    <s v="$25,000-$44,999"/>
    <s v="Yes"/>
    <s v="No"/>
    <s v="Yes"/>
    <s v="No"/>
    <s v="No"/>
    <s v="Yes"/>
    <s v="No"/>
    <s v="Yes (Medium)"/>
    <s v="No"/>
    <s v="No"/>
    <s v="No"/>
    <s v="No"/>
    <s v="No"/>
    <n v="1795.6123613639741"/>
    <n v="622"/>
    <n v="1"/>
    <n v="0.93"/>
    <n v="2.4700000000000002"/>
    <n v="1"/>
    <n v="0.82"/>
    <n v="1.1200000000000001"/>
    <n v="1.28"/>
    <n v="1.28"/>
    <n v="1"/>
    <n v="1.1599999999999999"/>
    <n v="1"/>
    <n v="1"/>
    <n v="0.72"/>
    <n v="1"/>
    <n v="1"/>
    <n v="1"/>
    <n v="1"/>
    <n v="1"/>
    <n v="1"/>
    <n v="1795.6123613639741"/>
    <n v="0"/>
    <s v="PASS"/>
    <n v="0"/>
    <x v="0"/>
  </r>
  <r>
    <s v="P0490"/>
    <d v="2026-01-29T00:00:00"/>
    <s v="Collision"/>
    <s v="65+"/>
    <n v="5"/>
    <n v="1"/>
    <s v="Yes (High Score)"/>
    <s v="0-4,999"/>
    <s v="Costa Mesa (92626)"/>
    <s v="$45,000-$84,999"/>
    <s v="No"/>
    <s v="No"/>
    <s v="No"/>
    <s v="Yes"/>
    <s v="Yes"/>
    <s v="No"/>
    <s v="Yes (Medium)"/>
    <s v="No"/>
    <s v="No"/>
    <s v="No"/>
    <s v="No"/>
    <s v="No"/>
    <s v="No"/>
    <n v="497.59156676626162"/>
    <n v="453"/>
    <n v="1.27"/>
    <n v="1.07"/>
    <n v="1.34"/>
    <n v="0.65"/>
    <n v="0.82"/>
    <n v="0.92"/>
    <n v="1.57"/>
    <n v="1"/>
    <n v="1"/>
    <n v="1"/>
    <n v="0.88"/>
    <n v="0.84"/>
    <n v="1"/>
    <n v="1"/>
    <n v="1"/>
    <n v="1"/>
    <n v="1"/>
    <n v="1"/>
    <n v="1.06"/>
    <n v="497.59156676626162"/>
    <n v="0"/>
    <s v="PASS"/>
    <n v="0"/>
    <x v="0"/>
  </r>
  <r>
    <s v="P0491"/>
    <d v="2025-12-03T00:00:00"/>
    <s v="Collision"/>
    <s v="55-64"/>
    <n v="1"/>
    <n v="0"/>
    <s v="No"/>
    <s v="13,500-16,999"/>
    <s v="Compton (90220)"/>
    <s v="$15,000-$24,999"/>
    <s v="No"/>
    <s v="No"/>
    <s v="No"/>
    <s v="Yes"/>
    <s v="Yes"/>
    <s v="No"/>
    <s v="Yes (Low)"/>
    <s v="No"/>
    <s v="No"/>
    <s v="No"/>
    <s v="No"/>
    <s v="Yes"/>
    <s v="No"/>
    <n v="1299.9437637833687"/>
    <n v="453"/>
    <n v="1.1200000000000001"/>
    <n v="1.64"/>
    <n v="1"/>
    <n v="1"/>
    <n v="1.18"/>
    <n v="1.56"/>
    <n v="1.08"/>
    <n v="1"/>
    <n v="1"/>
    <n v="1"/>
    <n v="0.88"/>
    <n v="0.95"/>
    <n v="1"/>
    <n v="1"/>
    <n v="1"/>
    <n v="1"/>
    <n v="0.94"/>
    <n v="1"/>
    <n v="1"/>
    <n v="1299.9437637833687"/>
    <n v="0"/>
    <s v="PASS"/>
    <n v="0"/>
    <x v="0"/>
  </r>
  <r>
    <s v="P0492"/>
    <d v="2025-12-18T00:00:00"/>
    <s v="Collision"/>
    <s v="55-64"/>
    <n v="2"/>
    <n v="4"/>
    <s v="Yes (Low Score)"/>
    <s v="13,500-16,999"/>
    <s v="Fountain Valley (92708)"/>
    <s v="$150,000+"/>
    <s v="No"/>
    <s v="No"/>
    <s v="No"/>
    <s v="No"/>
    <s v="Yes"/>
    <s v="No"/>
    <s v="Yes (High)"/>
    <s v="No"/>
    <s v="No"/>
    <s v="No"/>
    <s v="Yes"/>
    <s v="No"/>
    <s v="No"/>
    <n v="3757.2664360496947"/>
    <n v="453"/>
    <n v="1.1200000000000001"/>
    <n v="1.41"/>
    <n v="2.12"/>
    <n v="0.95"/>
    <n v="1.18"/>
    <n v="1.1499999999999999"/>
    <n v="2.87"/>
    <n v="1"/>
    <n v="1"/>
    <n v="1"/>
    <n v="1"/>
    <n v="0.72"/>
    <n v="1"/>
    <n v="1"/>
    <n v="1"/>
    <n v="0.93"/>
    <n v="1"/>
    <n v="1"/>
    <n v="1"/>
    <n v="3757.2664360496947"/>
    <n v="0"/>
    <s v="PASS"/>
    <n v="0"/>
    <x v="0"/>
  </r>
  <r>
    <s v="P0493"/>
    <d v="2025-05-09T00:00:00"/>
    <s v="Liability"/>
    <s v="25-34"/>
    <n v="3"/>
    <n v="2"/>
    <s v="No"/>
    <s v="17,000+"/>
    <s v="Santa Ana (92702)"/>
    <s v="$150,000+"/>
    <s v="No"/>
    <s v="No"/>
    <s v="No"/>
    <s v="No"/>
    <s v="No"/>
    <s v="Yes"/>
    <s v="No"/>
    <s v="Yes (Medium)"/>
    <s v="No"/>
    <s v="Yes"/>
    <s v="No"/>
    <s v="No"/>
    <s v="No"/>
    <n v="3555.1906263979804"/>
    <n v="622"/>
    <n v="1.23"/>
    <n v="1.22"/>
    <n v="1.55"/>
    <n v="1"/>
    <n v="1.31"/>
    <n v="1.02"/>
    <n v="2.87"/>
    <n v="1"/>
    <n v="1"/>
    <n v="1"/>
    <n v="1"/>
    <n v="1"/>
    <n v="0.72"/>
    <n v="1"/>
    <n v="0.89"/>
    <n v="1"/>
    <n v="1"/>
    <n v="1"/>
    <n v="1"/>
    <n v="3555.1906263979804"/>
    <n v="0"/>
    <s v="PASS"/>
    <n v="0"/>
    <x v="0"/>
  </r>
  <r>
    <s v="P0494"/>
    <d v="2025-08-06T00:00:00"/>
    <s v="Uninsured Motorist"/>
    <s v="25-34"/>
    <n v="7"/>
    <s v="5+"/>
    <s v="No"/>
    <s v="8,500-13,499"/>
    <s v="Hawthorne (90250)"/>
    <s v="$5,000-$14,999"/>
    <s v="No"/>
    <s v="Yes"/>
    <s v="No"/>
    <s v="No"/>
    <s v="No"/>
    <s v="Yes"/>
    <s v="No"/>
    <s v="Yes (Medium)"/>
    <s v="No"/>
    <s v="No"/>
    <s v="No"/>
    <s v="No"/>
    <s v="No"/>
    <n v="207.36543716562963"/>
    <n v="78"/>
    <n v="1.23"/>
    <n v="0.95"/>
    <n v="2.4700000000000002"/>
    <n v="1"/>
    <n v="1"/>
    <n v="1.0900000000000001"/>
    <n v="0.97"/>
    <n v="1"/>
    <n v="1.21"/>
    <n v="1"/>
    <n v="1"/>
    <n v="1"/>
    <n v="0.72"/>
    <n v="1"/>
    <n v="1"/>
    <n v="1"/>
    <n v="1"/>
    <n v="1"/>
    <n v="1"/>
    <n v="207.36543716562963"/>
    <n v="0"/>
    <s v="PASS"/>
    <n v="0"/>
    <x v="0"/>
  </r>
  <r>
    <s v="P0495"/>
    <d v="2025-11-19T00:00:00"/>
    <s v="Comprehensive"/>
    <s v="16-24"/>
    <n v="3"/>
    <n v="0"/>
    <s v="Yes (Low Score)"/>
    <s v="8,500-13,499"/>
    <s v="Santa Ana (92702)"/>
    <s v="$0-$4,999"/>
    <s v="No"/>
    <s v="No"/>
    <s v="No"/>
    <s v="No"/>
    <s v="Yes"/>
    <s v="No"/>
    <s v="Yes (High)"/>
    <s v="No"/>
    <s v="No"/>
    <s v="Yes"/>
    <s v="No"/>
    <s v="Yes"/>
    <s v="No"/>
    <n v="93.262514024934134"/>
    <n v="121"/>
    <n v="1.32"/>
    <n v="1.22"/>
    <n v="1"/>
    <n v="0.95"/>
    <n v="1"/>
    <n v="1.02"/>
    <n v="0.82"/>
    <n v="1"/>
    <n v="1"/>
    <n v="1"/>
    <n v="1"/>
    <n v="0.72"/>
    <n v="1"/>
    <n v="1"/>
    <n v="0.89"/>
    <n v="1"/>
    <n v="0.94"/>
    <n v="1"/>
    <n v="1"/>
    <n v="93.262514024934134"/>
    <n v="0"/>
    <s v="PASS"/>
    <n v="0"/>
    <x v="0"/>
  </r>
  <r>
    <s v="P0496"/>
    <d v="2026-02-03T00:00:00"/>
    <s v="Liability"/>
    <s v="25-34"/>
    <n v="2"/>
    <n v="4"/>
    <s v="No"/>
    <s v="5,000-8,499"/>
    <s v="Anaheim (92801)"/>
    <s v="$15,000-$24,999"/>
    <s v="No"/>
    <s v="No"/>
    <s v="No"/>
    <s v="No"/>
    <s v="No"/>
    <s v="Yes"/>
    <s v="No"/>
    <s v="Yes (Medium)"/>
    <s v="No"/>
    <s v="Yes"/>
    <s v="Yes"/>
    <s v="No"/>
    <s v="No"/>
    <n v="1610.6139986273718"/>
    <n v="622"/>
    <n v="1.23"/>
    <n v="1.41"/>
    <n v="2.12"/>
    <n v="1"/>
    <n v="0.93"/>
    <n v="1.1100000000000001"/>
    <n v="1.08"/>
    <n v="1"/>
    <n v="1"/>
    <n v="1"/>
    <n v="1"/>
    <n v="1"/>
    <n v="0.72"/>
    <n v="1"/>
    <n v="0.89"/>
    <n v="0.93"/>
    <n v="1"/>
    <n v="1"/>
    <n v="1.06"/>
    <n v="1610.6139986273718"/>
    <n v="0"/>
    <s v="PASS"/>
    <n v="0"/>
    <x v="0"/>
  </r>
  <r>
    <s v="P0497"/>
    <d v="2025-05-14T00:00:00"/>
    <s v="Rental Car Reinbursement"/>
    <s v="55-64"/>
    <n v="3"/>
    <n v="0"/>
    <s v="No"/>
    <s v="17,000+"/>
    <s v="Cypress (90630)"/>
    <s v="$5,000-$14,999"/>
    <s v="No"/>
    <s v="No"/>
    <s v="No"/>
    <s v="Yes"/>
    <s v="No"/>
    <s v="Yes"/>
    <s v="No"/>
    <s v="Yes (Medium)"/>
    <s v="No"/>
    <s v="No"/>
    <s v="No"/>
    <s v="No"/>
    <s v="No"/>
    <n v="48.712864004259835"/>
    <n v="41"/>
    <n v="1.1200000000000001"/>
    <n v="1.22"/>
    <n v="1"/>
    <n v="1"/>
    <n v="1.31"/>
    <n v="1.08"/>
    <n v="0.97"/>
    <n v="1"/>
    <n v="1"/>
    <n v="1"/>
    <n v="0.88"/>
    <n v="1"/>
    <n v="0.72"/>
    <n v="1"/>
    <n v="1"/>
    <n v="1"/>
    <n v="1"/>
    <n v="1"/>
    <n v="1"/>
    <n v="48.712864004259835"/>
    <n v="0"/>
    <s v="PASS"/>
    <n v="0"/>
    <x v="0"/>
  </r>
  <r>
    <s v="P0498"/>
    <d v="2025-07-21T00:00:00"/>
    <s v="Collision"/>
    <s v="45-54"/>
    <n v="4"/>
    <n v="0"/>
    <s v="Yes (Low Score)"/>
    <s v="13,500-16,999"/>
    <s v="Huntington Beach (90742)"/>
    <s v="$25,000-$44,999"/>
    <s v="No"/>
    <s v="No"/>
    <s v="No"/>
    <s v="No"/>
    <s v="Yes"/>
    <s v="No"/>
    <s v="Yes (High)"/>
    <s v="No"/>
    <s v="No"/>
    <s v="No"/>
    <s v="No"/>
    <s v="No"/>
    <s v="Yes"/>
    <n v="547.42636340388856"/>
    <n v="453"/>
    <n v="1.07"/>
    <n v="1.1499999999999999"/>
    <n v="1"/>
    <n v="0.95"/>
    <n v="1.18"/>
    <n v="0.98"/>
    <n v="1.28"/>
    <n v="1"/>
    <n v="1"/>
    <n v="1"/>
    <n v="1"/>
    <n v="0.72"/>
    <n v="1"/>
    <n v="1"/>
    <n v="1"/>
    <n v="1"/>
    <n v="1"/>
    <n v="0.97"/>
    <n v="1"/>
    <n v="547.42636340388856"/>
    <n v="0"/>
    <s v="PASS"/>
    <n v="0"/>
    <x v="0"/>
  </r>
  <r>
    <s v="P0499"/>
    <d v="2025-05-26T00:00:00"/>
    <s v="Rental Car Reinbursement"/>
    <s v="65+"/>
    <n v="1"/>
    <s v="5+"/>
    <s v="Yes (Low Score)"/>
    <s v="13,500-16,999"/>
    <s v="Culver City (90066)"/>
    <s v="$15,000-$24,999"/>
    <s v="No"/>
    <s v="No"/>
    <s v="No"/>
    <s v="Yes"/>
    <s v="No"/>
    <s v="Yes"/>
    <s v="No"/>
    <s v="Yes (High)"/>
    <s v="Yes"/>
    <s v="No"/>
    <s v="No"/>
    <s v="No"/>
    <s v="No"/>
    <n v="199.71255737834952"/>
    <n v="41"/>
    <n v="1.27"/>
    <n v="1.64"/>
    <n v="2.4700000000000002"/>
    <n v="0.95"/>
    <n v="1.18"/>
    <n v="1.1499999999999999"/>
    <n v="1.08"/>
    <n v="1"/>
    <n v="1"/>
    <n v="1"/>
    <n v="0.88"/>
    <n v="1"/>
    <n v="0.84"/>
    <n v="0.92"/>
    <n v="1"/>
    <n v="1"/>
    <n v="1"/>
    <n v="1"/>
    <n v="1"/>
    <n v="199.71255737834952"/>
    <n v="0"/>
    <s v="PASS"/>
    <n v="0"/>
    <x v="0"/>
  </r>
  <r>
    <s v="P0500"/>
    <d v="2025-07-19T00:00:00"/>
    <s v="Comprehensive"/>
    <s v="65+"/>
    <n v="2"/>
    <n v="3"/>
    <s v="Yes (Medium Score)"/>
    <s v="8,500-13,499"/>
    <s v="Santa Monica (90401)"/>
    <s v="$85,000-$149,999"/>
    <s v="No"/>
    <s v="No"/>
    <s v="No"/>
    <s v="Yes"/>
    <s v="Yes"/>
    <s v="No"/>
    <s v="Yes (Medium)"/>
    <s v="No"/>
    <s v="Yes"/>
    <s v="No"/>
    <s v="No"/>
    <s v="No"/>
    <s v="No"/>
    <n v="502.72296309180479"/>
    <n v="121"/>
    <n v="1.27"/>
    <n v="1.41"/>
    <n v="1.82"/>
    <n v="0.8"/>
    <n v="1"/>
    <n v="1.1599999999999999"/>
    <n v="2.02"/>
    <n v="1"/>
    <n v="1"/>
    <n v="1"/>
    <n v="0.88"/>
    <n v="0.84"/>
    <n v="1"/>
    <n v="0.92"/>
    <n v="1"/>
    <n v="1"/>
    <n v="1"/>
    <n v="1"/>
    <n v="1"/>
    <n v="502.72296309180479"/>
    <n v="0"/>
    <s v="PASS"/>
    <n v="0"/>
    <x v="0"/>
  </r>
  <r>
    <s v="P0501"/>
    <d v="2026-03-31T00:00:00"/>
    <s v="Liability"/>
    <s v="45-54"/>
    <n v="5"/>
    <n v="0"/>
    <s v="Yes (High Score)"/>
    <s v="13,500-16,999"/>
    <s v="West Hollywood (90046)"/>
    <s v="$150,000+"/>
    <s v="No"/>
    <s v="No"/>
    <s v="No"/>
    <s v="No"/>
    <s v="No"/>
    <s v="Yes"/>
    <s v="No"/>
    <s v="Yes (Low)"/>
    <s v="No"/>
    <s v="Yes"/>
    <s v="No"/>
    <s v="Yes"/>
    <s v="No"/>
    <n v="1000.6236620704191"/>
    <n v="622"/>
    <n v="1.07"/>
    <n v="1.07"/>
    <n v="1"/>
    <n v="0.65"/>
    <n v="1.18"/>
    <n v="1.18"/>
    <n v="2.87"/>
    <n v="1"/>
    <n v="1"/>
    <n v="1"/>
    <n v="1"/>
    <n v="1"/>
    <n v="0.61"/>
    <n v="1"/>
    <n v="0.89"/>
    <n v="1"/>
    <n v="0.94"/>
    <n v="1"/>
    <n v="1.06"/>
    <n v="1000.6236620704191"/>
    <n v="0"/>
    <s v="PASS"/>
    <n v="0"/>
    <x v="0"/>
  </r>
  <r>
    <s v="P0502"/>
    <d v="2025-11-18T00:00:00"/>
    <s v="Collision"/>
    <s v="35-44"/>
    <n v="2"/>
    <n v="2"/>
    <s v="No"/>
    <s v="0-4,999"/>
    <s v="Anaheim (92801)"/>
    <s v="$150,000+"/>
    <s v="No"/>
    <s v="No"/>
    <s v="No"/>
    <s v="No"/>
    <s v="Yes"/>
    <s v="No"/>
    <s v="Yes (Medium)"/>
    <s v="No"/>
    <s v="No"/>
    <s v="Yes"/>
    <s v="No"/>
    <s v="No"/>
    <s v="No"/>
    <n v="1933.4681994613359"/>
    <n v="453"/>
    <n v="1"/>
    <n v="1.41"/>
    <n v="1.55"/>
    <n v="1"/>
    <n v="0.82"/>
    <n v="1.1100000000000001"/>
    <n v="2.87"/>
    <n v="1"/>
    <n v="1"/>
    <n v="1"/>
    <n v="1"/>
    <n v="0.84"/>
    <n v="1"/>
    <n v="1"/>
    <n v="0.89"/>
    <n v="1"/>
    <n v="1"/>
    <n v="1"/>
    <n v="1"/>
    <n v="1933.4681994613359"/>
    <n v="0"/>
    <s v="PASS"/>
    <n v="0"/>
    <x v="0"/>
  </r>
  <r>
    <s v="P0503"/>
    <d v="2025-09-28T00:00:00"/>
    <s v="Liability"/>
    <s v="65+"/>
    <n v="3"/>
    <n v="0"/>
    <s v="Yes (Medium Score)"/>
    <s v="0-4,999"/>
    <s v="Silverlake (90026 )"/>
    <s v="$5,000-$14,999"/>
    <s v="No"/>
    <s v="No"/>
    <s v="No"/>
    <s v="No"/>
    <s v="No"/>
    <s v="Yes"/>
    <s v="No"/>
    <s v="Yes (Low)"/>
    <s v="No"/>
    <s v="No"/>
    <s v="No"/>
    <s v="No"/>
    <s v="No"/>
    <n v="433.92765980725756"/>
    <n v="622"/>
    <n v="1.27"/>
    <n v="1.22"/>
    <n v="1"/>
    <n v="0.8"/>
    <n v="0.82"/>
    <n v="1.1599999999999999"/>
    <n v="0.97"/>
    <n v="1"/>
    <n v="1"/>
    <n v="1"/>
    <n v="1"/>
    <n v="1"/>
    <n v="0.61"/>
    <n v="1"/>
    <n v="1"/>
    <n v="1"/>
    <n v="1"/>
    <n v="1"/>
    <n v="1"/>
    <n v="433.92765980725756"/>
    <n v="0"/>
    <s v="PASS"/>
    <n v="0"/>
    <x v="0"/>
  </r>
  <r>
    <s v="P0504"/>
    <d v="2025-08-18T00:00:00"/>
    <s v="Liability"/>
    <s v="55-64"/>
    <n v="3"/>
    <n v="2"/>
    <s v="No"/>
    <s v="8,500-13,499"/>
    <s v="Anaheim (92801)"/>
    <s v="$15,000-$24,999"/>
    <s v="No"/>
    <s v="Yes"/>
    <s v="No"/>
    <s v="No"/>
    <s v="No"/>
    <s v="Yes"/>
    <s v="No"/>
    <s v="Yes (Medium)"/>
    <s v="No"/>
    <s v="No"/>
    <s v="No"/>
    <s v="No"/>
    <s v="No"/>
    <n v="1375.8292466924549"/>
    <n v="622"/>
    <n v="1.1200000000000001"/>
    <n v="1.22"/>
    <n v="1.55"/>
    <n v="1"/>
    <n v="1"/>
    <n v="1.1100000000000001"/>
    <n v="1.08"/>
    <n v="1"/>
    <n v="1.21"/>
    <n v="1"/>
    <n v="1"/>
    <n v="1"/>
    <n v="0.72"/>
    <n v="1"/>
    <n v="1"/>
    <n v="1"/>
    <n v="1"/>
    <n v="1"/>
    <n v="1"/>
    <n v="1375.8292466924549"/>
    <n v="0"/>
    <s v="PASS"/>
    <n v="0"/>
    <x v="0"/>
  </r>
  <r>
    <s v="P0505"/>
    <d v="2026-02-08T00:00:00"/>
    <s v="Collision"/>
    <s v="45-54"/>
    <n v="2"/>
    <n v="1"/>
    <s v="Yes (Medium Score)"/>
    <s v="17,000+"/>
    <s v="Beverly Hills (90035)"/>
    <s v="$0-$4,999"/>
    <s v="No"/>
    <s v="No"/>
    <s v="Yes"/>
    <s v="Yes"/>
    <s v="Yes"/>
    <s v="No"/>
    <s v="Yes (Low)"/>
    <s v="No"/>
    <s v="No"/>
    <s v="Yes"/>
    <s v="No"/>
    <s v="No"/>
    <s v="No"/>
    <n v="871.21738807405757"/>
    <n v="453"/>
    <n v="1.07"/>
    <n v="1.41"/>
    <n v="1.34"/>
    <n v="0.8"/>
    <n v="1.31"/>
    <n v="1.21"/>
    <n v="0.82"/>
    <n v="1"/>
    <n v="1"/>
    <n v="1.1599999999999999"/>
    <n v="0.88"/>
    <n v="0.95"/>
    <n v="1"/>
    <n v="1"/>
    <n v="0.89"/>
    <n v="1"/>
    <n v="1"/>
    <n v="1"/>
    <n v="1.06"/>
    <n v="871.21738807405757"/>
    <n v="0"/>
    <s v="PASS"/>
    <n v="0"/>
    <x v="0"/>
  </r>
  <r>
    <s v="P0506"/>
    <d v="2025-08-28T00:00:00"/>
    <s v="Uninsured Motorist"/>
    <s v="45-54"/>
    <n v="6"/>
    <n v="3"/>
    <s v="No"/>
    <s v="17,000+"/>
    <s v="Santa Monica (90401)"/>
    <s v="$5,000-$14,999"/>
    <s v="No"/>
    <s v="No"/>
    <s v="No"/>
    <s v="Yes"/>
    <s v="No"/>
    <s v="Yes"/>
    <s v="No"/>
    <s v="Yes (Low)"/>
    <s v="No"/>
    <s v="No"/>
    <s v="No"/>
    <s v="No"/>
    <s v="No"/>
    <n v="120.18860506004354"/>
    <n v="78"/>
    <n v="1.07"/>
    <n v="1"/>
    <n v="1.82"/>
    <n v="1"/>
    <n v="1.31"/>
    <n v="1.1599999999999999"/>
    <n v="0.97"/>
    <n v="1"/>
    <n v="1"/>
    <n v="1"/>
    <n v="0.88"/>
    <n v="1"/>
    <n v="0.61"/>
    <n v="1"/>
    <n v="1"/>
    <n v="1"/>
    <n v="1"/>
    <n v="1"/>
    <n v="1"/>
    <n v="120.18860506004354"/>
    <n v="0"/>
    <s v="PASS"/>
    <n v="0"/>
    <x v="0"/>
  </r>
  <r>
    <s v="P0507"/>
    <d v="2026-04-18T00:00:00"/>
    <s v="Collision"/>
    <s v="35-44"/>
    <n v="6"/>
    <n v="2"/>
    <s v="Yes (Medium Score)"/>
    <s v="17,000+"/>
    <s v="Beverly Hills (90035)"/>
    <s v="$85,000-$149,999"/>
    <s v="No"/>
    <s v="No"/>
    <s v="Yes"/>
    <s v="No"/>
    <s v="Yes"/>
    <s v="No"/>
    <s v="Yes (Low)"/>
    <s v="No"/>
    <s v="No"/>
    <s v="No"/>
    <s v="No"/>
    <s v="Yes"/>
    <s v="No"/>
    <n v="1974.891478975559"/>
    <n v="453"/>
    <n v="1"/>
    <n v="1"/>
    <n v="1.55"/>
    <n v="0.8"/>
    <n v="1.31"/>
    <n v="1.21"/>
    <n v="2.02"/>
    <n v="1"/>
    <n v="1"/>
    <n v="1.1599999999999999"/>
    <n v="1"/>
    <n v="0.95"/>
    <n v="1"/>
    <n v="1"/>
    <n v="1"/>
    <n v="1"/>
    <n v="0.94"/>
    <n v="1"/>
    <n v="1.06"/>
    <n v="1974.891478975559"/>
    <n v="0"/>
    <s v="PASS"/>
    <n v="0"/>
    <x v="0"/>
  </r>
  <r>
    <s v="P0508"/>
    <d v="2025-11-12T00:00:00"/>
    <s v="Liability"/>
    <s v="25-34"/>
    <n v="2"/>
    <s v="5+"/>
    <s v="No"/>
    <s v="8,500-13,499"/>
    <s v="West Hollywood (90046)"/>
    <s v="$25,000-$44,999"/>
    <s v="No"/>
    <s v="No"/>
    <s v="No"/>
    <s v="Yes"/>
    <s v="No"/>
    <s v="Yes"/>
    <s v="No"/>
    <s v="Yes (High)"/>
    <s v="No"/>
    <s v="Yes"/>
    <s v="No"/>
    <s v="No"/>
    <s v="No"/>
    <n v="2647.6190903428883"/>
    <n v="622"/>
    <n v="1.23"/>
    <n v="1.41"/>
    <n v="2.4700000000000002"/>
    <n v="1"/>
    <n v="1"/>
    <n v="1.18"/>
    <n v="1.28"/>
    <n v="1"/>
    <n v="1"/>
    <n v="1"/>
    <n v="0.88"/>
    <n v="1"/>
    <n v="0.84"/>
    <n v="1"/>
    <n v="0.89"/>
    <n v="1"/>
    <n v="1"/>
    <n v="1"/>
    <n v="1"/>
    <n v="2647.6190903428883"/>
    <n v="0"/>
    <s v="PASS"/>
    <n v="0"/>
    <x v="0"/>
  </r>
  <r>
    <s v="P0509"/>
    <d v="2025-05-16T00:00:00"/>
    <s v="Rental Car Reinbursement"/>
    <s v="25-34"/>
    <s v="8+"/>
    <n v="0"/>
    <s v="Yes (Medium Score)"/>
    <s v="17,000+"/>
    <s v="Long Beach (90712)"/>
    <s v="$45,000-$84,999"/>
    <s v="No"/>
    <s v="No"/>
    <s v="No"/>
    <s v="No"/>
    <s v="No"/>
    <s v="Yes"/>
    <s v="No"/>
    <s v="Yes (High)"/>
    <s v="No"/>
    <s v="Yes"/>
    <s v="No"/>
    <s v="No"/>
    <s v="No"/>
    <n v="64.613038863840785"/>
    <n v="41"/>
    <n v="1.23"/>
    <n v="0.93"/>
    <n v="1"/>
    <n v="0.8"/>
    <n v="1.31"/>
    <n v="1.1200000000000001"/>
    <n v="1.57"/>
    <n v="1"/>
    <n v="1"/>
    <n v="1"/>
    <n v="1"/>
    <n v="1"/>
    <n v="0.84"/>
    <n v="1"/>
    <n v="0.89"/>
    <n v="1"/>
    <n v="1"/>
    <n v="1"/>
    <n v="1"/>
    <n v="64.613038863840785"/>
    <n v="0"/>
    <s v="PASS"/>
    <n v="0"/>
    <x v="0"/>
  </r>
  <r>
    <s v="P0510"/>
    <d v="2026-01-21T00:00:00"/>
    <s v="Collision"/>
    <s v="16-24"/>
    <n v="4"/>
    <s v="5+"/>
    <s v="Yes (Medium Score)"/>
    <s v="8,500-13,499"/>
    <s v="Fountain Valley (92708)"/>
    <s v="$45,000-$84,999"/>
    <s v="No"/>
    <s v="Yes"/>
    <s v="Yes"/>
    <s v="Yes"/>
    <s v="Yes"/>
    <s v="No"/>
    <s v="Yes (Low)"/>
    <s v="No"/>
    <s v="No"/>
    <s v="No"/>
    <s v="No"/>
    <s v="No"/>
    <s v="No"/>
    <n v="3051.4756506115123"/>
    <n v="453"/>
    <n v="1.32"/>
    <n v="1.1499999999999999"/>
    <n v="2.4700000000000002"/>
    <n v="0.8"/>
    <n v="1"/>
    <n v="1.1499999999999999"/>
    <n v="1.57"/>
    <n v="1"/>
    <n v="1.21"/>
    <n v="1.1599999999999999"/>
    <n v="0.88"/>
    <n v="0.95"/>
    <n v="1"/>
    <n v="1"/>
    <n v="1"/>
    <n v="1"/>
    <n v="1"/>
    <n v="1"/>
    <n v="1.06"/>
    <n v="3051.4756506115123"/>
    <n v="0"/>
    <s v="PASS"/>
    <n v="0"/>
    <x v="0"/>
  </r>
  <r>
    <s v="P0511"/>
    <d v="2025-12-12T00:00:00"/>
    <s v="Liability"/>
    <s v="55-64"/>
    <n v="2"/>
    <n v="0"/>
    <s v="No"/>
    <s v="17,000+"/>
    <s v="Fullerton (92832)"/>
    <s v="$0-$4,999"/>
    <s v="No"/>
    <s v="No"/>
    <s v="No"/>
    <s v="No"/>
    <s v="No"/>
    <s v="Yes"/>
    <s v="No"/>
    <s v="Yes (Medium)"/>
    <s v="No"/>
    <s v="No"/>
    <s v="Yes"/>
    <s v="No"/>
    <s v="No"/>
    <n v="791.30905553903619"/>
    <n v="622"/>
    <n v="1.1200000000000001"/>
    <n v="1.41"/>
    <n v="1"/>
    <n v="1"/>
    <n v="1.31"/>
    <n v="1.1200000000000001"/>
    <n v="0.82"/>
    <n v="1"/>
    <n v="1"/>
    <n v="1"/>
    <n v="1"/>
    <n v="1"/>
    <n v="0.72"/>
    <n v="1"/>
    <n v="1"/>
    <n v="0.93"/>
    <n v="1"/>
    <n v="1"/>
    <n v="1"/>
    <n v="791.30905553903619"/>
    <n v="0"/>
    <s v="PASS"/>
    <n v="0"/>
    <x v="0"/>
  </r>
  <r>
    <s v="P0512"/>
    <d v="2025-08-02T00:00:00"/>
    <s v="Collision"/>
    <s v="25-34"/>
    <n v="7"/>
    <n v="0"/>
    <s v="Yes (High Score)"/>
    <s v="0-4,999"/>
    <s v="Irvine (92602)"/>
    <s v="$150,000+"/>
    <s v="No"/>
    <s v="No"/>
    <s v="No"/>
    <s v="No"/>
    <s v="Yes"/>
    <s v="No"/>
    <s v="Yes (High)"/>
    <s v="No"/>
    <s v="No"/>
    <s v="No"/>
    <s v="No"/>
    <s v="No"/>
    <s v="No"/>
    <n v="583"/>
    <n v="453"/>
    <n v="1.23"/>
    <n v="0.95"/>
    <n v="1"/>
    <n v="0.65"/>
    <n v="0.82"/>
    <n v="1.0900000000000001"/>
    <n v="2.87"/>
    <n v="1"/>
    <n v="1"/>
    <n v="1"/>
    <n v="1"/>
    <n v="0.72"/>
    <n v="1"/>
    <n v="1"/>
    <n v="1"/>
    <n v="1"/>
    <n v="1"/>
    <n v="1"/>
    <n v="1"/>
    <n v="635.46995050484406"/>
    <n v="-52.469950504844064"/>
    <s v="FAIL"/>
    <n v="52.469950504844064"/>
    <x v="11"/>
  </r>
  <r>
    <s v="P0513"/>
    <d v="2025-07-10T00:00:00"/>
    <s v="Collision"/>
    <s v="35-44"/>
    <n v="6"/>
    <n v="4"/>
    <s v="No"/>
    <s v="13,500-16,999"/>
    <s v="Santa Ana (92702)"/>
    <s v="$15,000-$24,999"/>
    <s v="No"/>
    <s v="Yes"/>
    <s v="No"/>
    <s v="Yes"/>
    <s v="Yes"/>
    <s v="No"/>
    <s v="Yes (Low)"/>
    <s v="No"/>
    <s v="No"/>
    <s v="Yes"/>
    <s v="Yes"/>
    <s v="No"/>
    <s v="No"/>
    <n v="1045.2125132624076"/>
    <n v="453"/>
    <n v="1"/>
    <n v="1"/>
    <n v="2.12"/>
    <n v="1"/>
    <n v="1.18"/>
    <n v="1.02"/>
    <n v="1.08"/>
    <n v="1"/>
    <n v="1.21"/>
    <n v="1"/>
    <n v="0.88"/>
    <n v="0.95"/>
    <n v="1"/>
    <n v="1"/>
    <n v="0.89"/>
    <n v="0.93"/>
    <n v="1"/>
    <n v="1"/>
    <n v="1"/>
    <n v="1045.2125132624076"/>
    <n v="0"/>
    <s v="PASS"/>
    <n v="0"/>
    <x v="0"/>
  </r>
  <r>
    <s v="P0514"/>
    <d v="2025-09-17T00:00:00"/>
    <s v="Uninsured Motorist"/>
    <s v="35-44"/>
    <n v="1"/>
    <n v="4"/>
    <s v="No"/>
    <s v="5,000-8,499"/>
    <s v="Hollywood (90028)"/>
    <s v="$85,000-$149,999"/>
    <s v="No"/>
    <s v="No"/>
    <s v="Yes"/>
    <s v="Yes"/>
    <s v="No"/>
    <s v="Yes"/>
    <s v="No"/>
    <s v="Yes (Medium)"/>
    <s v="No"/>
    <s v="No"/>
    <s v="No"/>
    <s v="No"/>
    <s v="No"/>
    <n v="445.58313923146369"/>
    <n v="78"/>
    <n v="1"/>
    <n v="1.64"/>
    <n v="2.12"/>
    <n v="1"/>
    <n v="0.93"/>
    <n v="1.19"/>
    <n v="2.02"/>
    <n v="1"/>
    <n v="1"/>
    <n v="1.1599999999999999"/>
    <n v="0.88"/>
    <n v="1"/>
    <n v="0.72"/>
    <n v="1"/>
    <n v="1"/>
    <n v="1"/>
    <n v="1"/>
    <n v="1"/>
    <n v="1"/>
    <n v="445.58313923146369"/>
    <n v="0"/>
    <s v="PASS"/>
    <n v="0"/>
    <x v="0"/>
  </r>
  <r>
    <s v="P0515"/>
    <d v="2025-07-20T00:00:00"/>
    <s v="Liability"/>
    <s v="25-34"/>
    <n v="6"/>
    <n v="2"/>
    <s v="No"/>
    <s v="0-4,999"/>
    <s v="West Hollywood (90046)"/>
    <s v="$85,000-$149,999"/>
    <s v="No"/>
    <s v="No"/>
    <s v="No"/>
    <s v="No"/>
    <s v="No"/>
    <s v="Yes"/>
    <s v="No"/>
    <s v="Yes (Low)"/>
    <s v="No"/>
    <s v="Yes"/>
    <s v="No"/>
    <s v="No"/>
    <s v="No"/>
    <n v="1258.3291722027141"/>
    <n v="622"/>
    <n v="1.23"/>
    <n v="1"/>
    <n v="1.55"/>
    <n v="1"/>
    <n v="0.82"/>
    <n v="1.18"/>
    <n v="2.02"/>
    <n v="1"/>
    <n v="1"/>
    <n v="1"/>
    <n v="1"/>
    <n v="1"/>
    <n v="0.61"/>
    <n v="1"/>
    <n v="0.89"/>
    <n v="1"/>
    <n v="1"/>
    <n v="1"/>
    <n v="1"/>
    <n v="1258.3291722027141"/>
    <n v="0"/>
    <s v="PASS"/>
    <n v="0"/>
    <x v="0"/>
  </r>
  <r>
    <s v="P0516"/>
    <d v="2025-05-02T00:00:00"/>
    <s v="Liability"/>
    <s v="35-44"/>
    <s v="8+"/>
    <n v="3"/>
    <s v="No"/>
    <s v="17,000+"/>
    <s v="Silverlake (90026 )"/>
    <s v="$45,000-$84,999"/>
    <s v="No"/>
    <s v="Yes"/>
    <s v="No"/>
    <s v="No"/>
    <s v="No"/>
    <s v="Yes"/>
    <s v="No"/>
    <s v="Yes (High)"/>
    <s v="No"/>
    <s v="No"/>
    <s v="No"/>
    <s v="No"/>
    <s v="No"/>
    <n v="2552.9265203739897"/>
    <n v="622"/>
    <n v="1"/>
    <n v="0.93"/>
    <n v="1.82"/>
    <n v="1"/>
    <n v="1.31"/>
    <n v="1.1599999999999999"/>
    <n v="1.57"/>
    <n v="1"/>
    <n v="1.21"/>
    <n v="1"/>
    <n v="1"/>
    <n v="1"/>
    <n v="0.84"/>
    <n v="1"/>
    <n v="1"/>
    <n v="1"/>
    <n v="1"/>
    <n v="1"/>
    <n v="1"/>
    <n v="2552.9265203739897"/>
    <n v="0"/>
    <s v="PASS"/>
    <n v="0"/>
    <x v="0"/>
  </r>
  <r>
    <s v="P0517"/>
    <d v="2025-12-02T00:00:00"/>
    <s v="Rental Car Reinbursement"/>
    <s v="55-64"/>
    <n v="5"/>
    <n v="0"/>
    <s v="Yes (Low Score)"/>
    <s v="8,500-13,499"/>
    <s v="Santa Ana (92702)"/>
    <s v="$150,000+"/>
    <s v="No"/>
    <s v="No"/>
    <s v="No"/>
    <s v="No"/>
    <s v="No"/>
    <s v="Yes"/>
    <s v="No"/>
    <s v="Yes (Medium)"/>
    <s v="No"/>
    <s v="No"/>
    <s v="No"/>
    <s v="No"/>
    <s v="No"/>
    <n v="98.383853111040025"/>
    <n v="41"/>
    <n v="1.1200000000000001"/>
    <n v="1.07"/>
    <n v="1"/>
    <n v="0.95"/>
    <n v="1"/>
    <n v="1.02"/>
    <n v="2.87"/>
    <n v="1"/>
    <n v="1"/>
    <n v="1"/>
    <n v="1"/>
    <n v="1"/>
    <n v="0.72"/>
    <n v="1"/>
    <n v="1"/>
    <n v="1"/>
    <n v="1"/>
    <n v="1"/>
    <n v="1"/>
    <n v="98.383853111040025"/>
    <n v="0"/>
    <s v="PASS"/>
    <n v="0"/>
    <x v="0"/>
  </r>
  <r>
    <s v="P0518"/>
    <d v="2025-06-03T00:00:00"/>
    <s v="Liability"/>
    <s v="16-24"/>
    <n v="2"/>
    <n v="1"/>
    <s v="Yes (High Score)"/>
    <s v="8,500-13,499"/>
    <s v="West Hollywood (90046)"/>
    <s v="$0-$4,999"/>
    <s v="No"/>
    <s v="No"/>
    <s v="No"/>
    <s v="Yes"/>
    <s v="No"/>
    <s v="Yes"/>
    <s v="No"/>
    <s v="Yes (Medium)"/>
    <s v="No"/>
    <s v="Yes"/>
    <s v="Yes"/>
    <s v="No"/>
    <s v="No"/>
    <n v="511.66483102779694"/>
    <n v="622"/>
    <n v="1.32"/>
    <n v="1.41"/>
    <n v="1.34"/>
    <n v="0.65"/>
    <n v="1"/>
    <n v="1.18"/>
    <n v="0.82"/>
    <n v="1"/>
    <n v="1"/>
    <n v="1"/>
    <n v="0.88"/>
    <n v="1"/>
    <n v="0.72"/>
    <n v="1"/>
    <n v="0.89"/>
    <n v="0.93"/>
    <n v="1"/>
    <n v="1"/>
    <n v="1"/>
    <n v="511.66483102779694"/>
    <n v="0"/>
    <s v="PASS"/>
    <n v="0"/>
    <x v="0"/>
  </r>
  <r>
    <s v="P0519"/>
    <d v="2026-04-30T00:00:00"/>
    <s v="Liability"/>
    <s v="45-54"/>
    <n v="7"/>
    <s v="5+"/>
    <s v="Yes (Low Score)"/>
    <s v="0-4,999"/>
    <s v="Culver City (90066)"/>
    <s v="$150,000+"/>
    <s v="No"/>
    <s v="No"/>
    <s v="No"/>
    <s v="Yes"/>
    <s v="No"/>
    <s v="Yes"/>
    <s v="No"/>
    <s v="Yes (Low)"/>
    <s v="No"/>
    <s v="Yes"/>
    <s v="No"/>
    <s v="Yes"/>
    <s v="No"/>
    <n v="1911.3848894752191"/>
    <n v="622"/>
    <n v="1.07"/>
    <n v="0.95"/>
    <n v="2.4700000000000002"/>
    <n v="0.95"/>
    <n v="0.82"/>
    <n v="1.1499999999999999"/>
    <n v="2.87"/>
    <n v="1"/>
    <n v="1"/>
    <n v="1"/>
    <n v="0.88"/>
    <n v="1"/>
    <n v="0.61"/>
    <n v="1"/>
    <n v="0.89"/>
    <n v="1"/>
    <n v="0.94"/>
    <n v="1"/>
    <n v="1.06"/>
    <n v="1911.3848894752191"/>
    <n v="0"/>
    <s v="PASS"/>
    <n v="0"/>
    <x v="0"/>
  </r>
  <r>
    <s v="P0520"/>
    <d v="2025-11-21T00:00:00"/>
    <s v="Comprehensive"/>
    <s v="25-34"/>
    <n v="3"/>
    <n v="3"/>
    <s v="No"/>
    <s v="13,500-16,999"/>
    <s v="Fountain Valley (92708)"/>
    <s v="$5,000-$14,999"/>
    <s v="Yes"/>
    <s v="No"/>
    <s v="No"/>
    <s v="No"/>
    <s v="Yes"/>
    <s v="No"/>
    <s v="Yes (Low)"/>
    <s v="No"/>
    <s v="No"/>
    <s v="No"/>
    <s v="No"/>
    <s v="Yes"/>
    <s v="No"/>
    <n v="497.2041110516991"/>
    <n v="121"/>
    <n v="1.23"/>
    <n v="1.22"/>
    <n v="1.82"/>
    <n v="1"/>
    <n v="1.18"/>
    <n v="1.1499999999999999"/>
    <n v="0.97"/>
    <n v="1.28"/>
    <n v="1"/>
    <n v="1"/>
    <n v="1"/>
    <n v="0.95"/>
    <n v="1"/>
    <n v="1"/>
    <n v="1"/>
    <n v="1"/>
    <n v="0.94"/>
    <n v="1"/>
    <n v="1"/>
    <n v="497.2041110516991"/>
    <n v="0"/>
    <s v="PASS"/>
    <n v="0"/>
    <x v="0"/>
  </r>
  <r>
    <s v="P0521"/>
    <d v="2026-04-17T00:00:00"/>
    <s v="Uninsured Motorist"/>
    <s v="35-44"/>
    <s v="8+"/>
    <n v="2"/>
    <s v="Yes (Medium Score)"/>
    <s v="17,000+"/>
    <s v="Irvine (92602)"/>
    <s v="$15,000-$24,999"/>
    <s v="No"/>
    <s v="No"/>
    <s v="No"/>
    <s v="Yes"/>
    <s v="No"/>
    <s v="Yes"/>
    <s v="No"/>
    <s v="Yes (Low)"/>
    <s v="No"/>
    <s v="No"/>
    <s v="No"/>
    <s v="No"/>
    <s v="Yes"/>
    <n v="76.561580844950939"/>
    <n v="78"/>
    <n v="1"/>
    <n v="0.93"/>
    <n v="1.55"/>
    <n v="0.8"/>
    <n v="1.31"/>
    <n v="1.0900000000000001"/>
    <n v="1.08"/>
    <n v="1"/>
    <n v="1"/>
    <n v="1"/>
    <n v="0.88"/>
    <n v="1"/>
    <n v="0.61"/>
    <n v="1"/>
    <n v="1"/>
    <n v="1"/>
    <n v="1"/>
    <n v="0.97"/>
    <n v="1.06"/>
    <n v="76.561580844950939"/>
    <n v="0"/>
    <s v="PASS"/>
    <n v="0"/>
    <x v="0"/>
  </r>
  <r>
    <s v="P0522"/>
    <d v="2025-12-04T00:00:00"/>
    <s v="Liability"/>
    <s v="25-34"/>
    <n v="4"/>
    <n v="1"/>
    <s v="No"/>
    <s v="5,000-8,499"/>
    <s v="Irvine (92602)"/>
    <s v="$150,000+"/>
    <s v="No"/>
    <s v="Yes"/>
    <s v="No"/>
    <s v="Yes"/>
    <s v="No"/>
    <s v="Yes"/>
    <s v="No"/>
    <s v="Yes (Medium)"/>
    <s v="No"/>
    <s v="No"/>
    <s v="Yes"/>
    <s v="Yes"/>
    <s v="No"/>
    <n v="2298.7980450540713"/>
    <n v="622"/>
    <n v="1.23"/>
    <n v="1.1499999999999999"/>
    <n v="1.34"/>
    <n v="1"/>
    <n v="0.93"/>
    <n v="1.0900000000000001"/>
    <n v="2.87"/>
    <n v="1"/>
    <n v="1.21"/>
    <n v="1"/>
    <n v="0.88"/>
    <n v="1"/>
    <n v="0.72"/>
    <n v="1"/>
    <n v="1"/>
    <n v="0.93"/>
    <n v="0.94"/>
    <n v="1"/>
    <n v="1"/>
    <n v="2298.7980450540713"/>
    <n v="0"/>
    <s v="PASS"/>
    <n v="0"/>
    <x v="0"/>
  </r>
  <r>
    <s v="P0523"/>
    <d v="2026-02-15T00:00:00"/>
    <s v="Liability"/>
    <s v="65+"/>
    <n v="3"/>
    <n v="2"/>
    <s v="No"/>
    <s v="17,000+"/>
    <s v="DTLA (90012)"/>
    <s v="$85,000-$149,999"/>
    <s v="No"/>
    <s v="No"/>
    <s v="No"/>
    <s v="Yes"/>
    <s v="No"/>
    <s v="Yes"/>
    <s v="No"/>
    <s v="Yes (High)"/>
    <s v="No"/>
    <s v="No"/>
    <s v="No"/>
    <s v="No"/>
    <s v="No"/>
    <n v="3902.5337550354866"/>
    <n v="622"/>
    <n v="1.27"/>
    <n v="1.22"/>
    <n v="1.55"/>
    <n v="1"/>
    <n v="1.31"/>
    <n v="1.26"/>
    <n v="2.02"/>
    <n v="1"/>
    <n v="1"/>
    <n v="1"/>
    <n v="0.88"/>
    <n v="1"/>
    <n v="0.84"/>
    <n v="1"/>
    <n v="1"/>
    <n v="1"/>
    <n v="1"/>
    <n v="1"/>
    <n v="1.06"/>
    <n v="3902.5337550354866"/>
    <n v="0"/>
    <s v="PASS"/>
    <n v="0"/>
    <x v="0"/>
  </r>
  <r>
    <s v="P0524"/>
    <d v="2026-01-11T00:00:00"/>
    <s v="Comprehensive"/>
    <s v="45-54"/>
    <n v="2"/>
    <n v="0"/>
    <s v="Yes (High Score)"/>
    <s v="8,500-13,499"/>
    <s v="Costa Mesa (92626)"/>
    <s v="$15,000-$24,999"/>
    <s v="Yes"/>
    <s v="No"/>
    <s v="No"/>
    <s v="Yes"/>
    <s v="Yes"/>
    <s v="No"/>
    <s v="Yes (Low)"/>
    <s v="No"/>
    <s v="Yes"/>
    <s v="Yes"/>
    <s v="No"/>
    <s v="No"/>
    <s v="No"/>
    <n v="109.49975475003281"/>
    <n v="121"/>
    <n v="1.07"/>
    <n v="1.41"/>
    <n v="1"/>
    <n v="0.65"/>
    <n v="1"/>
    <n v="0.92"/>
    <n v="1.08"/>
    <n v="1.28"/>
    <n v="1"/>
    <n v="1"/>
    <n v="0.88"/>
    <n v="0.95"/>
    <n v="1"/>
    <n v="0.92"/>
    <n v="0.89"/>
    <n v="1"/>
    <n v="1"/>
    <n v="1"/>
    <n v="1.06"/>
    <n v="109.49975475003281"/>
    <n v="0"/>
    <s v="PASS"/>
    <n v="0"/>
    <x v="0"/>
  </r>
  <r>
    <s v="P0525"/>
    <d v="2025-11-04T00:00:00"/>
    <s v="Uninsured Motorist"/>
    <s v="45-54"/>
    <n v="5"/>
    <n v="0"/>
    <s v="No"/>
    <s v="0-4,999"/>
    <s v="Santa Monica (90401)"/>
    <s v="$5,000-$14,999"/>
    <s v="No"/>
    <s v="No"/>
    <s v="No"/>
    <s v="No"/>
    <s v="No"/>
    <s v="Yes"/>
    <s v="No"/>
    <s v="Yes (Low)"/>
    <s v="No"/>
    <s v="No"/>
    <s v="No"/>
    <s v="No"/>
    <s v="No"/>
    <n v="50.261514287087998"/>
    <n v="78"/>
    <n v="1.07"/>
    <n v="1.07"/>
    <n v="1"/>
    <n v="1"/>
    <n v="0.82"/>
    <n v="1.1599999999999999"/>
    <n v="0.97"/>
    <n v="1"/>
    <n v="1"/>
    <n v="1"/>
    <n v="1"/>
    <n v="1"/>
    <n v="0.61"/>
    <n v="1"/>
    <n v="1"/>
    <n v="1"/>
    <n v="1"/>
    <n v="1"/>
    <n v="1"/>
    <n v="50.261514287087998"/>
    <n v="0"/>
    <s v="PASS"/>
    <n v="0"/>
    <x v="0"/>
  </r>
  <r>
    <s v="P0526"/>
    <d v="2025-11-24T00:00:00"/>
    <s v="Collision"/>
    <s v="35-44"/>
    <n v="7"/>
    <s v="5+"/>
    <s v="No"/>
    <s v="5,000-8,499"/>
    <s v="Irvine (92602)"/>
    <s v="$85,000-$149,999"/>
    <s v="No"/>
    <s v="No"/>
    <s v="No"/>
    <s v="No"/>
    <s v="Yes"/>
    <s v="No"/>
    <s v="Yes (Medium)"/>
    <s v="No"/>
    <s v="No"/>
    <s v="Yes"/>
    <s v="Yes"/>
    <s v="No"/>
    <s v="No"/>
    <n v="1513.3236449314809"/>
    <n v="453"/>
    <n v="1"/>
    <n v="0.95"/>
    <n v="2.4700000000000002"/>
    <n v="1"/>
    <n v="0.93"/>
    <n v="1.0900000000000001"/>
    <n v="2.02"/>
    <n v="1"/>
    <n v="1"/>
    <n v="1"/>
    <n v="1"/>
    <n v="0.84"/>
    <n v="1"/>
    <n v="1"/>
    <n v="0.89"/>
    <n v="0.93"/>
    <n v="1"/>
    <n v="1"/>
    <n v="1"/>
    <n v="1513.3236449314809"/>
    <n v="0"/>
    <s v="PASS"/>
    <n v="0"/>
    <x v="0"/>
  </r>
  <r>
    <s v="P0527"/>
    <d v="2025-06-12T00:00:00"/>
    <s v="Liability"/>
    <s v="65+"/>
    <s v="8+"/>
    <n v="1"/>
    <s v="No"/>
    <s v="13,500-16,999"/>
    <s v="Compton (90220)"/>
    <s v="$45,000-$84,999"/>
    <s v="No"/>
    <s v="No"/>
    <s v="Yes"/>
    <s v="Yes"/>
    <s v="No"/>
    <s v="Yes"/>
    <s v="No"/>
    <s v="Yes (High)"/>
    <s v="No"/>
    <s v="No"/>
    <s v="No"/>
    <s v="No"/>
    <s v="No"/>
    <n v="2439.5406439811236"/>
    <n v="622"/>
    <n v="1.27"/>
    <n v="0.93"/>
    <n v="1.34"/>
    <n v="1"/>
    <n v="1.18"/>
    <n v="1.56"/>
    <n v="1.57"/>
    <n v="1"/>
    <n v="1"/>
    <n v="1.1599999999999999"/>
    <n v="0.88"/>
    <n v="1"/>
    <n v="0.84"/>
    <n v="1"/>
    <n v="1"/>
    <n v="1"/>
    <n v="1"/>
    <n v="1"/>
    <n v="1"/>
    <n v="2439.5406439811236"/>
    <n v="0"/>
    <s v="PASS"/>
    <n v="0"/>
    <x v="0"/>
  </r>
  <r>
    <s v="P0528"/>
    <d v="2025-11-01T00:00:00"/>
    <s v="Collision"/>
    <s v="16-24"/>
    <n v="3"/>
    <n v="0"/>
    <s v="Yes (High Score)"/>
    <s v="17,000+"/>
    <s v="Santa Monica (90401)"/>
    <s v="$85,000-$149,999"/>
    <s v="No"/>
    <s v="No"/>
    <s v="No"/>
    <s v="No"/>
    <s v="Yes"/>
    <s v="No"/>
    <s v="Yes (Medium)"/>
    <s v="No"/>
    <s v="No"/>
    <s v="No"/>
    <s v="No"/>
    <s v="Yes"/>
    <s v="Yes"/>
    <n v="1185.98"/>
    <n v="453"/>
    <n v="1.32"/>
    <n v="1.22"/>
    <n v="1"/>
    <n v="0.65"/>
    <n v="1.31"/>
    <n v="1.1599999999999999"/>
    <n v="2.02"/>
    <n v="1"/>
    <n v="1"/>
    <n v="1"/>
    <n v="1"/>
    <n v="0.84"/>
    <n v="1"/>
    <n v="1"/>
    <n v="1"/>
    <n v="1"/>
    <n v="0.94"/>
    <n v="0.97"/>
    <n v="1"/>
    <n v="1114.820249994272"/>
    <n v="71.159750005728029"/>
    <s v="FAIL"/>
    <n v="71.159750005728029"/>
    <x v="4"/>
  </r>
  <r>
    <s v="P0529"/>
    <d v="2025-07-29T00:00:00"/>
    <s v="Liability"/>
    <s v="65+"/>
    <n v="2"/>
    <n v="0"/>
    <s v="Yes (Low Score)"/>
    <s v="0-4,999"/>
    <s v="Fountain Valley (92708)"/>
    <s v="$25,000-$44,999"/>
    <s v="No"/>
    <s v="No"/>
    <s v="Yes"/>
    <s v="No"/>
    <s v="No"/>
    <s v="Yes"/>
    <s v="No"/>
    <s v="Yes (High)"/>
    <s v="No"/>
    <s v="No"/>
    <s v="Yes"/>
    <s v="No"/>
    <s v="No"/>
    <n v="1157.3872927367026"/>
    <n v="622"/>
    <n v="1.27"/>
    <n v="1.41"/>
    <n v="1"/>
    <n v="0.95"/>
    <n v="0.82"/>
    <n v="1.1499999999999999"/>
    <n v="1.28"/>
    <n v="1"/>
    <n v="1"/>
    <n v="1.1599999999999999"/>
    <n v="1"/>
    <n v="1"/>
    <n v="0.84"/>
    <n v="1"/>
    <n v="1"/>
    <n v="0.93"/>
    <n v="1"/>
    <n v="1"/>
    <n v="1"/>
    <n v="1157.3872927367026"/>
    <n v="0"/>
    <s v="PASS"/>
    <n v="0"/>
    <x v="0"/>
  </r>
  <r>
    <s v="P0530"/>
    <d v="2025-08-15T00:00:00"/>
    <s v="Liability"/>
    <s v="55-64"/>
    <n v="1"/>
    <n v="2"/>
    <s v="No"/>
    <s v="17,000+"/>
    <s v="Beverly Hills (90035)"/>
    <s v="$85,000-$149,999"/>
    <s v="No"/>
    <s v="Yes"/>
    <s v="No"/>
    <s v="Yes"/>
    <s v="No"/>
    <s v="Yes"/>
    <s v="No"/>
    <s v="Yes (Medium)"/>
    <s v="No"/>
    <s v="No"/>
    <s v="Yes"/>
    <s v="No"/>
    <s v="No"/>
    <n v="4042.7368808209312"/>
    <n v="622"/>
    <n v="1.1200000000000001"/>
    <n v="1.64"/>
    <n v="1.55"/>
    <n v="1"/>
    <n v="1.31"/>
    <n v="1.21"/>
    <n v="2.02"/>
    <n v="1"/>
    <n v="1.21"/>
    <n v="1"/>
    <n v="0.88"/>
    <n v="1"/>
    <n v="0.72"/>
    <n v="1"/>
    <n v="1"/>
    <n v="0.93"/>
    <n v="1"/>
    <n v="1"/>
    <n v="1"/>
    <n v="4042.7368808209312"/>
    <n v="0"/>
    <s v="PASS"/>
    <n v="0"/>
    <x v="0"/>
  </r>
  <r>
    <s v="P0531"/>
    <d v="2025-12-19T00:00:00"/>
    <s v="Collision"/>
    <s v="55-64"/>
    <n v="2"/>
    <n v="1"/>
    <s v="No"/>
    <s v="17,000+"/>
    <s v="Hollywood (90028)"/>
    <s v="$15,000-$24,999"/>
    <s v="No"/>
    <s v="No"/>
    <s v="No"/>
    <s v="No"/>
    <s v="Yes"/>
    <s v="No"/>
    <s v="Yes (Low)"/>
    <s v="No"/>
    <s v="No"/>
    <s v="Yes"/>
    <s v="No"/>
    <s v="No"/>
    <s v="No"/>
    <n v="1364.5698148233732"/>
    <n v="453"/>
    <n v="1.1200000000000001"/>
    <n v="1.41"/>
    <n v="1.34"/>
    <n v="1"/>
    <n v="1.31"/>
    <n v="1.19"/>
    <n v="1.08"/>
    <n v="1"/>
    <n v="1"/>
    <n v="1"/>
    <n v="1"/>
    <n v="0.95"/>
    <n v="1"/>
    <n v="1"/>
    <n v="0.89"/>
    <n v="1"/>
    <n v="1"/>
    <n v="1"/>
    <n v="1"/>
    <n v="1364.5698148233732"/>
    <n v="0"/>
    <s v="PASS"/>
    <n v="0"/>
    <x v="0"/>
  </r>
  <r>
    <s v="P0532"/>
    <d v="2025-10-07T00:00:00"/>
    <s v="Liability"/>
    <s v="35-44"/>
    <n v="3"/>
    <n v="0"/>
    <s v="No"/>
    <s v="0-4,999"/>
    <s v="Koreatown (90006)"/>
    <s v="$150,000+"/>
    <s v="No"/>
    <s v="No"/>
    <s v="No"/>
    <s v="Yes"/>
    <s v="No"/>
    <s v="Yes"/>
    <s v="No"/>
    <s v="Yes (Low)"/>
    <s v="No"/>
    <s v="No"/>
    <s v="No"/>
    <s v="Yes"/>
    <s v="No"/>
    <n v="1090.3644804884339"/>
    <n v="622"/>
    <n v="1"/>
    <n v="1.22"/>
    <n v="1"/>
    <n v="1"/>
    <n v="0.82"/>
    <n v="1.21"/>
    <n v="2.87"/>
    <n v="1"/>
    <n v="1"/>
    <n v="1"/>
    <n v="0.88"/>
    <n v="1"/>
    <n v="0.61"/>
    <n v="1"/>
    <n v="1"/>
    <n v="1"/>
    <n v="0.94"/>
    <n v="1"/>
    <n v="1"/>
    <n v="1090.3644804884339"/>
    <n v="0"/>
    <s v="PASS"/>
    <n v="0"/>
    <x v="0"/>
  </r>
  <r>
    <s v="P0533"/>
    <d v="2025-07-25T00:00:00"/>
    <s v="Uninsured Motorist"/>
    <s v="45-54"/>
    <n v="5"/>
    <n v="4"/>
    <s v="No"/>
    <s v="17,000+"/>
    <s v="Lake Forrest (92609)"/>
    <s v="$15,000-$24,999"/>
    <s v="No"/>
    <s v="No"/>
    <s v="No"/>
    <s v="No"/>
    <s v="No"/>
    <s v="Yes"/>
    <s v="No"/>
    <s v="Yes (High)"/>
    <s v="No"/>
    <s v="Yes"/>
    <s v="No"/>
    <s v="No"/>
    <s v="No"/>
    <n v="190.23304874590605"/>
    <n v="78"/>
    <n v="1.07"/>
    <n v="1.07"/>
    <n v="2.12"/>
    <n v="1"/>
    <n v="1.31"/>
    <n v="0.95"/>
    <n v="1.08"/>
    <n v="1"/>
    <n v="1"/>
    <n v="1"/>
    <n v="1"/>
    <n v="1"/>
    <n v="0.84"/>
    <n v="1"/>
    <n v="0.89"/>
    <n v="1"/>
    <n v="1"/>
    <n v="1"/>
    <n v="1"/>
    <n v="190.23304874590605"/>
    <n v="0"/>
    <s v="PASS"/>
    <n v="0"/>
    <x v="0"/>
  </r>
  <r>
    <s v="P0534"/>
    <d v="2026-02-06T00:00:00"/>
    <s v="Liability"/>
    <s v="35-44"/>
    <n v="1"/>
    <n v="0"/>
    <s v="No"/>
    <s v="0-4,999"/>
    <s v="Cypress (90630)"/>
    <s v="$5,000-$14,999"/>
    <s v="No"/>
    <s v="No"/>
    <s v="No"/>
    <s v="Yes"/>
    <s v="No"/>
    <s v="Yes"/>
    <s v="No"/>
    <s v="Yes (Medium)"/>
    <s v="No"/>
    <s v="Yes"/>
    <s v="Yes"/>
    <s v="Yes"/>
    <s v="Yes"/>
    <n v="444.15765527353659"/>
    <n v="622"/>
    <n v="1"/>
    <n v="1.64"/>
    <n v="1"/>
    <n v="1"/>
    <n v="0.82"/>
    <n v="1.08"/>
    <n v="0.97"/>
    <n v="1"/>
    <n v="1"/>
    <n v="1"/>
    <n v="0.88"/>
    <n v="1"/>
    <n v="0.72"/>
    <n v="1"/>
    <n v="0.89"/>
    <n v="0.93"/>
    <n v="0.94"/>
    <n v="0.97"/>
    <n v="1.06"/>
    <n v="444.15765527353659"/>
    <n v="0"/>
    <s v="PASS"/>
    <n v="0"/>
    <x v="0"/>
  </r>
  <r>
    <s v="P0535"/>
    <d v="2026-02-28T00:00:00"/>
    <s v="Collision"/>
    <s v="65+"/>
    <s v="8+"/>
    <n v="0"/>
    <s v="Yes (Medium Score)"/>
    <s v="5,000-8,499"/>
    <s v="Compton (90220)"/>
    <s v="$0-$4,999"/>
    <s v="No"/>
    <s v="No"/>
    <s v="No"/>
    <s v="No"/>
    <s v="Yes"/>
    <s v="No"/>
    <s v="Yes (Medium)"/>
    <s v="No"/>
    <s v="No"/>
    <s v="Yes"/>
    <s v="Yes"/>
    <s v="No"/>
    <s v="No"/>
    <n v="375.27908783633472"/>
    <n v="453"/>
    <n v="1.27"/>
    <n v="0.93"/>
    <n v="1"/>
    <n v="0.8"/>
    <n v="0.93"/>
    <n v="1.56"/>
    <n v="0.82"/>
    <n v="1"/>
    <n v="1"/>
    <n v="1"/>
    <n v="1"/>
    <n v="0.84"/>
    <n v="1"/>
    <n v="1"/>
    <n v="0.89"/>
    <n v="0.93"/>
    <n v="1"/>
    <n v="1"/>
    <n v="1.06"/>
    <n v="375.27908783633472"/>
    <n v="0"/>
    <s v="PASS"/>
    <n v="0"/>
    <x v="0"/>
  </r>
  <r>
    <s v="P0536"/>
    <d v="2025-09-02T00:00:00"/>
    <s v="Rental Car Reinbursement"/>
    <s v="65+"/>
    <n v="4"/>
    <n v="1"/>
    <s v="No"/>
    <s v="13,500-16,999"/>
    <s v="Anaheim (92801)"/>
    <s v="$45,000-$84,999"/>
    <s v="No"/>
    <s v="No"/>
    <s v="Yes"/>
    <s v="No"/>
    <s v="No"/>
    <s v="Yes"/>
    <s v="No"/>
    <s v="Yes (High)"/>
    <s v="No"/>
    <s v="No"/>
    <s v="No"/>
    <s v="No"/>
    <s v="No"/>
    <n v="160.78003918988861"/>
    <n v="41"/>
    <n v="1.27"/>
    <n v="1.1499999999999999"/>
    <n v="1.34"/>
    <n v="1"/>
    <n v="1.18"/>
    <n v="1.1100000000000001"/>
    <n v="1.57"/>
    <n v="1"/>
    <n v="1"/>
    <n v="1.1599999999999999"/>
    <n v="1"/>
    <n v="1"/>
    <n v="0.84"/>
    <n v="1"/>
    <n v="1"/>
    <n v="1"/>
    <n v="1"/>
    <n v="1"/>
    <n v="1"/>
    <n v="160.78003918988861"/>
    <n v="0"/>
    <s v="PASS"/>
    <n v="0"/>
    <x v="0"/>
  </r>
  <r>
    <s v="P0537"/>
    <d v="2025-07-25T00:00:00"/>
    <s v="Collision"/>
    <s v="25-34"/>
    <n v="5"/>
    <n v="0"/>
    <s v="Yes (Low Score)"/>
    <s v="0-4,999"/>
    <s v="West Hollywood (90046)"/>
    <s v="$45,000-$84,999"/>
    <s v="No"/>
    <s v="No"/>
    <s v="No"/>
    <s v="Yes"/>
    <s v="Yes"/>
    <s v="No"/>
    <s v="Yes (Medium)"/>
    <s v="No"/>
    <s v="No"/>
    <s v="No"/>
    <s v="No"/>
    <s v="No"/>
    <s v="No"/>
    <n v="636.01618390820283"/>
    <n v="453"/>
    <n v="1.23"/>
    <n v="1.07"/>
    <n v="1"/>
    <n v="0.95"/>
    <n v="0.82"/>
    <n v="1.18"/>
    <n v="1.57"/>
    <n v="1"/>
    <n v="1"/>
    <n v="1"/>
    <n v="0.88"/>
    <n v="0.84"/>
    <n v="1"/>
    <n v="1"/>
    <n v="1"/>
    <n v="1"/>
    <n v="1"/>
    <n v="1"/>
    <n v="1"/>
    <n v="636.01618390820283"/>
    <n v="0"/>
    <s v="PASS"/>
    <n v="0"/>
    <x v="0"/>
  </r>
  <r>
    <s v="P0538"/>
    <d v="2025-12-30T00:00:00"/>
    <s v="Collision"/>
    <s v="35-44"/>
    <n v="2"/>
    <n v="4"/>
    <s v="Yes (Medium Score)"/>
    <s v="8,500-13,499"/>
    <s v="Westminster (92655)"/>
    <s v="$0-$4,999"/>
    <s v="No"/>
    <s v="No"/>
    <s v="Yes"/>
    <s v="Yes"/>
    <s v="Yes"/>
    <s v="No"/>
    <s v="Yes (Medium)"/>
    <s v="No"/>
    <s v="No"/>
    <s v="Yes"/>
    <s v="No"/>
    <s v="No"/>
    <s v="No"/>
    <n v="738.91327162998539"/>
    <n v="453"/>
    <n v="1"/>
    <n v="1.41"/>
    <n v="2.12"/>
    <n v="0.8"/>
    <n v="1"/>
    <n v="1.0900000000000001"/>
    <n v="0.82"/>
    <n v="1"/>
    <n v="1"/>
    <n v="1.1599999999999999"/>
    <n v="0.88"/>
    <n v="0.84"/>
    <n v="1"/>
    <n v="1"/>
    <n v="0.89"/>
    <n v="1"/>
    <n v="1"/>
    <n v="1"/>
    <n v="1"/>
    <n v="738.91327162998539"/>
    <n v="0"/>
    <s v="PASS"/>
    <n v="0"/>
    <x v="0"/>
  </r>
  <r>
    <s v="P0539"/>
    <d v="2025-07-04T00:00:00"/>
    <s v="Liability"/>
    <s v="16-24"/>
    <n v="7"/>
    <n v="4"/>
    <s v="No"/>
    <s v="8,500-13,499"/>
    <s v="Costa Mesa (92626)"/>
    <s v="$25,000-$44,999"/>
    <s v="No"/>
    <s v="No"/>
    <s v="Yes"/>
    <s v="No"/>
    <s v="No"/>
    <s v="Yes"/>
    <s v="No"/>
    <s v="Yes (Medium)"/>
    <s v="No"/>
    <s v="Yes"/>
    <s v="No"/>
    <s v="No"/>
    <s v="No"/>
    <n v="1447.4450033828168"/>
    <n v="622"/>
    <n v="1.32"/>
    <n v="0.95"/>
    <n v="2.12"/>
    <n v="1"/>
    <n v="1"/>
    <n v="0.92"/>
    <n v="1.28"/>
    <n v="1"/>
    <n v="1"/>
    <n v="1.1599999999999999"/>
    <n v="1"/>
    <n v="1"/>
    <n v="0.72"/>
    <n v="1"/>
    <n v="0.89"/>
    <n v="1"/>
    <n v="1"/>
    <n v="1"/>
    <n v="1"/>
    <n v="1447.4450033828168"/>
    <n v="0"/>
    <s v="PASS"/>
    <n v="0"/>
    <x v="0"/>
  </r>
  <r>
    <s v="P0540"/>
    <d v="2026-02-01T00:00:00"/>
    <s v="Rental Car Reinbursement"/>
    <s v="55-64"/>
    <n v="1"/>
    <n v="1"/>
    <s v="No"/>
    <s v="13,500-16,999"/>
    <s v="Lake Forrest (92609)"/>
    <s v="$85,000-$149,999"/>
    <s v="No"/>
    <s v="No"/>
    <s v="No"/>
    <s v="Yes"/>
    <s v="No"/>
    <s v="Yes"/>
    <s v="No"/>
    <s v="Yes (Low)"/>
    <s v="No"/>
    <s v="No"/>
    <s v="Yes"/>
    <s v="No"/>
    <s v="No"/>
    <n v="120.92297652676235"/>
    <n v="41"/>
    <n v="1.1200000000000001"/>
    <n v="1.64"/>
    <n v="1.34"/>
    <n v="1"/>
    <n v="1.18"/>
    <n v="0.95"/>
    <n v="2.02"/>
    <n v="1"/>
    <n v="1"/>
    <n v="1"/>
    <n v="0.88"/>
    <n v="1"/>
    <n v="0.61"/>
    <n v="1"/>
    <n v="1"/>
    <n v="0.93"/>
    <n v="1"/>
    <n v="1"/>
    <n v="1.06"/>
    <n v="120.92297652676235"/>
    <n v="0"/>
    <s v="PASS"/>
    <n v="0"/>
    <x v="0"/>
  </r>
  <r>
    <s v="P0541"/>
    <d v="2025-12-09T00:00:00"/>
    <s v="Liability"/>
    <s v="65+"/>
    <n v="2"/>
    <n v="2"/>
    <s v="No"/>
    <s v="13,500-16,999"/>
    <s v="Compton (90220)"/>
    <s v="$0-$4,999"/>
    <s v="No"/>
    <s v="No"/>
    <s v="Yes"/>
    <s v="No"/>
    <s v="No"/>
    <s v="Yes"/>
    <s v="No"/>
    <s v="Yes (Medium)"/>
    <s v="No"/>
    <s v="No"/>
    <s v="No"/>
    <s v="No"/>
    <s v="Yes"/>
    <n v="2111.1913335808586"/>
    <n v="622"/>
    <n v="1.27"/>
    <n v="1.41"/>
    <n v="1.55"/>
    <n v="1"/>
    <n v="1.18"/>
    <n v="1.56"/>
    <n v="0.82"/>
    <n v="1"/>
    <n v="1"/>
    <n v="1.1599999999999999"/>
    <n v="1"/>
    <n v="1"/>
    <n v="0.72"/>
    <n v="1"/>
    <n v="1"/>
    <n v="1"/>
    <n v="1"/>
    <n v="0.97"/>
    <n v="1"/>
    <n v="2111.1913335808586"/>
    <n v="0"/>
    <s v="PASS"/>
    <n v="0"/>
    <x v="0"/>
  </r>
  <r>
    <s v="P0542"/>
    <d v="2026-01-29T00:00:00"/>
    <s v="Rental Car Reinbursement"/>
    <s v="45-54"/>
    <n v="7"/>
    <n v="2"/>
    <s v="No"/>
    <s v="8,500-13,499"/>
    <s v="Silverlake (90026 )"/>
    <s v="$0-$4,999"/>
    <s v="No"/>
    <s v="No"/>
    <s v="Yes"/>
    <s v="No"/>
    <s v="No"/>
    <s v="Yes"/>
    <s v="No"/>
    <s v="Yes (High)"/>
    <s v="Yes"/>
    <s v="No"/>
    <s v="No"/>
    <s v="No"/>
    <s v="No"/>
    <n v="58.388288788127149"/>
    <n v="41"/>
    <n v="1.07"/>
    <n v="0.95"/>
    <n v="1.55"/>
    <n v="1"/>
    <n v="1"/>
    <n v="1.1599999999999999"/>
    <n v="0.82"/>
    <n v="1"/>
    <n v="1"/>
    <n v="1.1599999999999999"/>
    <n v="1"/>
    <n v="1"/>
    <n v="0.84"/>
    <n v="0.92"/>
    <n v="1"/>
    <n v="1"/>
    <n v="1"/>
    <n v="1"/>
    <n v="1.06"/>
    <n v="58.388288788127149"/>
    <n v="0"/>
    <s v="PASS"/>
    <n v="0"/>
    <x v="0"/>
  </r>
  <r>
    <s v="P0543"/>
    <d v="2026-03-14T00:00:00"/>
    <s v="Collision"/>
    <s v="25-34"/>
    <n v="2"/>
    <n v="2"/>
    <s v="Yes (Low Score)"/>
    <s v="5,000-8,499"/>
    <s v="DTLA (90012)"/>
    <s v="$5,000-$14,999"/>
    <s v="No"/>
    <s v="No"/>
    <s v="Yes"/>
    <s v="No"/>
    <s v="Yes"/>
    <s v="No"/>
    <s v="Yes (Low)"/>
    <s v="No"/>
    <s v="No"/>
    <s v="No"/>
    <s v="No"/>
    <s v="No"/>
    <s v="Yes"/>
    <n v="1489.9172609216187"/>
    <n v="453"/>
    <n v="1.23"/>
    <n v="1.41"/>
    <n v="1.55"/>
    <n v="0.95"/>
    <n v="0.93"/>
    <n v="1.26"/>
    <n v="0.97"/>
    <n v="1"/>
    <n v="1"/>
    <n v="1.1599999999999999"/>
    <n v="1"/>
    <n v="0.95"/>
    <n v="1"/>
    <n v="1"/>
    <n v="1"/>
    <n v="1"/>
    <n v="1"/>
    <n v="0.97"/>
    <n v="1.06"/>
    <n v="1489.9172609216187"/>
    <n v="0"/>
    <s v="PASS"/>
    <n v="0"/>
    <x v="0"/>
  </r>
  <r>
    <s v="P0544"/>
    <d v="2026-03-23T00:00:00"/>
    <s v="Collision"/>
    <s v="45-54"/>
    <n v="6"/>
    <n v="0"/>
    <s v="No"/>
    <s v="8,500-13,499"/>
    <s v="Santa Ana (92702)"/>
    <s v="$0-$4,999"/>
    <s v="Yes"/>
    <s v="No"/>
    <s v="No"/>
    <s v="No"/>
    <s v="Yes"/>
    <s v="No"/>
    <s v="Yes (Low)"/>
    <s v="No"/>
    <s v="No"/>
    <s v="No"/>
    <s v="Yes"/>
    <s v="No"/>
    <s v="No"/>
    <n v="485.9799954181633"/>
    <n v="453"/>
    <n v="1.07"/>
    <n v="1"/>
    <n v="1"/>
    <n v="1"/>
    <n v="1"/>
    <n v="1.02"/>
    <n v="0.82"/>
    <n v="1.28"/>
    <n v="1"/>
    <n v="1"/>
    <n v="1"/>
    <n v="0.95"/>
    <n v="1"/>
    <n v="1"/>
    <n v="1"/>
    <n v="0.93"/>
    <n v="1"/>
    <n v="1"/>
    <n v="1.06"/>
    <n v="485.9799954181633"/>
    <n v="0"/>
    <s v="PASS"/>
    <n v="0"/>
    <x v="0"/>
  </r>
  <r>
    <s v="P0545"/>
    <d v="2025-07-04T00:00:00"/>
    <s v="Liability"/>
    <s v="25-34"/>
    <n v="1"/>
    <n v="0"/>
    <s v="No"/>
    <s v="17,000+"/>
    <s v="West Hollywood (90046)"/>
    <s v="$150,000+"/>
    <s v="No"/>
    <s v="No"/>
    <s v="No"/>
    <s v="Yes"/>
    <s v="No"/>
    <s v="Yes"/>
    <s v="No"/>
    <s v="Yes (Low)"/>
    <s v="No"/>
    <s v="No"/>
    <s v="No"/>
    <s v="No"/>
    <s v="No"/>
    <n v="2988.0444314254191"/>
    <n v="622"/>
    <n v="1.23"/>
    <n v="1.64"/>
    <n v="1"/>
    <n v="1"/>
    <n v="1.31"/>
    <n v="1.18"/>
    <n v="2.87"/>
    <n v="1"/>
    <n v="1"/>
    <n v="1"/>
    <n v="0.88"/>
    <n v="1"/>
    <n v="0.61"/>
    <n v="1"/>
    <n v="1"/>
    <n v="1"/>
    <n v="1"/>
    <n v="1"/>
    <n v="1"/>
    <n v="2988.0444314254191"/>
    <n v="0"/>
    <s v="PASS"/>
    <n v="0"/>
    <x v="0"/>
  </r>
  <r>
    <s v="P0546"/>
    <d v="2026-04-21T00:00:00"/>
    <s v="Collision"/>
    <s v="45-54"/>
    <n v="1"/>
    <n v="0"/>
    <s v="No"/>
    <s v="8,500-13,499"/>
    <s v="West Hollywood (90046)"/>
    <s v="$85,000-$149,999"/>
    <s v="No"/>
    <s v="No"/>
    <s v="Yes"/>
    <s v="Yes"/>
    <s v="Yes"/>
    <s v="No"/>
    <s v="Yes (Low)"/>
    <s v="No"/>
    <s v="No"/>
    <s v="No"/>
    <s v="No"/>
    <s v="No"/>
    <s v="No"/>
    <n v="1947.7326141056085"/>
    <n v="453"/>
    <n v="1.07"/>
    <n v="1.64"/>
    <n v="1"/>
    <n v="1"/>
    <n v="1"/>
    <n v="1.18"/>
    <n v="2.02"/>
    <n v="1"/>
    <n v="1"/>
    <n v="1.1599999999999999"/>
    <n v="0.88"/>
    <n v="0.95"/>
    <n v="1"/>
    <n v="1"/>
    <n v="1"/>
    <n v="1"/>
    <n v="1"/>
    <n v="1"/>
    <n v="1.06"/>
    <n v="1947.7326141056085"/>
    <n v="0"/>
    <s v="PASS"/>
    <n v="0"/>
    <x v="0"/>
  </r>
  <r>
    <s v="P0547"/>
    <d v="2025-11-13T00:00:00"/>
    <s v="Liability"/>
    <s v="45-54"/>
    <s v="8+"/>
    <n v="1"/>
    <s v="Yes (High Score)"/>
    <s v="13,500-16,999"/>
    <s v="West Hollywood (90046)"/>
    <s v="$25,000-$44,999"/>
    <s v="No"/>
    <s v="No"/>
    <s v="No"/>
    <s v="No"/>
    <s v="No"/>
    <s v="Yes"/>
    <s v="No"/>
    <s v="Yes (Low)"/>
    <s v="No"/>
    <s v="Yes"/>
    <s v="Yes"/>
    <s v="No"/>
    <s v="No"/>
    <n v="485.12319560059473"/>
    <n v="622"/>
    <n v="1.07"/>
    <n v="0.93"/>
    <n v="1.34"/>
    <n v="0.65"/>
    <n v="1.18"/>
    <n v="1.18"/>
    <n v="1.28"/>
    <n v="1"/>
    <n v="1"/>
    <n v="1"/>
    <n v="1"/>
    <n v="1"/>
    <n v="0.61"/>
    <n v="1"/>
    <n v="0.89"/>
    <n v="0.93"/>
    <n v="1"/>
    <n v="1"/>
    <n v="1"/>
    <n v="485.12319560059473"/>
    <n v="0"/>
    <s v="PASS"/>
    <n v="0"/>
    <x v="0"/>
  </r>
  <r>
    <s v="P0548"/>
    <d v="2025-10-27T00:00:00"/>
    <s v="Liability"/>
    <s v="25-34"/>
    <s v="8+"/>
    <n v="0"/>
    <s v="Yes (Low Score)"/>
    <s v="17,000+"/>
    <s v="Anaheim (92801)"/>
    <s v="$0-$4,999"/>
    <s v="No"/>
    <s v="No"/>
    <s v="Yes"/>
    <s v="Yes"/>
    <s v="No"/>
    <s v="Yes"/>
    <s v="No"/>
    <s v="Yes (Medium)"/>
    <s v="No"/>
    <s v="No"/>
    <s v="Yes"/>
    <s v="No"/>
    <s v="No"/>
    <n v="550.89176853431775"/>
    <n v="622"/>
    <n v="1.23"/>
    <n v="0.93"/>
    <n v="1"/>
    <n v="0.95"/>
    <n v="1.31"/>
    <n v="1.1100000000000001"/>
    <n v="0.82"/>
    <n v="1"/>
    <n v="1"/>
    <n v="1.1599999999999999"/>
    <n v="0.88"/>
    <n v="1"/>
    <n v="0.72"/>
    <n v="1"/>
    <n v="1"/>
    <n v="0.93"/>
    <n v="1"/>
    <n v="1"/>
    <n v="1"/>
    <n v="550.89176853431775"/>
    <n v="0"/>
    <s v="PASS"/>
    <n v="0"/>
    <x v="0"/>
  </r>
  <r>
    <s v="P0549"/>
    <d v="2026-04-13T00:00:00"/>
    <s v="Comprehensive"/>
    <s v="16-24"/>
    <n v="6"/>
    <n v="1"/>
    <s v="No"/>
    <s v="5,000-8,499"/>
    <s v="Costa Mesa (92626)"/>
    <s v="$45,000-$84,999"/>
    <s v="No"/>
    <s v="No"/>
    <s v="No"/>
    <s v="Yes"/>
    <s v="Yes"/>
    <s v="No"/>
    <s v="Yes (High)"/>
    <s v="No"/>
    <s v="No"/>
    <s v="Yes"/>
    <s v="No"/>
    <s v="No"/>
    <s v="Yes"/>
    <n v="166.69297705840555"/>
    <n v="121"/>
    <n v="1.32"/>
    <n v="1"/>
    <n v="1.34"/>
    <n v="1"/>
    <n v="0.93"/>
    <n v="0.92"/>
    <n v="1.57"/>
    <n v="1"/>
    <n v="1"/>
    <n v="1"/>
    <n v="0.88"/>
    <n v="0.72"/>
    <n v="1"/>
    <n v="1"/>
    <n v="0.89"/>
    <n v="1"/>
    <n v="1"/>
    <n v="0.97"/>
    <n v="1.06"/>
    <n v="166.69297705840555"/>
    <n v="0"/>
    <s v="PASS"/>
    <n v="0"/>
    <x v="0"/>
  </r>
  <r>
    <s v="P0550"/>
    <d v="2026-02-01T00:00:00"/>
    <s v="Collision"/>
    <s v="55-64"/>
    <n v="1"/>
    <n v="4"/>
    <s v="No"/>
    <s v="0-4,999"/>
    <s v="Costa Mesa (92626)"/>
    <s v="$45,000-$84,999"/>
    <s v="No"/>
    <s v="No"/>
    <s v="No"/>
    <s v="No"/>
    <s v="Yes"/>
    <s v="No"/>
    <s v="Yes (Low)"/>
    <s v="No"/>
    <s v="Yes"/>
    <s v="Yes"/>
    <s v="No"/>
    <s v="Yes"/>
    <s v="Yes"/>
    <n v="1481.83"/>
    <n v="453"/>
    <n v="1.1200000000000001"/>
    <n v="1.64"/>
    <n v="2.12"/>
    <n v="1"/>
    <n v="0.82"/>
    <n v="0.92"/>
    <n v="1.57"/>
    <n v="1"/>
    <n v="1"/>
    <n v="1"/>
    <n v="1"/>
    <n v="0.95"/>
    <n v="1"/>
    <n v="0.92"/>
    <n v="0.89"/>
    <n v="1"/>
    <n v="0.94"/>
    <n v="0.97"/>
    <n v="1.06"/>
    <n v="1570.7394745384142"/>
    <n v="-88.909474538414315"/>
    <s v="FAIL"/>
    <n v="88.909474538414315"/>
    <x v="1"/>
  </r>
  <r>
    <s v="P0551"/>
    <d v="2025-08-22T00:00:00"/>
    <s v="Liability"/>
    <s v="16-24"/>
    <n v="4"/>
    <n v="0"/>
    <s v="Yes (High Score)"/>
    <s v="17,000+"/>
    <s v="Costa Mesa (92626)"/>
    <s v="$45,000-$84,999"/>
    <s v="No"/>
    <s v="Yes"/>
    <s v="No"/>
    <s v="Yes"/>
    <s v="No"/>
    <s v="Yes"/>
    <s v="No"/>
    <s v="Yes (Low)"/>
    <s v="No"/>
    <s v="No"/>
    <s v="No"/>
    <s v="No"/>
    <s v="No"/>
    <n v="754.27925905577194"/>
    <n v="622"/>
    <n v="1.32"/>
    <n v="1.1499999999999999"/>
    <n v="1"/>
    <n v="0.65"/>
    <n v="1.31"/>
    <n v="0.92"/>
    <n v="1.57"/>
    <n v="1"/>
    <n v="1.21"/>
    <n v="1"/>
    <n v="0.88"/>
    <n v="1"/>
    <n v="0.61"/>
    <n v="1"/>
    <n v="1"/>
    <n v="1"/>
    <n v="1"/>
    <n v="1"/>
    <n v="1"/>
    <n v="754.27925905577194"/>
    <n v="0"/>
    <s v="PASS"/>
    <n v="0"/>
    <x v="0"/>
  </r>
  <r>
    <s v="P0552"/>
    <d v="2026-03-21T00:00:00"/>
    <s v="Collision"/>
    <s v="25-34"/>
    <s v="8+"/>
    <n v="1"/>
    <s v="Yes (High Score)"/>
    <s v="13,500-16,999"/>
    <s v="West Hollywood (90046)"/>
    <s v="$85,000-$149,999"/>
    <s v="No"/>
    <s v="No"/>
    <s v="No"/>
    <s v="Yes"/>
    <s v="Yes"/>
    <s v="No"/>
    <s v="Yes (Low)"/>
    <s v="No"/>
    <s v="No"/>
    <s v="No"/>
    <s v="Yes"/>
    <s v="No"/>
    <s v="No"/>
    <n v="1046.2004255171883"/>
    <n v="453"/>
    <n v="1.23"/>
    <n v="0.93"/>
    <n v="1.34"/>
    <n v="0.65"/>
    <n v="1.18"/>
    <n v="1.18"/>
    <n v="2.02"/>
    <n v="1"/>
    <n v="1"/>
    <n v="1"/>
    <n v="0.88"/>
    <n v="0.95"/>
    <n v="1"/>
    <n v="1"/>
    <n v="1"/>
    <n v="0.93"/>
    <n v="1"/>
    <n v="1"/>
    <n v="1.06"/>
    <n v="1046.2004255171883"/>
    <n v="0"/>
    <s v="PASS"/>
    <n v="0"/>
    <x v="0"/>
  </r>
  <r>
    <s v="P0553"/>
    <d v="2025-06-27T00:00:00"/>
    <s v="Liability"/>
    <s v="65+"/>
    <n v="2"/>
    <n v="3"/>
    <s v="Yes (Medium Score)"/>
    <s v="8,500-13,499"/>
    <s v="Costa Mesa (92626)"/>
    <s v="$45,000-$84,999"/>
    <s v="No"/>
    <s v="No"/>
    <s v="No"/>
    <s v="Yes"/>
    <s v="No"/>
    <s v="Yes"/>
    <s v="No"/>
    <s v="Yes (High)"/>
    <s v="Yes"/>
    <s v="No"/>
    <s v="No"/>
    <s v="Yes"/>
    <s v="No"/>
    <n v="1497.4064937692397"/>
    <n v="622"/>
    <n v="1.27"/>
    <n v="1.41"/>
    <n v="1.82"/>
    <n v="0.8"/>
    <n v="1"/>
    <n v="0.92"/>
    <n v="1.57"/>
    <n v="1"/>
    <n v="1"/>
    <n v="1"/>
    <n v="0.88"/>
    <n v="1"/>
    <n v="0.84"/>
    <n v="0.92"/>
    <n v="1"/>
    <n v="1"/>
    <n v="0.94"/>
    <n v="1"/>
    <n v="1"/>
    <n v="1497.4064937692397"/>
    <n v="0"/>
    <s v="PASS"/>
    <n v="0"/>
    <x v="0"/>
  </r>
  <r>
    <s v="P0554"/>
    <d v="2026-04-20T00:00:00"/>
    <s v="Rental Car Reinbursement"/>
    <s v="65+"/>
    <n v="2"/>
    <n v="0"/>
    <s v="Yes (Medium Score)"/>
    <s v="8,500-13,499"/>
    <s v="Santa Monica (90401)"/>
    <s v="$25,000-$44,999"/>
    <s v="No"/>
    <s v="No"/>
    <s v="No"/>
    <s v="No"/>
    <s v="No"/>
    <s v="Yes"/>
    <s v="No"/>
    <s v="Yes (Low)"/>
    <s v="No"/>
    <s v="No"/>
    <s v="No"/>
    <s v="No"/>
    <s v="No"/>
    <n v="56.389771721932803"/>
    <n v="41"/>
    <n v="1.27"/>
    <n v="1.41"/>
    <n v="1"/>
    <n v="0.8"/>
    <n v="1"/>
    <n v="1.1599999999999999"/>
    <n v="1.28"/>
    <n v="1"/>
    <n v="1"/>
    <n v="1"/>
    <n v="1"/>
    <n v="1"/>
    <n v="0.61"/>
    <n v="1"/>
    <n v="1"/>
    <n v="1"/>
    <n v="1"/>
    <n v="1"/>
    <n v="1.06"/>
    <n v="56.389771721932803"/>
    <n v="0"/>
    <s v="PASS"/>
    <n v="0"/>
    <x v="0"/>
  </r>
  <r>
    <s v="P0555"/>
    <d v="2025-05-20T00:00:00"/>
    <s v="Liability"/>
    <s v="16-24"/>
    <n v="1"/>
    <n v="0"/>
    <s v="Yes (Low Score)"/>
    <s v="5,000-8,499"/>
    <s v="Beverly Hills (90035)"/>
    <s v="$150,000+"/>
    <s v="No"/>
    <s v="Yes"/>
    <s v="No"/>
    <s v="No"/>
    <s v="No"/>
    <s v="Yes"/>
    <s v="No"/>
    <s v="Yes (High)"/>
    <s v="No"/>
    <s v="No"/>
    <s v="No"/>
    <s v="No"/>
    <s v="Yes"/>
    <n v="4073.0371893565562"/>
    <n v="622"/>
    <n v="1.32"/>
    <n v="1.64"/>
    <n v="1"/>
    <n v="0.95"/>
    <n v="0.93"/>
    <n v="1.21"/>
    <n v="2.87"/>
    <n v="1"/>
    <n v="1.21"/>
    <n v="1"/>
    <n v="1"/>
    <n v="1"/>
    <n v="0.84"/>
    <n v="1"/>
    <n v="1"/>
    <n v="1"/>
    <n v="1"/>
    <n v="0.97"/>
    <n v="1"/>
    <n v="4073.0371893565562"/>
    <n v="0"/>
    <s v="PASS"/>
    <n v="0"/>
    <x v="0"/>
  </r>
  <r>
    <s v="P0556"/>
    <d v="2025-08-02T00:00:00"/>
    <s v="Liability"/>
    <s v="45-54"/>
    <s v="8+"/>
    <n v="0"/>
    <s v="Yes (Medium Score)"/>
    <s v="13,500-16,999"/>
    <s v="Torrance (90248)"/>
    <s v="$45,000-$84,999"/>
    <s v="No"/>
    <s v="No"/>
    <s v="No"/>
    <s v="Yes"/>
    <s v="No"/>
    <s v="Yes"/>
    <s v="No"/>
    <s v="Yes (Medium)"/>
    <s v="No"/>
    <s v="No"/>
    <s v="No"/>
    <s v="Yes"/>
    <s v="No"/>
    <n v="611.91317284366141"/>
    <n v="622"/>
    <n v="1.07"/>
    <n v="0.93"/>
    <n v="1"/>
    <n v="0.8"/>
    <n v="1.18"/>
    <n v="1.1200000000000001"/>
    <n v="1.57"/>
    <n v="1"/>
    <n v="1"/>
    <n v="1"/>
    <n v="0.88"/>
    <n v="1"/>
    <n v="0.72"/>
    <n v="1"/>
    <n v="1"/>
    <n v="1"/>
    <n v="0.94"/>
    <n v="1"/>
    <n v="1"/>
    <n v="611.91317284366141"/>
    <n v="0"/>
    <s v="PASS"/>
    <n v="0"/>
    <x v="0"/>
  </r>
  <r>
    <s v="P0557"/>
    <d v="2025-10-05T00:00:00"/>
    <s v="Collision"/>
    <s v="55-64"/>
    <n v="3"/>
    <n v="0"/>
    <s v="Yes (High Score)"/>
    <s v="0-4,999"/>
    <s v="Hawthorne (90250)"/>
    <s v="$15,000-$24,999"/>
    <s v="No"/>
    <s v="No"/>
    <s v="No"/>
    <s v="No"/>
    <s v="Yes"/>
    <s v="No"/>
    <s v="Yes (High)"/>
    <s v="No"/>
    <s v="No"/>
    <s v="Yes"/>
    <s v="No"/>
    <s v="No"/>
    <s v="Yes"/>
    <n v="241.40583053701053"/>
    <n v="453"/>
    <n v="1.1200000000000001"/>
    <n v="1.22"/>
    <n v="1"/>
    <n v="0.65"/>
    <n v="0.82"/>
    <n v="1.0900000000000001"/>
    <n v="1.08"/>
    <n v="1"/>
    <n v="1"/>
    <n v="1"/>
    <n v="1"/>
    <n v="0.72"/>
    <n v="1"/>
    <n v="1"/>
    <n v="0.89"/>
    <n v="1"/>
    <n v="1"/>
    <n v="0.97"/>
    <n v="1"/>
    <n v="241.40583053701053"/>
    <n v="0"/>
    <s v="PASS"/>
    <n v="0"/>
    <x v="0"/>
  </r>
  <r>
    <s v="P0558"/>
    <d v="2026-03-16T00:00:00"/>
    <s v="Collision"/>
    <s v="45-54"/>
    <s v="8+"/>
    <n v="0"/>
    <s v="No"/>
    <s v="5,000-8,499"/>
    <s v="Newport Beach (92603)"/>
    <s v="$85,000-$149,999"/>
    <s v="No"/>
    <s v="No"/>
    <s v="No"/>
    <s v="Yes"/>
    <s v="Yes"/>
    <s v="No"/>
    <s v="Yes (Medium)"/>
    <s v="No"/>
    <s v="Yes"/>
    <s v="No"/>
    <s v="No"/>
    <s v="No"/>
    <s v="No"/>
    <n v="573.82934084556859"/>
    <n v="453"/>
    <n v="1.07"/>
    <n v="0.93"/>
    <n v="1"/>
    <n v="1"/>
    <n v="0.93"/>
    <n v="0.94"/>
    <n v="2.02"/>
    <n v="1"/>
    <n v="1"/>
    <n v="1"/>
    <n v="0.88"/>
    <n v="0.84"/>
    <n v="1"/>
    <n v="0.92"/>
    <n v="1"/>
    <n v="1"/>
    <n v="1"/>
    <n v="1"/>
    <n v="1.06"/>
    <n v="573.82934084556859"/>
    <n v="0"/>
    <s v="PASS"/>
    <n v="0"/>
    <x v="0"/>
  </r>
  <r>
    <s v="P0559"/>
    <d v="2026-04-24T00:00:00"/>
    <s v="Liability"/>
    <s v="25-34"/>
    <n v="1"/>
    <n v="0"/>
    <s v="Yes (Medium Score)"/>
    <s v="5,000-8,499"/>
    <s v="Santa Ana (92702)"/>
    <s v="$15,000-$24,999"/>
    <s v="No"/>
    <s v="No"/>
    <s v="Yes"/>
    <s v="No"/>
    <s v="No"/>
    <s v="Yes"/>
    <s v="No"/>
    <s v="Yes (Low)"/>
    <s v="No"/>
    <s v="Yes"/>
    <s v="No"/>
    <s v="No"/>
    <s v="No"/>
    <n v="686.46737706382737"/>
    <n v="622"/>
    <n v="1.23"/>
    <n v="1.64"/>
    <n v="1"/>
    <n v="0.8"/>
    <n v="0.93"/>
    <n v="1.02"/>
    <n v="1.08"/>
    <n v="1"/>
    <n v="1"/>
    <n v="1.1599999999999999"/>
    <n v="1"/>
    <n v="1"/>
    <n v="0.61"/>
    <n v="1"/>
    <n v="0.89"/>
    <n v="1"/>
    <n v="1"/>
    <n v="1"/>
    <n v="1.06"/>
    <n v="686.46737706382737"/>
    <n v="0"/>
    <s v="PASS"/>
    <n v="0"/>
    <x v="0"/>
  </r>
  <r>
    <s v="P0560"/>
    <d v="2025-07-25T00:00:00"/>
    <s v="Comprehensive"/>
    <s v="16-24"/>
    <s v="8+"/>
    <n v="4"/>
    <s v="No"/>
    <s v="0-4,999"/>
    <s v="Fountain Valley (92708)"/>
    <s v="$0-$4,999"/>
    <s v="No"/>
    <s v="No"/>
    <s v="No"/>
    <s v="Yes"/>
    <s v="Yes"/>
    <s v="No"/>
    <s v="Yes (High)"/>
    <s v="No"/>
    <s v="No"/>
    <s v="No"/>
    <s v="No"/>
    <s v="No"/>
    <s v="Yes"/>
    <n v="149.65476832995597"/>
    <n v="121"/>
    <n v="1.32"/>
    <n v="0.93"/>
    <n v="2.12"/>
    <n v="1"/>
    <n v="0.82"/>
    <n v="1.1499999999999999"/>
    <n v="0.82"/>
    <n v="1"/>
    <n v="1"/>
    <n v="1"/>
    <n v="0.88"/>
    <n v="0.72"/>
    <n v="1"/>
    <n v="1"/>
    <n v="1"/>
    <n v="1"/>
    <n v="1"/>
    <n v="0.97"/>
    <n v="1"/>
    <n v="149.65476832995597"/>
    <n v="0"/>
    <s v="PASS"/>
    <n v="0"/>
    <x v="0"/>
  </r>
  <r>
    <s v="P0561"/>
    <d v="2026-01-11T00:00:00"/>
    <s v="Collision"/>
    <s v="16-24"/>
    <s v="8+"/>
    <n v="1"/>
    <s v="No"/>
    <s v="17,000+"/>
    <s v="Beverly Hills (90035)"/>
    <s v="$85,000-$149,999"/>
    <s v="No"/>
    <s v="No"/>
    <s v="No"/>
    <s v="No"/>
    <s v="Yes"/>
    <s v="No"/>
    <s v="Yes (High)"/>
    <s v="No"/>
    <s v="No"/>
    <s v="No"/>
    <s v="No"/>
    <s v="No"/>
    <s v="No"/>
    <n v="1820.9846178384214"/>
    <n v="453"/>
    <n v="1.32"/>
    <n v="0.93"/>
    <n v="1.34"/>
    <n v="1"/>
    <n v="1.31"/>
    <n v="1.21"/>
    <n v="2.02"/>
    <n v="1"/>
    <n v="1"/>
    <n v="1"/>
    <n v="1"/>
    <n v="0.72"/>
    <n v="1"/>
    <n v="1"/>
    <n v="1"/>
    <n v="1"/>
    <n v="1"/>
    <n v="1"/>
    <n v="1.06"/>
    <n v="1820.9846178384214"/>
    <n v="0"/>
    <s v="PASS"/>
    <n v="0"/>
    <x v="0"/>
  </r>
  <r>
    <s v="P0562"/>
    <d v="2026-01-31T00:00:00"/>
    <s v="Collision"/>
    <s v="45-54"/>
    <n v="7"/>
    <n v="1"/>
    <s v="No"/>
    <s v="17,000+"/>
    <s v="Fullerton (92832)"/>
    <s v="$15,000-$24,999"/>
    <s v="No"/>
    <s v="No"/>
    <s v="No"/>
    <s v="Yes"/>
    <s v="Yes"/>
    <s v="No"/>
    <s v="Yes (Medium)"/>
    <s v="No"/>
    <s v="Yes"/>
    <s v="No"/>
    <s v="No"/>
    <s v="No"/>
    <s v="No"/>
    <n v="704.82144252465775"/>
    <n v="453"/>
    <n v="1.07"/>
    <n v="0.95"/>
    <n v="1.34"/>
    <n v="1"/>
    <n v="1.31"/>
    <n v="1.1200000000000001"/>
    <n v="1.08"/>
    <n v="1"/>
    <n v="1"/>
    <n v="1"/>
    <n v="0.88"/>
    <n v="0.84"/>
    <n v="1"/>
    <n v="0.92"/>
    <n v="1"/>
    <n v="1"/>
    <n v="1"/>
    <n v="1"/>
    <n v="1.06"/>
    <n v="704.82144252465775"/>
    <n v="0"/>
    <s v="PASS"/>
    <n v="0"/>
    <x v="0"/>
  </r>
  <r>
    <s v="P0563"/>
    <d v="2026-04-03T00:00:00"/>
    <s v="Liability"/>
    <s v="45-54"/>
    <s v="8+"/>
    <n v="1"/>
    <s v="Yes (Low Score)"/>
    <s v="13,500-16,999"/>
    <s v="Anaheim (92801)"/>
    <s v="$45,000-$84,999"/>
    <s v="No"/>
    <s v="No"/>
    <s v="Yes"/>
    <s v="No"/>
    <s v="No"/>
    <s v="Yes"/>
    <s v="No"/>
    <s v="Yes (Low)"/>
    <s v="No"/>
    <s v="No"/>
    <s v="Yes"/>
    <s v="No"/>
    <s v="Yes"/>
    <n v="1096.3230001141374"/>
    <n v="622"/>
    <n v="1.07"/>
    <n v="0.93"/>
    <n v="1.34"/>
    <n v="0.95"/>
    <n v="1.18"/>
    <n v="1.1100000000000001"/>
    <n v="1.57"/>
    <n v="1"/>
    <n v="1"/>
    <n v="1.1599999999999999"/>
    <n v="1"/>
    <n v="1"/>
    <n v="0.61"/>
    <n v="1"/>
    <n v="1"/>
    <n v="0.93"/>
    <n v="1"/>
    <n v="0.97"/>
    <n v="1.06"/>
    <n v="1096.3230001141374"/>
    <n v="0"/>
    <s v="PASS"/>
    <n v="0"/>
    <x v="0"/>
  </r>
  <r>
    <s v="P0564"/>
    <d v="2025-05-05T00:00:00"/>
    <s v="Liability"/>
    <s v="35-44"/>
    <s v="8+"/>
    <n v="4"/>
    <s v="Yes (High Score)"/>
    <s v="0-4,999"/>
    <s v="Silverlake (90026 )"/>
    <s v="$15,000-$24,999"/>
    <s v="No"/>
    <s v="No"/>
    <s v="No"/>
    <s v="Yes"/>
    <s v="No"/>
    <s v="Yes"/>
    <s v="No"/>
    <s v="Yes (Low)"/>
    <s v="No"/>
    <s v="No"/>
    <s v="No"/>
    <s v="No"/>
    <s v="No"/>
    <n v="439.57264198145128"/>
    <n v="622"/>
    <n v="1"/>
    <n v="0.93"/>
    <n v="2.12"/>
    <n v="0.65"/>
    <n v="0.82"/>
    <n v="1.1599999999999999"/>
    <n v="1.08"/>
    <n v="1"/>
    <n v="1"/>
    <n v="1"/>
    <n v="0.88"/>
    <n v="1"/>
    <n v="0.61"/>
    <n v="1"/>
    <n v="1"/>
    <n v="1"/>
    <n v="1"/>
    <n v="1"/>
    <n v="1"/>
    <n v="439.57264198145128"/>
    <n v="0"/>
    <s v="PASS"/>
    <n v="0"/>
    <x v="0"/>
  </r>
  <r>
    <s v="P0565"/>
    <d v="2026-03-24T00:00:00"/>
    <s v="Comprehensive"/>
    <s v="35-44"/>
    <s v="8+"/>
    <n v="4"/>
    <s v="No"/>
    <s v="5,000-8,499"/>
    <s v="Anaheim (92801)"/>
    <s v="$0-$4,999"/>
    <s v="Yes"/>
    <s v="No"/>
    <s v="No"/>
    <s v="No"/>
    <s v="Yes"/>
    <s v="No"/>
    <s v="Yes (Medium)"/>
    <s v="No"/>
    <s v="No"/>
    <s v="Yes"/>
    <s v="No"/>
    <s v="No"/>
    <s v="Yes"/>
    <n v="198.6922013417134"/>
    <n v="121"/>
    <n v="1"/>
    <n v="0.93"/>
    <n v="2.12"/>
    <n v="1"/>
    <n v="0.93"/>
    <n v="1.1100000000000001"/>
    <n v="0.82"/>
    <n v="1.28"/>
    <n v="1"/>
    <n v="1"/>
    <n v="1"/>
    <n v="0.84"/>
    <n v="1"/>
    <n v="1"/>
    <n v="0.89"/>
    <n v="1"/>
    <n v="1"/>
    <n v="0.97"/>
    <n v="1.06"/>
    <n v="198.6922013417134"/>
    <n v="0"/>
    <s v="PASS"/>
    <n v="0"/>
    <x v="0"/>
  </r>
  <r>
    <s v="P0566"/>
    <d v="2025-12-22T00:00:00"/>
    <s v="Collision"/>
    <s v="35-44"/>
    <n v="3"/>
    <n v="1"/>
    <s v="No"/>
    <s v="13,500-16,999"/>
    <s v="Anaheim (92801)"/>
    <s v="$25,000-$44,999"/>
    <s v="No"/>
    <s v="No"/>
    <s v="No"/>
    <s v="Yes"/>
    <s v="Yes"/>
    <s v="No"/>
    <s v="Yes (High)"/>
    <s v="No"/>
    <s v="No"/>
    <s v="Yes"/>
    <s v="No"/>
    <s v="No"/>
    <s v="No"/>
    <n v="700.13689148361289"/>
    <n v="453"/>
    <n v="1"/>
    <n v="1.22"/>
    <n v="1.34"/>
    <n v="1"/>
    <n v="1.18"/>
    <n v="1.1100000000000001"/>
    <n v="1.28"/>
    <n v="1"/>
    <n v="1"/>
    <n v="1"/>
    <n v="0.88"/>
    <n v="0.72"/>
    <n v="1"/>
    <n v="1"/>
    <n v="0.89"/>
    <n v="1"/>
    <n v="1"/>
    <n v="1"/>
    <n v="1"/>
    <n v="700.13689148361289"/>
    <n v="0"/>
    <s v="PASS"/>
    <n v="0"/>
    <x v="0"/>
  </r>
  <r>
    <s v="P0567"/>
    <d v="2025-07-19T00:00:00"/>
    <s v="Collision"/>
    <s v="25-34"/>
    <s v="8+"/>
    <s v="5+"/>
    <s v="Yes (Low Score)"/>
    <s v="17,000+"/>
    <s v="Culver City (90066)"/>
    <s v="$5,000-$14,999"/>
    <s v="No"/>
    <s v="No"/>
    <s v="No"/>
    <s v="Yes"/>
    <s v="Yes"/>
    <s v="No"/>
    <s v="Yes (High)"/>
    <s v="No"/>
    <s v="No"/>
    <s v="No"/>
    <s v="No"/>
    <s v="Yes"/>
    <s v="No"/>
    <n v="1058.255935515836"/>
    <n v="453"/>
    <n v="1.23"/>
    <n v="0.93"/>
    <n v="2.4700000000000002"/>
    <n v="0.95"/>
    <n v="1.31"/>
    <n v="1.1499999999999999"/>
    <n v="0.97"/>
    <n v="1"/>
    <n v="1"/>
    <n v="1"/>
    <n v="0.88"/>
    <n v="0.72"/>
    <n v="1"/>
    <n v="1"/>
    <n v="1"/>
    <n v="1"/>
    <n v="0.94"/>
    <n v="1"/>
    <n v="1"/>
    <n v="1058.255935515836"/>
    <n v="0"/>
    <s v="PASS"/>
    <n v="0"/>
    <x v="0"/>
  </r>
  <r>
    <s v="P0568"/>
    <d v="2025-11-21T00:00:00"/>
    <s v="Collision"/>
    <s v="35-44"/>
    <n v="4"/>
    <n v="1"/>
    <s v="No"/>
    <s v="17,000+"/>
    <s v="Huntington Beach (90742)"/>
    <s v="$5,000-$14,999"/>
    <s v="No"/>
    <s v="No"/>
    <s v="No"/>
    <s v="Yes"/>
    <s v="Yes"/>
    <s v="No"/>
    <s v="Yes (Low)"/>
    <s v="No"/>
    <s v="No"/>
    <s v="No"/>
    <s v="Yes"/>
    <s v="No"/>
    <s v="No"/>
    <n v="675.86377907946735"/>
    <n v="453"/>
    <n v="1"/>
    <n v="1.1499999999999999"/>
    <n v="1.34"/>
    <n v="1"/>
    <n v="1.31"/>
    <n v="0.98"/>
    <n v="0.97"/>
    <n v="1"/>
    <n v="1"/>
    <n v="1"/>
    <n v="0.88"/>
    <n v="0.95"/>
    <n v="1"/>
    <n v="1"/>
    <n v="1"/>
    <n v="0.93"/>
    <n v="1"/>
    <n v="1"/>
    <n v="1"/>
    <n v="675.86377907946735"/>
    <n v="0"/>
    <s v="PASS"/>
    <n v="0"/>
    <x v="0"/>
  </r>
  <r>
    <s v="P0569"/>
    <d v="2025-07-16T00:00:00"/>
    <s v="Uninsured Motorist"/>
    <s v="65+"/>
    <n v="7"/>
    <n v="3"/>
    <s v="Yes (Low Score)"/>
    <s v="0-4,999"/>
    <s v="DTLA (90012)"/>
    <s v="$15,000-$24,999"/>
    <s v="No"/>
    <s v="Yes"/>
    <s v="No"/>
    <s v="No"/>
    <s v="No"/>
    <s v="Yes"/>
    <s v="No"/>
    <s v="Yes (High)"/>
    <s v="Yes"/>
    <s v="No"/>
    <s v="No"/>
    <s v="No"/>
    <s v="No"/>
    <n v="169.77649324124491"/>
    <n v="78"/>
    <n v="1.27"/>
    <n v="0.95"/>
    <n v="1.82"/>
    <n v="0.95"/>
    <n v="0.82"/>
    <n v="1.26"/>
    <n v="1.08"/>
    <n v="1"/>
    <n v="1.21"/>
    <n v="1"/>
    <n v="1"/>
    <n v="1"/>
    <n v="0.84"/>
    <n v="0.92"/>
    <n v="1"/>
    <n v="1"/>
    <n v="1"/>
    <n v="1"/>
    <n v="1"/>
    <n v="169.77649324124491"/>
    <n v="0"/>
    <s v="PASS"/>
    <n v="0"/>
    <x v="0"/>
  </r>
  <r>
    <s v="P0570"/>
    <d v="2025-12-14T00:00:00"/>
    <s v="Uninsured Motorist"/>
    <s v="25-34"/>
    <n v="2"/>
    <s v="5+"/>
    <s v="Yes (High Score)"/>
    <s v="0-4,999"/>
    <s v="Anaheim (92801)"/>
    <s v="$5,000-$14,999"/>
    <s v="No"/>
    <s v="No"/>
    <s v="No"/>
    <s v="No"/>
    <s v="No"/>
    <s v="Yes"/>
    <s v="No"/>
    <s v="Yes (High)"/>
    <s v="No"/>
    <s v="Yes"/>
    <s v="No"/>
    <s v="Yes"/>
    <s v="Yes"/>
    <n v="130.70932824723943"/>
    <n v="78"/>
    <n v="1.23"/>
    <n v="1.41"/>
    <n v="2.4700000000000002"/>
    <n v="0.65"/>
    <n v="0.82"/>
    <n v="1.1100000000000001"/>
    <n v="0.97"/>
    <n v="1"/>
    <n v="1"/>
    <n v="1"/>
    <n v="1"/>
    <n v="1"/>
    <n v="0.84"/>
    <n v="1"/>
    <n v="0.89"/>
    <n v="1"/>
    <n v="0.94"/>
    <n v="0.97"/>
    <n v="1"/>
    <n v="130.70932824723943"/>
    <n v="0"/>
    <s v="PASS"/>
    <n v="0"/>
    <x v="0"/>
  </r>
  <r>
    <s v="P0571"/>
    <d v="2025-09-02T00:00:00"/>
    <s v="Liability"/>
    <s v="35-44"/>
    <n v="1"/>
    <s v="5+"/>
    <s v="Yes (Medium Score)"/>
    <s v="13,500-16,999"/>
    <s v="Culver City (90066)"/>
    <s v="$45,000-$84,999"/>
    <s v="No"/>
    <s v="No"/>
    <s v="No"/>
    <s v="No"/>
    <s v="No"/>
    <s v="Yes"/>
    <s v="No"/>
    <s v="Yes (Medium)"/>
    <s v="No"/>
    <s v="Yes"/>
    <s v="No"/>
    <s v="No"/>
    <s v="Yes"/>
    <n v="2669.2847814691354"/>
    <n v="622"/>
    <n v="1"/>
    <n v="1.64"/>
    <n v="2.4700000000000002"/>
    <n v="0.8"/>
    <n v="1.18"/>
    <n v="1.1499999999999999"/>
    <n v="1.57"/>
    <n v="1"/>
    <n v="1"/>
    <n v="1"/>
    <n v="1"/>
    <n v="1"/>
    <n v="0.72"/>
    <n v="1"/>
    <n v="0.89"/>
    <n v="1"/>
    <n v="1"/>
    <n v="0.97"/>
    <n v="1"/>
    <n v="2669.2847814691354"/>
    <n v="0"/>
    <s v="PASS"/>
    <n v="0"/>
    <x v="0"/>
  </r>
  <r>
    <s v="P0572"/>
    <d v="2025-07-21T00:00:00"/>
    <s v="Collision"/>
    <s v="16-24"/>
    <n v="4"/>
    <n v="1"/>
    <s v="No"/>
    <s v="5,000-8,499"/>
    <s v="Silverlake (90026 )"/>
    <s v="$15,000-$24,999"/>
    <s v="Yes"/>
    <s v="No"/>
    <s v="Yes"/>
    <s v="Yes"/>
    <s v="Yes"/>
    <s v="No"/>
    <s v="Yes (Medium)"/>
    <s v="No"/>
    <s v="No"/>
    <s v="No"/>
    <s v="No"/>
    <s v="No"/>
    <s v="No"/>
    <n v="1339.02"/>
    <n v="453"/>
    <n v="1.32"/>
    <n v="1.1499999999999999"/>
    <n v="1.34"/>
    <n v="1"/>
    <n v="0.93"/>
    <n v="1.1599999999999999"/>
    <n v="1.08"/>
    <n v="1.28"/>
    <n v="1"/>
    <n v="1.1599999999999999"/>
    <n v="0.88"/>
    <n v="0.84"/>
    <n v="1"/>
    <n v="1"/>
    <n v="1"/>
    <n v="1"/>
    <n v="1"/>
    <n v="1"/>
    <n v="1"/>
    <n v="1178.3366404146441"/>
    <n v="160.6833595853559"/>
    <s v="FAIL"/>
    <n v="160.6833595853559"/>
    <x v="3"/>
  </r>
  <r>
    <s v="P0573"/>
    <d v="2025-07-22T00:00:00"/>
    <s v="Liability"/>
    <s v="35-44"/>
    <n v="3"/>
    <n v="0"/>
    <s v="Yes (Low Score)"/>
    <s v="8,500-13,499"/>
    <s v="Santa Ana (92702)"/>
    <s v="$0-$4,999"/>
    <s v="No"/>
    <s v="No"/>
    <s v="No"/>
    <s v="Yes"/>
    <s v="No"/>
    <s v="Yes"/>
    <s v="No"/>
    <s v="Yes (Medium)"/>
    <s v="No"/>
    <s v="No"/>
    <s v="Yes"/>
    <s v="No"/>
    <s v="No"/>
    <n v="355.29243621442561"/>
    <n v="622"/>
    <n v="1"/>
    <n v="1.22"/>
    <n v="1"/>
    <n v="0.95"/>
    <n v="1"/>
    <n v="1.02"/>
    <n v="0.82"/>
    <n v="1"/>
    <n v="1"/>
    <n v="1"/>
    <n v="0.88"/>
    <n v="1"/>
    <n v="0.72"/>
    <n v="1"/>
    <n v="1"/>
    <n v="0.93"/>
    <n v="1"/>
    <n v="1"/>
    <n v="1"/>
    <n v="355.29243621442561"/>
    <n v="0"/>
    <s v="PASS"/>
    <n v="0"/>
    <x v="0"/>
  </r>
  <r>
    <s v="P0574"/>
    <d v="2025-05-09T00:00:00"/>
    <s v="Collision"/>
    <s v="45-54"/>
    <n v="2"/>
    <n v="1"/>
    <s v="No"/>
    <s v="13,500-16,999"/>
    <s v="Hawthorne (90250)"/>
    <s v="$45,000-$84,999"/>
    <s v="No"/>
    <s v="No"/>
    <s v="No"/>
    <s v="No"/>
    <s v="Yes"/>
    <s v="No"/>
    <s v="Yes (Medium)"/>
    <s v="No"/>
    <s v="No"/>
    <s v="Yes"/>
    <s v="No"/>
    <s v="No"/>
    <s v="No"/>
    <n v="1382.5579412242059"/>
    <n v="453"/>
    <n v="1.07"/>
    <n v="1.41"/>
    <n v="1.34"/>
    <n v="1"/>
    <n v="1.18"/>
    <n v="1.0900000000000001"/>
    <n v="1.57"/>
    <n v="1"/>
    <n v="1"/>
    <n v="1"/>
    <n v="1"/>
    <n v="0.84"/>
    <n v="1"/>
    <n v="1"/>
    <n v="0.89"/>
    <n v="1"/>
    <n v="1"/>
    <n v="1"/>
    <n v="1"/>
    <n v="1382.5579412242059"/>
    <n v="0"/>
    <s v="PASS"/>
    <n v="0"/>
    <x v="0"/>
  </r>
  <r>
    <s v="P0575"/>
    <d v="2025-07-22T00:00:00"/>
    <s v="Comprehensive"/>
    <s v="45-54"/>
    <n v="1"/>
    <n v="0"/>
    <s v="No"/>
    <s v="5,000-8,499"/>
    <s v="Costa Mesa (92626)"/>
    <s v="$5,000-$14,999"/>
    <s v="No"/>
    <s v="No"/>
    <s v="No"/>
    <s v="Yes"/>
    <s v="Yes"/>
    <s v="No"/>
    <s v="Yes (High)"/>
    <s v="No"/>
    <s v="No"/>
    <s v="No"/>
    <s v="No"/>
    <s v="No"/>
    <s v="No"/>
    <n v="111.65307152034815"/>
    <n v="121"/>
    <n v="1.07"/>
    <n v="1.64"/>
    <n v="1"/>
    <n v="1"/>
    <n v="0.93"/>
    <n v="0.92"/>
    <n v="0.97"/>
    <n v="1"/>
    <n v="1"/>
    <n v="1"/>
    <n v="0.88"/>
    <n v="0.72"/>
    <n v="1"/>
    <n v="1"/>
    <n v="1"/>
    <n v="1"/>
    <n v="1"/>
    <n v="1"/>
    <n v="1"/>
    <n v="111.65307152034815"/>
    <n v="0"/>
    <s v="PASS"/>
    <n v="0"/>
    <x v="0"/>
  </r>
  <r>
    <s v="P0576"/>
    <d v="2025-06-12T00:00:00"/>
    <s v="Collision"/>
    <s v="25-34"/>
    <n v="7"/>
    <n v="3"/>
    <s v="Yes (Low Score)"/>
    <s v="5,000-8,499"/>
    <s v="Compton (90220)"/>
    <s v="$45,000-$84,999"/>
    <s v="No"/>
    <s v="No"/>
    <s v="No"/>
    <s v="Yes"/>
    <s v="Yes"/>
    <s v="No"/>
    <s v="Yes (Medium)"/>
    <s v="No"/>
    <s v="No"/>
    <s v="Yes"/>
    <s v="No"/>
    <s v="No"/>
    <s v="Yes"/>
    <n v="1330.309861394283"/>
    <n v="453"/>
    <n v="1.23"/>
    <n v="0.95"/>
    <n v="1.82"/>
    <n v="0.95"/>
    <n v="0.93"/>
    <n v="1.56"/>
    <n v="1.57"/>
    <n v="1"/>
    <n v="1"/>
    <n v="1"/>
    <n v="0.88"/>
    <n v="0.84"/>
    <n v="1"/>
    <n v="1"/>
    <n v="0.89"/>
    <n v="1"/>
    <n v="1"/>
    <n v="0.97"/>
    <n v="1"/>
    <n v="1330.309861394283"/>
    <n v="0"/>
    <s v="PASS"/>
    <n v="0"/>
    <x v="0"/>
  </r>
  <r>
    <s v="P0577"/>
    <d v="2025-09-10T00:00:00"/>
    <s v="Liability"/>
    <s v="25-34"/>
    <n v="3"/>
    <n v="0"/>
    <s v="No"/>
    <s v="5,000-8,499"/>
    <s v="Lake Forrest (92609)"/>
    <s v="$85,000-$149,999"/>
    <s v="No"/>
    <s v="No"/>
    <s v="Yes"/>
    <s v="No"/>
    <s v="No"/>
    <s v="Yes"/>
    <s v="No"/>
    <s v="Yes (Medium)"/>
    <s v="No"/>
    <s v="Yes"/>
    <s v="No"/>
    <s v="No"/>
    <s v="No"/>
    <n v="1238.2083899039126"/>
    <n v="622"/>
    <n v="1.23"/>
    <n v="1.22"/>
    <n v="1"/>
    <n v="1"/>
    <n v="0.93"/>
    <n v="0.95"/>
    <n v="2.02"/>
    <n v="1"/>
    <n v="1"/>
    <n v="1.1599999999999999"/>
    <n v="1"/>
    <n v="1"/>
    <n v="0.72"/>
    <n v="1"/>
    <n v="0.89"/>
    <n v="1"/>
    <n v="1"/>
    <n v="1"/>
    <n v="1"/>
    <n v="1238.2083899039126"/>
    <n v="0"/>
    <s v="PASS"/>
    <n v="0"/>
    <x v="0"/>
  </r>
  <r>
    <s v="P0578"/>
    <d v="2025-06-01T00:00:00"/>
    <s v="Comprehensive"/>
    <s v="55-64"/>
    <n v="3"/>
    <n v="2"/>
    <s v="No"/>
    <s v="8,500-13,499"/>
    <s v="Santa Monica (90401)"/>
    <s v="$150,000+"/>
    <s v="No"/>
    <s v="Yes"/>
    <s v="Yes"/>
    <s v="Yes"/>
    <s v="Yes"/>
    <s v="No"/>
    <s v="Yes (Low)"/>
    <s v="No"/>
    <s v="Yes"/>
    <s v="Yes"/>
    <s v="Yes"/>
    <s v="No"/>
    <s v="No"/>
    <n v="762.33389053428789"/>
    <n v="121"/>
    <n v="1.1200000000000001"/>
    <n v="1.22"/>
    <n v="1.55"/>
    <n v="1"/>
    <n v="1"/>
    <n v="1.1599999999999999"/>
    <n v="2.87"/>
    <n v="1"/>
    <n v="1.21"/>
    <n v="1.1599999999999999"/>
    <n v="0.88"/>
    <n v="0.95"/>
    <n v="1"/>
    <n v="0.92"/>
    <n v="0.89"/>
    <n v="0.93"/>
    <n v="1"/>
    <n v="1"/>
    <n v="1"/>
    <n v="762.33389053428789"/>
    <n v="0"/>
    <s v="PASS"/>
    <n v="0"/>
    <x v="0"/>
  </r>
  <r>
    <s v="P0579"/>
    <d v="2025-12-06T00:00:00"/>
    <s v="Liability"/>
    <s v="45-54"/>
    <n v="2"/>
    <n v="2"/>
    <s v="Yes (Low Score)"/>
    <s v="5,000-8,499"/>
    <s v="Irvine (92602)"/>
    <s v="$15,000-$24,999"/>
    <s v="No"/>
    <s v="No"/>
    <s v="No"/>
    <s v="Yes"/>
    <s v="No"/>
    <s v="Yes"/>
    <s v="No"/>
    <s v="Yes (Low)"/>
    <s v="No"/>
    <s v="No"/>
    <s v="No"/>
    <s v="No"/>
    <s v="No"/>
    <n v="812.07153483139496"/>
    <n v="622"/>
    <n v="1.07"/>
    <n v="1.41"/>
    <n v="1.55"/>
    <n v="0.95"/>
    <n v="0.93"/>
    <n v="1.0900000000000001"/>
    <n v="1.08"/>
    <n v="1"/>
    <n v="1"/>
    <n v="1"/>
    <n v="0.88"/>
    <n v="1"/>
    <n v="0.61"/>
    <n v="1"/>
    <n v="1"/>
    <n v="1"/>
    <n v="1"/>
    <n v="1"/>
    <n v="1"/>
    <n v="812.07153483139496"/>
    <n v="0"/>
    <s v="PASS"/>
    <n v="0"/>
    <x v="0"/>
  </r>
  <r>
    <s v="P0580"/>
    <d v="2025-05-30T00:00:00"/>
    <s v="Liability"/>
    <s v="45-54"/>
    <s v="8+"/>
    <n v="1"/>
    <s v="Yes (Medium Score)"/>
    <s v="5,000-8,499"/>
    <s v="Fountain Valley (92708)"/>
    <s v="$15,000-$24,999"/>
    <s v="No"/>
    <s v="No"/>
    <s v="No"/>
    <s v="No"/>
    <s v="No"/>
    <s v="Yes"/>
    <s v="No"/>
    <s v="Yes (High)"/>
    <s v="Yes"/>
    <s v="Yes"/>
    <s v="No"/>
    <s v="No"/>
    <s v="Yes"/>
    <n v="511.31118726043456"/>
    <n v="622"/>
    <n v="1.07"/>
    <n v="0.93"/>
    <n v="1.34"/>
    <n v="0.8"/>
    <n v="0.93"/>
    <n v="1.1499999999999999"/>
    <n v="1.08"/>
    <n v="1"/>
    <n v="1"/>
    <n v="1"/>
    <n v="1"/>
    <n v="1"/>
    <n v="0.84"/>
    <n v="0.92"/>
    <n v="0.89"/>
    <n v="1"/>
    <n v="1"/>
    <n v="0.97"/>
    <n v="1"/>
    <n v="511.31118726043456"/>
    <n v="0"/>
    <s v="PASS"/>
    <n v="0"/>
    <x v="0"/>
  </r>
  <r>
    <s v="P0581"/>
    <d v="2026-04-24T00:00:00"/>
    <s v="Liability"/>
    <s v="45-54"/>
    <s v="8+"/>
    <n v="2"/>
    <s v="Yes (Medium Score)"/>
    <s v="8,500-13,499"/>
    <s v="Costa Mesa (92626)"/>
    <s v="$45,000-$84,999"/>
    <s v="Yes"/>
    <s v="No"/>
    <s v="No"/>
    <s v="Yes"/>
    <s v="No"/>
    <s v="Yes"/>
    <s v="No"/>
    <s v="Yes (Medium)"/>
    <s v="No"/>
    <s v="No"/>
    <s v="No"/>
    <s v="No"/>
    <s v="No"/>
    <n v="953.00960851431137"/>
    <n v="622"/>
    <n v="1.07"/>
    <n v="0.93"/>
    <n v="1.55"/>
    <n v="0.8"/>
    <n v="1"/>
    <n v="0.92"/>
    <n v="1.57"/>
    <n v="1.28"/>
    <n v="1"/>
    <n v="1"/>
    <n v="0.88"/>
    <n v="1"/>
    <n v="0.72"/>
    <n v="1"/>
    <n v="1"/>
    <n v="1"/>
    <n v="1"/>
    <n v="1"/>
    <n v="1.06"/>
    <n v="953.00960851431137"/>
    <n v="0"/>
    <s v="PASS"/>
    <n v="0"/>
    <x v="0"/>
  </r>
  <r>
    <s v="P0582"/>
    <d v="2025-08-17T00:00:00"/>
    <s v="Liability"/>
    <s v="45-54"/>
    <n v="4"/>
    <n v="4"/>
    <s v="No"/>
    <s v="8,500-13,499"/>
    <s v="Fullerton (92832)"/>
    <s v="$15,000-$24,999"/>
    <s v="Yes"/>
    <s v="No"/>
    <s v="No"/>
    <s v="No"/>
    <s v="No"/>
    <s v="Yes"/>
    <s v="No"/>
    <s v="Yes (High)"/>
    <s v="Yes"/>
    <s v="Yes"/>
    <s v="Yes"/>
    <s v="No"/>
    <s v="No"/>
    <n v="1606.9400692330512"/>
    <n v="622"/>
    <n v="1.07"/>
    <n v="1.1499999999999999"/>
    <n v="2.12"/>
    <n v="1"/>
    <n v="1"/>
    <n v="1.1200000000000001"/>
    <n v="1.08"/>
    <n v="1.28"/>
    <n v="1"/>
    <n v="1"/>
    <n v="1"/>
    <n v="1"/>
    <n v="0.84"/>
    <n v="0.92"/>
    <n v="0.89"/>
    <n v="0.93"/>
    <n v="1"/>
    <n v="1"/>
    <n v="1"/>
    <n v="1606.9400692330512"/>
    <n v="0"/>
    <s v="PASS"/>
    <n v="0"/>
    <x v="0"/>
  </r>
  <r>
    <s v="P0583"/>
    <d v="2025-07-11T00:00:00"/>
    <s v="Rental Car Reinbursement"/>
    <s v="45-54"/>
    <n v="1"/>
    <n v="2"/>
    <s v="Yes (Low Score)"/>
    <s v="0-4,999"/>
    <s v="Silverlake (90026 )"/>
    <s v="$5,000-$14,999"/>
    <s v="Yes"/>
    <s v="No"/>
    <s v="No"/>
    <s v="No"/>
    <s v="No"/>
    <s v="Yes"/>
    <s v="No"/>
    <s v="Yes (Low)"/>
    <s v="No"/>
    <s v="No"/>
    <s v="No"/>
    <s v="Yes"/>
    <s v="Yes"/>
    <n v="69.590467543708073"/>
    <n v="41"/>
    <n v="1.07"/>
    <n v="1.64"/>
    <n v="1.55"/>
    <n v="0.95"/>
    <n v="0.82"/>
    <n v="1.1599999999999999"/>
    <n v="0.97"/>
    <n v="1.28"/>
    <n v="1"/>
    <n v="1"/>
    <n v="1"/>
    <n v="1"/>
    <n v="0.61"/>
    <n v="1"/>
    <n v="1"/>
    <n v="1"/>
    <n v="0.94"/>
    <n v="0.97"/>
    <n v="1"/>
    <n v="69.590467543708073"/>
    <n v="0"/>
    <s v="PASS"/>
    <n v="0"/>
    <x v="0"/>
  </r>
  <r>
    <s v="P0584"/>
    <d v="2025-07-14T00:00:00"/>
    <s v="Rental Car Reinbursement"/>
    <s v="25-34"/>
    <n v="6"/>
    <n v="0"/>
    <s v="Yes (High Score)"/>
    <s v="8,500-13,499"/>
    <s v="Beverly Hills (90035)"/>
    <s v="$5,000-$14,999"/>
    <s v="No"/>
    <s v="No"/>
    <s v="No"/>
    <s v="No"/>
    <s v="No"/>
    <s v="Yes"/>
    <s v="No"/>
    <s v="Yes (Medium)"/>
    <s v="Yes"/>
    <s v="No"/>
    <s v="No"/>
    <s v="No"/>
    <s v="No"/>
    <n v="25.484713356959997"/>
    <n v="41"/>
    <n v="1.23"/>
    <n v="1"/>
    <n v="1"/>
    <n v="0.65"/>
    <n v="1"/>
    <n v="1.21"/>
    <n v="0.97"/>
    <n v="1"/>
    <n v="1"/>
    <n v="1"/>
    <n v="1"/>
    <n v="1"/>
    <n v="0.72"/>
    <n v="0.92"/>
    <n v="1"/>
    <n v="1"/>
    <n v="1"/>
    <n v="1"/>
    <n v="1"/>
    <n v="25.484713356959997"/>
    <n v="0"/>
    <s v="PASS"/>
    <n v="0"/>
    <x v="0"/>
  </r>
  <r>
    <s v="P0585"/>
    <d v="2025-08-02T00:00:00"/>
    <s v="Liability"/>
    <s v="45-54"/>
    <n v="6"/>
    <n v="0"/>
    <s v="Yes (Medium Score)"/>
    <s v="13,500-16,999"/>
    <s v="Long Beach (90712)"/>
    <s v="$0-$4,999"/>
    <s v="No"/>
    <s v="No"/>
    <s v="No"/>
    <s v="Yes"/>
    <s v="No"/>
    <s v="Yes"/>
    <s v="No"/>
    <s v="Yes (Medium)"/>
    <s v="No"/>
    <s v="Yes"/>
    <s v="Yes"/>
    <s v="Yes"/>
    <s v="No"/>
    <n v="284.44218696898355"/>
    <n v="622"/>
    <n v="1.07"/>
    <n v="1"/>
    <n v="1"/>
    <n v="0.8"/>
    <n v="1.18"/>
    <n v="1.1200000000000001"/>
    <n v="0.82"/>
    <n v="1"/>
    <n v="1"/>
    <n v="1"/>
    <n v="0.88"/>
    <n v="1"/>
    <n v="0.72"/>
    <n v="1"/>
    <n v="0.89"/>
    <n v="0.93"/>
    <n v="0.94"/>
    <n v="1"/>
    <n v="1"/>
    <n v="284.44218696898355"/>
    <n v="0"/>
    <s v="PASS"/>
    <n v="0"/>
    <x v="0"/>
  </r>
  <r>
    <s v="P0586"/>
    <d v="2025-05-20T00:00:00"/>
    <s v="Liability"/>
    <s v="45-54"/>
    <n v="1"/>
    <n v="1"/>
    <s v="No"/>
    <s v="17,000+"/>
    <s v="Newport Beach (92603)"/>
    <s v="$25,000-$44,999"/>
    <s v="No"/>
    <s v="Yes"/>
    <s v="No"/>
    <s v="No"/>
    <s v="No"/>
    <s v="Yes"/>
    <s v="No"/>
    <s v="Yes (Low)"/>
    <s v="No"/>
    <s v="No"/>
    <s v="No"/>
    <s v="Yes"/>
    <s v="Yes"/>
    <n v="1551.4819269006177"/>
    <n v="622"/>
    <n v="1.07"/>
    <n v="1.64"/>
    <n v="1.34"/>
    <n v="1"/>
    <n v="1.31"/>
    <n v="0.94"/>
    <n v="1.28"/>
    <n v="1"/>
    <n v="1.21"/>
    <n v="1"/>
    <n v="1"/>
    <n v="1"/>
    <n v="0.61"/>
    <n v="1"/>
    <n v="1"/>
    <n v="1"/>
    <n v="0.94"/>
    <n v="0.97"/>
    <n v="1"/>
    <n v="1551.4819269006177"/>
    <n v="0"/>
    <s v="PASS"/>
    <n v="0"/>
    <x v="0"/>
  </r>
  <r>
    <s v="P0587"/>
    <d v="2026-01-25T00:00:00"/>
    <s v="Liability"/>
    <s v="25-34"/>
    <n v="3"/>
    <n v="4"/>
    <s v="No"/>
    <s v="8,500-13,499"/>
    <s v="Newport Beach (92603)"/>
    <s v="$0-$4,999"/>
    <s v="No"/>
    <s v="No"/>
    <s v="No"/>
    <s v="No"/>
    <s v="No"/>
    <s v="Yes"/>
    <s v="No"/>
    <s v="Yes (Medium)"/>
    <s v="Yes"/>
    <s v="Yes"/>
    <s v="No"/>
    <s v="No"/>
    <s v="Yes"/>
    <n v="872.2"/>
    <n v="622"/>
    <n v="1.23"/>
    <n v="1.22"/>
    <n v="2.12"/>
    <n v="1"/>
    <n v="1"/>
    <n v="0.94"/>
    <n v="0.82"/>
    <n v="1"/>
    <n v="1"/>
    <n v="1"/>
    <n v="1"/>
    <n v="1"/>
    <n v="0.72"/>
    <n v="0.92"/>
    <n v="0.89"/>
    <n v="1"/>
    <n v="1"/>
    <n v="0.97"/>
    <n v="1.06"/>
    <n v="924.52960736074021"/>
    <n v="-52.329607360740169"/>
    <s v="FAIL"/>
    <n v="52.329607360740169"/>
    <x v="1"/>
  </r>
  <r>
    <s v="P0588"/>
    <d v="2025-12-19T00:00:00"/>
    <s v="Uninsured Motorist"/>
    <s v="16-24"/>
    <n v="7"/>
    <n v="2"/>
    <s v="Yes (High Score)"/>
    <s v="17,000+"/>
    <s v="Anaheim (92801)"/>
    <s v="$0-$4,999"/>
    <s v="No"/>
    <s v="No"/>
    <s v="Yes"/>
    <s v="No"/>
    <s v="No"/>
    <s v="Yes"/>
    <s v="No"/>
    <s v="Yes (Medium)"/>
    <s v="No"/>
    <s v="No"/>
    <s v="Yes"/>
    <s v="No"/>
    <s v="No"/>
    <n v="91.268046508410805"/>
    <n v="78"/>
    <n v="1.32"/>
    <n v="0.95"/>
    <n v="1.55"/>
    <n v="0.65"/>
    <n v="1.31"/>
    <n v="1.1100000000000001"/>
    <n v="0.82"/>
    <n v="1"/>
    <n v="1"/>
    <n v="1.1599999999999999"/>
    <n v="1"/>
    <n v="1"/>
    <n v="0.72"/>
    <n v="1"/>
    <n v="1"/>
    <n v="0.93"/>
    <n v="1"/>
    <n v="1"/>
    <n v="1"/>
    <n v="91.268046508410805"/>
    <n v="0"/>
    <s v="PASS"/>
    <n v="0"/>
    <x v="0"/>
  </r>
  <r>
    <s v="P0589"/>
    <d v="2025-10-02T00:00:00"/>
    <s v="Rental Car Reinbursement"/>
    <s v="65+"/>
    <n v="1"/>
    <s v="5+"/>
    <s v="Yes (Medium Score)"/>
    <s v="5,000-8,499"/>
    <s v="Fountain Valley (92708)"/>
    <s v="$45,000-$84,999"/>
    <s v="No"/>
    <s v="No"/>
    <s v="No"/>
    <s v="No"/>
    <s v="No"/>
    <s v="Yes"/>
    <s v="No"/>
    <s v="Yes (High)"/>
    <s v="No"/>
    <s v="Yes"/>
    <s v="Yes"/>
    <s v="Yes"/>
    <s v="No"/>
    <n v="185.17352849125226"/>
    <n v="41"/>
    <n v="1.27"/>
    <n v="1.64"/>
    <n v="2.4700000000000002"/>
    <n v="0.8"/>
    <n v="0.93"/>
    <n v="1.1499999999999999"/>
    <n v="1.57"/>
    <n v="1"/>
    <n v="1"/>
    <n v="1"/>
    <n v="1"/>
    <n v="1"/>
    <n v="0.84"/>
    <n v="1"/>
    <n v="0.89"/>
    <n v="0.93"/>
    <n v="0.94"/>
    <n v="1"/>
    <n v="1"/>
    <n v="185.17352849125226"/>
    <n v="0"/>
    <s v="PASS"/>
    <n v="0"/>
    <x v="0"/>
  </r>
  <r>
    <s v="P0590"/>
    <d v="2025-10-15T00:00:00"/>
    <s v="Rental Car Reinbursement"/>
    <s v="16-24"/>
    <n v="5"/>
    <n v="2"/>
    <s v="No"/>
    <s v="13,500-16,999"/>
    <s v="Fountain Valley (92708)"/>
    <s v="$5,000-$14,999"/>
    <s v="No"/>
    <s v="No"/>
    <s v="No"/>
    <s v="No"/>
    <s v="No"/>
    <s v="Yes"/>
    <s v="No"/>
    <s v="Yes (Medium)"/>
    <s v="No"/>
    <s v="No"/>
    <s v="No"/>
    <s v="No"/>
    <s v="No"/>
    <n v="85.066260584976007"/>
    <n v="41"/>
    <n v="1.32"/>
    <n v="1.07"/>
    <n v="1.55"/>
    <n v="1"/>
    <n v="1.18"/>
    <n v="1.1499999999999999"/>
    <n v="0.97"/>
    <n v="1"/>
    <n v="1"/>
    <n v="1"/>
    <n v="1"/>
    <n v="1"/>
    <n v="0.72"/>
    <n v="1"/>
    <n v="1"/>
    <n v="1"/>
    <n v="1"/>
    <n v="1"/>
    <n v="1"/>
    <n v="85.066260584976007"/>
    <n v="0"/>
    <s v="PASS"/>
    <n v="0"/>
    <x v="0"/>
  </r>
  <r>
    <s v="P0591"/>
    <d v="2025-11-15T00:00:00"/>
    <s v="Liability"/>
    <s v="45-54"/>
    <n v="5"/>
    <n v="0"/>
    <s v="No"/>
    <s v="0-4,999"/>
    <s v="Hawthorne (90250)"/>
    <s v="$45,000-$84,999"/>
    <s v="No"/>
    <s v="No"/>
    <s v="No"/>
    <s v="Yes"/>
    <s v="No"/>
    <s v="Yes"/>
    <s v="No"/>
    <s v="Yes (Low)"/>
    <s v="Yes"/>
    <s v="No"/>
    <s v="No"/>
    <s v="No"/>
    <s v="Yes"/>
    <n v="478.70725734679837"/>
    <n v="622"/>
    <n v="1.07"/>
    <n v="1.07"/>
    <n v="1"/>
    <n v="1"/>
    <n v="0.82"/>
    <n v="1.0900000000000001"/>
    <n v="1.57"/>
    <n v="1"/>
    <n v="1"/>
    <n v="1"/>
    <n v="0.88"/>
    <n v="1"/>
    <n v="0.61"/>
    <n v="0.92"/>
    <n v="1"/>
    <n v="1"/>
    <n v="1"/>
    <n v="0.97"/>
    <n v="1"/>
    <n v="478.70725734679837"/>
    <n v="0"/>
    <s v="PASS"/>
    <n v="0"/>
    <x v="0"/>
  </r>
  <r>
    <s v="P0592"/>
    <d v="2025-10-03T00:00:00"/>
    <s v="Collision"/>
    <s v="16-24"/>
    <n v="1"/>
    <n v="1"/>
    <s v="Yes (Low Score)"/>
    <s v="0-4,999"/>
    <s v="Westminster (92655)"/>
    <s v="$5,000-$14,999"/>
    <s v="No"/>
    <s v="No"/>
    <s v="No"/>
    <s v="Yes"/>
    <s v="Yes"/>
    <s v="No"/>
    <s v="Yes (High)"/>
    <s v="No"/>
    <s v="No"/>
    <s v="No"/>
    <s v="Yes"/>
    <s v="No"/>
    <s v="No"/>
    <n v="637.75604920639103"/>
    <n v="453"/>
    <n v="1.32"/>
    <n v="1.64"/>
    <n v="1.34"/>
    <n v="0.95"/>
    <n v="0.82"/>
    <n v="1.0900000000000001"/>
    <n v="0.97"/>
    <n v="1"/>
    <n v="1"/>
    <n v="1"/>
    <n v="0.88"/>
    <n v="0.72"/>
    <n v="1"/>
    <n v="1"/>
    <n v="1"/>
    <n v="0.93"/>
    <n v="1"/>
    <n v="1"/>
    <n v="1"/>
    <n v="637.75604920639103"/>
    <n v="0"/>
    <s v="PASS"/>
    <n v="0"/>
    <x v="0"/>
  </r>
  <r>
    <s v="P0593"/>
    <d v="2025-08-05T00:00:00"/>
    <s v="Liability"/>
    <s v="65+"/>
    <n v="6"/>
    <n v="0"/>
    <s v="No"/>
    <s v="17,000+"/>
    <s v="Hawthorne (90250)"/>
    <s v="$150,000+"/>
    <s v="No"/>
    <s v="No"/>
    <s v="Yes"/>
    <s v="Yes"/>
    <s v="No"/>
    <s v="Yes"/>
    <s v="No"/>
    <s v="Yes (Low)"/>
    <s v="No"/>
    <s v="No"/>
    <s v="No"/>
    <s v="Yes"/>
    <s v="No"/>
    <n v="1894.8382629566977"/>
    <n v="622"/>
    <n v="1.27"/>
    <n v="1"/>
    <n v="1"/>
    <n v="1"/>
    <n v="1.31"/>
    <n v="1.0900000000000001"/>
    <n v="2.87"/>
    <n v="1"/>
    <n v="1"/>
    <n v="1.1599999999999999"/>
    <n v="0.88"/>
    <n v="1"/>
    <n v="0.61"/>
    <n v="1"/>
    <n v="1"/>
    <n v="1"/>
    <n v="0.94"/>
    <n v="1"/>
    <n v="1"/>
    <n v="1894.8382629566977"/>
    <n v="0"/>
    <s v="PASS"/>
    <n v="0"/>
    <x v="0"/>
  </r>
  <r>
    <s v="P0594"/>
    <d v="2025-06-20T00:00:00"/>
    <s v="Uninsured Motorist"/>
    <s v="45-54"/>
    <n v="3"/>
    <n v="2"/>
    <s v="No"/>
    <s v="5,000-8,499"/>
    <s v="Beverly Hills (90035)"/>
    <s v="$25,000-$44,999"/>
    <s v="Yes"/>
    <s v="No"/>
    <s v="No"/>
    <s v="Yes"/>
    <s v="No"/>
    <s v="Yes"/>
    <s v="No"/>
    <s v="Yes (High)"/>
    <s v="No"/>
    <s v="No"/>
    <s v="No"/>
    <s v="No"/>
    <s v="No"/>
    <n v="215.08995346175365"/>
    <n v="78"/>
    <n v="1.07"/>
    <n v="1.22"/>
    <n v="1.55"/>
    <n v="1"/>
    <n v="0.93"/>
    <n v="1.21"/>
    <n v="1.28"/>
    <n v="1.28"/>
    <n v="1"/>
    <n v="1"/>
    <n v="0.88"/>
    <n v="1"/>
    <n v="0.84"/>
    <n v="1"/>
    <n v="1"/>
    <n v="1"/>
    <n v="1"/>
    <n v="1"/>
    <n v="1"/>
    <n v="215.08995346175365"/>
    <n v="0"/>
    <s v="PASS"/>
    <n v="0"/>
    <x v="0"/>
  </r>
  <r>
    <s v="P0595"/>
    <d v="2026-01-09T00:00:00"/>
    <s v="Rental Car Reinbursement"/>
    <s v="16-24"/>
    <n v="3"/>
    <n v="1"/>
    <s v="No"/>
    <s v="0-4,999"/>
    <s v="Costa Mesa (92626)"/>
    <s v="$15,000-$24,999"/>
    <s v="No"/>
    <s v="No"/>
    <s v="No"/>
    <s v="No"/>
    <s v="No"/>
    <s v="Yes"/>
    <s v="No"/>
    <s v="Yes (High)"/>
    <s v="No"/>
    <s v="Yes"/>
    <s v="Yes"/>
    <s v="No"/>
    <s v="No"/>
    <n v="53.12585819496266"/>
    <n v="41"/>
    <n v="1.32"/>
    <n v="1.22"/>
    <n v="1.34"/>
    <n v="1"/>
    <n v="0.82"/>
    <n v="0.92"/>
    <n v="1.08"/>
    <n v="1"/>
    <n v="1"/>
    <n v="1"/>
    <n v="1"/>
    <n v="1"/>
    <n v="0.84"/>
    <n v="1"/>
    <n v="0.89"/>
    <n v="0.93"/>
    <n v="1"/>
    <n v="1"/>
    <n v="1.06"/>
    <n v="53.12585819496266"/>
    <n v="0"/>
    <s v="PASS"/>
    <n v="0"/>
    <x v="0"/>
  </r>
  <r>
    <s v="P0596"/>
    <d v="2025-05-02T00:00:00"/>
    <s v="Collision"/>
    <s v="16-24"/>
    <n v="1"/>
    <n v="4"/>
    <s v="No"/>
    <s v="5,000-8,499"/>
    <s v="DTLA (90012)"/>
    <s v="$15,000-$24,999"/>
    <s v="No"/>
    <s v="No"/>
    <s v="No"/>
    <s v="Yes"/>
    <s v="Yes"/>
    <s v="No"/>
    <s v="Yes (Medium)"/>
    <s v="No"/>
    <s v="No"/>
    <s v="No"/>
    <s v="No"/>
    <s v="Yes"/>
    <s v="No"/>
    <n v="1828.1797880326383"/>
    <n v="453"/>
    <n v="1.32"/>
    <n v="1.64"/>
    <n v="2.12"/>
    <n v="1"/>
    <n v="0.93"/>
    <n v="1.26"/>
    <n v="1.08"/>
    <n v="1"/>
    <n v="1"/>
    <n v="1"/>
    <n v="0.88"/>
    <n v="0.84"/>
    <n v="1"/>
    <n v="1"/>
    <n v="1"/>
    <n v="1"/>
    <n v="0.94"/>
    <n v="1"/>
    <n v="1"/>
    <n v="1828.1797880326383"/>
    <n v="0"/>
    <s v="PASS"/>
    <n v="0"/>
    <x v="0"/>
  </r>
  <r>
    <s v="P0597"/>
    <d v="2025-08-27T00:00:00"/>
    <s v="Rental Car Reinbursement"/>
    <s v="45-54"/>
    <n v="6"/>
    <n v="1"/>
    <s v="Yes (High Score)"/>
    <s v="17,000+"/>
    <s v="Koreatown (90006)"/>
    <s v="$150,000+"/>
    <s v="No"/>
    <s v="No"/>
    <s v="No"/>
    <s v="Yes"/>
    <s v="No"/>
    <s v="Yes"/>
    <s v="No"/>
    <s v="Yes (Medium)"/>
    <s v="No"/>
    <s v="No"/>
    <s v="Yes"/>
    <s v="Yes"/>
    <s v="No"/>
    <n v="96.283157235872281"/>
    <n v="41"/>
    <n v="1.07"/>
    <n v="1"/>
    <n v="1.34"/>
    <n v="0.65"/>
    <n v="1.31"/>
    <n v="1.21"/>
    <n v="2.87"/>
    <n v="1"/>
    <n v="1"/>
    <n v="1"/>
    <n v="0.88"/>
    <n v="1"/>
    <n v="0.72"/>
    <n v="1"/>
    <n v="1"/>
    <n v="0.93"/>
    <n v="0.94"/>
    <n v="1"/>
    <n v="1"/>
    <n v="96.283157235872281"/>
    <n v="0"/>
    <s v="PASS"/>
    <n v="0"/>
    <x v="0"/>
  </r>
  <r>
    <s v="P0598"/>
    <d v="2025-09-06T00:00:00"/>
    <s v="Collision"/>
    <s v="35-44"/>
    <n v="3"/>
    <n v="2"/>
    <s v="No"/>
    <s v="17,000+"/>
    <s v="Long Beach (90712)"/>
    <s v="$25,000-$44,999"/>
    <s v="No"/>
    <s v="No"/>
    <s v="No"/>
    <s v="No"/>
    <s v="Yes"/>
    <s v="No"/>
    <s v="Yes (Medium)"/>
    <s v="No"/>
    <s v="No"/>
    <s v="No"/>
    <s v="No"/>
    <s v="No"/>
    <s v="No"/>
    <n v="1351.3514279731201"/>
    <n v="453"/>
    <n v="1"/>
    <n v="1.22"/>
    <n v="1.55"/>
    <n v="1"/>
    <n v="1.31"/>
    <n v="1.1200000000000001"/>
    <n v="1.28"/>
    <n v="1"/>
    <n v="1"/>
    <n v="1"/>
    <n v="1"/>
    <n v="0.84"/>
    <n v="1"/>
    <n v="1"/>
    <n v="1"/>
    <n v="1"/>
    <n v="1"/>
    <n v="1"/>
    <n v="1"/>
    <n v="1351.3514279731201"/>
    <n v="0"/>
    <s v="PASS"/>
    <n v="0"/>
    <x v="0"/>
  </r>
  <r>
    <s v="P0599"/>
    <d v="2025-05-17T00:00:00"/>
    <s v="Uninsured Motorist"/>
    <s v="35-44"/>
    <n v="4"/>
    <n v="3"/>
    <s v="Yes (Medium Score)"/>
    <s v="8,500-13,499"/>
    <s v="Santa Ana (92702)"/>
    <s v="$45,000-$84,999"/>
    <s v="No"/>
    <s v="Yes"/>
    <s v="No"/>
    <s v="Yes"/>
    <s v="No"/>
    <s v="Yes"/>
    <s v="No"/>
    <s v="Yes (High)"/>
    <s v="No"/>
    <s v="No"/>
    <s v="No"/>
    <s v="No"/>
    <s v="Yes"/>
    <n v="181.45657320080207"/>
    <n v="78"/>
    <n v="1"/>
    <n v="1.1499999999999999"/>
    <n v="1.82"/>
    <n v="0.8"/>
    <n v="1"/>
    <n v="1.02"/>
    <n v="1.57"/>
    <n v="1"/>
    <n v="1.21"/>
    <n v="1"/>
    <n v="0.88"/>
    <n v="1"/>
    <n v="0.84"/>
    <n v="1"/>
    <n v="1"/>
    <n v="1"/>
    <n v="1"/>
    <n v="0.97"/>
    <n v="1"/>
    <n v="181.45657320080207"/>
    <n v="0"/>
    <s v="PASS"/>
    <n v="0"/>
    <x v="0"/>
  </r>
  <r>
    <s v="P0600"/>
    <d v="2026-02-12T00:00:00"/>
    <s v="Collision"/>
    <s v="55-64"/>
    <n v="2"/>
    <n v="0"/>
    <s v="No"/>
    <s v="13,500-16,999"/>
    <s v="Santa Ana (92702)"/>
    <s v="$5,000-$14,999"/>
    <s v="No"/>
    <s v="No"/>
    <s v="No"/>
    <s v="No"/>
    <s v="Yes"/>
    <s v="No"/>
    <s v="Yes (Low)"/>
    <s v="No"/>
    <s v="No"/>
    <s v="No"/>
    <s v="No"/>
    <s v="No"/>
    <s v="No"/>
    <n v="841.04400835405443"/>
    <n v="453"/>
    <n v="1.1200000000000001"/>
    <n v="1.41"/>
    <n v="1"/>
    <n v="1"/>
    <n v="1.18"/>
    <n v="1.02"/>
    <n v="0.97"/>
    <n v="1"/>
    <n v="1"/>
    <n v="1"/>
    <n v="1"/>
    <n v="0.95"/>
    <n v="1"/>
    <n v="1"/>
    <n v="1"/>
    <n v="1"/>
    <n v="1"/>
    <n v="1"/>
    <n v="1.06"/>
    <n v="841.04400835405443"/>
    <n v="0"/>
    <s v="PASS"/>
    <n v="0"/>
    <x v="0"/>
  </r>
  <r>
    <s v="P0601"/>
    <d v="2026-01-04T00:00:00"/>
    <s v="Rental Car Reinbursement"/>
    <s v="55-64"/>
    <n v="6"/>
    <s v="5+"/>
    <s v="Yes (Medium Score)"/>
    <s v="8,500-13,499"/>
    <s v="Lake Forrest (92609)"/>
    <s v="$25,000-$44,999"/>
    <s v="No"/>
    <s v="No"/>
    <s v="No"/>
    <s v="Yes"/>
    <s v="No"/>
    <s v="Yes"/>
    <s v="No"/>
    <s v="Yes (Medium)"/>
    <s v="Yes"/>
    <s v="No"/>
    <s v="No"/>
    <s v="No"/>
    <s v="Yes"/>
    <n v="66.130680243969593"/>
    <n v="41"/>
    <n v="1.1200000000000001"/>
    <n v="1"/>
    <n v="2.4700000000000002"/>
    <n v="0.8"/>
    <n v="1"/>
    <n v="0.95"/>
    <n v="1.28"/>
    <n v="1"/>
    <n v="1"/>
    <n v="1"/>
    <n v="0.88"/>
    <n v="1"/>
    <n v="0.72"/>
    <n v="0.92"/>
    <n v="1"/>
    <n v="1"/>
    <n v="1"/>
    <n v="0.97"/>
    <n v="1.06"/>
    <n v="66.130680243969593"/>
    <n v="0"/>
    <s v="PASS"/>
    <n v="0"/>
    <x v="0"/>
  </r>
  <r>
    <s v="P0602"/>
    <d v="2026-03-03T00:00:00"/>
    <s v="Collision"/>
    <s v="16-24"/>
    <s v="8+"/>
    <n v="4"/>
    <s v="No"/>
    <s v="8,500-13,499"/>
    <s v="Beverly Hills (90035)"/>
    <s v="$150,000+"/>
    <s v="No"/>
    <s v="No"/>
    <s v="No"/>
    <s v="No"/>
    <s v="Yes"/>
    <s v="No"/>
    <s v="Yes (High)"/>
    <s v="No"/>
    <s v="No"/>
    <s v="No"/>
    <s v="No"/>
    <s v="No"/>
    <s v="No"/>
    <n v="3124.6154183289837"/>
    <n v="453"/>
    <n v="1.32"/>
    <n v="0.93"/>
    <n v="2.12"/>
    <n v="1"/>
    <n v="1"/>
    <n v="1.21"/>
    <n v="2.87"/>
    <n v="1"/>
    <n v="1"/>
    <n v="1"/>
    <n v="1"/>
    <n v="0.72"/>
    <n v="1"/>
    <n v="1"/>
    <n v="1"/>
    <n v="1"/>
    <n v="1"/>
    <n v="1"/>
    <n v="1.06"/>
    <n v="3124.6154183289837"/>
    <n v="0"/>
    <s v="PASS"/>
    <n v="0"/>
    <x v="0"/>
  </r>
  <r>
    <s v="P0603"/>
    <d v="2025-06-17T00:00:00"/>
    <s v="Uninsured Motorist"/>
    <s v="35-44"/>
    <s v="8+"/>
    <s v="5+"/>
    <s v="Yes (Low Score)"/>
    <s v="5,000-8,499"/>
    <s v="Fullerton (92832)"/>
    <s v="$45,000-$84,999"/>
    <s v="No"/>
    <s v="No"/>
    <s v="No"/>
    <s v="No"/>
    <s v="No"/>
    <s v="Yes"/>
    <s v="No"/>
    <s v="Yes (Medium)"/>
    <s v="No"/>
    <s v="No"/>
    <s v="Yes"/>
    <s v="No"/>
    <s v="No"/>
    <n v="186.38638209130869"/>
    <n v="78"/>
    <n v="1"/>
    <n v="0.93"/>
    <n v="2.4700000000000002"/>
    <n v="0.95"/>
    <n v="0.93"/>
    <n v="1.1200000000000001"/>
    <n v="1.57"/>
    <n v="1"/>
    <n v="1"/>
    <n v="1"/>
    <n v="1"/>
    <n v="1"/>
    <n v="0.72"/>
    <n v="1"/>
    <n v="1"/>
    <n v="0.93"/>
    <n v="1"/>
    <n v="1"/>
    <n v="1"/>
    <n v="186.38638209130869"/>
    <n v="0"/>
    <s v="PASS"/>
    <n v="0"/>
    <x v="0"/>
  </r>
  <r>
    <s v="P0604"/>
    <d v="2025-05-30T00:00:00"/>
    <s v="Liability"/>
    <s v="25-34"/>
    <n v="2"/>
    <n v="0"/>
    <s v="Yes (Low Score)"/>
    <s v="13,500-16,999"/>
    <s v="Silverlake (90026 )"/>
    <s v="$25,000-$44,999"/>
    <s v="No"/>
    <s v="No"/>
    <s v="No"/>
    <s v="Yes"/>
    <s v="No"/>
    <s v="Yes"/>
    <s v="No"/>
    <s v="Yes (Medium)"/>
    <s v="No"/>
    <s v="No"/>
    <s v="No"/>
    <s v="No"/>
    <s v="No"/>
    <n v="1137.6360580804112"/>
    <n v="622"/>
    <n v="1.23"/>
    <n v="1.41"/>
    <n v="1"/>
    <n v="0.95"/>
    <n v="1.18"/>
    <n v="1.1599999999999999"/>
    <n v="1.28"/>
    <n v="1"/>
    <n v="1"/>
    <n v="1"/>
    <n v="0.88"/>
    <n v="1"/>
    <n v="0.72"/>
    <n v="1"/>
    <n v="1"/>
    <n v="1"/>
    <n v="1"/>
    <n v="1"/>
    <n v="1"/>
    <n v="1137.6360580804112"/>
    <n v="0"/>
    <s v="PASS"/>
    <n v="0"/>
    <x v="0"/>
  </r>
  <r>
    <s v="P0605"/>
    <d v="2025-12-08T00:00:00"/>
    <s v="Comprehensive"/>
    <s v="16-24"/>
    <n v="5"/>
    <n v="3"/>
    <s v="Yes (Low Score)"/>
    <s v="17,000+"/>
    <s v="Culver City (90066)"/>
    <s v="$5,000-$14,999"/>
    <s v="No"/>
    <s v="No"/>
    <s v="Yes"/>
    <s v="No"/>
    <s v="Yes"/>
    <s v="No"/>
    <s v="Yes (High)"/>
    <s v="No"/>
    <s v="Yes"/>
    <s v="No"/>
    <s v="No"/>
    <s v="Yes"/>
    <s v="No"/>
    <n v="311.87826486705814"/>
    <n v="121"/>
    <n v="1.32"/>
    <n v="1.07"/>
    <n v="1.82"/>
    <n v="0.95"/>
    <n v="1.31"/>
    <n v="1.1499999999999999"/>
    <n v="0.97"/>
    <n v="1"/>
    <n v="1"/>
    <n v="1.1599999999999999"/>
    <n v="1"/>
    <n v="0.72"/>
    <n v="1"/>
    <n v="0.92"/>
    <n v="1"/>
    <n v="1"/>
    <n v="0.94"/>
    <n v="1"/>
    <n v="1"/>
    <n v="311.87826486705814"/>
    <n v="0"/>
    <s v="PASS"/>
    <n v="0"/>
    <x v="0"/>
  </r>
  <r>
    <s v="P0606"/>
    <d v="2025-05-14T00:00:00"/>
    <s v="Liability"/>
    <s v="55-64"/>
    <n v="4"/>
    <n v="1"/>
    <s v="Yes (High Score)"/>
    <s v="8,500-13,499"/>
    <s v="Hawthorne (90250)"/>
    <s v="$5,000-$14,999"/>
    <s v="No"/>
    <s v="No"/>
    <s v="Yes"/>
    <s v="Yes"/>
    <s v="No"/>
    <s v="Yes"/>
    <s v="No"/>
    <s v="Yes (High)"/>
    <s v="No"/>
    <s v="Yes"/>
    <s v="No"/>
    <s v="No"/>
    <s v="No"/>
    <n v="563.0313651059721"/>
    <n v="622"/>
    <n v="1.1200000000000001"/>
    <n v="1.1499999999999999"/>
    <n v="1.34"/>
    <n v="0.65"/>
    <n v="1"/>
    <n v="1.0900000000000001"/>
    <n v="0.97"/>
    <n v="1"/>
    <n v="1"/>
    <n v="1.1599999999999999"/>
    <n v="0.88"/>
    <n v="1"/>
    <n v="0.84"/>
    <n v="1"/>
    <n v="0.89"/>
    <n v="1"/>
    <n v="1"/>
    <n v="1"/>
    <n v="1"/>
    <n v="563.0313651059721"/>
    <n v="0"/>
    <s v="PASS"/>
    <n v="0"/>
    <x v="0"/>
  </r>
  <r>
    <s v="P0607"/>
    <d v="2025-06-05T00:00:00"/>
    <s v="Liability"/>
    <s v="25-34"/>
    <n v="6"/>
    <s v="5+"/>
    <s v="No"/>
    <s v="0-4,999"/>
    <s v="Newport Beach (92603)"/>
    <s v="$15,000-$24,999"/>
    <s v="No"/>
    <s v="No"/>
    <s v="No"/>
    <s v="No"/>
    <s v="No"/>
    <s v="Yes"/>
    <s v="No"/>
    <s v="Yes (Medium)"/>
    <s v="Yes"/>
    <s v="Yes"/>
    <s v="No"/>
    <s v="No"/>
    <s v="No"/>
    <n v="927.40245514005483"/>
    <n v="622"/>
    <n v="1.23"/>
    <n v="1"/>
    <n v="2.4700000000000002"/>
    <n v="1"/>
    <n v="0.82"/>
    <n v="0.94"/>
    <n v="1.08"/>
    <n v="1"/>
    <n v="1"/>
    <n v="1"/>
    <n v="1"/>
    <n v="1"/>
    <n v="0.72"/>
    <n v="0.92"/>
    <n v="0.89"/>
    <n v="1"/>
    <n v="1"/>
    <n v="1"/>
    <n v="1"/>
    <n v="927.40245514005483"/>
    <n v="0"/>
    <s v="PASS"/>
    <n v="0"/>
    <x v="0"/>
  </r>
  <r>
    <s v="P0608"/>
    <d v="2025-11-13T00:00:00"/>
    <s v="Liability"/>
    <s v="25-34"/>
    <n v="1"/>
    <n v="1"/>
    <s v="No"/>
    <s v="17,000+"/>
    <s v="Orange (92705)"/>
    <s v="$5,000-$14,999"/>
    <s v="No"/>
    <s v="No"/>
    <s v="No"/>
    <s v="Yes"/>
    <s v="No"/>
    <s v="Yes"/>
    <s v="No"/>
    <s v="Yes (Low)"/>
    <s v="No"/>
    <s v="No"/>
    <s v="Yes"/>
    <s v="No"/>
    <s v="No"/>
    <n v="1087.8845273004395"/>
    <n v="622"/>
    <n v="1.23"/>
    <n v="1.64"/>
    <n v="1.34"/>
    <n v="1"/>
    <n v="1.31"/>
    <n v="1.02"/>
    <n v="0.97"/>
    <n v="1"/>
    <n v="1"/>
    <n v="1"/>
    <n v="0.88"/>
    <n v="1"/>
    <n v="0.61"/>
    <n v="1"/>
    <n v="1"/>
    <n v="0.93"/>
    <n v="1"/>
    <n v="1"/>
    <n v="1"/>
    <n v="1087.8845273004395"/>
    <n v="0"/>
    <s v="PASS"/>
    <n v="0"/>
    <x v="0"/>
  </r>
  <r>
    <s v="P0609"/>
    <d v="2025-12-01T00:00:00"/>
    <s v="Liability"/>
    <s v="65+"/>
    <n v="2"/>
    <n v="0"/>
    <s v="No"/>
    <s v="0-4,999"/>
    <s v="Anaheim (92801)"/>
    <s v="$150,000+"/>
    <s v="No"/>
    <s v="No"/>
    <s v="No"/>
    <s v="No"/>
    <s v="No"/>
    <s v="Yes"/>
    <s v="No"/>
    <s v="Yes (Low)"/>
    <s v="No"/>
    <s v="Yes"/>
    <s v="No"/>
    <s v="No"/>
    <s v="No"/>
    <n v="1579.6169594482208"/>
    <n v="622"/>
    <n v="1.27"/>
    <n v="1.41"/>
    <n v="1"/>
    <n v="1"/>
    <n v="0.82"/>
    <n v="1.1100000000000001"/>
    <n v="2.87"/>
    <n v="1"/>
    <n v="1"/>
    <n v="1"/>
    <n v="1"/>
    <n v="1"/>
    <n v="0.61"/>
    <n v="1"/>
    <n v="0.89"/>
    <n v="1"/>
    <n v="1"/>
    <n v="1"/>
    <n v="1"/>
    <n v="1579.6169594482208"/>
    <n v="0"/>
    <s v="PASS"/>
    <n v="0"/>
    <x v="0"/>
  </r>
  <r>
    <s v="P0610"/>
    <d v="2026-03-15T00:00:00"/>
    <s v="Uninsured Motorist"/>
    <s v="65+"/>
    <n v="5"/>
    <n v="0"/>
    <s v="Yes (Medium Score)"/>
    <s v="8,500-13,499"/>
    <s v="Santa Ana (92702)"/>
    <s v="$45,000-$84,999"/>
    <s v="No"/>
    <s v="No"/>
    <s v="No"/>
    <s v="Yes"/>
    <s v="No"/>
    <s v="Yes"/>
    <s v="No"/>
    <s v="Yes (High)"/>
    <s v="No"/>
    <s v="Yes"/>
    <s v="Yes"/>
    <s v="No"/>
    <s v="No"/>
    <n v="88.06689633906484"/>
    <n v="78"/>
    <n v="1.27"/>
    <n v="1.07"/>
    <n v="1"/>
    <n v="0.8"/>
    <n v="1"/>
    <n v="1.02"/>
    <n v="1.57"/>
    <n v="1"/>
    <n v="1"/>
    <n v="1"/>
    <n v="0.88"/>
    <n v="1"/>
    <n v="0.84"/>
    <n v="1"/>
    <n v="0.89"/>
    <n v="0.93"/>
    <n v="1"/>
    <n v="1"/>
    <n v="1.06"/>
    <n v="88.06689633906484"/>
    <n v="0"/>
    <s v="PASS"/>
    <n v="0"/>
    <x v="0"/>
  </r>
  <r>
    <s v="P0611"/>
    <d v="2026-04-07T00:00:00"/>
    <s v="Liability"/>
    <s v="25-34"/>
    <n v="5"/>
    <n v="1"/>
    <s v="No"/>
    <s v="8,500-13,499"/>
    <s v="Compton (90220)"/>
    <s v="$5,000-$14,999"/>
    <s v="No"/>
    <s v="Yes"/>
    <s v="Yes"/>
    <s v="Yes"/>
    <s v="No"/>
    <s v="Yes"/>
    <s v="No"/>
    <s v="Yes (High)"/>
    <s v="Yes"/>
    <s v="No"/>
    <s v="Yes"/>
    <s v="No"/>
    <s v="No"/>
    <n v="1561.9328672443703"/>
    <n v="622"/>
    <n v="1.23"/>
    <n v="1.07"/>
    <n v="1.34"/>
    <n v="1"/>
    <n v="1"/>
    <n v="1.56"/>
    <n v="0.97"/>
    <n v="1"/>
    <n v="1.21"/>
    <n v="1.1599999999999999"/>
    <n v="0.88"/>
    <n v="1"/>
    <n v="0.84"/>
    <n v="0.92"/>
    <n v="1"/>
    <n v="0.93"/>
    <n v="1"/>
    <n v="1"/>
    <n v="1.06"/>
    <n v="1561.9328672443703"/>
    <n v="0"/>
    <s v="PASS"/>
    <n v="0"/>
    <x v="0"/>
  </r>
  <r>
    <s v="P0612"/>
    <d v="2026-02-23T00:00:00"/>
    <s v="Rental Car Reinbursement"/>
    <s v="45-54"/>
    <n v="4"/>
    <n v="4"/>
    <s v="No"/>
    <s v="8,500-13,499"/>
    <s v="Silverlake (90026 )"/>
    <s v="$45,000-$84,999"/>
    <s v="No"/>
    <s v="Yes"/>
    <s v="No"/>
    <s v="No"/>
    <s v="No"/>
    <s v="Yes"/>
    <s v="No"/>
    <s v="Yes (High)"/>
    <s v="No"/>
    <s v="No"/>
    <s v="No"/>
    <s v="No"/>
    <s v="No"/>
    <n v="209.85991806516842"/>
    <n v="41"/>
    <n v="1.07"/>
    <n v="1.1499999999999999"/>
    <n v="2.12"/>
    <n v="1"/>
    <n v="1"/>
    <n v="1.1599999999999999"/>
    <n v="1.57"/>
    <n v="1"/>
    <n v="1.21"/>
    <n v="1"/>
    <n v="1"/>
    <n v="1"/>
    <n v="0.84"/>
    <n v="1"/>
    <n v="1"/>
    <n v="1"/>
    <n v="1"/>
    <n v="1"/>
    <n v="1.06"/>
    <n v="209.85991806516842"/>
    <n v="0"/>
    <s v="PASS"/>
    <n v="0"/>
    <x v="0"/>
  </r>
  <r>
    <s v="P0613"/>
    <d v="2026-01-13T00:00:00"/>
    <s v="Rental Car Reinbursement"/>
    <s v="25-34"/>
    <n v="7"/>
    <n v="1"/>
    <s v="No"/>
    <s v="0-4,999"/>
    <s v="Santa Ana (92702)"/>
    <s v="$45,000-$84,999"/>
    <s v="No"/>
    <s v="No"/>
    <s v="No"/>
    <s v="No"/>
    <s v="No"/>
    <s v="Yes"/>
    <s v="No"/>
    <s v="Yes (Low)"/>
    <s v="No"/>
    <s v="No"/>
    <s v="No"/>
    <s v="No"/>
    <s v="No"/>
    <n v="54.508815991853346"/>
    <n v="41"/>
    <n v="1.23"/>
    <n v="0.95"/>
    <n v="1.34"/>
    <n v="1"/>
    <n v="0.82"/>
    <n v="1.02"/>
    <n v="1.57"/>
    <n v="1"/>
    <n v="1"/>
    <n v="1"/>
    <n v="1"/>
    <n v="1"/>
    <n v="0.61"/>
    <n v="1"/>
    <n v="1"/>
    <n v="1"/>
    <n v="1"/>
    <n v="1"/>
    <n v="1.06"/>
    <n v="54.508815991853346"/>
    <n v="0"/>
    <s v="PASS"/>
    <n v="0"/>
    <x v="0"/>
  </r>
  <r>
    <s v="P0614"/>
    <d v="2025-12-11T00:00:00"/>
    <s v="Liability"/>
    <s v="25-34"/>
    <n v="4"/>
    <n v="1"/>
    <s v="Yes (Medium Score)"/>
    <s v="13,500-16,999"/>
    <s v="Santa Ana (92702)"/>
    <s v="$45,000-$84,999"/>
    <s v="Yes"/>
    <s v="Yes"/>
    <s v="No"/>
    <s v="No"/>
    <s v="No"/>
    <s v="Yes"/>
    <s v="No"/>
    <s v="Yes (Medium)"/>
    <s v="No"/>
    <s v="No"/>
    <s v="No"/>
    <s v="No"/>
    <s v="No"/>
    <n v="1987.4572221481524"/>
    <n v="622"/>
    <n v="1.23"/>
    <n v="1.1499999999999999"/>
    <n v="1.34"/>
    <n v="0.8"/>
    <n v="1.18"/>
    <n v="1.02"/>
    <n v="1.57"/>
    <n v="1.28"/>
    <n v="1.21"/>
    <n v="1"/>
    <n v="1"/>
    <n v="1"/>
    <n v="0.72"/>
    <n v="1"/>
    <n v="1"/>
    <n v="1"/>
    <n v="1"/>
    <n v="1"/>
    <n v="1"/>
    <n v="1987.4572221481524"/>
    <n v="0"/>
    <s v="PASS"/>
    <n v="0"/>
    <x v="0"/>
  </r>
  <r>
    <s v="P0615"/>
    <d v="2026-04-10T00:00:00"/>
    <s v="Collision"/>
    <s v="45-54"/>
    <n v="7"/>
    <n v="1"/>
    <s v="No"/>
    <s v="17,000+"/>
    <s v="Newport Beach (92603)"/>
    <s v="$15,000-$24,999"/>
    <s v="No"/>
    <s v="No"/>
    <s v="No"/>
    <s v="Yes"/>
    <s v="Yes"/>
    <s v="No"/>
    <s v="Yes (High)"/>
    <s v="No"/>
    <s v="No"/>
    <s v="No"/>
    <s v="No"/>
    <s v="No"/>
    <s v="No"/>
    <n v="551.13034270173432"/>
    <n v="453"/>
    <n v="1.07"/>
    <n v="0.95"/>
    <n v="1.34"/>
    <n v="1"/>
    <n v="1.31"/>
    <n v="0.94"/>
    <n v="1.08"/>
    <n v="1"/>
    <n v="1"/>
    <n v="1"/>
    <n v="0.88"/>
    <n v="0.72"/>
    <n v="1"/>
    <n v="1"/>
    <n v="1"/>
    <n v="1"/>
    <n v="1"/>
    <n v="1"/>
    <n v="1.06"/>
    <n v="551.13034270173432"/>
    <n v="0"/>
    <s v="PASS"/>
    <n v="0"/>
    <x v="0"/>
  </r>
  <r>
    <s v="P0616"/>
    <d v="2025-12-29T00:00:00"/>
    <s v="Collision"/>
    <s v="25-34"/>
    <s v="8+"/>
    <n v="0"/>
    <s v="Yes (High Score)"/>
    <s v="8,500-13,499"/>
    <s v="Beverly Hills (90035)"/>
    <s v="$85,000-$149,999"/>
    <s v="Yes"/>
    <s v="Yes"/>
    <s v="Yes"/>
    <s v="Yes"/>
    <s v="Yes"/>
    <s v="No"/>
    <s v="Yes (Low)"/>
    <s v="No"/>
    <s v="No"/>
    <s v="No"/>
    <s v="No"/>
    <s v="No"/>
    <s v="No"/>
    <n v="1236.5052511315912"/>
    <n v="453"/>
    <n v="1.23"/>
    <n v="0.93"/>
    <n v="1"/>
    <n v="0.65"/>
    <n v="1"/>
    <n v="1.21"/>
    <n v="2.02"/>
    <n v="1.28"/>
    <n v="1.21"/>
    <n v="1.1599999999999999"/>
    <n v="0.88"/>
    <n v="0.95"/>
    <n v="1"/>
    <n v="1"/>
    <n v="1"/>
    <n v="1"/>
    <n v="1"/>
    <n v="1"/>
    <n v="1"/>
    <n v="1236.5052511315912"/>
    <n v="0"/>
    <s v="PASS"/>
    <n v="0"/>
    <x v="0"/>
  </r>
  <r>
    <s v="P0617"/>
    <d v="2025-07-28T00:00:00"/>
    <s v="Comprehensive"/>
    <s v="16-24"/>
    <n v="1"/>
    <n v="3"/>
    <s v="No"/>
    <s v="0-4,999"/>
    <s v="Culver City (90066)"/>
    <s v="$85,000-$149,999"/>
    <s v="No"/>
    <s v="No"/>
    <s v="No"/>
    <s v="No"/>
    <s v="Yes"/>
    <s v="No"/>
    <s v="Yes (Medium)"/>
    <s v="No"/>
    <s v="No"/>
    <s v="Yes"/>
    <s v="No"/>
    <s v="No"/>
    <s v="No"/>
    <n v="678.90169418072583"/>
    <n v="121"/>
    <n v="1.32"/>
    <n v="1.64"/>
    <n v="1.82"/>
    <n v="1"/>
    <n v="0.82"/>
    <n v="1.1499999999999999"/>
    <n v="2.02"/>
    <n v="1"/>
    <n v="1"/>
    <n v="1"/>
    <n v="1"/>
    <n v="0.84"/>
    <n v="1"/>
    <n v="1"/>
    <n v="0.89"/>
    <n v="1"/>
    <n v="1"/>
    <n v="1"/>
    <n v="1"/>
    <n v="678.90169418072583"/>
    <n v="0"/>
    <s v="PASS"/>
    <n v="0"/>
    <x v="0"/>
  </r>
  <r>
    <s v="P0618"/>
    <d v="2025-06-12T00:00:00"/>
    <s v="Collision"/>
    <s v="55-64"/>
    <n v="5"/>
    <n v="4"/>
    <s v="No"/>
    <s v="8,500-13,499"/>
    <s v="Compton (90220)"/>
    <s v="$25,000-$44,999"/>
    <s v="No"/>
    <s v="No"/>
    <s v="No"/>
    <s v="No"/>
    <s v="Yes"/>
    <s v="No"/>
    <s v="Yes (High)"/>
    <s v="No"/>
    <s v="No"/>
    <s v="No"/>
    <s v="Yes"/>
    <s v="No"/>
    <s v="No"/>
    <n v="1538.8131051778871"/>
    <n v="453"/>
    <n v="1.1200000000000001"/>
    <n v="1.07"/>
    <n v="2.12"/>
    <n v="1"/>
    <n v="1"/>
    <n v="1.56"/>
    <n v="1.28"/>
    <n v="1"/>
    <n v="1"/>
    <n v="1"/>
    <n v="1"/>
    <n v="0.72"/>
    <n v="1"/>
    <n v="1"/>
    <n v="1"/>
    <n v="0.93"/>
    <n v="1"/>
    <n v="1"/>
    <n v="1"/>
    <n v="1538.8131051778871"/>
    <n v="0"/>
    <s v="PASS"/>
    <n v="0"/>
    <x v="0"/>
  </r>
  <r>
    <s v="P0619"/>
    <d v="2026-02-14T00:00:00"/>
    <s v="Collision"/>
    <s v="45-54"/>
    <n v="2"/>
    <n v="0"/>
    <s v="Yes (Low Score)"/>
    <s v="0-4,999"/>
    <s v="Long Beach (90712)"/>
    <s v="$85,000-$149,999"/>
    <s v="No"/>
    <s v="No"/>
    <s v="No"/>
    <s v="Yes"/>
    <s v="Yes"/>
    <s v="No"/>
    <s v="Yes (Medium)"/>
    <s v="No"/>
    <s v="No"/>
    <s v="No"/>
    <s v="Yes"/>
    <s v="No"/>
    <s v="No"/>
    <n v="923.93"/>
    <n v="453"/>
    <n v="1.07"/>
    <n v="1.41"/>
    <n v="1"/>
    <n v="0.95"/>
    <n v="0.82"/>
    <n v="1.1200000000000001"/>
    <n v="2.02"/>
    <n v="1"/>
    <n v="1"/>
    <n v="1"/>
    <n v="0.88"/>
    <n v="0.84"/>
    <n v="1"/>
    <n v="1"/>
    <n v="1"/>
    <n v="0.93"/>
    <n v="1"/>
    <n v="1"/>
    <n v="1.06"/>
    <n v="877.72549667065482"/>
    <n v="46.20450332934513"/>
    <s v="FAIL"/>
    <n v="46.20450332934513"/>
    <x v="10"/>
  </r>
  <r>
    <s v="P0620"/>
    <d v="2025-09-12T00:00:00"/>
    <s v="Uninsured Motorist"/>
    <s v="45-54"/>
    <n v="1"/>
    <n v="1"/>
    <s v="Yes (High Score)"/>
    <s v="0-4,999"/>
    <s v="Santa Monica (90401)"/>
    <s v="$0-$4,999"/>
    <s v="No"/>
    <s v="Yes"/>
    <s v="No"/>
    <s v="Yes"/>
    <s v="No"/>
    <s v="Yes"/>
    <s v="No"/>
    <s v="Yes (Medium)"/>
    <s v="No"/>
    <s v="No"/>
    <s v="Yes"/>
    <s v="No"/>
    <s v="No"/>
    <n v="66.299394925129718"/>
    <n v="78"/>
    <n v="1.07"/>
    <n v="1.64"/>
    <n v="1.34"/>
    <n v="0.65"/>
    <n v="0.82"/>
    <n v="1.1599999999999999"/>
    <n v="0.82"/>
    <n v="1"/>
    <n v="1.21"/>
    <n v="1"/>
    <n v="0.88"/>
    <n v="1"/>
    <n v="0.72"/>
    <n v="1"/>
    <n v="1"/>
    <n v="0.93"/>
    <n v="1"/>
    <n v="1"/>
    <n v="1"/>
    <n v="66.299394925129718"/>
    <n v="0"/>
    <s v="PASS"/>
    <n v="0"/>
    <x v="0"/>
  </r>
  <r>
    <s v="P0621"/>
    <d v="2025-09-14T00:00:00"/>
    <s v="Comprehensive"/>
    <s v="16-24"/>
    <n v="4"/>
    <s v="5+"/>
    <s v="Yes (High Score)"/>
    <s v="17,000+"/>
    <s v="Lake Forrest (92609)"/>
    <s v="$25,000-$44,999"/>
    <s v="No"/>
    <s v="Yes"/>
    <s v="No"/>
    <s v="No"/>
    <s v="Yes"/>
    <s v="No"/>
    <s v="Yes (Low)"/>
    <s v="No"/>
    <s v="No"/>
    <s v="No"/>
    <s v="Yes"/>
    <s v="No"/>
    <s v="No"/>
    <n v="502.18558984764189"/>
    <n v="121"/>
    <n v="1.32"/>
    <n v="1.1499999999999999"/>
    <n v="2.4700000000000002"/>
    <n v="0.65"/>
    <n v="1.31"/>
    <n v="0.95"/>
    <n v="1.28"/>
    <n v="1"/>
    <n v="1.21"/>
    <n v="1"/>
    <n v="1"/>
    <n v="0.95"/>
    <n v="1"/>
    <n v="1"/>
    <n v="1"/>
    <n v="0.93"/>
    <n v="1"/>
    <n v="1"/>
    <n v="1"/>
    <n v="502.18558984764189"/>
    <n v="0"/>
    <s v="PASS"/>
    <n v="0"/>
    <x v="0"/>
  </r>
  <r>
    <s v="P0622"/>
    <d v="2025-12-02T00:00:00"/>
    <s v="Liability"/>
    <s v="65+"/>
    <n v="1"/>
    <n v="0"/>
    <s v="Yes (Low Score)"/>
    <s v="17,000+"/>
    <s v="Newport Beach (92603)"/>
    <s v="$5,000-$14,999"/>
    <s v="No"/>
    <s v="No"/>
    <s v="No"/>
    <s v="No"/>
    <s v="No"/>
    <s v="Yes"/>
    <s v="No"/>
    <s v="Yes (Medium)"/>
    <s v="No"/>
    <s v="No"/>
    <s v="No"/>
    <s v="No"/>
    <s v="No"/>
    <n v="1058.4368190908349"/>
    <n v="622"/>
    <n v="1.27"/>
    <n v="1.64"/>
    <n v="1"/>
    <n v="0.95"/>
    <n v="1.31"/>
    <n v="0.94"/>
    <n v="0.97"/>
    <n v="1"/>
    <n v="1"/>
    <n v="1"/>
    <n v="1"/>
    <n v="1"/>
    <n v="0.72"/>
    <n v="1"/>
    <n v="1"/>
    <n v="1"/>
    <n v="1"/>
    <n v="1"/>
    <n v="1"/>
    <n v="1058.4368190908349"/>
    <n v="0"/>
    <s v="PASS"/>
    <n v="0"/>
    <x v="0"/>
  </r>
  <r>
    <s v="P0623"/>
    <d v="2025-05-14T00:00:00"/>
    <s v="Comprehensive"/>
    <s v="25-34"/>
    <n v="6"/>
    <n v="0"/>
    <s v="No"/>
    <s v="13,500-16,999"/>
    <s v="Torrance (90248)"/>
    <s v="$85,000-$149,999"/>
    <s v="No"/>
    <s v="No"/>
    <s v="No"/>
    <s v="No"/>
    <s v="Yes"/>
    <s v="No"/>
    <s v="Yes (Medium)"/>
    <s v="No"/>
    <s v="Yes"/>
    <s v="No"/>
    <s v="No"/>
    <s v="Yes"/>
    <s v="Yes"/>
    <n v="279.96812093732103"/>
    <n v="121"/>
    <n v="1.23"/>
    <n v="1"/>
    <n v="1"/>
    <n v="1"/>
    <n v="1.18"/>
    <n v="1.1200000000000001"/>
    <n v="2.02"/>
    <n v="1"/>
    <n v="1"/>
    <n v="1"/>
    <n v="1"/>
    <n v="0.84"/>
    <n v="1"/>
    <n v="0.92"/>
    <n v="1"/>
    <n v="1"/>
    <n v="0.94"/>
    <n v="0.97"/>
    <n v="1"/>
    <n v="279.96812093732103"/>
    <n v="0"/>
    <s v="PASS"/>
    <n v="0"/>
    <x v="0"/>
  </r>
  <r>
    <s v="P0624"/>
    <d v="2026-02-16T00:00:00"/>
    <s v="Uninsured Motorist"/>
    <s v="55-64"/>
    <n v="6"/>
    <s v="5+"/>
    <s v="Yes (Low Score)"/>
    <s v="13,500-16,999"/>
    <s v="Costa Mesa (92626)"/>
    <s v="$25,000-$44,999"/>
    <s v="No"/>
    <s v="No"/>
    <s v="No"/>
    <s v="Yes"/>
    <s v="No"/>
    <s v="Yes"/>
    <s v="No"/>
    <s v="Yes (High)"/>
    <s v="No"/>
    <s v="No"/>
    <s v="Yes"/>
    <s v="No"/>
    <s v="No"/>
    <n v="207.56960565362192"/>
    <n v="78"/>
    <n v="1.1200000000000001"/>
    <n v="1"/>
    <n v="2.4700000000000002"/>
    <n v="0.95"/>
    <n v="1.18"/>
    <n v="0.92"/>
    <n v="1.28"/>
    <n v="1"/>
    <n v="1"/>
    <n v="1"/>
    <n v="0.88"/>
    <n v="1"/>
    <n v="0.84"/>
    <n v="1"/>
    <n v="1"/>
    <n v="0.93"/>
    <n v="1"/>
    <n v="1"/>
    <n v="1.06"/>
    <n v="207.56960565362192"/>
    <n v="0"/>
    <s v="PASS"/>
    <n v="0"/>
    <x v="0"/>
  </r>
  <r>
    <s v="P0625"/>
    <d v="2025-06-22T00:00:00"/>
    <s v="Collision"/>
    <s v="45-54"/>
    <n v="6"/>
    <n v="0"/>
    <s v="No"/>
    <s v="17,000+"/>
    <s v="Koreatown (90006)"/>
    <s v="$15,000-$24,999"/>
    <s v="Yes"/>
    <s v="Yes"/>
    <s v="No"/>
    <s v="No"/>
    <s v="Yes"/>
    <s v="No"/>
    <s v="Yes (Low)"/>
    <s v="No"/>
    <s v="No"/>
    <s v="No"/>
    <s v="No"/>
    <s v="No"/>
    <s v="No"/>
    <n v="1220.9035215598851"/>
    <n v="453"/>
    <n v="1.07"/>
    <n v="1"/>
    <n v="1"/>
    <n v="1"/>
    <n v="1.31"/>
    <n v="1.21"/>
    <n v="1.08"/>
    <n v="1.28"/>
    <n v="1.21"/>
    <n v="1"/>
    <n v="1"/>
    <n v="0.95"/>
    <n v="1"/>
    <n v="1"/>
    <n v="1"/>
    <n v="1"/>
    <n v="1"/>
    <n v="1"/>
    <n v="1"/>
    <n v="1220.9035215598851"/>
    <n v="0"/>
    <s v="PASS"/>
    <n v="0"/>
    <x v="0"/>
  </r>
  <r>
    <s v="P0626"/>
    <d v="2025-12-05T00:00:00"/>
    <s v="Collision"/>
    <s v="65+"/>
    <n v="3"/>
    <n v="1"/>
    <s v="Yes (Low Score)"/>
    <s v="13,500-16,999"/>
    <s v="Hollywood (90028)"/>
    <s v="$25,000-$44,999"/>
    <s v="No"/>
    <s v="Yes"/>
    <s v="No"/>
    <s v="No"/>
    <s v="Yes"/>
    <s v="No"/>
    <s v="Yes (Medium)"/>
    <s v="No"/>
    <s v="No"/>
    <s v="No"/>
    <s v="Yes"/>
    <s v="No"/>
    <s v="No"/>
    <n v="1518.017228608358"/>
    <n v="453"/>
    <n v="1.27"/>
    <n v="1.22"/>
    <n v="1.34"/>
    <n v="0.95"/>
    <n v="1.18"/>
    <n v="1.19"/>
    <n v="1.28"/>
    <n v="1"/>
    <n v="1.21"/>
    <n v="1"/>
    <n v="1"/>
    <n v="0.84"/>
    <n v="1"/>
    <n v="1"/>
    <n v="1"/>
    <n v="0.93"/>
    <n v="1"/>
    <n v="1"/>
    <n v="1"/>
    <n v="1518.017228608358"/>
    <n v="0"/>
    <s v="PASS"/>
    <n v="0"/>
    <x v="0"/>
  </r>
  <r>
    <s v="P0627"/>
    <d v="2025-07-22T00:00:00"/>
    <s v="Collision"/>
    <s v="65+"/>
    <n v="6"/>
    <s v="5+"/>
    <s v="No"/>
    <s v="13,500-16,999"/>
    <s v="Hollywood (90028)"/>
    <s v="$15,000-$24,999"/>
    <s v="No"/>
    <s v="No"/>
    <s v="No"/>
    <s v="No"/>
    <s v="Yes"/>
    <s v="No"/>
    <s v="Yes (High)"/>
    <s v="No"/>
    <s v="No"/>
    <s v="No"/>
    <s v="No"/>
    <s v="No"/>
    <s v="No"/>
    <n v="1551.6154552429441"/>
    <n v="453"/>
    <n v="1.27"/>
    <n v="1"/>
    <n v="2.4700000000000002"/>
    <n v="1"/>
    <n v="1.18"/>
    <n v="1.19"/>
    <n v="1.08"/>
    <n v="1"/>
    <n v="1"/>
    <n v="1"/>
    <n v="1"/>
    <n v="0.72"/>
    <n v="1"/>
    <n v="1"/>
    <n v="1"/>
    <n v="1"/>
    <n v="1"/>
    <n v="1"/>
    <n v="1"/>
    <n v="1551.6154552429441"/>
    <n v="0"/>
    <s v="PASS"/>
    <n v="0"/>
    <x v="0"/>
  </r>
  <r>
    <s v="P0628"/>
    <d v="2026-01-25T00:00:00"/>
    <s v="Rental Car Reinbursement"/>
    <s v="65+"/>
    <n v="7"/>
    <s v="5+"/>
    <s v="Yes (Medium Score)"/>
    <s v="17,000+"/>
    <s v="Torrance (90248)"/>
    <s v="$0-$4,999"/>
    <s v="No"/>
    <s v="No"/>
    <s v="Yes"/>
    <s v="No"/>
    <s v="No"/>
    <s v="Yes"/>
    <s v="No"/>
    <s v="Yes (Low)"/>
    <s v="No"/>
    <s v="Yes"/>
    <s v="No"/>
    <s v="No"/>
    <s v="No"/>
    <n v="78.502771592873628"/>
    <n v="41"/>
    <n v="1.27"/>
    <n v="0.95"/>
    <n v="2.4700000000000002"/>
    <n v="0.8"/>
    <n v="1.31"/>
    <n v="1.1200000000000001"/>
    <n v="0.82"/>
    <n v="1"/>
    <n v="1"/>
    <n v="1.1599999999999999"/>
    <n v="1"/>
    <n v="1"/>
    <n v="0.61"/>
    <n v="1"/>
    <n v="0.89"/>
    <n v="1"/>
    <n v="1"/>
    <n v="1"/>
    <n v="1.06"/>
    <n v="78.502771592873628"/>
    <n v="0"/>
    <s v="PASS"/>
    <n v="0"/>
    <x v="0"/>
  </r>
  <r>
    <s v="P0629"/>
    <d v="2025-12-03T00:00:00"/>
    <s v="Liability"/>
    <s v="55-64"/>
    <n v="5"/>
    <n v="1"/>
    <s v="Yes (Low Score)"/>
    <s v="8,500-13,499"/>
    <s v="Long Beach (90712)"/>
    <s v="$5,000-$14,999"/>
    <s v="No"/>
    <s v="Yes"/>
    <s v="No"/>
    <s v="Yes"/>
    <s v="No"/>
    <s v="Yes"/>
    <s v="No"/>
    <s v="Yes (High)"/>
    <s v="No"/>
    <s v="No"/>
    <s v="No"/>
    <s v="No"/>
    <s v="No"/>
    <n v="922.05679816179133"/>
    <n v="622"/>
    <n v="1.1200000000000001"/>
    <n v="1.07"/>
    <n v="1.34"/>
    <n v="0.95"/>
    <n v="1"/>
    <n v="1.1200000000000001"/>
    <n v="0.97"/>
    <n v="1"/>
    <n v="1.21"/>
    <n v="1"/>
    <n v="0.88"/>
    <n v="1"/>
    <n v="0.84"/>
    <n v="1"/>
    <n v="1"/>
    <n v="1"/>
    <n v="1"/>
    <n v="1"/>
    <n v="1"/>
    <n v="922.05679816179133"/>
    <n v="0"/>
    <s v="PASS"/>
    <n v="0"/>
    <x v="0"/>
  </r>
  <r>
    <s v="P0630"/>
    <d v="2026-02-14T00:00:00"/>
    <s v="Collision"/>
    <s v="16-24"/>
    <n v="6"/>
    <n v="1"/>
    <s v="No"/>
    <s v="17,000+"/>
    <s v="Hollywood (90028)"/>
    <s v="$85,000-$149,999"/>
    <s v="No"/>
    <s v="No"/>
    <s v="No"/>
    <s v="No"/>
    <s v="Yes"/>
    <s v="No"/>
    <s v="Yes (Low)"/>
    <s v="No"/>
    <s v="No"/>
    <s v="No"/>
    <s v="No"/>
    <s v="No"/>
    <s v="No"/>
    <n v="2540.8324575993747"/>
    <n v="453"/>
    <n v="1.32"/>
    <n v="1"/>
    <n v="1.34"/>
    <n v="1"/>
    <n v="1.31"/>
    <n v="1.19"/>
    <n v="2.02"/>
    <n v="1"/>
    <n v="1"/>
    <n v="1"/>
    <n v="1"/>
    <n v="0.95"/>
    <n v="1"/>
    <n v="1"/>
    <n v="1"/>
    <n v="1"/>
    <n v="1"/>
    <n v="1"/>
    <n v="1.06"/>
    <n v="2540.8324575993747"/>
    <n v="0"/>
    <s v="PASS"/>
    <n v="0"/>
    <x v="0"/>
  </r>
  <r>
    <s v="P0631"/>
    <d v="2025-12-29T00:00:00"/>
    <s v="Liability"/>
    <s v="35-44"/>
    <n v="6"/>
    <s v="5+"/>
    <s v="Yes (Medium Score)"/>
    <s v="13,500-16,999"/>
    <s v="Fountain Valley (92708)"/>
    <s v="$45,000-$84,999"/>
    <s v="No"/>
    <s v="No"/>
    <s v="No"/>
    <s v="Yes"/>
    <s v="No"/>
    <s v="Yes"/>
    <s v="No"/>
    <s v="Yes (Low)"/>
    <s v="No"/>
    <s v="Yes"/>
    <s v="No"/>
    <s v="No"/>
    <s v="No"/>
    <n v="1251.0058449737305"/>
    <n v="622"/>
    <n v="1"/>
    <n v="1"/>
    <n v="2.4700000000000002"/>
    <n v="0.8"/>
    <n v="1.18"/>
    <n v="1.1499999999999999"/>
    <n v="1.57"/>
    <n v="1"/>
    <n v="1"/>
    <n v="1"/>
    <n v="0.88"/>
    <n v="1"/>
    <n v="0.61"/>
    <n v="1"/>
    <n v="0.89"/>
    <n v="1"/>
    <n v="1"/>
    <n v="1"/>
    <n v="1"/>
    <n v="1251.0058449737305"/>
    <n v="0"/>
    <s v="PASS"/>
    <n v="0"/>
    <x v="0"/>
  </r>
  <r>
    <s v="P0632"/>
    <d v="2025-06-01T00:00:00"/>
    <s v="Rental Car Reinbursement"/>
    <s v="35-44"/>
    <n v="3"/>
    <n v="3"/>
    <s v="No"/>
    <s v="13,500-16,999"/>
    <s v="Beverly Hills (90035)"/>
    <s v="$15,000-$24,999"/>
    <s v="No"/>
    <s v="No"/>
    <s v="No"/>
    <s v="No"/>
    <s v="No"/>
    <s v="Yes"/>
    <s v="No"/>
    <s v="Yes (Low)"/>
    <s v="No"/>
    <s v="Yes"/>
    <s v="No"/>
    <s v="Yes"/>
    <s v="No"/>
    <n v="71.639723955793585"/>
    <n v="41"/>
    <n v="1"/>
    <n v="1.22"/>
    <n v="1.82"/>
    <n v="1"/>
    <n v="1.18"/>
    <n v="1.21"/>
    <n v="1.08"/>
    <n v="1"/>
    <n v="1"/>
    <n v="1"/>
    <n v="1"/>
    <n v="1"/>
    <n v="0.61"/>
    <n v="1"/>
    <n v="0.89"/>
    <n v="1"/>
    <n v="0.94"/>
    <n v="1"/>
    <n v="1"/>
    <n v="71.639723955793585"/>
    <n v="0"/>
    <s v="PASS"/>
    <n v="0"/>
    <x v="0"/>
  </r>
  <r>
    <s v="P0633"/>
    <d v="2025-05-13T00:00:00"/>
    <s v="Comprehensive"/>
    <s v="65+"/>
    <n v="1"/>
    <n v="0"/>
    <s v="Yes (High Score)"/>
    <s v="8,500-13,499"/>
    <s v="Fountain Valley (92708)"/>
    <s v="$5,000-$14,999"/>
    <s v="No"/>
    <s v="No"/>
    <s v="No"/>
    <s v="No"/>
    <s v="Yes"/>
    <s v="No"/>
    <s v="Yes (Medium)"/>
    <s v="No"/>
    <s v="Yes"/>
    <s v="No"/>
    <s v="No"/>
    <s v="No"/>
    <s v="Yes"/>
    <n v="136.97922926543856"/>
    <n v="121"/>
    <n v="1.27"/>
    <n v="1.64"/>
    <n v="1"/>
    <n v="0.65"/>
    <n v="1"/>
    <n v="1.1499999999999999"/>
    <n v="0.97"/>
    <n v="1"/>
    <n v="1"/>
    <n v="1"/>
    <n v="1"/>
    <n v="0.84"/>
    <n v="1"/>
    <n v="0.92"/>
    <n v="1"/>
    <n v="1"/>
    <n v="1"/>
    <n v="0.97"/>
    <n v="1"/>
    <n v="136.97922926543856"/>
    <n v="0"/>
    <s v="PASS"/>
    <n v="0"/>
    <x v="0"/>
  </r>
  <r>
    <s v="P0634"/>
    <d v="2025-09-13T00:00:00"/>
    <s v="Comprehensive"/>
    <s v="35-44"/>
    <n v="6"/>
    <n v="0"/>
    <s v="No"/>
    <s v="0-4,999"/>
    <s v="Cypress (90630)"/>
    <s v="$150,000+"/>
    <s v="Yes"/>
    <s v="No"/>
    <s v="Yes"/>
    <s v="No"/>
    <s v="Yes"/>
    <s v="No"/>
    <s v="Yes (Low)"/>
    <s v="No"/>
    <s v="No"/>
    <s v="No"/>
    <s v="No"/>
    <s v="No"/>
    <s v="No"/>
    <n v="433.80688361471999"/>
    <n v="121"/>
    <n v="1"/>
    <n v="1"/>
    <n v="1"/>
    <n v="1"/>
    <n v="0.82"/>
    <n v="1.08"/>
    <n v="2.87"/>
    <n v="1.28"/>
    <n v="1"/>
    <n v="1.1599999999999999"/>
    <n v="1"/>
    <n v="0.95"/>
    <n v="1"/>
    <n v="1"/>
    <n v="1"/>
    <n v="1"/>
    <n v="1"/>
    <n v="1"/>
    <n v="1"/>
    <n v="433.80688361471999"/>
    <n v="0"/>
    <s v="PASS"/>
    <n v="0"/>
    <x v="0"/>
  </r>
  <r>
    <s v="P0635"/>
    <d v="2026-04-14T00:00:00"/>
    <s v="Liability"/>
    <s v="35-44"/>
    <s v="8+"/>
    <n v="2"/>
    <s v="Yes (Medium Score)"/>
    <s v="17,000+"/>
    <s v="Compton (90220)"/>
    <s v="$85,000-$149,999"/>
    <s v="No"/>
    <s v="No"/>
    <s v="No"/>
    <s v="Yes"/>
    <s v="No"/>
    <s v="Yes"/>
    <s v="No"/>
    <s v="Yes (High)"/>
    <s v="No"/>
    <s v="No"/>
    <s v="Yes"/>
    <s v="No"/>
    <s v="No"/>
    <n v="2157.7098984672411"/>
    <n v="622"/>
    <n v="1"/>
    <n v="0.93"/>
    <n v="1.55"/>
    <n v="0.8"/>
    <n v="1.31"/>
    <n v="1.56"/>
    <n v="2.02"/>
    <n v="1"/>
    <n v="1"/>
    <n v="1"/>
    <n v="0.88"/>
    <n v="1"/>
    <n v="0.84"/>
    <n v="1"/>
    <n v="1"/>
    <n v="0.93"/>
    <n v="1"/>
    <n v="1"/>
    <n v="1.06"/>
    <n v="2157.7098984672411"/>
    <n v="0"/>
    <s v="PASS"/>
    <n v="0"/>
    <x v="0"/>
  </r>
  <r>
    <s v="P0636"/>
    <d v="2026-04-12T00:00:00"/>
    <s v="Collision"/>
    <s v="25-34"/>
    <n v="5"/>
    <n v="3"/>
    <s v="No"/>
    <s v="17,000+"/>
    <s v="Culver City (90066)"/>
    <s v="$150,000+"/>
    <s v="No"/>
    <s v="No"/>
    <s v="No"/>
    <s v="Yes"/>
    <s v="Yes"/>
    <s v="No"/>
    <s v="Yes (Medium)"/>
    <s v="No"/>
    <s v="No"/>
    <s v="No"/>
    <s v="No"/>
    <s v="No"/>
    <s v="No"/>
    <n v="3676.0155119563715"/>
    <n v="453"/>
    <n v="1.23"/>
    <n v="1.07"/>
    <n v="1.82"/>
    <n v="1"/>
    <n v="1.31"/>
    <n v="1.1499999999999999"/>
    <n v="2.87"/>
    <n v="1"/>
    <n v="1"/>
    <n v="1"/>
    <n v="0.88"/>
    <n v="0.84"/>
    <n v="1"/>
    <n v="1"/>
    <n v="1"/>
    <n v="1"/>
    <n v="1"/>
    <n v="1"/>
    <n v="1.06"/>
    <n v="3676.0155119563715"/>
    <n v="0"/>
    <s v="PASS"/>
    <n v="0"/>
    <x v="0"/>
  </r>
  <r>
    <s v="P0637"/>
    <d v="2025-06-04T00:00:00"/>
    <s v="Uninsured Motorist"/>
    <s v="55-64"/>
    <n v="1"/>
    <n v="4"/>
    <s v="No"/>
    <s v="5,000-8,499"/>
    <s v="Silverlake (90026 )"/>
    <s v="$45,000-$84,999"/>
    <s v="No"/>
    <s v="No"/>
    <s v="No"/>
    <s v="Yes"/>
    <s v="No"/>
    <s v="Yes"/>
    <s v="No"/>
    <s v="Yes (Medium)"/>
    <s v="No"/>
    <s v="No"/>
    <s v="No"/>
    <s v="Yes"/>
    <s v="No"/>
    <n v="306.3909595237248"/>
    <n v="78"/>
    <n v="1.1200000000000001"/>
    <n v="1.64"/>
    <n v="2.12"/>
    <n v="1"/>
    <n v="0.93"/>
    <n v="1.1599999999999999"/>
    <n v="1.57"/>
    <n v="1"/>
    <n v="1"/>
    <n v="1"/>
    <n v="0.88"/>
    <n v="1"/>
    <n v="0.72"/>
    <n v="1"/>
    <n v="1"/>
    <n v="1"/>
    <n v="0.94"/>
    <n v="1"/>
    <n v="1"/>
    <n v="306.3909595237248"/>
    <n v="0"/>
    <s v="PASS"/>
    <n v="0"/>
    <x v="0"/>
  </r>
  <r>
    <s v="P0638"/>
    <d v="2026-03-10T00:00:00"/>
    <s v="Collision"/>
    <s v="35-44"/>
    <n v="6"/>
    <n v="2"/>
    <s v="Yes (High Score)"/>
    <s v="8,500-13,499"/>
    <s v="Koreatown (90006)"/>
    <s v="$150,000+"/>
    <s v="No"/>
    <s v="Yes"/>
    <s v="No"/>
    <s v="Yes"/>
    <s v="Yes"/>
    <s v="No"/>
    <s v="Yes (Medium)"/>
    <s v="No"/>
    <s v="No"/>
    <s v="No"/>
    <s v="Yes"/>
    <s v="No"/>
    <s v="No"/>
    <n v="1318.38"/>
    <n v="453"/>
    <n v="1"/>
    <n v="1"/>
    <n v="1.55"/>
    <n v="0.65"/>
    <n v="1"/>
    <n v="1.21"/>
    <n v="2.87"/>
    <n v="1"/>
    <n v="1.21"/>
    <n v="1"/>
    <n v="0.88"/>
    <n v="0.84"/>
    <n v="1"/>
    <n v="1"/>
    <n v="1"/>
    <n v="0.93"/>
    <n v="1"/>
    <n v="1"/>
    <n v="1.06"/>
    <n v="1397.4834270280837"/>
    <n v="-79.103427028083615"/>
    <s v="FAIL"/>
    <n v="79.103427028083615"/>
    <x v="1"/>
  </r>
  <r>
    <s v="P0639"/>
    <d v="2025-05-18T00:00:00"/>
    <s v="Liability"/>
    <s v="35-44"/>
    <s v="8+"/>
    <n v="0"/>
    <s v="Yes (Medium Score)"/>
    <s v="17,000+"/>
    <s v="Koreatown (90006)"/>
    <s v="$45,000-$84,999"/>
    <s v="Yes"/>
    <s v="Yes"/>
    <s v="No"/>
    <s v="No"/>
    <s v="No"/>
    <s v="Yes"/>
    <s v="No"/>
    <s v="Yes (Low)"/>
    <s v="No"/>
    <s v="Yes"/>
    <s v="Yes"/>
    <s v="No"/>
    <s v="No"/>
    <n v="900.57060808302856"/>
    <n v="622"/>
    <n v="1"/>
    <n v="0.93"/>
    <n v="1"/>
    <n v="0.8"/>
    <n v="1.31"/>
    <n v="1.21"/>
    <n v="1.57"/>
    <n v="1.28"/>
    <n v="1.21"/>
    <n v="1"/>
    <n v="1"/>
    <n v="1"/>
    <n v="0.61"/>
    <n v="1"/>
    <n v="0.89"/>
    <n v="0.93"/>
    <n v="1"/>
    <n v="1"/>
    <n v="1"/>
    <n v="900.57060808302856"/>
    <n v="0"/>
    <s v="PASS"/>
    <n v="0"/>
    <x v="0"/>
  </r>
  <r>
    <s v="P0640"/>
    <d v="2026-03-11T00:00:00"/>
    <s v="Comprehensive"/>
    <s v="65+"/>
    <s v="8+"/>
    <n v="1"/>
    <s v="Yes (High Score)"/>
    <s v="5,000-8,499"/>
    <s v="Anaheim (92801)"/>
    <s v="$15,000-$24,999"/>
    <s v="No"/>
    <s v="No"/>
    <s v="No"/>
    <s v="No"/>
    <s v="Yes"/>
    <s v="No"/>
    <s v="Yes (Low)"/>
    <s v="No"/>
    <s v="No"/>
    <s v="No"/>
    <s v="No"/>
    <s v="Yes"/>
    <s v="Yes"/>
    <n v="127.42332577848958"/>
    <n v="121"/>
    <n v="1.27"/>
    <n v="0.93"/>
    <n v="1.34"/>
    <n v="0.65"/>
    <n v="0.93"/>
    <n v="1.1100000000000001"/>
    <n v="1.08"/>
    <n v="1"/>
    <n v="1"/>
    <n v="1"/>
    <n v="1"/>
    <n v="0.95"/>
    <n v="1"/>
    <n v="1"/>
    <n v="1"/>
    <n v="1"/>
    <n v="0.94"/>
    <n v="0.97"/>
    <n v="1.06"/>
    <n v="127.42332577848958"/>
    <n v="0"/>
    <s v="PASS"/>
    <n v="0"/>
    <x v="0"/>
  </r>
  <r>
    <s v="P0641"/>
    <d v="2025-12-14T00:00:00"/>
    <s v="Liability"/>
    <s v="65+"/>
    <n v="7"/>
    <n v="0"/>
    <s v="Yes (Medium Score)"/>
    <s v="5,000-8,499"/>
    <s v="Westminster (92655)"/>
    <s v="$15,000-$24,999"/>
    <s v="No"/>
    <s v="No"/>
    <s v="No"/>
    <s v="No"/>
    <s v="No"/>
    <s v="Yes"/>
    <s v="No"/>
    <s v="Yes (Medium)"/>
    <s v="No"/>
    <s v="No"/>
    <s v="No"/>
    <s v="No"/>
    <s v="No"/>
    <n v="473.23122890572807"/>
    <n v="622"/>
    <n v="1.27"/>
    <n v="0.95"/>
    <n v="1"/>
    <n v="0.8"/>
    <n v="0.93"/>
    <n v="1.0900000000000001"/>
    <n v="1.08"/>
    <n v="1"/>
    <n v="1"/>
    <n v="1"/>
    <n v="1"/>
    <n v="1"/>
    <n v="0.72"/>
    <n v="1"/>
    <n v="1"/>
    <n v="1"/>
    <n v="1"/>
    <n v="1"/>
    <n v="1"/>
    <n v="473.23122890572807"/>
    <n v="0"/>
    <s v="PASS"/>
    <n v="0"/>
    <x v="0"/>
  </r>
  <r>
    <s v="P0642"/>
    <d v="2026-03-11T00:00:00"/>
    <s v="Liability"/>
    <s v="16-24"/>
    <s v="8+"/>
    <n v="1"/>
    <s v="No"/>
    <s v="8,500-13,499"/>
    <s v="Long Beach (90712)"/>
    <s v="$15,000-$24,999"/>
    <s v="No"/>
    <s v="No"/>
    <s v="No"/>
    <s v="Yes"/>
    <s v="No"/>
    <s v="Yes"/>
    <s v="No"/>
    <s v="Yes (High)"/>
    <s v="No"/>
    <s v="Yes"/>
    <s v="No"/>
    <s v="No"/>
    <s v="No"/>
    <n v="863.08122855274974"/>
    <n v="622"/>
    <n v="1.32"/>
    <n v="0.93"/>
    <n v="1.34"/>
    <n v="1"/>
    <n v="1"/>
    <n v="1.1200000000000001"/>
    <n v="1.08"/>
    <n v="1"/>
    <n v="1"/>
    <n v="1"/>
    <n v="0.88"/>
    <n v="1"/>
    <n v="0.84"/>
    <n v="1"/>
    <n v="0.89"/>
    <n v="1"/>
    <n v="1"/>
    <n v="1"/>
    <n v="1.06"/>
    <n v="863.08122855274974"/>
    <n v="0"/>
    <s v="PASS"/>
    <n v="0"/>
    <x v="0"/>
  </r>
  <r>
    <s v="P0643"/>
    <d v="2026-03-17T00:00:00"/>
    <s v="Liability"/>
    <s v="65+"/>
    <n v="1"/>
    <n v="4"/>
    <s v="No"/>
    <s v="5,000-8,499"/>
    <s v="Fullerton (92832)"/>
    <s v="$5,000-$14,999"/>
    <s v="No"/>
    <s v="No"/>
    <s v="No"/>
    <s v="No"/>
    <s v="No"/>
    <s v="Yes"/>
    <s v="No"/>
    <s v="Yes (Medium)"/>
    <s v="No"/>
    <s v="Yes"/>
    <s v="No"/>
    <s v="No"/>
    <s v="No"/>
    <n v="1884.8417302277717"/>
    <n v="622"/>
    <n v="1.27"/>
    <n v="1.64"/>
    <n v="2.12"/>
    <n v="1"/>
    <n v="0.93"/>
    <n v="1.1200000000000001"/>
    <n v="0.97"/>
    <n v="1"/>
    <n v="1"/>
    <n v="1"/>
    <n v="1"/>
    <n v="1"/>
    <n v="0.72"/>
    <n v="1"/>
    <n v="0.89"/>
    <n v="1"/>
    <n v="1"/>
    <n v="1"/>
    <n v="1.06"/>
    <n v="1884.8417302277717"/>
    <n v="0"/>
    <s v="PASS"/>
    <n v="0"/>
    <x v="0"/>
  </r>
  <r>
    <s v="P0644"/>
    <d v="2025-06-14T00:00:00"/>
    <s v="Liability"/>
    <s v="55-64"/>
    <s v="8+"/>
    <n v="0"/>
    <s v="No"/>
    <s v="17,000+"/>
    <s v="Irvine (92602)"/>
    <s v="$25,000-$44,999"/>
    <s v="No"/>
    <s v="No"/>
    <s v="No"/>
    <s v="Yes"/>
    <s v="No"/>
    <s v="Yes"/>
    <s v="No"/>
    <s v="Yes (Low)"/>
    <s v="No"/>
    <s v="Yes"/>
    <s v="Yes"/>
    <s v="No"/>
    <s v="Yes"/>
    <n v="510.33612981826252"/>
    <n v="622"/>
    <n v="1.1200000000000001"/>
    <n v="0.93"/>
    <n v="1"/>
    <n v="1"/>
    <n v="1.31"/>
    <n v="1.0900000000000001"/>
    <n v="1.28"/>
    <n v="1"/>
    <n v="1"/>
    <n v="1"/>
    <n v="0.88"/>
    <n v="1"/>
    <n v="0.61"/>
    <n v="1"/>
    <n v="0.89"/>
    <n v="0.93"/>
    <n v="1"/>
    <n v="0.97"/>
    <n v="1"/>
    <n v="510.33612981826252"/>
    <n v="0"/>
    <s v="PASS"/>
    <n v="0"/>
    <x v="0"/>
  </r>
  <r>
    <s v="P0645"/>
    <d v="2026-04-12T00:00:00"/>
    <s v="Collision"/>
    <s v="35-44"/>
    <s v="8+"/>
    <n v="4"/>
    <s v="Yes (Low Score)"/>
    <s v="0-4,999"/>
    <s v="Cypress (90630)"/>
    <s v="$85,000-$149,999"/>
    <s v="No"/>
    <s v="No"/>
    <s v="No"/>
    <s v="No"/>
    <s v="Yes"/>
    <s v="No"/>
    <s v="Yes (Low)"/>
    <s v="No"/>
    <s v="No"/>
    <s v="Yes"/>
    <s v="Yes"/>
    <s v="No"/>
    <s v="No"/>
    <n v="1265.1208692553876"/>
    <n v="453"/>
    <n v="1"/>
    <n v="0.93"/>
    <n v="2.12"/>
    <n v="0.95"/>
    <n v="0.82"/>
    <n v="1.08"/>
    <n v="2.02"/>
    <n v="1"/>
    <n v="1"/>
    <n v="1"/>
    <n v="1"/>
    <n v="0.95"/>
    <n v="1"/>
    <n v="1"/>
    <n v="0.89"/>
    <n v="0.93"/>
    <n v="1"/>
    <n v="1"/>
    <n v="1.06"/>
    <n v="1265.1208692553876"/>
    <n v="0"/>
    <s v="PASS"/>
    <n v="0"/>
    <x v="0"/>
  </r>
  <r>
    <s v="P0646"/>
    <d v="2025-09-12T00:00:00"/>
    <s v="Liability"/>
    <s v="65+"/>
    <s v="8+"/>
    <n v="0"/>
    <s v="Yes (Medium Score)"/>
    <s v="17,000+"/>
    <s v="Fountain Valley (92708)"/>
    <s v="$15,000-$24,999"/>
    <s v="No"/>
    <s v="No"/>
    <s v="No"/>
    <s v="No"/>
    <s v="No"/>
    <s v="Yes"/>
    <s v="No"/>
    <s v="Yes (High)"/>
    <s v="Yes"/>
    <s v="Yes"/>
    <s v="No"/>
    <s v="No"/>
    <s v="Yes"/>
    <n v="637.95315122097156"/>
    <n v="622"/>
    <n v="1.27"/>
    <n v="0.93"/>
    <n v="1"/>
    <n v="0.8"/>
    <n v="1.31"/>
    <n v="1.1499999999999999"/>
    <n v="1.08"/>
    <n v="1"/>
    <n v="1"/>
    <n v="1"/>
    <n v="1"/>
    <n v="1"/>
    <n v="0.84"/>
    <n v="0.92"/>
    <n v="0.89"/>
    <n v="1"/>
    <n v="1"/>
    <n v="0.97"/>
    <n v="1"/>
    <n v="637.95315122097156"/>
    <n v="0"/>
    <s v="PASS"/>
    <n v="0"/>
    <x v="0"/>
  </r>
  <r>
    <s v="P0647"/>
    <d v="2026-01-19T00:00:00"/>
    <s v="Collision"/>
    <s v="45-54"/>
    <n v="2"/>
    <n v="2"/>
    <s v="No"/>
    <s v="5,000-8,499"/>
    <s v="Compton (90220)"/>
    <s v="$0-$4,999"/>
    <s v="Yes"/>
    <s v="No"/>
    <s v="Yes"/>
    <s v="Yes"/>
    <s v="Yes"/>
    <s v="No"/>
    <s v="Yes (Low)"/>
    <s v="No"/>
    <s v="No"/>
    <s v="Yes"/>
    <s v="No"/>
    <s v="No"/>
    <s v="No"/>
    <n v="1475.7890988620002"/>
    <n v="453"/>
    <n v="1.07"/>
    <n v="1.41"/>
    <n v="1.55"/>
    <n v="1"/>
    <n v="0.93"/>
    <n v="1.56"/>
    <n v="0.82"/>
    <n v="1.28"/>
    <n v="1"/>
    <n v="1.1599999999999999"/>
    <n v="0.88"/>
    <n v="0.95"/>
    <n v="1"/>
    <n v="1"/>
    <n v="0.89"/>
    <n v="1"/>
    <n v="1"/>
    <n v="1"/>
    <n v="1.06"/>
    <n v="1475.7890988620002"/>
    <n v="0"/>
    <s v="PASS"/>
    <n v="0"/>
    <x v="0"/>
  </r>
  <r>
    <s v="P0648"/>
    <d v="2026-02-12T00:00:00"/>
    <s v="Uninsured Motorist"/>
    <s v="65+"/>
    <s v="8+"/>
    <n v="4"/>
    <s v="Yes (Low Score)"/>
    <s v="0-4,999"/>
    <s v="Fullerton (92832)"/>
    <s v="$0-$4,999"/>
    <s v="No"/>
    <s v="No"/>
    <s v="No"/>
    <s v="No"/>
    <s v="No"/>
    <s v="Yes"/>
    <s v="No"/>
    <s v="Yes (Medium)"/>
    <s v="No"/>
    <s v="No"/>
    <s v="No"/>
    <s v="Yes"/>
    <s v="Yes"/>
    <n v="97.235402308043902"/>
    <n v="78"/>
    <n v="1.27"/>
    <n v="0.93"/>
    <n v="2.12"/>
    <n v="0.95"/>
    <n v="0.82"/>
    <n v="1.1200000000000001"/>
    <n v="0.82"/>
    <n v="1"/>
    <n v="1"/>
    <n v="1"/>
    <n v="1"/>
    <n v="1"/>
    <n v="0.72"/>
    <n v="1"/>
    <n v="1"/>
    <n v="1"/>
    <n v="0.94"/>
    <n v="0.97"/>
    <n v="1.06"/>
    <n v="97.235402308043902"/>
    <n v="0"/>
    <s v="PASS"/>
    <n v="0"/>
    <x v="0"/>
  </r>
  <r>
    <s v="P0649"/>
    <d v="2025-09-21T00:00:00"/>
    <s v="Collision"/>
    <s v="35-44"/>
    <n v="5"/>
    <n v="1"/>
    <s v="No"/>
    <s v="17,000+"/>
    <s v="Culver City (90066)"/>
    <s v="$45,000-$84,999"/>
    <s v="No"/>
    <s v="No"/>
    <s v="No"/>
    <s v="No"/>
    <s v="Yes"/>
    <s v="No"/>
    <s v="Yes (High)"/>
    <s v="No"/>
    <s v="No"/>
    <s v="No"/>
    <s v="Yes"/>
    <s v="Yes"/>
    <s v="No"/>
    <n v="966.93852772346793"/>
    <n v="453"/>
    <n v="1"/>
    <n v="1.07"/>
    <n v="1.34"/>
    <n v="1"/>
    <n v="1.31"/>
    <n v="1.1499999999999999"/>
    <n v="1.57"/>
    <n v="1"/>
    <n v="1"/>
    <n v="1"/>
    <n v="1"/>
    <n v="0.72"/>
    <n v="1"/>
    <n v="1"/>
    <n v="1"/>
    <n v="0.93"/>
    <n v="0.94"/>
    <n v="1"/>
    <n v="1"/>
    <n v="966.93852772346793"/>
    <n v="0"/>
    <s v="PASS"/>
    <n v="0"/>
    <x v="0"/>
  </r>
  <r>
    <s v="P0650"/>
    <d v="2026-04-23T00:00:00"/>
    <s v="Collision"/>
    <s v="55-64"/>
    <n v="1"/>
    <n v="4"/>
    <s v="No"/>
    <s v="17,000+"/>
    <s v="Newport Beach (92603)"/>
    <s v="$25,000-$44,999"/>
    <s v="No"/>
    <s v="Yes"/>
    <s v="No"/>
    <s v="Yes"/>
    <s v="Yes"/>
    <s v="No"/>
    <s v="Yes (Low)"/>
    <s v="No"/>
    <s v="No"/>
    <s v="Yes"/>
    <s v="No"/>
    <s v="No"/>
    <s v="No"/>
    <n v="2653.3379717500707"/>
    <n v="453"/>
    <n v="1.1200000000000001"/>
    <n v="1.64"/>
    <n v="2.12"/>
    <n v="1"/>
    <n v="1.31"/>
    <n v="0.94"/>
    <n v="1.28"/>
    <n v="1"/>
    <n v="1.21"/>
    <n v="1"/>
    <n v="0.88"/>
    <n v="0.95"/>
    <n v="1"/>
    <n v="1"/>
    <n v="0.89"/>
    <n v="1"/>
    <n v="1"/>
    <n v="1"/>
    <n v="1.06"/>
    <n v="2653.3379717500707"/>
    <n v="0"/>
    <s v="PASS"/>
    <n v="0"/>
    <x v="0"/>
  </r>
  <r>
    <s v="P0651"/>
    <d v="2025-11-10T00:00:00"/>
    <s v="Liability"/>
    <s v="55-64"/>
    <n v="6"/>
    <n v="1"/>
    <s v="Yes (Medium Score)"/>
    <s v="5,000-8,499"/>
    <s v="Irvine (92602)"/>
    <s v="$45,000-$84,999"/>
    <s v="No"/>
    <s v="No"/>
    <s v="No"/>
    <s v="No"/>
    <s v="No"/>
    <s v="Yes"/>
    <s v="No"/>
    <s v="Yes (Medium)"/>
    <s v="No"/>
    <s v="No"/>
    <s v="Yes"/>
    <s v="No"/>
    <s v="No"/>
    <n v="795.84361554062161"/>
    <n v="622"/>
    <n v="1.1200000000000001"/>
    <n v="1"/>
    <n v="1.34"/>
    <n v="0.8"/>
    <n v="0.93"/>
    <n v="1.0900000000000001"/>
    <n v="1.57"/>
    <n v="1"/>
    <n v="1"/>
    <n v="1"/>
    <n v="1"/>
    <n v="1"/>
    <n v="0.72"/>
    <n v="1"/>
    <n v="1"/>
    <n v="0.93"/>
    <n v="1"/>
    <n v="1"/>
    <n v="1"/>
    <n v="795.84361554062161"/>
    <n v="0"/>
    <s v="PASS"/>
    <n v="0"/>
    <x v="0"/>
  </r>
  <r>
    <s v="P0652"/>
    <d v="2025-08-28T00:00:00"/>
    <s v="Uninsured Motorist"/>
    <s v="45-54"/>
    <n v="2"/>
    <n v="2"/>
    <s v="No"/>
    <s v="8,500-13,499"/>
    <s v="West Hollywood (90046)"/>
    <s v="$5,000-$14,999"/>
    <s v="No"/>
    <s v="No"/>
    <s v="No"/>
    <s v="Yes"/>
    <s v="No"/>
    <s v="Yes"/>
    <s v="No"/>
    <s v="Yes (Medium)"/>
    <s v="No"/>
    <s v="Yes"/>
    <s v="No"/>
    <s v="No"/>
    <s v="No"/>
    <n v="117.73026131962867"/>
    <n v="78"/>
    <n v="1.07"/>
    <n v="1.41"/>
    <n v="1.55"/>
    <n v="1"/>
    <n v="1"/>
    <n v="1.18"/>
    <n v="0.97"/>
    <n v="1"/>
    <n v="1"/>
    <n v="1"/>
    <n v="0.88"/>
    <n v="1"/>
    <n v="0.72"/>
    <n v="1"/>
    <n v="0.89"/>
    <n v="1"/>
    <n v="1"/>
    <n v="1"/>
    <n v="1"/>
    <n v="117.73026131962867"/>
    <n v="0"/>
    <s v="PASS"/>
    <n v="0"/>
    <x v="0"/>
  </r>
  <r>
    <s v="P0653"/>
    <d v="2025-05-04T00:00:00"/>
    <s v="Liability"/>
    <s v="25-34"/>
    <n v="2"/>
    <n v="1"/>
    <s v="Yes (Medium Score)"/>
    <s v="13,500-16,999"/>
    <s v="Anaheim (92801)"/>
    <s v="$25,000-$44,999"/>
    <s v="No"/>
    <s v="No"/>
    <s v="No"/>
    <s v="Yes"/>
    <s v="No"/>
    <s v="Yes"/>
    <s v="No"/>
    <s v="Yes (Medium)"/>
    <s v="No"/>
    <s v="No"/>
    <s v="No"/>
    <s v="No"/>
    <s v="No"/>
    <n v="1228.3991816978614"/>
    <n v="622"/>
    <n v="1.23"/>
    <n v="1.41"/>
    <n v="1.34"/>
    <n v="0.8"/>
    <n v="1.18"/>
    <n v="1.1100000000000001"/>
    <n v="1.28"/>
    <n v="1"/>
    <n v="1"/>
    <n v="1"/>
    <n v="0.88"/>
    <n v="1"/>
    <n v="0.72"/>
    <n v="1"/>
    <n v="1"/>
    <n v="1"/>
    <n v="1"/>
    <n v="1"/>
    <n v="1"/>
    <n v="1228.3991816978614"/>
    <n v="0"/>
    <s v="PASS"/>
    <n v="0"/>
    <x v="0"/>
  </r>
  <r>
    <s v="P0654"/>
    <d v="2025-07-25T00:00:00"/>
    <s v="Collision"/>
    <s v="25-34"/>
    <n v="1"/>
    <n v="0"/>
    <s v="Yes (Low Score)"/>
    <s v="5,000-8,499"/>
    <s v="Beverly Hills (90035)"/>
    <s v="$150,000+"/>
    <s v="No"/>
    <s v="No"/>
    <s v="No"/>
    <s v="No"/>
    <s v="Yes"/>
    <s v="No"/>
    <s v="Yes (Low)"/>
    <s v="No"/>
    <s v="No"/>
    <s v="Yes"/>
    <s v="Yes"/>
    <s v="No"/>
    <s v="No"/>
    <n v="2204.5377646979446"/>
    <n v="453"/>
    <n v="1.23"/>
    <n v="1.64"/>
    <n v="1"/>
    <n v="0.95"/>
    <n v="0.93"/>
    <n v="1.21"/>
    <n v="2.87"/>
    <n v="1"/>
    <n v="1"/>
    <n v="1"/>
    <n v="1"/>
    <n v="0.95"/>
    <n v="1"/>
    <n v="1"/>
    <n v="0.89"/>
    <n v="0.93"/>
    <n v="1"/>
    <n v="1"/>
    <n v="1"/>
    <n v="2204.5377646979446"/>
    <n v="0"/>
    <s v="PASS"/>
    <n v="0"/>
    <x v="0"/>
  </r>
  <r>
    <s v="P0655"/>
    <d v="2026-02-07T00:00:00"/>
    <s v="Liability"/>
    <s v="55-64"/>
    <s v="8+"/>
    <n v="3"/>
    <s v="No"/>
    <s v="8,500-13,499"/>
    <s v="Westminster (92655)"/>
    <s v="$150,000+"/>
    <s v="No"/>
    <s v="No"/>
    <s v="Yes"/>
    <s v="No"/>
    <s v="No"/>
    <s v="Yes"/>
    <s v="No"/>
    <s v="Yes (High)"/>
    <s v="No"/>
    <s v="No"/>
    <s v="No"/>
    <s v="Yes"/>
    <s v="No"/>
    <n v="3581.3117922405781"/>
    <n v="622"/>
    <n v="1.1200000000000001"/>
    <n v="0.93"/>
    <n v="1.82"/>
    <n v="1"/>
    <n v="1"/>
    <n v="1.0900000000000001"/>
    <n v="2.87"/>
    <n v="1"/>
    <n v="1"/>
    <n v="1.1599999999999999"/>
    <n v="1"/>
    <n v="1"/>
    <n v="0.84"/>
    <n v="1"/>
    <n v="1"/>
    <n v="1"/>
    <n v="0.94"/>
    <n v="1"/>
    <n v="1.06"/>
    <n v="3581.3117922405781"/>
    <n v="0"/>
    <s v="PASS"/>
    <n v="0"/>
    <x v="0"/>
  </r>
  <r>
    <s v="P0656"/>
    <d v="2026-03-15T00:00:00"/>
    <s v="Collision"/>
    <s v="45-54"/>
    <n v="3"/>
    <n v="2"/>
    <s v="No"/>
    <s v="17,000+"/>
    <s v="Torrance (90248)"/>
    <s v="$25,000-$44,999"/>
    <s v="No"/>
    <s v="No"/>
    <s v="No"/>
    <s v="Yes"/>
    <s v="Yes"/>
    <s v="No"/>
    <s v="Yes (Medium)"/>
    <s v="No"/>
    <s v="No"/>
    <s v="No"/>
    <s v="No"/>
    <s v="No"/>
    <s v="No"/>
    <n v="1348.7784548542595"/>
    <n v="453"/>
    <n v="1.07"/>
    <n v="1.22"/>
    <n v="1.55"/>
    <n v="1"/>
    <n v="1.31"/>
    <n v="1.1200000000000001"/>
    <n v="1.28"/>
    <n v="1"/>
    <n v="1"/>
    <n v="1"/>
    <n v="0.88"/>
    <n v="0.84"/>
    <n v="1"/>
    <n v="1"/>
    <n v="1"/>
    <n v="1"/>
    <n v="1"/>
    <n v="1"/>
    <n v="1.06"/>
    <n v="1348.7784548542595"/>
    <n v="0"/>
    <s v="PASS"/>
    <n v="0"/>
    <x v="0"/>
  </r>
  <r>
    <s v="P0657"/>
    <d v="2025-09-07T00:00:00"/>
    <s v="Comprehensive"/>
    <s v="45-54"/>
    <n v="6"/>
    <n v="3"/>
    <s v="Yes (High Score)"/>
    <s v="0-4,999"/>
    <s v="Torrance (90248)"/>
    <s v="$5,000-$14,999"/>
    <s v="No"/>
    <s v="Yes"/>
    <s v="No"/>
    <s v="Yes"/>
    <s v="Yes"/>
    <s v="No"/>
    <s v="Yes (High)"/>
    <s v="No"/>
    <s v="No"/>
    <s v="Yes"/>
    <s v="No"/>
    <s v="Yes"/>
    <s v="No"/>
    <n v="87.513670838850629"/>
    <n v="121"/>
    <n v="1.07"/>
    <n v="1"/>
    <n v="1.82"/>
    <n v="0.65"/>
    <n v="0.82"/>
    <n v="1.1200000000000001"/>
    <n v="0.97"/>
    <n v="1"/>
    <n v="1.21"/>
    <n v="1"/>
    <n v="0.88"/>
    <n v="0.72"/>
    <n v="1"/>
    <n v="1"/>
    <n v="0.89"/>
    <n v="1"/>
    <n v="0.94"/>
    <n v="1"/>
    <n v="1"/>
    <n v="87.513670838850629"/>
    <n v="0"/>
    <s v="PASS"/>
    <n v="0"/>
    <x v="0"/>
  </r>
  <r>
    <s v="P0658"/>
    <d v="2025-08-07T00:00:00"/>
    <s v="Collision"/>
    <s v="45-54"/>
    <n v="3"/>
    <n v="0"/>
    <s v="Yes (High Score)"/>
    <s v="17,000+"/>
    <s v="Westminster (92655)"/>
    <s v="$150,000+"/>
    <s v="No"/>
    <s v="No"/>
    <s v="Yes"/>
    <s v="Yes"/>
    <s v="Yes"/>
    <s v="No"/>
    <s v="Yes (High)"/>
    <s v="No"/>
    <s v="No"/>
    <s v="No"/>
    <s v="No"/>
    <s v="No"/>
    <s v="No"/>
    <n v="1157.731940526759"/>
    <n v="453"/>
    <n v="1.07"/>
    <n v="1.22"/>
    <n v="1"/>
    <n v="0.65"/>
    <n v="1.31"/>
    <n v="1.0900000000000001"/>
    <n v="2.87"/>
    <n v="1"/>
    <n v="1"/>
    <n v="1.1599999999999999"/>
    <n v="0.88"/>
    <n v="0.72"/>
    <n v="1"/>
    <n v="1"/>
    <n v="1"/>
    <n v="1"/>
    <n v="1"/>
    <n v="1"/>
    <n v="1"/>
    <n v="1157.731940526759"/>
    <n v="0"/>
    <s v="PASS"/>
    <n v="0"/>
    <x v="0"/>
  </r>
  <r>
    <s v="P0659"/>
    <d v="2025-11-22T00:00:00"/>
    <s v="Comprehensive"/>
    <s v="55-64"/>
    <n v="7"/>
    <n v="3"/>
    <s v="No"/>
    <s v="0-4,999"/>
    <s v="Newport Beach (92603)"/>
    <s v="$0-$4,999"/>
    <s v="No"/>
    <s v="No"/>
    <s v="No"/>
    <s v="Yes"/>
    <s v="Yes"/>
    <s v="No"/>
    <s v="Yes (Low)"/>
    <s v="No"/>
    <s v="No"/>
    <s v="Yes"/>
    <s v="No"/>
    <s v="No"/>
    <s v="Yes"/>
    <n v="106.8862801340168"/>
    <n v="121"/>
    <n v="1.1200000000000001"/>
    <n v="0.95"/>
    <n v="1.82"/>
    <n v="1"/>
    <n v="0.82"/>
    <n v="0.94"/>
    <n v="0.82"/>
    <n v="1"/>
    <n v="1"/>
    <n v="1"/>
    <n v="0.88"/>
    <n v="0.95"/>
    <n v="1"/>
    <n v="1"/>
    <n v="0.89"/>
    <n v="1"/>
    <n v="1"/>
    <n v="0.97"/>
    <n v="1"/>
    <n v="106.8862801340168"/>
    <n v="0"/>
    <s v="PASS"/>
    <n v="0"/>
    <x v="0"/>
  </r>
  <r>
    <s v="P0660"/>
    <d v="2025-10-29T00:00:00"/>
    <s v="Collision"/>
    <s v="45-54"/>
    <n v="4"/>
    <n v="3"/>
    <s v="Yes (Medium Score)"/>
    <s v="13,500-16,999"/>
    <s v="Huntington Beach (90742)"/>
    <s v="$0-$4,999"/>
    <s v="No"/>
    <s v="No"/>
    <s v="No"/>
    <s v="Yes"/>
    <s v="Yes"/>
    <s v="No"/>
    <s v="Yes (Medium)"/>
    <s v="No"/>
    <s v="No"/>
    <s v="Yes"/>
    <s v="Yes"/>
    <s v="No"/>
    <s v="No"/>
    <n v="470.86677143006472"/>
    <n v="453"/>
    <n v="1.07"/>
    <n v="1.1499999999999999"/>
    <n v="1.82"/>
    <n v="0.8"/>
    <n v="1.18"/>
    <n v="0.98"/>
    <n v="0.82"/>
    <n v="1"/>
    <n v="1"/>
    <n v="1"/>
    <n v="0.88"/>
    <n v="0.84"/>
    <n v="1"/>
    <n v="1"/>
    <n v="0.89"/>
    <n v="0.93"/>
    <n v="1"/>
    <n v="1"/>
    <n v="1"/>
    <n v="470.86677143006472"/>
    <n v="0"/>
    <s v="PASS"/>
    <n v="0"/>
    <x v="0"/>
  </r>
  <r>
    <s v="P0661"/>
    <d v="2025-10-02T00:00:00"/>
    <s v="Collision"/>
    <s v="16-24"/>
    <n v="5"/>
    <s v="5+"/>
    <s v="Yes (Medium Score)"/>
    <s v="13,500-16,999"/>
    <s v="Cypress (90630)"/>
    <s v="$45,000-$84,999"/>
    <s v="No"/>
    <s v="No"/>
    <s v="No"/>
    <s v="No"/>
    <s v="Yes"/>
    <s v="No"/>
    <s v="Yes (Medium)"/>
    <s v="No"/>
    <s v="No"/>
    <s v="No"/>
    <s v="No"/>
    <s v="Yes"/>
    <s v="No"/>
    <n v="1997.355666566782"/>
    <n v="453"/>
    <n v="1.32"/>
    <n v="1.07"/>
    <n v="2.4700000000000002"/>
    <n v="0.8"/>
    <n v="1.18"/>
    <n v="1.08"/>
    <n v="1.57"/>
    <n v="1"/>
    <n v="1"/>
    <n v="1"/>
    <n v="1"/>
    <n v="0.84"/>
    <n v="1"/>
    <n v="1"/>
    <n v="1"/>
    <n v="1"/>
    <n v="0.94"/>
    <n v="1"/>
    <n v="1"/>
    <n v="1997.355666566782"/>
    <n v="0"/>
    <s v="PASS"/>
    <n v="0"/>
    <x v="0"/>
  </r>
  <r>
    <s v="P0662"/>
    <d v="2026-02-20T00:00:00"/>
    <s v="Collision"/>
    <s v="35-44"/>
    <s v="8+"/>
    <n v="1"/>
    <s v="No"/>
    <s v="13,500-16,999"/>
    <s v="Santa Monica (90401)"/>
    <s v="$45,000-$84,999"/>
    <s v="No"/>
    <s v="No"/>
    <s v="No"/>
    <s v="No"/>
    <s v="Yes"/>
    <s v="No"/>
    <s v="Yes (Low)"/>
    <s v="No"/>
    <s v="Yes"/>
    <s v="No"/>
    <s v="No"/>
    <s v="No"/>
    <s v="No"/>
    <n v="1123.9393999494353"/>
    <n v="453"/>
    <n v="1"/>
    <n v="0.93"/>
    <n v="1.34"/>
    <n v="1"/>
    <n v="1.18"/>
    <n v="1.1599999999999999"/>
    <n v="1.57"/>
    <n v="1"/>
    <n v="1"/>
    <n v="1"/>
    <n v="1"/>
    <n v="0.95"/>
    <n v="1"/>
    <n v="0.92"/>
    <n v="1"/>
    <n v="1"/>
    <n v="1"/>
    <n v="1"/>
    <n v="1.06"/>
    <n v="1123.9393999494353"/>
    <n v="0"/>
    <s v="PASS"/>
    <n v="0"/>
    <x v="0"/>
  </r>
  <r>
    <s v="P0663"/>
    <d v="2026-02-20T00:00:00"/>
    <s v="Uninsured Motorist"/>
    <s v="55-64"/>
    <n v="3"/>
    <n v="0"/>
    <s v="No"/>
    <s v="5,000-8,499"/>
    <s v="Orange (92705)"/>
    <s v="$150,000+"/>
    <s v="No"/>
    <s v="No"/>
    <s v="No"/>
    <s v="Yes"/>
    <s v="No"/>
    <s v="Yes"/>
    <s v="No"/>
    <s v="Yes (High)"/>
    <s v="No"/>
    <s v="Yes"/>
    <s v="Yes"/>
    <s v="No"/>
    <s v="No"/>
    <n v="188.18207446532728"/>
    <n v="78"/>
    <n v="1.1200000000000001"/>
    <n v="1.22"/>
    <n v="1"/>
    <n v="1"/>
    <n v="0.93"/>
    <n v="1.02"/>
    <n v="2.87"/>
    <n v="1"/>
    <n v="1"/>
    <n v="1"/>
    <n v="0.88"/>
    <n v="1"/>
    <n v="0.84"/>
    <n v="1"/>
    <n v="0.89"/>
    <n v="0.93"/>
    <n v="1"/>
    <n v="1"/>
    <n v="1.06"/>
    <n v="188.18207446532728"/>
    <n v="0"/>
    <s v="PASS"/>
    <n v="0"/>
    <x v="0"/>
  </r>
  <r>
    <s v="P0664"/>
    <d v="2025-07-08T00:00:00"/>
    <s v="Rental Car Reinbursement"/>
    <s v="65+"/>
    <n v="6"/>
    <n v="0"/>
    <s v="Yes (Medium Score)"/>
    <s v="5,000-8,499"/>
    <s v="Beverly Hills (90035)"/>
    <s v="$15,000-$24,999"/>
    <s v="No"/>
    <s v="No"/>
    <s v="No"/>
    <s v="Yes"/>
    <s v="No"/>
    <s v="Yes"/>
    <s v="No"/>
    <s v="Yes (High)"/>
    <s v="Yes"/>
    <s v="No"/>
    <s v="Yes"/>
    <s v="No"/>
    <s v="No"/>
    <n v="32.018602542360711"/>
    <n v="41"/>
    <n v="1.27"/>
    <n v="1"/>
    <n v="1"/>
    <n v="0.8"/>
    <n v="0.93"/>
    <n v="1.21"/>
    <n v="1.08"/>
    <n v="1"/>
    <n v="1"/>
    <n v="1"/>
    <n v="0.88"/>
    <n v="1"/>
    <n v="0.84"/>
    <n v="0.92"/>
    <n v="1"/>
    <n v="0.93"/>
    <n v="1"/>
    <n v="1"/>
    <n v="1"/>
    <n v="32.018602542360711"/>
    <n v="0"/>
    <s v="PASS"/>
    <n v="0"/>
    <x v="0"/>
  </r>
  <r>
    <s v="P0665"/>
    <d v="2026-04-07T00:00:00"/>
    <s v="Comprehensive"/>
    <s v="55-64"/>
    <n v="2"/>
    <n v="0"/>
    <s v="Yes (Medium Score)"/>
    <s v="0-4,999"/>
    <s v="West Hollywood (90046)"/>
    <s v="$25,000-$44,999"/>
    <s v="No"/>
    <s v="No"/>
    <s v="Yes"/>
    <s v="No"/>
    <s v="Yes"/>
    <s v="No"/>
    <s v="Yes (Low)"/>
    <s v="No"/>
    <s v="Yes"/>
    <s v="No"/>
    <s v="No"/>
    <s v="Yes"/>
    <s v="No"/>
    <n v="191.25881590172787"/>
    <n v="121"/>
    <n v="1.1200000000000001"/>
    <n v="1.41"/>
    <n v="1"/>
    <n v="0.8"/>
    <n v="0.82"/>
    <n v="1.18"/>
    <n v="1.28"/>
    <n v="1"/>
    <n v="1"/>
    <n v="1.1599999999999999"/>
    <n v="1"/>
    <n v="0.95"/>
    <n v="1"/>
    <n v="0.92"/>
    <n v="1"/>
    <n v="1"/>
    <n v="0.94"/>
    <n v="1"/>
    <n v="1.06"/>
    <n v="191.25881590172787"/>
    <n v="0"/>
    <s v="PASS"/>
    <n v="0"/>
    <x v="0"/>
  </r>
  <r>
    <s v="P0666"/>
    <d v="2025-06-13T00:00:00"/>
    <s v="Collision"/>
    <s v="35-44"/>
    <n v="7"/>
    <n v="0"/>
    <s v="No"/>
    <s v="8,500-13,499"/>
    <s v="West Hollywood (90046)"/>
    <s v="$45,000-$84,999"/>
    <s v="No"/>
    <s v="No"/>
    <s v="No"/>
    <s v="Yes"/>
    <s v="Yes"/>
    <s v="No"/>
    <s v="Yes (Low)"/>
    <s v="No"/>
    <s v="No"/>
    <s v="No"/>
    <s v="No"/>
    <s v="No"/>
    <s v="No"/>
    <n v="666.51471875999994"/>
    <n v="453"/>
    <n v="1"/>
    <n v="0.95"/>
    <n v="1"/>
    <n v="1"/>
    <n v="1"/>
    <n v="1.18"/>
    <n v="1.57"/>
    <n v="1"/>
    <n v="1"/>
    <n v="1"/>
    <n v="0.88"/>
    <n v="0.95"/>
    <n v="1"/>
    <n v="1"/>
    <n v="1"/>
    <n v="1"/>
    <n v="1"/>
    <n v="1"/>
    <n v="1"/>
    <n v="666.51471875999994"/>
    <n v="0"/>
    <s v="PASS"/>
    <n v="0"/>
    <x v="0"/>
  </r>
  <r>
    <s v="P0667"/>
    <d v="2025-11-05T00:00:00"/>
    <s v="Collision"/>
    <s v="25-34"/>
    <n v="6"/>
    <n v="1"/>
    <s v="Yes (Low Score)"/>
    <s v="8,500-13,499"/>
    <s v="Costa Mesa (92626)"/>
    <s v="$15,000-$24,999"/>
    <s v="No"/>
    <s v="No"/>
    <s v="Yes"/>
    <s v="No"/>
    <s v="Yes"/>
    <s v="No"/>
    <s v="Yes (High)"/>
    <s v="No"/>
    <s v="No"/>
    <s v="No"/>
    <s v="No"/>
    <s v="No"/>
    <s v="Yes"/>
    <n v="570.95978454167505"/>
    <n v="453"/>
    <n v="1.23"/>
    <n v="1"/>
    <n v="1.34"/>
    <n v="0.95"/>
    <n v="1"/>
    <n v="0.92"/>
    <n v="1.08"/>
    <n v="1"/>
    <n v="1"/>
    <n v="1.1599999999999999"/>
    <n v="1"/>
    <n v="0.72"/>
    <n v="1"/>
    <n v="1"/>
    <n v="1"/>
    <n v="1"/>
    <n v="1"/>
    <n v="0.97"/>
    <n v="1"/>
    <n v="570.95978454167505"/>
    <n v="0"/>
    <s v="PASS"/>
    <n v="0"/>
    <x v="0"/>
  </r>
  <r>
    <s v="P0668"/>
    <d v="2025-07-31T00:00:00"/>
    <s v="Collision"/>
    <s v="25-34"/>
    <n v="2"/>
    <n v="4"/>
    <s v="Yes (Medium Score)"/>
    <s v="8,500-13,499"/>
    <s v="Orange (92705)"/>
    <s v="$15,000-$24,999"/>
    <s v="No"/>
    <s v="No"/>
    <s v="No"/>
    <s v="Yes"/>
    <s v="Yes"/>
    <s v="No"/>
    <s v="Yes (Medium)"/>
    <s v="No"/>
    <s v="No"/>
    <s v="No"/>
    <s v="No"/>
    <s v="No"/>
    <s v="No"/>
    <n v="1085.0110458230292"/>
    <n v="453"/>
    <n v="1.23"/>
    <n v="1.41"/>
    <n v="2.12"/>
    <n v="0.8"/>
    <n v="1"/>
    <n v="1.02"/>
    <n v="1.08"/>
    <n v="1"/>
    <n v="1"/>
    <n v="1"/>
    <n v="0.88"/>
    <n v="0.84"/>
    <n v="1"/>
    <n v="1"/>
    <n v="1"/>
    <n v="1"/>
    <n v="1"/>
    <n v="1"/>
    <n v="1"/>
    <n v="1085.0110458230292"/>
    <n v="0"/>
    <s v="PASS"/>
    <n v="0"/>
    <x v="0"/>
  </r>
  <r>
    <s v="P0669"/>
    <d v="2025-10-05T00:00:00"/>
    <s v="Liability"/>
    <s v="65+"/>
    <s v="8+"/>
    <s v="5+"/>
    <s v="Yes (Medium Score)"/>
    <s v="13,500-16,999"/>
    <s v="Torrance (90248)"/>
    <s v="$45,000-$84,999"/>
    <s v="No"/>
    <s v="No"/>
    <s v="No"/>
    <s v="Yes"/>
    <s v="No"/>
    <s v="Yes"/>
    <s v="No"/>
    <s v="Yes (Medium)"/>
    <s v="No"/>
    <s v="Yes"/>
    <s v="No"/>
    <s v="No"/>
    <s v="No"/>
    <n v="1698.5129095098634"/>
    <n v="622"/>
    <n v="1.27"/>
    <n v="0.93"/>
    <n v="2.4700000000000002"/>
    <n v="0.8"/>
    <n v="1.18"/>
    <n v="1.1200000000000001"/>
    <n v="1.57"/>
    <n v="1"/>
    <n v="1"/>
    <n v="1"/>
    <n v="0.88"/>
    <n v="1"/>
    <n v="0.72"/>
    <n v="1"/>
    <n v="0.89"/>
    <n v="1"/>
    <n v="1"/>
    <n v="1"/>
    <n v="1"/>
    <n v="1698.5129095098634"/>
    <n v="0"/>
    <s v="PASS"/>
    <n v="0"/>
    <x v="0"/>
  </r>
  <r>
    <s v="P0670"/>
    <d v="2026-02-21T00:00:00"/>
    <s v="Collision"/>
    <s v="65+"/>
    <n v="3"/>
    <n v="2"/>
    <s v="No"/>
    <s v="8,500-13,499"/>
    <s v="Santa Monica (90401)"/>
    <s v="$5,000-$14,999"/>
    <s v="No"/>
    <s v="No"/>
    <s v="No"/>
    <s v="Yes"/>
    <s v="Yes"/>
    <s v="No"/>
    <s v="Yes (High)"/>
    <s v="No"/>
    <s v="No"/>
    <s v="No"/>
    <s v="No"/>
    <s v="No"/>
    <s v="No"/>
    <n v="822.13702883232315"/>
    <n v="453"/>
    <n v="1.27"/>
    <n v="1.22"/>
    <n v="1.55"/>
    <n v="1"/>
    <n v="1"/>
    <n v="1.1599999999999999"/>
    <n v="0.97"/>
    <n v="1"/>
    <n v="1"/>
    <n v="1"/>
    <n v="0.88"/>
    <n v="0.72"/>
    <n v="1"/>
    <n v="1"/>
    <n v="1"/>
    <n v="1"/>
    <n v="1"/>
    <n v="1"/>
    <n v="1.06"/>
    <n v="822.13702883232315"/>
    <n v="0"/>
    <s v="PASS"/>
    <n v="0"/>
    <x v="0"/>
  </r>
  <r>
    <s v="P0671"/>
    <d v="2025-08-26T00:00:00"/>
    <s v="Rental Car Reinbursement"/>
    <s v="25-34"/>
    <n v="5"/>
    <n v="0"/>
    <s v="Yes (Low Score)"/>
    <s v="0-4,999"/>
    <s v="Newport Beach (92603)"/>
    <s v="$5,000-$14,999"/>
    <s v="No"/>
    <s v="No"/>
    <s v="No"/>
    <s v="Yes"/>
    <s v="No"/>
    <s v="Yes"/>
    <s v="No"/>
    <s v="Yes (Low)"/>
    <s v="No"/>
    <s v="No"/>
    <s v="No"/>
    <s v="No"/>
    <s v="No"/>
    <n v="20.574168794206894"/>
    <n v="41"/>
    <n v="1.23"/>
    <n v="1.07"/>
    <n v="1"/>
    <n v="0.95"/>
    <n v="0.82"/>
    <n v="0.94"/>
    <n v="0.97"/>
    <n v="1"/>
    <n v="1"/>
    <n v="1"/>
    <n v="0.88"/>
    <n v="1"/>
    <n v="0.61"/>
    <n v="1"/>
    <n v="1"/>
    <n v="1"/>
    <n v="1"/>
    <n v="1"/>
    <n v="1"/>
    <n v="20.574168794206894"/>
    <n v="0"/>
    <s v="PASS"/>
    <n v="0"/>
    <x v="0"/>
  </r>
  <r>
    <s v="P0672"/>
    <d v="2026-02-27T00:00:00"/>
    <s v="Liability"/>
    <s v="35-44"/>
    <n v="6"/>
    <n v="4"/>
    <s v="Yes (Low Score)"/>
    <s v="0-4,999"/>
    <s v="Irvine (92602)"/>
    <s v="$5,000-$14,999"/>
    <s v="No"/>
    <s v="Yes"/>
    <s v="No"/>
    <s v="No"/>
    <s v="No"/>
    <s v="Yes"/>
    <s v="No"/>
    <s v="Yes (Low)"/>
    <s v="No"/>
    <s v="No"/>
    <s v="No"/>
    <s v="No"/>
    <s v="No"/>
    <n v="849.73402009987797"/>
    <n v="622"/>
    <n v="1"/>
    <n v="1"/>
    <n v="2.12"/>
    <n v="0.95"/>
    <n v="0.82"/>
    <n v="1.0900000000000001"/>
    <n v="0.97"/>
    <n v="1"/>
    <n v="1.21"/>
    <n v="1"/>
    <n v="1"/>
    <n v="1"/>
    <n v="0.61"/>
    <n v="1"/>
    <n v="1"/>
    <n v="1"/>
    <n v="1"/>
    <n v="1"/>
    <n v="1.06"/>
    <n v="849.73402009987797"/>
    <n v="0"/>
    <s v="PASS"/>
    <n v="0"/>
    <x v="0"/>
  </r>
  <r>
    <s v="P0673"/>
    <d v="2026-01-06T00:00:00"/>
    <s v="Collision"/>
    <s v="25-34"/>
    <s v="8+"/>
    <n v="0"/>
    <s v="No"/>
    <s v="13,500-16,999"/>
    <s v="Cypress (90630)"/>
    <s v="$85,000-$149,999"/>
    <s v="Yes"/>
    <s v="No"/>
    <s v="No"/>
    <s v="Yes"/>
    <s v="Yes"/>
    <s v="No"/>
    <s v="Yes (Medium)"/>
    <s v="No"/>
    <s v="No"/>
    <s v="No"/>
    <s v="Yes"/>
    <s v="No"/>
    <s v="No"/>
    <n v="1244.2399339172193"/>
    <n v="453"/>
    <n v="1.23"/>
    <n v="0.93"/>
    <n v="1"/>
    <n v="1"/>
    <n v="1.18"/>
    <n v="1.08"/>
    <n v="2.02"/>
    <n v="1.28"/>
    <n v="1"/>
    <n v="1"/>
    <n v="0.88"/>
    <n v="0.84"/>
    <n v="1"/>
    <n v="1"/>
    <n v="1"/>
    <n v="0.93"/>
    <n v="1"/>
    <n v="1"/>
    <n v="1.06"/>
    <n v="1244.2399339172193"/>
    <n v="0"/>
    <s v="PASS"/>
    <n v="0"/>
    <x v="0"/>
  </r>
  <r>
    <s v="P0674"/>
    <d v="2025-05-13T00:00:00"/>
    <s v="Liability"/>
    <s v="45-54"/>
    <n v="6"/>
    <n v="1"/>
    <s v="Yes (Medium Score)"/>
    <s v="8,500-13,499"/>
    <s v="Culver City (90066)"/>
    <s v="$85,000-$149,999"/>
    <s v="No"/>
    <s v="No"/>
    <s v="No"/>
    <s v="Yes"/>
    <s v="No"/>
    <s v="Yes"/>
    <s v="No"/>
    <s v="Yes (High)"/>
    <s v="No"/>
    <s v="No"/>
    <s v="No"/>
    <s v="No"/>
    <s v="No"/>
    <n v="1225.1241919150082"/>
    <n v="622"/>
    <n v="1.07"/>
    <n v="1"/>
    <n v="1.34"/>
    <n v="0.8"/>
    <n v="1"/>
    <n v="1.1499999999999999"/>
    <n v="2.02"/>
    <n v="1"/>
    <n v="1"/>
    <n v="1"/>
    <n v="0.88"/>
    <n v="1"/>
    <n v="0.84"/>
    <n v="1"/>
    <n v="1"/>
    <n v="1"/>
    <n v="1"/>
    <n v="1"/>
    <n v="1"/>
    <n v="1225.1241919150082"/>
    <n v="0"/>
    <s v="PASS"/>
    <n v="0"/>
    <x v="0"/>
  </r>
  <r>
    <s v="P0675"/>
    <d v="2025-09-13T00:00:00"/>
    <s v="Collision"/>
    <s v="65+"/>
    <s v="8+"/>
    <s v="5+"/>
    <s v="Yes (Medium Score)"/>
    <s v="13,500-16,999"/>
    <s v="Compton (90220)"/>
    <s v="$85,000-$149,999"/>
    <s v="No"/>
    <s v="No"/>
    <s v="No"/>
    <s v="No"/>
    <s v="Yes"/>
    <s v="No"/>
    <s v="Yes (Medium)"/>
    <s v="No"/>
    <s v="No"/>
    <s v="No"/>
    <s v="No"/>
    <s v="No"/>
    <s v="No"/>
    <n v="3302.2433398563953"/>
    <n v="453"/>
    <n v="1.27"/>
    <n v="0.93"/>
    <n v="2.4700000000000002"/>
    <n v="0.8"/>
    <n v="1.18"/>
    <n v="1.56"/>
    <n v="2.02"/>
    <n v="1"/>
    <n v="1"/>
    <n v="1"/>
    <n v="1"/>
    <n v="0.84"/>
    <n v="1"/>
    <n v="1"/>
    <n v="1"/>
    <n v="1"/>
    <n v="1"/>
    <n v="1"/>
    <n v="1"/>
    <n v="3302.2433398563953"/>
    <n v="0"/>
    <s v="PASS"/>
    <n v="0"/>
    <x v="0"/>
  </r>
  <r>
    <s v="P0676"/>
    <d v="2025-08-23T00:00:00"/>
    <s v="Uninsured Motorist"/>
    <s v="16-24"/>
    <n v="1"/>
    <n v="3"/>
    <s v="Yes (High Score)"/>
    <s v="5,000-8,499"/>
    <s v="Koreatown (90006)"/>
    <s v="$25,000-$44,999"/>
    <s v="No"/>
    <s v="No"/>
    <s v="No"/>
    <s v="No"/>
    <s v="No"/>
    <s v="Yes"/>
    <s v="No"/>
    <s v="Yes (Low)"/>
    <s v="No"/>
    <s v="No"/>
    <s v="No"/>
    <s v="No"/>
    <s v="No"/>
    <n v="175.51136752153809"/>
    <n v="78"/>
    <n v="1.32"/>
    <n v="1.64"/>
    <n v="1.82"/>
    <n v="0.65"/>
    <n v="0.93"/>
    <n v="1.21"/>
    <n v="1.28"/>
    <n v="1"/>
    <n v="1"/>
    <n v="1"/>
    <n v="1"/>
    <n v="1"/>
    <n v="0.61"/>
    <n v="1"/>
    <n v="1"/>
    <n v="1"/>
    <n v="1"/>
    <n v="1"/>
    <n v="1"/>
    <n v="175.51136752153809"/>
    <n v="0"/>
    <s v="PASS"/>
    <n v="0"/>
    <x v="0"/>
  </r>
  <r>
    <s v="P0677"/>
    <d v="2025-06-01T00:00:00"/>
    <s v="Rental Car Reinbursement"/>
    <s v="35-44"/>
    <n v="6"/>
    <n v="3"/>
    <s v="No"/>
    <s v="0-4,999"/>
    <s v="Hawthorne (90250)"/>
    <s v="$150,000+"/>
    <s v="No"/>
    <s v="No"/>
    <s v="No"/>
    <s v="Yes"/>
    <s v="No"/>
    <s v="Yes"/>
    <s v="No"/>
    <s v="Yes (High)"/>
    <s v="No"/>
    <s v="Yes"/>
    <s v="No"/>
    <s v="No"/>
    <s v="No"/>
    <n v="125.93007343652735"/>
    <n v="41"/>
    <n v="1"/>
    <n v="1"/>
    <n v="1.82"/>
    <n v="1"/>
    <n v="0.82"/>
    <n v="1.0900000000000001"/>
    <n v="2.87"/>
    <n v="1"/>
    <n v="1"/>
    <n v="1"/>
    <n v="0.88"/>
    <n v="1"/>
    <n v="0.84"/>
    <n v="1"/>
    <n v="0.89"/>
    <n v="1"/>
    <n v="1"/>
    <n v="1"/>
    <n v="1"/>
    <n v="125.93007343652735"/>
    <n v="0"/>
    <s v="PASS"/>
    <n v="0"/>
    <x v="0"/>
  </r>
  <r>
    <s v="P0678"/>
    <d v="2025-11-09T00:00:00"/>
    <s v="Liability"/>
    <s v="16-24"/>
    <n v="6"/>
    <n v="0"/>
    <s v="Yes (High Score)"/>
    <s v="0-4,999"/>
    <s v="Compton (90220)"/>
    <s v="$5,000-$14,999"/>
    <s v="No"/>
    <s v="No"/>
    <s v="No"/>
    <s v="Yes"/>
    <s v="No"/>
    <s v="Yes"/>
    <s v="No"/>
    <s v="Yes (Low)"/>
    <s v="No"/>
    <s v="No"/>
    <s v="No"/>
    <s v="No"/>
    <s v="No"/>
    <n v="403.94"/>
    <n v="622"/>
    <n v="1.32"/>
    <n v="1"/>
    <n v="1"/>
    <n v="0.65"/>
    <n v="0.82"/>
    <n v="1.56"/>
    <n v="0.97"/>
    <n v="1"/>
    <n v="1"/>
    <n v="1"/>
    <n v="0.88"/>
    <n v="1"/>
    <n v="0.61"/>
    <n v="1"/>
    <n v="1"/>
    <n v="1"/>
    <n v="1"/>
    <n v="1"/>
    <n v="1"/>
    <n v="355.46788050808328"/>
    <n v="48.472119491916715"/>
    <s v="FAIL"/>
    <n v="48.472119491916715"/>
    <x v="3"/>
  </r>
  <r>
    <s v="P0679"/>
    <d v="2025-08-13T00:00:00"/>
    <s v="Comprehensive"/>
    <s v="25-34"/>
    <s v="8+"/>
    <s v="5+"/>
    <s v="No"/>
    <s v="13,500-16,999"/>
    <s v="DTLA (90012)"/>
    <s v="$85,000-$149,999"/>
    <s v="No"/>
    <s v="No"/>
    <s v="No"/>
    <s v="No"/>
    <s v="Yes"/>
    <s v="No"/>
    <s v="Yes (High)"/>
    <s v="No"/>
    <s v="No"/>
    <s v="Yes"/>
    <s v="No"/>
    <s v="No"/>
    <s v="No"/>
    <n v="657.9559346147372"/>
    <n v="121"/>
    <n v="1.23"/>
    <n v="0.93"/>
    <n v="2.4700000000000002"/>
    <n v="1"/>
    <n v="1.18"/>
    <n v="1.26"/>
    <n v="2.02"/>
    <n v="1"/>
    <n v="1"/>
    <n v="1"/>
    <n v="1"/>
    <n v="0.72"/>
    <n v="1"/>
    <n v="1"/>
    <n v="0.89"/>
    <n v="1"/>
    <n v="1"/>
    <n v="1"/>
    <n v="1"/>
    <n v="657.9559346147372"/>
    <n v="0"/>
    <s v="PASS"/>
    <n v="0"/>
    <x v="0"/>
  </r>
  <r>
    <s v="P0680"/>
    <d v="2025-07-27T00:00:00"/>
    <s v="Liability"/>
    <s v="65+"/>
    <n v="5"/>
    <s v="5+"/>
    <s v="No"/>
    <s v="0-4,999"/>
    <s v="Irvine (92602)"/>
    <s v="$0-$4,999"/>
    <s v="Yes"/>
    <s v="No"/>
    <s v="No"/>
    <s v="Yes"/>
    <s v="No"/>
    <s v="Yes"/>
    <s v="No"/>
    <s v="Yes (High)"/>
    <s v="No"/>
    <s v="No"/>
    <s v="No"/>
    <s v="No"/>
    <s v="Yes"/>
    <n v="1404.3414077086752"/>
    <n v="622"/>
    <n v="1.27"/>
    <n v="1.07"/>
    <n v="2.4700000000000002"/>
    <n v="1"/>
    <n v="0.82"/>
    <n v="1.0900000000000001"/>
    <n v="0.82"/>
    <n v="1.28"/>
    <n v="1"/>
    <n v="1"/>
    <n v="0.88"/>
    <n v="1"/>
    <n v="0.84"/>
    <n v="1"/>
    <n v="1"/>
    <n v="1"/>
    <n v="1"/>
    <n v="0.97"/>
    <n v="1"/>
    <n v="1404.3414077086752"/>
    <n v="0"/>
    <s v="PASS"/>
    <n v="0"/>
    <x v="0"/>
  </r>
  <r>
    <s v="P0681"/>
    <d v="2026-02-03T00:00:00"/>
    <s v="Liability"/>
    <s v="55-64"/>
    <s v="8+"/>
    <n v="4"/>
    <s v="No"/>
    <s v="5,000-8,499"/>
    <s v="Cypress (90630)"/>
    <s v="$0-$4,999"/>
    <s v="No"/>
    <s v="Yes"/>
    <s v="No"/>
    <s v="Yes"/>
    <s v="No"/>
    <s v="Yes"/>
    <s v="No"/>
    <s v="Yes (Low)"/>
    <s v="No"/>
    <s v="Yes"/>
    <s v="No"/>
    <s v="No"/>
    <s v="No"/>
    <n v="693.17281585160379"/>
    <n v="622"/>
    <n v="1.1200000000000001"/>
    <n v="0.93"/>
    <n v="2.12"/>
    <n v="1"/>
    <n v="0.93"/>
    <n v="1.08"/>
    <n v="0.82"/>
    <n v="1"/>
    <n v="1.21"/>
    <n v="1"/>
    <n v="0.88"/>
    <n v="1"/>
    <n v="0.61"/>
    <n v="1"/>
    <n v="0.89"/>
    <n v="1"/>
    <n v="1"/>
    <n v="1"/>
    <n v="1.06"/>
    <n v="693.17281585160379"/>
    <n v="0"/>
    <s v="PASS"/>
    <n v="0"/>
    <x v="0"/>
  </r>
  <r>
    <s v="P0682"/>
    <d v="2026-04-03T00:00:00"/>
    <s v="Liability"/>
    <s v="45-54"/>
    <s v="8+"/>
    <n v="0"/>
    <s v="Yes (High Score)"/>
    <s v="0-4,999"/>
    <s v="Santa Monica (90401)"/>
    <s v="$150,000+"/>
    <s v="No"/>
    <s v="No"/>
    <s v="No"/>
    <s v="Yes"/>
    <s v="No"/>
    <s v="Yes"/>
    <s v="No"/>
    <s v="Yes (Low)"/>
    <s v="No"/>
    <s v="Yes"/>
    <s v="No"/>
    <s v="Yes"/>
    <s v="No"/>
    <n v="522.82992672676733"/>
    <n v="622"/>
    <n v="1.07"/>
    <n v="0.93"/>
    <n v="1"/>
    <n v="0.65"/>
    <n v="0.82"/>
    <n v="1.1599999999999999"/>
    <n v="2.87"/>
    <n v="1"/>
    <n v="1"/>
    <n v="1"/>
    <n v="0.88"/>
    <n v="1"/>
    <n v="0.61"/>
    <n v="1"/>
    <n v="0.89"/>
    <n v="1"/>
    <n v="0.94"/>
    <n v="1"/>
    <n v="1.06"/>
    <n v="522.82992672676733"/>
    <n v="0"/>
    <s v="PASS"/>
    <n v="0"/>
    <x v="0"/>
  </r>
  <r>
    <s v="P0683"/>
    <d v="2025-05-11T00:00:00"/>
    <s v="Comprehensive"/>
    <s v="65+"/>
    <n v="5"/>
    <n v="1"/>
    <s v="Yes (High Score)"/>
    <s v="5,000-8,499"/>
    <s v="Torrance (90248)"/>
    <s v="$45,000-$84,999"/>
    <s v="No"/>
    <s v="No"/>
    <s v="No"/>
    <s v="Yes"/>
    <s v="Yes"/>
    <s v="No"/>
    <s v="Yes (Medium)"/>
    <s v="No"/>
    <s v="No"/>
    <s v="No"/>
    <s v="No"/>
    <s v="No"/>
    <s v="No"/>
    <n v="173.12253621463702"/>
    <n v="121"/>
    <n v="1.27"/>
    <n v="1.07"/>
    <n v="1.34"/>
    <n v="0.65"/>
    <n v="0.93"/>
    <n v="1.1200000000000001"/>
    <n v="1.57"/>
    <n v="1"/>
    <n v="1"/>
    <n v="1"/>
    <n v="0.88"/>
    <n v="0.84"/>
    <n v="1"/>
    <n v="1"/>
    <n v="1"/>
    <n v="1"/>
    <n v="1"/>
    <n v="1"/>
    <n v="1"/>
    <n v="173.12253621463702"/>
    <n v="0"/>
    <s v="PASS"/>
    <n v="0"/>
    <x v="0"/>
  </r>
  <r>
    <s v="P0684"/>
    <d v="2025-08-19T00:00:00"/>
    <s v="Liability"/>
    <s v="16-24"/>
    <n v="5"/>
    <n v="2"/>
    <s v="No"/>
    <s v="0-4,999"/>
    <s v="Hollywood (90028)"/>
    <s v="$0-$4,999"/>
    <s v="No"/>
    <s v="No"/>
    <s v="Yes"/>
    <s v="Yes"/>
    <s v="No"/>
    <s v="Yes"/>
    <s v="No"/>
    <s v="Yes (Medium)"/>
    <s v="No"/>
    <s v="Yes"/>
    <s v="No"/>
    <s v="No"/>
    <s v="No"/>
    <n v="712.71782790800432"/>
    <n v="622"/>
    <n v="1.32"/>
    <n v="1.07"/>
    <n v="1.55"/>
    <n v="1"/>
    <n v="0.82"/>
    <n v="1.19"/>
    <n v="0.82"/>
    <n v="1"/>
    <n v="1"/>
    <n v="1.1599999999999999"/>
    <n v="0.88"/>
    <n v="1"/>
    <n v="0.72"/>
    <n v="1"/>
    <n v="0.89"/>
    <n v="1"/>
    <n v="1"/>
    <n v="1"/>
    <n v="1"/>
    <n v="712.71782790800432"/>
    <n v="0"/>
    <s v="PASS"/>
    <n v="0"/>
    <x v="0"/>
  </r>
  <r>
    <s v="P0685"/>
    <d v="2026-01-14T00:00:00"/>
    <s v="Collision"/>
    <s v="65+"/>
    <n v="4"/>
    <n v="1"/>
    <s v="Yes (High Score)"/>
    <s v="13,500-16,999"/>
    <s v="Huntington Beach (90742)"/>
    <s v="$5,000-$14,999"/>
    <s v="No"/>
    <s v="No"/>
    <s v="No"/>
    <s v="Yes"/>
    <s v="Yes"/>
    <s v="No"/>
    <s v="Yes (Low)"/>
    <s v="No"/>
    <s v="No"/>
    <s v="Yes"/>
    <s v="No"/>
    <s v="No"/>
    <s v="No"/>
    <n v="509.8000631657419"/>
    <n v="453"/>
    <n v="1.27"/>
    <n v="1.1499999999999999"/>
    <n v="1.34"/>
    <n v="0.65"/>
    <n v="1.18"/>
    <n v="0.98"/>
    <n v="0.97"/>
    <n v="1"/>
    <n v="1"/>
    <n v="1"/>
    <n v="0.88"/>
    <n v="0.95"/>
    <n v="1"/>
    <n v="1"/>
    <n v="0.89"/>
    <n v="1"/>
    <n v="1"/>
    <n v="1"/>
    <n v="1.06"/>
    <n v="509.8000631657419"/>
    <n v="0"/>
    <s v="PASS"/>
    <n v="0"/>
    <x v="0"/>
  </r>
  <r>
    <s v="P0686"/>
    <d v="2025-08-12T00:00:00"/>
    <s v="Collision"/>
    <s v="65+"/>
    <n v="6"/>
    <s v="5+"/>
    <s v="Yes (Low Score)"/>
    <s v="5,000-8,499"/>
    <s v="Huntington Beach (90742)"/>
    <s v="$0-$4,999"/>
    <s v="No"/>
    <s v="No"/>
    <s v="No"/>
    <s v="No"/>
    <s v="Yes"/>
    <s v="No"/>
    <s v="Yes (High)"/>
    <s v="No"/>
    <s v="No"/>
    <s v="No"/>
    <s v="No"/>
    <s v="No"/>
    <s v="Yes"/>
    <n v="704.61127577992124"/>
    <n v="453"/>
    <n v="1.27"/>
    <n v="1"/>
    <n v="2.4700000000000002"/>
    <n v="0.95"/>
    <n v="0.93"/>
    <n v="0.98"/>
    <n v="0.82"/>
    <n v="1"/>
    <n v="1"/>
    <n v="1"/>
    <n v="1"/>
    <n v="0.72"/>
    <n v="1"/>
    <n v="1"/>
    <n v="1"/>
    <n v="1"/>
    <n v="1"/>
    <n v="0.97"/>
    <n v="1"/>
    <n v="704.61127577992124"/>
    <n v="0"/>
    <s v="PASS"/>
    <n v="0"/>
    <x v="0"/>
  </r>
  <r>
    <s v="P0687"/>
    <d v="2025-05-19T00:00:00"/>
    <s v="Comprehensive"/>
    <s v="16-24"/>
    <n v="6"/>
    <s v="5+"/>
    <s v="No"/>
    <s v="5,000-8,499"/>
    <s v="Costa Mesa (92626)"/>
    <s v="$5,000-$14,999"/>
    <s v="No"/>
    <s v="No"/>
    <s v="No"/>
    <s v="No"/>
    <s v="Yes"/>
    <s v="No"/>
    <s v="Yes (High)"/>
    <s v="No"/>
    <s v="No"/>
    <s v="Yes"/>
    <s v="No"/>
    <s v="No"/>
    <s v="No"/>
    <n v="209.80762519077507"/>
    <n v="121"/>
    <n v="1.32"/>
    <n v="1"/>
    <n v="2.4700000000000002"/>
    <n v="1"/>
    <n v="0.93"/>
    <n v="0.92"/>
    <n v="0.97"/>
    <n v="1"/>
    <n v="1"/>
    <n v="1"/>
    <n v="1"/>
    <n v="0.72"/>
    <n v="1"/>
    <n v="1"/>
    <n v="0.89"/>
    <n v="1"/>
    <n v="1"/>
    <n v="1"/>
    <n v="1"/>
    <n v="209.80762519077507"/>
    <n v="0"/>
    <s v="PASS"/>
    <n v="0"/>
    <x v="0"/>
  </r>
  <r>
    <s v="P0688"/>
    <d v="2026-02-09T00:00:00"/>
    <s v="Uninsured Motorist"/>
    <s v="45-54"/>
    <n v="7"/>
    <n v="0"/>
    <s v="No"/>
    <s v="8,500-13,499"/>
    <s v="DTLA (90012)"/>
    <s v="$85,000-$149,999"/>
    <s v="No"/>
    <s v="No"/>
    <s v="No"/>
    <s v="No"/>
    <s v="No"/>
    <s v="Yes"/>
    <s v="No"/>
    <s v="Yes (Medium)"/>
    <s v="Yes"/>
    <s v="No"/>
    <s v="No"/>
    <s v="Yes"/>
    <s v="No"/>
    <n v="133.19193945154407"/>
    <n v="78"/>
    <n v="1.07"/>
    <n v="0.95"/>
    <n v="1"/>
    <n v="1"/>
    <n v="1"/>
    <n v="1.26"/>
    <n v="2.02"/>
    <n v="1"/>
    <n v="1"/>
    <n v="1"/>
    <n v="1"/>
    <n v="1"/>
    <n v="0.72"/>
    <n v="0.92"/>
    <n v="1"/>
    <n v="1"/>
    <n v="0.94"/>
    <n v="1"/>
    <n v="1.06"/>
    <n v="133.19193945154407"/>
    <n v="0"/>
    <s v="PASS"/>
    <n v="0"/>
    <x v="0"/>
  </r>
  <r>
    <s v="P0689"/>
    <d v="2025-10-17T00:00:00"/>
    <s v="Collision"/>
    <s v="16-24"/>
    <n v="3"/>
    <n v="0"/>
    <s v="Yes (Low Score)"/>
    <s v="0-4,999"/>
    <s v="Fountain Valley (92708)"/>
    <s v="$45,000-$84,999"/>
    <s v="No"/>
    <s v="No"/>
    <s v="No"/>
    <s v="Yes"/>
    <s v="Yes"/>
    <s v="No"/>
    <s v="Yes (Low)"/>
    <s v="No"/>
    <s v="No"/>
    <s v="No"/>
    <s v="No"/>
    <s v="Yes"/>
    <s v="No"/>
    <n v="806.3081421745901"/>
    <n v="453"/>
    <n v="1.32"/>
    <n v="1.22"/>
    <n v="1"/>
    <n v="0.95"/>
    <n v="0.82"/>
    <n v="1.1499999999999999"/>
    <n v="1.57"/>
    <n v="1"/>
    <n v="1"/>
    <n v="1"/>
    <n v="0.88"/>
    <n v="0.95"/>
    <n v="1"/>
    <n v="1"/>
    <n v="1"/>
    <n v="1"/>
    <n v="0.94"/>
    <n v="1"/>
    <n v="1"/>
    <n v="806.3081421745901"/>
    <n v="0"/>
    <s v="PASS"/>
    <n v="0"/>
    <x v="0"/>
  </r>
  <r>
    <s v="P0690"/>
    <d v="2026-04-27T00:00:00"/>
    <s v="Rental Car Reinbursement"/>
    <s v="45-54"/>
    <n v="3"/>
    <n v="2"/>
    <s v="Yes (Low Score)"/>
    <s v="13,500-16,999"/>
    <s v="Beverly Hills (90035)"/>
    <s v="$15,000-$24,999"/>
    <s v="Yes"/>
    <s v="No"/>
    <s v="No"/>
    <s v="Yes"/>
    <s v="No"/>
    <s v="Yes"/>
    <s v="No"/>
    <s v="Yes (High)"/>
    <s v="No"/>
    <s v="No"/>
    <s v="Yes"/>
    <s v="No"/>
    <s v="No"/>
    <n v="113.35342404936416"/>
    <n v="41"/>
    <n v="1.07"/>
    <n v="1.22"/>
    <n v="1.55"/>
    <n v="0.95"/>
    <n v="1.18"/>
    <n v="1.21"/>
    <n v="1.08"/>
    <n v="1.28"/>
    <n v="1"/>
    <n v="1"/>
    <n v="0.88"/>
    <n v="1"/>
    <n v="0.84"/>
    <n v="1"/>
    <n v="1"/>
    <n v="0.93"/>
    <n v="1"/>
    <n v="1"/>
    <n v="1.06"/>
    <n v="113.35342404936416"/>
    <n v="0"/>
    <s v="PASS"/>
    <n v="0"/>
    <x v="0"/>
  </r>
  <r>
    <s v="P0691"/>
    <d v="2025-05-24T00:00:00"/>
    <s v="Liability"/>
    <s v="16-24"/>
    <n v="4"/>
    <n v="3"/>
    <s v="Yes (High Score)"/>
    <s v="5,000-8,499"/>
    <s v="West Hollywood (90046)"/>
    <s v="$150,000+"/>
    <s v="No"/>
    <s v="Yes"/>
    <s v="No"/>
    <s v="No"/>
    <s v="No"/>
    <s v="Yes"/>
    <s v="No"/>
    <s v="Yes (Medium)"/>
    <s v="Yes"/>
    <s v="Yes"/>
    <s v="No"/>
    <s v="No"/>
    <s v="No"/>
    <n v="2509.5130255176618"/>
    <n v="622"/>
    <n v="1.32"/>
    <n v="1.1499999999999999"/>
    <n v="1.82"/>
    <n v="0.65"/>
    <n v="0.93"/>
    <n v="1.18"/>
    <n v="2.87"/>
    <n v="1"/>
    <n v="1.21"/>
    <n v="1"/>
    <n v="1"/>
    <n v="1"/>
    <n v="0.72"/>
    <n v="0.92"/>
    <n v="0.89"/>
    <n v="1"/>
    <n v="1"/>
    <n v="1"/>
    <n v="1"/>
    <n v="2509.5130255176618"/>
    <n v="0"/>
    <s v="PASS"/>
    <n v="0"/>
    <x v="0"/>
  </r>
  <r>
    <s v="P0692"/>
    <d v="2026-02-21T00:00:00"/>
    <s v="Liability"/>
    <s v="35-44"/>
    <n v="1"/>
    <n v="1"/>
    <s v="No"/>
    <s v="13,500-16,999"/>
    <s v="Huntington Beach (90742)"/>
    <s v="$45,000-$84,999"/>
    <s v="No"/>
    <s v="No"/>
    <s v="No"/>
    <s v="No"/>
    <s v="No"/>
    <s v="Yes"/>
    <s v="No"/>
    <s v="Yes (Medium)"/>
    <s v="Yes"/>
    <s v="No"/>
    <s v="No"/>
    <s v="No"/>
    <s v="No"/>
    <n v="1742.500677199384"/>
    <n v="622"/>
    <n v="1"/>
    <n v="1.64"/>
    <n v="1.34"/>
    <n v="1"/>
    <n v="1.18"/>
    <n v="0.98"/>
    <n v="1.57"/>
    <n v="1"/>
    <n v="1"/>
    <n v="1"/>
    <n v="1"/>
    <n v="1"/>
    <n v="0.72"/>
    <n v="0.92"/>
    <n v="1"/>
    <n v="1"/>
    <n v="1"/>
    <n v="1"/>
    <n v="1.06"/>
    <n v="1742.500677199384"/>
    <n v="0"/>
    <s v="PASS"/>
    <n v="0"/>
    <x v="0"/>
  </r>
  <r>
    <s v="P0693"/>
    <d v="2025-10-21T00:00:00"/>
    <s v="Liability"/>
    <s v="45-54"/>
    <n v="4"/>
    <n v="1"/>
    <s v="Yes (Low Score)"/>
    <s v="5,000-8,499"/>
    <s v="Torrance (90248)"/>
    <s v="$150,000+"/>
    <s v="No"/>
    <s v="No"/>
    <s v="Yes"/>
    <s v="Yes"/>
    <s v="No"/>
    <s v="Yes"/>
    <s v="No"/>
    <s v="Yes (High)"/>
    <s v="No"/>
    <s v="No"/>
    <s v="Yes"/>
    <s v="No"/>
    <s v="No"/>
    <n v="2322.6628323458881"/>
    <n v="622"/>
    <n v="1.07"/>
    <n v="1.1499999999999999"/>
    <n v="1.34"/>
    <n v="0.95"/>
    <n v="0.93"/>
    <n v="1.1200000000000001"/>
    <n v="2.87"/>
    <n v="1"/>
    <n v="1"/>
    <n v="1.1599999999999999"/>
    <n v="0.88"/>
    <n v="1"/>
    <n v="0.84"/>
    <n v="1"/>
    <n v="1"/>
    <n v="0.93"/>
    <n v="1"/>
    <n v="1"/>
    <n v="1"/>
    <n v="2322.6628323458881"/>
    <n v="0"/>
    <s v="PASS"/>
    <n v="0"/>
    <x v="0"/>
  </r>
  <r>
    <s v="P0694"/>
    <d v="2026-04-10T00:00:00"/>
    <s v="Collision"/>
    <s v="25-34"/>
    <n v="4"/>
    <n v="1"/>
    <s v="Yes (High Score)"/>
    <s v="5,000-8,499"/>
    <s v="Westminster (92655)"/>
    <s v="$25,000-$44,999"/>
    <s v="No"/>
    <s v="Yes"/>
    <s v="No"/>
    <s v="Yes"/>
    <s v="Yes"/>
    <s v="No"/>
    <s v="Yes (Low)"/>
    <s v="No"/>
    <s v="No"/>
    <s v="No"/>
    <s v="Yes"/>
    <s v="No"/>
    <s v="No"/>
    <n v="722.13631676196974"/>
    <n v="453"/>
    <n v="1.23"/>
    <n v="1.1499999999999999"/>
    <n v="1.34"/>
    <n v="0.65"/>
    <n v="0.93"/>
    <n v="1.0900000000000001"/>
    <n v="1.28"/>
    <n v="1"/>
    <n v="1.21"/>
    <n v="1"/>
    <n v="0.88"/>
    <n v="0.95"/>
    <n v="1"/>
    <n v="1"/>
    <n v="1"/>
    <n v="0.93"/>
    <n v="1"/>
    <n v="1"/>
    <n v="1.06"/>
    <n v="722.13631676196974"/>
    <n v="0"/>
    <s v="PASS"/>
    <n v="0"/>
    <x v="0"/>
  </r>
  <r>
    <s v="P0695"/>
    <d v="2026-03-27T00:00:00"/>
    <s v="Uninsured Motorist"/>
    <s v="55-64"/>
    <n v="1"/>
    <n v="1"/>
    <s v="No"/>
    <s v="5,000-8,499"/>
    <s v="DTLA (90012)"/>
    <s v="$85,000-$149,999"/>
    <s v="No"/>
    <s v="Yes"/>
    <s v="No"/>
    <s v="Yes"/>
    <s v="No"/>
    <s v="Yes"/>
    <s v="No"/>
    <s v="Yes (Medium)"/>
    <s v="No"/>
    <s v="Yes"/>
    <s v="Yes"/>
    <s v="No"/>
    <s v="No"/>
    <n v="288.36"/>
    <n v="78"/>
    <n v="1.1200000000000001"/>
    <n v="1.64"/>
    <n v="1.34"/>
    <n v="1"/>
    <n v="0.93"/>
    <n v="1.26"/>
    <n v="2.02"/>
    <n v="1"/>
    <n v="1.21"/>
    <n v="1"/>
    <n v="0.88"/>
    <n v="1"/>
    <n v="0.72"/>
    <n v="1"/>
    <n v="0.89"/>
    <n v="0.93"/>
    <n v="1"/>
    <n v="1"/>
    <n v="1.06"/>
    <n v="305.66484609352943"/>
    <n v="-17.30484609352942"/>
    <s v="FAIL"/>
    <n v="17.30484609352942"/>
    <x v="1"/>
  </r>
  <r>
    <s v="P0696"/>
    <d v="2025-05-05T00:00:00"/>
    <s v="Rental Car Reinbursement"/>
    <s v="65+"/>
    <n v="5"/>
    <n v="0"/>
    <s v="Yes (Medium Score)"/>
    <s v="13,500-16,999"/>
    <s v="Westminster (92655)"/>
    <s v="$0-$4,999"/>
    <s v="No"/>
    <s v="No"/>
    <s v="No"/>
    <s v="Yes"/>
    <s v="No"/>
    <s v="Yes"/>
    <s v="No"/>
    <s v="Yes (Medium)"/>
    <s v="Yes"/>
    <s v="Yes"/>
    <s v="Yes"/>
    <s v="No"/>
    <s v="No"/>
    <n v="22.680866958614569"/>
    <n v="41"/>
    <n v="1.27"/>
    <n v="1.07"/>
    <n v="1"/>
    <n v="0.8"/>
    <n v="1.18"/>
    <n v="1.0900000000000001"/>
    <n v="0.82"/>
    <n v="1"/>
    <n v="1"/>
    <n v="1"/>
    <n v="0.88"/>
    <n v="1"/>
    <n v="0.72"/>
    <n v="0.92"/>
    <n v="0.89"/>
    <n v="0.93"/>
    <n v="1"/>
    <n v="1"/>
    <n v="1"/>
    <n v="22.680866958614569"/>
    <n v="0"/>
    <s v="PASS"/>
    <n v="0"/>
    <x v="0"/>
  </r>
  <r>
    <s v="P0697"/>
    <d v="2025-06-02T00:00:00"/>
    <s v="Collision"/>
    <s v="25-34"/>
    <n v="2"/>
    <n v="3"/>
    <s v="No"/>
    <s v="5,000-8,499"/>
    <s v="Irvine (92602)"/>
    <s v="$15,000-$24,999"/>
    <s v="Yes"/>
    <s v="No"/>
    <s v="No"/>
    <s v="Yes"/>
    <s v="Yes"/>
    <s v="No"/>
    <s v="Yes (High)"/>
    <s v="No"/>
    <s v="No"/>
    <s v="Yes"/>
    <s v="No"/>
    <s v="No"/>
    <s v="Yes"/>
    <n v="1096.0084316584919"/>
    <n v="453"/>
    <n v="1.23"/>
    <n v="1.41"/>
    <n v="1.82"/>
    <n v="1"/>
    <n v="0.93"/>
    <n v="1.0900000000000001"/>
    <n v="1.08"/>
    <n v="1.28"/>
    <n v="1"/>
    <n v="1"/>
    <n v="0.88"/>
    <n v="0.72"/>
    <n v="1"/>
    <n v="1"/>
    <n v="0.89"/>
    <n v="1"/>
    <n v="1"/>
    <n v="0.97"/>
    <n v="1"/>
    <n v="1096.0084316584919"/>
    <n v="0"/>
    <s v="PASS"/>
    <n v="0"/>
    <x v="0"/>
  </r>
  <r>
    <s v="P0698"/>
    <d v="2026-04-11T00:00:00"/>
    <s v="Comprehensive"/>
    <s v="45-54"/>
    <n v="7"/>
    <n v="2"/>
    <s v="Yes (Medium Score)"/>
    <s v="13,500-16,999"/>
    <s v="DTLA (90012)"/>
    <s v="$15,000-$24,999"/>
    <s v="No"/>
    <s v="Yes"/>
    <s v="Yes"/>
    <s v="Yes"/>
    <s v="Yes"/>
    <s v="No"/>
    <s v="Yes (High)"/>
    <s v="No"/>
    <s v="No"/>
    <s v="Yes"/>
    <s v="No"/>
    <s v="No"/>
    <s v="No"/>
    <n v="205.46845078508224"/>
    <n v="121"/>
    <n v="1.07"/>
    <n v="0.95"/>
    <n v="1.55"/>
    <n v="0.8"/>
    <n v="1.18"/>
    <n v="1.26"/>
    <n v="1.08"/>
    <n v="1"/>
    <n v="1.21"/>
    <n v="1.1599999999999999"/>
    <n v="0.88"/>
    <n v="0.72"/>
    <n v="1"/>
    <n v="1"/>
    <n v="0.89"/>
    <n v="1"/>
    <n v="1"/>
    <n v="1"/>
    <n v="1.06"/>
    <n v="205.46845078508224"/>
    <n v="0"/>
    <s v="PASS"/>
    <n v="0"/>
    <x v="0"/>
  </r>
  <r>
    <s v="P0699"/>
    <d v="2026-03-11T00:00:00"/>
    <s v="Collision"/>
    <s v="65+"/>
    <n v="2"/>
    <n v="2"/>
    <s v="No"/>
    <s v="13,500-16,999"/>
    <s v="Westminster (92655)"/>
    <s v="$85,000-$149,999"/>
    <s v="No"/>
    <s v="No"/>
    <s v="No"/>
    <s v="No"/>
    <s v="Yes"/>
    <s v="No"/>
    <s v="Yes (Medium)"/>
    <s v="No"/>
    <s v="No"/>
    <s v="Yes"/>
    <s v="No"/>
    <s v="No"/>
    <s v="No"/>
    <n v="2588.7360192861679"/>
    <n v="453"/>
    <n v="1.27"/>
    <n v="1.41"/>
    <n v="1.55"/>
    <n v="1"/>
    <n v="1.18"/>
    <n v="1.0900000000000001"/>
    <n v="2.02"/>
    <n v="1"/>
    <n v="1"/>
    <n v="1"/>
    <n v="1"/>
    <n v="0.84"/>
    <n v="1"/>
    <n v="1"/>
    <n v="0.89"/>
    <n v="1"/>
    <n v="1"/>
    <n v="1"/>
    <n v="1.06"/>
    <n v="2588.7360192861679"/>
    <n v="0"/>
    <s v="PASS"/>
    <n v="0"/>
    <x v="0"/>
  </r>
  <r>
    <s v="P0700"/>
    <d v="2025-07-29T00:00:00"/>
    <s v="Liability"/>
    <s v="65+"/>
    <s v="8+"/>
    <n v="4"/>
    <s v="Yes (Low Score)"/>
    <s v="5,000-8,499"/>
    <s v="Westminster (92655)"/>
    <s v="$150,000+"/>
    <s v="No"/>
    <s v="No"/>
    <s v="Yes"/>
    <s v="No"/>
    <s v="No"/>
    <s v="Yes"/>
    <s v="No"/>
    <s v="Yes (High)"/>
    <s v="No"/>
    <s v="No"/>
    <s v="Yes"/>
    <s v="No"/>
    <s v="No"/>
    <n v="3900.7497334474451"/>
    <n v="622"/>
    <n v="1.27"/>
    <n v="0.93"/>
    <n v="2.12"/>
    <n v="0.95"/>
    <n v="0.93"/>
    <n v="1.0900000000000001"/>
    <n v="2.87"/>
    <n v="1"/>
    <n v="1"/>
    <n v="1.1599999999999999"/>
    <n v="1"/>
    <n v="1"/>
    <n v="0.84"/>
    <n v="1"/>
    <n v="1"/>
    <n v="0.93"/>
    <n v="1"/>
    <n v="1"/>
    <n v="1"/>
    <n v="3900.7497334474451"/>
    <n v="0"/>
    <s v="PASS"/>
    <n v="0"/>
    <x v="0"/>
  </r>
  <r>
    <s v="P0701"/>
    <d v="2025-05-31T00:00:00"/>
    <s v="Uninsured Motorist"/>
    <s v="25-34"/>
    <n v="2"/>
    <n v="0"/>
    <s v="Yes (Medium Score)"/>
    <s v="0-4,999"/>
    <s v="Beverly Hills (90035)"/>
    <s v="$150,000+"/>
    <s v="No"/>
    <s v="No"/>
    <s v="No"/>
    <s v="No"/>
    <s v="No"/>
    <s v="Yes"/>
    <s v="No"/>
    <s v="Yes (Medium)"/>
    <s v="No"/>
    <s v="No"/>
    <s v="No"/>
    <s v="No"/>
    <s v="No"/>
    <n v="221.88218278786559"/>
    <n v="78"/>
    <n v="1.23"/>
    <n v="1.41"/>
    <n v="1"/>
    <n v="0.8"/>
    <n v="0.82"/>
    <n v="1.21"/>
    <n v="2.87"/>
    <n v="1"/>
    <n v="1"/>
    <n v="1"/>
    <n v="1"/>
    <n v="1"/>
    <n v="0.72"/>
    <n v="1"/>
    <n v="1"/>
    <n v="1"/>
    <n v="1"/>
    <n v="1"/>
    <n v="1"/>
    <n v="221.88218278786559"/>
    <n v="0"/>
    <s v="PASS"/>
    <n v="0"/>
    <x v="0"/>
  </r>
  <r>
    <s v="P0702"/>
    <d v="2025-09-16T00:00:00"/>
    <s v="Liability"/>
    <s v="25-34"/>
    <n v="6"/>
    <n v="0"/>
    <s v="Yes (High Score)"/>
    <s v="0-4,999"/>
    <s v="Silverlake (90026 )"/>
    <s v="$0-$4,999"/>
    <s v="Yes"/>
    <s v="No"/>
    <s v="No"/>
    <s v="Yes"/>
    <s v="No"/>
    <s v="Yes"/>
    <s v="No"/>
    <s v="Yes (High)"/>
    <s v="No"/>
    <s v="Yes"/>
    <s v="No"/>
    <s v="No"/>
    <s v="No"/>
    <n v="326.63030864065263"/>
    <n v="622"/>
    <n v="1.23"/>
    <n v="1"/>
    <n v="1"/>
    <n v="0.65"/>
    <n v="0.82"/>
    <n v="1.1599999999999999"/>
    <n v="0.82"/>
    <n v="1.28"/>
    <n v="1"/>
    <n v="1"/>
    <n v="0.88"/>
    <n v="1"/>
    <n v="0.84"/>
    <n v="1"/>
    <n v="0.89"/>
    <n v="1"/>
    <n v="1"/>
    <n v="1"/>
    <n v="1"/>
    <n v="326.63030864065263"/>
    <n v="0"/>
    <s v="PASS"/>
    <n v="0"/>
    <x v="0"/>
  </r>
  <r>
    <s v="P0703"/>
    <d v="2026-01-24T00:00:00"/>
    <s v="Collision"/>
    <s v="25-34"/>
    <n v="1"/>
    <s v="5+"/>
    <s v="Yes (Low Score)"/>
    <s v="8,500-13,499"/>
    <s v="Koreatown (90006)"/>
    <s v="$15,000-$24,999"/>
    <s v="No"/>
    <s v="No"/>
    <s v="No"/>
    <s v="Yes"/>
    <s v="Yes"/>
    <s v="No"/>
    <s v="Yes (High)"/>
    <s v="No"/>
    <s v="No"/>
    <s v="No"/>
    <s v="No"/>
    <s v="No"/>
    <s v="No"/>
    <n v="1881.905795455147"/>
    <n v="453"/>
    <n v="1.23"/>
    <n v="1.64"/>
    <n v="2.4700000000000002"/>
    <n v="0.95"/>
    <n v="1"/>
    <n v="1.21"/>
    <n v="1.08"/>
    <n v="1"/>
    <n v="1"/>
    <n v="1"/>
    <n v="0.88"/>
    <n v="0.72"/>
    <n v="1"/>
    <n v="1"/>
    <n v="1"/>
    <n v="1"/>
    <n v="1"/>
    <n v="1"/>
    <n v="1.06"/>
    <n v="1881.905795455147"/>
    <n v="0"/>
    <s v="PASS"/>
    <n v="0"/>
    <x v="0"/>
  </r>
  <r>
    <s v="P0704"/>
    <d v="2025-05-06T00:00:00"/>
    <s v="Collision"/>
    <s v="65+"/>
    <n v="1"/>
    <n v="0"/>
    <s v="Yes (High Score)"/>
    <s v="13,500-16,999"/>
    <s v="Koreatown (90006)"/>
    <s v="$15,000-$24,999"/>
    <s v="No"/>
    <s v="No"/>
    <s v="No"/>
    <s v="Yes"/>
    <s v="Yes"/>
    <s v="No"/>
    <s v="Yes (High)"/>
    <s v="No"/>
    <s v="Yes"/>
    <s v="No"/>
    <s v="No"/>
    <s v="No"/>
    <s v="No"/>
    <n v="551.25590763320781"/>
    <n v="453"/>
    <n v="1.27"/>
    <n v="1.64"/>
    <n v="1"/>
    <n v="0.65"/>
    <n v="1.18"/>
    <n v="1.21"/>
    <n v="1.08"/>
    <n v="1"/>
    <n v="1"/>
    <n v="1"/>
    <n v="0.88"/>
    <n v="0.72"/>
    <n v="1"/>
    <n v="0.92"/>
    <n v="1"/>
    <n v="1"/>
    <n v="1"/>
    <n v="1"/>
    <n v="1"/>
    <n v="551.25590763320781"/>
    <n v="0"/>
    <s v="PASS"/>
    <n v="0"/>
    <x v="0"/>
  </r>
  <r>
    <s v="P0705"/>
    <d v="2026-01-02T00:00:00"/>
    <s v="Rental Car Reinbursement"/>
    <s v="35-44"/>
    <n v="7"/>
    <n v="0"/>
    <s v="Yes (Low Score)"/>
    <s v="13,500-16,999"/>
    <s v="Compton (90220)"/>
    <s v="$45,000-$84,999"/>
    <s v="No"/>
    <s v="No"/>
    <s v="Yes"/>
    <s v="Yes"/>
    <s v="No"/>
    <s v="Yes"/>
    <s v="No"/>
    <s v="Yes (Low)"/>
    <s v="No"/>
    <s v="No"/>
    <s v="No"/>
    <s v="No"/>
    <s v="No"/>
    <n v="70.585206080963047"/>
    <n v="41"/>
    <n v="1"/>
    <n v="0.95"/>
    <n v="1"/>
    <n v="0.95"/>
    <n v="1.18"/>
    <n v="1.56"/>
    <n v="1.57"/>
    <n v="1"/>
    <n v="1"/>
    <n v="1.1599999999999999"/>
    <n v="0.88"/>
    <n v="1"/>
    <n v="0.61"/>
    <n v="1"/>
    <n v="1"/>
    <n v="1"/>
    <n v="1"/>
    <n v="1"/>
    <n v="1.06"/>
    <n v="70.585206080963047"/>
    <n v="0"/>
    <s v="PASS"/>
    <n v="0"/>
    <x v="0"/>
  </r>
  <r>
    <s v="P0706"/>
    <d v="2025-05-12T00:00:00"/>
    <s v="Uninsured Motorist"/>
    <s v="35-44"/>
    <n v="1"/>
    <n v="2"/>
    <s v="No"/>
    <s v="17,000+"/>
    <s v="Fullerton (92832)"/>
    <s v="$5,000-$14,999"/>
    <s v="No"/>
    <s v="No"/>
    <s v="No"/>
    <s v="Yes"/>
    <s v="No"/>
    <s v="Yes"/>
    <s v="No"/>
    <s v="Yes (Low)"/>
    <s v="No"/>
    <s v="Yes"/>
    <s v="No"/>
    <s v="No"/>
    <s v="No"/>
    <n v="134.81360287351757"/>
    <n v="78"/>
    <n v="1"/>
    <n v="1.64"/>
    <n v="1.55"/>
    <n v="1"/>
    <n v="1.31"/>
    <n v="1.1200000000000001"/>
    <n v="0.97"/>
    <n v="1"/>
    <n v="1"/>
    <n v="1"/>
    <n v="0.88"/>
    <n v="1"/>
    <n v="0.61"/>
    <n v="1"/>
    <n v="0.89"/>
    <n v="1"/>
    <n v="1"/>
    <n v="1"/>
    <n v="1"/>
    <n v="134.81360287351757"/>
    <n v="0"/>
    <s v="PASS"/>
    <n v="0"/>
    <x v="0"/>
  </r>
  <r>
    <s v="P0707"/>
    <d v="2025-11-21T00:00:00"/>
    <s v="Collision"/>
    <s v="16-24"/>
    <n v="7"/>
    <n v="3"/>
    <s v="No"/>
    <s v="13,500-16,999"/>
    <s v="Culver City (90066)"/>
    <s v="$15,000-$24,999"/>
    <s v="No"/>
    <s v="No"/>
    <s v="No"/>
    <s v="Yes"/>
    <s v="Yes"/>
    <s v="No"/>
    <s v="Yes (High)"/>
    <s v="No"/>
    <s v="No"/>
    <s v="No"/>
    <s v="Yes"/>
    <s v="Yes"/>
    <s v="No"/>
    <n v="839.26033951990826"/>
    <n v="453"/>
    <n v="1.32"/>
    <n v="0.95"/>
    <n v="1.82"/>
    <n v="1"/>
    <n v="1.18"/>
    <n v="1.1499999999999999"/>
    <n v="1.08"/>
    <n v="1"/>
    <n v="1"/>
    <n v="1"/>
    <n v="0.88"/>
    <n v="0.72"/>
    <n v="1"/>
    <n v="1"/>
    <n v="1"/>
    <n v="0.93"/>
    <n v="0.94"/>
    <n v="1"/>
    <n v="1"/>
    <n v="839.26033951990826"/>
    <n v="0"/>
    <s v="PASS"/>
    <n v="0"/>
    <x v="0"/>
  </r>
  <r>
    <s v="P0708"/>
    <d v="2025-07-31T00:00:00"/>
    <s v="Liability"/>
    <s v="55-64"/>
    <n v="1"/>
    <s v="5+"/>
    <s v="No"/>
    <s v="0-4,999"/>
    <s v="Lake Forrest (92609)"/>
    <s v="$45,000-$84,999"/>
    <s v="Yes"/>
    <s v="Yes"/>
    <s v="No"/>
    <s v="No"/>
    <s v="No"/>
    <s v="Yes"/>
    <s v="No"/>
    <s v="Yes (Low)"/>
    <s v="No"/>
    <s v="No"/>
    <s v="Yes"/>
    <s v="No"/>
    <s v="No"/>
    <n v="3032.4555403683999"/>
    <n v="622"/>
    <n v="1.1200000000000001"/>
    <n v="1.64"/>
    <n v="2.4700000000000002"/>
    <n v="1"/>
    <n v="0.82"/>
    <n v="0.95"/>
    <n v="1.57"/>
    <n v="1.28"/>
    <n v="1.21"/>
    <n v="1"/>
    <n v="1"/>
    <n v="1"/>
    <n v="0.61"/>
    <n v="1"/>
    <n v="1"/>
    <n v="0.93"/>
    <n v="1"/>
    <n v="1"/>
    <n v="1"/>
    <n v="3032.4555403683999"/>
    <n v="0"/>
    <s v="PASS"/>
    <n v="0"/>
    <x v="0"/>
  </r>
  <r>
    <s v="P0709"/>
    <d v="2026-03-07T00:00:00"/>
    <s v="Rental Car Reinbursement"/>
    <s v="16-24"/>
    <n v="3"/>
    <n v="0"/>
    <s v="Yes (Low Score)"/>
    <s v="5,000-8,499"/>
    <s v="West Hollywood (90046)"/>
    <s v="$85,000-$149,999"/>
    <s v="No"/>
    <s v="No"/>
    <s v="Yes"/>
    <s v="Yes"/>
    <s v="No"/>
    <s v="Yes"/>
    <s v="No"/>
    <s v="Yes (Medium)"/>
    <s v="No"/>
    <s v="No"/>
    <s v="Yes"/>
    <s v="No"/>
    <s v="No"/>
    <n v="100.74407665996712"/>
    <n v="41"/>
    <n v="1.32"/>
    <n v="1.22"/>
    <n v="1"/>
    <n v="0.95"/>
    <n v="0.93"/>
    <n v="1.18"/>
    <n v="2.02"/>
    <n v="1"/>
    <n v="1"/>
    <n v="1.1599999999999999"/>
    <n v="0.88"/>
    <n v="1"/>
    <n v="0.72"/>
    <n v="1"/>
    <n v="1"/>
    <n v="0.93"/>
    <n v="1"/>
    <n v="1"/>
    <n v="1.06"/>
    <n v="100.74407665996712"/>
    <n v="0"/>
    <s v="PASS"/>
    <n v="0"/>
    <x v="0"/>
  </r>
  <r>
    <s v="P0710"/>
    <d v="2025-06-12T00:00:00"/>
    <s v="Liability"/>
    <s v="55-64"/>
    <s v="8+"/>
    <s v="5+"/>
    <s v="Yes (Low Score)"/>
    <s v="17,000+"/>
    <s v="Torrance (90248)"/>
    <s v="$5,000-$14,999"/>
    <s v="No"/>
    <s v="No"/>
    <s v="No"/>
    <s v="Yes"/>
    <s v="No"/>
    <s v="Yes"/>
    <s v="No"/>
    <s v="Yes (High)"/>
    <s v="No"/>
    <s v="No"/>
    <s v="No"/>
    <s v="No"/>
    <s v="No"/>
    <n v="1599.3183686218215"/>
    <n v="622"/>
    <n v="1.1200000000000001"/>
    <n v="0.93"/>
    <n v="2.4700000000000002"/>
    <n v="0.95"/>
    <n v="1.31"/>
    <n v="1.1200000000000001"/>
    <n v="0.97"/>
    <n v="1"/>
    <n v="1"/>
    <n v="1"/>
    <n v="0.88"/>
    <n v="1"/>
    <n v="0.84"/>
    <n v="1"/>
    <n v="1"/>
    <n v="1"/>
    <n v="1"/>
    <n v="1"/>
    <n v="1"/>
    <n v="1599.3183686218215"/>
    <n v="0"/>
    <s v="PASS"/>
    <n v="0"/>
    <x v="0"/>
  </r>
  <r>
    <s v="P0711"/>
    <d v="2026-01-14T00:00:00"/>
    <s v="Collision"/>
    <s v="25-34"/>
    <s v="8+"/>
    <n v="1"/>
    <s v="Yes (High Score)"/>
    <s v="0-4,999"/>
    <s v="Silverlake (90026 )"/>
    <s v="$85,000-$149,999"/>
    <s v="No"/>
    <s v="No"/>
    <s v="No"/>
    <s v="Yes"/>
    <s v="Yes"/>
    <s v="No"/>
    <s v="Yes (Low)"/>
    <s v="No"/>
    <s v="No"/>
    <s v="Yes"/>
    <s v="Yes"/>
    <s v="No"/>
    <s v="No"/>
    <n v="714.7"/>
    <n v="453"/>
    <n v="1.23"/>
    <n v="0.93"/>
    <n v="1.34"/>
    <n v="0.65"/>
    <n v="0.82"/>
    <n v="1.1599999999999999"/>
    <n v="2.02"/>
    <n v="1"/>
    <n v="1"/>
    <n v="1"/>
    <n v="0.88"/>
    <n v="0.95"/>
    <n v="1"/>
    <n v="1"/>
    <n v="0.89"/>
    <n v="0.93"/>
    <n v="1"/>
    <n v="1"/>
    <n v="1.06"/>
    <n v="636.08144342806315"/>
    <n v="78.618556571936892"/>
    <s v="FAIL"/>
    <n v="78.618556571936892"/>
    <x v="2"/>
  </r>
  <r>
    <s v="P0712"/>
    <d v="2026-03-04T00:00:00"/>
    <s v="Comprehensive"/>
    <s v="65+"/>
    <n v="2"/>
    <n v="1"/>
    <s v="Yes (High Score)"/>
    <s v="8,500-13,499"/>
    <s v="Huntington Beach (90742)"/>
    <s v="$150,000+"/>
    <s v="No"/>
    <s v="No"/>
    <s v="No"/>
    <s v="No"/>
    <s v="Yes"/>
    <s v="No"/>
    <s v="Yes (Medium)"/>
    <s v="No"/>
    <s v="Yes"/>
    <s v="Yes"/>
    <s v="No"/>
    <s v="No"/>
    <s v="No"/>
    <n v="386.9878381495767"/>
    <n v="121"/>
    <n v="1.27"/>
    <n v="1.41"/>
    <n v="1.34"/>
    <n v="0.65"/>
    <n v="1"/>
    <n v="0.98"/>
    <n v="2.87"/>
    <n v="1"/>
    <n v="1"/>
    <n v="1"/>
    <n v="1"/>
    <n v="0.84"/>
    <n v="1"/>
    <n v="0.92"/>
    <n v="0.89"/>
    <n v="1"/>
    <n v="1"/>
    <n v="1"/>
    <n v="1.06"/>
    <n v="386.9878381495767"/>
    <n v="0"/>
    <s v="PASS"/>
    <n v="0"/>
    <x v="0"/>
  </r>
  <r>
    <s v="P0713"/>
    <d v="2026-04-20T00:00:00"/>
    <s v="Collision"/>
    <s v="16-24"/>
    <n v="1"/>
    <n v="3"/>
    <s v="Yes (High Score)"/>
    <s v="5,000-8,499"/>
    <s v="Fullerton (92832)"/>
    <s v="$5,000-$14,999"/>
    <s v="No"/>
    <s v="No"/>
    <s v="No"/>
    <s v="No"/>
    <s v="Yes"/>
    <s v="No"/>
    <s v="Yes (Medium)"/>
    <s v="No"/>
    <s v="No"/>
    <s v="No"/>
    <s v="No"/>
    <s v="No"/>
    <s v="No"/>
    <n v="1043.6589041345951"/>
    <n v="453"/>
    <n v="1.32"/>
    <n v="1.64"/>
    <n v="1.82"/>
    <n v="0.65"/>
    <n v="0.93"/>
    <n v="1.1200000000000001"/>
    <n v="0.97"/>
    <n v="1"/>
    <n v="1"/>
    <n v="1"/>
    <n v="1"/>
    <n v="0.84"/>
    <n v="1"/>
    <n v="1"/>
    <n v="1"/>
    <n v="1"/>
    <n v="1"/>
    <n v="1"/>
    <n v="1.06"/>
    <n v="1043.6589041345951"/>
    <n v="0"/>
    <s v="PASS"/>
    <n v="0"/>
    <x v="0"/>
  </r>
  <r>
    <s v="P0714"/>
    <d v="2026-01-04T00:00:00"/>
    <s v="Liability"/>
    <s v="35-44"/>
    <s v="8+"/>
    <n v="0"/>
    <s v="Yes (Low Score)"/>
    <s v="17,000+"/>
    <s v="Compton (90220)"/>
    <s v="$150,000+"/>
    <s v="No"/>
    <s v="No"/>
    <s v="No"/>
    <s v="No"/>
    <s v="No"/>
    <s v="Yes"/>
    <s v="No"/>
    <s v="Yes (Low)"/>
    <s v="Yes"/>
    <s v="Yes"/>
    <s v="Yes"/>
    <s v="No"/>
    <s v="No"/>
    <n v="1586.9791176229301"/>
    <n v="622"/>
    <n v="1"/>
    <n v="0.93"/>
    <n v="1"/>
    <n v="0.95"/>
    <n v="1.31"/>
    <n v="1.56"/>
    <n v="2.87"/>
    <n v="1"/>
    <n v="1"/>
    <n v="1"/>
    <n v="1"/>
    <n v="1"/>
    <n v="0.61"/>
    <n v="0.92"/>
    <n v="0.89"/>
    <n v="0.93"/>
    <n v="1"/>
    <n v="1"/>
    <n v="1.06"/>
    <n v="1586.9791176229301"/>
    <n v="0"/>
    <s v="PASS"/>
    <n v="0"/>
    <x v="0"/>
  </r>
  <r>
    <s v="P0715"/>
    <d v="2025-08-11T00:00:00"/>
    <s v="Collision"/>
    <s v="35-44"/>
    <n v="5"/>
    <n v="1"/>
    <s v="Yes (High Score)"/>
    <s v="13,500-16,999"/>
    <s v="Anaheim (92801)"/>
    <s v="$25,000-$44,999"/>
    <s v="No"/>
    <s v="No"/>
    <s v="No"/>
    <s v="Yes"/>
    <s v="Yes"/>
    <s v="No"/>
    <s v="Yes (Low)"/>
    <s v="No"/>
    <s v="Yes"/>
    <s v="Yes"/>
    <s v="No"/>
    <s v="No"/>
    <s v="No"/>
    <n v="484.50604714875823"/>
    <n v="453"/>
    <n v="1"/>
    <n v="1.07"/>
    <n v="1.34"/>
    <n v="0.65"/>
    <n v="1.18"/>
    <n v="1.1100000000000001"/>
    <n v="1.28"/>
    <n v="1"/>
    <n v="1"/>
    <n v="1"/>
    <n v="0.88"/>
    <n v="0.95"/>
    <n v="1"/>
    <n v="0.92"/>
    <n v="0.89"/>
    <n v="1"/>
    <n v="1"/>
    <n v="1"/>
    <n v="1"/>
    <n v="484.50604714875823"/>
    <n v="0"/>
    <s v="PASS"/>
    <n v="0"/>
    <x v="0"/>
  </r>
  <r>
    <s v="P0716"/>
    <d v="2025-07-05T00:00:00"/>
    <s v="Collision"/>
    <s v="45-54"/>
    <n v="4"/>
    <n v="2"/>
    <s v="No"/>
    <s v="5,000-8,499"/>
    <s v="Westminster (92655)"/>
    <s v="$0-$4,999"/>
    <s v="No"/>
    <s v="No"/>
    <s v="No"/>
    <s v="No"/>
    <s v="Yes"/>
    <s v="No"/>
    <s v="Yes (Medium)"/>
    <s v="No"/>
    <s v="No"/>
    <s v="No"/>
    <s v="No"/>
    <s v="Yes"/>
    <s v="Yes"/>
    <n v="550.06459324698983"/>
    <n v="453"/>
    <n v="1.07"/>
    <n v="1.1499999999999999"/>
    <n v="1.55"/>
    <n v="1"/>
    <n v="0.93"/>
    <n v="1.0900000000000001"/>
    <n v="0.82"/>
    <n v="1"/>
    <n v="1"/>
    <n v="1"/>
    <n v="1"/>
    <n v="0.84"/>
    <n v="1"/>
    <n v="1"/>
    <n v="1"/>
    <n v="1"/>
    <n v="0.94"/>
    <n v="0.97"/>
    <n v="1"/>
    <n v="550.06459324698983"/>
    <n v="0"/>
    <s v="PASS"/>
    <n v="0"/>
    <x v="0"/>
  </r>
  <r>
    <s v="P0717"/>
    <d v="2026-01-12T00:00:00"/>
    <s v="Liability"/>
    <s v="16-24"/>
    <n v="4"/>
    <n v="0"/>
    <s v="Yes (Low Score)"/>
    <s v="5,000-8,499"/>
    <s v="Koreatown (90006)"/>
    <s v="$45,000-$84,999"/>
    <s v="No"/>
    <s v="No"/>
    <s v="No"/>
    <s v="Yes"/>
    <s v="No"/>
    <s v="Yes"/>
    <s v="No"/>
    <s v="Yes (Low)"/>
    <s v="No"/>
    <s v="Yes"/>
    <s v="No"/>
    <s v="No"/>
    <s v="No"/>
    <n v="802.53154448608029"/>
    <n v="622"/>
    <n v="1.32"/>
    <n v="1.1499999999999999"/>
    <n v="1"/>
    <n v="0.95"/>
    <n v="0.93"/>
    <n v="1.21"/>
    <n v="1.57"/>
    <n v="1"/>
    <n v="1"/>
    <n v="1"/>
    <n v="0.88"/>
    <n v="1"/>
    <n v="0.61"/>
    <n v="1"/>
    <n v="0.89"/>
    <n v="1"/>
    <n v="1"/>
    <n v="1"/>
    <n v="1.06"/>
    <n v="802.53154448608029"/>
    <n v="0"/>
    <s v="PASS"/>
    <n v="0"/>
    <x v="0"/>
  </r>
  <r>
    <s v="P0718"/>
    <d v="2026-02-24T00:00:00"/>
    <s v="Collision"/>
    <s v="55-64"/>
    <n v="1"/>
    <n v="0"/>
    <s v="No"/>
    <s v="0-4,999"/>
    <s v="DTLA (90012)"/>
    <s v="$0-$4,999"/>
    <s v="No"/>
    <s v="Yes"/>
    <s v="No"/>
    <s v="No"/>
    <s v="Yes"/>
    <s v="No"/>
    <s v="Yes (Medium)"/>
    <s v="No"/>
    <s v="No"/>
    <s v="No"/>
    <s v="No"/>
    <s v="No"/>
    <s v="No"/>
    <n v="759.5018643422859"/>
    <n v="453"/>
    <n v="1.1200000000000001"/>
    <n v="1.64"/>
    <n v="1"/>
    <n v="1"/>
    <n v="0.82"/>
    <n v="1.26"/>
    <n v="0.82"/>
    <n v="1"/>
    <n v="1.21"/>
    <n v="1"/>
    <n v="1"/>
    <n v="0.84"/>
    <n v="1"/>
    <n v="1"/>
    <n v="1"/>
    <n v="1"/>
    <n v="1"/>
    <n v="1"/>
    <n v="1.06"/>
    <n v="759.5018643422859"/>
    <n v="0"/>
    <s v="PASS"/>
    <n v="0"/>
    <x v="0"/>
  </r>
  <r>
    <s v="P0719"/>
    <d v="2025-06-17T00:00:00"/>
    <s v="Liability"/>
    <s v="45-54"/>
    <s v="8+"/>
    <n v="4"/>
    <s v="Yes (Medium Score)"/>
    <s v="5,000-8,499"/>
    <s v="Huntington Beach (90742)"/>
    <s v="$0-$4,999"/>
    <s v="No"/>
    <s v="No"/>
    <s v="No"/>
    <s v="No"/>
    <s v="No"/>
    <s v="Yes"/>
    <s v="No"/>
    <s v="Yes (Low)"/>
    <s v="No"/>
    <s v="No"/>
    <s v="Yes"/>
    <s v="No"/>
    <s v="No"/>
    <n v="445.06005682708548"/>
    <n v="622"/>
    <n v="1.07"/>
    <n v="0.93"/>
    <n v="2.12"/>
    <n v="0.8"/>
    <n v="0.93"/>
    <n v="0.98"/>
    <n v="0.82"/>
    <n v="1"/>
    <n v="1"/>
    <n v="1"/>
    <n v="1"/>
    <n v="1"/>
    <n v="0.61"/>
    <n v="1"/>
    <n v="1"/>
    <n v="0.93"/>
    <n v="1"/>
    <n v="1"/>
    <n v="1"/>
    <n v="445.06005682708548"/>
    <n v="0"/>
    <s v="PASS"/>
    <n v="0"/>
    <x v="0"/>
  </r>
  <r>
    <s v="P0720"/>
    <d v="2026-02-28T00:00:00"/>
    <s v="Rental Car Reinbursement"/>
    <s v="25-34"/>
    <n v="2"/>
    <n v="2"/>
    <s v="Yes (Low Score)"/>
    <s v="17,000+"/>
    <s v="Anaheim (92801)"/>
    <s v="$5,000-$14,999"/>
    <s v="No"/>
    <s v="Yes"/>
    <s v="No"/>
    <s v="No"/>
    <s v="No"/>
    <s v="Yes"/>
    <s v="No"/>
    <s v="Yes (High)"/>
    <s v="No"/>
    <s v="No"/>
    <s v="No"/>
    <s v="Yes"/>
    <s v="No"/>
    <n v="149.5642399119738"/>
    <n v="41"/>
    <n v="1.23"/>
    <n v="1.41"/>
    <n v="1.55"/>
    <n v="0.95"/>
    <n v="1.31"/>
    <n v="1.1100000000000001"/>
    <n v="0.97"/>
    <n v="1"/>
    <n v="1.21"/>
    <n v="1"/>
    <n v="1"/>
    <n v="1"/>
    <n v="0.84"/>
    <n v="1"/>
    <n v="1"/>
    <n v="1"/>
    <n v="0.94"/>
    <n v="1"/>
    <n v="1.06"/>
    <n v="149.5642399119738"/>
    <n v="0"/>
    <s v="PASS"/>
    <n v="0"/>
    <x v="0"/>
  </r>
  <r>
    <s v="P0721"/>
    <d v="2025-12-01T00:00:00"/>
    <s v="Collision"/>
    <s v="55-64"/>
    <s v="8+"/>
    <n v="0"/>
    <s v="Yes (High Score)"/>
    <s v="8,500-13,499"/>
    <s v="Fullerton (92832)"/>
    <s v="$15,000-$24,999"/>
    <s v="Yes"/>
    <s v="No"/>
    <s v="No"/>
    <s v="Yes"/>
    <s v="Yes"/>
    <s v="No"/>
    <s v="Yes (Medium)"/>
    <s v="No"/>
    <s v="No"/>
    <s v="No"/>
    <s v="Yes"/>
    <s v="No"/>
    <s v="No"/>
    <n v="326.44437110880739"/>
    <n v="453"/>
    <n v="1.1200000000000001"/>
    <n v="0.93"/>
    <n v="1"/>
    <n v="0.65"/>
    <n v="1"/>
    <n v="1.1200000000000001"/>
    <n v="1.08"/>
    <n v="1.28"/>
    <n v="1"/>
    <n v="1"/>
    <n v="0.88"/>
    <n v="0.84"/>
    <n v="1"/>
    <n v="1"/>
    <n v="1"/>
    <n v="0.93"/>
    <n v="1"/>
    <n v="1"/>
    <n v="1"/>
    <n v="326.44437110880739"/>
    <n v="0"/>
    <s v="PASS"/>
    <n v="0"/>
    <x v="0"/>
  </r>
  <r>
    <s v="P0722"/>
    <d v="2025-12-22T00:00:00"/>
    <s v="Liability"/>
    <s v="65+"/>
    <n v="1"/>
    <n v="3"/>
    <s v="No"/>
    <s v="13,500-16,999"/>
    <s v="Long Beach (90712)"/>
    <s v="$25,000-$44,999"/>
    <s v="No"/>
    <s v="No"/>
    <s v="No"/>
    <s v="Yes"/>
    <s v="No"/>
    <s v="Yes"/>
    <s v="No"/>
    <s v="Yes (Medium)"/>
    <s v="No"/>
    <s v="Yes"/>
    <s v="Yes"/>
    <s v="No"/>
    <s v="Yes"/>
    <n v="2028.9866958243947"/>
    <n v="622"/>
    <n v="1.27"/>
    <n v="1.64"/>
    <n v="1.82"/>
    <n v="1"/>
    <n v="1.18"/>
    <n v="1.1200000000000001"/>
    <n v="1.28"/>
    <n v="1"/>
    <n v="1"/>
    <n v="1"/>
    <n v="0.88"/>
    <n v="1"/>
    <n v="0.72"/>
    <n v="1"/>
    <n v="0.89"/>
    <n v="0.93"/>
    <n v="1"/>
    <n v="0.97"/>
    <n v="1"/>
    <n v="2028.9866958243947"/>
    <n v="0"/>
    <s v="PASS"/>
    <n v="0"/>
    <x v="0"/>
  </r>
  <r>
    <s v="P0723"/>
    <d v="2025-06-20T00:00:00"/>
    <s v="Collision"/>
    <s v="55-64"/>
    <n v="6"/>
    <n v="2"/>
    <s v="Yes (Medium Score)"/>
    <s v="8,500-13,499"/>
    <s v="Costa Mesa (92626)"/>
    <s v="$45,000-$84,999"/>
    <s v="No"/>
    <s v="No"/>
    <s v="No"/>
    <s v="No"/>
    <s v="Yes"/>
    <s v="No"/>
    <s v="Yes (Medium)"/>
    <s v="No"/>
    <s v="Yes"/>
    <s v="Yes"/>
    <s v="No"/>
    <s v="No"/>
    <s v="No"/>
    <n v="625.00358673027085"/>
    <n v="453"/>
    <n v="1.1200000000000001"/>
    <n v="1"/>
    <n v="1.55"/>
    <n v="0.8"/>
    <n v="1"/>
    <n v="0.92"/>
    <n v="1.57"/>
    <n v="1"/>
    <n v="1"/>
    <n v="1"/>
    <n v="1"/>
    <n v="0.84"/>
    <n v="1"/>
    <n v="0.92"/>
    <n v="0.89"/>
    <n v="1"/>
    <n v="1"/>
    <n v="1"/>
    <n v="1"/>
    <n v="625.00358673027085"/>
    <n v="0"/>
    <s v="PASS"/>
    <n v="0"/>
    <x v="0"/>
  </r>
  <r>
    <s v="P0724"/>
    <d v="2025-08-08T00:00:00"/>
    <s v="Collision"/>
    <s v="45-54"/>
    <s v="8+"/>
    <n v="1"/>
    <s v="Yes (Medium Score)"/>
    <s v="5,000-8,499"/>
    <s v="Huntington Beach (90742)"/>
    <s v="$15,000-$24,999"/>
    <s v="No"/>
    <s v="No"/>
    <s v="No"/>
    <s v="No"/>
    <s v="Yes"/>
    <s v="No"/>
    <s v="Yes (Low)"/>
    <s v="No"/>
    <s v="No"/>
    <s v="Yes"/>
    <s v="No"/>
    <s v="No"/>
    <s v="No"/>
    <n v="402.16669792061555"/>
    <n v="453"/>
    <n v="1.07"/>
    <n v="0.93"/>
    <n v="1.34"/>
    <n v="0.8"/>
    <n v="0.93"/>
    <n v="0.98"/>
    <n v="1.08"/>
    <n v="1"/>
    <n v="1"/>
    <n v="1"/>
    <n v="1"/>
    <n v="0.95"/>
    <n v="1"/>
    <n v="1"/>
    <n v="0.89"/>
    <n v="1"/>
    <n v="1"/>
    <n v="1"/>
    <n v="1"/>
    <n v="402.16669792061555"/>
    <n v="0"/>
    <s v="PASS"/>
    <n v="0"/>
    <x v="0"/>
  </r>
  <r>
    <s v="P0725"/>
    <d v="2025-09-16T00:00:00"/>
    <s v="Rental Car Reinbursement"/>
    <s v="45-54"/>
    <s v="8+"/>
    <n v="1"/>
    <s v="Yes (Medium Score)"/>
    <s v="13,500-16,999"/>
    <s v="Compton (90220)"/>
    <s v="$0-$4,999"/>
    <s v="No"/>
    <s v="No"/>
    <s v="No"/>
    <s v="Yes"/>
    <s v="No"/>
    <s v="Yes"/>
    <s v="No"/>
    <s v="Yes (High)"/>
    <s v="No"/>
    <s v="Yes"/>
    <s v="No"/>
    <s v="No"/>
    <s v="No"/>
    <n v="43.432796311013583"/>
    <n v="41"/>
    <n v="1.07"/>
    <n v="0.93"/>
    <n v="1.34"/>
    <n v="0.8"/>
    <n v="1.18"/>
    <n v="1.56"/>
    <n v="0.82"/>
    <n v="1"/>
    <n v="1"/>
    <n v="1"/>
    <n v="0.88"/>
    <n v="1"/>
    <n v="0.84"/>
    <n v="1"/>
    <n v="0.89"/>
    <n v="1"/>
    <n v="1"/>
    <n v="1"/>
    <n v="1"/>
    <n v="43.432796311013583"/>
    <n v="0"/>
    <s v="PASS"/>
    <n v="0"/>
    <x v="0"/>
  </r>
  <r>
    <s v="P0726"/>
    <d v="2025-09-10T00:00:00"/>
    <s v="Rental Car Reinbursement"/>
    <s v="16-24"/>
    <s v="8+"/>
    <n v="1"/>
    <s v="Yes (Low Score)"/>
    <s v="17,000+"/>
    <s v="Orange (92705)"/>
    <s v="$150,000+"/>
    <s v="No"/>
    <s v="No"/>
    <s v="No"/>
    <s v="Yes"/>
    <s v="No"/>
    <s v="Yes"/>
    <s v="No"/>
    <s v="Yes (Low)"/>
    <s v="No"/>
    <s v="No"/>
    <s v="Yes"/>
    <s v="No"/>
    <s v="No"/>
    <n v="122.66423650012477"/>
    <n v="41"/>
    <n v="1.32"/>
    <n v="0.93"/>
    <n v="1.34"/>
    <n v="0.95"/>
    <n v="1.31"/>
    <n v="1.02"/>
    <n v="2.87"/>
    <n v="1"/>
    <n v="1"/>
    <n v="1"/>
    <n v="0.88"/>
    <n v="1"/>
    <n v="0.61"/>
    <n v="1"/>
    <n v="1"/>
    <n v="0.93"/>
    <n v="1"/>
    <n v="1"/>
    <n v="1"/>
    <n v="122.66423650012477"/>
    <n v="0"/>
    <s v="PASS"/>
    <n v="0"/>
    <x v="0"/>
  </r>
  <r>
    <s v="P0727"/>
    <d v="2025-08-24T00:00:00"/>
    <s v="Uninsured Motorist"/>
    <s v="35-44"/>
    <n v="5"/>
    <n v="1"/>
    <s v="Yes (Low Score)"/>
    <s v="0-4,999"/>
    <s v="Anaheim (92801)"/>
    <s v="$5,000-$14,999"/>
    <s v="No"/>
    <s v="Yes"/>
    <s v="No"/>
    <s v="No"/>
    <s v="No"/>
    <s v="Yes"/>
    <s v="No"/>
    <s v="Yes (High)"/>
    <s v="Yes"/>
    <s v="No"/>
    <s v="No"/>
    <s v="No"/>
    <s v="Yes"/>
    <n v="85.082367772119937"/>
    <n v="78"/>
    <n v="1"/>
    <n v="1.07"/>
    <n v="1.34"/>
    <n v="0.95"/>
    <n v="0.82"/>
    <n v="1.1100000000000001"/>
    <n v="0.97"/>
    <n v="1"/>
    <n v="1.21"/>
    <n v="1"/>
    <n v="1"/>
    <n v="1"/>
    <n v="0.84"/>
    <n v="0.92"/>
    <n v="1"/>
    <n v="1"/>
    <n v="1"/>
    <n v="0.97"/>
    <n v="1"/>
    <n v="85.082367772119937"/>
    <n v="0"/>
    <s v="PASS"/>
    <n v="0"/>
    <x v="0"/>
  </r>
  <r>
    <s v="P0728"/>
    <d v="2025-12-16T00:00:00"/>
    <s v="Comprehensive"/>
    <s v="25-34"/>
    <n v="5"/>
    <n v="3"/>
    <s v="Yes (High Score)"/>
    <s v="5,000-8,499"/>
    <s v="Long Beach (90712)"/>
    <s v="$25,000-$44,999"/>
    <s v="No"/>
    <s v="No"/>
    <s v="No"/>
    <s v="Yes"/>
    <s v="Yes"/>
    <s v="No"/>
    <s v="Yes (Medium)"/>
    <s v="No"/>
    <s v="Yes"/>
    <s v="Yes"/>
    <s v="No"/>
    <s v="No"/>
    <s v="No"/>
    <n v="152.02315351540972"/>
    <n v="121"/>
    <n v="1.23"/>
    <n v="1.07"/>
    <n v="1.82"/>
    <n v="0.65"/>
    <n v="0.93"/>
    <n v="1.1200000000000001"/>
    <n v="1.28"/>
    <n v="1"/>
    <n v="1"/>
    <n v="1"/>
    <n v="0.88"/>
    <n v="0.84"/>
    <n v="1"/>
    <n v="0.92"/>
    <n v="0.89"/>
    <n v="1"/>
    <n v="1"/>
    <n v="1"/>
    <n v="1"/>
    <n v="152.02315351540972"/>
    <n v="0"/>
    <s v="PASS"/>
    <n v="0"/>
    <x v="0"/>
  </r>
  <r>
    <s v="P0729"/>
    <d v="2025-06-06T00:00:00"/>
    <s v="Liability"/>
    <s v="35-44"/>
    <n v="6"/>
    <n v="0"/>
    <s v="Yes (High Score)"/>
    <s v="0-4,999"/>
    <s v="Silverlake (90026 )"/>
    <s v="$45,000-$84,999"/>
    <s v="No"/>
    <s v="No"/>
    <s v="Yes"/>
    <s v="Yes"/>
    <s v="No"/>
    <s v="Yes"/>
    <s v="No"/>
    <s v="Yes (Medium)"/>
    <s v="Yes"/>
    <s v="No"/>
    <s v="Yes"/>
    <s v="No"/>
    <s v="No"/>
    <n v="379.68126607407441"/>
    <n v="622"/>
    <n v="1"/>
    <n v="1"/>
    <n v="1"/>
    <n v="0.65"/>
    <n v="0.82"/>
    <n v="1.1599999999999999"/>
    <n v="1.57"/>
    <n v="1"/>
    <n v="1"/>
    <n v="1.1599999999999999"/>
    <n v="0.88"/>
    <n v="1"/>
    <n v="0.72"/>
    <n v="0.92"/>
    <n v="1"/>
    <n v="0.93"/>
    <n v="1"/>
    <n v="1"/>
    <n v="1"/>
    <n v="379.68126607407441"/>
    <n v="0"/>
    <s v="PASS"/>
    <n v="0"/>
    <x v="0"/>
  </r>
  <r>
    <s v="P0730"/>
    <d v="2026-03-08T00:00:00"/>
    <s v="Collision"/>
    <s v="16-24"/>
    <n v="7"/>
    <n v="1"/>
    <s v="No"/>
    <s v="8,500-13,499"/>
    <s v="West Hollywood (90046)"/>
    <s v="$0-$4,999"/>
    <s v="No"/>
    <s v="No"/>
    <s v="No"/>
    <s v="No"/>
    <s v="Yes"/>
    <s v="No"/>
    <s v="Yes (High)"/>
    <s v="No"/>
    <s v="No"/>
    <s v="Yes"/>
    <s v="Yes"/>
    <s v="No"/>
    <s v="No"/>
    <n v="430.44"/>
    <n v="453"/>
    <n v="1.32"/>
    <n v="0.95"/>
    <n v="1.34"/>
    <n v="1"/>
    <n v="1"/>
    <n v="1.18"/>
    <n v="0.82"/>
    <n v="1"/>
    <n v="1"/>
    <n v="1"/>
    <n v="1"/>
    <n v="0.72"/>
    <n v="1"/>
    <n v="1"/>
    <n v="0.89"/>
    <n v="0.93"/>
    <n v="1"/>
    <n v="1"/>
    <n v="1.06"/>
    <n v="465.27285268705782"/>
    <n v="-34.832852687057823"/>
    <s v="FAIL"/>
    <n v="34.832852687057823"/>
    <x v="1"/>
  </r>
  <r>
    <s v="P0731"/>
    <d v="2026-03-17T00:00:00"/>
    <s v="Collision"/>
    <s v="65+"/>
    <n v="1"/>
    <s v="5+"/>
    <s v="Yes (Low Score)"/>
    <s v="5,000-8,499"/>
    <s v="Hawthorne (90250)"/>
    <s v="$5,000-$14,999"/>
    <s v="Yes"/>
    <s v="No"/>
    <s v="No"/>
    <s v="Yes"/>
    <s v="Yes"/>
    <s v="No"/>
    <s v="Yes (Medium)"/>
    <s v="No"/>
    <s v="No"/>
    <s v="No"/>
    <s v="No"/>
    <s v="No"/>
    <s v="No"/>
    <n v="2183.3597679902068"/>
    <n v="453"/>
    <n v="1.27"/>
    <n v="1.64"/>
    <n v="2.4700000000000002"/>
    <n v="0.95"/>
    <n v="0.93"/>
    <n v="1.0900000000000001"/>
    <n v="0.97"/>
    <n v="1.28"/>
    <n v="1"/>
    <n v="1"/>
    <n v="0.88"/>
    <n v="0.84"/>
    <n v="1"/>
    <n v="1"/>
    <n v="1"/>
    <n v="1"/>
    <n v="1"/>
    <n v="1"/>
    <n v="1.06"/>
    <n v="2183.3597679902068"/>
    <n v="0"/>
    <s v="PASS"/>
    <n v="0"/>
    <x v="0"/>
  </r>
  <r>
    <s v="P0732"/>
    <d v="2026-03-15T00:00:00"/>
    <s v="Liability"/>
    <s v="65+"/>
    <n v="1"/>
    <n v="3"/>
    <s v="No"/>
    <s v="8,500-13,499"/>
    <s v="Culver City (90066)"/>
    <s v="$85,000-$149,999"/>
    <s v="No"/>
    <s v="No"/>
    <s v="No"/>
    <s v="No"/>
    <s v="No"/>
    <s v="Yes"/>
    <s v="No"/>
    <s v="Yes (High)"/>
    <s v="Yes"/>
    <s v="No"/>
    <s v="No"/>
    <s v="Yes"/>
    <s v="No"/>
    <n v="4217.5416852366716"/>
    <n v="622"/>
    <n v="1.27"/>
    <n v="1.64"/>
    <n v="1.82"/>
    <n v="1"/>
    <n v="1"/>
    <n v="1.1499999999999999"/>
    <n v="2.02"/>
    <n v="1"/>
    <n v="1"/>
    <n v="1"/>
    <n v="1"/>
    <n v="1"/>
    <n v="0.84"/>
    <n v="0.92"/>
    <n v="1"/>
    <n v="1"/>
    <n v="0.94"/>
    <n v="1"/>
    <n v="1.06"/>
    <n v="4217.5416852366716"/>
    <n v="0"/>
    <s v="PASS"/>
    <n v="0"/>
    <x v="0"/>
  </r>
  <r>
    <s v="P0733"/>
    <d v="2025-05-20T00:00:00"/>
    <s v="Liability"/>
    <s v="45-54"/>
    <n v="6"/>
    <s v="5+"/>
    <s v="Yes (Medium Score)"/>
    <s v="17,000+"/>
    <s v="Fullerton (92832)"/>
    <s v="$0-$4,999"/>
    <s v="No"/>
    <s v="No"/>
    <s v="No"/>
    <s v="No"/>
    <s v="No"/>
    <s v="Yes"/>
    <s v="No"/>
    <s v="Yes (Medium)"/>
    <s v="No"/>
    <s v="No"/>
    <s v="No"/>
    <s v="Yes"/>
    <s v="No"/>
    <n v="1070.8400936426624"/>
    <n v="622"/>
    <n v="1.07"/>
    <n v="1"/>
    <n v="2.4700000000000002"/>
    <n v="0.8"/>
    <n v="1.31"/>
    <n v="1.1200000000000001"/>
    <n v="0.82"/>
    <n v="1"/>
    <n v="1"/>
    <n v="1"/>
    <n v="1"/>
    <n v="1"/>
    <n v="0.72"/>
    <n v="1"/>
    <n v="1"/>
    <n v="1"/>
    <n v="0.94"/>
    <n v="1"/>
    <n v="1"/>
    <n v="1070.8400936426624"/>
    <n v="0"/>
    <s v="PASS"/>
    <n v="0"/>
    <x v="0"/>
  </r>
  <r>
    <s v="P0734"/>
    <d v="2025-06-04T00:00:00"/>
    <s v="Liability"/>
    <s v="45-54"/>
    <n v="7"/>
    <n v="3"/>
    <s v="Yes (High Score)"/>
    <s v="8,500-13,499"/>
    <s v="Fullerton (92832)"/>
    <s v="$150,000+"/>
    <s v="No"/>
    <s v="No"/>
    <s v="No"/>
    <s v="No"/>
    <s v="No"/>
    <s v="Yes"/>
    <s v="No"/>
    <s v="Yes (High)"/>
    <s v="No"/>
    <s v="No"/>
    <s v="No"/>
    <s v="No"/>
    <s v="No"/>
    <n v="2019.5830531443844"/>
    <n v="622"/>
    <n v="1.07"/>
    <n v="0.95"/>
    <n v="1.82"/>
    <n v="0.65"/>
    <n v="1"/>
    <n v="1.1200000000000001"/>
    <n v="2.87"/>
    <n v="1"/>
    <n v="1"/>
    <n v="1"/>
    <n v="1"/>
    <n v="1"/>
    <n v="0.84"/>
    <n v="1"/>
    <n v="1"/>
    <n v="1"/>
    <n v="1"/>
    <n v="1"/>
    <n v="1"/>
    <n v="2019.5830531443844"/>
    <n v="0"/>
    <s v="PASS"/>
    <n v="0"/>
    <x v="0"/>
  </r>
  <r>
    <s v="P0735"/>
    <d v="2026-02-22T00:00:00"/>
    <s v="Liability"/>
    <s v="25-34"/>
    <n v="3"/>
    <n v="2"/>
    <s v="No"/>
    <s v="0-4,999"/>
    <s v="Irvine (92602)"/>
    <s v="$5,000-$14,999"/>
    <s v="No"/>
    <s v="No"/>
    <s v="Yes"/>
    <s v="No"/>
    <s v="No"/>
    <s v="Yes"/>
    <s v="No"/>
    <s v="Yes (Low)"/>
    <s v="No"/>
    <s v="Yes"/>
    <s v="No"/>
    <s v="No"/>
    <s v="No"/>
    <n v="837.30330549399105"/>
    <n v="622"/>
    <n v="1.23"/>
    <n v="1.22"/>
    <n v="1.55"/>
    <n v="1"/>
    <n v="0.82"/>
    <n v="1.0900000000000001"/>
    <n v="0.97"/>
    <n v="1"/>
    <n v="1"/>
    <n v="1.1599999999999999"/>
    <n v="1"/>
    <n v="1"/>
    <n v="0.61"/>
    <n v="1"/>
    <n v="0.89"/>
    <n v="1"/>
    <n v="1"/>
    <n v="1"/>
    <n v="1.06"/>
    <n v="837.30330549399105"/>
    <n v="0"/>
    <s v="PASS"/>
    <n v="0"/>
    <x v="0"/>
  </r>
  <r>
    <s v="P0736"/>
    <d v="2025-05-06T00:00:00"/>
    <s v="Uninsured Motorist"/>
    <s v="45-54"/>
    <n v="4"/>
    <n v="3"/>
    <s v="Yes (High Score)"/>
    <s v="8,500-13,499"/>
    <s v="Hollywood (90028)"/>
    <s v="$85,000-$149,999"/>
    <s v="No"/>
    <s v="No"/>
    <s v="No"/>
    <s v="No"/>
    <s v="No"/>
    <s v="Yes"/>
    <s v="No"/>
    <s v="Yes (Low)"/>
    <s v="No"/>
    <s v="Yes"/>
    <s v="No"/>
    <s v="No"/>
    <s v="No"/>
    <n v="148.17643364847413"/>
    <n v="78"/>
    <n v="1.07"/>
    <n v="1.1499999999999999"/>
    <n v="1.82"/>
    <n v="0.65"/>
    <n v="1"/>
    <n v="1.19"/>
    <n v="2.02"/>
    <n v="1"/>
    <n v="1"/>
    <n v="1"/>
    <n v="1"/>
    <n v="1"/>
    <n v="0.61"/>
    <n v="1"/>
    <n v="0.89"/>
    <n v="1"/>
    <n v="1"/>
    <n v="1"/>
    <n v="1"/>
    <n v="148.17643364847413"/>
    <n v="0"/>
    <s v="PASS"/>
    <n v="0"/>
    <x v="0"/>
  </r>
  <r>
    <s v="P0737"/>
    <d v="2025-08-06T00:00:00"/>
    <s v="Rental Car Reinbursement"/>
    <s v="65+"/>
    <n v="1"/>
    <n v="1"/>
    <s v="No"/>
    <s v="0-4,999"/>
    <s v="Huntington Beach (90742)"/>
    <s v="$15,000-$24,999"/>
    <s v="No"/>
    <s v="No"/>
    <s v="No"/>
    <s v="No"/>
    <s v="No"/>
    <s v="Yes"/>
    <s v="No"/>
    <s v="Yes (Medium)"/>
    <s v="No"/>
    <s v="No"/>
    <s v="No"/>
    <s v="No"/>
    <s v="No"/>
    <n v="71.504340281579516"/>
    <n v="41"/>
    <n v="1.27"/>
    <n v="1.64"/>
    <n v="1.34"/>
    <n v="1"/>
    <n v="0.82"/>
    <n v="0.98"/>
    <n v="1.08"/>
    <n v="1"/>
    <n v="1"/>
    <n v="1"/>
    <n v="1"/>
    <n v="1"/>
    <n v="0.72"/>
    <n v="1"/>
    <n v="1"/>
    <n v="1"/>
    <n v="1"/>
    <n v="1"/>
    <n v="1"/>
    <n v="71.504340281579516"/>
    <n v="0"/>
    <s v="PASS"/>
    <n v="0"/>
    <x v="0"/>
  </r>
  <r>
    <s v="P0738"/>
    <d v="2026-02-12T00:00:00"/>
    <s v="Uninsured Motorist"/>
    <s v="45-54"/>
    <n v="3"/>
    <n v="4"/>
    <s v="No"/>
    <s v="5,000-8,499"/>
    <s v="Anaheim (92801)"/>
    <s v="$150,000+"/>
    <s v="No"/>
    <s v="No"/>
    <s v="No"/>
    <s v="Yes"/>
    <s v="No"/>
    <s v="Yes"/>
    <s v="No"/>
    <s v="Yes (High)"/>
    <s v="No"/>
    <s v="Yes"/>
    <s v="No"/>
    <s v="Yes"/>
    <s v="No"/>
    <n v="419.22539227552699"/>
    <n v="78"/>
    <n v="1.07"/>
    <n v="1.22"/>
    <n v="2.12"/>
    <n v="1"/>
    <n v="0.93"/>
    <n v="1.1100000000000001"/>
    <n v="2.87"/>
    <n v="1"/>
    <n v="1"/>
    <n v="1"/>
    <n v="0.88"/>
    <n v="1"/>
    <n v="0.84"/>
    <n v="1"/>
    <n v="0.89"/>
    <n v="1"/>
    <n v="0.94"/>
    <n v="1"/>
    <n v="1.06"/>
    <n v="419.22539227552699"/>
    <n v="0"/>
    <s v="PASS"/>
    <n v="0"/>
    <x v="0"/>
  </r>
  <r>
    <s v="P0739"/>
    <d v="2026-03-20T00:00:00"/>
    <s v="Collision"/>
    <s v="55-64"/>
    <n v="1"/>
    <n v="0"/>
    <s v="No"/>
    <s v="13,500-16,999"/>
    <s v="Hollywood (90028)"/>
    <s v="$0-$4,999"/>
    <s v="No"/>
    <s v="No"/>
    <s v="No"/>
    <s v="No"/>
    <s v="Yes"/>
    <s v="No"/>
    <s v="Yes (Low)"/>
    <s v="No"/>
    <s v="No"/>
    <s v="Yes"/>
    <s v="No"/>
    <s v="Yes"/>
    <s v="No"/>
    <n v="807.14251667435678"/>
    <n v="453"/>
    <n v="1.1200000000000001"/>
    <n v="1.64"/>
    <n v="1"/>
    <n v="1"/>
    <n v="1.18"/>
    <n v="1.19"/>
    <n v="0.82"/>
    <n v="1"/>
    <n v="1"/>
    <n v="1"/>
    <n v="1"/>
    <n v="0.95"/>
    <n v="1"/>
    <n v="1"/>
    <n v="0.89"/>
    <n v="1"/>
    <n v="0.94"/>
    <n v="1"/>
    <n v="1.06"/>
    <n v="807.14251667435678"/>
    <n v="0"/>
    <s v="PASS"/>
    <n v="0"/>
    <x v="0"/>
  </r>
  <r>
    <s v="P0740"/>
    <d v="2026-02-03T00:00:00"/>
    <s v="Uninsured Motorist"/>
    <s v="55-64"/>
    <n v="1"/>
    <n v="1"/>
    <s v="No"/>
    <s v="5,000-8,499"/>
    <s v="Hollywood (90028)"/>
    <s v="$0-$4,999"/>
    <s v="No"/>
    <s v="No"/>
    <s v="No"/>
    <s v="No"/>
    <s v="No"/>
    <s v="Yes"/>
    <s v="No"/>
    <s v="Yes (Low)"/>
    <s v="No"/>
    <s v="No"/>
    <s v="Yes"/>
    <s v="No"/>
    <s v="No"/>
    <n v="104.76680094610919"/>
    <n v="78"/>
    <n v="1.1200000000000001"/>
    <n v="1.64"/>
    <n v="1.34"/>
    <n v="1"/>
    <n v="0.93"/>
    <n v="1.19"/>
    <n v="0.82"/>
    <n v="1"/>
    <n v="1"/>
    <n v="1"/>
    <n v="1"/>
    <n v="1"/>
    <n v="0.61"/>
    <n v="1"/>
    <n v="1"/>
    <n v="0.93"/>
    <n v="1"/>
    <n v="1"/>
    <n v="1.06"/>
    <n v="104.76680094610919"/>
    <n v="0"/>
    <s v="PASS"/>
    <n v="0"/>
    <x v="0"/>
  </r>
  <r>
    <s v="P0741"/>
    <d v="2026-01-29T00:00:00"/>
    <s v="Collision"/>
    <s v="35-44"/>
    <n v="3"/>
    <n v="3"/>
    <s v="No"/>
    <s v="5,000-8,499"/>
    <s v="Hollywood (90028)"/>
    <s v="$85,000-$149,999"/>
    <s v="No"/>
    <s v="No"/>
    <s v="Yes"/>
    <s v="No"/>
    <s v="Yes"/>
    <s v="No"/>
    <s v="Yes (Low)"/>
    <s v="No"/>
    <s v="No"/>
    <s v="No"/>
    <s v="No"/>
    <s v="No"/>
    <s v="No"/>
    <n v="2626.6255220666781"/>
    <n v="453"/>
    <n v="1"/>
    <n v="1.22"/>
    <n v="1.82"/>
    <n v="1"/>
    <n v="0.93"/>
    <n v="1.19"/>
    <n v="2.02"/>
    <n v="1"/>
    <n v="1"/>
    <n v="1.1599999999999999"/>
    <n v="1"/>
    <n v="0.95"/>
    <n v="1"/>
    <n v="1"/>
    <n v="1"/>
    <n v="1"/>
    <n v="1"/>
    <n v="1"/>
    <n v="1.06"/>
    <n v="2626.6255220666781"/>
    <n v="0"/>
    <s v="PASS"/>
    <n v="0"/>
    <x v="0"/>
  </r>
  <r>
    <s v="P0742"/>
    <d v="2025-09-11T00:00:00"/>
    <s v="Rental Car Reinbursement"/>
    <s v="65+"/>
    <n v="3"/>
    <n v="3"/>
    <s v="No"/>
    <s v="5,000-8,499"/>
    <s v="Torrance (90248)"/>
    <s v="$5,000-$14,999"/>
    <s v="No"/>
    <s v="No"/>
    <s v="No"/>
    <s v="Yes"/>
    <s v="No"/>
    <s v="Yes"/>
    <s v="No"/>
    <s v="Yes (Low)"/>
    <s v="No"/>
    <s v="No"/>
    <s v="Yes"/>
    <s v="No"/>
    <s v="No"/>
    <n v="58.315896640466818"/>
    <n v="41"/>
    <n v="1.27"/>
    <n v="1.22"/>
    <n v="1.82"/>
    <n v="1"/>
    <n v="0.93"/>
    <n v="1.1200000000000001"/>
    <n v="0.97"/>
    <n v="1"/>
    <n v="1"/>
    <n v="1"/>
    <n v="0.88"/>
    <n v="1"/>
    <n v="0.61"/>
    <n v="1"/>
    <n v="1"/>
    <n v="0.93"/>
    <n v="1"/>
    <n v="1"/>
    <n v="1"/>
    <n v="58.315896640466818"/>
    <n v="0"/>
    <s v="PASS"/>
    <n v="0"/>
    <x v="0"/>
  </r>
  <r>
    <s v="P0743"/>
    <d v="2025-05-08T00:00:00"/>
    <s v="Collision"/>
    <s v="65+"/>
    <n v="7"/>
    <s v="5+"/>
    <s v="Yes (Low Score)"/>
    <s v="17,000+"/>
    <s v="Hollywood (90028)"/>
    <s v="$85,000-$149,999"/>
    <s v="Yes"/>
    <s v="Yes"/>
    <s v="No"/>
    <s v="No"/>
    <s v="Yes"/>
    <s v="No"/>
    <s v="Yes (Medium)"/>
    <s v="No"/>
    <s v="No"/>
    <s v="Yes"/>
    <s v="No"/>
    <s v="No"/>
    <s v="No"/>
    <n v="4676.0629165429664"/>
    <n v="453"/>
    <n v="1.27"/>
    <n v="0.95"/>
    <n v="2.4700000000000002"/>
    <n v="0.95"/>
    <n v="1.31"/>
    <n v="1.19"/>
    <n v="2.02"/>
    <n v="1.28"/>
    <n v="1.21"/>
    <n v="1"/>
    <n v="1"/>
    <n v="0.84"/>
    <n v="1"/>
    <n v="1"/>
    <n v="0.89"/>
    <n v="1"/>
    <n v="1"/>
    <n v="1"/>
    <n v="1"/>
    <n v="4676.0629165429664"/>
    <n v="0"/>
    <s v="PASS"/>
    <n v="0"/>
    <x v="0"/>
  </r>
  <r>
    <s v="P0744"/>
    <d v="2025-06-12T00:00:00"/>
    <s v="Liability"/>
    <s v="45-54"/>
    <n v="1"/>
    <s v="5+"/>
    <s v="No"/>
    <s v="0-4,999"/>
    <s v="Compton (90220)"/>
    <s v="$85,000-$149,999"/>
    <s v="No"/>
    <s v="No"/>
    <s v="No"/>
    <s v="No"/>
    <s v="No"/>
    <s v="Yes"/>
    <s v="No"/>
    <s v="Yes (Medium)"/>
    <s v="No"/>
    <s v="No"/>
    <s v="No"/>
    <s v="No"/>
    <s v="No"/>
    <n v="5015.7661512795039"/>
    <n v="622"/>
    <n v="1.07"/>
    <n v="1.64"/>
    <n v="2.4700000000000002"/>
    <n v="1"/>
    <n v="0.82"/>
    <n v="1.56"/>
    <n v="2.02"/>
    <n v="1"/>
    <n v="1"/>
    <n v="1"/>
    <n v="1"/>
    <n v="1"/>
    <n v="0.72"/>
    <n v="1"/>
    <n v="1"/>
    <n v="1"/>
    <n v="1"/>
    <n v="1"/>
    <n v="1"/>
    <n v="5015.7661512795039"/>
    <n v="0"/>
    <s v="PASS"/>
    <n v="0"/>
    <x v="0"/>
  </r>
  <r>
    <s v="P0745"/>
    <d v="2025-05-21T00:00:00"/>
    <s v="Liability"/>
    <s v="35-44"/>
    <n v="2"/>
    <n v="0"/>
    <s v="No"/>
    <s v="17,000+"/>
    <s v="Santa Ana (92702)"/>
    <s v="$150,000+"/>
    <s v="No"/>
    <s v="No"/>
    <s v="No"/>
    <s v="Yes"/>
    <s v="No"/>
    <s v="Yes"/>
    <s v="No"/>
    <s v="Yes (Low)"/>
    <s v="No"/>
    <s v="Yes"/>
    <s v="No"/>
    <s v="Yes"/>
    <s v="No"/>
    <n v="1697.08"/>
    <n v="622"/>
    <n v="1"/>
    <n v="1.41"/>
    <n v="1"/>
    <n v="1"/>
    <n v="1.31"/>
    <n v="1.02"/>
    <n v="2.87"/>
    <n v="1"/>
    <n v="1"/>
    <n v="1"/>
    <n v="0.88"/>
    <n v="1"/>
    <n v="0.61"/>
    <n v="1"/>
    <n v="0.89"/>
    <n v="1"/>
    <n v="0.94"/>
    <n v="1"/>
    <n v="1"/>
    <n v="1510.4043540666935"/>
    <n v="186.67564593330644"/>
    <s v="FAIL"/>
    <n v="186.67564593330644"/>
    <x v="2"/>
  </r>
  <r>
    <s v="P0746"/>
    <d v="2025-06-24T00:00:00"/>
    <s v="Liability"/>
    <s v="45-54"/>
    <n v="3"/>
    <n v="1"/>
    <s v="No"/>
    <s v="0-4,999"/>
    <s v="Newport Beach (92603)"/>
    <s v="$0-$4,999"/>
    <s v="No"/>
    <s v="No"/>
    <s v="No"/>
    <s v="Yes"/>
    <s v="No"/>
    <s v="Yes"/>
    <s v="No"/>
    <s v="Yes (Low)"/>
    <s v="No"/>
    <s v="Yes"/>
    <s v="Yes"/>
    <s v="No"/>
    <s v="No"/>
    <n v="305.54825806406058"/>
    <n v="622"/>
    <n v="1.07"/>
    <n v="1.22"/>
    <n v="1.34"/>
    <n v="1"/>
    <n v="0.82"/>
    <n v="0.94"/>
    <n v="0.82"/>
    <n v="1"/>
    <n v="1"/>
    <n v="1"/>
    <n v="0.88"/>
    <n v="1"/>
    <n v="0.61"/>
    <n v="1"/>
    <n v="0.89"/>
    <n v="0.93"/>
    <n v="1"/>
    <n v="1"/>
    <n v="1"/>
    <n v="305.54825806406058"/>
    <n v="0"/>
    <s v="PASS"/>
    <n v="0"/>
    <x v="0"/>
  </r>
  <r>
    <s v="P0747"/>
    <d v="2025-06-21T00:00:00"/>
    <s v="Uninsured Motorist"/>
    <s v="16-24"/>
    <n v="3"/>
    <n v="1"/>
    <s v="Yes (High Score)"/>
    <s v="0-4,999"/>
    <s v="Hawthorne (90250)"/>
    <s v="$0-$4,999"/>
    <s v="No"/>
    <s v="Yes"/>
    <s v="No"/>
    <s v="No"/>
    <s v="No"/>
    <s v="Yes"/>
    <s v="No"/>
    <s v="Yes (Medium)"/>
    <s v="No"/>
    <s v="No"/>
    <s v="No"/>
    <s v="No"/>
    <s v="No"/>
    <n v="69.858392676446513"/>
    <n v="78"/>
    <n v="1.32"/>
    <n v="1.22"/>
    <n v="1.34"/>
    <n v="0.65"/>
    <n v="0.82"/>
    <n v="1.0900000000000001"/>
    <n v="0.82"/>
    <n v="1"/>
    <n v="1.21"/>
    <n v="1"/>
    <n v="1"/>
    <n v="1"/>
    <n v="0.72"/>
    <n v="1"/>
    <n v="1"/>
    <n v="1"/>
    <n v="1"/>
    <n v="1"/>
    <n v="1"/>
    <n v="69.858392676446513"/>
    <n v="0"/>
    <s v="PASS"/>
    <n v="0"/>
    <x v="0"/>
  </r>
  <r>
    <s v="P0748"/>
    <d v="2026-04-11T00:00:00"/>
    <s v="Liability"/>
    <s v="55-64"/>
    <n v="4"/>
    <n v="2"/>
    <s v="Yes (Low Score)"/>
    <s v="5,000-8,499"/>
    <s v="Koreatown (90006)"/>
    <s v="$0-$4,999"/>
    <s v="No"/>
    <s v="Yes"/>
    <s v="No"/>
    <s v="Yes"/>
    <s v="No"/>
    <s v="Yes"/>
    <s v="No"/>
    <s v="Yes (Low)"/>
    <s v="No"/>
    <s v="No"/>
    <s v="No"/>
    <s v="No"/>
    <s v="Yes"/>
    <n v="726.97453683811784"/>
    <n v="622"/>
    <n v="1.1200000000000001"/>
    <n v="1.1499999999999999"/>
    <n v="1.55"/>
    <n v="0.95"/>
    <n v="0.93"/>
    <n v="1.21"/>
    <n v="0.82"/>
    <n v="1"/>
    <n v="1.21"/>
    <n v="1"/>
    <n v="0.88"/>
    <n v="1"/>
    <n v="0.61"/>
    <n v="1"/>
    <n v="1"/>
    <n v="1"/>
    <n v="1"/>
    <n v="0.97"/>
    <n v="1.06"/>
    <n v="726.97453683811784"/>
    <n v="0"/>
    <s v="PASS"/>
    <n v="0"/>
    <x v="0"/>
  </r>
  <r>
    <s v="P0749"/>
    <d v="2025-12-02T00:00:00"/>
    <s v="Liability"/>
    <s v="45-54"/>
    <n v="1"/>
    <n v="2"/>
    <s v="No"/>
    <s v="13,500-16,999"/>
    <s v="Silverlake (90026 )"/>
    <s v="$15,000-$24,999"/>
    <s v="No"/>
    <s v="No"/>
    <s v="No"/>
    <s v="No"/>
    <s v="No"/>
    <s v="Yes"/>
    <s v="No"/>
    <s v="Yes (Low)"/>
    <s v="No"/>
    <s v="No"/>
    <s v="Yes"/>
    <s v="No"/>
    <s v="No"/>
    <n v="1418.8165449547425"/>
    <n v="622"/>
    <n v="1.07"/>
    <n v="1.64"/>
    <n v="1.55"/>
    <n v="1"/>
    <n v="1.18"/>
    <n v="1.1599999999999999"/>
    <n v="1.08"/>
    <n v="1"/>
    <n v="1"/>
    <n v="1"/>
    <n v="1"/>
    <n v="1"/>
    <n v="0.61"/>
    <n v="1"/>
    <n v="1"/>
    <n v="0.93"/>
    <n v="1"/>
    <n v="1"/>
    <n v="1"/>
    <n v="1418.8165449547425"/>
    <n v="0"/>
    <s v="PASS"/>
    <n v="0"/>
    <x v="0"/>
  </r>
  <r>
    <s v="P0750"/>
    <d v="2025-10-12T00:00:00"/>
    <s v="Liability"/>
    <s v="55-64"/>
    <n v="1"/>
    <s v="5+"/>
    <s v="No"/>
    <s v="0-4,999"/>
    <s v="Beverly Hills (90035)"/>
    <s v="$15,000-$24,999"/>
    <s v="No"/>
    <s v="No"/>
    <s v="No"/>
    <s v="No"/>
    <s v="No"/>
    <s v="Yes"/>
    <s v="No"/>
    <s v="Yes (Medium)"/>
    <s v="No"/>
    <s v="Yes"/>
    <s v="No"/>
    <s v="Yes"/>
    <s v="No"/>
    <n v="1821.4721843562354"/>
    <n v="622"/>
    <n v="1.1200000000000001"/>
    <n v="1.64"/>
    <n v="2.4700000000000002"/>
    <n v="1"/>
    <n v="0.82"/>
    <n v="1.21"/>
    <n v="1.08"/>
    <n v="1"/>
    <n v="1"/>
    <n v="1"/>
    <n v="1"/>
    <n v="1"/>
    <n v="0.72"/>
    <n v="1"/>
    <n v="0.89"/>
    <n v="1"/>
    <n v="0.94"/>
    <n v="1"/>
    <n v="1"/>
    <n v="1821.4721843562354"/>
    <n v="0"/>
    <s v="PASS"/>
    <n v="0"/>
    <x v="0"/>
  </r>
  <r>
    <s v="P0751"/>
    <d v="2026-01-26T00:00:00"/>
    <s v="Collision"/>
    <s v="16-24"/>
    <n v="6"/>
    <n v="0"/>
    <s v="No"/>
    <s v="0-4,999"/>
    <s v="Beverly Hills (90035)"/>
    <s v="$25,000-$44,999"/>
    <s v="No"/>
    <s v="Yes"/>
    <s v="No"/>
    <s v="Yes"/>
    <s v="Yes"/>
    <s v="No"/>
    <s v="Yes (Low)"/>
    <s v="No"/>
    <s v="No"/>
    <s v="Yes"/>
    <s v="No"/>
    <s v="No"/>
    <s v="No"/>
    <n v="724.71766141629701"/>
    <n v="453"/>
    <n v="1.32"/>
    <n v="1"/>
    <n v="1"/>
    <n v="1"/>
    <n v="0.82"/>
    <n v="1.21"/>
    <n v="1.28"/>
    <n v="1"/>
    <n v="1.21"/>
    <n v="1"/>
    <n v="0.88"/>
    <n v="0.95"/>
    <n v="1"/>
    <n v="1"/>
    <n v="0.89"/>
    <n v="1"/>
    <n v="1"/>
    <n v="1"/>
    <n v="1.06"/>
    <n v="724.71766141629701"/>
    <n v="0"/>
    <s v="PASS"/>
    <n v="0"/>
    <x v="0"/>
  </r>
  <r>
    <s v="P0752"/>
    <d v="2025-06-19T00:00:00"/>
    <s v="Rental Car Reinbursement"/>
    <s v="16-24"/>
    <n v="6"/>
    <n v="0"/>
    <s v="No"/>
    <s v="5,000-8,499"/>
    <s v="Beverly Hills (90035)"/>
    <s v="$5,000-$14,999"/>
    <s v="No"/>
    <s v="No"/>
    <s v="No"/>
    <s v="No"/>
    <s v="No"/>
    <s v="Yes"/>
    <s v="No"/>
    <s v="Yes (Medium)"/>
    <s v="Yes"/>
    <s v="No"/>
    <s v="No"/>
    <s v="No"/>
    <s v="No"/>
    <n v="39.130749364608008"/>
    <n v="41"/>
    <n v="1.32"/>
    <n v="1"/>
    <n v="1"/>
    <n v="1"/>
    <n v="0.93"/>
    <n v="1.21"/>
    <n v="0.97"/>
    <n v="1"/>
    <n v="1"/>
    <n v="1"/>
    <n v="1"/>
    <n v="1"/>
    <n v="0.72"/>
    <n v="0.92"/>
    <n v="1"/>
    <n v="1"/>
    <n v="1"/>
    <n v="1"/>
    <n v="1"/>
    <n v="39.130749364608008"/>
    <n v="0"/>
    <s v="PASS"/>
    <n v="0"/>
    <x v="0"/>
  </r>
  <r>
    <s v="P0753"/>
    <d v="2025-09-07T00:00:00"/>
    <s v="Collision"/>
    <s v="16-24"/>
    <n v="7"/>
    <n v="2"/>
    <s v="Yes (High Score)"/>
    <s v="8,500-13,499"/>
    <s v="Irvine (92602)"/>
    <s v="$0-$4,999"/>
    <s v="No"/>
    <s v="No"/>
    <s v="Yes"/>
    <s v="No"/>
    <s v="Yes"/>
    <s v="No"/>
    <s v="Yes (Low)"/>
    <s v="No"/>
    <s v="Yes"/>
    <s v="Yes"/>
    <s v="No"/>
    <s v="No"/>
    <s v="Yes"/>
    <n v="447.72599101705191"/>
    <n v="453"/>
    <n v="1.32"/>
    <n v="0.95"/>
    <n v="1.55"/>
    <n v="0.65"/>
    <n v="1"/>
    <n v="1.0900000000000001"/>
    <n v="0.82"/>
    <n v="1"/>
    <n v="1"/>
    <n v="1.1599999999999999"/>
    <n v="1"/>
    <n v="0.95"/>
    <n v="1"/>
    <n v="0.92"/>
    <n v="0.89"/>
    <n v="1"/>
    <n v="1"/>
    <n v="0.97"/>
    <n v="1"/>
    <n v="447.72599101705191"/>
    <n v="0"/>
    <s v="PASS"/>
    <n v="0"/>
    <x v="0"/>
  </r>
  <r>
    <s v="P0754"/>
    <d v="2025-09-01T00:00:00"/>
    <s v="Liability"/>
    <s v="25-34"/>
    <n v="7"/>
    <n v="0"/>
    <s v="Yes (High Score)"/>
    <s v="17,000+"/>
    <s v="Long Beach (90712)"/>
    <s v="$0-$4,999"/>
    <s v="No"/>
    <s v="No"/>
    <s v="No"/>
    <s v="No"/>
    <s v="No"/>
    <s v="Yes"/>
    <s v="No"/>
    <s v="Yes (Low)"/>
    <s v="No"/>
    <s v="No"/>
    <s v="No"/>
    <s v="No"/>
    <s v="No"/>
    <n v="346.709278139952"/>
    <n v="622"/>
    <n v="1.23"/>
    <n v="0.95"/>
    <n v="1"/>
    <n v="0.65"/>
    <n v="1.31"/>
    <n v="1.1200000000000001"/>
    <n v="0.82"/>
    <n v="1"/>
    <n v="1"/>
    <n v="1"/>
    <n v="1"/>
    <n v="1"/>
    <n v="0.61"/>
    <n v="1"/>
    <n v="1"/>
    <n v="1"/>
    <n v="1"/>
    <n v="1"/>
    <n v="1"/>
    <n v="346.709278139952"/>
    <n v="0"/>
    <s v="PASS"/>
    <n v="0"/>
    <x v="0"/>
  </r>
  <r>
    <s v="P0755"/>
    <d v="2026-05-01T00:00:00"/>
    <s v="Rental Car Reinbursement"/>
    <s v="45-54"/>
    <n v="4"/>
    <n v="0"/>
    <s v="Yes (Medium Score)"/>
    <s v="13,500-16,999"/>
    <s v="Orange (92705)"/>
    <s v="$25,000-$44,999"/>
    <s v="No"/>
    <s v="No"/>
    <s v="No"/>
    <s v="No"/>
    <s v="No"/>
    <s v="Yes"/>
    <s v="No"/>
    <s v="Yes (Medium)"/>
    <s v="No"/>
    <s v="No"/>
    <s v="No"/>
    <s v="No"/>
    <s v="No"/>
    <n v="44.77"/>
    <n v="41"/>
    <n v="1.07"/>
    <n v="1.1499999999999999"/>
    <n v="1"/>
    <n v="0.8"/>
    <n v="1.18"/>
    <n v="1.02"/>
    <n v="1.28"/>
    <n v="1"/>
    <n v="1"/>
    <n v="1"/>
    <n v="1"/>
    <n v="1"/>
    <n v="0.72"/>
    <n v="1"/>
    <n v="1"/>
    <n v="1"/>
    <n v="1"/>
    <n v="1"/>
    <n v="1.06"/>
    <n v="47.455436470026235"/>
    <n v="-2.6854364700262323"/>
    <s v="FAIL"/>
    <n v="2.6854364700262323"/>
    <x v="1"/>
  </r>
  <r>
    <s v="P0756"/>
    <d v="2025-05-09T00:00:00"/>
    <s v="Collision"/>
    <s v="45-54"/>
    <n v="5"/>
    <s v="5+"/>
    <s v="No"/>
    <s v="8,500-13,499"/>
    <s v="Lake Forrest (92609)"/>
    <s v="$85,000-$149,999"/>
    <s v="No"/>
    <s v="No"/>
    <s v="No"/>
    <s v="Yes"/>
    <s v="Yes"/>
    <s v="No"/>
    <s v="Yes (High)"/>
    <s v="No"/>
    <s v="No"/>
    <s v="No"/>
    <s v="No"/>
    <s v="No"/>
    <s v="Yes"/>
    <n v="1510.8612691546409"/>
    <n v="453"/>
    <n v="1.07"/>
    <n v="1.07"/>
    <n v="2.4700000000000002"/>
    <n v="1"/>
    <n v="1"/>
    <n v="0.95"/>
    <n v="2.02"/>
    <n v="1"/>
    <n v="1"/>
    <n v="1"/>
    <n v="0.88"/>
    <n v="0.72"/>
    <n v="1"/>
    <n v="1"/>
    <n v="1"/>
    <n v="1"/>
    <n v="1"/>
    <n v="0.97"/>
    <n v="1"/>
    <n v="1510.8612691546409"/>
    <n v="0"/>
    <s v="PASS"/>
    <n v="0"/>
    <x v="0"/>
  </r>
  <r>
    <s v="P0757"/>
    <d v="2025-10-25T00:00:00"/>
    <s v="Collision"/>
    <s v="55-64"/>
    <n v="4"/>
    <n v="0"/>
    <s v="Yes (Medium Score)"/>
    <s v="5,000-8,499"/>
    <s v="Compton (90220)"/>
    <s v="$150,000+"/>
    <s v="No"/>
    <s v="No"/>
    <s v="No"/>
    <s v="Yes"/>
    <s v="Yes"/>
    <s v="No"/>
    <s v="Yes (Low)"/>
    <s v="No"/>
    <s v="Yes"/>
    <s v="Yes"/>
    <s v="Yes"/>
    <s v="Yes"/>
    <s v="Yes"/>
    <n v="1128.1325848586534"/>
    <n v="453"/>
    <n v="1.1200000000000001"/>
    <n v="1.1499999999999999"/>
    <n v="1"/>
    <n v="0.8"/>
    <n v="0.93"/>
    <n v="1.56"/>
    <n v="2.87"/>
    <n v="1"/>
    <n v="1"/>
    <n v="1"/>
    <n v="0.88"/>
    <n v="0.95"/>
    <n v="1"/>
    <n v="0.92"/>
    <n v="0.89"/>
    <n v="0.93"/>
    <n v="0.94"/>
    <n v="0.97"/>
    <n v="1"/>
    <n v="1128.1325848586534"/>
    <n v="0"/>
    <s v="PASS"/>
    <n v="0"/>
    <x v="0"/>
  </r>
  <r>
    <s v="P0758"/>
    <d v="2025-10-30T00:00:00"/>
    <s v="Liability"/>
    <s v="65+"/>
    <n v="2"/>
    <n v="0"/>
    <s v="No"/>
    <s v="8,500-13,499"/>
    <s v="Irvine (92602)"/>
    <s v="$5,000-$14,999"/>
    <s v="No"/>
    <s v="No"/>
    <s v="No"/>
    <s v="Yes"/>
    <s v="No"/>
    <s v="Yes"/>
    <s v="No"/>
    <s v="Yes (Low)"/>
    <s v="No"/>
    <s v="Yes"/>
    <s v="Yes"/>
    <s v="No"/>
    <s v="No"/>
    <n v="523.23515174373586"/>
    <n v="622"/>
    <n v="1.27"/>
    <n v="1.41"/>
    <n v="1"/>
    <n v="1"/>
    <n v="1"/>
    <n v="1.0900000000000001"/>
    <n v="0.97"/>
    <n v="1"/>
    <n v="1"/>
    <n v="1"/>
    <n v="0.88"/>
    <n v="1"/>
    <n v="0.61"/>
    <n v="1"/>
    <n v="0.89"/>
    <n v="0.93"/>
    <n v="1"/>
    <n v="1"/>
    <n v="1"/>
    <n v="523.23515174373586"/>
    <n v="0"/>
    <s v="PASS"/>
    <n v="0"/>
    <x v="0"/>
  </r>
  <r>
    <s v="P0759"/>
    <d v="2025-12-13T00:00:00"/>
    <s v="Uninsured Motorist"/>
    <s v="35-44"/>
    <n v="1"/>
    <s v="5+"/>
    <s v="Yes (Medium Score)"/>
    <s v="17,000+"/>
    <s v="Newport Beach (92603)"/>
    <s v="$150,000+"/>
    <s v="No"/>
    <s v="Yes"/>
    <s v="No"/>
    <s v="Yes"/>
    <s v="No"/>
    <s v="Yes"/>
    <s v="No"/>
    <s v="Yes (High)"/>
    <s v="Yes"/>
    <s v="Yes"/>
    <s v="No"/>
    <s v="Yes"/>
    <s v="No"/>
    <n v="614.97782064158548"/>
    <n v="78"/>
    <n v="1"/>
    <n v="1.64"/>
    <n v="2.4700000000000002"/>
    <n v="0.8"/>
    <n v="1.31"/>
    <n v="0.94"/>
    <n v="2.87"/>
    <n v="1"/>
    <n v="1.21"/>
    <n v="1"/>
    <n v="0.88"/>
    <n v="1"/>
    <n v="0.84"/>
    <n v="0.92"/>
    <n v="0.89"/>
    <n v="1"/>
    <n v="0.94"/>
    <n v="1"/>
    <n v="1"/>
    <n v="614.97782064158548"/>
    <n v="0"/>
    <s v="PASS"/>
    <n v="0"/>
    <x v="0"/>
  </r>
  <r>
    <s v="P0760"/>
    <d v="2026-01-30T00:00:00"/>
    <s v="Uninsured Motorist"/>
    <s v="55-64"/>
    <n v="4"/>
    <n v="4"/>
    <s v="Yes (High Score)"/>
    <s v="0-4,999"/>
    <s v="Koreatown (90006)"/>
    <s v="$15,000-$24,999"/>
    <s v="No"/>
    <s v="No"/>
    <s v="No"/>
    <s v="No"/>
    <s v="No"/>
    <s v="Yes"/>
    <s v="No"/>
    <s v="Yes (High)"/>
    <s v="No"/>
    <s v="No"/>
    <s v="No"/>
    <s v="No"/>
    <s v="No"/>
    <n v="132.08935296236362"/>
    <n v="78"/>
    <n v="1.1200000000000001"/>
    <n v="1.1499999999999999"/>
    <n v="2.12"/>
    <n v="0.65"/>
    <n v="0.82"/>
    <n v="1.21"/>
    <n v="1.08"/>
    <n v="1"/>
    <n v="1"/>
    <n v="1"/>
    <n v="1"/>
    <n v="1"/>
    <n v="0.84"/>
    <n v="1"/>
    <n v="1"/>
    <n v="1"/>
    <n v="1"/>
    <n v="1"/>
    <n v="1.06"/>
    <n v="132.08935296236362"/>
    <n v="0"/>
    <s v="PASS"/>
    <n v="0"/>
    <x v="0"/>
  </r>
  <r>
    <s v="P0761"/>
    <d v="2025-06-15T00:00:00"/>
    <s v="Uninsured Motorist"/>
    <s v="45-54"/>
    <n v="4"/>
    <n v="1"/>
    <s v="Yes (Low Score)"/>
    <s v="5,000-8,499"/>
    <s v="Costa Mesa (92626)"/>
    <s v="$0-$4,999"/>
    <s v="No"/>
    <s v="No"/>
    <s v="No"/>
    <s v="Yes"/>
    <s v="No"/>
    <s v="Yes"/>
    <s v="No"/>
    <s v="Yes (Medium)"/>
    <s v="Yes"/>
    <s v="No"/>
    <s v="No"/>
    <s v="No"/>
    <s v="No"/>
    <n v="49.968032411974328"/>
    <n v="78"/>
    <n v="1.07"/>
    <n v="1.1499999999999999"/>
    <n v="1.34"/>
    <n v="0.95"/>
    <n v="0.93"/>
    <n v="0.92"/>
    <n v="0.82"/>
    <n v="1"/>
    <n v="1"/>
    <n v="1"/>
    <n v="0.88"/>
    <n v="1"/>
    <n v="0.72"/>
    <n v="0.92"/>
    <n v="1"/>
    <n v="1"/>
    <n v="1"/>
    <n v="1"/>
    <n v="1"/>
    <n v="49.968032411974328"/>
    <n v="0"/>
    <s v="PASS"/>
    <n v="0"/>
    <x v="0"/>
  </r>
  <r>
    <s v="P0762"/>
    <d v="2026-02-06T00:00:00"/>
    <s v="Uninsured Motorist"/>
    <s v="45-54"/>
    <n v="4"/>
    <n v="0"/>
    <s v="Yes (High Score)"/>
    <s v="5,000-8,499"/>
    <s v="West Hollywood (90046)"/>
    <s v="$15,000-$24,999"/>
    <s v="No"/>
    <s v="Yes"/>
    <s v="No"/>
    <s v="No"/>
    <s v="No"/>
    <s v="Yes"/>
    <s v="No"/>
    <s v="Yes (High)"/>
    <s v="No"/>
    <s v="No"/>
    <s v="No"/>
    <s v="No"/>
    <s v="No"/>
    <n v="79.661560639073215"/>
    <n v="78"/>
    <n v="1.07"/>
    <n v="1.1499999999999999"/>
    <n v="1"/>
    <n v="0.65"/>
    <n v="0.93"/>
    <n v="1.18"/>
    <n v="1.08"/>
    <n v="1"/>
    <n v="1.21"/>
    <n v="1"/>
    <n v="1"/>
    <n v="1"/>
    <n v="0.84"/>
    <n v="1"/>
    <n v="1"/>
    <n v="1"/>
    <n v="1"/>
    <n v="1"/>
    <n v="1.06"/>
    <n v="79.661560639073215"/>
    <n v="0"/>
    <s v="PASS"/>
    <n v="0"/>
    <x v="0"/>
  </r>
  <r>
    <s v="P0763"/>
    <d v="2025-07-17T00:00:00"/>
    <s v="Liability"/>
    <s v="35-44"/>
    <n v="2"/>
    <n v="0"/>
    <s v="No"/>
    <s v="17,000+"/>
    <s v="Orange (92705)"/>
    <s v="$85,000-$149,999"/>
    <s v="No"/>
    <s v="Yes"/>
    <s v="No"/>
    <s v="No"/>
    <s v="No"/>
    <s v="Yes"/>
    <s v="No"/>
    <s v="Yes (High)"/>
    <s v="No"/>
    <s v="No"/>
    <s v="No"/>
    <s v="No"/>
    <s v="No"/>
    <n v="2406.0075764598728"/>
    <n v="622"/>
    <n v="1"/>
    <n v="1.41"/>
    <n v="1"/>
    <n v="1"/>
    <n v="1.31"/>
    <n v="1.02"/>
    <n v="2.02"/>
    <n v="1"/>
    <n v="1.21"/>
    <n v="1"/>
    <n v="1"/>
    <n v="1"/>
    <n v="0.84"/>
    <n v="1"/>
    <n v="1"/>
    <n v="1"/>
    <n v="1"/>
    <n v="1"/>
    <n v="1"/>
    <n v="2406.0075764598728"/>
    <n v="0"/>
    <s v="PASS"/>
    <n v="0"/>
    <x v="0"/>
  </r>
  <r>
    <s v="P0764"/>
    <d v="2025-06-25T00:00:00"/>
    <s v="Uninsured Motorist"/>
    <s v="16-24"/>
    <n v="1"/>
    <s v="5+"/>
    <s v="Yes (Low Score)"/>
    <s v="13,500-16,999"/>
    <s v="Lake Forrest (92609)"/>
    <s v="$0-$4,999"/>
    <s v="No"/>
    <s v="No"/>
    <s v="Yes"/>
    <s v="Yes"/>
    <s v="No"/>
    <s v="Yes"/>
    <s v="No"/>
    <s v="Yes (Medium)"/>
    <s v="No"/>
    <s v="Yes"/>
    <s v="No"/>
    <s v="No"/>
    <s v="No"/>
    <n v="238.2404879606182"/>
    <n v="78"/>
    <n v="1.32"/>
    <n v="1.64"/>
    <n v="2.4700000000000002"/>
    <n v="0.95"/>
    <n v="1.18"/>
    <n v="0.95"/>
    <n v="0.82"/>
    <n v="1"/>
    <n v="1"/>
    <n v="1.1599999999999999"/>
    <n v="0.88"/>
    <n v="1"/>
    <n v="0.72"/>
    <n v="1"/>
    <n v="0.89"/>
    <n v="1"/>
    <n v="1"/>
    <n v="1"/>
    <n v="1"/>
    <n v="238.2404879606182"/>
    <n v="0"/>
    <s v="PASS"/>
    <n v="0"/>
    <x v="0"/>
  </r>
  <r>
    <s v="P0765"/>
    <d v="2025-07-21T00:00:00"/>
    <s v="Collision"/>
    <s v="55-64"/>
    <n v="2"/>
    <n v="2"/>
    <s v="Yes (Low Score)"/>
    <s v="17,000+"/>
    <s v="Cypress (90630)"/>
    <s v="$0-$4,999"/>
    <s v="No"/>
    <s v="No"/>
    <s v="Yes"/>
    <s v="Yes"/>
    <s v="Yes"/>
    <s v="No"/>
    <s v="Yes (High)"/>
    <s v="No"/>
    <s v="No"/>
    <s v="No"/>
    <s v="No"/>
    <s v="No"/>
    <s v="No"/>
    <n v="898.19927904369717"/>
    <n v="453"/>
    <n v="1.1200000000000001"/>
    <n v="1.41"/>
    <n v="1.55"/>
    <n v="0.95"/>
    <n v="1.31"/>
    <n v="1.08"/>
    <n v="0.82"/>
    <n v="1"/>
    <n v="1"/>
    <n v="1.1599999999999999"/>
    <n v="0.88"/>
    <n v="0.72"/>
    <n v="1"/>
    <n v="1"/>
    <n v="1"/>
    <n v="1"/>
    <n v="1"/>
    <n v="1"/>
    <n v="1"/>
    <n v="898.19927904369717"/>
    <n v="0"/>
    <s v="PASS"/>
    <n v="0"/>
    <x v="0"/>
  </r>
  <r>
    <s v="P0766"/>
    <d v="2026-04-11T00:00:00"/>
    <s v="Liability"/>
    <s v="25-34"/>
    <s v="8+"/>
    <n v="3"/>
    <s v="Yes (Low Score)"/>
    <s v="13,500-16,999"/>
    <s v="Lake Forrest (92609)"/>
    <s v="$5,000-$14,999"/>
    <s v="No"/>
    <s v="No"/>
    <s v="No"/>
    <s v="No"/>
    <s v="No"/>
    <s v="Yes"/>
    <s v="No"/>
    <s v="Yes (Medium)"/>
    <s v="Yes"/>
    <s v="No"/>
    <s v="No"/>
    <s v="No"/>
    <s v="No"/>
    <n v="939.24085208199472"/>
    <n v="622"/>
    <n v="1.23"/>
    <n v="0.93"/>
    <n v="1.82"/>
    <n v="0.95"/>
    <n v="1.18"/>
    <n v="0.95"/>
    <n v="0.97"/>
    <n v="1"/>
    <n v="1"/>
    <n v="1"/>
    <n v="1"/>
    <n v="1"/>
    <n v="0.72"/>
    <n v="0.92"/>
    <n v="1"/>
    <n v="1"/>
    <n v="1"/>
    <n v="1"/>
    <n v="1.06"/>
    <n v="939.24085208199472"/>
    <n v="0"/>
    <s v="PASS"/>
    <n v="0"/>
    <x v="0"/>
  </r>
  <r>
    <s v="P0767"/>
    <d v="2025-11-02T00:00:00"/>
    <s v="Collision"/>
    <s v="35-44"/>
    <n v="7"/>
    <n v="3"/>
    <s v="No"/>
    <s v="0-4,999"/>
    <s v="Santa Monica (90401)"/>
    <s v="$25,000-$44,999"/>
    <s v="Yes"/>
    <s v="No"/>
    <s v="No"/>
    <s v="No"/>
    <s v="Yes"/>
    <s v="No"/>
    <s v="Yes (Medium)"/>
    <s v="No"/>
    <s v="No"/>
    <s v="Yes"/>
    <s v="Yes"/>
    <s v="Yes"/>
    <s v="No"/>
    <n v="797.7468004941594"/>
    <n v="453"/>
    <n v="1"/>
    <n v="0.95"/>
    <n v="1.82"/>
    <n v="1"/>
    <n v="0.82"/>
    <n v="1.1599999999999999"/>
    <n v="1.28"/>
    <n v="1.28"/>
    <n v="1"/>
    <n v="1"/>
    <n v="1"/>
    <n v="0.84"/>
    <n v="1"/>
    <n v="1"/>
    <n v="0.89"/>
    <n v="0.93"/>
    <n v="0.94"/>
    <n v="1"/>
    <n v="1"/>
    <n v="797.7468004941594"/>
    <n v="0"/>
    <s v="PASS"/>
    <n v="0"/>
    <x v="0"/>
  </r>
  <r>
    <s v="P0768"/>
    <d v="2025-05-05T00:00:00"/>
    <s v="Uninsured Motorist"/>
    <s v="55-64"/>
    <n v="4"/>
    <n v="3"/>
    <s v="Yes (Medium Score)"/>
    <s v="17,000+"/>
    <s v="Huntington Beach (90742)"/>
    <s v="$15,000-$24,999"/>
    <s v="No"/>
    <s v="No"/>
    <s v="No"/>
    <s v="No"/>
    <s v="No"/>
    <s v="Yes"/>
    <s v="No"/>
    <s v="Yes (Medium)"/>
    <s v="Yes"/>
    <s v="Yes"/>
    <s v="No"/>
    <s v="No"/>
    <s v="Yes"/>
    <n v="115.97784430880589"/>
    <n v="78"/>
    <n v="1.1200000000000001"/>
    <n v="1.1499999999999999"/>
    <n v="1.82"/>
    <n v="0.8"/>
    <n v="1.31"/>
    <n v="0.98"/>
    <n v="1.08"/>
    <n v="1"/>
    <n v="1"/>
    <n v="1"/>
    <n v="1"/>
    <n v="1"/>
    <n v="0.72"/>
    <n v="0.92"/>
    <n v="0.89"/>
    <n v="1"/>
    <n v="1"/>
    <n v="0.97"/>
    <n v="1"/>
    <n v="115.97784430880589"/>
    <n v="0"/>
    <s v="PASS"/>
    <n v="0"/>
    <x v="0"/>
  </r>
  <r>
    <s v="P0769"/>
    <d v="2025-08-31T00:00:00"/>
    <s v="Collision"/>
    <s v="35-44"/>
    <n v="1"/>
    <n v="0"/>
    <s v="Yes (High Score)"/>
    <s v="8,500-13,499"/>
    <s v="Long Beach (90712)"/>
    <s v="$25,000-$44,999"/>
    <s v="Yes"/>
    <s v="No"/>
    <s v="No"/>
    <s v="Yes"/>
    <s v="Yes"/>
    <s v="No"/>
    <s v="Yes (Medium)"/>
    <s v="No"/>
    <s v="Yes"/>
    <s v="No"/>
    <s v="Yes"/>
    <s v="No"/>
    <s v="No"/>
    <n v="560.43610073273999"/>
    <n v="453"/>
    <n v="1"/>
    <n v="1.64"/>
    <n v="1"/>
    <n v="0.65"/>
    <n v="1"/>
    <n v="1.1200000000000001"/>
    <n v="1.28"/>
    <n v="1.28"/>
    <n v="1"/>
    <n v="1"/>
    <n v="0.88"/>
    <n v="0.84"/>
    <n v="1"/>
    <n v="0.92"/>
    <n v="1"/>
    <n v="0.93"/>
    <n v="1"/>
    <n v="1"/>
    <n v="1"/>
    <n v="560.43610073273999"/>
    <n v="0"/>
    <s v="PASS"/>
    <n v="0"/>
    <x v="0"/>
  </r>
  <r>
    <s v="P0770"/>
    <d v="2026-02-10T00:00:00"/>
    <s v="Liability"/>
    <s v="45-54"/>
    <n v="5"/>
    <n v="3"/>
    <s v="No"/>
    <s v="8,500-13,499"/>
    <s v="Koreatown (90006)"/>
    <s v="$5,000-$14,999"/>
    <s v="No"/>
    <s v="No"/>
    <s v="No"/>
    <s v="No"/>
    <s v="No"/>
    <s v="Yes"/>
    <s v="No"/>
    <s v="Yes (Medium)"/>
    <s v="No"/>
    <s v="No"/>
    <s v="Yes"/>
    <s v="No"/>
    <s v="No"/>
    <n v="1079.711539315965"/>
    <n v="622"/>
    <n v="1.07"/>
    <n v="1.07"/>
    <n v="1.82"/>
    <n v="1"/>
    <n v="1"/>
    <n v="1.21"/>
    <n v="0.97"/>
    <n v="1"/>
    <n v="1"/>
    <n v="1"/>
    <n v="1"/>
    <n v="1"/>
    <n v="0.72"/>
    <n v="1"/>
    <n v="1"/>
    <n v="0.93"/>
    <n v="1"/>
    <n v="1"/>
    <n v="1.06"/>
    <n v="1079.711539315965"/>
    <n v="0"/>
    <s v="PASS"/>
    <n v="0"/>
    <x v="0"/>
  </r>
  <r>
    <s v="P0771"/>
    <d v="2025-09-16T00:00:00"/>
    <s v="Liability"/>
    <s v="65+"/>
    <n v="1"/>
    <n v="1"/>
    <s v="No"/>
    <s v="13,500-16,999"/>
    <s v="Fullerton (92832)"/>
    <s v="$0-$4,999"/>
    <s v="Yes"/>
    <s v="No"/>
    <s v="No"/>
    <s v="No"/>
    <s v="No"/>
    <s v="Yes"/>
    <s v="No"/>
    <s v="Yes (High)"/>
    <s v="No"/>
    <s v="Yes"/>
    <s v="Yes"/>
    <s v="No"/>
    <s v="No"/>
    <n v="1674.2443627681291"/>
    <n v="622"/>
    <n v="1.27"/>
    <n v="1.64"/>
    <n v="1.34"/>
    <n v="1"/>
    <n v="1.18"/>
    <n v="1.1200000000000001"/>
    <n v="0.82"/>
    <n v="1.28"/>
    <n v="1"/>
    <n v="1"/>
    <n v="1"/>
    <n v="1"/>
    <n v="0.84"/>
    <n v="1"/>
    <n v="0.89"/>
    <n v="0.93"/>
    <n v="1"/>
    <n v="1"/>
    <n v="1"/>
    <n v="1674.2443627681291"/>
    <n v="0"/>
    <s v="PASS"/>
    <n v="0"/>
    <x v="0"/>
  </r>
  <r>
    <s v="P0772"/>
    <d v="2025-05-28T00:00:00"/>
    <s v="Collision"/>
    <s v="55-64"/>
    <s v="8+"/>
    <n v="4"/>
    <s v="Yes (Low Score)"/>
    <s v="0-4,999"/>
    <s v="Lake Forrest (92609)"/>
    <s v="$5,000-$14,999"/>
    <s v="No"/>
    <s v="No"/>
    <s v="Yes"/>
    <s v="Yes"/>
    <s v="Yes"/>
    <s v="No"/>
    <s v="Yes (Low)"/>
    <s v="No"/>
    <s v="Yes"/>
    <s v="Yes"/>
    <s v="No"/>
    <s v="No"/>
    <s v="No"/>
    <n v="570.17731173879667"/>
    <n v="453"/>
    <n v="1.1200000000000001"/>
    <n v="0.93"/>
    <n v="2.12"/>
    <n v="0.95"/>
    <n v="0.82"/>
    <n v="0.95"/>
    <n v="0.97"/>
    <n v="1"/>
    <n v="1"/>
    <n v="1.1599999999999999"/>
    <n v="0.88"/>
    <n v="0.95"/>
    <n v="1"/>
    <n v="0.92"/>
    <n v="0.89"/>
    <n v="1"/>
    <n v="1"/>
    <n v="1"/>
    <n v="1"/>
    <n v="570.17731173879667"/>
    <n v="0"/>
    <s v="PASS"/>
    <n v="0"/>
    <x v="0"/>
  </r>
  <r>
    <s v="P0773"/>
    <d v="2025-11-27T00:00:00"/>
    <s v="Liability"/>
    <s v="65+"/>
    <n v="4"/>
    <n v="4"/>
    <s v="No"/>
    <s v="8,500-13,499"/>
    <s v="Santa Monica (90401)"/>
    <s v="$85,000-$149,999"/>
    <s v="No"/>
    <s v="Yes"/>
    <s v="No"/>
    <s v="Yes"/>
    <s v="No"/>
    <s v="Yes"/>
    <s v="No"/>
    <s v="Yes (Low)"/>
    <s v="No"/>
    <s v="No"/>
    <s v="No"/>
    <s v="Yes"/>
    <s v="No"/>
    <n v="2755.261962754968"/>
    <n v="622"/>
    <n v="1.27"/>
    <n v="1.1499999999999999"/>
    <n v="2.12"/>
    <n v="1"/>
    <n v="1"/>
    <n v="1.1599999999999999"/>
    <n v="2.02"/>
    <n v="1"/>
    <n v="1.21"/>
    <n v="1"/>
    <n v="0.88"/>
    <n v="1"/>
    <n v="0.61"/>
    <n v="1"/>
    <n v="1"/>
    <n v="1"/>
    <n v="0.94"/>
    <n v="1"/>
    <n v="1"/>
    <n v="2755.261962754968"/>
    <n v="0"/>
    <s v="PASS"/>
    <n v="0"/>
    <x v="0"/>
  </r>
  <r>
    <s v="P0774"/>
    <d v="2025-12-17T00:00:00"/>
    <s v="Liability"/>
    <s v="65+"/>
    <n v="5"/>
    <n v="1"/>
    <s v="No"/>
    <s v="8,500-13,499"/>
    <s v="Santa Monica (90401)"/>
    <s v="$85,000-$149,999"/>
    <s v="Yes"/>
    <s v="No"/>
    <s v="No"/>
    <s v="No"/>
    <s v="No"/>
    <s v="Yes"/>
    <s v="No"/>
    <s v="Yes (Medium)"/>
    <s v="Yes"/>
    <s v="No"/>
    <s v="No"/>
    <s v="Yes"/>
    <s v="No"/>
    <n v="2115.1939099729102"/>
    <n v="622"/>
    <n v="1.27"/>
    <n v="1.07"/>
    <n v="1.34"/>
    <n v="1"/>
    <n v="1"/>
    <n v="1.1599999999999999"/>
    <n v="2.02"/>
    <n v="1.28"/>
    <n v="1"/>
    <n v="1"/>
    <n v="1"/>
    <n v="1"/>
    <n v="0.72"/>
    <n v="0.92"/>
    <n v="1"/>
    <n v="1"/>
    <n v="0.94"/>
    <n v="1"/>
    <n v="1"/>
    <n v="2115.1939099729102"/>
    <n v="0"/>
    <s v="PASS"/>
    <n v="0"/>
    <x v="0"/>
  </r>
  <r>
    <s v="P0775"/>
    <d v="2026-03-19T00:00:00"/>
    <s v="Liability"/>
    <s v="16-24"/>
    <n v="3"/>
    <n v="0"/>
    <s v="Yes (Low Score)"/>
    <s v="0-4,999"/>
    <s v="DTLA (90012)"/>
    <s v="$5,000-$14,999"/>
    <s v="No"/>
    <s v="No"/>
    <s v="Yes"/>
    <s v="Yes"/>
    <s v="No"/>
    <s v="Yes"/>
    <s v="No"/>
    <s v="Yes (Low)"/>
    <s v="No"/>
    <s v="Yes"/>
    <s v="No"/>
    <s v="No"/>
    <s v="Yes"/>
    <n v="543.42796823235949"/>
    <n v="622"/>
    <n v="1.32"/>
    <n v="1.22"/>
    <n v="1"/>
    <n v="0.95"/>
    <n v="0.82"/>
    <n v="1.26"/>
    <n v="0.97"/>
    <n v="1"/>
    <n v="1"/>
    <n v="1.1599999999999999"/>
    <n v="0.88"/>
    <n v="1"/>
    <n v="0.61"/>
    <n v="1"/>
    <n v="0.89"/>
    <n v="1"/>
    <n v="1"/>
    <n v="0.97"/>
    <n v="1.06"/>
    <n v="543.42796823235949"/>
    <n v="0"/>
    <s v="PASS"/>
    <n v="0"/>
    <x v="0"/>
  </r>
  <r>
    <s v="P0776"/>
    <d v="2025-09-08T00:00:00"/>
    <s v="Collision"/>
    <s v="55-64"/>
    <n v="7"/>
    <n v="4"/>
    <s v="Yes (High Score)"/>
    <s v="5,000-8,499"/>
    <s v="Torrance (90248)"/>
    <s v="$85,000-$149,999"/>
    <s v="No"/>
    <s v="No"/>
    <s v="No"/>
    <s v="Yes"/>
    <s v="Yes"/>
    <s v="No"/>
    <s v="Yes (Medium)"/>
    <s v="No"/>
    <s v="No"/>
    <s v="No"/>
    <s v="No"/>
    <s v="No"/>
    <s v="No"/>
    <n v="1033.0071949784533"/>
    <n v="453"/>
    <n v="1.1200000000000001"/>
    <n v="0.95"/>
    <n v="2.12"/>
    <n v="0.65"/>
    <n v="0.93"/>
    <n v="1.1200000000000001"/>
    <n v="2.02"/>
    <n v="1"/>
    <n v="1"/>
    <n v="1"/>
    <n v="0.88"/>
    <n v="0.84"/>
    <n v="1"/>
    <n v="1"/>
    <n v="1"/>
    <n v="1"/>
    <n v="1"/>
    <n v="1"/>
    <n v="1"/>
    <n v="1033.0071949784533"/>
    <n v="0"/>
    <s v="PASS"/>
    <n v="0"/>
    <x v="0"/>
  </r>
  <r>
    <s v="P0777"/>
    <d v="2026-02-18T00:00:00"/>
    <s v="Liability"/>
    <s v="65+"/>
    <n v="5"/>
    <n v="4"/>
    <s v="No"/>
    <s v="17,000+"/>
    <s v="Hollywood (90028)"/>
    <s v="$0-$4,999"/>
    <s v="Yes"/>
    <s v="No"/>
    <s v="No"/>
    <s v="Yes"/>
    <s v="No"/>
    <s v="Yes"/>
    <s v="No"/>
    <s v="Yes (High)"/>
    <s v="No"/>
    <s v="No"/>
    <s v="No"/>
    <s v="No"/>
    <s v="No"/>
    <n v="2297.3313907118536"/>
    <n v="622"/>
    <n v="1.27"/>
    <n v="1.07"/>
    <n v="2.12"/>
    <n v="1"/>
    <n v="1.31"/>
    <n v="1.19"/>
    <n v="0.82"/>
    <n v="1.28"/>
    <n v="1"/>
    <n v="1"/>
    <n v="0.88"/>
    <n v="1"/>
    <n v="0.84"/>
    <n v="1"/>
    <n v="1"/>
    <n v="1"/>
    <n v="1"/>
    <n v="1"/>
    <n v="1.06"/>
    <n v="2297.3313907118536"/>
    <n v="0"/>
    <s v="PASS"/>
    <n v="0"/>
    <x v="0"/>
  </r>
  <r>
    <s v="P0778"/>
    <d v="2025-12-10T00:00:00"/>
    <s v="Liability"/>
    <s v="35-44"/>
    <n v="6"/>
    <n v="0"/>
    <s v="No"/>
    <s v="17,000+"/>
    <s v="Compton (90220)"/>
    <s v="$45,000-$84,999"/>
    <s v="No"/>
    <s v="No"/>
    <s v="No"/>
    <s v="Yes"/>
    <s v="No"/>
    <s v="Yes"/>
    <s v="No"/>
    <s v="Yes (Medium)"/>
    <s v="No"/>
    <s v="Yes"/>
    <s v="No"/>
    <s v="No"/>
    <s v="No"/>
    <n v="1125.3590461301762"/>
    <n v="622"/>
    <n v="1"/>
    <n v="1"/>
    <n v="1"/>
    <n v="1"/>
    <n v="1.31"/>
    <n v="1.56"/>
    <n v="1.57"/>
    <n v="1"/>
    <n v="1"/>
    <n v="1"/>
    <n v="0.88"/>
    <n v="1"/>
    <n v="0.72"/>
    <n v="1"/>
    <n v="0.89"/>
    <n v="1"/>
    <n v="1"/>
    <n v="1"/>
    <n v="1"/>
    <n v="1125.3590461301762"/>
    <n v="0"/>
    <s v="PASS"/>
    <n v="0"/>
    <x v="0"/>
  </r>
  <r>
    <s v="P0779"/>
    <d v="2025-11-15T00:00:00"/>
    <s v="Liability"/>
    <s v="55-64"/>
    <n v="2"/>
    <n v="3"/>
    <s v="Yes (Medium Score)"/>
    <s v="8,500-13,499"/>
    <s v="Compton (90220)"/>
    <s v="$0-$4,999"/>
    <s v="No"/>
    <s v="No"/>
    <s v="Yes"/>
    <s v="No"/>
    <s v="No"/>
    <s v="Yes"/>
    <s v="No"/>
    <s v="Yes (Low)"/>
    <s v="No"/>
    <s v="No"/>
    <s v="No"/>
    <s v="No"/>
    <s v="No"/>
    <n v="1294.539093014889"/>
    <n v="622"/>
    <n v="1.1200000000000001"/>
    <n v="1.41"/>
    <n v="1.82"/>
    <n v="0.8"/>
    <n v="1"/>
    <n v="1.56"/>
    <n v="0.82"/>
    <n v="1"/>
    <n v="1"/>
    <n v="1.1599999999999999"/>
    <n v="1"/>
    <n v="1"/>
    <n v="0.61"/>
    <n v="1"/>
    <n v="1"/>
    <n v="1"/>
    <n v="1"/>
    <n v="1"/>
    <n v="1"/>
    <n v="1294.539093014889"/>
    <n v="0"/>
    <s v="PASS"/>
    <n v="0"/>
    <x v="0"/>
  </r>
  <r>
    <s v="P0780"/>
    <d v="2026-01-08T00:00:00"/>
    <s v="Uninsured Motorist"/>
    <s v="45-54"/>
    <n v="5"/>
    <n v="0"/>
    <s v="No"/>
    <s v="13,500-16,999"/>
    <s v="Santa Monica (90401)"/>
    <s v="$150,000+"/>
    <s v="No"/>
    <s v="No"/>
    <s v="No"/>
    <s v="No"/>
    <s v="No"/>
    <s v="Yes"/>
    <s v="No"/>
    <s v="Yes (Low)"/>
    <s v="No"/>
    <s v="No"/>
    <s v="No"/>
    <s v="No"/>
    <s v="No"/>
    <n v="226.84005901650912"/>
    <n v="78"/>
    <n v="1.07"/>
    <n v="1.07"/>
    <n v="1"/>
    <n v="1"/>
    <n v="1.18"/>
    <n v="1.1599999999999999"/>
    <n v="2.87"/>
    <n v="1"/>
    <n v="1"/>
    <n v="1"/>
    <n v="1"/>
    <n v="1"/>
    <n v="0.61"/>
    <n v="1"/>
    <n v="1"/>
    <n v="1"/>
    <n v="1"/>
    <n v="1"/>
    <n v="1.06"/>
    <n v="226.84005901650912"/>
    <n v="0"/>
    <s v="PASS"/>
    <n v="0"/>
    <x v="0"/>
  </r>
  <r>
    <s v="P0781"/>
    <d v="2025-10-28T00:00:00"/>
    <s v="Liability"/>
    <s v="55-64"/>
    <n v="5"/>
    <n v="0"/>
    <s v="No"/>
    <s v="17,000+"/>
    <s v="West Hollywood (90046)"/>
    <s v="$0-$4,999"/>
    <s v="No"/>
    <s v="No"/>
    <s v="No"/>
    <s v="Yes"/>
    <s v="No"/>
    <s v="Yes"/>
    <s v="No"/>
    <s v="Yes (High)"/>
    <s v="No"/>
    <s v="Yes"/>
    <s v="Yes"/>
    <s v="No"/>
    <s v="Yes"/>
    <n v="560.74574664681097"/>
    <n v="622"/>
    <n v="1.1200000000000001"/>
    <n v="1.07"/>
    <n v="1"/>
    <n v="1"/>
    <n v="1.31"/>
    <n v="1.18"/>
    <n v="0.82"/>
    <n v="1"/>
    <n v="1"/>
    <n v="1"/>
    <n v="0.88"/>
    <n v="1"/>
    <n v="0.84"/>
    <n v="1"/>
    <n v="0.89"/>
    <n v="0.93"/>
    <n v="1"/>
    <n v="0.97"/>
    <n v="1"/>
    <n v="560.74574664681097"/>
    <n v="0"/>
    <s v="PASS"/>
    <n v="0"/>
    <x v="0"/>
  </r>
  <r>
    <s v="P0782"/>
    <d v="2026-02-02T00:00:00"/>
    <s v="Liability"/>
    <s v="35-44"/>
    <n v="2"/>
    <n v="4"/>
    <s v="Yes (High Score)"/>
    <s v="17,000+"/>
    <s v="Compton (90220)"/>
    <s v="$45,000-$84,999"/>
    <s v="No"/>
    <s v="No"/>
    <s v="No"/>
    <s v="Yes"/>
    <s v="No"/>
    <s v="Yes"/>
    <s v="No"/>
    <s v="Yes (Medium)"/>
    <s v="Yes"/>
    <s v="Yes"/>
    <s v="Yes"/>
    <s v="Yes"/>
    <s v="No"/>
    <n v="2867.82"/>
    <n v="622"/>
    <n v="1"/>
    <n v="1.41"/>
    <n v="2.12"/>
    <n v="0.65"/>
    <n v="1.31"/>
    <n v="1.56"/>
    <n v="1.57"/>
    <n v="1"/>
    <n v="1"/>
    <n v="1"/>
    <n v="0.88"/>
    <n v="1"/>
    <n v="0.72"/>
    <n v="0.92"/>
    <n v="0.89"/>
    <n v="0.93"/>
    <n v="0.94"/>
    <n v="1"/>
    <n v="1.06"/>
    <n v="1864.0773579855033"/>
    <n v="1003.7426420144968"/>
    <s v="FAIL"/>
    <n v="1003.7426420144968"/>
    <x v="10"/>
  </r>
  <r>
    <s v="P0783"/>
    <d v="2026-03-28T00:00:00"/>
    <s v="Collision"/>
    <s v="35-44"/>
    <n v="4"/>
    <n v="0"/>
    <s v="No"/>
    <s v="0-4,999"/>
    <s v="Huntington Beach (90742)"/>
    <s v="$15,000-$24,999"/>
    <s v="No"/>
    <s v="No"/>
    <s v="No"/>
    <s v="Yes"/>
    <s v="Yes"/>
    <s v="No"/>
    <s v="Yes (Low)"/>
    <s v="No"/>
    <s v="No"/>
    <s v="No"/>
    <s v="No"/>
    <s v="No"/>
    <s v="No"/>
    <n v="400.65620089017591"/>
    <n v="453"/>
    <n v="1"/>
    <n v="1.1499999999999999"/>
    <n v="1"/>
    <n v="1"/>
    <n v="0.82"/>
    <n v="0.98"/>
    <n v="1.08"/>
    <n v="1"/>
    <n v="1"/>
    <n v="1"/>
    <n v="0.88"/>
    <n v="0.95"/>
    <n v="1"/>
    <n v="1"/>
    <n v="1"/>
    <n v="1"/>
    <n v="1"/>
    <n v="1"/>
    <n v="1.06"/>
    <n v="400.65620089017591"/>
    <n v="0"/>
    <s v="PASS"/>
    <n v="0"/>
    <x v="0"/>
  </r>
  <r>
    <s v="P0784"/>
    <d v="2025-05-15T00:00:00"/>
    <s v="Uninsured Motorist"/>
    <s v="35-44"/>
    <s v="8+"/>
    <n v="1"/>
    <s v="Yes (High Score)"/>
    <s v="5,000-8,499"/>
    <s v="West Hollywood (90046)"/>
    <s v="$5,000-$14,999"/>
    <s v="No"/>
    <s v="No"/>
    <s v="No"/>
    <s v="Yes"/>
    <s v="No"/>
    <s v="Yes"/>
    <s v="No"/>
    <s v="Yes (Low)"/>
    <s v="No"/>
    <s v="No"/>
    <s v="No"/>
    <s v="Yes"/>
    <s v="No"/>
    <n v="33.936945979797848"/>
    <n v="78"/>
    <n v="1"/>
    <n v="0.93"/>
    <n v="1.34"/>
    <n v="0.65"/>
    <n v="0.93"/>
    <n v="1.18"/>
    <n v="0.97"/>
    <n v="1"/>
    <n v="1"/>
    <n v="1"/>
    <n v="0.88"/>
    <n v="1"/>
    <n v="0.61"/>
    <n v="1"/>
    <n v="1"/>
    <n v="1"/>
    <n v="0.94"/>
    <n v="1"/>
    <n v="1"/>
    <n v="33.936945979797848"/>
    <n v="0"/>
    <s v="PASS"/>
    <n v="0"/>
    <x v="0"/>
  </r>
  <r>
    <s v="P0785"/>
    <d v="2025-07-28T00:00:00"/>
    <s v="Rental Car Reinbursement"/>
    <s v="55-64"/>
    <s v="8+"/>
    <n v="4"/>
    <s v="Yes (Medium Score)"/>
    <s v="13,500-16,999"/>
    <s v="Beverly Hills (90035)"/>
    <s v="$25,000-$44,999"/>
    <s v="No"/>
    <s v="No"/>
    <s v="Yes"/>
    <s v="Yes"/>
    <s v="No"/>
    <s v="Yes"/>
    <s v="No"/>
    <s v="Yes (Medium)"/>
    <s v="No"/>
    <s v="Yes"/>
    <s v="No"/>
    <s v="No"/>
    <s v="No"/>
    <n v="86.586699900181799"/>
    <n v="41"/>
    <n v="1.1200000000000001"/>
    <n v="0.93"/>
    <n v="2.12"/>
    <n v="0.8"/>
    <n v="1.18"/>
    <n v="1.21"/>
    <n v="1.28"/>
    <n v="1"/>
    <n v="1"/>
    <n v="1.1599999999999999"/>
    <n v="0.88"/>
    <n v="1"/>
    <n v="0.72"/>
    <n v="1"/>
    <n v="0.89"/>
    <n v="1"/>
    <n v="1"/>
    <n v="1"/>
    <n v="1"/>
    <n v="86.586699900181799"/>
    <n v="0"/>
    <s v="PASS"/>
    <n v="0"/>
    <x v="0"/>
  </r>
  <r>
    <s v="P0786"/>
    <d v="2025-05-21T00:00:00"/>
    <s v="Liability"/>
    <s v="35-44"/>
    <n v="4"/>
    <n v="4"/>
    <s v="No"/>
    <s v="13,500-16,999"/>
    <s v="Cypress (90630)"/>
    <s v="$85,000-$149,999"/>
    <s v="No"/>
    <s v="No"/>
    <s v="No"/>
    <s v="No"/>
    <s v="No"/>
    <s v="Yes"/>
    <s v="No"/>
    <s v="Yes (Low)"/>
    <s v="Yes"/>
    <s v="No"/>
    <s v="No"/>
    <s v="Yes"/>
    <s v="No"/>
    <n v="2059.3337360210517"/>
    <n v="622"/>
    <n v="1"/>
    <n v="1.1499999999999999"/>
    <n v="2.12"/>
    <n v="1"/>
    <n v="1.18"/>
    <n v="1.08"/>
    <n v="2.02"/>
    <n v="1"/>
    <n v="1"/>
    <n v="1"/>
    <n v="1"/>
    <n v="1"/>
    <n v="0.61"/>
    <n v="0.92"/>
    <n v="1"/>
    <n v="1"/>
    <n v="0.94"/>
    <n v="1"/>
    <n v="1"/>
    <n v="2059.3337360210517"/>
    <n v="0"/>
    <s v="PASS"/>
    <n v="0"/>
    <x v="0"/>
  </r>
  <r>
    <s v="P0787"/>
    <d v="2025-06-30T00:00:00"/>
    <s v="Uninsured Motorist"/>
    <s v="35-44"/>
    <s v="8+"/>
    <n v="3"/>
    <s v="Yes (Low Score)"/>
    <s v="0-4,999"/>
    <s v="Anaheim (92801)"/>
    <s v="$150,000+"/>
    <s v="No"/>
    <s v="No"/>
    <s v="Yes"/>
    <s v="No"/>
    <s v="No"/>
    <s v="Yes"/>
    <s v="No"/>
    <s v="Yes (Low)"/>
    <s v="No"/>
    <s v="No"/>
    <s v="No"/>
    <s v="No"/>
    <s v="No"/>
    <n v="231.83505065344482"/>
    <n v="78"/>
    <n v="1"/>
    <n v="0.93"/>
    <n v="1.82"/>
    <n v="0.95"/>
    <n v="0.82"/>
    <n v="1.1100000000000001"/>
    <n v="2.87"/>
    <n v="1"/>
    <n v="1"/>
    <n v="1.1599999999999999"/>
    <n v="1"/>
    <n v="1"/>
    <n v="0.61"/>
    <n v="1"/>
    <n v="1"/>
    <n v="1"/>
    <n v="1"/>
    <n v="1"/>
    <n v="1"/>
    <n v="231.83505065344482"/>
    <n v="0"/>
    <s v="PASS"/>
    <n v="0"/>
    <x v="0"/>
  </r>
  <r>
    <s v="P0788"/>
    <d v="2025-12-14T00:00:00"/>
    <s v="Liability"/>
    <s v="65+"/>
    <n v="6"/>
    <n v="0"/>
    <s v="No"/>
    <s v="0-4,999"/>
    <s v="Cypress (90630)"/>
    <s v="$5,000-$14,999"/>
    <s v="No"/>
    <s v="Yes"/>
    <s v="No"/>
    <s v="No"/>
    <s v="No"/>
    <s v="Yes"/>
    <s v="No"/>
    <s v="Yes (Medium)"/>
    <s v="Yes"/>
    <s v="No"/>
    <s v="Yes"/>
    <s v="No"/>
    <s v="Yes"/>
    <n v="490.64098628431782"/>
    <n v="622"/>
    <n v="1.27"/>
    <n v="1"/>
    <n v="1"/>
    <n v="1"/>
    <n v="0.82"/>
    <n v="1.08"/>
    <n v="0.97"/>
    <n v="1"/>
    <n v="1.21"/>
    <n v="1"/>
    <n v="1"/>
    <n v="1"/>
    <n v="0.72"/>
    <n v="0.92"/>
    <n v="1"/>
    <n v="0.93"/>
    <n v="1"/>
    <n v="0.97"/>
    <n v="1"/>
    <n v="490.64098628431782"/>
    <n v="0"/>
    <s v="PASS"/>
    <n v="0"/>
    <x v="0"/>
  </r>
  <r>
    <s v="P0789"/>
    <d v="2025-07-23T00:00:00"/>
    <s v="Collision"/>
    <s v="45-54"/>
    <n v="5"/>
    <s v="5+"/>
    <s v="No"/>
    <s v="0-4,999"/>
    <s v="Huntington Beach (90742)"/>
    <s v="$0-$4,999"/>
    <s v="No"/>
    <s v="Yes"/>
    <s v="No"/>
    <s v="No"/>
    <s v="Yes"/>
    <s v="No"/>
    <s v="Yes (High)"/>
    <s v="No"/>
    <s v="No"/>
    <s v="Yes"/>
    <s v="No"/>
    <s v="Yes"/>
    <s v="No"/>
    <n v="615.25084393701218"/>
    <n v="453"/>
    <n v="1.07"/>
    <n v="1.07"/>
    <n v="2.4700000000000002"/>
    <n v="1"/>
    <n v="0.82"/>
    <n v="0.98"/>
    <n v="0.82"/>
    <n v="1"/>
    <n v="1.21"/>
    <n v="1"/>
    <n v="1"/>
    <n v="0.72"/>
    <n v="1"/>
    <n v="1"/>
    <n v="0.89"/>
    <n v="1"/>
    <n v="0.94"/>
    <n v="1"/>
    <n v="1"/>
    <n v="615.25084393701218"/>
    <n v="0"/>
    <s v="PASS"/>
    <n v="0"/>
    <x v="0"/>
  </r>
  <r>
    <s v="P0790"/>
    <d v="2026-01-11T00:00:00"/>
    <s v="Comprehensive"/>
    <s v="16-24"/>
    <n v="4"/>
    <s v="5+"/>
    <s v="No"/>
    <s v="5,000-8,499"/>
    <s v="West Hollywood (90046)"/>
    <s v="$45,000-$84,999"/>
    <s v="No"/>
    <s v="No"/>
    <s v="No"/>
    <s v="Yes"/>
    <s v="Yes"/>
    <s v="No"/>
    <s v="Yes (Low)"/>
    <s v="No"/>
    <s v="No"/>
    <s v="No"/>
    <s v="No"/>
    <s v="No"/>
    <s v="Yes"/>
    <n v="671.89681186137898"/>
    <n v="121"/>
    <n v="1.32"/>
    <n v="1.1499999999999999"/>
    <n v="2.4700000000000002"/>
    <n v="1"/>
    <n v="0.93"/>
    <n v="1.18"/>
    <n v="1.57"/>
    <n v="1"/>
    <n v="1"/>
    <n v="1"/>
    <n v="0.88"/>
    <n v="0.95"/>
    <n v="1"/>
    <n v="1"/>
    <n v="1"/>
    <n v="1"/>
    <n v="1"/>
    <n v="0.97"/>
    <n v="1.06"/>
    <n v="671.89681186137898"/>
    <n v="0"/>
    <s v="PASS"/>
    <n v="0"/>
    <x v="0"/>
  </r>
  <r>
    <s v="P0791"/>
    <d v="2025-12-16T00:00:00"/>
    <s v="Liability"/>
    <s v="65+"/>
    <n v="4"/>
    <n v="0"/>
    <s v="Yes (Low Score)"/>
    <s v="0-4,999"/>
    <s v="Irvine (92602)"/>
    <s v="$150,000+"/>
    <s v="Yes"/>
    <s v="No"/>
    <s v="No"/>
    <s v="Yes"/>
    <s v="No"/>
    <s v="Yes"/>
    <s v="No"/>
    <s v="Yes (Medium)"/>
    <s v="No"/>
    <s v="No"/>
    <s v="No"/>
    <s v="No"/>
    <s v="No"/>
    <n v="1795.4070929446775"/>
    <n v="622"/>
    <n v="1.27"/>
    <n v="1.1499999999999999"/>
    <n v="1"/>
    <n v="0.95"/>
    <n v="0.82"/>
    <n v="1.0900000000000001"/>
    <n v="2.87"/>
    <n v="1.28"/>
    <n v="1"/>
    <n v="1"/>
    <n v="0.88"/>
    <n v="1"/>
    <n v="0.72"/>
    <n v="1"/>
    <n v="1"/>
    <n v="1"/>
    <n v="1"/>
    <n v="1"/>
    <n v="1"/>
    <n v="1795.4070929446775"/>
    <n v="0"/>
    <s v="PASS"/>
    <n v="0"/>
    <x v="0"/>
  </r>
  <r>
    <s v="P0792"/>
    <d v="2025-10-10T00:00:00"/>
    <s v="Liability"/>
    <s v="35-44"/>
    <s v="8+"/>
    <n v="0"/>
    <s v="No"/>
    <s v="0-4,999"/>
    <s v="Anaheim (92801)"/>
    <s v="$25,000-$44,999"/>
    <s v="No"/>
    <s v="No"/>
    <s v="No"/>
    <s v="No"/>
    <s v="No"/>
    <s v="Yes"/>
    <s v="No"/>
    <s v="Yes (Low)"/>
    <s v="No"/>
    <s v="Yes"/>
    <s v="No"/>
    <s v="No"/>
    <s v="No"/>
    <n v="365.88109968230401"/>
    <n v="622"/>
    <n v="1"/>
    <n v="0.93"/>
    <n v="1"/>
    <n v="1"/>
    <n v="0.82"/>
    <n v="1.1100000000000001"/>
    <n v="1.28"/>
    <n v="1"/>
    <n v="1"/>
    <n v="1"/>
    <n v="1"/>
    <n v="1"/>
    <n v="0.61"/>
    <n v="1"/>
    <n v="0.89"/>
    <n v="1"/>
    <n v="1"/>
    <n v="1"/>
    <n v="1"/>
    <n v="365.88109968230401"/>
    <n v="0"/>
    <s v="PASS"/>
    <n v="0"/>
    <x v="0"/>
  </r>
  <r>
    <s v="P0793"/>
    <d v="2026-03-28T00:00:00"/>
    <s v="Collision"/>
    <s v="65+"/>
    <n v="3"/>
    <n v="1"/>
    <s v="No"/>
    <s v="8,500-13,499"/>
    <s v="Cypress (90630)"/>
    <s v="$15,000-$24,999"/>
    <s v="No"/>
    <s v="No"/>
    <s v="No"/>
    <s v="Yes"/>
    <s v="Yes"/>
    <s v="No"/>
    <s v="Yes (High)"/>
    <s v="No"/>
    <s v="No"/>
    <s v="No"/>
    <s v="No"/>
    <s v="Yes"/>
    <s v="No"/>
    <n v="692.56884401319667"/>
    <n v="453"/>
    <n v="1.27"/>
    <n v="1.22"/>
    <n v="1.34"/>
    <n v="1"/>
    <n v="1"/>
    <n v="1.08"/>
    <n v="1.08"/>
    <n v="1"/>
    <n v="1"/>
    <n v="1"/>
    <n v="0.88"/>
    <n v="0.72"/>
    <n v="1"/>
    <n v="1"/>
    <n v="1"/>
    <n v="1"/>
    <n v="0.94"/>
    <n v="1"/>
    <n v="1.06"/>
    <n v="692.56884401319667"/>
    <n v="0"/>
    <s v="PASS"/>
    <n v="0"/>
    <x v="0"/>
  </r>
  <r>
    <s v="P0794"/>
    <d v="2025-06-07T00:00:00"/>
    <s v="Liability"/>
    <s v="65+"/>
    <n v="7"/>
    <s v="5+"/>
    <s v="No"/>
    <s v="13,500-16,999"/>
    <s v="Fountain Valley (92708)"/>
    <s v="$85,000-$149,999"/>
    <s v="No"/>
    <s v="Yes"/>
    <s v="No"/>
    <s v="Yes"/>
    <s v="No"/>
    <s v="Yes"/>
    <s v="No"/>
    <s v="Yes (High)"/>
    <s v="No"/>
    <s v="Yes"/>
    <s v="Yes"/>
    <s v="No"/>
    <s v="Yes"/>
    <n v="3648.6978376167367"/>
    <n v="622"/>
    <n v="1.27"/>
    <n v="0.95"/>
    <n v="2.4700000000000002"/>
    <n v="1"/>
    <n v="1.18"/>
    <n v="1.1499999999999999"/>
    <n v="2.02"/>
    <n v="1"/>
    <n v="1.21"/>
    <n v="1"/>
    <n v="0.88"/>
    <n v="1"/>
    <n v="0.84"/>
    <n v="1"/>
    <n v="0.89"/>
    <n v="0.93"/>
    <n v="1"/>
    <n v="0.97"/>
    <n v="1"/>
    <n v="3648.6978376167367"/>
    <n v="0"/>
    <s v="PASS"/>
    <n v="0"/>
    <x v="0"/>
  </r>
  <r>
    <s v="P0795"/>
    <d v="2025-06-01T00:00:00"/>
    <s v="Liability"/>
    <s v="55-64"/>
    <n v="4"/>
    <n v="1"/>
    <s v="Yes (Low Score)"/>
    <s v="17,000+"/>
    <s v="Torrance (90248)"/>
    <s v="$25,000-$44,999"/>
    <s v="No"/>
    <s v="No"/>
    <s v="No"/>
    <s v="Yes"/>
    <s v="No"/>
    <s v="Yes"/>
    <s v="No"/>
    <s v="Yes (Low)"/>
    <s v="No"/>
    <s v="Yes"/>
    <s v="No"/>
    <s v="No"/>
    <s v="No"/>
    <n v="915.03236008895055"/>
    <n v="622"/>
    <n v="1.1200000000000001"/>
    <n v="1.1499999999999999"/>
    <n v="1.34"/>
    <n v="0.95"/>
    <n v="1.31"/>
    <n v="1.1200000000000001"/>
    <n v="1.28"/>
    <n v="1"/>
    <n v="1"/>
    <n v="1"/>
    <n v="0.88"/>
    <n v="1"/>
    <n v="0.61"/>
    <n v="1"/>
    <n v="0.89"/>
    <n v="1"/>
    <n v="1"/>
    <n v="1"/>
    <n v="1"/>
    <n v="915.03236008895055"/>
    <n v="0"/>
    <s v="PASS"/>
    <n v="0"/>
    <x v="0"/>
  </r>
  <r>
    <s v="P0796"/>
    <d v="2026-01-08T00:00:00"/>
    <s v="Collision"/>
    <s v="45-54"/>
    <n v="6"/>
    <n v="4"/>
    <s v="No"/>
    <s v="13,500-16,999"/>
    <s v="Santa Ana (92702)"/>
    <s v="$5,000-$14,999"/>
    <s v="No"/>
    <s v="No"/>
    <s v="No"/>
    <s v="No"/>
    <s v="Yes"/>
    <s v="No"/>
    <s v="Yes (High)"/>
    <s v="No"/>
    <s v="No"/>
    <s v="Yes"/>
    <s v="No"/>
    <s v="No"/>
    <s v="No"/>
    <n v="814.89212769627272"/>
    <n v="453"/>
    <n v="1.07"/>
    <n v="1"/>
    <n v="2.12"/>
    <n v="1"/>
    <n v="1.18"/>
    <n v="1.02"/>
    <n v="0.97"/>
    <n v="1"/>
    <n v="1"/>
    <n v="1"/>
    <n v="1"/>
    <n v="0.72"/>
    <n v="1"/>
    <n v="1"/>
    <n v="0.89"/>
    <n v="1"/>
    <n v="1"/>
    <n v="1"/>
    <n v="1.06"/>
    <n v="814.89212769627272"/>
    <n v="0"/>
    <s v="PASS"/>
    <n v="0"/>
    <x v="0"/>
  </r>
  <r>
    <s v="P0797"/>
    <d v="2026-01-26T00:00:00"/>
    <s v="Collision"/>
    <s v="35-44"/>
    <n v="5"/>
    <n v="4"/>
    <s v="Yes (Low Score)"/>
    <s v="5,000-8,499"/>
    <s v="Hawthorne (90250)"/>
    <s v="$5,000-$14,999"/>
    <s v="No"/>
    <s v="No"/>
    <s v="No"/>
    <s v="No"/>
    <s v="Yes"/>
    <s v="No"/>
    <s v="Yes (High)"/>
    <s v="No"/>
    <s v="No"/>
    <s v="No"/>
    <s v="Yes"/>
    <s v="No"/>
    <s v="No"/>
    <n v="681.30870346702045"/>
    <n v="453"/>
    <n v="1"/>
    <n v="1.07"/>
    <n v="2.12"/>
    <n v="0.95"/>
    <n v="0.93"/>
    <n v="1.0900000000000001"/>
    <n v="0.97"/>
    <n v="1"/>
    <n v="1"/>
    <n v="1"/>
    <n v="1"/>
    <n v="0.72"/>
    <n v="1"/>
    <n v="1"/>
    <n v="1"/>
    <n v="0.93"/>
    <n v="1"/>
    <n v="1"/>
    <n v="1.06"/>
    <n v="681.30870346702045"/>
    <n v="0"/>
    <s v="PASS"/>
    <n v="0"/>
    <x v="0"/>
  </r>
  <r>
    <s v="P0798"/>
    <d v="2025-09-01T00:00:00"/>
    <s v="Uninsured Motorist"/>
    <s v="35-44"/>
    <n v="6"/>
    <n v="1"/>
    <s v="Yes (Medium Score)"/>
    <s v="0-4,999"/>
    <s v="Torrance (90248)"/>
    <s v="$15,000-$24,999"/>
    <s v="No"/>
    <s v="No"/>
    <s v="No"/>
    <s v="No"/>
    <s v="No"/>
    <s v="Yes"/>
    <s v="No"/>
    <s v="Yes (Low)"/>
    <s v="No"/>
    <s v="No"/>
    <s v="No"/>
    <s v="No"/>
    <s v="No"/>
    <n v="50.591185182720018"/>
    <n v="78"/>
    <n v="1"/>
    <n v="1"/>
    <n v="1.34"/>
    <n v="0.8"/>
    <n v="0.82"/>
    <n v="1.1200000000000001"/>
    <n v="1.08"/>
    <n v="1"/>
    <n v="1"/>
    <n v="1"/>
    <n v="1"/>
    <n v="1"/>
    <n v="0.61"/>
    <n v="1"/>
    <n v="1"/>
    <n v="1"/>
    <n v="1"/>
    <n v="1"/>
    <n v="1"/>
    <n v="50.591185182720018"/>
    <n v="0"/>
    <s v="PASS"/>
    <n v="0"/>
    <x v="0"/>
  </r>
  <r>
    <s v="P0799"/>
    <d v="2025-06-11T00:00:00"/>
    <s v="Uninsured Motorist"/>
    <s v="55-64"/>
    <n v="2"/>
    <n v="2"/>
    <s v="No"/>
    <s v="5,000-8,499"/>
    <s v="Long Beach (90712)"/>
    <s v="$25,000-$44,999"/>
    <s v="No"/>
    <s v="No"/>
    <s v="No"/>
    <s v="Yes"/>
    <s v="No"/>
    <s v="Yes"/>
    <s v="No"/>
    <s v="Yes (Low)"/>
    <s v="No"/>
    <s v="No"/>
    <s v="No"/>
    <s v="No"/>
    <s v="No"/>
    <n v="136.64284137042742"/>
    <n v="78"/>
    <n v="1.1200000000000001"/>
    <n v="1.41"/>
    <n v="1.55"/>
    <n v="1"/>
    <n v="0.93"/>
    <n v="1.1200000000000001"/>
    <n v="1.28"/>
    <n v="1"/>
    <n v="1"/>
    <n v="1"/>
    <n v="0.88"/>
    <n v="1"/>
    <n v="0.61"/>
    <n v="1"/>
    <n v="1"/>
    <n v="1"/>
    <n v="1"/>
    <n v="1"/>
    <n v="1"/>
    <n v="136.64284137042742"/>
    <n v="0"/>
    <s v="PASS"/>
    <n v="0"/>
    <x v="0"/>
  </r>
  <r>
    <s v="P0800"/>
    <d v="2025-05-13T00:00:00"/>
    <s v="Rental Car Reinbursement"/>
    <s v="55-64"/>
    <n v="1"/>
    <n v="1"/>
    <s v="Yes (Low Score)"/>
    <s v="17,000+"/>
    <s v="Long Beach (90712)"/>
    <s v="$0-$4,999"/>
    <s v="No"/>
    <s v="No"/>
    <s v="No"/>
    <s v="Yes"/>
    <s v="No"/>
    <s v="Yes"/>
    <s v="No"/>
    <s v="Yes (High)"/>
    <s v="Yes"/>
    <s v="Yes"/>
    <s v="No"/>
    <s v="No"/>
    <s v="No"/>
    <n v="69.80991255513689"/>
    <n v="41"/>
    <n v="1.1200000000000001"/>
    <n v="1.64"/>
    <n v="1.34"/>
    <n v="0.95"/>
    <n v="1.31"/>
    <n v="1.1200000000000001"/>
    <n v="0.82"/>
    <n v="1"/>
    <n v="1"/>
    <n v="1"/>
    <n v="0.88"/>
    <n v="1"/>
    <n v="0.84"/>
    <n v="0.92"/>
    <n v="0.89"/>
    <n v="1"/>
    <n v="1"/>
    <n v="1"/>
    <n v="1"/>
    <n v="69.80991255513689"/>
    <n v="0"/>
    <s v="PASS"/>
    <n v="0"/>
    <x v="0"/>
  </r>
  <r>
    <s v="P0801"/>
    <d v="2026-02-26T00:00:00"/>
    <s v="Liability"/>
    <s v="65+"/>
    <n v="3"/>
    <n v="4"/>
    <s v="Yes (Medium Score)"/>
    <s v="8,500-13,499"/>
    <s v="Irvine (92602)"/>
    <s v="$0-$4,999"/>
    <s v="No"/>
    <s v="No"/>
    <s v="Yes"/>
    <s v="Yes"/>
    <s v="No"/>
    <s v="Yes"/>
    <s v="No"/>
    <s v="Yes (High)"/>
    <s v="No"/>
    <s v="No"/>
    <s v="No"/>
    <s v="Yes"/>
    <s v="No"/>
    <n v="1177.52"/>
    <n v="622"/>
    <n v="1.27"/>
    <n v="1.22"/>
    <n v="2.12"/>
    <n v="0.8"/>
    <n v="1"/>
    <n v="1.0900000000000001"/>
    <n v="0.82"/>
    <n v="1"/>
    <n v="1"/>
    <n v="1.1599999999999999"/>
    <n v="0.88"/>
    <n v="1"/>
    <n v="0.84"/>
    <n v="1"/>
    <n v="1"/>
    <n v="1"/>
    <n v="0.94"/>
    <n v="1"/>
    <n v="1.06"/>
    <n v="1248.1701748811113"/>
    <n v="-70.650174881111298"/>
    <s v="FAIL"/>
    <n v="70.650174881111298"/>
    <x v="1"/>
  </r>
  <r>
    <s v="P0802"/>
    <d v="2026-04-19T00:00:00"/>
    <s v="Collision"/>
    <s v="25-34"/>
    <n v="3"/>
    <n v="3"/>
    <s v="Yes (Medium Score)"/>
    <s v="0-4,999"/>
    <s v="Newport Beach (92603)"/>
    <s v="$25,000-$44,999"/>
    <s v="No"/>
    <s v="No"/>
    <s v="No"/>
    <s v="No"/>
    <s v="Yes"/>
    <s v="No"/>
    <s v="Yes (Medium)"/>
    <s v="No"/>
    <s v="No"/>
    <s v="No"/>
    <s v="No"/>
    <s v="Yes"/>
    <s v="Yes"/>
    <n v="792.79505741261323"/>
    <n v="453"/>
    <n v="1.23"/>
    <n v="1.22"/>
    <n v="1.82"/>
    <n v="0.8"/>
    <n v="0.82"/>
    <n v="0.94"/>
    <n v="1.28"/>
    <n v="1"/>
    <n v="1"/>
    <n v="1"/>
    <n v="1"/>
    <n v="0.84"/>
    <n v="1"/>
    <n v="1"/>
    <n v="1"/>
    <n v="1"/>
    <n v="0.94"/>
    <n v="0.97"/>
    <n v="1.06"/>
    <n v="792.79505741261323"/>
    <n v="0"/>
    <s v="PASS"/>
    <n v="0"/>
    <x v="0"/>
  </r>
  <r>
    <s v="P0803"/>
    <d v="2025-12-19T00:00:00"/>
    <s v="Liability"/>
    <s v="16-24"/>
    <n v="4"/>
    <n v="3"/>
    <s v="Yes (Medium Score)"/>
    <s v="17,000+"/>
    <s v="Irvine (92602)"/>
    <s v="$25,000-$44,999"/>
    <s v="No"/>
    <s v="No"/>
    <s v="No"/>
    <s v="Yes"/>
    <s v="No"/>
    <s v="Yes"/>
    <s v="No"/>
    <s v="Yes (Medium)"/>
    <s v="Yes"/>
    <s v="Yes"/>
    <s v="No"/>
    <s v="Yes"/>
    <s v="No"/>
    <n v="1225.3274158089282"/>
    <n v="622"/>
    <n v="1.32"/>
    <n v="1.1499999999999999"/>
    <n v="1.82"/>
    <n v="0.8"/>
    <n v="1.31"/>
    <n v="1.0900000000000001"/>
    <n v="1.28"/>
    <n v="1"/>
    <n v="1"/>
    <n v="1"/>
    <n v="0.88"/>
    <n v="1"/>
    <n v="0.72"/>
    <n v="0.92"/>
    <n v="0.89"/>
    <n v="1"/>
    <n v="0.94"/>
    <n v="1"/>
    <n v="1"/>
    <n v="1225.3274158089282"/>
    <n v="0"/>
    <s v="PASS"/>
    <n v="0"/>
    <x v="0"/>
  </r>
  <r>
    <s v="P0804"/>
    <d v="2026-03-21T00:00:00"/>
    <s v="Uninsured Motorist"/>
    <s v="55-64"/>
    <n v="2"/>
    <n v="1"/>
    <s v="No"/>
    <s v="8,500-13,499"/>
    <s v="Torrance (90248)"/>
    <s v="$85,000-$149,999"/>
    <s v="No"/>
    <s v="No"/>
    <s v="No"/>
    <s v="No"/>
    <s v="No"/>
    <s v="Yes"/>
    <s v="No"/>
    <s v="Yes (Low)"/>
    <s v="No"/>
    <s v="No"/>
    <s v="Yes"/>
    <s v="Yes"/>
    <s v="Yes"/>
    <n v="204.750120108022"/>
    <n v="78"/>
    <n v="1.1200000000000001"/>
    <n v="1.41"/>
    <n v="1.34"/>
    <n v="1"/>
    <n v="1"/>
    <n v="1.1200000000000001"/>
    <n v="2.02"/>
    <n v="1"/>
    <n v="1"/>
    <n v="1"/>
    <n v="1"/>
    <n v="1"/>
    <n v="0.61"/>
    <n v="1"/>
    <n v="1"/>
    <n v="0.93"/>
    <n v="0.94"/>
    <n v="0.97"/>
    <n v="1.06"/>
    <n v="204.750120108022"/>
    <n v="0"/>
    <s v="PASS"/>
    <n v="0"/>
    <x v="0"/>
  </r>
  <r>
    <s v="P0805"/>
    <d v="2025-05-05T00:00:00"/>
    <s v="Liability"/>
    <s v="55-64"/>
    <n v="2"/>
    <n v="0"/>
    <s v="No"/>
    <s v="17,000+"/>
    <s v="Hawthorne (90250)"/>
    <s v="$150,000+"/>
    <s v="No"/>
    <s v="No"/>
    <s v="No"/>
    <s v="No"/>
    <s v="No"/>
    <s v="Yes"/>
    <s v="No"/>
    <s v="Yes (High)"/>
    <s v="Yes"/>
    <s v="No"/>
    <s v="Yes"/>
    <s v="Yes"/>
    <s v="No"/>
    <n v="2719.4753455656819"/>
    <n v="622"/>
    <n v="1.1200000000000001"/>
    <n v="1.41"/>
    <n v="1"/>
    <n v="1"/>
    <n v="1.31"/>
    <n v="1.0900000000000001"/>
    <n v="2.87"/>
    <n v="1"/>
    <n v="1"/>
    <n v="1"/>
    <n v="1"/>
    <n v="1"/>
    <n v="0.84"/>
    <n v="0.92"/>
    <n v="1"/>
    <n v="0.93"/>
    <n v="0.94"/>
    <n v="1"/>
    <n v="1"/>
    <n v="2719.4753455656819"/>
    <n v="0"/>
    <s v="PASS"/>
    <n v="0"/>
    <x v="0"/>
  </r>
  <r>
    <s v="P0806"/>
    <d v="2025-11-27T00:00:00"/>
    <s v="Liability"/>
    <s v="16-24"/>
    <n v="5"/>
    <n v="0"/>
    <s v="No"/>
    <s v="5,000-8,499"/>
    <s v="Long Beach (90712)"/>
    <s v="$25,000-$44,999"/>
    <s v="No"/>
    <s v="No"/>
    <s v="No"/>
    <s v="Yes"/>
    <s v="No"/>
    <s v="Yes"/>
    <s v="No"/>
    <s v="Yes (High)"/>
    <s v="No"/>
    <s v="No"/>
    <s v="No"/>
    <s v="No"/>
    <s v="Yes"/>
    <n v="839.83259648325065"/>
    <n v="622"/>
    <n v="1.32"/>
    <n v="1.07"/>
    <n v="1"/>
    <n v="1"/>
    <n v="0.93"/>
    <n v="1.1200000000000001"/>
    <n v="1.28"/>
    <n v="1"/>
    <n v="1"/>
    <n v="1"/>
    <n v="0.88"/>
    <n v="1"/>
    <n v="0.84"/>
    <n v="1"/>
    <n v="1"/>
    <n v="1"/>
    <n v="1"/>
    <n v="0.97"/>
    <n v="1"/>
    <n v="839.83259648325065"/>
    <n v="0"/>
    <s v="PASS"/>
    <n v="0"/>
    <x v="0"/>
  </r>
  <r>
    <s v="P0807"/>
    <d v="2026-02-23T00:00:00"/>
    <s v="Liability"/>
    <s v="35-44"/>
    <n v="7"/>
    <n v="0"/>
    <s v="Yes (Low Score)"/>
    <s v="0-4,999"/>
    <s v="Irvine (92602)"/>
    <s v="$0-$4,999"/>
    <s v="No"/>
    <s v="No"/>
    <s v="No"/>
    <s v="Yes"/>
    <s v="No"/>
    <s v="Yes"/>
    <s v="No"/>
    <s v="Yes (Low)"/>
    <s v="Yes"/>
    <s v="No"/>
    <s v="No"/>
    <s v="No"/>
    <s v="No"/>
    <n v="215.37634260231664"/>
    <n v="622"/>
    <n v="1"/>
    <n v="0.95"/>
    <n v="1"/>
    <n v="0.95"/>
    <n v="0.82"/>
    <n v="1.0900000000000001"/>
    <n v="0.82"/>
    <n v="1"/>
    <n v="1"/>
    <n v="1"/>
    <n v="0.88"/>
    <n v="1"/>
    <n v="0.61"/>
    <n v="0.92"/>
    <n v="1"/>
    <n v="1"/>
    <n v="1"/>
    <n v="1"/>
    <n v="1.06"/>
    <n v="215.37634260231664"/>
    <n v="0"/>
    <s v="PASS"/>
    <n v="0"/>
    <x v="0"/>
  </r>
  <r>
    <s v="P0808"/>
    <d v="2025-07-04T00:00:00"/>
    <s v="Collision"/>
    <s v="55-64"/>
    <n v="1"/>
    <n v="2"/>
    <s v="No"/>
    <s v="13,500-16,999"/>
    <s v="Hawthorne (90250)"/>
    <s v="$45,000-$84,999"/>
    <s v="No"/>
    <s v="No"/>
    <s v="Yes"/>
    <s v="No"/>
    <s v="Yes"/>
    <s v="No"/>
    <s v="Yes (High)"/>
    <s v="No"/>
    <s v="No"/>
    <s v="No"/>
    <s v="No"/>
    <s v="No"/>
    <s v="No"/>
    <n v="2175.1560232605025"/>
    <n v="453"/>
    <n v="1.1200000000000001"/>
    <n v="1.64"/>
    <n v="1.55"/>
    <n v="1"/>
    <n v="1.18"/>
    <n v="1.0900000000000001"/>
    <n v="1.57"/>
    <n v="1"/>
    <n v="1"/>
    <n v="1.1599999999999999"/>
    <n v="1"/>
    <n v="0.72"/>
    <n v="1"/>
    <n v="1"/>
    <n v="1"/>
    <n v="1"/>
    <n v="1"/>
    <n v="1"/>
    <n v="1"/>
    <n v="2175.1560232605025"/>
    <n v="0"/>
    <s v="PASS"/>
    <n v="0"/>
    <x v="0"/>
  </r>
  <r>
    <s v="P0809"/>
    <d v="2026-04-26T00:00:00"/>
    <s v="Comprehensive"/>
    <s v="35-44"/>
    <n v="1"/>
    <n v="3"/>
    <s v="No"/>
    <s v="13,500-16,999"/>
    <s v="Beverly Hills (90035)"/>
    <s v="$25,000-$44,999"/>
    <s v="No"/>
    <s v="No"/>
    <s v="Yes"/>
    <s v="Yes"/>
    <s v="Yes"/>
    <s v="No"/>
    <s v="Yes (Medium)"/>
    <s v="No"/>
    <s v="Yes"/>
    <s v="No"/>
    <s v="No"/>
    <s v="Yes"/>
    <s v="No"/>
    <n v="518.82327079133665"/>
    <n v="121"/>
    <n v="1"/>
    <n v="1.64"/>
    <n v="1.82"/>
    <n v="1"/>
    <n v="1.18"/>
    <n v="1.21"/>
    <n v="1.28"/>
    <n v="1"/>
    <n v="1"/>
    <n v="1.1599999999999999"/>
    <n v="0.88"/>
    <n v="0.84"/>
    <n v="1"/>
    <n v="0.92"/>
    <n v="1"/>
    <n v="1"/>
    <n v="0.94"/>
    <n v="1"/>
    <n v="1.06"/>
    <n v="518.82327079133665"/>
    <n v="0"/>
    <s v="PASS"/>
    <n v="0"/>
    <x v="0"/>
  </r>
  <r>
    <s v="P0810"/>
    <d v="2026-02-14T00:00:00"/>
    <s v="Collision"/>
    <s v="35-44"/>
    <n v="4"/>
    <n v="3"/>
    <s v="Yes (High Score)"/>
    <s v="5,000-8,499"/>
    <s v="Beverly Hills (90035)"/>
    <s v="$25,000-$44,999"/>
    <s v="No"/>
    <s v="No"/>
    <s v="No"/>
    <s v="Yes"/>
    <s v="Yes"/>
    <s v="No"/>
    <s v="Yes (High)"/>
    <s v="No"/>
    <s v="Yes"/>
    <s v="No"/>
    <s v="Yes"/>
    <s v="No"/>
    <s v="No"/>
    <n v="510.09478705921248"/>
    <n v="453"/>
    <n v="1"/>
    <n v="1.1499999999999999"/>
    <n v="1.82"/>
    <n v="0.65"/>
    <n v="0.93"/>
    <n v="1.21"/>
    <n v="1.28"/>
    <n v="1"/>
    <n v="1"/>
    <n v="1"/>
    <n v="0.88"/>
    <n v="0.72"/>
    <n v="1"/>
    <n v="0.92"/>
    <n v="1"/>
    <n v="0.93"/>
    <n v="1"/>
    <n v="1"/>
    <n v="1.06"/>
    <n v="510.09478705921248"/>
    <n v="0"/>
    <s v="PASS"/>
    <n v="0"/>
    <x v="0"/>
  </r>
  <r>
    <s v="P0811"/>
    <d v="2026-04-08T00:00:00"/>
    <s v="Liability"/>
    <s v="35-44"/>
    <n v="5"/>
    <n v="0"/>
    <s v="No"/>
    <s v="8,500-13,499"/>
    <s v="Santa Monica (90401)"/>
    <s v="$150,000+"/>
    <s v="No"/>
    <s v="No"/>
    <s v="Yes"/>
    <s v="Yes"/>
    <s v="No"/>
    <s v="Yes"/>
    <s v="No"/>
    <s v="Yes (Low)"/>
    <s v="No"/>
    <s v="Yes"/>
    <s v="Yes"/>
    <s v="No"/>
    <s v="No"/>
    <n v="1210.4960181291176"/>
    <n v="622"/>
    <n v="1"/>
    <n v="1.07"/>
    <n v="1"/>
    <n v="1"/>
    <n v="1"/>
    <n v="1.1599999999999999"/>
    <n v="2.87"/>
    <n v="1"/>
    <n v="1"/>
    <n v="1.1599999999999999"/>
    <n v="0.88"/>
    <n v="1"/>
    <n v="0.61"/>
    <n v="1"/>
    <n v="0.89"/>
    <n v="0.93"/>
    <n v="1"/>
    <n v="1"/>
    <n v="1.06"/>
    <n v="1210.4960181291176"/>
    <n v="0"/>
    <s v="PASS"/>
    <n v="0"/>
    <x v="0"/>
  </r>
  <r>
    <s v="P0812"/>
    <d v="2025-08-17T00:00:00"/>
    <s v="Liability"/>
    <s v="45-54"/>
    <n v="4"/>
    <n v="0"/>
    <s v="No"/>
    <s v="13,500-16,999"/>
    <s v="Westminster (92655)"/>
    <s v="$150,000+"/>
    <s v="No"/>
    <s v="Yes"/>
    <s v="No"/>
    <s v="Yes"/>
    <s v="No"/>
    <s v="Yes"/>
    <s v="No"/>
    <s v="Yes (High)"/>
    <s v="Yes"/>
    <s v="No"/>
    <s v="Yes"/>
    <s v="No"/>
    <s v="No"/>
    <n v="2162.1235597967398"/>
    <n v="622"/>
    <n v="1.07"/>
    <n v="1.1499999999999999"/>
    <n v="1"/>
    <n v="1"/>
    <n v="1.18"/>
    <n v="1.0900000000000001"/>
    <n v="2.87"/>
    <n v="1"/>
    <n v="1.21"/>
    <n v="1"/>
    <n v="0.88"/>
    <n v="1"/>
    <n v="0.84"/>
    <n v="0.92"/>
    <n v="1"/>
    <n v="0.93"/>
    <n v="1"/>
    <n v="1"/>
    <n v="1"/>
    <n v="2162.1235597967398"/>
    <n v="0"/>
    <s v="PASS"/>
    <n v="0"/>
    <x v="0"/>
  </r>
  <r>
    <s v="P0813"/>
    <d v="2025-11-07T00:00:00"/>
    <s v="Comprehensive"/>
    <s v="45-54"/>
    <n v="5"/>
    <s v="5+"/>
    <s v="No"/>
    <s v="17,000+"/>
    <s v="Costa Mesa (92626)"/>
    <s v="$15,000-$24,999"/>
    <s v="No"/>
    <s v="Yes"/>
    <s v="No"/>
    <s v="Yes"/>
    <s v="Yes"/>
    <s v="No"/>
    <s v="Yes (High)"/>
    <s v="No"/>
    <s v="No"/>
    <s v="No"/>
    <s v="No"/>
    <s v="No"/>
    <s v="No"/>
    <n v="341.45485829238635"/>
    <n v="121"/>
    <n v="1.07"/>
    <n v="1.07"/>
    <n v="2.4700000000000002"/>
    <n v="1"/>
    <n v="1.31"/>
    <n v="0.92"/>
    <n v="1.08"/>
    <n v="1"/>
    <n v="1.21"/>
    <n v="1"/>
    <n v="0.88"/>
    <n v="0.72"/>
    <n v="1"/>
    <n v="1"/>
    <n v="1"/>
    <n v="1"/>
    <n v="1"/>
    <n v="1"/>
    <n v="1"/>
    <n v="341.45485829238635"/>
    <n v="0"/>
    <s v="PASS"/>
    <n v="0"/>
    <x v="0"/>
  </r>
  <r>
    <s v="P0814"/>
    <d v="2025-06-21T00:00:00"/>
    <s v="Collision"/>
    <s v="65+"/>
    <n v="5"/>
    <n v="3"/>
    <s v="Yes (Medium Score)"/>
    <s v="13,500-16,999"/>
    <s v="Newport Beach (92603)"/>
    <s v="$150,000+"/>
    <s v="No"/>
    <s v="No"/>
    <s v="No"/>
    <s v="No"/>
    <s v="Yes"/>
    <s v="No"/>
    <s v="Yes (Low)"/>
    <s v="No"/>
    <s v="No"/>
    <s v="No"/>
    <s v="Yes"/>
    <s v="Yes"/>
    <s v="Yes"/>
    <n v="2298.5024710299426"/>
    <n v="453"/>
    <n v="1.27"/>
    <n v="1.07"/>
    <n v="1.82"/>
    <n v="0.8"/>
    <n v="1.18"/>
    <n v="0.94"/>
    <n v="2.87"/>
    <n v="1"/>
    <n v="1"/>
    <n v="1"/>
    <n v="1"/>
    <n v="0.95"/>
    <n v="1"/>
    <n v="1"/>
    <n v="1"/>
    <n v="0.93"/>
    <n v="0.94"/>
    <n v="0.97"/>
    <n v="1"/>
    <n v="2298.5024710299426"/>
    <n v="0"/>
    <s v="PASS"/>
    <n v="0"/>
    <x v="0"/>
  </r>
  <r>
    <s v="P0815"/>
    <d v="2025-11-02T00:00:00"/>
    <s v="Collision"/>
    <s v="25-34"/>
    <n v="7"/>
    <s v="5+"/>
    <s v="Yes (High Score)"/>
    <s v="5,000-8,499"/>
    <s v="Santa Monica (90401)"/>
    <s v="$0-$4,999"/>
    <s v="No"/>
    <s v="Yes"/>
    <s v="No"/>
    <s v="No"/>
    <s v="Yes"/>
    <s v="No"/>
    <s v="Yes (Medium)"/>
    <s v="No"/>
    <s v="No"/>
    <s v="No"/>
    <s v="No"/>
    <s v="No"/>
    <s v="No"/>
    <n v="764.1113931194318"/>
    <n v="453"/>
    <n v="1.23"/>
    <n v="0.95"/>
    <n v="2.4700000000000002"/>
    <n v="0.65"/>
    <n v="0.93"/>
    <n v="1.1599999999999999"/>
    <n v="0.82"/>
    <n v="1"/>
    <n v="1.21"/>
    <n v="1"/>
    <n v="1"/>
    <n v="0.84"/>
    <n v="1"/>
    <n v="1"/>
    <n v="1"/>
    <n v="1"/>
    <n v="1"/>
    <n v="1"/>
    <n v="1"/>
    <n v="764.1113931194318"/>
    <n v="0"/>
    <s v="PASS"/>
    <n v="0"/>
    <x v="0"/>
  </r>
  <r>
    <s v="P0816"/>
    <d v="2026-01-21T00:00:00"/>
    <s v="Liability"/>
    <s v="65+"/>
    <n v="3"/>
    <s v="5+"/>
    <s v="No"/>
    <s v="17,000+"/>
    <s v="Costa Mesa (92626)"/>
    <s v="$85,000-$149,999"/>
    <s v="Yes"/>
    <s v="No"/>
    <s v="No"/>
    <s v="Yes"/>
    <s v="No"/>
    <s v="Yes"/>
    <s v="No"/>
    <s v="Yes (Low)"/>
    <s v="No"/>
    <s v="No"/>
    <s v="Yes"/>
    <s v="No"/>
    <s v="Yes"/>
    <n v="3592.02"/>
    <n v="622"/>
    <n v="1.27"/>
    <n v="1.22"/>
    <n v="2.4700000000000002"/>
    <n v="1"/>
    <n v="1.31"/>
    <n v="0.92"/>
    <n v="2.02"/>
    <n v="1.28"/>
    <n v="1"/>
    <n v="1"/>
    <n v="0.88"/>
    <n v="1"/>
    <n v="0.61"/>
    <n v="1"/>
    <n v="1"/>
    <n v="0.93"/>
    <n v="1"/>
    <n v="0.97"/>
    <n v="1.06"/>
    <n v="3807.5394075389108"/>
    <n v="-215.51940753891085"/>
    <s v="FAIL"/>
    <n v="215.51940753891085"/>
    <x v="1"/>
  </r>
  <r>
    <s v="P0817"/>
    <d v="2025-09-20T00:00:00"/>
    <s v="Liability"/>
    <s v="55-64"/>
    <n v="7"/>
    <n v="1"/>
    <s v="Yes (Medium Score)"/>
    <s v="0-4,999"/>
    <s v="Fountain Valley (92708)"/>
    <s v="$25,000-$44,999"/>
    <s v="No"/>
    <s v="No"/>
    <s v="No"/>
    <s v="No"/>
    <s v="No"/>
    <s v="Yes"/>
    <s v="No"/>
    <s v="Yes (Low)"/>
    <s v="No"/>
    <s v="No"/>
    <s v="No"/>
    <s v="No"/>
    <s v="No"/>
    <n v="522.37008202301456"/>
    <n v="622"/>
    <n v="1.1200000000000001"/>
    <n v="0.95"/>
    <n v="1.34"/>
    <n v="0.8"/>
    <n v="0.82"/>
    <n v="1.1499999999999999"/>
    <n v="1.28"/>
    <n v="1"/>
    <n v="1"/>
    <n v="1"/>
    <n v="1"/>
    <n v="1"/>
    <n v="0.61"/>
    <n v="1"/>
    <n v="1"/>
    <n v="1"/>
    <n v="1"/>
    <n v="1"/>
    <n v="1"/>
    <n v="522.37008202301456"/>
    <n v="0"/>
    <s v="PASS"/>
    <n v="0"/>
    <x v="0"/>
  </r>
  <r>
    <s v="P0818"/>
    <d v="2026-03-03T00:00:00"/>
    <s v="Liability"/>
    <s v="55-64"/>
    <n v="2"/>
    <n v="0"/>
    <s v="Yes (Medium Score)"/>
    <s v="13,500-16,999"/>
    <s v="Compton (90220)"/>
    <s v="$15,000-$24,999"/>
    <s v="No"/>
    <s v="No"/>
    <s v="No"/>
    <s v="Yes"/>
    <s v="No"/>
    <s v="Yes"/>
    <s v="No"/>
    <s v="Yes (Medium)"/>
    <s v="No"/>
    <s v="Yes"/>
    <s v="No"/>
    <s v="No"/>
    <s v="No"/>
    <n v="933.81083480088535"/>
    <n v="622"/>
    <n v="1.1200000000000001"/>
    <n v="1.41"/>
    <n v="1"/>
    <n v="0.8"/>
    <n v="1.18"/>
    <n v="1.56"/>
    <n v="1.08"/>
    <n v="1"/>
    <n v="1"/>
    <n v="1"/>
    <n v="0.88"/>
    <n v="1"/>
    <n v="0.72"/>
    <n v="1"/>
    <n v="0.89"/>
    <n v="1"/>
    <n v="1"/>
    <n v="1"/>
    <n v="1.06"/>
    <n v="933.81083480088535"/>
    <n v="0"/>
    <s v="PASS"/>
    <n v="0"/>
    <x v="0"/>
  </r>
  <r>
    <s v="P0819"/>
    <d v="2026-01-29T00:00:00"/>
    <s v="Liability"/>
    <s v="65+"/>
    <n v="7"/>
    <n v="1"/>
    <s v="No"/>
    <s v="8,500-13,499"/>
    <s v="Cypress (90630)"/>
    <s v="$150,000+"/>
    <s v="No"/>
    <s v="No"/>
    <s v="No"/>
    <s v="No"/>
    <s v="No"/>
    <s v="Yes"/>
    <s v="No"/>
    <s v="Yes (Low)"/>
    <s v="No"/>
    <s v="No"/>
    <s v="Yes"/>
    <s v="Yes"/>
    <s v="No"/>
    <n v="1761.8732585292589"/>
    <n v="622"/>
    <n v="1.27"/>
    <n v="0.95"/>
    <n v="1.34"/>
    <n v="1"/>
    <n v="1"/>
    <n v="1.08"/>
    <n v="2.87"/>
    <n v="1"/>
    <n v="1"/>
    <n v="1"/>
    <n v="1"/>
    <n v="1"/>
    <n v="0.61"/>
    <n v="1"/>
    <n v="1"/>
    <n v="0.93"/>
    <n v="0.94"/>
    <n v="1"/>
    <n v="1.06"/>
    <n v="1761.8732585292589"/>
    <n v="0"/>
    <s v="PASS"/>
    <n v="0"/>
    <x v="0"/>
  </r>
  <r>
    <s v="P0820"/>
    <d v="2025-12-30T00:00:00"/>
    <s v="Rental Car Reinbursement"/>
    <s v="45-54"/>
    <n v="3"/>
    <n v="3"/>
    <s v="No"/>
    <s v="0-4,999"/>
    <s v="Irvine (92602)"/>
    <s v="$85,000-$149,999"/>
    <s v="No"/>
    <s v="No"/>
    <s v="No"/>
    <s v="No"/>
    <s v="No"/>
    <s v="Yes"/>
    <s v="No"/>
    <s v="Yes (Low)"/>
    <s v="No"/>
    <s v="Yes"/>
    <s v="No"/>
    <s v="Yes"/>
    <s v="No"/>
    <n v="89.75078754041904"/>
    <n v="41"/>
    <n v="1.07"/>
    <n v="1.22"/>
    <n v="1.82"/>
    <n v="1"/>
    <n v="0.82"/>
    <n v="1.0900000000000001"/>
    <n v="2.02"/>
    <n v="1"/>
    <n v="1"/>
    <n v="1"/>
    <n v="1"/>
    <n v="1"/>
    <n v="0.61"/>
    <n v="1"/>
    <n v="0.89"/>
    <n v="1"/>
    <n v="0.94"/>
    <n v="1"/>
    <n v="1"/>
    <n v="89.75078754041904"/>
    <n v="0"/>
    <s v="PASS"/>
    <n v="0"/>
    <x v="0"/>
  </r>
  <r>
    <s v="P0821"/>
    <d v="2026-04-19T00:00:00"/>
    <s v="Liability"/>
    <s v="55-64"/>
    <s v="8+"/>
    <n v="4"/>
    <s v="Yes (High Score)"/>
    <s v="8,500-13,499"/>
    <s v="Torrance (90248)"/>
    <s v="$15,000-$24,999"/>
    <s v="No"/>
    <s v="No"/>
    <s v="No"/>
    <s v="No"/>
    <s v="No"/>
    <s v="Yes"/>
    <s v="No"/>
    <s v="Yes (Low)"/>
    <s v="Yes"/>
    <s v="No"/>
    <s v="No"/>
    <s v="No"/>
    <s v="No"/>
    <n v="642.40051326723051"/>
    <n v="622"/>
    <n v="1.1200000000000001"/>
    <n v="0.93"/>
    <n v="2.12"/>
    <n v="0.65"/>
    <n v="1"/>
    <n v="1.1200000000000001"/>
    <n v="1.08"/>
    <n v="1"/>
    <n v="1"/>
    <n v="1"/>
    <n v="1"/>
    <n v="1"/>
    <n v="0.61"/>
    <n v="0.92"/>
    <n v="1"/>
    <n v="1"/>
    <n v="1"/>
    <n v="1"/>
    <n v="1.06"/>
    <n v="642.40051326723051"/>
    <n v="0"/>
    <s v="PASS"/>
    <n v="0"/>
    <x v="0"/>
  </r>
  <r>
    <s v="P0822"/>
    <d v="2025-11-07T00:00:00"/>
    <s v="Uninsured Motorist"/>
    <s v="25-34"/>
    <n v="3"/>
    <n v="0"/>
    <s v="Yes (Medium Score)"/>
    <s v="17,000+"/>
    <s v="West Hollywood (90046)"/>
    <s v="$25,000-$44,999"/>
    <s v="No"/>
    <s v="No"/>
    <s v="No"/>
    <s v="No"/>
    <s v="No"/>
    <s v="Yes"/>
    <s v="No"/>
    <s v="Yes (Low)"/>
    <s v="No"/>
    <s v="Yes"/>
    <s v="No"/>
    <s v="No"/>
    <s v="No"/>
    <n v="100.58486701422183"/>
    <n v="78"/>
    <n v="1.23"/>
    <n v="1.22"/>
    <n v="1"/>
    <n v="0.8"/>
    <n v="1.31"/>
    <n v="1.18"/>
    <n v="1.28"/>
    <n v="1"/>
    <n v="1"/>
    <n v="1"/>
    <n v="1"/>
    <n v="1"/>
    <n v="0.61"/>
    <n v="1"/>
    <n v="0.89"/>
    <n v="1"/>
    <n v="1"/>
    <n v="1"/>
    <n v="1"/>
    <n v="100.58486701422183"/>
    <n v="0"/>
    <s v="PASS"/>
    <n v="0"/>
    <x v="0"/>
  </r>
  <r>
    <s v="P0823"/>
    <d v="2025-08-26T00:00:00"/>
    <s v="Rental Car Reinbursement"/>
    <s v="16-24"/>
    <s v="8+"/>
    <n v="3"/>
    <s v="Yes (Low Score)"/>
    <s v="13,500-16,999"/>
    <s v="Silverlake (90026 )"/>
    <s v="$45,000-$84,999"/>
    <s v="No"/>
    <s v="No"/>
    <s v="No"/>
    <s v="Yes"/>
    <s v="No"/>
    <s v="Yes"/>
    <s v="No"/>
    <s v="Yes (Low)"/>
    <s v="No"/>
    <s v="Yes"/>
    <s v="Yes"/>
    <s v="No"/>
    <s v="Yes"/>
    <n v="80.599542250705227"/>
    <n v="41"/>
    <n v="1.32"/>
    <n v="0.93"/>
    <n v="1.82"/>
    <n v="0.95"/>
    <n v="1.18"/>
    <n v="1.1599999999999999"/>
    <n v="1.57"/>
    <n v="1"/>
    <n v="1"/>
    <n v="1"/>
    <n v="0.88"/>
    <n v="1"/>
    <n v="0.61"/>
    <n v="1"/>
    <n v="0.89"/>
    <n v="0.93"/>
    <n v="1"/>
    <n v="0.97"/>
    <n v="1"/>
    <n v="80.599542250705227"/>
    <n v="0"/>
    <s v="PASS"/>
    <n v="0"/>
    <x v="0"/>
  </r>
  <r>
    <s v="P0824"/>
    <d v="2026-01-21T00:00:00"/>
    <s v="Comprehensive"/>
    <s v="45-54"/>
    <n v="7"/>
    <s v="5+"/>
    <s v="Yes (High Score)"/>
    <s v="13,500-16,999"/>
    <s v="Hollywood (90028)"/>
    <s v="$45,000-$84,999"/>
    <s v="No"/>
    <s v="No"/>
    <s v="No"/>
    <s v="No"/>
    <s v="Yes"/>
    <s v="No"/>
    <s v="Yes (Low)"/>
    <s v="No"/>
    <s v="No"/>
    <s v="No"/>
    <s v="No"/>
    <s v="Yes"/>
    <s v="No"/>
    <n v="412.08708946580072"/>
    <n v="121"/>
    <n v="1.07"/>
    <n v="0.95"/>
    <n v="2.4700000000000002"/>
    <n v="0.65"/>
    <n v="1.18"/>
    <n v="1.19"/>
    <n v="1.57"/>
    <n v="1"/>
    <n v="1"/>
    <n v="1"/>
    <n v="1"/>
    <n v="0.95"/>
    <n v="1"/>
    <n v="1"/>
    <n v="1"/>
    <n v="1"/>
    <n v="0.94"/>
    <n v="1"/>
    <n v="1.06"/>
    <n v="412.08708946580072"/>
    <n v="0"/>
    <s v="PASS"/>
    <n v="0"/>
    <x v="0"/>
  </r>
  <r>
    <s v="P0825"/>
    <d v="2025-12-19T00:00:00"/>
    <s v="Collision"/>
    <s v="45-54"/>
    <s v="8+"/>
    <n v="3"/>
    <s v="No"/>
    <s v="17,000+"/>
    <s v="Orange (92705)"/>
    <s v="$150,000+"/>
    <s v="No"/>
    <s v="No"/>
    <s v="Yes"/>
    <s v="No"/>
    <s v="Yes"/>
    <s v="No"/>
    <s v="Yes (Medium)"/>
    <s v="No"/>
    <s v="No"/>
    <s v="Yes"/>
    <s v="No"/>
    <s v="Yes"/>
    <s v="No"/>
    <n v="2564.7486856252626"/>
    <n v="453"/>
    <n v="1.07"/>
    <n v="0.93"/>
    <n v="1.82"/>
    <n v="1"/>
    <n v="1.31"/>
    <n v="1.02"/>
    <n v="2.87"/>
    <n v="1"/>
    <n v="1"/>
    <n v="1.1599999999999999"/>
    <n v="1"/>
    <n v="0.84"/>
    <n v="1"/>
    <n v="1"/>
    <n v="0.89"/>
    <n v="1"/>
    <n v="0.94"/>
    <n v="1"/>
    <n v="1"/>
    <n v="2564.7486856252626"/>
    <n v="0"/>
    <s v="PASS"/>
    <n v="0"/>
    <x v="0"/>
  </r>
  <r>
    <s v="P0826"/>
    <d v="2025-07-01T00:00:00"/>
    <s v="Liability"/>
    <s v="65+"/>
    <n v="7"/>
    <s v="5+"/>
    <s v="Yes (High Score)"/>
    <s v="8,500-13,499"/>
    <s v="Santa Ana (92702)"/>
    <s v="$45,000-$84,999"/>
    <s v="No"/>
    <s v="No"/>
    <s v="No"/>
    <s v="No"/>
    <s v="No"/>
    <s v="Yes"/>
    <s v="No"/>
    <s v="Yes (Medium)"/>
    <s v="No"/>
    <s v="No"/>
    <s v="No"/>
    <s v="Yes"/>
    <s v="No"/>
    <n v="1305.8346702119288"/>
    <n v="622"/>
    <n v="1.27"/>
    <n v="0.95"/>
    <n v="2.4700000000000002"/>
    <n v="0.65"/>
    <n v="1"/>
    <n v="1.02"/>
    <n v="1.57"/>
    <n v="1"/>
    <n v="1"/>
    <n v="1"/>
    <n v="1"/>
    <n v="1"/>
    <n v="0.72"/>
    <n v="1"/>
    <n v="1"/>
    <n v="1"/>
    <n v="0.94"/>
    <n v="1"/>
    <n v="1"/>
    <n v="1305.8346702119288"/>
    <n v="0"/>
    <s v="PASS"/>
    <n v="0"/>
    <x v="0"/>
  </r>
  <r>
    <s v="P0827"/>
    <d v="2025-09-10T00:00:00"/>
    <s v="Liability"/>
    <s v="65+"/>
    <n v="2"/>
    <n v="0"/>
    <s v="No"/>
    <s v="8,500-13,499"/>
    <s v="Santa Ana (92702)"/>
    <s v="$15,000-$24,999"/>
    <s v="No"/>
    <s v="No"/>
    <s v="No"/>
    <s v="Yes"/>
    <s v="No"/>
    <s v="Yes"/>
    <s v="No"/>
    <s v="Yes (Medium)"/>
    <s v="No"/>
    <s v="No"/>
    <s v="Yes"/>
    <s v="No"/>
    <s v="No"/>
    <n v="722.99494809603084"/>
    <n v="622"/>
    <n v="1.27"/>
    <n v="1.41"/>
    <n v="1"/>
    <n v="1"/>
    <n v="1"/>
    <n v="1.02"/>
    <n v="1.08"/>
    <n v="1"/>
    <n v="1"/>
    <n v="1"/>
    <n v="0.88"/>
    <n v="1"/>
    <n v="0.72"/>
    <n v="1"/>
    <n v="1"/>
    <n v="0.93"/>
    <n v="1"/>
    <n v="1"/>
    <n v="1"/>
    <n v="722.99494809603084"/>
    <n v="0"/>
    <s v="PASS"/>
    <n v="0"/>
    <x v="0"/>
  </r>
  <r>
    <s v="P0828"/>
    <d v="2025-09-13T00:00:00"/>
    <s v="Liability"/>
    <s v="45-54"/>
    <n v="2"/>
    <n v="3"/>
    <s v="Yes (Low Score)"/>
    <s v="8,500-13,499"/>
    <s v="Santa Ana (92702)"/>
    <s v="$15,000-$24,999"/>
    <s v="No"/>
    <s v="No"/>
    <s v="No"/>
    <s v="No"/>
    <s v="No"/>
    <s v="Yes"/>
    <s v="No"/>
    <s v="Yes (Low)"/>
    <s v="Yes"/>
    <s v="Yes"/>
    <s v="No"/>
    <s v="No"/>
    <s v="Yes"/>
    <n v="865.94757193761359"/>
    <n v="622"/>
    <n v="1.07"/>
    <n v="1.41"/>
    <n v="1.82"/>
    <n v="0.95"/>
    <n v="1"/>
    <n v="1.02"/>
    <n v="1.08"/>
    <n v="1"/>
    <n v="1"/>
    <n v="1"/>
    <n v="1"/>
    <n v="1"/>
    <n v="0.61"/>
    <n v="0.92"/>
    <n v="0.89"/>
    <n v="1"/>
    <n v="1"/>
    <n v="0.97"/>
    <n v="1"/>
    <n v="865.94757193761359"/>
    <n v="0"/>
    <s v="PASS"/>
    <n v="0"/>
    <x v="0"/>
  </r>
  <r>
    <s v="P0829"/>
    <d v="2025-10-20T00:00:00"/>
    <s v="Rental Car Reinbursement"/>
    <s v="45-54"/>
    <n v="2"/>
    <n v="1"/>
    <s v="No"/>
    <s v="17,000+"/>
    <s v="Fullerton (92832)"/>
    <s v="$0-$4,999"/>
    <s v="No"/>
    <s v="No"/>
    <s v="No"/>
    <s v="No"/>
    <s v="No"/>
    <s v="Yes"/>
    <s v="No"/>
    <s v="Yes (High)"/>
    <s v="No"/>
    <s v="Yes"/>
    <s v="No"/>
    <s v="No"/>
    <s v="Yes"/>
    <n v="72.316224297247203"/>
    <n v="41"/>
    <n v="1.07"/>
    <n v="1.41"/>
    <n v="1.34"/>
    <n v="1"/>
    <n v="1.31"/>
    <n v="1.1200000000000001"/>
    <n v="0.82"/>
    <n v="1"/>
    <n v="1"/>
    <n v="1"/>
    <n v="1"/>
    <n v="1"/>
    <n v="0.84"/>
    <n v="1"/>
    <n v="0.89"/>
    <n v="1"/>
    <n v="1"/>
    <n v="0.97"/>
    <n v="1"/>
    <n v="72.316224297247203"/>
    <n v="0"/>
    <s v="PASS"/>
    <n v="0"/>
    <x v="0"/>
  </r>
  <r>
    <s v="P0830"/>
    <d v="2025-08-11T00:00:00"/>
    <s v="Comprehensive"/>
    <s v="65+"/>
    <n v="3"/>
    <n v="2"/>
    <s v="No"/>
    <s v="17,000+"/>
    <s v="Culver City (90066)"/>
    <s v="$25,000-$44,999"/>
    <s v="No"/>
    <s v="No"/>
    <s v="No"/>
    <s v="No"/>
    <s v="Yes"/>
    <s v="No"/>
    <s v="Yes (High)"/>
    <s v="No"/>
    <s v="No"/>
    <s v="No"/>
    <s v="Yes"/>
    <s v="No"/>
    <s v="Yes"/>
    <n v="363.95434209769627"/>
    <n v="121"/>
    <n v="1.27"/>
    <n v="1.22"/>
    <n v="1.55"/>
    <n v="1"/>
    <n v="1.31"/>
    <n v="1.1499999999999999"/>
    <n v="1.28"/>
    <n v="1"/>
    <n v="1"/>
    <n v="1"/>
    <n v="1"/>
    <n v="0.72"/>
    <n v="1"/>
    <n v="1"/>
    <n v="1"/>
    <n v="0.93"/>
    <n v="1"/>
    <n v="0.97"/>
    <n v="1"/>
    <n v="363.95434209769627"/>
    <n v="0"/>
    <s v="PASS"/>
    <n v="0"/>
    <x v="0"/>
  </r>
  <r>
    <s v="P0831"/>
    <d v="2026-03-17T00:00:00"/>
    <s v="Liability"/>
    <s v="55-64"/>
    <n v="4"/>
    <n v="0"/>
    <s v="No"/>
    <s v="5,000-8,499"/>
    <s v="Compton (90220)"/>
    <s v="$5,000-$14,999"/>
    <s v="No"/>
    <s v="Yes"/>
    <s v="Yes"/>
    <s v="Yes"/>
    <s v="No"/>
    <s v="Yes"/>
    <s v="No"/>
    <s v="Yes (High)"/>
    <s v="No"/>
    <s v="No"/>
    <s v="No"/>
    <s v="No"/>
    <s v="Yes"/>
    <n v="1202.7308373325161"/>
    <n v="622"/>
    <n v="1.1200000000000001"/>
    <n v="1.1499999999999999"/>
    <n v="1"/>
    <n v="1"/>
    <n v="0.93"/>
    <n v="1.56"/>
    <n v="0.97"/>
    <n v="1"/>
    <n v="1.21"/>
    <n v="1.1599999999999999"/>
    <n v="0.88"/>
    <n v="1"/>
    <n v="0.84"/>
    <n v="1"/>
    <n v="1"/>
    <n v="1"/>
    <n v="1"/>
    <n v="0.97"/>
    <n v="1.06"/>
    <n v="1202.7308373325161"/>
    <n v="0"/>
    <s v="PASS"/>
    <n v="0"/>
    <x v="0"/>
  </r>
  <r>
    <s v="P0832"/>
    <d v="2026-01-30T00:00:00"/>
    <s v="Collision"/>
    <s v="35-44"/>
    <n v="2"/>
    <n v="3"/>
    <s v="No"/>
    <s v="5,000-8,499"/>
    <s v="Newport Beach (92603)"/>
    <s v="$150,000+"/>
    <s v="Yes"/>
    <s v="Yes"/>
    <s v="No"/>
    <s v="No"/>
    <s v="Yes"/>
    <s v="No"/>
    <s v="Yes (Medium)"/>
    <s v="No"/>
    <s v="No"/>
    <s v="No"/>
    <s v="No"/>
    <s v="Yes"/>
    <s v="No"/>
    <n v="3566.84"/>
    <n v="453"/>
    <n v="1"/>
    <n v="1.41"/>
    <n v="1.82"/>
    <n v="1"/>
    <n v="0.93"/>
    <n v="0.94"/>
    <n v="2.87"/>
    <n v="1.28"/>
    <n v="1.21"/>
    <n v="1"/>
    <n v="1"/>
    <n v="0.84"/>
    <n v="1"/>
    <n v="1"/>
    <n v="1"/>
    <n v="1"/>
    <n v="0.94"/>
    <n v="1"/>
    <n v="1.06"/>
    <n v="3780.8526009314078"/>
    <n v="-214.01260093140763"/>
    <s v="FAIL"/>
    <n v="214.01260093140763"/>
    <x v="1"/>
  </r>
  <r>
    <s v="P0833"/>
    <d v="2026-04-14T00:00:00"/>
    <s v="Comprehensive"/>
    <s v="55-64"/>
    <n v="6"/>
    <s v="5+"/>
    <s v="Yes (High Score)"/>
    <s v="17,000+"/>
    <s v="Santa Ana (92702)"/>
    <s v="$150,000+"/>
    <s v="No"/>
    <s v="No"/>
    <s v="No"/>
    <s v="Yes"/>
    <s v="Yes"/>
    <s v="No"/>
    <s v="Yes (Low)"/>
    <s v="No"/>
    <s v="No"/>
    <s v="Yes"/>
    <s v="No"/>
    <s v="No"/>
    <s v="No"/>
    <n v="658.06564165417558"/>
    <n v="121"/>
    <n v="1.1200000000000001"/>
    <n v="1"/>
    <n v="2.4700000000000002"/>
    <n v="0.65"/>
    <n v="1.31"/>
    <n v="1.02"/>
    <n v="2.87"/>
    <n v="1"/>
    <n v="1"/>
    <n v="1"/>
    <n v="0.88"/>
    <n v="0.95"/>
    <n v="1"/>
    <n v="1"/>
    <n v="0.89"/>
    <n v="1"/>
    <n v="1"/>
    <n v="1"/>
    <n v="1.06"/>
    <n v="658.06564165417558"/>
    <n v="0"/>
    <s v="PASS"/>
    <n v="0"/>
    <x v="0"/>
  </r>
  <r>
    <s v="P0834"/>
    <d v="2026-01-18T00:00:00"/>
    <s v="Liability"/>
    <s v="35-44"/>
    <n v="7"/>
    <n v="1"/>
    <s v="Yes (High Score)"/>
    <s v="13,500-16,999"/>
    <s v="Lake Forrest (92609)"/>
    <s v="$150,000+"/>
    <s v="No"/>
    <s v="No"/>
    <s v="No"/>
    <s v="Yes"/>
    <s v="No"/>
    <s v="Yes"/>
    <s v="No"/>
    <s v="Yes (Low)"/>
    <s v="No"/>
    <s v="No"/>
    <s v="No"/>
    <s v="No"/>
    <s v="No"/>
    <n v="942.18899386514317"/>
    <n v="622"/>
    <n v="1"/>
    <n v="0.95"/>
    <n v="1.34"/>
    <n v="0.65"/>
    <n v="1.18"/>
    <n v="0.95"/>
    <n v="2.87"/>
    <n v="1"/>
    <n v="1"/>
    <n v="1"/>
    <n v="0.88"/>
    <n v="1"/>
    <n v="0.61"/>
    <n v="1"/>
    <n v="1"/>
    <n v="1"/>
    <n v="1"/>
    <n v="1"/>
    <n v="1.06"/>
    <n v="942.18899386514317"/>
    <n v="0"/>
    <s v="PASS"/>
    <n v="0"/>
    <x v="0"/>
  </r>
  <r>
    <s v="P0835"/>
    <d v="2026-03-19T00:00:00"/>
    <s v="Collision"/>
    <s v="35-44"/>
    <n v="1"/>
    <n v="1"/>
    <s v="No"/>
    <s v="17,000+"/>
    <s v="Huntington Beach (90742)"/>
    <s v="$85,000-$149,999"/>
    <s v="No"/>
    <s v="No"/>
    <s v="No"/>
    <s v="Yes"/>
    <s v="Yes"/>
    <s v="No"/>
    <s v="Yes (Medium)"/>
    <s v="No"/>
    <s v="No"/>
    <s v="No"/>
    <s v="No"/>
    <s v="No"/>
    <s v="Yes"/>
    <n v="1962.1632931656236"/>
    <n v="453"/>
    <n v="1"/>
    <n v="1.64"/>
    <n v="1.34"/>
    <n v="1"/>
    <n v="1.31"/>
    <n v="0.98"/>
    <n v="2.02"/>
    <n v="1"/>
    <n v="1"/>
    <n v="1"/>
    <n v="0.88"/>
    <n v="0.84"/>
    <n v="1"/>
    <n v="1"/>
    <n v="1"/>
    <n v="1"/>
    <n v="1"/>
    <n v="0.97"/>
    <n v="1.06"/>
    <n v="1962.1632931656236"/>
    <n v="0"/>
    <s v="PASS"/>
    <n v="0"/>
    <x v="0"/>
  </r>
  <r>
    <s v="P0836"/>
    <d v="2025-06-28T00:00:00"/>
    <s v="Liability"/>
    <s v="35-44"/>
    <n v="6"/>
    <n v="1"/>
    <s v="Yes (High Score)"/>
    <s v="0-4,999"/>
    <s v="Compton (90220)"/>
    <s v="$15,000-$24,999"/>
    <s v="No"/>
    <s v="Yes"/>
    <s v="No"/>
    <s v="Yes"/>
    <s v="No"/>
    <s v="Yes"/>
    <s v="No"/>
    <s v="Yes (Low)"/>
    <s v="No"/>
    <s v="Yes"/>
    <s v="No"/>
    <s v="No"/>
    <s v="No"/>
    <n v="432.67183953711412"/>
    <n v="622"/>
    <n v="1"/>
    <n v="1"/>
    <n v="1.34"/>
    <n v="0.65"/>
    <n v="0.82"/>
    <n v="1.56"/>
    <n v="1.08"/>
    <n v="1"/>
    <n v="1.21"/>
    <n v="1"/>
    <n v="0.88"/>
    <n v="1"/>
    <n v="0.61"/>
    <n v="1"/>
    <n v="0.89"/>
    <n v="1"/>
    <n v="1"/>
    <n v="1"/>
    <n v="1"/>
    <n v="432.67183953711412"/>
    <n v="0"/>
    <s v="PASS"/>
    <n v="0"/>
    <x v="0"/>
  </r>
  <r>
    <s v="P0837"/>
    <d v="2026-04-24T00:00:00"/>
    <s v="Collision"/>
    <s v="16-24"/>
    <s v="8+"/>
    <n v="2"/>
    <s v="No"/>
    <s v="17,000+"/>
    <s v="Anaheim (92801)"/>
    <s v="$150,000+"/>
    <s v="No"/>
    <s v="No"/>
    <s v="No"/>
    <s v="No"/>
    <s v="Yes"/>
    <s v="No"/>
    <s v="Yes (Low)"/>
    <s v="No"/>
    <s v="Yes"/>
    <s v="No"/>
    <s v="No"/>
    <s v="No"/>
    <s v="Yes"/>
    <n v="3232.6001093376021"/>
    <n v="453"/>
    <n v="1.32"/>
    <n v="0.93"/>
    <n v="1.55"/>
    <n v="1"/>
    <n v="1.31"/>
    <n v="1.1100000000000001"/>
    <n v="2.87"/>
    <n v="1"/>
    <n v="1"/>
    <n v="1"/>
    <n v="1"/>
    <n v="0.95"/>
    <n v="1"/>
    <n v="0.92"/>
    <n v="1"/>
    <n v="1"/>
    <n v="1"/>
    <n v="0.97"/>
    <n v="1.06"/>
    <n v="3232.6001093376021"/>
    <n v="0"/>
    <s v="PASS"/>
    <n v="0"/>
    <x v="0"/>
  </r>
  <r>
    <s v="P0838"/>
    <d v="2026-04-05T00:00:00"/>
    <s v="Liability"/>
    <s v="55-64"/>
    <n v="5"/>
    <n v="4"/>
    <s v="No"/>
    <s v="8,500-13,499"/>
    <s v="Anaheim (92801)"/>
    <s v="$85,000-$149,999"/>
    <s v="No"/>
    <s v="No"/>
    <s v="No"/>
    <s v="No"/>
    <s v="No"/>
    <s v="Yes"/>
    <s v="No"/>
    <s v="Yes (High)"/>
    <s v="No"/>
    <s v="No"/>
    <s v="No"/>
    <s v="No"/>
    <s v="Yes"/>
    <n v="3060.2667227210463"/>
    <n v="622"/>
    <n v="1.1200000000000001"/>
    <n v="1.07"/>
    <n v="2.12"/>
    <n v="1"/>
    <n v="1"/>
    <n v="1.1100000000000001"/>
    <n v="2.02"/>
    <n v="1"/>
    <n v="1"/>
    <n v="1"/>
    <n v="1"/>
    <n v="1"/>
    <n v="0.84"/>
    <n v="1"/>
    <n v="1"/>
    <n v="1"/>
    <n v="1"/>
    <n v="0.97"/>
    <n v="1.06"/>
    <n v="3060.2667227210463"/>
    <n v="0"/>
    <s v="PASS"/>
    <n v="0"/>
    <x v="0"/>
  </r>
  <r>
    <s v="P0839"/>
    <d v="2025-05-05T00:00:00"/>
    <s v="Collision"/>
    <s v="35-44"/>
    <n v="6"/>
    <n v="4"/>
    <s v="Yes (Low Score)"/>
    <s v="8,500-13,499"/>
    <s v="Culver City (90066)"/>
    <s v="$45,000-$84,999"/>
    <s v="No"/>
    <s v="Yes"/>
    <s v="No"/>
    <s v="No"/>
    <s v="Yes"/>
    <s v="No"/>
    <s v="Yes (High)"/>
    <s v="No"/>
    <s v="No"/>
    <s v="No"/>
    <s v="No"/>
    <s v="No"/>
    <s v="No"/>
    <n v="1435.0698086472"/>
    <n v="453"/>
    <n v="1"/>
    <n v="1"/>
    <n v="2.12"/>
    <n v="0.95"/>
    <n v="1"/>
    <n v="1.1499999999999999"/>
    <n v="1.57"/>
    <n v="1"/>
    <n v="1.21"/>
    <n v="1"/>
    <n v="1"/>
    <n v="0.72"/>
    <n v="1"/>
    <n v="1"/>
    <n v="1"/>
    <n v="1"/>
    <n v="1"/>
    <n v="1"/>
    <n v="1"/>
    <n v="1435.0698086472"/>
    <n v="0"/>
    <s v="PASS"/>
    <n v="0"/>
    <x v="0"/>
  </r>
  <r>
    <s v="P0840"/>
    <d v="2026-04-25T00:00:00"/>
    <s v="Collision"/>
    <s v="45-54"/>
    <n v="5"/>
    <n v="4"/>
    <s v="No"/>
    <s v="13,500-16,999"/>
    <s v="Anaheim (92801)"/>
    <s v="$45,000-$84,999"/>
    <s v="No"/>
    <s v="No"/>
    <s v="No"/>
    <s v="Yes"/>
    <s v="Yes"/>
    <s v="No"/>
    <s v="Yes (Medium)"/>
    <s v="No"/>
    <s v="No"/>
    <s v="No"/>
    <s v="Yes"/>
    <s v="Yes"/>
    <s v="No"/>
    <n v="1548.7627063837774"/>
    <n v="453"/>
    <n v="1.07"/>
    <n v="1.07"/>
    <n v="2.12"/>
    <n v="1"/>
    <n v="1.18"/>
    <n v="1.1100000000000001"/>
    <n v="1.57"/>
    <n v="1"/>
    <n v="1"/>
    <n v="1"/>
    <n v="0.88"/>
    <n v="0.84"/>
    <n v="1"/>
    <n v="1"/>
    <n v="1"/>
    <n v="0.93"/>
    <n v="0.94"/>
    <n v="1"/>
    <n v="1.06"/>
    <n v="1548.7627063837774"/>
    <n v="0"/>
    <s v="PASS"/>
    <n v="0"/>
    <x v="0"/>
  </r>
  <r>
    <s v="P0841"/>
    <d v="2026-01-17T00:00:00"/>
    <s v="Liability"/>
    <s v="55-64"/>
    <n v="5"/>
    <n v="4"/>
    <s v="Yes (High Score)"/>
    <s v="13,500-16,999"/>
    <s v="Silverlake (90026 )"/>
    <s v="$25,000-$44,999"/>
    <s v="No"/>
    <s v="No"/>
    <s v="No"/>
    <s v="Yes"/>
    <s v="No"/>
    <s v="Yes"/>
    <s v="No"/>
    <s v="Yes (Low)"/>
    <s v="No"/>
    <s v="No"/>
    <s v="Yes"/>
    <s v="No"/>
    <s v="No"/>
    <n v="952.34145585768306"/>
    <n v="622"/>
    <n v="1.1200000000000001"/>
    <n v="1.07"/>
    <n v="2.12"/>
    <n v="0.65"/>
    <n v="1.18"/>
    <n v="1.1599999999999999"/>
    <n v="1.28"/>
    <n v="1"/>
    <n v="1"/>
    <n v="1"/>
    <n v="0.88"/>
    <n v="1"/>
    <n v="0.61"/>
    <n v="1"/>
    <n v="1"/>
    <n v="0.93"/>
    <n v="1"/>
    <n v="1"/>
    <n v="1.06"/>
    <n v="952.34145585768306"/>
    <n v="0"/>
    <s v="PASS"/>
    <n v="0"/>
    <x v="0"/>
  </r>
  <r>
    <s v="P0842"/>
    <d v="2025-10-27T00:00:00"/>
    <s v="Rental Car Reinbursement"/>
    <s v="25-34"/>
    <n v="3"/>
    <n v="2"/>
    <s v="No"/>
    <s v="5,000-8,499"/>
    <s v="Irvine (92602)"/>
    <s v="$85,000-$149,999"/>
    <s v="No"/>
    <s v="No"/>
    <s v="No"/>
    <s v="Yes"/>
    <s v="No"/>
    <s v="Yes"/>
    <s v="No"/>
    <s v="Yes (High)"/>
    <s v="Yes"/>
    <s v="Yes"/>
    <s v="Yes"/>
    <s v="No"/>
    <s v="No"/>
    <n v="109.91679427674492"/>
    <n v="41"/>
    <n v="1.23"/>
    <n v="1.22"/>
    <n v="1.55"/>
    <n v="1"/>
    <n v="0.93"/>
    <n v="1.0900000000000001"/>
    <n v="2.02"/>
    <n v="1"/>
    <n v="1"/>
    <n v="1"/>
    <n v="0.88"/>
    <n v="1"/>
    <n v="0.84"/>
    <n v="0.92"/>
    <n v="0.89"/>
    <n v="0.93"/>
    <n v="1"/>
    <n v="1"/>
    <n v="1"/>
    <n v="109.91679427674492"/>
    <n v="0"/>
    <s v="PASS"/>
    <n v="0"/>
    <x v="0"/>
  </r>
  <r>
    <s v="P0843"/>
    <d v="2026-04-17T00:00:00"/>
    <s v="Collision"/>
    <s v="25-34"/>
    <n v="1"/>
    <s v="5+"/>
    <s v="No"/>
    <s v="13,500-16,999"/>
    <s v="Compton (90220)"/>
    <s v="$15,000-$24,999"/>
    <s v="No"/>
    <s v="No"/>
    <s v="No"/>
    <s v="No"/>
    <s v="Yes"/>
    <s v="No"/>
    <s v="Yes (Low)"/>
    <s v="No"/>
    <s v="No"/>
    <s v="Yes"/>
    <s v="No"/>
    <s v="No"/>
    <s v="No"/>
    <n v="4021.5544488841319"/>
    <n v="453"/>
    <n v="1.23"/>
    <n v="1.64"/>
    <n v="2.4700000000000002"/>
    <n v="1"/>
    <n v="1.18"/>
    <n v="1.56"/>
    <n v="1.08"/>
    <n v="1"/>
    <n v="1"/>
    <n v="1"/>
    <n v="1"/>
    <n v="0.95"/>
    <n v="1"/>
    <n v="1"/>
    <n v="0.89"/>
    <n v="1"/>
    <n v="1"/>
    <n v="1"/>
    <n v="1.06"/>
    <n v="4021.5544488841319"/>
    <n v="0"/>
    <s v="PASS"/>
    <n v="0"/>
    <x v="0"/>
  </r>
  <r>
    <s v="P0844"/>
    <d v="2026-03-10T00:00:00"/>
    <s v="Rental Car Reinbursement"/>
    <s v="35-44"/>
    <n v="3"/>
    <n v="2"/>
    <s v="No"/>
    <s v="5,000-8,499"/>
    <s v="Beverly Hills (90035)"/>
    <s v="$85,000-$149,999"/>
    <s v="No"/>
    <s v="No"/>
    <s v="No"/>
    <s v="No"/>
    <s v="No"/>
    <s v="Yes"/>
    <s v="No"/>
    <s v="Yes (Medium)"/>
    <s v="No"/>
    <s v="Yes"/>
    <s v="No"/>
    <s v="Yes"/>
    <s v="Yes"/>
    <n v="102.97"/>
    <n v="41"/>
    <n v="1"/>
    <n v="1.22"/>
    <n v="1.55"/>
    <n v="1"/>
    <n v="0.93"/>
    <n v="1.21"/>
    <n v="2.02"/>
    <n v="1"/>
    <n v="1"/>
    <n v="1"/>
    <n v="1"/>
    <n v="1"/>
    <n v="0.72"/>
    <n v="1"/>
    <n v="0.89"/>
    <n v="1"/>
    <n v="0.94"/>
    <n v="0.97"/>
    <n v="1.06"/>
    <n v="109.14982156879823"/>
    <n v="-6.1798215687982321"/>
    <s v="FAIL"/>
    <n v="6.1798215687982321"/>
    <x v="1"/>
  </r>
  <r>
    <s v="P0845"/>
    <d v="2025-06-11T00:00:00"/>
    <s v="Liability"/>
    <s v="55-64"/>
    <n v="7"/>
    <n v="0"/>
    <s v="Yes (Medium Score)"/>
    <s v="17,000+"/>
    <s v="Santa Monica (90401)"/>
    <s v="$150,000+"/>
    <s v="No"/>
    <s v="No"/>
    <s v="No"/>
    <s v="Yes"/>
    <s v="No"/>
    <s v="Yes"/>
    <s v="No"/>
    <s v="Yes (Low)"/>
    <s v="No"/>
    <s v="No"/>
    <s v="No"/>
    <s v="No"/>
    <s v="Yes"/>
    <n v="1202.3126670871977"/>
    <n v="622"/>
    <n v="1.1200000000000001"/>
    <n v="0.95"/>
    <n v="1"/>
    <n v="0.8"/>
    <n v="1.31"/>
    <n v="1.1599999999999999"/>
    <n v="2.87"/>
    <n v="1"/>
    <n v="1"/>
    <n v="1"/>
    <n v="0.88"/>
    <n v="1"/>
    <n v="0.61"/>
    <n v="1"/>
    <n v="1"/>
    <n v="1"/>
    <n v="1"/>
    <n v="0.97"/>
    <n v="1"/>
    <n v="1202.3126670871977"/>
    <n v="0"/>
    <s v="PASS"/>
    <n v="0"/>
    <x v="0"/>
  </r>
  <r>
    <s v="P0846"/>
    <d v="2025-10-31T00:00:00"/>
    <s v="Rental Car Reinbursement"/>
    <s v="65+"/>
    <n v="5"/>
    <n v="0"/>
    <s v="Yes (High Score)"/>
    <s v="5,000-8,499"/>
    <s v="Irvine (92602)"/>
    <s v="$15,000-$24,999"/>
    <s v="No"/>
    <s v="No"/>
    <s v="No"/>
    <s v="Yes"/>
    <s v="No"/>
    <s v="Yes"/>
    <s v="No"/>
    <s v="Yes (Medium)"/>
    <s v="No"/>
    <s v="Yes"/>
    <s v="No"/>
    <s v="No"/>
    <s v="No"/>
    <n v="22.357492267043838"/>
    <n v="41"/>
    <n v="1.27"/>
    <n v="1.07"/>
    <n v="1"/>
    <n v="0.65"/>
    <n v="0.93"/>
    <n v="1.0900000000000001"/>
    <n v="1.08"/>
    <n v="1"/>
    <n v="1"/>
    <n v="1"/>
    <n v="0.88"/>
    <n v="1"/>
    <n v="0.72"/>
    <n v="1"/>
    <n v="0.89"/>
    <n v="1"/>
    <n v="1"/>
    <n v="1"/>
    <n v="1"/>
    <n v="22.357492267043838"/>
    <n v="0"/>
    <s v="PASS"/>
    <n v="0"/>
    <x v="0"/>
  </r>
  <r>
    <s v="P0847"/>
    <d v="2025-10-27T00:00:00"/>
    <s v="Uninsured Motorist"/>
    <s v="55-64"/>
    <n v="5"/>
    <n v="3"/>
    <s v="No"/>
    <s v="13,500-16,999"/>
    <s v="Hollywood (90028)"/>
    <s v="$150,000+"/>
    <s v="No"/>
    <s v="No"/>
    <s v="No"/>
    <s v="Yes"/>
    <s v="No"/>
    <s v="Yes"/>
    <s v="No"/>
    <s v="Yes (Low)"/>
    <s v="Yes"/>
    <s v="No"/>
    <s v="No"/>
    <s v="No"/>
    <s v="No"/>
    <n v="338.59379181538469"/>
    <n v="78"/>
    <n v="1.1200000000000001"/>
    <n v="1.07"/>
    <n v="1.82"/>
    <n v="1"/>
    <n v="1.18"/>
    <n v="1.19"/>
    <n v="2.87"/>
    <n v="1"/>
    <n v="1"/>
    <n v="1"/>
    <n v="0.88"/>
    <n v="1"/>
    <n v="0.61"/>
    <n v="0.92"/>
    <n v="1"/>
    <n v="1"/>
    <n v="1"/>
    <n v="1"/>
    <n v="1"/>
    <n v="338.59379181538469"/>
    <n v="0"/>
    <s v="PASS"/>
    <n v="0"/>
    <x v="0"/>
  </r>
  <r>
    <s v="P0848"/>
    <d v="2025-06-21T00:00:00"/>
    <s v="Rental Car Reinbursement"/>
    <s v="45-54"/>
    <s v="8+"/>
    <s v="5+"/>
    <s v="No"/>
    <s v="17,000+"/>
    <s v="DTLA (90012)"/>
    <s v="$150,000+"/>
    <s v="Yes"/>
    <s v="No"/>
    <s v="No"/>
    <s v="Yes"/>
    <s v="No"/>
    <s v="Yes"/>
    <s v="No"/>
    <s v="Yes (Medium)"/>
    <s v="Yes"/>
    <s v="Yes"/>
    <s v="No"/>
    <s v="No"/>
    <s v="No"/>
    <n v="317.01093710345674"/>
    <n v="41"/>
    <n v="1.07"/>
    <n v="0.93"/>
    <n v="2.4700000000000002"/>
    <n v="1"/>
    <n v="1.31"/>
    <n v="1.26"/>
    <n v="2.87"/>
    <n v="1.28"/>
    <n v="1"/>
    <n v="1"/>
    <n v="0.88"/>
    <n v="1"/>
    <n v="0.72"/>
    <n v="0.92"/>
    <n v="0.89"/>
    <n v="1"/>
    <n v="1"/>
    <n v="1"/>
    <n v="1"/>
    <n v="317.01093710345674"/>
    <n v="0"/>
    <s v="PASS"/>
    <n v="0"/>
    <x v="0"/>
  </r>
  <r>
    <s v="P0849"/>
    <d v="2025-08-31T00:00:00"/>
    <s v="Liability"/>
    <s v="16-24"/>
    <n v="6"/>
    <n v="3"/>
    <s v="No"/>
    <s v="17,000+"/>
    <s v="Hawthorne (90250)"/>
    <s v="$25,000-$44,999"/>
    <s v="Yes"/>
    <s v="Yes"/>
    <s v="No"/>
    <s v="Yes"/>
    <s v="No"/>
    <s v="Yes"/>
    <s v="No"/>
    <s v="Yes (High)"/>
    <s v="No"/>
    <s v="No"/>
    <s v="No"/>
    <s v="No"/>
    <s v="Yes"/>
    <n v="3033.0006233544304"/>
    <n v="622"/>
    <n v="1.32"/>
    <n v="1"/>
    <n v="1.82"/>
    <n v="1"/>
    <n v="1.31"/>
    <n v="1.0900000000000001"/>
    <n v="1.28"/>
    <n v="1.28"/>
    <n v="1.21"/>
    <n v="1"/>
    <n v="0.88"/>
    <n v="1"/>
    <n v="0.84"/>
    <n v="1"/>
    <n v="1"/>
    <n v="1"/>
    <n v="1"/>
    <n v="0.97"/>
    <n v="1"/>
    <n v="3033.0006233544304"/>
    <n v="0"/>
    <s v="PASS"/>
    <n v="0"/>
    <x v="0"/>
  </r>
  <r>
    <s v="P0850"/>
    <d v="2026-01-15T00:00:00"/>
    <s v="Comprehensive"/>
    <s v="25-34"/>
    <n v="2"/>
    <n v="3"/>
    <s v="Yes (Low Score)"/>
    <s v="13,500-16,999"/>
    <s v="Compton (90220)"/>
    <s v="$0-$4,999"/>
    <s v="No"/>
    <s v="Yes"/>
    <s v="No"/>
    <s v="Yes"/>
    <s v="Yes"/>
    <s v="No"/>
    <s v="Yes (Low)"/>
    <s v="No"/>
    <s v="No"/>
    <s v="No"/>
    <s v="No"/>
    <s v="No"/>
    <s v="No"/>
    <n v="587.24936893188499"/>
    <n v="121"/>
    <n v="1.23"/>
    <n v="1.41"/>
    <n v="1.82"/>
    <n v="0.95"/>
    <n v="1.18"/>
    <n v="1.56"/>
    <n v="0.82"/>
    <n v="1"/>
    <n v="1.21"/>
    <n v="1"/>
    <n v="0.88"/>
    <n v="0.95"/>
    <n v="1"/>
    <n v="1"/>
    <n v="1"/>
    <n v="1"/>
    <n v="1"/>
    <n v="1"/>
    <n v="1.06"/>
    <n v="587.24936893188499"/>
    <n v="0"/>
    <s v="PASS"/>
    <n v="0"/>
    <x v="0"/>
  </r>
  <r>
    <s v="P0851"/>
    <d v="2025-07-05T00:00:00"/>
    <s v="Uninsured Motorist"/>
    <s v="65+"/>
    <n v="7"/>
    <n v="0"/>
    <s v="No"/>
    <s v="0-4,999"/>
    <s v="Koreatown (90006)"/>
    <s v="$25,000-$44,999"/>
    <s v="No"/>
    <s v="Yes"/>
    <s v="No"/>
    <s v="Yes"/>
    <s v="No"/>
    <s v="Yes"/>
    <s v="No"/>
    <s v="Yes (High)"/>
    <s v="No"/>
    <s v="No"/>
    <s v="No"/>
    <s v="No"/>
    <s v="No"/>
    <n v="106.90018328147555"/>
    <n v="78"/>
    <n v="1.27"/>
    <n v="0.95"/>
    <n v="1"/>
    <n v="1"/>
    <n v="0.82"/>
    <n v="1.21"/>
    <n v="1.28"/>
    <n v="1"/>
    <n v="1.21"/>
    <n v="1"/>
    <n v="0.88"/>
    <n v="1"/>
    <n v="0.84"/>
    <n v="1"/>
    <n v="1"/>
    <n v="1"/>
    <n v="1"/>
    <n v="1"/>
    <n v="1"/>
    <n v="106.90018328147555"/>
    <n v="0"/>
    <s v="PASS"/>
    <n v="0"/>
    <x v="0"/>
  </r>
  <r>
    <s v="P0852"/>
    <d v="2025-09-27T00:00:00"/>
    <s v="Liability"/>
    <s v="35-44"/>
    <n v="6"/>
    <n v="1"/>
    <s v="Yes (High Score)"/>
    <s v="17,000+"/>
    <s v="Costa Mesa (92626)"/>
    <s v="$45,000-$84,999"/>
    <s v="No"/>
    <s v="Yes"/>
    <s v="No"/>
    <s v="No"/>
    <s v="No"/>
    <s v="Yes"/>
    <s v="No"/>
    <s v="Yes (Low)"/>
    <s v="Yes"/>
    <s v="Yes"/>
    <s v="Yes"/>
    <s v="No"/>
    <s v="No"/>
    <n v="576.16026394312644"/>
    <n v="622"/>
    <n v="1"/>
    <n v="1"/>
    <n v="1.34"/>
    <n v="0.65"/>
    <n v="1.31"/>
    <n v="0.92"/>
    <n v="1.57"/>
    <n v="1"/>
    <n v="1.21"/>
    <n v="1"/>
    <n v="1"/>
    <n v="1"/>
    <n v="0.61"/>
    <n v="0.92"/>
    <n v="0.89"/>
    <n v="0.93"/>
    <n v="1"/>
    <n v="1"/>
    <n v="1"/>
    <n v="576.16026394312644"/>
    <n v="0"/>
    <s v="PASS"/>
    <n v="0"/>
    <x v="0"/>
  </r>
  <r>
    <s v="P0853"/>
    <d v="2025-11-19T00:00:00"/>
    <s v="Rental Car Reinbursement"/>
    <s v="35-44"/>
    <n v="7"/>
    <n v="1"/>
    <s v="No"/>
    <s v="5,000-8,499"/>
    <s v="Orange (92705)"/>
    <s v="$85,000-$149,999"/>
    <s v="No"/>
    <s v="No"/>
    <s v="No"/>
    <s v="Yes"/>
    <s v="No"/>
    <s v="Yes"/>
    <s v="No"/>
    <s v="Yes (High)"/>
    <s v="Yes"/>
    <s v="No"/>
    <s v="No"/>
    <s v="Yes"/>
    <s v="Yes"/>
    <n v="62.01491082808986"/>
    <n v="41"/>
    <n v="1"/>
    <n v="0.95"/>
    <n v="1.34"/>
    <n v="1"/>
    <n v="0.93"/>
    <n v="1.02"/>
    <n v="2.02"/>
    <n v="1"/>
    <n v="1"/>
    <n v="1"/>
    <n v="0.88"/>
    <n v="1"/>
    <n v="0.84"/>
    <n v="0.92"/>
    <n v="1"/>
    <n v="1"/>
    <n v="0.94"/>
    <n v="0.97"/>
    <n v="1"/>
    <n v="62.01491082808986"/>
    <n v="0"/>
    <s v="PASS"/>
    <n v="0"/>
    <x v="0"/>
  </r>
  <r>
    <s v="P0854"/>
    <d v="2026-01-19T00:00:00"/>
    <s v="Collision"/>
    <s v="35-44"/>
    <n v="7"/>
    <s v="5+"/>
    <s v="No"/>
    <s v="0-4,999"/>
    <s v="Santa Monica (90401)"/>
    <s v="$25,000-$44,999"/>
    <s v="No"/>
    <s v="No"/>
    <s v="No"/>
    <s v="No"/>
    <s v="Yes"/>
    <s v="No"/>
    <s v="Yes (High)"/>
    <s v="No"/>
    <s v="No"/>
    <s v="Yes"/>
    <s v="No"/>
    <s v="No"/>
    <s v="No"/>
    <n v="879.08109436676511"/>
    <n v="453"/>
    <n v="1"/>
    <n v="0.95"/>
    <n v="2.4700000000000002"/>
    <n v="1"/>
    <n v="0.82"/>
    <n v="1.1599999999999999"/>
    <n v="1.28"/>
    <n v="1"/>
    <n v="1"/>
    <n v="1"/>
    <n v="1"/>
    <n v="0.72"/>
    <n v="1"/>
    <n v="1"/>
    <n v="0.89"/>
    <n v="1"/>
    <n v="1"/>
    <n v="1"/>
    <n v="1.06"/>
    <n v="879.08109436676511"/>
    <n v="0"/>
    <s v="PASS"/>
    <n v="0"/>
    <x v="0"/>
  </r>
  <r>
    <s v="P0855"/>
    <d v="2025-07-11T00:00:00"/>
    <s v="Liability"/>
    <s v="45-54"/>
    <n v="3"/>
    <n v="1"/>
    <s v="Yes (High Score)"/>
    <s v="17,000+"/>
    <s v="Hawthorne (90250)"/>
    <s v="$15,000-$24,999"/>
    <s v="No"/>
    <s v="No"/>
    <s v="No"/>
    <s v="Yes"/>
    <s v="No"/>
    <s v="Yes"/>
    <s v="No"/>
    <s v="Yes (Medium)"/>
    <s v="No"/>
    <s v="No"/>
    <s v="No"/>
    <s v="Yes"/>
    <s v="No"/>
    <n v="649.55618035281304"/>
    <n v="622"/>
    <n v="1.07"/>
    <n v="1.22"/>
    <n v="1.34"/>
    <n v="0.65"/>
    <n v="1.31"/>
    <n v="1.0900000000000001"/>
    <n v="1.08"/>
    <n v="1"/>
    <n v="1"/>
    <n v="1"/>
    <n v="0.88"/>
    <n v="1"/>
    <n v="0.72"/>
    <n v="1"/>
    <n v="1"/>
    <n v="1"/>
    <n v="0.94"/>
    <n v="1"/>
    <n v="1"/>
    <n v="649.55618035281304"/>
    <n v="0"/>
    <s v="PASS"/>
    <n v="0"/>
    <x v="0"/>
  </r>
  <r>
    <s v="P0856"/>
    <d v="2025-10-18T00:00:00"/>
    <s v="Uninsured Motorist"/>
    <s v="55-64"/>
    <n v="7"/>
    <s v="5+"/>
    <s v="No"/>
    <s v="5,000-8,499"/>
    <s v="Cypress (90630)"/>
    <s v="$85,000-$149,999"/>
    <s v="No"/>
    <s v="No"/>
    <s v="No"/>
    <s v="Yes"/>
    <s v="No"/>
    <s v="Yes"/>
    <s v="No"/>
    <s v="Yes (Low)"/>
    <s v="No"/>
    <s v="No"/>
    <s v="No"/>
    <s v="No"/>
    <s v="No"/>
    <n v="223.25632138691483"/>
    <n v="78"/>
    <n v="1.1200000000000001"/>
    <n v="0.95"/>
    <n v="2.4700000000000002"/>
    <n v="1"/>
    <n v="0.93"/>
    <n v="1.08"/>
    <n v="2.02"/>
    <n v="1"/>
    <n v="1"/>
    <n v="1"/>
    <n v="0.88"/>
    <n v="1"/>
    <n v="0.61"/>
    <n v="1"/>
    <n v="1"/>
    <n v="1"/>
    <n v="1"/>
    <n v="1"/>
    <n v="1"/>
    <n v="223.25632138691483"/>
    <n v="0"/>
    <s v="PASS"/>
    <n v="0"/>
    <x v="0"/>
  </r>
  <r>
    <s v="P0857"/>
    <d v="2025-09-09T00:00:00"/>
    <s v="Comprehensive"/>
    <s v="45-54"/>
    <n v="1"/>
    <n v="3"/>
    <s v="Yes (Medium Score)"/>
    <s v="0-4,999"/>
    <s v="DTLA (90012)"/>
    <s v="$25,000-$44,999"/>
    <s v="No"/>
    <s v="No"/>
    <s v="No"/>
    <s v="Yes"/>
    <s v="Yes"/>
    <s v="No"/>
    <s v="Yes (Medium)"/>
    <s v="No"/>
    <s v="No"/>
    <s v="Yes"/>
    <s v="Yes"/>
    <s v="No"/>
    <s v="No"/>
    <n v="250.15181113572424"/>
    <n v="121"/>
    <n v="1.07"/>
    <n v="1.64"/>
    <n v="1.82"/>
    <n v="0.8"/>
    <n v="0.82"/>
    <n v="1.26"/>
    <n v="1.28"/>
    <n v="1"/>
    <n v="1"/>
    <n v="1"/>
    <n v="0.88"/>
    <n v="0.84"/>
    <n v="1"/>
    <n v="1"/>
    <n v="0.89"/>
    <n v="0.93"/>
    <n v="1"/>
    <n v="1"/>
    <n v="1"/>
    <n v="250.15181113572424"/>
    <n v="0"/>
    <s v="PASS"/>
    <n v="0"/>
    <x v="0"/>
  </r>
  <r>
    <s v="P0858"/>
    <d v="2025-11-13T00:00:00"/>
    <s v="Liability"/>
    <s v="45-54"/>
    <n v="7"/>
    <n v="4"/>
    <s v="Yes (Medium Score)"/>
    <s v="0-4,999"/>
    <s v="Hawthorne (90250)"/>
    <s v="$150,000+"/>
    <s v="No"/>
    <s v="No"/>
    <s v="No"/>
    <s v="Yes"/>
    <s v="No"/>
    <s v="Yes"/>
    <s v="No"/>
    <s v="Yes (High)"/>
    <s v="No"/>
    <s v="No"/>
    <s v="Yes"/>
    <s v="No"/>
    <s v="No"/>
    <n v="1890.9966932791604"/>
    <n v="622"/>
    <n v="1.07"/>
    <n v="0.95"/>
    <n v="2.12"/>
    <n v="0.8"/>
    <n v="0.82"/>
    <n v="1.0900000000000001"/>
    <n v="2.87"/>
    <n v="1"/>
    <n v="1"/>
    <n v="1"/>
    <n v="0.88"/>
    <n v="1"/>
    <n v="0.84"/>
    <n v="1"/>
    <n v="1"/>
    <n v="0.93"/>
    <n v="1"/>
    <n v="1"/>
    <n v="1"/>
    <n v="1890.9966932791604"/>
    <n v="0"/>
    <s v="PASS"/>
    <n v="0"/>
    <x v="0"/>
  </r>
  <r>
    <s v="P0859"/>
    <d v="2025-07-22T00:00:00"/>
    <s v="Uninsured Motorist"/>
    <s v="65+"/>
    <s v="8+"/>
    <n v="0"/>
    <s v="No"/>
    <s v="5,000-8,499"/>
    <s v="Irvine (92602)"/>
    <s v="$85,000-$149,999"/>
    <s v="Yes"/>
    <s v="No"/>
    <s v="No"/>
    <s v="Yes"/>
    <s v="No"/>
    <s v="Yes"/>
    <s v="No"/>
    <s v="Yes (Medium)"/>
    <s v="Yes"/>
    <s v="Yes"/>
    <s v="Yes"/>
    <s v="No"/>
    <s v="No"/>
    <n v="116.50055891691743"/>
    <n v="78"/>
    <n v="1.27"/>
    <n v="0.93"/>
    <n v="1"/>
    <n v="1"/>
    <n v="0.93"/>
    <n v="1.0900000000000001"/>
    <n v="2.02"/>
    <n v="1.28"/>
    <n v="1"/>
    <n v="1"/>
    <n v="0.88"/>
    <n v="1"/>
    <n v="0.72"/>
    <n v="0.92"/>
    <n v="0.89"/>
    <n v="0.93"/>
    <n v="1"/>
    <n v="1"/>
    <n v="1"/>
    <n v="116.50055891691743"/>
    <n v="0"/>
    <s v="PASS"/>
    <n v="0"/>
    <x v="0"/>
  </r>
  <r>
    <s v="P0860"/>
    <d v="2026-03-02T00:00:00"/>
    <s v="Collision"/>
    <s v="45-54"/>
    <n v="4"/>
    <n v="3"/>
    <s v="Yes (Medium Score)"/>
    <s v="5,000-8,499"/>
    <s v="Beverly Hills (90035)"/>
    <s v="$85,000-$149,999"/>
    <s v="Yes"/>
    <s v="No"/>
    <s v="No"/>
    <s v="No"/>
    <s v="Yes"/>
    <s v="No"/>
    <s v="Yes (Low)"/>
    <s v="No"/>
    <s v="No"/>
    <s v="No"/>
    <s v="No"/>
    <s v="No"/>
    <s v="Yes"/>
    <n v="2306.5987790819609"/>
    <n v="453"/>
    <n v="1.07"/>
    <n v="1.1499999999999999"/>
    <n v="1.82"/>
    <n v="0.8"/>
    <n v="0.93"/>
    <n v="1.21"/>
    <n v="2.02"/>
    <n v="1.28"/>
    <n v="1"/>
    <n v="1"/>
    <n v="1"/>
    <n v="0.95"/>
    <n v="1"/>
    <n v="1"/>
    <n v="1"/>
    <n v="1"/>
    <n v="1"/>
    <n v="0.97"/>
    <n v="1.06"/>
    <n v="2306.5987790819609"/>
    <n v="0"/>
    <s v="PASS"/>
    <n v="0"/>
    <x v="0"/>
  </r>
  <r>
    <s v="P0861"/>
    <d v="2025-10-20T00:00:00"/>
    <s v="Liability"/>
    <s v="35-44"/>
    <n v="5"/>
    <n v="0"/>
    <s v="Yes (Medium Score)"/>
    <s v="17,000+"/>
    <s v="Costa Mesa (92626)"/>
    <s v="$15,000-$24,999"/>
    <s v="No"/>
    <s v="Yes"/>
    <s v="Yes"/>
    <s v="No"/>
    <s v="No"/>
    <s v="Yes"/>
    <s v="No"/>
    <s v="Yes (High)"/>
    <s v="No"/>
    <s v="Yes"/>
    <s v="No"/>
    <s v="No"/>
    <s v="Yes"/>
    <n v="881.74"/>
    <n v="622"/>
    <n v="1"/>
    <n v="1.07"/>
    <n v="1"/>
    <n v="0.8"/>
    <n v="1.31"/>
    <n v="0.92"/>
    <n v="1.08"/>
    <n v="1"/>
    <n v="1.21"/>
    <n v="1.1599999999999999"/>
    <n v="1"/>
    <n v="1"/>
    <n v="0.84"/>
    <n v="1"/>
    <n v="0.89"/>
    <n v="1"/>
    <n v="1"/>
    <n v="0.97"/>
    <n v="1"/>
    <n v="705.39343652933621"/>
    <n v="176.3465634706638"/>
    <s v="FAIL"/>
    <n v="176.3465634706638"/>
    <x v="10"/>
  </r>
  <r>
    <s v="P0862"/>
    <d v="2025-06-21T00:00:00"/>
    <s v="Collision"/>
    <s v="55-64"/>
    <n v="4"/>
    <n v="2"/>
    <s v="Yes (High Score)"/>
    <s v="0-4,999"/>
    <s v="Beverly Hills (90035)"/>
    <s v="$45,000-$84,999"/>
    <s v="No"/>
    <s v="No"/>
    <s v="No"/>
    <s v="No"/>
    <s v="Yes"/>
    <s v="No"/>
    <s v="Yes (Medium)"/>
    <s v="No"/>
    <s v="No"/>
    <s v="No"/>
    <s v="Yes"/>
    <s v="No"/>
    <s v="No"/>
    <n v="715.35271465608366"/>
    <n v="453"/>
    <n v="1.1200000000000001"/>
    <n v="1.1499999999999999"/>
    <n v="1.55"/>
    <n v="0.65"/>
    <n v="0.82"/>
    <n v="1.21"/>
    <n v="1.57"/>
    <n v="1"/>
    <n v="1"/>
    <n v="1"/>
    <n v="1"/>
    <n v="0.84"/>
    <n v="1"/>
    <n v="1"/>
    <n v="1"/>
    <n v="0.93"/>
    <n v="1"/>
    <n v="1"/>
    <n v="1"/>
    <n v="715.35271465608366"/>
    <n v="0"/>
    <s v="PASS"/>
    <n v="0"/>
    <x v="0"/>
  </r>
  <r>
    <s v="P0863"/>
    <d v="2025-11-20T00:00:00"/>
    <s v="Collision"/>
    <s v="25-34"/>
    <n v="2"/>
    <n v="1"/>
    <s v="No"/>
    <s v="13,500-16,999"/>
    <s v="Westminster (92655)"/>
    <s v="$5,000-$14,999"/>
    <s v="No"/>
    <s v="No"/>
    <s v="No"/>
    <s v="Yes"/>
    <s v="Yes"/>
    <s v="No"/>
    <s v="Yes (Low)"/>
    <s v="No"/>
    <s v="No"/>
    <s v="Yes"/>
    <s v="No"/>
    <s v="No"/>
    <s v="No"/>
    <n v="977.24565479235218"/>
    <n v="453"/>
    <n v="1.23"/>
    <n v="1.41"/>
    <n v="1.34"/>
    <n v="1"/>
    <n v="1.18"/>
    <n v="1.0900000000000001"/>
    <n v="0.97"/>
    <n v="1"/>
    <n v="1"/>
    <n v="1"/>
    <n v="0.88"/>
    <n v="0.95"/>
    <n v="1"/>
    <n v="1"/>
    <n v="0.89"/>
    <n v="1"/>
    <n v="1"/>
    <n v="1"/>
    <n v="1"/>
    <n v="977.24565479235218"/>
    <n v="0"/>
    <s v="PASS"/>
    <n v="0"/>
    <x v="0"/>
  </r>
  <r>
    <s v="P0864"/>
    <d v="2025-06-12T00:00:00"/>
    <s v="Liability"/>
    <s v="65+"/>
    <n v="1"/>
    <n v="2"/>
    <s v="Yes (Low Score)"/>
    <s v="13,500-16,999"/>
    <s v="Santa Monica (90401)"/>
    <s v="$15,000-$24,999"/>
    <s v="No"/>
    <s v="No"/>
    <s v="No"/>
    <s v="No"/>
    <s v="No"/>
    <s v="Yes"/>
    <s v="No"/>
    <s v="Yes (Low)"/>
    <s v="No"/>
    <s v="No"/>
    <s v="Yes"/>
    <s v="Yes"/>
    <s v="No"/>
    <n v="1503.8261979426386"/>
    <n v="622"/>
    <n v="1.27"/>
    <n v="1.64"/>
    <n v="1.55"/>
    <n v="0.95"/>
    <n v="1.18"/>
    <n v="1.1599999999999999"/>
    <n v="1.08"/>
    <n v="1"/>
    <n v="1"/>
    <n v="1"/>
    <n v="1"/>
    <n v="1"/>
    <n v="0.61"/>
    <n v="1"/>
    <n v="1"/>
    <n v="0.93"/>
    <n v="0.94"/>
    <n v="1"/>
    <n v="1"/>
    <n v="1503.8261979426386"/>
    <n v="0"/>
    <s v="PASS"/>
    <n v="0"/>
    <x v="0"/>
  </r>
  <r>
    <s v="P0865"/>
    <d v="2025-12-08T00:00:00"/>
    <s v="Uninsured Motorist"/>
    <s v="65+"/>
    <n v="7"/>
    <n v="1"/>
    <s v="Yes (Low Score)"/>
    <s v="8,500-13,499"/>
    <s v="Santa Ana (92702)"/>
    <s v="$0-$4,999"/>
    <s v="Yes"/>
    <s v="No"/>
    <s v="No"/>
    <s v="No"/>
    <s v="No"/>
    <s v="Yes"/>
    <s v="No"/>
    <s v="Yes (Medium)"/>
    <s v="No"/>
    <s v="No"/>
    <s v="Yes"/>
    <s v="No"/>
    <s v="No"/>
    <n v="85.879552225786654"/>
    <n v="78"/>
    <n v="1.27"/>
    <n v="0.95"/>
    <n v="1.34"/>
    <n v="0.95"/>
    <n v="1"/>
    <n v="1.02"/>
    <n v="0.82"/>
    <n v="1.28"/>
    <n v="1"/>
    <n v="1"/>
    <n v="1"/>
    <n v="1"/>
    <n v="0.72"/>
    <n v="1"/>
    <n v="1"/>
    <n v="0.93"/>
    <n v="1"/>
    <n v="1"/>
    <n v="1"/>
    <n v="85.879552225786654"/>
    <n v="0"/>
    <s v="PASS"/>
    <n v="0"/>
    <x v="0"/>
  </r>
  <r>
    <s v="P0866"/>
    <d v="2025-10-12T00:00:00"/>
    <s v="Liability"/>
    <s v="25-34"/>
    <n v="3"/>
    <n v="3"/>
    <s v="Yes (Low Score)"/>
    <s v="5,000-8,499"/>
    <s v="Westminster (92655)"/>
    <s v="$85,000-$149,999"/>
    <s v="No"/>
    <s v="No"/>
    <s v="No"/>
    <s v="Yes"/>
    <s v="No"/>
    <s v="Yes"/>
    <s v="No"/>
    <s v="Yes (Medium)"/>
    <s v="No"/>
    <s v="Yes"/>
    <s v="No"/>
    <s v="Yes"/>
    <s v="No"/>
    <n v="1751.6372201542686"/>
    <n v="622"/>
    <n v="1.23"/>
    <n v="1.22"/>
    <n v="1.82"/>
    <n v="0.95"/>
    <n v="0.93"/>
    <n v="1.0900000000000001"/>
    <n v="2.02"/>
    <n v="1"/>
    <n v="1"/>
    <n v="1"/>
    <n v="0.88"/>
    <n v="1"/>
    <n v="0.72"/>
    <n v="1"/>
    <n v="0.89"/>
    <n v="1"/>
    <n v="0.94"/>
    <n v="1"/>
    <n v="1"/>
    <n v="1751.6372201542686"/>
    <n v="0"/>
    <s v="PASS"/>
    <n v="0"/>
    <x v="0"/>
  </r>
  <r>
    <s v="P0867"/>
    <d v="2025-10-03T00:00:00"/>
    <s v="Rental Car Reinbursement"/>
    <s v="65+"/>
    <n v="2"/>
    <n v="3"/>
    <s v="No"/>
    <s v="8,500-13,499"/>
    <s v="Hollywood (90028)"/>
    <s v="$45,000-$84,999"/>
    <s v="No"/>
    <s v="No"/>
    <s v="Yes"/>
    <s v="No"/>
    <s v="No"/>
    <s v="Yes"/>
    <s v="No"/>
    <s v="Yes (High)"/>
    <s v="No"/>
    <s v="Yes"/>
    <s v="No"/>
    <s v="No"/>
    <s v="No"/>
    <n v="216.49704553390978"/>
    <n v="41"/>
    <n v="1.27"/>
    <n v="1.41"/>
    <n v="1.82"/>
    <n v="1"/>
    <n v="1"/>
    <n v="1.19"/>
    <n v="1.57"/>
    <n v="1"/>
    <n v="1"/>
    <n v="1.1599999999999999"/>
    <n v="1"/>
    <n v="1"/>
    <n v="0.84"/>
    <n v="1"/>
    <n v="0.89"/>
    <n v="1"/>
    <n v="1"/>
    <n v="1"/>
    <n v="1"/>
    <n v="216.49704553390978"/>
    <n v="0"/>
    <s v="PASS"/>
    <n v="0"/>
    <x v="0"/>
  </r>
  <r>
    <s v="P0868"/>
    <d v="2025-10-28T00:00:00"/>
    <s v="Rental Car Reinbursement"/>
    <s v="65+"/>
    <s v="8+"/>
    <n v="1"/>
    <s v="No"/>
    <s v="17,000+"/>
    <s v="Koreatown (90006)"/>
    <s v="$0-$4,999"/>
    <s v="No"/>
    <s v="Yes"/>
    <s v="No"/>
    <s v="Yes"/>
    <s v="No"/>
    <s v="Yes"/>
    <s v="No"/>
    <s v="Yes (Medium)"/>
    <s v="No"/>
    <s v="Yes"/>
    <s v="No"/>
    <s v="No"/>
    <s v="No"/>
    <n v="57.548815408951064"/>
    <n v="41"/>
    <n v="1.27"/>
    <n v="0.93"/>
    <n v="1.34"/>
    <n v="1"/>
    <n v="1.31"/>
    <n v="1.21"/>
    <n v="0.82"/>
    <n v="1"/>
    <n v="1.21"/>
    <n v="1"/>
    <n v="0.88"/>
    <n v="1"/>
    <n v="0.72"/>
    <n v="1"/>
    <n v="0.89"/>
    <n v="1"/>
    <n v="1"/>
    <n v="1"/>
    <n v="1"/>
    <n v="57.548815408951064"/>
    <n v="0"/>
    <s v="PASS"/>
    <n v="0"/>
    <x v="0"/>
  </r>
  <r>
    <s v="P0869"/>
    <d v="2025-11-09T00:00:00"/>
    <s v="Liability"/>
    <s v="35-44"/>
    <n v="7"/>
    <n v="4"/>
    <s v="No"/>
    <s v="13,500-16,999"/>
    <s v="Culver City (90066)"/>
    <s v="$0-$4,999"/>
    <s v="No"/>
    <s v="Yes"/>
    <s v="No"/>
    <s v="No"/>
    <s v="No"/>
    <s v="Yes"/>
    <s v="No"/>
    <s v="Yes (Low)"/>
    <s v="No"/>
    <s v="No"/>
    <s v="No"/>
    <s v="No"/>
    <s v="No"/>
    <n v="1028.8658591709518"/>
    <n v="622"/>
    <n v="1"/>
    <n v="0.95"/>
    <n v="2.12"/>
    <n v="1"/>
    <n v="1.18"/>
    <n v="1.1499999999999999"/>
    <n v="0.82"/>
    <n v="1"/>
    <n v="1.21"/>
    <n v="1"/>
    <n v="1"/>
    <n v="1"/>
    <n v="0.61"/>
    <n v="1"/>
    <n v="1"/>
    <n v="1"/>
    <n v="1"/>
    <n v="1"/>
    <n v="1"/>
    <n v="1028.8658591709518"/>
    <n v="0"/>
    <s v="PASS"/>
    <n v="0"/>
    <x v="0"/>
  </r>
  <r>
    <s v="P0870"/>
    <d v="2025-09-06T00:00:00"/>
    <s v="Liability"/>
    <s v="25-34"/>
    <n v="2"/>
    <n v="1"/>
    <s v="Yes (High Score)"/>
    <s v="5,000-8,499"/>
    <s v="Culver City (90066)"/>
    <s v="$5,000-$14,999"/>
    <s v="No"/>
    <s v="No"/>
    <s v="No"/>
    <s v="Yes"/>
    <s v="No"/>
    <s v="Yes"/>
    <s v="No"/>
    <s v="Yes (Medium)"/>
    <s v="No"/>
    <s v="No"/>
    <s v="No"/>
    <s v="No"/>
    <s v="No"/>
    <n v="617.59028476340791"/>
    <n v="622"/>
    <n v="1.23"/>
    <n v="1.41"/>
    <n v="1.34"/>
    <n v="0.65"/>
    <n v="0.93"/>
    <n v="1.1499999999999999"/>
    <n v="0.97"/>
    <n v="1"/>
    <n v="1"/>
    <n v="1"/>
    <n v="0.88"/>
    <n v="1"/>
    <n v="0.72"/>
    <n v="1"/>
    <n v="1"/>
    <n v="1"/>
    <n v="1"/>
    <n v="1"/>
    <n v="1"/>
    <n v="617.59028476340791"/>
    <n v="0"/>
    <s v="PASS"/>
    <n v="0"/>
    <x v="0"/>
  </r>
  <r>
    <s v="P0871"/>
    <d v="2026-04-24T00:00:00"/>
    <s v="Comprehensive"/>
    <s v="65+"/>
    <n v="7"/>
    <s v="5+"/>
    <s v="No"/>
    <s v="0-4,999"/>
    <s v="West Hollywood (90046)"/>
    <s v="$5,000-$14,999"/>
    <s v="No"/>
    <s v="No"/>
    <s v="No"/>
    <s v="No"/>
    <s v="Yes"/>
    <s v="No"/>
    <s v="Yes (Low)"/>
    <s v="No"/>
    <s v="Yes"/>
    <s v="No"/>
    <s v="No"/>
    <s v="No"/>
    <s v="Yes"/>
    <n v="304.13491183783105"/>
    <n v="121"/>
    <n v="1.27"/>
    <n v="0.95"/>
    <n v="2.4700000000000002"/>
    <n v="1"/>
    <n v="0.82"/>
    <n v="1.18"/>
    <n v="0.97"/>
    <n v="1"/>
    <n v="1"/>
    <n v="1"/>
    <n v="1"/>
    <n v="0.95"/>
    <n v="1"/>
    <n v="0.92"/>
    <n v="1"/>
    <n v="1"/>
    <n v="1"/>
    <n v="0.97"/>
    <n v="1.06"/>
    <n v="304.13491183783105"/>
    <n v="0"/>
    <s v="PASS"/>
    <n v="0"/>
    <x v="0"/>
  </r>
  <r>
    <s v="P0872"/>
    <d v="2025-07-24T00:00:00"/>
    <s v="Liability"/>
    <s v="45-54"/>
    <s v="8+"/>
    <n v="0"/>
    <s v="No"/>
    <s v="5,000-8,499"/>
    <s v="Costa Mesa (92626)"/>
    <s v="$45,000-$84,999"/>
    <s v="No"/>
    <s v="No"/>
    <s v="No"/>
    <s v="Yes"/>
    <s v="No"/>
    <s v="Yes"/>
    <s v="No"/>
    <s v="Yes (High)"/>
    <s v="No"/>
    <s v="No"/>
    <s v="Yes"/>
    <s v="No"/>
    <s v="No"/>
    <n v="571.57397474095001"/>
    <n v="622"/>
    <n v="1.07"/>
    <n v="0.93"/>
    <n v="1"/>
    <n v="1"/>
    <n v="0.93"/>
    <n v="0.92"/>
    <n v="1.57"/>
    <n v="1"/>
    <n v="1"/>
    <n v="1"/>
    <n v="0.88"/>
    <n v="1"/>
    <n v="0.84"/>
    <n v="1"/>
    <n v="1"/>
    <n v="0.93"/>
    <n v="1"/>
    <n v="1"/>
    <n v="1"/>
    <n v="571.57397474095001"/>
    <n v="0"/>
    <s v="PASS"/>
    <n v="0"/>
    <x v="0"/>
  </r>
  <r>
    <s v="P0873"/>
    <d v="2026-02-21T00:00:00"/>
    <s v="Uninsured Motorist"/>
    <s v="35-44"/>
    <n v="1"/>
    <s v="5+"/>
    <s v="Yes (Low Score)"/>
    <s v="0-4,999"/>
    <s v="Cypress (90630)"/>
    <s v="$15,000-$24,999"/>
    <s v="No"/>
    <s v="No"/>
    <s v="No"/>
    <s v="Yes"/>
    <s v="No"/>
    <s v="Yes"/>
    <s v="No"/>
    <s v="Yes (Medium)"/>
    <s v="No"/>
    <s v="Yes"/>
    <s v="No"/>
    <s v="No"/>
    <s v="No"/>
    <n v="161.9"/>
    <n v="78"/>
    <n v="1"/>
    <n v="1.64"/>
    <n v="2.4700000000000002"/>
    <n v="0.95"/>
    <n v="0.82"/>
    <n v="1.08"/>
    <n v="1.08"/>
    <n v="1"/>
    <n v="1"/>
    <n v="1"/>
    <n v="0.88"/>
    <n v="1"/>
    <n v="0.72"/>
    <n v="1"/>
    <n v="0.89"/>
    <n v="1"/>
    <n v="1"/>
    <n v="1"/>
    <n v="1.06"/>
    <n v="171.60558303825252"/>
    <n v="-9.705583038252513"/>
    <s v="FAIL"/>
    <n v="9.705583038252513"/>
    <x v="1"/>
  </r>
  <r>
    <s v="P0874"/>
    <d v="2026-01-16T00:00:00"/>
    <s v="Collision"/>
    <s v="65+"/>
    <n v="4"/>
    <n v="0"/>
    <s v="No"/>
    <s v="13,500-16,999"/>
    <s v="Beverly Hills (90035)"/>
    <s v="$15,000-$24,999"/>
    <s v="No"/>
    <s v="No"/>
    <s v="No"/>
    <s v="Yes"/>
    <s v="Yes"/>
    <s v="No"/>
    <s v="Yes (Low)"/>
    <s v="No"/>
    <s v="No"/>
    <s v="No"/>
    <s v="No"/>
    <s v="Yes"/>
    <s v="No"/>
    <n v="849.82771955037299"/>
    <n v="453"/>
    <n v="1.27"/>
    <n v="1.1499999999999999"/>
    <n v="1"/>
    <n v="1"/>
    <n v="1.18"/>
    <n v="1.21"/>
    <n v="1.08"/>
    <n v="1"/>
    <n v="1"/>
    <n v="1"/>
    <n v="0.88"/>
    <n v="0.95"/>
    <n v="1"/>
    <n v="1"/>
    <n v="1"/>
    <n v="1"/>
    <n v="0.94"/>
    <n v="1"/>
    <n v="1.06"/>
    <n v="849.82771955037299"/>
    <n v="0"/>
    <s v="PASS"/>
    <n v="0"/>
    <x v="0"/>
  </r>
  <r>
    <s v="P0875"/>
    <d v="2025-07-22T00:00:00"/>
    <s v="Liability"/>
    <s v="65+"/>
    <n v="7"/>
    <n v="1"/>
    <s v="Yes (Low Score)"/>
    <s v="8,500-13,499"/>
    <s v="Irvine (92602)"/>
    <s v="$5,000-$14,999"/>
    <s v="No"/>
    <s v="No"/>
    <s v="No"/>
    <s v="Yes"/>
    <s v="No"/>
    <s v="Yes"/>
    <s v="No"/>
    <s v="Yes (Low)"/>
    <s v="Yes"/>
    <s v="No"/>
    <s v="No"/>
    <s v="No"/>
    <s v="Yes"/>
    <n v="483.85631722475642"/>
    <n v="622"/>
    <n v="1.27"/>
    <n v="0.95"/>
    <n v="1.34"/>
    <n v="0.95"/>
    <n v="1"/>
    <n v="1.0900000000000001"/>
    <n v="0.97"/>
    <n v="1"/>
    <n v="1"/>
    <n v="1"/>
    <n v="0.88"/>
    <n v="1"/>
    <n v="0.61"/>
    <n v="0.92"/>
    <n v="1"/>
    <n v="1"/>
    <n v="1"/>
    <n v="0.97"/>
    <n v="1"/>
    <n v="483.85631722475642"/>
    <n v="0"/>
    <s v="PASS"/>
    <n v="0"/>
    <x v="0"/>
  </r>
  <r>
    <s v="P0876"/>
    <d v="2025-06-02T00:00:00"/>
    <s v="Collision"/>
    <s v="16-24"/>
    <n v="4"/>
    <s v="5+"/>
    <s v="No"/>
    <s v="17,000+"/>
    <s v="Fountain Valley (92708)"/>
    <s v="$85,000-$149,999"/>
    <s v="Yes"/>
    <s v="No"/>
    <s v="No"/>
    <s v="No"/>
    <s v="Yes"/>
    <s v="No"/>
    <s v="Yes (Low)"/>
    <s v="No"/>
    <s v="No"/>
    <s v="No"/>
    <s v="No"/>
    <s v="No"/>
    <s v="Yes"/>
    <n v="6096.6707480215118"/>
    <n v="453"/>
    <n v="1.32"/>
    <n v="1.1499999999999999"/>
    <n v="2.4700000000000002"/>
    <n v="1"/>
    <n v="1.31"/>
    <n v="1.1499999999999999"/>
    <n v="2.02"/>
    <n v="1.28"/>
    <n v="1"/>
    <n v="1"/>
    <n v="1"/>
    <n v="0.95"/>
    <n v="1"/>
    <n v="1"/>
    <n v="1"/>
    <n v="1"/>
    <n v="1"/>
    <n v="0.97"/>
    <n v="1"/>
    <n v="6096.6707480215118"/>
    <n v="0"/>
    <s v="PASS"/>
    <n v="0"/>
    <x v="0"/>
  </r>
  <r>
    <s v="P0877"/>
    <d v="2025-09-22T00:00:00"/>
    <s v="Uninsured Motorist"/>
    <s v="55-64"/>
    <n v="7"/>
    <s v="5+"/>
    <s v="No"/>
    <s v="17,000+"/>
    <s v="Costa Mesa (92626)"/>
    <s v="$25,000-$44,999"/>
    <s v="No"/>
    <s v="No"/>
    <s v="No"/>
    <s v="Yes"/>
    <s v="No"/>
    <s v="Yes"/>
    <s v="No"/>
    <s v="Yes (High)"/>
    <s v="No"/>
    <s v="No"/>
    <s v="Yes"/>
    <s v="No"/>
    <s v="No"/>
    <n v="217.39381468359826"/>
    <n v="78"/>
    <n v="1.1200000000000001"/>
    <n v="0.95"/>
    <n v="2.4700000000000002"/>
    <n v="1"/>
    <n v="1.31"/>
    <n v="0.92"/>
    <n v="1.28"/>
    <n v="1"/>
    <n v="1"/>
    <n v="1"/>
    <n v="0.88"/>
    <n v="1"/>
    <n v="0.84"/>
    <n v="1"/>
    <n v="1"/>
    <n v="0.93"/>
    <n v="1"/>
    <n v="1"/>
    <n v="1"/>
    <n v="217.39381468359826"/>
    <n v="0"/>
    <s v="PASS"/>
    <n v="0"/>
    <x v="0"/>
  </r>
  <r>
    <s v="P0878"/>
    <d v="2025-07-10T00:00:00"/>
    <s v="Liability"/>
    <s v="25-34"/>
    <n v="4"/>
    <n v="0"/>
    <s v="No"/>
    <s v="8,500-13,499"/>
    <s v="Torrance (90248)"/>
    <s v="$0-$4,999"/>
    <s v="No"/>
    <s v="No"/>
    <s v="No"/>
    <s v="No"/>
    <s v="No"/>
    <s v="Yes"/>
    <s v="No"/>
    <s v="Yes (High)"/>
    <s v="No"/>
    <s v="No"/>
    <s v="Yes"/>
    <s v="No"/>
    <s v="No"/>
    <n v="631.22973121151983"/>
    <n v="622"/>
    <n v="1.23"/>
    <n v="1.1499999999999999"/>
    <n v="1"/>
    <n v="1"/>
    <n v="1"/>
    <n v="1.1200000000000001"/>
    <n v="0.82"/>
    <n v="1"/>
    <n v="1"/>
    <n v="1"/>
    <n v="1"/>
    <n v="1"/>
    <n v="0.84"/>
    <n v="1"/>
    <n v="1"/>
    <n v="0.93"/>
    <n v="1"/>
    <n v="1"/>
    <n v="1"/>
    <n v="631.22973121151983"/>
    <n v="0"/>
    <s v="PASS"/>
    <n v="0"/>
    <x v="0"/>
  </r>
  <r>
    <s v="P0879"/>
    <d v="2025-06-13T00:00:00"/>
    <s v="Liability"/>
    <s v="25-34"/>
    <n v="7"/>
    <n v="0"/>
    <s v="Yes (Low Score)"/>
    <s v="5,000-8,499"/>
    <s v="Compton (90220)"/>
    <s v="$25,000-$44,999"/>
    <s v="No"/>
    <s v="No"/>
    <s v="Yes"/>
    <s v="No"/>
    <s v="No"/>
    <s v="Yes"/>
    <s v="No"/>
    <s v="Yes (High)"/>
    <s v="No"/>
    <s v="No"/>
    <s v="No"/>
    <s v="No"/>
    <s v="No"/>
    <n v="1249.3884838592101"/>
    <n v="622"/>
    <n v="1.23"/>
    <n v="0.95"/>
    <n v="1"/>
    <n v="0.95"/>
    <n v="0.93"/>
    <n v="1.56"/>
    <n v="1.28"/>
    <n v="1"/>
    <n v="1"/>
    <n v="1.1599999999999999"/>
    <n v="1"/>
    <n v="1"/>
    <n v="0.84"/>
    <n v="1"/>
    <n v="1"/>
    <n v="1"/>
    <n v="1"/>
    <n v="1"/>
    <n v="1"/>
    <n v="1249.3884838592101"/>
    <n v="0"/>
    <s v="PASS"/>
    <n v="0"/>
    <x v="0"/>
  </r>
  <r>
    <s v="P0880"/>
    <d v="2026-02-15T00:00:00"/>
    <s v="Collision"/>
    <s v="55-64"/>
    <n v="4"/>
    <n v="2"/>
    <s v="Yes (High Score)"/>
    <s v="13,500-16,999"/>
    <s v="Beverly Hills (90035)"/>
    <s v="$150,000+"/>
    <s v="No"/>
    <s v="No"/>
    <s v="No"/>
    <s v="No"/>
    <s v="Yes"/>
    <s v="No"/>
    <s v="Yes (Medium)"/>
    <s v="No"/>
    <s v="No"/>
    <s v="No"/>
    <s v="No"/>
    <s v="No"/>
    <s v="No"/>
    <n v="2144.8333088291233"/>
    <n v="453"/>
    <n v="1.1200000000000001"/>
    <n v="1.1499999999999999"/>
    <n v="1.55"/>
    <n v="0.65"/>
    <n v="1.18"/>
    <n v="1.21"/>
    <n v="2.87"/>
    <n v="1"/>
    <n v="1"/>
    <n v="1"/>
    <n v="1"/>
    <n v="0.84"/>
    <n v="1"/>
    <n v="1"/>
    <n v="1"/>
    <n v="1"/>
    <n v="1"/>
    <n v="1"/>
    <n v="1.06"/>
    <n v="2144.8333088291233"/>
    <n v="0"/>
    <s v="PASS"/>
    <n v="0"/>
    <x v="0"/>
  </r>
  <r>
    <s v="P0881"/>
    <d v="2025-11-27T00:00:00"/>
    <s v="Liability"/>
    <s v="55-64"/>
    <n v="1"/>
    <n v="4"/>
    <s v="Yes (Low Score)"/>
    <s v="13,500-16,999"/>
    <s v="Huntington Beach (90742)"/>
    <s v="$15,000-$24,999"/>
    <s v="No"/>
    <s v="Yes"/>
    <s v="No"/>
    <s v="No"/>
    <s v="No"/>
    <s v="Yes"/>
    <s v="No"/>
    <s v="Yes (High)"/>
    <s v="No"/>
    <s v="No"/>
    <s v="Yes"/>
    <s v="Yes"/>
    <s v="No"/>
    <n v="2553.4009677376125"/>
    <n v="622"/>
    <n v="1.1200000000000001"/>
    <n v="1.64"/>
    <n v="2.12"/>
    <n v="0.95"/>
    <n v="1.18"/>
    <n v="0.98"/>
    <n v="1.08"/>
    <n v="1"/>
    <n v="1.21"/>
    <n v="1"/>
    <n v="1"/>
    <n v="1"/>
    <n v="0.84"/>
    <n v="1"/>
    <n v="1"/>
    <n v="0.93"/>
    <n v="0.94"/>
    <n v="1"/>
    <n v="1"/>
    <n v="2553.4009677376125"/>
    <n v="0"/>
    <s v="PASS"/>
    <n v="0"/>
    <x v="0"/>
  </r>
  <r>
    <s v="P0882"/>
    <d v="2026-04-11T00:00:00"/>
    <s v="Liability"/>
    <s v="35-44"/>
    <n v="5"/>
    <n v="1"/>
    <s v="Yes (High Score)"/>
    <s v="13,500-16,999"/>
    <s v="Santa Ana (92702)"/>
    <s v="$5,000-$14,999"/>
    <s v="No"/>
    <s v="No"/>
    <s v="No"/>
    <s v="Yes"/>
    <s v="No"/>
    <s v="Yes"/>
    <s v="No"/>
    <s v="Yes (Medium)"/>
    <s v="No"/>
    <s v="No"/>
    <s v="No"/>
    <s v="No"/>
    <s v="No"/>
    <n v="454.53493121117685"/>
    <n v="622"/>
    <n v="1"/>
    <n v="1.07"/>
    <n v="1.34"/>
    <n v="0.65"/>
    <n v="1.18"/>
    <n v="1.02"/>
    <n v="0.97"/>
    <n v="1"/>
    <n v="1"/>
    <n v="1"/>
    <n v="0.88"/>
    <n v="1"/>
    <n v="0.72"/>
    <n v="1"/>
    <n v="1"/>
    <n v="1"/>
    <n v="1"/>
    <n v="1"/>
    <n v="1.06"/>
    <n v="454.53493121117685"/>
    <n v="0"/>
    <s v="PASS"/>
    <n v="0"/>
    <x v="0"/>
  </r>
  <r>
    <s v="P0883"/>
    <d v="2025-07-26T00:00:00"/>
    <s v="Liability"/>
    <s v="35-44"/>
    <n v="4"/>
    <s v="5+"/>
    <s v="Yes (Medium Score)"/>
    <s v="13,500-16,999"/>
    <s v="Cypress (90630)"/>
    <s v="$25,000-$44,999"/>
    <s v="No"/>
    <s v="No"/>
    <s v="No"/>
    <s v="No"/>
    <s v="No"/>
    <s v="Yes"/>
    <s v="No"/>
    <s v="Yes (Low)"/>
    <s v="No"/>
    <s v="No"/>
    <s v="No"/>
    <s v="No"/>
    <s v="No"/>
    <n v="1406.4384560578562"/>
    <n v="622"/>
    <n v="1"/>
    <n v="1.1499999999999999"/>
    <n v="2.4700000000000002"/>
    <n v="0.8"/>
    <n v="1.18"/>
    <n v="1.08"/>
    <n v="1.28"/>
    <n v="1"/>
    <n v="1"/>
    <n v="1"/>
    <n v="1"/>
    <n v="1"/>
    <n v="0.61"/>
    <n v="1"/>
    <n v="1"/>
    <n v="1"/>
    <n v="1"/>
    <n v="1"/>
    <n v="1"/>
    <n v="1406.4384560578562"/>
    <n v="0"/>
    <s v="PASS"/>
    <n v="0"/>
    <x v="0"/>
  </r>
  <r>
    <s v="P0884"/>
    <d v="2025-07-31T00:00:00"/>
    <s v="Collision"/>
    <s v="65+"/>
    <n v="7"/>
    <n v="1"/>
    <s v="No"/>
    <s v="8,500-13,499"/>
    <s v="Irvine (92602)"/>
    <s v="$0-$4,999"/>
    <s v="No"/>
    <s v="No"/>
    <s v="No"/>
    <s v="No"/>
    <s v="Yes"/>
    <s v="No"/>
    <s v="Yes (High)"/>
    <s v="No"/>
    <s v="Yes"/>
    <s v="No"/>
    <s v="Yes"/>
    <s v="Yes"/>
    <s v="Yes"/>
    <n v="367.68298867582905"/>
    <n v="453"/>
    <n v="1.27"/>
    <n v="0.95"/>
    <n v="1.34"/>
    <n v="1"/>
    <n v="1"/>
    <n v="1.0900000000000001"/>
    <n v="0.82"/>
    <n v="1"/>
    <n v="1"/>
    <n v="1"/>
    <n v="1"/>
    <n v="0.72"/>
    <n v="1"/>
    <n v="0.92"/>
    <n v="1"/>
    <n v="0.93"/>
    <n v="0.94"/>
    <n v="0.97"/>
    <n v="1"/>
    <n v="367.68298867582905"/>
    <n v="0"/>
    <s v="PASS"/>
    <n v="0"/>
    <x v="0"/>
  </r>
  <r>
    <s v="P0885"/>
    <d v="2025-12-11T00:00:00"/>
    <s v="Comprehensive"/>
    <s v="25-34"/>
    <n v="7"/>
    <n v="1"/>
    <s v="No"/>
    <s v="5,000-8,499"/>
    <s v="Newport Beach (92603)"/>
    <s v="$150,000+"/>
    <s v="No"/>
    <s v="No"/>
    <s v="No"/>
    <s v="No"/>
    <s v="Yes"/>
    <s v="No"/>
    <s v="Yes (Medium)"/>
    <s v="No"/>
    <s v="No"/>
    <s v="No"/>
    <s v="No"/>
    <s v="No"/>
    <s v="Yes"/>
    <n v="387.31347309410626"/>
    <n v="121"/>
    <n v="1.23"/>
    <n v="0.95"/>
    <n v="1.34"/>
    <n v="1"/>
    <n v="0.93"/>
    <n v="0.94"/>
    <n v="2.87"/>
    <n v="1"/>
    <n v="1"/>
    <n v="1"/>
    <n v="1"/>
    <n v="0.84"/>
    <n v="1"/>
    <n v="1"/>
    <n v="1"/>
    <n v="1"/>
    <n v="1"/>
    <n v="0.97"/>
    <n v="1"/>
    <n v="387.31347309410626"/>
    <n v="0"/>
    <s v="PASS"/>
    <n v="0"/>
    <x v="0"/>
  </r>
  <r>
    <s v="P0886"/>
    <d v="2026-03-19T00:00:00"/>
    <s v="Collision"/>
    <s v="55-64"/>
    <n v="1"/>
    <n v="4"/>
    <s v="Yes (Low Score)"/>
    <s v="17,000+"/>
    <s v="Newport Beach (92603)"/>
    <s v="$5,000-$14,999"/>
    <s v="No"/>
    <s v="Yes"/>
    <s v="No"/>
    <s v="No"/>
    <s v="Yes"/>
    <s v="No"/>
    <s v="Yes (High)"/>
    <s v="No"/>
    <s v="No"/>
    <s v="No"/>
    <s v="No"/>
    <s v="No"/>
    <s v="No"/>
    <n v="1848.4774397805566"/>
    <n v="453"/>
    <n v="1.1200000000000001"/>
    <n v="1.64"/>
    <n v="2.12"/>
    <n v="0.95"/>
    <n v="1.31"/>
    <n v="0.94"/>
    <n v="0.97"/>
    <n v="1"/>
    <n v="1.21"/>
    <n v="1"/>
    <n v="1"/>
    <n v="0.72"/>
    <n v="1"/>
    <n v="1"/>
    <n v="1"/>
    <n v="1"/>
    <n v="1"/>
    <n v="1"/>
    <n v="1.06"/>
    <n v="1848.4774397805566"/>
    <n v="0"/>
    <s v="PASS"/>
    <n v="0"/>
    <x v="0"/>
  </r>
  <r>
    <s v="P0887"/>
    <d v="2025-05-09T00:00:00"/>
    <s v="Liability"/>
    <s v="45-54"/>
    <n v="4"/>
    <n v="1"/>
    <s v="Yes (Medium Score)"/>
    <s v="0-4,999"/>
    <s v="Long Beach (90712)"/>
    <s v="$15,000-$24,999"/>
    <s v="No"/>
    <s v="No"/>
    <s v="No"/>
    <s v="No"/>
    <s v="No"/>
    <s v="Yes"/>
    <s v="No"/>
    <s v="Yes (Medium)"/>
    <s v="No"/>
    <s v="No"/>
    <s v="No"/>
    <s v="Yes"/>
    <s v="No"/>
    <n v="550.78584264536562"/>
    <n v="622"/>
    <n v="1.07"/>
    <n v="1.1499999999999999"/>
    <n v="1.34"/>
    <n v="0.8"/>
    <n v="0.82"/>
    <n v="1.1200000000000001"/>
    <n v="1.08"/>
    <n v="1"/>
    <n v="1"/>
    <n v="1"/>
    <n v="1"/>
    <n v="1"/>
    <n v="0.72"/>
    <n v="1"/>
    <n v="1"/>
    <n v="1"/>
    <n v="0.94"/>
    <n v="1"/>
    <n v="1"/>
    <n v="550.78584264536562"/>
    <n v="0"/>
    <s v="PASS"/>
    <n v="0"/>
    <x v="0"/>
  </r>
  <r>
    <s v="P0888"/>
    <d v="2025-06-14T00:00:00"/>
    <s v="Liability"/>
    <s v="35-44"/>
    <n v="3"/>
    <n v="3"/>
    <s v="No"/>
    <s v="8,500-13,499"/>
    <s v="Huntington Beach (90742)"/>
    <s v="$150,000+"/>
    <s v="No"/>
    <s v="No"/>
    <s v="No"/>
    <s v="Yes"/>
    <s v="No"/>
    <s v="Yes"/>
    <s v="No"/>
    <s v="Yes (Low)"/>
    <s v="No"/>
    <s v="No"/>
    <s v="No"/>
    <s v="No"/>
    <s v="No"/>
    <n v="2085.1729526467843"/>
    <n v="622"/>
    <n v="1"/>
    <n v="1.22"/>
    <n v="1.82"/>
    <n v="1"/>
    <n v="1"/>
    <n v="0.98"/>
    <n v="2.87"/>
    <n v="1"/>
    <n v="1"/>
    <n v="1"/>
    <n v="0.88"/>
    <n v="1"/>
    <n v="0.61"/>
    <n v="1"/>
    <n v="1"/>
    <n v="1"/>
    <n v="1"/>
    <n v="1"/>
    <n v="1"/>
    <n v="2085.1729526467843"/>
    <n v="0"/>
    <s v="PASS"/>
    <n v="0"/>
    <x v="0"/>
  </r>
  <r>
    <s v="P0889"/>
    <d v="2025-10-20T00:00:00"/>
    <s v="Rental Car Reinbursement"/>
    <s v="65+"/>
    <n v="2"/>
    <n v="0"/>
    <s v="No"/>
    <s v="8,500-13,499"/>
    <s v="Long Beach (90712)"/>
    <s v="$150,000+"/>
    <s v="No"/>
    <s v="No"/>
    <s v="No"/>
    <s v="No"/>
    <s v="No"/>
    <s v="Yes"/>
    <s v="No"/>
    <s v="Yes (High)"/>
    <s v="No"/>
    <s v="No"/>
    <s v="No"/>
    <s v="Yes"/>
    <s v="No"/>
    <n v="186.34328590348801"/>
    <n v="41"/>
    <n v="1.27"/>
    <n v="1.41"/>
    <n v="1"/>
    <n v="1"/>
    <n v="1"/>
    <n v="1.1200000000000001"/>
    <n v="2.87"/>
    <n v="1"/>
    <n v="1"/>
    <n v="1"/>
    <n v="1"/>
    <n v="1"/>
    <n v="0.84"/>
    <n v="1"/>
    <n v="1"/>
    <n v="1"/>
    <n v="0.94"/>
    <n v="1"/>
    <n v="1"/>
    <n v="186.34328590348801"/>
    <n v="0"/>
    <s v="PASS"/>
    <n v="0"/>
    <x v="0"/>
  </r>
  <r>
    <s v="P0890"/>
    <d v="2026-01-19T00:00:00"/>
    <s v="Liability"/>
    <s v="25-34"/>
    <n v="3"/>
    <n v="3"/>
    <s v="No"/>
    <s v="13,500-16,999"/>
    <s v="Silverlake (90026 )"/>
    <s v="$150,000+"/>
    <s v="No"/>
    <s v="No"/>
    <s v="No"/>
    <s v="Yes"/>
    <s v="No"/>
    <s v="Yes"/>
    <s v="No"/>
    <s v="Yes (Low)"/>
    <s v="No"/>
    <s v="No"/>
    <s v="No"/>
    <s v="No"/>
    <s v="Yes"/>
    <n v="3683.3137541171318"/>
    <n v="622"/>
    <n v="1.23"/>
    <n v="1.22"/>
    <n v="1.82"/>
    <n v="1"/>
    <n v="1.18"/>
    <n v="1.1599999999999999"/>
    <n v="2.87"/>
    <n v="1"/>
    <n v="1"/>
    <n v="1"/>
    <n v="0.88"/>
    <n v="1"/>
    <n v="0.61"/>
    <n v="1"/>
    <n v="1"/>
    <n v="1"/>
    <n v="1"/>
    <n v="0.97"/>
    <n v="1.06"/>
    <n v="3683.3137541171318"/>
    <n v="0"/>
    <s v="PASS"/>
    <n v="0"/>
    <x v="0"/>
  </r>
  <r>
    <s v="P0891"/>
    <d v="2026-03-08T00:00:00"/>
    <s v="Uninsured Motorist"/>
    <s v="65+"/>
    <n v="3"/>
    <n v="0"/>
    <s v="Yes (Medium Score)"/>
    <s v="8,500-13,499"/>
    <s v="Santa Monica (90401)"/>
    <s v="$5,000-$14,999"/>
    <s v="No"/>
    <s v="No"/>
    <s v="No"/>
    <s v="Yes"/>
    <s v="No"/>
    <s v="Yes"/>
    <s v="No"/>
    <s v="Yes (Medium)"/>
    <s v="No"/>
    <s v="No"/>
    <s v="Yes"/>
    <s v="Yes"/>
    <s v="No"/>
    <n v="63.871880216144028"/>
    <n v="78"/>
    <n v="1.27"/>
    <n v="1.22"/>
    <n v="1"/>
    <n v="0.8"/>
    <n v="1"/>
    <n v="1.1599999999999999"/>
    <n v="0.97"/>
    <n v="1"/>
    <n v="1"/>
    <n v="1"/>
    <n v="0.88"/>
    <n v="1"/>
    <n v="0.72"/>
    <n v="1"/>
    <n v="1"/>
    <n v="0.93"/>
    <n v="0.94"/>
    <n v="1"/>
    <n v="1.06"/>
    <n v="63.871880216144028"/>
    <n v="0"/>
    <s v="PASS"/>
    <n v="0"/>
    <x v="0"/>
  </r>
  <r>
    <s v="P0892"/>
    <d v="2026-01-08T00:00:00"/>
    <s v="Liability"/>
    <s v="45-54"/>
    <n v="5"/>
    <n v="3"/>
    <s v="No"/>
    <s v="17,000+"/>
    <s v="DTLA (90012)"/>
    <s v="$150,000+"/>
    <s v="No"/>
    <s v="No"/>
    <s v="No"/>
    <s v="No"/>
    <s v="No"/>
    <s v="Yes"/>
    <s v="No"/>
    <s v="Yes (Low)"/>
    <s v="No"/>
    <s v="No"/>
    <s v="No"/>
    <s v="No"/>
    <s v="No"/>
    <n v="3969.9840856971518"/>
    <n v="622"/>
    <n v="1.07"/>
    <n v="1.07"/>
    <n v="1.82"/>
    <n v="1"/>
    <n v="1.31"/>
    <n v="1.26"/>
    <n v="2.87"/>
    <n v="1"/>
    <n v="1"/>
    <n v="1"/>
    <n v="1"/>
    <n v="1"/>
    <n v="0.61"/>
    <n v="1"/>
    <n v="1"/>
    <n v="1"/>
    <n v="1"/>
    <n v="1"/>
    <n v="1.06"/>
    <n v="3969.9840856971518"/>
    <n v="0"/>
    <s v="PASS"/>
    <n v="0"/>
    <x v="0"/>
  </r>
  <r>
    <s v="P0893"/>
    <d v="2026-02-28T00:00:00"/>
    <s v="Uninsured Motorist"/>
    <s v="25-34"/>
    <n v="5"/>
    <n v="0"/>
    <s v="Yes (Low Score)"/>
    <s v="5,000-8,499"/>
    <s v="Fullerton (92832)"/>
    <s v="$150,000+"/>
    <s v="No"/>
    <s v="No"/>
    <s v="No"/>
    <s v="Yes"/>
    <s v="No"/>
    <s v="Yes"/>
    <s v="No"/>
    <s v="Yes (Medium)"/>
    <s v="No"/>
    <s v="Yes"/>
    <s v="No"/>
    <s v="No"/>
    <s v="No"/>
    <n v="183.43"/>
    <n v="78"/>
    <n v="1.23"/>
    <n v="1.07"/>
    <n v="1"/>
    <n v="0.95"/>
    <n v="0.93"/>
    <n v="1.1200000000000001"/>
    <n v="2.87"/>
    <n v="1"/>
    <n v="1"/>
    <n v="1"/>
    <n v="0.88"/>
    <n v="1"/>
    <n v="0.72"/>
    <n v="1"/>
    <n v="0.89"/>
    <n v="1"/>
    <n v="1"/>
    <n v="1"/>
    <n v="1.06"/>
    <n v="174.26132246186521"/>
    <n v="9.1686775381348014"/>
    <s v="FAIL"/>
    <n v="9.1686775381348014"/>
    <x v="10"/>
  </r>
  <r>
    <s v="P0894"/>
    <d v="2025-12-13T00:00:00"/>
    <s v="Liability"/>
    <s v="35-44"/>
    <n v="2"/>
    <n v="3"/>
    <s v="Yes (High Score)"/>
    <s v="0-4,999"/>
    <s v="Long Beach (90712)"/>
    <s v="$25,000-$44,999"/>
    <s v="No"/>
    <s v="Yes"/>
    <s v="No"/>
    <s v="Yes"/>
    <s v="No"/>
    <s v="Yes"/>
    <s v="No"/>
    <s v="Yes (Low)"/>
    <s v="No"/>
    <s v="No"/>
    <s v="No"/>
    <s v="No"/>
    <s v="No"/>
    <n v="792.19840588635236"/>
    <n v="622"/>
    <n v="1"/>
    <n v="1.41"/>
    <n v="1.82"/>
    <n v="0.65"/>
    <n v="0.82"/>
    <n v="1.1200000000000001"/>
    <n v="1.28"/>
    <n v="1"/>
    <n v="1.21"/>
    <n v="1"/>
    <n v="0.88"/>
    <n v="1"/>
    <n v="0.61"/>
    <n v="1"/>
    <n v="1"/>
    <n v="1"/>
    <n v="1"/>
    <n v="1"/>
    <n v="1"/>
    <n v="792.19840588635236"/>
    <n v="0"/>
    <s v="PASS"/>
    <n v="0"/>
    <x v="0"/>
  </r>
  <r>
    <s v="P0895"/>
    <d v="2025-11-15T00:00:00"/>
    <s v="Liability"/>
    <s v="65+"/>
    <n v="7"/>
    <n v="4"/>
    <s v="Yes (Low Score)"/>
    <s v="8,500-13,499"/>
    <s v="Huntington Beach (90742)"/>
    <s v="$45,000-$84,999"/>
    <s v="Yes"/>
    <s v="No"/>
    <s v="No"/>
    <s v="Yes"/>
    <s v="No"/>
    <s v="Yes"/>
    <s v="No"/>
    <s v="Yes (Low)"/>
    <s v="No"/>
    <s v="No"/>
    <s v="No"/>
    <s v="No"/>
    <s v="No"/>
    <n v="1597.8109093684441"/>
    <n v="622"/>
    <n v="1.27"/>
    <n v="0.95"/>
    <n v="2.12"/>
    <n v="0.95"/>
    <n v="1"/>
    <n v="0.98"/>
    <n v="1.57"/>
    <n v="1.28"/>
    <n v="1"/>
    <n v="1"/>
    <n v="0.88"/>
    <n v="1"/>
    <n v="0.61"/>
    <n v="1"/>
    <n v="1"/>
    <n v="1"/>
    <n v="1"/>
    <n v="1"/>
    <n v="1"/>
    <n v="1597.8109093684441"/>
    <n v="0"/>
    <s v="PASS"/>
    <n v="0"/>
    <x v="0"/>
  </r>
  <r>
    <s v="P0896"/>
    <d v="2026-01-20T00:00:00"/>
    <s v="Comprehensive"/>
    <s v="65+"/>
    <n v="6"/>
    <n v="1"/>
    <s v="No"/>
    <s v="8,500-13,499"/>
    <s v="DTLA (90012)"/>
    <s v="$15,000-$24,999"/>
    <s v="Yes"/>
    <s v="No"/>
    <s v="No"/>
    <s v="Yes"/>
    <s v="Yes"/>
    <s v="No"/>
    <s v="Yes (Medium)"/>
    <s v="No"/>
    <s v="No"/>
    <s v="No"/>
    <s v="No"/>
    <s v="No"/>
    <s v="No"/>
    <n v="281.03860648708672"/>
    <n v="121"/>
    <n v="1.27"/>
    <n v="1"/>
    <n v="1.34"/>
    <n v="1"/>
    <n v="1"/>
    <n v="1.26"/>
    <n v="1.08"/>
    <n v="1.28"/>
    <n v="1"/>
    <n v="1"/>
    <n v="0.88"/>
    <n v="0.84"/>
    <n v="1"/>
    <n v="1"/>
    <n v="1"/>
    <n v="1"/>
    <n v="1"/>
    <n v="1"/>
    <n v="1.06"/>
    <n v="281.03860648708672"/>
    <n v="0"/>
    <s v="PASS"/>
    <n v="0"/>
    <x v="0"/>
  </r>
  <r>
    <s v="P0897"/>
    <d v="2025-11-01T00:00:00"/>
    <s v="Liability"/>
    <s v="25-34"/>
    <n v="3"/>
    <s v="5+"/>
    <s v="No"/>
    <s v="8,500-13,499"/>
    <s v="Culver City (90066)"/>
    <s v="$15,000-$24,999"/>
    <s v="No"/>
    <s v="No"/>
    <s v="No"/>
    <s v="Yes"/>
    <s v="No"/>
    <s v="Yes"/>
    <s v="No"/>
    <s v="Yes (Low)"/>
    <s v="Yes"/>
    <s v="Yes"/>
    <s v="No"/>
    <s v="No"/>
    <s v="No"/>
    <n v="1258.5318680458463"/>
    <n v="622"/>
    <n v="1.23"/>
    <n v="1.22"/>
    <n v="2.4700000000000002"/>
    <n v="1"/>
    <n v="1"/>
    <n v="1.1499999999999999"/>
    <n v="1.08"/>
    <n v="1"/>
    <n v="1"/>
    <n v="1"/>
    <n v="0.88"/>
    <n v="1"/>
    <n v="0.61"/>
    <n v="0.92"/>
    <n v="0.89"/>
    <n v="1"/>
    <n v="1"/>
    <n v="1"/>
    <n v="1"/>
    <n v="1258.5318680458463"/>
    <n v="0"/>
    <s v="PASS"/>
    <n v="0"/>
    <x v="0"/>
  </r>
  <r>
    <s v="P0898"/>
    <d v="2026-02-20T00:00:00"/>
    <s v="Collision"/>
    <s v="55-64"/>
    <n v="7"/>
    <n v="0"/>
    <s v="Yes (Low Score)"/>
    <s v="13,500-16,999"/>
    <s v="Newport Beach (92603)"/>
    <s v="$150,000+"/>
    <s v="No"/>
    <s v="No"/>
    <s v="Yes"/>
    <s v="No"/>
    <s v="Yes"/>
    <s v="No"/>
    <s v="Yes (Medium)"/>
    <s v="No"/>
    <s v="No"/>
    <s v="No"/>
    <s v="No"/>
    <s v="No"/>
    <s v="No"/>
    <n v="1505.5609208709855"/>
    <n v="453"/>
    <n v="1.1200000000000001"/>
    <n v="0.95"/>
    <n v="1"/>
    <n v="0.95"/>
    <n v="1.18"/>
    <n v="0.94"/>
    <n v="2.87"/>
    <n v="1"/>
    <n v="1"/>
    <n v="1.1599999999999999"/>
    <n v="1"/>
    <n v="0.84"/>
    <n v="1"/>
    <n v="1"/>
    <n v="1"/>
    <n v="1"/>
    <n v="1"/>
    <n v="1"/>
    <n v="1.06"/>
    <n v="1505.5609208709855"/>
    <n v="0"/>
    <s v="PASS"/>
    <n v="0"/>
    <x v="0"/>
  </r>
  <r>
    <s v="P0899"/>
    <d v="2025-10-15T00:00:00"/>
    <s v="Collision"/>
    <s v="16-24"/>
    <n v="3"/>
    <s v="5+"/>
    <s v="Yes (Low Score)"/>
    <s v="5,000-8,499"/>
    <s v="Cypress (90630)"/>
    <s v="$0-$4,999"/>
    <s v="No"/>
    <s v="No"/>
    <s v="No"/>
    <s v="No"/>
    <s v="Yes"/>
    <s v="No"/>
    <s v="Yes (Low)"/>
    <s v="No"/>
    <s v="No"/>
    <s v="No"/>
    <s v="No"/>
    <s v="No"/>
    <s v="No"/>
    <n v="1339.3580249235702"/>
    <n v="453"/>
    <n v="1.32"/>
    <n v="1.22"/>
    <n v="2.4700000000000002"/>
    <n v="0.95"/>
    <n v="0.93"/>
    <n v="1.08"/>
    <n v="0.82"/>
    <n v="1"/>
    <n v="1"/>
    <n v="1"/>
    <n v="1"/>
    <n v="0.95"/>
    <n v="1"/>
    <n v="1"/>
    <n v="1"/>
    <n v="1"/>
    <n v="1"/>
    <n v="1"/>
    <n v="1"/>
    <n v="1339.3580249235702"/>
    <n v="0"/>
    <s v="PASS"/>
    <n v="0"/>
    <x v="0"/>
  </r>
  <r>
    <s v="P0900"/>
    <d v="2026-04-07T00:00:00"/>
    <s v="Comprehensive"/>
    <s v="35-44"/>
    <n v="3"/>
    <n v="1"/>
    <s v="Yes (Medium Score)"/>
    <s v="8,500-13,499"/>
    <s v="Koreatown (90006)"/>
    <s v="$150,000+"/>
    <s v="No"/>
    <s v="No"/>
    <s v="No"/>
    <s v="Yes"/>
    <s v="Yes"/>
    <s v="No"/>
    <s v="Yes (Low)"/>
    <s v="No"/>
    <s v="No"/>
    <s v="No"/>
    <s v="Yes"/>
    <s v="No"/>
    <s v="No"/>
    <n v="452.90002500018619"/>
    <n v="121"/>
    <n v="1"/>
    <n v="1.22"/>
    <n v="1.34"/>
    <n v="0.8"/>
    <n v="1"/>
    <n v="1.21"/>
    <n v="2.87"/>
    <n v="1"/>
    <n v="1"/>
    <n v="1"/>
    <n v="0.88"/>
    <n v="0.95"/>
    <n v="1"/>
    <n v="1"/>
    <n v="1"/>
    <n v="0.93"/>
    <n v="1"/>
    <n v="1"/>
    <n v="1.06"/>
    <n v="452.90002500018619"/>
    <n v="0"/>
    <s v="PASS"/>
    <n v="0"/>
    <x v="0"/>
  </r>
  <r>
    <s v="P0901"/>
    <d v="2026-03-05T00:00:00"/>
    <s v="Liability"/>
    <s v="25-34"/>
    <n v="3"/>
    <n v="4"/>
    <s v="No"/>
    <s v="0-4,999"/>
    <s v="Fountain Valley (92708)"/>
    <s v="$15,000-$24,999"/>
    <s v="No"/>
    <s v="No"/>
    <s v="No"/>
    <s v="Yes"/>
    <s v="No"/>
    <s v="Yes"/>
    <s v="No"/>
    <s v="Yes (Low)"/>
    <s v="No"/>
    <s v="Yes"/>
    <s v="No"/>
    <s v="No"/>
    <s v="No"/>
    <n v="1020.5517106915828"/>
    <n v="622"/>
    <n v="1.23"/>
    <n v="1.22"/>
    <n v="2.12"/>
    <n v="1"/>
    <n v="0.82"/>
    <n v="1.1499999999999999"/>
    <n v="1.08"/>
    <n v="1"/>
    <n v="1"/>
    <n v="1"/>
    <n v="0.88"/>
    <n v="1"/>
    <n v="0.61"/>
    <n v="1"/>
    <n v="0.89"/>
    <n v="1"/>
    <n v="1"/>
    <n v="1"/>
    <n v="1.06"/>
    <n v="1020.5517106915828"/>
    <n v="0"/>
    <s v="PASS"/>
    <n v="0"/>
    <x v="0"/>
  </r>
  <r>
    <s v="P0902"/>
    <d v="2025-10-28T00:00:00"/>
    <s v="Liability"/>
    <s v="45-54"/>
    <n v="2"/>
    <n v="1"/>
    <s v="No"/>
    <s v="13,500-16,999"/>
    <s v="Fountain Valley (92708)"/>
    <s v="$15,000-$24,999"/>
    <s v="Yes"/>
    <s v="Yes"/>
    <s v="No"/>
    <s v="No"/>
    <s v="No"/>
    <s v="Yes"/>
    <s v="No"/>
    <s v="Yes (Medium)"/>
    <s v="No"/>
    <s v="No"/>
    <s v="Yes"/>
    <s v="No"/>
    <s v="No"/>
    <n v="1911.2278335366359"/>
    <n v="622"/>
    <n v="1.07"/>
    <n v="1.41"/>
    <n v="1.34"/>
    <n v="1"/>
    <n v="1.18"/>
    <n v="1.1499999999999999"/>
    <n v="1.08"/>
    <n v="1.28"/>
    <n v="1.21"/>
    <n v="1"/>
    <n v="1"/>
    <n v="1"/>
    <n v="0.72"/>
    <n v="1"/>
    <n v="1"/>
    <n v="0.93"/>
    <n v="1"/>
    <n v="1"/>
    <n v="1"/>
    <n v="1911.2278335366359"/>
    <n v="0"/>
    <s v="PASS"/>
    <n v="0"/>
    <x v="0"/>
  </r>
  <r>
    <s v="P0903"/>
    <d v="2025-10-01T00:00:00"/>
    <s v="Liability"/>
    <s v="65+"/>
    <n v="1"/>
    <n v="0"/>
    <s v="No"/>
    <s v="5,000-8,499"/>
    <s v="Anaheim (92801)"/>
    <s v="$25,000-$44,999"/>
    <s v="No"/>
    <s v="No"/>
    <s v="No"/>
    <s v="No"/>
    <s v="No"/>
    <s v="Yes"/>
    <s v="No"/>
    <s v="Yes (Low)"/>
    <s v="No"/>
    <s v="Yes"/>
    <s v="No"/>
    <s v="No"/>
    <s v="No"/>
    <n v="929.33799319305251"/>
    <n v="622"/>
    <n v="1.27"/>
    <n v="1.64"/>
    <n v="1"/>
    <n v="1"/>
    <n v="0.93"/>
    <n v="1.1100000000000001"/>
    <n v="1.28"/>
    <n v="1"/>
    <n v="1"/>
    <n v="1"/>
    <n v="1"/>
    <n v="1"/>
    <n v="0.61"/>
    <n v="1"/>
    <n v="0.89"/>
    <n v="1"/>
    <n v="1"/>
    <n v="1"/>
    <n v="1"/>
    <n v="929.33799319305251"/>
    <n v="0"/>
    <s v="PASS"/>
    <n v="0"/>
    <x v="0"/>
  </r>
  <r>
    <s v="P0904"/>
    <d v="2025-12-21T00:00:00"/>
    <s v="Liability"/>
    <s v="35-44"/>
    <n v="1"/>
    <n v="1"/>
    <s v="Yes (Low Score)"/>
    <s v="0-4,999"/>
    <s v="Costa Mesa (92626)"/>
    <s v="$0-$4,999"/>
    <s v="No"/>
    <s v="No"/>
    <s v="Yes"/>
    <s v="No"/>
    <s v="No"/>
    <s v="Yes"/>
    <s v="No"/>
    <s v="Yes (Low)"/>
    <s v="No"/>
    <s v="No"/>
    <s v="Yes"/>
    <s v="No"/>
    <s v="No"/>
    <n v="528.62651315942253"/>
    <n v="622"/>
    <n v="1"/>
    <n v="1.64"/>
    <n v="1.34"/>
    <n v="0.95"/>
    <n v="0.82"/>
    <n v="0.92"/>
    <n v="0.82"/>
    <n v="1"/>
    <n v="1"/>
    <n v="1.1599999999999999"/>
    <n v="1"/>
    <n v="1"/>
    <n v="0.61"/>
    <n v="1"/>
    <n v="1"/>
    <n v="0.93"/>
    <n v="1"/>
    <n v="1"/>
    <n v="1"/>
    <n v="528.62651315942253"/>
    <n v="0"/>
    <s v="PASS"/>
    <n v="0"/>
    <x v="0"/>
  </r>
  <r>
    <s v="P0905"/>
    <d v="2026-02-26T00:00:00"/>
    <s v="Collision"/>
    <s v="55-64"/>
    <n v="2"/>
    <n v="1"/>
    <s v="Yes (Medium Score)"/>
    <s v="8,500-13,499"/>
    <s v="Culver City (90066)"/>
    <s v="$85,000-$149,999"/>
    <s v="No"/>
    <s v="No"/>
    <s v="No"/>
    <s v="No"/>
    <s v="Yes"/>
    <s v="No"/>
    <s v="Yes (High)"/>
    <s v="No"/>
    <s v="No"/>
    <s v="No"/>
    <s v="Yes"/>
    <s v="Yes"/>
    <s v="No"/>
    <n v="1188.5802138773997"/>
    <n v="453"/>
    <n v="1.1200000000000001"/>
    <n v="1.41"/>
    <n v="1.34"/>
    <n v="0.8"/>
    <n v="1"/>
    <n v="1.1499999999999999"/>
    <n v="2.02"/>
    <n v="1"/>
    <n v="1"/>
    <n v="1"/>
    <n v="1"/>
    <n v="0.72"/>
    <n v="1"/>
    <n v="1"/>
    <n v="1"/>
    <n v="0.93"/>
    <n v="0.94"/>
    <n v="1"/>
    <n v="1.06"/>
    <n v="1188.5802138773997"/>
    <n v="0"/>
    <s v="PASS"/>
    <n v="0"/>
    <x v="0"/>
  </r>
  <r>
    <s v="P0906"/>
    <d v="2026-03-21T00:00:00"/>
    <s v="Liability"/>
    <s v="45-54"/>
    <n v="1"/>
    <n v="1"/>
    <s v="Yes (Medium Score)"/>
    <s v="17,000+"/>
    <s v="Long Beach (90712)"/>
    <s v="$45,000-$84,999"/>
    <s v="No"/>
    <s v="Yes"/>
    <s v="Yes"/>
    <s v="No"/>
    <s v="No"/>
    <s v="Yes"/>
    <s v="No"/>
    <s v="Yes (Low)"/>
    <s v="No"/>
    <s v="No"/>
    <s v="Yes"/>
    <s v="No"/>
    <s v="No"/>
    <n v="2274.9076696205152"/>
    <n v="622"/>
    <n v="1.07"/>
    <n v="1.64"/>
    <n v="1.34"/>
    <n v="0.8"/>
    <n v="1.31"/>
    <n v="1.1200000000000001"/>
    <n v="1.57"/>
    <n v="1"/>
    <n v="1.21"/>
    <n v="1.1599999999999999"/>
    <n v="1"/>
    <n v="1"/>
    <n v="0.61"/>
    <n v="1"/>
    <n v="1"/>
    <n v="0.93"/>
    <n v="1"/>
    <n v="1"/>
    <n v="1.06"/>
    <n v="2274.9076696205152"/>
    <n v="0"/>
    <s v="PASS"/>
    <n v="0"/>
    <x v="0"/>
  </r>
  <r>
    <s v="P0907"/>
    <d v="2025-08-25T00:00:00"/>
    <s v="Uninsured Motorist"/>
    <s v="45-54"/>
    <n v="5"/>
    <n v="1"/>
    <s v="Yes (Medium Score)"/>
    <s v="17,000+"/>
    <s v="Newport Beach (92603)"/>
    <s v="$5,000-$14,999"/>
    <s v="No"/>
    <s v="No"/>
    <s v="No"/>
    <s v="No"/>
    <s v="No"/>
    <s v="Yes"/>
    <s v="No"/>
    <s v="Yes (Medium)"/>
    <s v="No"/>
    <s v="Yes"/>
    <s v="No"/>
    <s v="No"/>
    <s v="No"/>
    <n v="73.274072525443458"/>
    <n v="78"/>
    <n v="1.07"/>
    <n v="1.07"/>
    <n v="1.34"/>
    <n v="0.8"/>
    <n v="1.31"/>
    <n v="0.94"/>
    <n v="0.97"/>
    <n v="1"/>
    <n v="1"/>
    <n v="1"/>
    <n v="1"/>
    <n v="1"/>
    <n v="0.72"/>
    <n v="1"/>
    <n v="0.89"/>
    <n v="1"/>
    <n v="1"/>
    <n v="1"/>
    <n v="1"/>
    <n v="73.274072525443458"/>
    <n v="0"/>
    <s v="PASS"/>
    <n v="0"/>
    <x v="0"/>
  </r>
  <r>
    <s v="P0908"/>
    <d v="2026-02-27T00:00:00"/>
    <s v="Liability"/>
    <s v="25-34"/>
    <n v="5"/>
    <n v="0"/>
    <s v="Yes (Medium Score)"/>
    <s v="0-4,999"/>
    <s v="Westminster (92655)"/>
    <s v="$85,000-$149,999"/>
    <s v="No"/>
    <s v="No"/>
    <s v="No"/>
    <s v="Yes"/>
    <s v="No"/>
    <s v="Yes"/>
    <s v="No"/>
    <s v="Yes (Medium)"/>
    <s v="No"/>
    <s v="No"/>
    <s v="No"/>
    <s v="No"/>
    <s v="No"/>
    <n v="794.11246743160041"/>
    <n v="622"/>
    <n v="1.23"/>
    <n v="1.07"/>
    <n v="1"/>
    <n v="0.8"/>
    <n v="0.82"/>
    <n v="1.0900000000000001"/>
    <n v="2.02"/>
    <n v="1"/>
    <n v="1"/>
    <n v="1"/>
    <n v="0.88"/>
    <n v="1"/>
    <n v="0.72"/>
    <n v="1"/>
    <n v="1"/>
    <n v="1"/>
    <n v="1"/>
    <n v="1"/>
    <n v="1.06"/>
    <n v="794.11246743160041"/>
    <n v="0"/>
    <s v="PASS"/>
    <n v="0"/>
    <x v="0"/>
  </r>
  <r>
    <s v="P0909"/>
    <d v="2026-04-11T00:00:00"/>
    <s v="Liability"/>
    <s v="25-34"/>
    <n v="3"/>
    <s v="5+"/>
    <s v="No"/>
    <s v="13,500-16,999"/>
    <s v="West Hollywood (90046)"/>
    <s v="$45,000-$84,999"/>
    <s v="No"/>
    <s v="No"/>
    <s v="No"/>
    <s v="No"/>
    <s v="No"/>
    <s v="Yes"/>
    <s v="No"/>
    <s v="Yes (Medium)"/>
    <s v="Yes"/>
    <s v="Yes"/>
    <s v="No"/>
    <s v="No"/>
    <s v="No"/>
    <n v="3149.4313250158334"/>
    <n v="622"/>
    <n v="1.23"/>
    <n v="1.22"/>
    <n v="2.4700000000000002"/>
    <n v="1"/>
    <n v="1.18"/>
    <n v="1.18"/>
    <n v="1.57"/>
    <n v="1"/>
    <n v="1"/>
    <n v="1"/>
    <n v="1"/>
    <n v="1"/>
    <n v="0.72"/>
    <n v="0.92"/>
    <n v="0.89"/>
    <n v="1"/>
    <n v="1"/>
    <n v="1"/>
    <n v="1.06"/>
    <n v="3149.4313250158334"/>
    <n v="0"/>
    <s v="PASS"/>
    <n v="0"/>
    <x v="0"/>
  </r>
  <r>
    <s v="P0910"/>
    <d v="2025-06-20T00:00:00"/>
    <s v="Collision"/>
    <s v="65+"/>
    <n v="1"/>
    <n v="1"/>
    <s v="No"/>
    <s v="13,500-16,999"/>
    <s v="Costa Mesa (92626)"/>
    <s v="$45,000-$84,999"/>
    <s v="No"/>
    <s v="No"/>
    <s v="No"/>
    <s v="No"/>
    <s v="Yes"/>
    <s v="No"/>
    <s v="Yes (Medium)"/>
    <s v="No"/>
    <s v="No"/>
    <s v="No"/>
    <s v="Yes"/>
    <s v="No"/>
    <s v="No"/>
    <n v="1683.3804960623345"/>
    <n v="453"/>
    <n v="1.27"/>
    <n v="1.64"/>
    <n v="1.34"/>
    <n v="1"/>
    <n v="1.18"/>
    <n v="0.92"/>
    <n v="1.57"/>
    <n v="1"/>
    <n v="1"/>
    <n v="1"/>
    <n v="1"/>
    <n v="0.84"/>
    <n v="1"/>
    <n v="1"/>
    <n v="1"/>
    <n v="0.93"/>
    <n v="1"/>
    <n v="1"/>
    <n v="1"/>
    <n v="1683.3804960623345"/>
    <n v="0"/>
    <s v="PASS"/>
    <n v="0"/>
    <x v="0"/>
  </r>
  <r>
    <s v="P0911"/>
    <d v="2025-10-26T00:00:00"/>
    <s v="Uninsured Motorist"/>
    <s v="16-24"/>
    <n v="2"/>
    <n v="1"/>
    <s v="Yes (Low Score)"/>
    <s v="17,000+"/>
    <s v="Compton (90220)"/>
    <s v="$15,000-$24,999"/>
    <s v="No"/>
    <s v="No"/>
    <s v="No"/>
    <s v="No"/>
    <s v="No"/>
    <s v="Yes"/>
    <s v="No"/>
    <s v="Yes (High)"/>
    <s v="No"/>
    <s v="No"/>
    <s v="No"/>
    <s v="No"/>
    <s v="No"/>
    <n v="342.6217947910518"/>
    <n v="78"/>
    <n v="1.32"/>
    <n v="1.41"/>
    <n v="1.34"/>
    <n v="0.95"/>
    <n v="1.31"/>
    <n v="1.56"/>
    <n v="1.08"/>
    <n v="1"/>
    <n v="1"/>
    <n v="1"/>
    <n v="1"/>
    <n v="1"/>
    <n v="0.84"/>
    <n v="1"/>
    <n v="1"/>
    <n v="1"/>
    <n v="1"/>
    <n v="1"/>
    <n v="1"/>
    <n v="342.6217947910518"/>
    <n v="0"/>
    <s v="PASS"/>
    <n v="0"/>
    <x v="0"/>
  </r>
  <r>
    <s v="P0912"/>
    <d v="2025-05-08T00:00:00"/>
    <s v="Liability"/>
    <s v="35-44"/>
    <n v="3"/>
    <n v="1"/>
    <s v="Yes (High Score)"/>
    <s v="8,500-13,499"/>
    <s v="Hollywood (90028)"/>
    <s v="$150,000+"/>
    <s v="No"/>
    <s v="No"/>
    <s v="No"/>
    <s v="No"/>
    <s v="No"/>
    <s v="Yes"/>
    <s v="No"/>
    <s v="Yes (High)"/>
    <s v="No"/>
    <s v="No"/>
    <s v="Yes"/>
    <s v="No"/>
    <s v="No"/>
    <n v="1763.4350278503505"/>
    <n v="622"/>
    <n v="1"/>
    <n v="1.22"/>
    <n v="1.34"/>
    <n v="0.65"/>
    <n v="1"/>
    <n v="1.19"/>
    <n v="2.87"/>
    <n v="1"/>
    <n v="1"/>
    <n v="1"/>
    <n v="1"/>
    <n v="1"/>
    <n v="0.84"/>
    <n v="1"/>
    <n v="1"/>
    <n v="0.93"/>
    <n v="1"/>
    <n v="1"/>
    <n v="1"/>
    <n v="1763.4350278503505"/>
    <n v="0"/>
    <s v="PASS"/>
    <n v="0"/>
    <x v="0"/>
  </r>
  <r>
    <s v="P0913"/>
    <d v="2026-02-03T00:00:00"/>
    <s v="Collision"/>
    <s v="35-44"/>
    <n v="5"/>
    <n v="3"/>
    <s v="No"/>
    <s v="8,500-13,499"/>
    <s v="Compton (90220)"/>
    <s v="$0-$4,999"/>
    <s v="No"/>
    <s v="No"/>
    <s v="No"/>
    <s v="Yes"/>
    <s v="Yes"/>
    <s v="No"/>
    <s v="Yes (High)"/>
    <s v="No"/>
    <s v="No"/>
    <s v="No"/>
    <s v="No"/>
    <s v="Yes"/>
    <s v="No"/>
    <n v="712.42755053078565"/>
    <n v="453"/>
    <n v="1"/>
    <n v="1.07"/>
    <n v="1.82"/>
    <n v="1"/>
    <n v="1"/>
    <n v="1.56"/>
    <n v="0.82"/>
    <n v="1"/>
    <n v="1"/>
    <n v="1"/>
    <n v="0.88"/>
    <n v="0.72"/>
    <n v="1"/>
    <n v="1"/>
    <n v="1"/>
    <n v="1"/>
    <n v="0.94"/>
    <n v="1"/>
    <n v="1.06"/>
    <n v="712.42755053078565"/>
    <n v="0"/>
    <s v="PASS"/>
    <n v="0"/>
    <x v="0"/>
  </r>
  <r>
    <s v="P0914"/>
    <d v="2025-07-03T00:00:00"/>
    <s v="Liability"/>
    <s v="35-44"/>
    <n v="4"/>
    <n v="1"/>
    <s v="Yes (Medium Score)"/>
    <s v="8,500-13,499"/>
    <s v="Beverly Hills (90035)"/>
    <s v="$85,000-$149,999"/>
    <s v="No"/>
    <s v="No"/>
    <s v="No"/>
    <s v="Yes"/>
    <s v="No"/>
    <s v="Yes"/>
    <s v="No"/>
    <s v="Yes (Medium)"/>
    <s v="No"/>
    <s v="No"/>
    <s v="No"/>
    <s v="No"/>
    <s v="No"/>
    <n v="1484.38"/>
    <n v="622"/>
    <n v="1"/>
    <n v="1.1499999999999999"/>
    <n v="1.34"/>
    <n v="0.8"/>
    <n v="1"/>
    <n v="1.21"/>
    <n v="2.02"/>
    <n v="1"/>
    <n v="1"/>
    <n v="1"/>
    <n v="0.88"/>
    <n v="1"/>
    <n v="0.72"/>
    <n v="1"/>
    <n v="1"/>
    <n v="1"/>
    <n v="1"/>
    <n v="1"/>
    <n v="1"/>
    <n v="1187.5035558481918"/>
    <n v="296.8764441518083"/>
    <s v="FAIL"/>
    <n v="296.8764441518083"/>
    <x v="10"/>
  </r>
  <r>
    <s v="P0915"/>
    <d v="2025-11-21T00:00:00"/>
    <s v="Collision"/>
    <s v="35-44"/>
    <n v="3"/>
    <s v="5+"/>
    <s v="No"/>
    <s v="8,500-13,499"/>
    <s v="Compton (90220)"/>
    <s v="$25,000-$44,999"/>
    <s v="Yes"/>
    <s v="No"/>
    <s v="No"/>
    <s v="No"/>
    <s v="Yes"/>
    <s v="No"/>
    <s v="Yes (Medium)"/>
    <s v="No"/>
    <s v="No"/>
    <s v="No"/>
    <s v="No"/>
    <s v="No"/>
    <s v="No"/>
    <n v="2930.7502429470724"/>
    <n v="453"/>
    <n v="1"/>
    <n v="1.22"/>
    <n v="2.4700000000000002"/>
    <n v="1"/>
    <n v="1"/>
    <n v="1.56"/>
    <n v="1.28"/>
    <n v="1.28"/>
    <n v="1"/>
    <n v="1"/>
    <n v="1"/>
    <n v="0.84"/>
    <n v="1"/>
    <n v="1"/>
    <n v="1"/>
    <n v="1"/>
    <n v="1"/>
    <n v="1"/>
    <n v="1"/>
    <n v="2930.7502429470724"/>
    <n v="0"/>
    <s v="PASS"/>
    <n v="0"/>
    <x v="0"/>
  </r>
  <r>
    <s v="P0916"/>
    <d v="2025-11-04T00:00:00"/>
    <s v="Liability"/>
    <s v="45-54"/>
    <n v="5"/>
    <n v="1"/>
    <s v="No"/>
    <s v="13,500-16,999"/>
    <s v="Santa Ana (92702)"/>
    <s v="$15,000-$24,999"/>
    <s v="No"/>
    <s v="No"/>
    <s v="No"/>
    <s v="Yes"/>
    <s v="No"/>
    <s v="Yes"/>
    <s v="No"/>
    <s v="Yes (Low)"/>
    <s v="Yes"/>
    <s v="Yes"/>
    <s v="Yes"/>
    <s v="No"/>
    <s v="No"/>
    <n v="507.03969743025613"/>
    <n v="622"/>
    <n v="1.07"/>
    <n v="1.07"/>
    <n v="1.34"/>
    <n v="1"/>
    <n v="1.18"/>
    <n v="1.02"/>
    <n v="1.08"/>
    <n v="1"/>
    <n v="1"/>
    <n v="1"/>
    <n v="0.88"/>
    <n v="1"/>
    <n v="0.61"/>
    <n v="0.92"/>
    <n v="0.89"/>
    <n v="0.93"/>
    <n v="1"/>
    <n v="1"/>
    <n v="1"/>
    <n v="507.03969743025613"/>
    <n v="0"/>
    <s v="PASS"/>
    <n v="0"/>
    <x v="0"/>
  </r>
  <r>
    <s v="P0917"/>
    <d v="2025-07-28T00:00:00"/>
    <s v="Liability"/>
    <s v="25-34"/>
    <n v="6"/>
    <s v="5+"/>
    <s v="No"/>
    <s v="8,500-13,499"/>
    <s v="Long Beach (90712)"/>
    <s v="$0-$4,999"/>
    <s v="No"/>
    <s v="No"/>
    <s v="No"/>
    <s v="Yes"/>
    <s v="No"/>
    <s v="Yes"/>
    <s v="No"/>
    <s v="Yes (Medium)"/>
    <s v="No"/>
    <s v="No"/>
    <s v="No"/>
    <s v="No"/>
    <s v="Yes"/>
    <n v="1066.6236950098328"/>
    <n v="622"/>
    <n v="1.23"/>
    <n v="1"/>
    <n v="2.4700000000000002"/>
    <n v="1"/>
    <n v="1"/>
    <n v="1.1200000000000001"/>
    <n v="0.82"/>
    <n v="1"/>
    <n v="1"/>
    <n v="1"/>
    <n v="0.88"/>
    <n v="1"/>
    <n v="0.72"/>
    <n v="1"/>
    <n v="1"/>
    <n v="1"/>
    <n v="1"/>
    <n v="0.97"/>
    <n v="1"/>
    <n v="1066.6236950098328"/>
    <n v="0"/>
    <s v="PASS"/>
    <n v="0"/>
    <x v="0"/>
  </r>
  <r>
    <s v="P0918"/>
    <d v="2025-08-15T00:00:00"/>
    <s v="Collision"/>
    <s v="65+"/>
    <n v="4"/>
    <s v="5+"/>
    <s v="No"/>
    <s v="0-4,999"/>
    <s v="Cypress (90630)"/>
    <s v="$85,000-$149,999"/>
    <s v="No"/>
    <s v="Yes"/>
    <s v="No"/>
    <s v="No"/>
    <s v="Yes"/>
    <s v="No"/>
    <s v="Yes (Low)"/>
    <s v="No"/>
    <s v="No"/>
    <s v="No"/>
    <s v="No"/>
    <s v="No"/>
    <s v="Yes"/>
    <n v="3259.6157213635224"/>
    <n v="453"/>
    <n v="1.27"/>
    <n v="1.1499999999999999"/>
    <n v="2.4700000000000002"/>
    <n v="1"/>
    <n v="0.82"/>
    <n v="1.08"/>
    <n v="2.02"/>
    <n v="1"/>
    <n v="1.21"/>
    <n v="1"/>
    <n v="1"/>
    <n v="0.95"/>
    <n v="1"/>
    <n v="1"/>
    <n v="1"/>
    <n v="1"/>
    <n v="1"/>
    <n v="0.97"/>
    <n v="1"/>
    <n v="3259.6157213635224"/>
    <n v="0"/>
    <s v="PASS"/>
    <n v="0"/>
    <x v="0"/>
  </r>
  <r>
    <s v="P0919"/>
    <d v="2025-12-21T00:00:00"/>
    <s v="Rental Car Reinbursement"/>
    <s v="45-54"/>
    <n v="5"/>
    <n v="2"/>
    <s v="Yes (High Score)"/>
    <s v="0-4,999"/>
    <s v="Orange (92705)"/>
    <s v="$0-$4,999"/>
    <s v="Yes"/>
    <s v="No"/>
    <s v="No"/>
    <s v="No"/>
    <s v="No"/>
    <s v="Yes"/>
    <s v="No"/>
    <s v="Yes (Medium)"/>
    <s v="No"/>
    <s v="No"/>
    <s v="No"/>
    <s v="No"/>
    <s v="No"/>
    <n v="29.892814664669796"/>
    <n v="41"/>
    <n v="1.07"/>
    <n v="1.07"/>
    <n v="1.55"/>
    <n v="0.65"/>
    <n v="0.82"/>
    <n v="1.02"/>
    <n v="0.82"/>
    <n v="1.28"/>
    <n v="1"/>
    <n v="1"/>
    <n v="1"/>
    <n v="1"/>
    <n v="0.72"/>
    <n v="1"/>
    <n v="1"/>
    <n v="1"/>
    <n v="1"/>
    <n v="1"/>
    <n v="1"/>
    <n v="29.892814664669796"/>
    <n v="0"/>
    <s v="PASS"/>
    <n v="0"/>
    <x v="0"/>
  </r>
  <r>
    <s v="P0920"/>
    <d v="2025-12-02T00:00:00"/>
    <s v="Liability"/>
    <s v="55-64"/>
    <n v="7"/>
    <n v="1"/>
    <s v="Yes (Medium Score)"/>
    <s v="0-4,999"/>
    <s v="Koreatown (90006)"/>
    <s v="$15,000-$24,999"/>
    <s v="No"/>
    <s v="No"/>
    <s v="No"/>
    <s v="No"/>
    <s v="No"/>
    <s v="Yes"/>
    <s v="No"/>
    <s v="Yes (High)"/>
    <s v="No"/>
    <s v="Yes"/>
    <s v="No"/>
    <s v="Yes"/>
    <s v="No"/>
    <n v="534.25294212825156"/>
    <n v="622"/>
    <n v="1.1200000000000001"/>
    <n v="0.95"/>
    <n v="1.34"/>
    <n v="0.8"/>
    <n v="0.82"/>
    <n v="1.21"/>
    <n v="1.08"/>
    <n v="1"/>
    <n v="1"/>
    <n v="1"/>
    <n v="1"/>
    <n v="1"/>
    <n v="0.84"/>
    <n v="1"/>
    <n v="0.89"/>
    <n v="1"/>
    <n v="0.94"/>
    <n v="1"/>
    <n v="1"/>
    <n v="534.25294212825156"/>
    <n v="0"/>
    <s v="PASS"/>
    <n v="0"/>
    <x v="0"/>
  </r>
  <r>
    <s v="P0921"/>
    <d v="2026-01-04T00:00:00"/>
    <s v="Liability"/>
    <s v="65+"/>
    <n v="5"/>
    <n v="1"/>
    <s v="No"/>
    <s v="13,500-16,999"/>
    <s v="Koreatown (90006)"/>
    <s v="$0-$4,999"/>
    <s v="No"/>
    <s v="Yes"/>
    <s v="Yes"/>
    <s v="No"/>
    <s v="No"/>
    <s v="Yes"/>
    <s v="No"/>
    <s v="Yes (Medium)"/>
    <s v="No"/>
    <s v="Yes"/>
    <s v="No"/>
    <s v="No"/>
    <s v="Yes"/>
    <n v="1226.3300598986896"/>
    <n v="622"/>
    <n v="1.27"/>
    <n v="1.07"/>
    <n v="1.34"/>
    <n v="1"/>
    <n v="1.18"/>
    <n v="1.21"/>
    <n v="0.82"/>
    <n v="1"/>
    <n v="1.21"/>
    <n v="1.1599999999999999"/>
    <n v="1"/>
    <n v="1"/>
    <n v="0.72"/>
    <n v="1"/>
    <n v="0.89"/>
    <n v="1"/>
    <n v="1"/>
    <n v="0.97"/>
    <n v="1.06"/>
    <n v="1226.3300598986896"/>
    <n v="0"/>
    <s v="PASS"/>
    <n v="0"/>
    <x v="0"/>
  </r>
  <r>
    <s v="P0922"/>
    <d v="2025-12-18T00:00:00"/>
    <s v="Collision"/>
    <s v="45-54"/>
    <n v="2"/>
    <n v="4"/>
    <s v="Yes (Medium Score)"/>
    <s v="13,500-16,999"/>
    <s v="Santa Monica (90401)"/>
    <s v="$0-$4,999"/>
    <s v="No"/>
    <s v="No"/>
    <s v="No"/>
    <s v="Yes"/>
    <s v="Yes"/>
    <s v="No"/>
    <s v="Yes (Medium)"/>
    <s v="No"/>
    <s v="No"/>
    <s v="No"/>
    <s v="Yes"/>
    <s v="No"/>
    <s v="No"/>
    <n v="894.38744870303913"/>
    <n v="453"/>
    <n v="1.07"/>
    <n v="1.41"/>
    <n v="2.12"/>
    <n v="0.8"/>
    <n v="1.18"/>
    <n v="1.1599999999999999"/>
    <n v="0.82"/>
    <n v="1"/>
    <n v="1"/>
    <n v="1"/>
    <n v="0.88"/>
    <n v="0.84"/>
    <n v="1"/>
    <n v="1"/>
    <n v="1"/>
    <n v="0.93"/>
    <n v="1"/>
    <n v="1"/>
    <n v="1"/>
    <n v="894.38744870303913"/>
    <n v="0"/>
    <s v="PASS"/>
    <n v="0"/>
    <x v="0"/>
  </r>
  <r>
    <s v="P0923"/>
    <d v="2025-08-30T00:00:00"/>
    <s v="Comprehensive"/>
    <s v="55-64"/>
    <n v="5"/>
    <n v="2"/>
    <s v="Yes (High Score)"/>
    <s v="8,500-13,499"/>
    <s v="Compton (90220)"/>
    <s v="$45,000-$84,999"/>
    <s v="No"/>
    <s v="No"/>
    <s v="No"/>
    <s v="No"/>
    <s v="Yes"/>
    <s v="No"/>
    <s v="Yes (Low)"/>
    <s v="No"/>
    <s v="No"/>
    <s v="Yes"/>
    <s v="No"/>
    <s v="No"/>
    <s v="No"/>
    <n v="302.53114298687285"/>
    <n v="121"/>
    <n v="1.1200000000000001"/>
    <n v="1.07"/>
    <n v="1.55"/>
    <n v="0.65"/>
    <n v="1"/>
    <n v="1.56"/>
    <n v="1.57"/>
    <n v="1"/>
    <n v="1"/>
    <n v="1"/>
    <n v="1"/>
    <n v="0.95"/>
    <n v="1"/>
    <n v="1"/>
    <n v="0.89"/>
    <n v="1"/>
    <n v="1"/>
    <n v="1"/>
    <n v="1"/>
    <n v="302.53114298687285"/>
    <n v="0"/>
    <s v="PASS"/>
    <n v="0"/>
    <x v="0"/>
  </r>
  <r>
    <s v="P0924"/>
    <d v="2025-05-19T00:00:00"/>
    <s v="Liability"/>
    <s v="25-34"/>
    <n v="1"/>
    <n v="0"/>
    <s v="Yes (Low Score)"/>
    <s v="0-4,999"/>
    <s v="Santa Ana (92702)"/>
    <s v="$5,000-$14,999"/>
    <s v="Yes"/>
    <s v="No"/>
    <s v="Yes"/>
    <s v="Yes"/>
    <s v="No"/>
    <s v="Yes"/>
    <s v="No"/>
    <s v="Yes (High)"/>
    <s v="Yes"/>
    <s v="No"/>
    <s v="No"/>
    <s v="Yes"/>
    <s v="No"/>
    <n v="917.89775130622741"/>
    <n v="622"/>
    <n v="1.23"/>
    <n v="1.64"/>
    <n v="1"/>
    <n v="0.95"/>
    <n v="0.82"/>
    <n v="1.02"/>
    <n v="0.97"/>
    <n v="1.28"/>
    <n v="1"/>
    <n v="1.1599999999999999"/>
    <n v="0.88"/>
    <n v="1"/>
    <n v="0.84"/>
    <n v="0.92"/>
    <n v="1"/>
    <n v="1"/>
    <n v="0.94"/>
    <n v="1"/>
    <n v="1"/>
    <n v="917.89775130622741"/>
    <n v="0"/>
    <s v="PASS"/>
    <n v="0"/>
    <x v="0"/>
  </r>
  <r>
    <s v="P0925"/>
    <d v="2025-06-27T00:00:00"/>
    <s v="Collision"/>
    <s v="16-24"/>
    <n v="7"/>
    <n v="0"/>
    <s v="Yes (High Score)"/>
    <s v="5,000-8,499"/>
    <s v="Beverly Hills (90035)"/>
    <s v="$85,000-$149,999"/>
    <s v="No"/>
    <s v="No"/>
    <s v="Yes"/>
    <s v="No"/>
    <s v="Yes"/>
    <s v="No"/>
    <s v="Yes (Medium)"/>
    <s v="No"/>
    <s v="No"/>
    <s v="Yes"/>
    <s v="No"/>
    <s v="No"/>
    <s v="No"/>
    <n v="727.87376359508698"/>
    <n v="453"/>
    <n v="1.32"/>
    <n v="0.95"/>
    <n v="1"/>
    <n v="0.65"/>
    <n v="0.93"/>
    <n v="1.21"/>
    <n v="2.02"/>
    <n v="1"/>
    <n v="1"/>
    <n v="1.1599999999999999"/>
    <n v="1"/>
    <n v="0.84"/>
    <n v="1"/>
    <n v="1"/>
    <n v="0.89"/>
    <n v="1"/>
    <n v="1"/>
    <n v="1"/>
    <n v="1"/>
    <n v="727.87376359508698"/>
    <n v="0"/>
    <s v="PASS"/>
    <n v="0"/>
    <x v="0"/>
  </r>
  <r>
    <s v="P0926"/>
    <d v="2025-08-15T00:00:00"/>
    <s v="Liability"/>
    <s v="45-54"/>
    <n v="1"/>
    <n v="1"/>
    <s v="No"/>
    <s v="8,500-13,499"/>
    <s v="Fountain Valley (92708)"/>
    <s v="$25,000-$44,999"/>
    <s v="No"/>
    <s v="No"/>
    <s v="No"/>
    <s v="No"/>
    <s v="No"/>
    <s v="Yes"/>
    <s v="No"/>
    <s v="Yes (High)"/>
    <s v="No"/>
    <s v="No"/>
    <s v="No"/>
    <s v="No"/>
    <s v="No"/>
    <n v="1808.4641536819197"/>
    <n v="622"/>
    <n v="1.07"/>
    <n v="1.64"/>
    <n v="1.34"/>
    <n v="1"/>
    <n v="1"/>
    <n v="1.1499999999999999"/>
    <n v="1.28"/>
    <n v="1"/>
    <n v="1"/>
    <n v="1"/>
    <n v="1"/>
    <n v="1"/>
    <n v="0.84"/>
    <n v="1"/>
    <n v="1"/>
    <n v="1"/>
    <n v="1"/>
    <n v="1"/>
    <n v="1"/>
    <n v="1808.4641536819197"/>
    <n v="0"/>
    <s v="PASS"/>
    <n v="0"/>
    <x v="0"/>
  </r>
  <r>
    <s v="P0927"/>
    <d v="2025-10-03T00:00:00"/>
    <s v="Liability"/>
    <s v="16-24"/>
    <n v="3"/>
    <n v="0"/>
    <s v="No"/>
    <s v="0-4,999"/>
    <s v="Westminster (92655)"/>
    <s v="$85,000-$149,999"/>
    <s v="No"/>
    <s v="No"/>
    <s v="No"/>
    <s v="Yes"/>
    <s v="No"/>
    <s v="Yes"/>
    <s v="No"/>
    <s v="Yes (Medium)"/>
    <s v="No"/>
    <s v="No"/>
    <s v="No"/>
    <s v="No"/>
    <s v="No"/>
    <n v="1145.8586166817997"/>
    <n v="622"/>
    <n v="1.32"/>
    <n v="1.22"/>
    <n v="1"/>
    <n v="1"/>
    <n v="0.82"/>
    <n v="1.0900000000000001"/>
    <n v="2.02"/>
    <n v="1"/>
    <n v="1"/>
    <n v="1"/>
    <n v="0.88"/>
    <n v="1"/>
    <n v="0.72"/>
    <n v="1"/>
    <n v="1"/>
    <n v="1"/>
    <n v="1"/>
    <n v="1"/>
    <n v="1"/>
    <n v="1145.8586166817997"/>
    <n v="0"/>
    <s v="PASS"/>
    <n v="0"/>
    <x v="0"/>
  </r>
  <r>
    <s v="P0928"/>
    <d v="2025-05-17T00:00:00"/>
    <s v="Collision"/>
    <s v="35-44"/>
    <n v="3"/>
    <n v="0"/>
    <s v="Yes (High Score)"/>
    <s v="5,000-8,499"/>
    <s v="West Hollywood (90046)"/>
    <s v="$25,000-$44,999"/>
    <s v="No"/>
    <s v="No"/>
    <s v="No"/>
    <s v="Yes"/>
    <s v="Yes"/>
    <s v="No"/>
    <s v="Yes (High)"/>
    <s v="No"/>
    <s v="No"/>
    <s v="No"/>
    <s v="No"/>
    <s v="No"/>
    <s v="No"/>
    <n v="319.71387437383675"/>
    <n v="453"/>
    <n v="1"/>
    <n v="1.22"/>
    <n v="1"/>
    <n v="0.65"/>
    <n v="0.93"/>
    <n v="1.18"/>
    <n v="1.28"/>
    <n v="1"/>
    <n v="1"/>
    <n v="1"/>
    <n v="0.88"/>
    <n v="0.72"/>
    <n v="1"/>
    <n v="1"/>
    <n v="1"/>
    <n v="1"/>
    <n v="1"/>
    <n v="1"/>
    <n v="1"/>
    <n v="319.71387437383675"/>
    <n v="0"/>
    <s v="PASS"/>
    <n v="0"/>
    <x v="0"/>
  </r>
  <r>
    <s v="P0929"/>
    <d v="2026-02-18T00:00:00"/>
    <s v="Comprehensive"/>
    <s v="35-44"/>
    <n v="2"/>
    <n v="1"/>
    <s v="No"/>
    <s v="0-4,999"/>
    <s v="Huntington Beach (90742)"/>
    <s v="$5,000-$14,999"/>
    <s v="No"/>
    <s v="No"/>
    <s v="Yes"/>
    <s v="Yes"/>
    <s v="Yes"/>
    <s v="No"/>
    <s v="Yes (Medium)"/>
    <s v="No"/>
    <s v="No"/>
    <s v="Yes"/>
    <s v="Yes"/>
    <s v="No"/>
    <s v="No"/>
    <n v="134.06632710973716"/>
    <n v="121"/>
    <n v="1"/>
    <n v="1.41"/>
    <n v="1.34"/>
    <n v="1"/>
    <n v="0.82"/>
    <n v="0.98"/>
    <n v="0.97"/>
    <n v="1"/>
    <n v="1"/>
    <n v="1.1599999999999999"/>
    <n v="0.88"/>
    <n v="0.84"/>
    <n v="1"/>
    <n v="1"/>
    <n v="0.89"/>
    <n v="0.93"/>
    <n v="1"/>
    <n v="1"/>
    <n v="1.06"/>
    <n v="134.06632710973716"/>
    <n v="0"/>
    <s v="PASS"/>
    <n v="0"/>
    <x v="0"/>
  </r>
  <r>
    <s v="P0930"/>
    <d v="2025-07-01T00:00:00"/>
    <s v="Liability"/>
    <s v="35-44"/>
    <s v="8+"/>
    <n v="1"/>
    <s v="Yes (Medium Score)"/>
    <s v="8,500-13,499"/>
    <s v="Fullerton (92832)"/>
    <s v="$25,000-$44,999"/>
    <s v="No"/>
    <s v="Yes"/>
    <s v="No"/>
    <s v="No"/>
    <s v="No"/>
    <s v="Yes"/>
    <s v="No"/>
    <s v="Yes (Medium)"/>
    <s v="No"/>
    <s v="No"/>
    <s v="No"/>
    <s v="No"/>
    <s v="No"/>
    <n v="774.48672407715844"/>
    <n v="622"/>
    <n v="1"/>
    <n v="0.93"/>
    <n v="1.34"/>
    <n v="0.8"/>
    <n v="1"/>
    <n v="1.1200000000000001"/>
    <n v="1.28"/>
    <n v="1"/>
    <n v="1.21"/>
    <n v="1"/>
    <n v="1"/>
    <n v="1"/>
    <n v="0.72"/>
    <n v="1"/>
    <n v="1"/>
    <n v="1"/>
    <n v="1"/>
    <n v="1"/>
    <n v="1"/>
    <n v="774.48672407715844"/>
    <n v="0"/>
    <s v="PASS"/>
    <n v="0"/>
    <x v="0"/>
  </r>
  <r>
    <s v="P0931"/>
    <d v="2025-09-01T00:00:00"/>
    <s v="Rental Car Reinbursement"/>
    <s v="55-64"/>
    <n v="3"/>
    <n v="1"/>
    <s v="No"/>
    <s v="8,500-13,499"/>
    <s v="Newport Beach (92603)"/>
    <s v="$25,000-$44,999"/>
    <s v="No"/>
    <s v="Yes"/>
    <s v="No"/>
    <s v="No"/>
    <s v="No"/>
    <s v="Yes"/>
    <s v="No"/>
    <s v="Yes (Medium)"/>
    <s v="No"/>
    <s v="Yes"/>
    <s v="Yes"/>
    <s v="No"/>
    <s v="No"/>
    <n v="65.132110892312681"/>
    <n v="41"/>
    <n v="1.1200000000000001"/>
    <n v="1.22"/>
    <n v="1.34"/>
    <n v="1"/>
    <n v="1"/>
    <n v="0.94"/>
    <n v="1.28"/>
    <n v="1"/>
    <n v="1.21"/>
    <n v="1"/>
    <n v="1"/>
    <n v="1"/>
    <n v="0.72"/>
    <n v="1"/>
    <n v="0.89"/>
    <n v="0.93"/>
    <n v="1"/>
    <n v="1"/>
    <n v="1"/>
    <n v="65.132110892312681"/>
    <n v="0"/>
    <s v="PASS"/>
    <n v="0"/>
    <x v="0"/>
  </r>
  <r>
    <s v="P0932"/>
    <d v="2025-12-16T00:00:00"/>
    <s v="Collision"/>
    <s v="25-34"/>
    <n v="1"/>
    <s v="5+"/>
    <s v="No"/>
    <s v="8,500-13,499"/>
    <s v="DTLA (90012)"/>
    <s v="$85,000-$149,999"/>
    <s v="No"/>
    <s v="Yes"/>
    <s v="No"/>
    <s v="No"/>
    <s v="Yes"/>
    <s v="No"/>
    <s v="Yes (High)"/>
    <s v="No"/>
    <s v="Yes"/>
    <s v="Yes"/>
    <s v="No"/>
    <s v="Yes"/>
    <s v="Yes"/>
    <n v="3736.4684363795855"/>
    <n v="453"/>
    <n v="1.23"/>
    <n v="1.64"/>
    <n v="2.4700000000000002"/>
    <n v="1"/>
    <n v="1"/>
    <n v="1.26"/>
    <n v="2.02"/>
    <n v="1"/>
    <n v="1.21"/>
    <n v="1"/>
    <n v="1"/>
    <n v="0.72"/>
    <n v="1"/>
    <n v="0.92"/>
    <n v="0.89"/>
    <n v="1"/>
    <n v="0.94"/>
    <n v="0.97"/>
    <n v="1"/>
    <n v="3736.4684363795855"/>
    <n v="0"/>
    <s v="PASS"/>
    <n v="0"/>
    <x v="0"/>
  </r>
  <r>
    <s v="P0933"/>
    <d v="2026-04-01T00:00:00"/>
    <s v="Rental Car Reinbursement"/>
    <s v="45-54"/>
    <n v="2"/>
    <n v="3"/>
    <s v="Yes (Medium Score)"/>
    <s v="5,000-8,499"/>
    <s v="Fountain Valley (92708)"/>
    <s v="$45,000-$84,999"/>
    <s v="No"/>
    <s v="No"/>
    <s v="No"/>
    <s v="No"/>
    <s v="No"/>
    <s v="Yes"/>
    <s v="No"/>
    <s v="Yes (High)"/>
    <s v="No"/>
    <s v="No"/>
    <s v="No"/>
    <s v="No"/>
    <s v="No"/>
    <n v="134.65228098558342"/>
    <n v="41"/>
    <n v="1.07"/>
    <n v="1.41"/>
    <n v="1.82"/>
    <n v="0.8"/>
    <n v="0.93"/>
    <n v="1.1499999999999999"/>
    <n v="1.57"/>
    <n v="1"/>
    <n v="1"/>
    <n v="1"/>
    <n v="1"/>
    <n v="1"/>
    <n v="0.84"/>
    <n v="1"/>
    <n v="1"/>
    <n v="1"/>
    <n v="1"/>
    <n v="1"/>
    <n v="1.06"/>
    <n v="134.65228098558342"/>
    <n v="0"/>
    <s v="PASS"/>
    <n v="0"/>
    <x v="0"/>
  </r>
  <r>
    <s v="P0934"/>
    <d v="2025-05-02T00:00:00"/>
    <s v="Liability"/>
    <s v="65+"/>
    <n v="3"/>
    <n v="1"/>
    <s v="Yes (High Score)"/>
    <s v="13,500-16,999"/>
    <s v="Lake Forrest (92609)"/>
    <s v="$150,000+"/>
    <s v="No"/>
    <s v="No"/>
    <s v="No"/>
    <s v="No"/>
    <s v="No"/>
    <s v="Yes"/>
    <s v="No"/>
    <s v="Yes (Low)"/>
    <s v="No"/>
    <s v="Yes"/>
    <s v="No"/>
    <s v="No"/>
    <s v="Yes"/>
    <n v="1422.1688977958986"/>
    <n v="622"/>
    <n v="1.27"/>
    <n v="1.22"/>
    <n v="1.34"/>
    <n v="0.65"/>
    <n v="1.18"/>
    <n v="0.95"/>
    <n v="2.87"/>
    <n v="1"/>
    <n v="1"/>
    <n v="1"/>
    <n v="1"/>
    <n v="1"/>
    <n v="0.61"/>
    <n v="1"/>
    <n v="0.89"/>
    <n v="1"/>
    <n v="1"/>
    <n v="0.97"/>
    <n v="1"/>
    <n v="1422.1688977958986"/>
    <n v="0"/>
    <s v="PASS"/>
    <n v="0"/>
    <x v="0"/>
  </r>
  <r>
    <s v="P0935"/>
    <d v="2026-02-18T00:00:00"/>
    <s v="Rental Car Reinbursement"/>
    <s v="55-64"/>
    <n v="6"/>
    <n v="4"/>
    <s v="No"/>
    <s v="0-4,999"/>
    <s v="Santa Monica (90401)"/>
    <s v="$25,000-$44,999"/>
    <s v="No"/>
    <s v="No"/>
    <s v="Yes"/>
    <s v="No"/>
    <s v="No"/>
    <s v="Yes"/>
    <s v="No"/>
    <s v="Yes (High)"/>
    <s v="No"/>
    <s v="Yes"/>
    <s v="No"/>
    <s v="Yes"/>
    <s v="Yes"/>
    <n v="99.346434855647288"/>
    <n v="41"/>
    <n v="1.1200000000000001"/>
    <n v="1"/>
    <n v="2.12"/>
    <n v="1"/>
    <n v="0.82"/>
    <n v="1.1599999999999999"/>
    <n v="1.28"/>
    <n v="1"/>
    <n v="1"/>
    <n v="1.1599999999999999"/>
    <n v="1"/>
    <n v="1"/>
    <n v="0.84"/>
    <n v="1"/>
    <n v="0.89"/>
    <n v="1"/>
    <n v="0.94"/>
    <n v="0.97"/>
    <n v="1.06"/>
    <n v="99.346434855647288"/>
    <n v="0"/>
    <s v="PASS"/>
    <n v="0"/>
    <x v="0"/>
  </r>
  <r>
    <s v="P0936"/>
    <d v="2025-12-01T00:00:00"/>
    <s v="Collision"/>
    <s v="16-24"/>
    <n v="4"/>
    <n v="4"/>
    <s v="Yes (Medium Score)"/>
    <s v="13,500-16,999"/>
    <s v="Cypress (90630)"/>
    <s v="$45,000-$84,999"/>
    <s v="No"/>
    <s v="No"/>
    <s v="No"/>
    <s v="Yes"/>
    <s v="Yes"/>
    <s v="No"/>
    <s v="Yes (High)"/>
    <s v="No"/>
    <s v="No"/>
    <s v="No"/>
    <s v="Yes"/>
    <s v="Yes"/>
    <s v="No"/>
    <n v="1292.4900469904285"/>
    <n v="453"/>
    <n v="1.32"/>
    <n v="1.1499999999999999"/>
    <n v="2.12"/>
    <n v="0.8"/>
    <n v="1.18"/>
    <n v="1.08"/>
    <n v="1.57"/>
    <n v="1"/>
    <n v="1"/>
    <n v="1"/>
    <n v="0.88"/>
    <n v="0.72"/>
    <n v="1"/>
    <n v="1"/>
    <n v="1"/>
    <n v="0.93"/>
    <n v="0.94"/>
    <n v="1"/>
    <n v="1"/>
    <n v="1292.4900469904285"/>
    <n v="0"/>
    <s v="PASS"/>
    <n v="0"/>
    <x v="0"/>
  </r>
  <r>
    <s v="P0937"/>
    <d v="2026-02-10T00:00:00"/>
    <s v="Collision"/>
    <s v="55-64"/>
    <n v="6"/>
    <n v="4"/>
    <s v="No"/>
    <s v="17,000+"/>
    <s v="Silverlake (90026 )"/>
    <s v="$25,000-$44,999"/>
    <s v="No"/>
    <s v="No"/>
    <s v="No"/>
    <s v="Yes"/>
    <s v="Yes"/>
    <s v="No"/>
    <s v="Yes (High)"/>
    <s v="No"/>
    <s v="Yes"/>
    <s v="No"/>
    <s v="No"/>
    <s v="No"/>
    <s v="Yes"/>
    <n v="1253.9260810885739"/>
    <n v="453"/>
    <n v="1.1200000000000001"/>
    <n v="1"/>
    <n v="2.12"/>
    <n v="1"/>
    <n v="1.31"/>
    <n v="1.1599999999999999"/>
    <n v="1.28"/>
    <n v="1"/>
    <n v="1"/>
    <n v="1"/>
    <n v="0.88"/>
    <n v="0.72"/>
    <n v="1"/>
    <n v="0.92"/>
    <n v="1"/>
    <n v="1"/>
    <n v="1"/>
    <n v="0.97"/>
    <n v="1.06"/>
    <n v="1253.9260810885739"/>
    <n v="0"/>
    <s v="PASS"/>
    <n v="0"/>
    <x v="0"/>
  </r>
  <r>
    <s v="P0938"/>
    <d v="2025-12-06T00:00:00"/>
    <s v="Liability"/>
    <s v="45-54"/>
    <n v="3"/>
    <n v="1"/>
    <s v="Yes (Medium Score)"/>
    <s v="17,000+"/>
    <s v="Fullerton (92832)"/>
    <s v="$25,000-$44,999"/>
    <s v="Yes"/>
    <s v="No"/>
    <s v="No"/>
    <s v="Yes"/>
    <s v="No"/>
    <s v="Yes"/>
    <s v="No"/>
    <s v="Yes (Medium)"/>
    <s v="Yes"/>
    <s v="No"/>
    <s v="No"/>
    <s v="No"/>
    <s v="No"/>
    <n v="1219.6663217667117"/>
    <n v="622"/>
    <n v="1.07"/>
    <n v="1.22"/>
    <n v="1.34"/>
    <n v="0.8"/>
    <n v="1.31"/>
    <n v="1.1200000000000001"/>
    <n v="1.28"/>
    <n v="1.28"/>
    <n v="1"/>
    <n v="1"/>
    <n v="0.88"/>
    <n v="1"/>
    <n v="0.72"/>
    <n v="0.92"/>
    <n v="1"/>
    <n v="1"/>
    <n v="1"/>
    <n v="1"/>
    <n v="1"/>
    <n v="1219.6663217667117"/>
    <n v="0"/>
    <s v="PASS"/>
    <n v="0"/>
    <x v="0"/>
  </r>
  <r>
    <s v="P0939"/>
    <d v="2025-08-12T00:00:00"/>
    <s v="Collision"/>
    <s v="16-24"/>
    <n v="1"/>
    <n v="1"/>
    <s v="Yes (Low Score)"/>
    <s v="5,000-8,499"/>
    <s v="Silverlake (90026 )"/>
    <s v="$150,000+"/>
    <s v="No"/>
    <s v="No"/>
    <s v="No"/>
    <s v="No"/>
    <s v="Yes"/>
    <s v="No"/>
    <s v="Yes (High)"/>
    <s v="No"/>
    <s v="No"/>
    <s v="Yes"/>
    <s v="No"/>
    <s v="No"/>
    <s v="No"/>
    <n v="2607.15"/>
    <n v="453"/>
    <n v="1.32"/>
    <n v="1.64"/>
    <n v="1.34"/>
    <n v="0.95"/>
    <n v="0.93"/>
    <n v="1.1599999999999999"/>
    <n v="2.87"/>
    <n v="1"/>
    <n v="1"/>
    <n v="1"/>
    <n v="1"/>
    <n v="0.72"/>
    <n v="1"/>
    <n v="1"/>
    <n v="0.89"/>
    <n v="1"/>
    <n v="1"/>
    <n v="1"/>
    <n v="1"/>
    <n v="2476.7930623053285"/>
    <n v="130.35693769467161"/>
    <s v="FAIL"/>
    <n v="130.35693769467161"/>
    <x v="10"/>
  </r>
  <r>
    <s v="P0940"/>
    <d v="2025-08-31T00:00:00"/>
    <s v="Collision"/>
    <s v="45-54"/>
    <s v="8+"/>
    <n v="0"/>
    <s v="Yes (Medium Score)"/>
    <s v="0-4,999"/>
    <s v="Lake Forrest (92609)"/>
    <s v="$5,000-$14,999"/>
    <s v="No"/>
    <s v="No"/>
    <s v="Yes"/>
    <s v="Yes"/>
    <s v="Yes"/>
    <s v="No"/>
    <s v="Yes (Low)"/>
    <s v="No"/>
    <s v="Yes"/>
    <s v="Yes"/>
    <s v="No"/>
    <s v="No"/>
    <s v="No"/>
    <n v="216.37456503068253"/>
    <n v="453"/>
    <n v="1.07"/>
    <n v="0.93"/>
    <n v="1"/>
    <n v="0.8"/>
    <n v="0.82"/>
    <n v="0.95"/>
    <n v="0.97"/>
    <n v="1"/>
    <n v="1"/>
    <n v="1.1599999999999999"/>
    <n v="0.88"/>
    <n v="0.95"/>
    <n v="1"/>
    <n v="0.92"/>
    <n v="0.89"/>
    <n v="1"/>
    <n v="1"/>
    <n v="1"/>
    <n v="1"/>
    <n v="216.37456503068253"/>
    <n v="0"/>
    <s v="PASS"/>
    <n v="0"/>
    <x v="0"/>
  </r>
  <r>
    <s v="P0941"/>
    <d v="2025-07-22T00:00:00"/>
    <s v="Collision"/>
    <s v="25-34"/>
    <n v="4"/>
    <n v="2"/>
    <s v="No"/>
    <s v="0-4,999"/>
    <s v="West Hollywood (90046)"/>
    <s v="$15,000-$24,999"/>
    <s v="No"/>
    <s v="No"/>
    <s v="Yes"/>
    <s v="No"/>
    <s v="Yes"/>
    <s v="No"/>
    <s v="Yes (High)"/>
    <s v="No"/>
    <s v="No"/>
    <s v="Yes"/>
    <s v="Yes"/>
    <s v="No"/>
    <s v="No"/>
    <n v="717.49009174155367"/>
    <n v="453"/>
    <n v="1.23"/>
    <n v="1.1499999999999999"/>
    <n v="1.55"/>
    <n v="1"/>
    <n v="0.82"/>
    <n v="1.18"/>
    <n v="1.08"/>
    <n v="1"/>
    <n v="1"/>
    <n v="1.1599999999999999"/>
    <n v="1"/>
    <n v="0.72"/>
    <n v="1"/>
    <n v="1"/>
    <n v="0.89"/>
    <n v="0.93"/>
    <n v="1"/>
    <n v="1"/>
    <n v="1"/>
    <n v="717.49009174155367"/>
    <n v="0"/>
    <s v="PASS"/>
    <n v="0"/>
    <x v="0"/>
  </r>
  <r>
    <s v="P0942"/>
    <d v="2026-04-16T00:00:00"/>
    <s v="Rental Car Reinbursement"/>
    <s v="65+"/>
    <n v="4"/>
    <n v="1"/>
    <s v="No"/>
    <s v="0-4,999"/>
    <s v="Irvine (92602)"/>
    <s v="$0-$4,999"/>
    <s v="No"/>
    <s v="Yes"/>
    <s v="No"/>
    <s v="No"/>
    <s v="No"/>
    <s v="Yes"/>
    <s v="No"/>
    <s v="Yes (Medium)"/>
    <s v="No"/>
    <s v="No"/>
    <s v="No"/>
    <s v="No"/>
    <s v="No"/>
    <n v="54.308542937641917"/>
    <n v="41"/>
    <n v="1.27"/>
    <n v="1.1499999999999999"/>
    <n v="1.34"/>
    <n v="1"/>
    <n v="0.82"/>
    <n v="1.0900000000000001"/>
    <n v="0.82"/>
    <n v="1"/>
    <n v="1.21"/>
    <n v="1"/>
    <n v="1"/>
    <n v="1"/>
    <n v="0.72"/>
    <n v="1"/>
    <n v="1"/>
    <n v="1"/>
    <n v="1"/>
    <n v="1"/>
    <n v="1.06"/>
    <n v="54.308542937641917"/>
    <n v="0"/>
    <s v="PASS"/>
    <n v="0"/>
    <x v="0"/>
  </r>
  <r>
    <s v="P0943"/>
    <d v="2025-08-07T00:00:00"/>
    <s v="Uninsured Motorist"/>
    <s v="55-64"/>
    <n v="6"/>
    <n v="0"/>
    <s v="Yes (Medium Score)"/>
    <s v="0-4,999"/>
    <s v="Santa Monica (90401)"/>
    <s v="$45,000-$84,999"/>
    <s v="No"/>
    <s v="No"/>
    <s v="No"/>
    <s v="Yes"/>
    <s v="No"/>
    <s v="Yes"/>
    <s v="No"/>
    <s v="Yes (Low)"/>
    <s v="No"/>
    <s v="No"/>
    <s v="No"/>
    <s v="No"/>
    <s v="No"/>
    <n v="56.025612548505613"/>
    <n v="78"/>
    <n v="1.1200000000000001"/>
    <n v="1"/>
    <n v="1"/>
    <n v="0.8"/>
    <n v="0.82"/>
    <n v="1.1599999999999999"/>
    <n v="1.57"/>
    <n v="1"/>
    <n v="1"/>
    <n v="1"/>
    <n v="0.88"/>
    <n v="1"/>
    <n v="0.61"/>
    <n v="1"/>
    <n v="1"/>
    <n v="1"/>
    <n v="1"/>
    <n v="1"/>
    <n v="1"/>
    <n v="56.025612548505613"/>
    <n v="0"/>
    <s v="PASS"/>
    <n v="0"/>
    <x v="0"/>
  </r>
  <r>
    <s v="P0944"/>
    <d v="2025-09-10T00:00:00"/>
    <s v="Collision"/>
    <s v="65+"/>
    <n v="5"/>
    <n v="1"/>
    <s v="Yes (High Score)"/>
    <s v="13,500-16,999"/>
    <s v="Fullerton (92832)"/>
    <s v="$150,000+"/>
    <s v="Yes"/>
    <s v="No"/>
    <s v="No"/>
    <s v="Yes"/>
    <s v="Yes"/>
    <s v="No"/>
    <s v="Yes (Medium)"/>
    <s v="No"/>
    <s v="No"/>
    <s v="Yes"/>
    <s v="Yes"/>
    <s v="No"/>
    <s v="Yes"/>
    <n v="1544.9072088866458"/>
    <n v="453"/>
    <n v="1.27"/>
    <n v="1.07"/>
    <n v="1.34"/>
    <n v="0.65"/>
    <n v="1.18"/>
    <n v="1.1200000000000001"/>
    <n v="2.87"/>
    <n v="1.28"/>
    <n v="1"/>
    <n v="1"/>
    <n v="0.88"/>
    <n v="0.84"/>
    <n v="1"/>
    <n v="1"/>
    <n v="0.89"/>
    <n v="0.93"/>
    <n v="1"/>
    <n v="0.97"/>
    <n v="1"/>
    <n v="1544.9072088866458"/>
    <n v="0"/>
    <s v="PASS"/>
    <n v="0"/>
    <x v="0"/>
  </r>
  <r>
    <s v="P0945"/>
    <d v="2026-03-04T00:00:00"/>
    <s v="Liability"/>
    <s v="16-24"/>
    <s v="8+"/>
    <n v="1"/>
    <s v="Yes (Medium Score)"/>
    <s v="13,500-16,999"/>
    <s v="Fullerton (92832)"/>
    <s v="$85,000-$149,999"/>
    <s v="No"/>
    <s v="No"/>
    <s v="No"/>
    <s v="No"/>
    <s v="No"/>
    <s v="Yes"/>
    <s v="No"/>
    <s v="Yes (High)"/>
    <s v="No"/>
    <s v="Yes"/>
    <s v="No"/>
    <s v="No"/>
    <s v="No"/>
    <n v="1731.6838521703153"/>
    <n v="622"/>
    <n v="1.32"/>
    <n v="0.93"/>
    <n v="1.34"/>
    <n v="0.8"/>
    <n v="1.18"/>
    <n v="1.1200000000000001"/>
    <n v="2.02"/>
    <n v="1"/>
    <n v="1"/>
    <n v="1"/>
    <n v="1"/>
    <n v="1"/>
    <n v="0.84"/>
    <n v="1"/>
    <n v="0.89"/>
    <n v="1"/>
    <n v="1"/>
    <n v="1"/>
    <n v="1.06"/>
    <n v="1731.6838521703153"/>
    <n v="0"/>
    <s v="PASS"/>
    <n v="0"/>
    <x v="0"/>
  </r>
  <r>
    <s v="P0946"/>
    <d v="2026-03-13T00:00:00"/>
    <s v="Collision"/>
    <s v="45-54"/>
    <s v="8+"/>
    <n v="3"/>
    <s v="No"/>
    <s v="5,000-8,499"/>
    <s v="Lake Forrest (92609)"/>
    <s v="$45,000-$84,999"/>
    <s v="No"/>
    <s v="No"/>
    <s v="No"/>
    <s v="No"/>
    <s v="Yes"/>
    <s v="No"/>
    <s v="Yes (Medium)"/>
    <s v="No"/>
    <s v="No"/>
    <s v="No"/>
    <s v="No"/>
    <s v="No"/>
    <s v="No"/>
    <n v="1013.2758076230908"/>
    <n v="453"/>
    <n v="1.07"/>
    <n v="0.93"/>
    <n v="1.82"/>
    <n v="1"/>
    <n v="0.93"/>
    <n v="0.95"/>
    <n v="1.57"/>
    <n v="1"/>
    <n v="1"/>
    <n v="1"/>
    <n v="1"/>
    <n v="0.84"/>
    <n v="1"/>
    <n v="1"/>
    <n v="1"/>
    <n v="1"/>
    <n v="1"/>
    <n v="1"/>
    <n v="1.06"/>
    <n v="1013.2758076230908"/>
    <n v="0"/>
    <s v="PASS"/>
    <n v="0"/>
    <x v="0"/>
  </r>
  <r>
    <s v="P0947"/>
    <d v="2025-08-27T00:00:00"/>
    <s v="Uninsured Motorist"/>
    <s v="16-24"/>
    <n v="7"/>
    <n v="2"/>
    <s v="No"/>
    <s v="17,000+"/>
    <s v="Hawthorne (90250)"/>
    <s v="$15,000-$24,999"/>
    <s v="No"/>
    <s v="No"/>
    <s v="No"/>
    <s v="Yes"/>
    <s v="No"/>
    <s v="Yes"/>
    <s v="No"/>
    <s v="Yes (Medium)"/>
    <s v="No"/>
    <s v="No"/>
    <s v="No"/>
    <s v="No"/>
    <s v="No"/>
    <n v="148.13598003190276"/>
    <n v="78"/>
    <n v="1.32"/>
    <n v="0.95"/>
    <n v="1.55"/>
    <n v="1"/>
    <n v="1.31"/>
    <n v="1.0900000000000001"/>
    <n v="1.08"/>
    <n v="1"/>
    <n v="1"/>
    <n v="1"/>
    <n v="0.88"/>
    <n v="1"/>
    <n v="0.72"/>
    <n v="1"/>
    <n v="1"/>
    <n v="1"/>
    <n v="1"/>
    <n v="1"/>
    <n v="1"/>
    <n v="148.13598003190276"/>
    <n v="0"/>
    <s v="PASS"/>
    <n v="0"/>
    <x v="0"/>
  </r>
  <r>
    <s v="P0948"/>
    <d v="2025-10-06T00:00:00"/>
    <s v="Uninsured Motorist"/>
    <s v="35-44"/>
    <n v="5"/>
    <n v="0"/>
    <s v="No"/>
    <s v="0-4,999"/>
    <s v="Lake Forrest (92609)"/>
    <s v="$150,000+"/>
    <s v="No"/>
    <s v="Yes"/>
    <s v="No"/>
    <s v="Yes"/>
    <s v="No"/>
    <s v="Yes"/>
    <s v="No"/>
    <s v="Yes (High)"/>
    <s v="No"/>
    <s v="Yes"/>
    <s v="No"/>
    <s v="No"/>
    <s v="No"/>
    <n v="148.53714423906757"/>
    <n v="78"/>
    <n v="1"/>
    <n v="1.07"/>
    <n v="1"/>
    <n v="1"/>
    <n v="0.82"/>
    <n v="0.95"/>
    <n v="2.87"/>
    <n v="1"/>
    <n v="1.21"/>
    <n v="1"/>
    <n v="0.88"/>
    <n v="1"/>
    <n v="0.84"/>
    <n v="1"/>
    <n v="0.89"/>
    <n v="1"/>
    <n v="1"/>
    <n v="1"/>
    <n v="1"/>
    <n v="148.53714423906757"/>
    <n v="0"/>
    <s v="PASS"/>
    <n v="0"/>
    <x v="0"/>
  </r>
  <r>
    <s v="P0949"/>
    <d v="2025-11-29T00:00:00"/>
    <s v="Liability"/>
    <s v="65+"/>
    <n v="4"/>
    <n v="0"/>
    <s v="Yes (Medium Score)"/>
    <s v="0-4,999"/>
    <s v="Beverly Hills (90035)"/>
    <s v="$25,000-$44,999"/>
    <s v="No"/>
    <s v="Yes"/>
    <s v="No"/>
    <s v="Yes"/>
    <s v="No"/>
    <s v="Yes"/>
    <s v="No"/>
    <s v="Yes (Medium)"/>
    <s v="Yes"/>
    <s v="No"/>
    <s v="No"/>
    <s v="Yes"/>
    <s v="No"/>
    <n v="611.93789068688864"/>
    <n v="622"/>
    <n v="1.27"/>
    <n v="1.1499999999999999"/>
    <n v="1"/>
    <n v="0.8"/>
    <n v="0.82"/>
    <n v="1.21"/>
    <n v="1.28"/>
    <n v="1"/>
    <n v="1.21"/>
    <n v="1"/>
    <n v="0.88"/>
    <n v="1"/>
    <n v="0.72"/>
    <n v="0.92"/>
    <n v="1"/>
    <n v="1"/>
    <n v="0.94"/>
    <n v="1"/>
    <n v="1"/>
    <n v="611.93789068688864"/>
    <n v="0"/>
    <s v="PASS"/>
    <n v="0"/>
    <x v="0"/>
  </r>
  <r>
    <s v="P0950"/>
    <d v="2026-02-20T00:00:00"/>
    <s v="Liability"/>
    <s v="65+"/>
    <n v="4"/>
    <n v="3"/>
    <s v="Yes (Low Score)"/>
    <s v="5,000-8,499"/>
    <s v="Irvine (92602)"/>
    <s v="$25,000-$44,999"/>
    <s v="No"/>
    <s v="No"/>
    <s v="No"/>
    <s v="No"/>
    <s v="No"/>
    <s v="Yes"/>
    <s v="No"/>
    <s v="Yes (High)"/>
    <s v="Yes"/>
    <s v="No"/>
    <s v="Yes"/>
    <s v="No"/>
    <s v="No"/>
    <n v="1552.6096554281246"/>
    <n v="622"/>
    <n v="1.27"/>
    <n v="1.1499999999999999"/>
    <n v="1.82"/>
    <n v="0.95"/>
    <n v="0.93"/>
    <n v="1.0900000000000001"/>
    <n v="1.28"/>
    <n v="1"/>
    <n v="1"/>
    <n v="1"/>
    <n v="1"/>
    <n v="1"/>
    <n v="0.84"/>
    <n v="0.92"/>
    <n v="1"/>
    <n v="0.93"/>
    <n v="1"/>
    <n v="1"/>
    <n v="1.06"/>
    <n v="1552.6096554281246"/>
    <n v="0"/>
    <s v="PASS"/>
    <n v="0"/>
    <x v="0"/>
  </r>
  <r>
    <s v="P0951"/>
    <d v="2025-10-26T00:00:00"/>
    <s v="Collision"/>
    <s v="35-44"/>
    <n v="3"/>
    <n v="1"/>
    <s v="Yes (Low Score)"/>
    <s v="0-4,999"/>
    <s v="Westminster (92655)"/>
    <s v="$15,000-$24,999"/>
    <s v="No"/>
    <s v="No"/>
    <s v="No"/>
    <s v="Yes"/>
    <s v="Yes"/>
    <s v="No"/>
    <s v="Yes (Medium)"/>
    <s v="No"/>
    <s v="No"/>
    <s v="No"/>
    <s v="No"/>
    <s v="No"/>
    <s v="No"/>
    <n v="502.01015260609387"/>
    <n v="453"/>
    <n v="1"/>
    <n v="1.22"/>
    <n v="1.34"/>
    <n v="0.95"/>
    <n v="0.82"/>
    <n v="1.0900000000000001"/>
    <n v="1.08"/>
    <n v="1"/>
    <n v="1"/>
    <n v="1"/>
    <n v="0.88"/>
    <n v="0.84"/>
    <n v="1"/>
    <n v="1"/>
    <n v="1"/>
    <n v="1"/>
    <n v="1"/>
    <n v="1"/>
    <n v="1"/>
    <n v="502.01015260609387"/>
    <n v="0"/>
    <s v="PASS"/>
    <n v="0"/>
    <x v="0"/>
  </r>
  <r>
    <s v="P0952"/>
    <d v="2025-08-18T00:00:00"/>
    <s v="Rental Car Reinbursement"/>
    <s v="35-44"/>
    <n v="1"/>
    <n v="1"/>
    <s v="No"/>
    <s v="8,500-13,499"/>
    <s v="Koreatown (90006)"/>
    <s v="$45,000-$84,999"/>
    <s v="No"/>
    <s v="No"/>
    <s v="No"/>
    <s v="Yes"/>
    <s v="No"/>
    <s v="Yes"/>
    <s v="No"/>
    <s v="Yes (High)"/>
    <s v="Yes"/>
    <s v="Yes"/>
    <s v="No"/>
    <s v="No"/>
    <s v="No"/>
    <n v="103.59941857740628"/>
    <n v="41"/>
    <n v="1"/>
    <n v="1.64"/>
    <n v="1.34"/>
    <n v="1"/>
    <n v="1"/>
    <n v="1.21"/>
    <n v="1.57"/>
    <n v="1"/>
    <n v="1"/>
    <n v="1"/>
    <n v="0.88"/>
    <n v="1"/>
    <n v="0.84"/>
    <n v="0.92"/>
    <n v="0.89"/>
    <n v="1"/>
    <n v="1"/>
    <n v="1"/>
    <n v="1"/>
    <n v="103.59941857740628"/>
    <n v="0"/>
    <s v="PASS"/>
    <n v="0"/>
    <x v="0"/>
  </r>
  <r>
    <s v="P0953"/>
    <d v="2026-01-06T00:00:00"/>
    <s v="Collision"/>
    <s v="35-44"/>
    <n v="1"/>
    <n v="1"/>
    <s v="No"/>
    <s v="5,000-8,499"/>
    <s v="Lake Forrest (92609)"/>
    <s v="$5,000-$14,999"/>
    <s v="No"/>
    <s v="No"/>
    <s v="No"/>
    <s v="No"/>
    <s v="Yes"/>
    <s v="No"/>
    <s v="Yes (Low)"/>
    <s v="No"/>
    <s v="No"/>
    <s v="No"/>
    <s v="No"/>
    <s v="No"/>
    <s v="No"/>
    <n v="859.12153848025196"/>
    <n v="453"/>
    <n v="1"/>
    <n v="1.64"/>
    <n v="1.34"/>
    <n v="1"/>
    <n v="0.93"/>
    <n v="0.95"/>
    <n v="0.97"/>
    <n v="1"/>
    <n v="1"/>
    <n v="1"/>
    <n v="1"/>
    <n v="0.95"/>
    <n v="1"/>
    <n v="1"/>
    <n v="1"/>
    <n v="1"/>
    <n v="1"/>
    <n v="1"/>
    <n v="1.06"/>
    <n v="859.12153848025196"/>
    <n v="0"/>
    <s v="PASS"/>
    <n v="0"/>
    <x v="0"/>
  </r>
  <r>
    <s v="P0954"/>
    <d v="2025-08-13T00:00:00"/>
    <s v="Rental Car Reinbursement"/>
    <s v="65+"/>
    <n v="6"/>
    <n v="4"/>
    <s v="No"/>
    <s v="0-4,999"/>
    <s v="Fountain Valley (92708)"/>
    <s v="$85,000-$149,999"/>
    <s v="No"/>
    <s v="No"/>
    <s v="No"/>
    <s v="No"/>
    <s v="No"/>
    <s v="Yes"/>
    <s v="No"/>
    <s v="Yes (Low)"/>
    <s v="No"/>
    <s v="Yes"/>
    <s v="No"/>
    <s v="No"/>
    <s v="No"/>
    <n v="114.15799761506959"/>
    <n v="41"/>
    <n v="1.27"/>
    <n v="1"/>
    <n v="2.12"/>
    <n v="1"/>
    <n v="0.82"/>
    <n v="1.1499999999999999"/>
    <n v="2.02"/>
    <n v="1"/>
    <n v="1"/>
    <n v="1"/>
    <n v="1"/>
    <n v="1"/>
    <n v="0.61"/>
    <n v="1"/>
    <n v="0.89"/>
    <n v="1"/>
    <n v="1"/>
    <n v="1"/>
    <n v="1"/>
    <n v="114.15799761506959"/>
    <n v="0"/>
    <s v="PASS"/>
    <n v="0"/>
    <x v="0"/>
  </r>
  <r>
    <s v="P0955"/>
    <d v="2025-10-07T00:00:00"/>
    <s v="Comprehensive"/>
    <s v="55-64"/>
    <n v="3"/>
    <n v="1"/>
    <s v="No"/>
    <s v="5,000-8,499"/>
    <s v="Culver City (90066)"/>
    <s v="$25,000-$44,999"/>
    <s v="No"/>
    <s v="No"/>
    <s v="No"/>
    <s v="No"/>
    <s v="Yes"/>
    <s v="No"/>
    <s v="Yes (Low)"/>
    <s v="No"/>
    <s v="Yes"/>
    <s v="No"/>
    <s v="No"/>
    <s v="No"/>
    <s v="No"/>
    <n v="265.0758808311399"/>
    <n v="121"/>
    <n v="1.1200000000000001"/>
    <n v="1.22"/>
    <n v="1.34"/>
    <n v="1"/>
    <n v="0.93"/>
    <n v="1.1499999999999999"/>
    <n v="1.28"/>
    <n v="1"/>
    <n v="1"/>
    <n v="1"/>
    <n v="1"/>
    <n v="0.95"/>
    <n v="1"/>
    <n v="0.92"/>
    <n v="1"/>
    <n v="1"/>
    <n v="1"/>
    <n v="1"/>
    <n v="1"/>
    <n v="265.0758808311399"/>
    <n v="0"/>
    <s v="PASS"/>
    <n v="0"/>
    <x v="0"/>
  </r>
  <r>
    <s v="P0956"/>
    <d v="2025-06-10T00:00:00"/>
    <s v="Collision"/>
    <s v="55-64"/>
    <n v="3"/>
    <n v="0"/>
    <s v="Yes (Low Score)"/>
    <s v="17,000+"/>
    <s v="Irvine (92602)"/>
    <s v="$150,000+"/>
    <s v="No"/>
    <s v="Yes"/>
    <s v="No"/>
    <s v="Yes"/>
    <s v="Yes"/>
    <s v="No"/>
    <s v="Yes (Low)"/>
    <s v="No"/>
    <s v="No"/>
    <s v="Yes"/>
    <s v="No"/>
    <s v="No"/>
    <s v="No"/>
    <n v="2169.5067484358296"/>
    <n v="453"/>
    <n v="1.1200000000000001"/>
    <n v="1.22"/>
    <n v="1"/>
    <n v="0.95"/>
    <n v="1.31"/>
    <n v="1.0900000000000001"/>
    <n v="2.87"/>
    <n v="1"/>
    <n v="1.21"/>
    <n v="1"/>
    <n v="0.88"/>
    <n v="0.95"/>
    <n v="1"/>
    <n v="1"/>
    <n v="0.89"/>
    <n v="1"/>
    <n v="1"/>
    <n v="1"/>
    <n v="1"/>
    <n v="2169.5067484358296"/>
    <n v="0"/>
    <s v="PASS"/>
    <n v="0"/>
    <x v="0"/>
  </r>
  <r>
    <s v="P0957"/>
    <d v="2026-02-18T00:00:00"/>
    <s v="Comprehensive"/>
    <s v="25-34"/>
    <n v="6"/>
    <n v="2"/>
    <s v="Yes (Medium Score)"/>
    <s v="0-4,999"/>
    <s v="Lake Forrest (92609)"/>
    <s v="$85,000-$149,999"/>
    <s v="No"/>
    <s v="No"/>
    <s v="No"/>
    <s v="No"/>
    <s v="Yes"/>
    <s v="No"/>
    <s v="Yes (Low)"/>
    <s v="No"/>
    <s v="No"/>
    <s v="No"/>
    <s v="No"/>
    <s v="No"/>
    <s v="No"/>
    <n v="292.43575064695199"/>
    <n v="121"/>
    <n v="1.23"/>
    <n v="1"/>
    <n v="1.55"/>
    <n v="0.8"/>
    <n v="0.82"/>
    <n v="0.95"/>
    <n v="2.02"/>
    <n v="1"/>
    <n v="1"/>
    <n v="1"/>
    <n v="1"/>
    <n v="0.95"/>
    <n v="1"/>
    <n v="1"/>
    <n v="1"/>
    <n v="1"/>
    <n v="1"/>
    <n v="1"/>
    <n v="1.06"/>
    <n v="292.43575064695199"/>
    <n v="0"/>
    <s v="PASS"/>
    <n v="0"/>
    <x v="0"/>
  </r>
  <r>
    <s v="P0958"/>
    <d v="2025-10-03T00:00:00"/>
    <s v="Rental Car Reinbursement"/>
    <s v="35-44"/>
    <n v="2"/>
    <n v="3"/>
    <s v="No"/>
    <s v="0-4,999"/>
    <s v="Hollywood (90028)"/>
    <s v="$5,000-$14,999"/>
    <s v="No"/>
    <s v="No"/>
    <s v="No"/>
    <s v="Yes"/>
    <s v="No"/>
    <s v="Yes"/>
    <s v="No"/>
    <s v="Yes (Low)"/>
    <s v="No"/>
    <s v="No"/>
    <s v="No"/>
    <s v="No"/>
    <s v="No"/>
    <n v="53.458825446586552"/>
    <n v="41"/>
    <n v="1"/>
    <n v="1.41"/>
    <n v="1.82"/>
    <n v="1"/>
    <n v="0.82"/>
    <n v="1.19"/>
    <n v="0.97"/>
    <n v="1"/>
    <n v="1"/>
    <n v="1"/>
    <n v="0.88"/>
    <n v="1"/>
    <n v="0.61"/>
    <n v="1"/>
    <n v="1"/>
    <n v="1"/>
    <n v="1"/>
    <n v="1"/>
    <n v="1"/>
    <n v="53.458825446586552"/>
    <n v="0"/>
    <s v="PASS"/>
    <n v="0"/>
    <x v="0"/>
  </r>
  <r>
    <s v="P0959"/>
    <d v="2025-10-30T00:00:00"/>
    <s v="Liability"/>
    <s v="25-34"/>
    <n v="5"/>
    <n v="2"/>
    <s v="No"/>
    <s v="8,500-13,499"/>
    <s v="Hollywood (90028)"/>
    <s v="$150,000+"/>
    <s v="No"/>
    <s v="No"/>
    <s v="No"/>
    <s v="Yes"/>
    <s v="No"/>
    <s v="Yes"/>
    <s v="No"/>
    <s v="Yes (Medium)"/>
    <s v="No"/>
    <s v="Yes"/>
    <s v="Yes"/>
    <s v="No"/>
    <s v="No"/>
    <n v="2272.6259108939603"/>
    <n v="622"/>
    <n v="1.23"/>
    <n v="1.07"/>
    <n v="1.55"/>
    <n v="1"/>
    <n v="1"/>
    <n v="1.19"/>
    <n v="2.87"/>
    <n v="1"/>
    <n v="1"/>
    <n v="1"/>
    <n v="0.88"/>
    <n v="1"/>
    <n v="0.72"/>
    <n v="1"/>
    <n v="0.89"/>
    <n v="0.93"/>
    <n v="1"/>
    <n v="1"/>
    <n v="1"/>
    <n v="2272.6259108939603"/>
    <n v="0"/>
    <s v="PASS"/>
    <n v="0"/>
    <x v="0"/>
  </r>
  <r>
    <s v="P0960"/>
    <d v="2026-04-05T00:00:00"/>
    <s v="Liability"/>
    <s v="35-44"/>
    <n v="6"/>
    <n v="4"/>
    <s v="No"/>
    <s v="17,000+"/>
    <s v="Torrance (90248)"/>
    <s v="$150,000+"/>
    <s v="No"/>
    <s v="No"/>
    <s v="No"/>
    <s v="No"/>
    <s v="No"/>
    <s v="Yes"/>
    <s v="No"/>
    <s v="Yes (High)"/>
    <s v="Yes"/>
    <s v="No"/>
    <s v="Yes"/>
    <s v="No"/>
    <s v="No"/>
    <n v="4230.1268210221469"/>
    <n v="622"/>
    <n v="1"/>
    <n v="1"/>
    <n v="2.12"/>
    <n v="1"/>
    <n v="1.31"/>
    <n v="1.1200000000000001"/>
    <n v="2.87"/>
    <n v="1"/>
    <n v="1"/>
    <n v="1"/>
    <n v="1"/>
    <n v="1"/>
    <n v="0.84"/>
    <n v="0.92"/>
    <n v="1"/>
    <n v="0.93"/>
    <n v="1"/>
    <n v="1"/>
    <n v="1.06"/>
    <n v="4230.1268210221469"/>
    <n v="0"/>
    <s v="PASS"/>
    <n v="0"/>
    <x v="0"/>
  </r>
  <r>
    <s v="P0961"/>
    <d v="2025-09-28T00:00:00"/>
    <s v="Liability"/>
    <s v="25-34"/>
    <n v="4"/>
    <n v="1"/>
    <s v="Yes (Low Score)"/>
    <s v="0-4,999"/>
    <s v="Hawthorne (90250)"/>
    <s v="$0-$4,999"/>
    <s v="No"/>
    <s v="No"/>
    <s v="No"/>
    <s v="No"/>
    <s v="No"/>
    <s v="Yes"/>
    <s v="No"/>
    <s v="Yes (Medium)"/>
    <s v="No"/>
    <s v="No"/>
    <s v="No"/>
    <s v="No"/>
    <s v="No"/>
    <n v="591.02852145529812"/>
    <n v="622"/>
    <n v="1.23"/>
    <n v="1.1499999999999999"/>
    <n v="1.34"/>
    <n v="0.95"/>
    <n v="0.82"/>
    <n v="1.0900000000000001"/>
    <n v="0.82"/>
    <n v="1"/>
    <n v="1"/>
    <n v="1"/>
    <n v="1"/>
    <n v="1"/>
    <n v="0.72"/>
    <n v="1"/>
    <n v="1"/>
    <n v="1"/>
    <n v="1"/>
    <n v="1"/>
    <n v="1"/>
    <n v="591.02852145529812"/>
    <n v="0"/>
    <s v="PASS"/>
    <n v="0"/>
    <x v="0"/>
  </r>
  <r>
    <s v="P0962"/>
    <d v="2025-05-19T00:00:00"/>
    <s v="Liability"/>
    <s v="25-34"/>
    <n v="4"/>
    <n v="4"/>
    <s v="No"/>
    <s v="5,000-8,499"/>
    <s v="Culver City (90066)"/>
    <s v="$0-$4,999"/>
    <s v="No"/>
    <s v="No"/>
    <s v="No"/>
    <s v="Yes"/>
    <s v="No"/>
    <s v="Yes"/>
    <s v="No"/>
    <s v="Yes (Low)"/>
    <s v="No"/>
    <s v="No"/>
    <s v="Yes"/>
    <s v="No"/>
    <s v="No"/>
    <n v="816.61865050289168"/>
    <n v="622"/>
    <n v="1.23"/>
    <n v="1.1499999999999999"/>
    <n v="2.12"/>
    <n v="1"/>
    <n v="0.93"/>
    <n v="1.1499999999999999"/>
    <n v="0.82"/>
    <n v="1"/>
    <n v="1"/>
    <n v="1"/>
    <n v="0.88"/>
    <n v="1"/>
    <n v="0.61"/>
    <n v="1"/>
    <n v="1"/>
    <n v="0.93"/>
    <n v="1"/>
    <n v="1"/>
    <n v="1"/>
    <n v="816.61865050289168"/>
    <n v="0"/>
    <s v="PASS"/>
    <n v="0"/>
    <x v="0"/>
  </r>
  <r>
    <s v="P0963"/>
    <d v="2025-12-08T00:00:00"/>
    <s v="Liability"/>
    <s v="25-34"/>
    <n v="1"/>
    <n v="2"/>
    <s v="No"/>
    <s v="17,000+"/>
    <s v="Hollywood (90028)"/>
    <s v="$25,000-$44,999"/>
    <s v="No"/>
    <s v="No"/>
    <s v="No"/>
    <s v="No"/>
    <s v="No"/>
    <s v="Yes"/>
    <s v="No"/>
    <s v="Yes (High)"/>
    <s v="No"/>
    <s v="Yes"/>
    <s v="No"/>
    <s v="No"/>
    <s v="No"/>
    <n v="2901.1391632537247"/>
    <n v="622"/>
    <n v="1.23"/>
    <n v="1.64"/>
    <n v="1.55"/>
    <n v="1"/>
    <n v="1.31"/>
    <n v="1.19"/>
    <n v="1.28"/>
    <n v="1"/>
    <n v="1"/>
    <n v="1"/>
    <n v="1"/>
    <n v="1"/>
    <n v="0.84"/>
    <n v="1"/>
    <n v="0.89"/>
    <n v="1"/>
    <n v="1"/>
    <n v="1"/>
    <n v="1"/>
    <n v="2901.1391632537247"/>
    <n v="0"/>
    <s v="PASS"/>
    <n v="0"/>
    <x v="0"/>
  </r>
  <r>
    <s v="P0964"/>
    <d v="2025-07-25T00:00:00"/>
    <s v="Collision"/>
    <s v="55-64"/>
    <n v="7"/>
    <n v="0"/>
    <s v="No"/>
    <s v="0-4,999"/>
    <s v="Beverly Hills (90035)"/>
    <s v="$5,000-$14,999"/>
    <s v="Yes"/>
    <s v="No"/>
    <s v="Yes"/>
    <s v="No"/>
    <s v="Yes"/>
    <s v="No"/>
    <s v="Yes (Low)"/>
    <s v="No"/>
    <s v="No"/>
    <s v="No"/>
    <s v="No"/>
    <s v="No"/>
    <s v="No"/>
    <n v="654.33831469805557"/>
    <n v="453"/>
    <n v="1.1200000000000001"/>
    <n v="0.95"/>
    <n v="1"/>
    <n v="1"/>
    <n v="0.82"/>
    <n v="1.21"/>
    <n v="0.97"/>
    <n v="1.28"/>
    <n v="1"/>
    <n v="1.1599999999999999"/>
    <n v="1"/>
    <n v="0.95"/>
    <n v="1"/>
    <n v="1"/>
    <n v="1"/>
    <n v="1"/>
    <n v="1"/>
    <n v="1"/>
    <n v="1"/>
    <n v="654.33831469805557"/>
    <n v="0"/>
    <s v="PASS"/>
    <n v="0"/>
    <x v="0"/>
  </r>
  <r>
    <s v="P0965"/>
    <d v="2025-11-22T00:00:00"/>
    <s v="Liability"/>
    <s v="16-24"/>
    <n v="1"/>
    <n v="0"/>
    <s v="No"/>
    <s v="5,000-8,499"/>
    <s v="West Hollywood (90046)"/>
    <s v="$15,000-$24,999"/>
    <s v="No"/>
    <s v="No"/>
    <s v="No"/>
    <s v="No"/>
    <s v="No"/>
    <s v="Yes"/>
    <s v="No"/>
    <s v="Yes (High)"/>
    <s v="Yes"/>
    <s v="Yes"/>
    <s v="Yes"/>
    <s v="No"/>
    <s v="No"/>
    <n v="1146.96"/>
    <n v="622"/>
    <n v="1.32"/>
    <n v="1.64"/>
    <n v="1"/>
    <n v="1"/>
    <n v="0.93"/>
    <n v="1.18"/>
    <n v="1.08"/>
    <n v="1"/>
    <n v="1"/>
    <n v="1"/>
    <n v="1"/>
    <n v="1"/>
    <n v="0.84"/>
    <n v="0.92"/>
    <n v="0.89"/>
    <n v="0.93"/>
    <n v="1"/>
    <n v="1"/>
    <n v="1"/>
    <n v="1020.7912621805841"/>
    <n v="126.16873781941592"/>
    <s v="FAIL"/>
    <n v="126.16873781941592"/>
    <x v="2"/>
  </r>
  <r>
    <s v="P0966"/>
    <d v="2025-11-03T00:00:00"/>
    <s v="Collision"/>
    <s v="45-54"/>
    <n v="6"/>
    <n v="2"/>
    <s v="No"/>
    <s v="5,000-8,499"/>
    <s v="Koreatown (90006)"/>
    <s v="$15,000-$24,999"/>
    <s v="No"/>
    <s v="No"/>
    <s v="No"/>
    <s v="No"/>
    <s v="Yes"/>
    <s v="No"/>
    <s v="Yes (Medium)"/>
    <s v="No"/>
    <s v="No"/>
    <s v="No"/>
    <s v="No"/>
    <s v="No"/>
    <s v="No"/>
    <n v="766.98176424408018"/>
    <n v="453"/>
    <n v="1.07"/>
    <n v="1"/>
    <n v="1.55"/>
    <n v="1"/>
    <n v="0.93"/>
    <n v="1.21"/>
    <n v="1.08"/>
    <n v="1"/>
    <n v="1"/>
    <n v="1"/>
    <n v="1"/>
    <n v="0.84"/>
    <n v="1"/>
    <n v="1"/>
    <n v="1"/>
    <n v="1"/>
    <n v="1"/>
    <n v="1"/>
    <n v="1"/>
    <n v="766.98176424408018"/>
    <n v="0"/>
    <s v="PASS"/>
    <n v="0"/>
    <x v="0"/>
  </r>
  <r>
    <s v="P0967"/>
    <d v="2025-10-25T00:00:00"/>
    <s v="Collision"/>
    <s v="55-64"/>
    <n v="4"/>
    <s v="5+"/>
    <s v="No"/>
    <s v="0-4,999"/>
    <s v="Westminster (92655)"/>
    <s v="$25,000-$44,999"/>
    <s v="No"/>
    <s v="Yes"/>
    <s v="No"/>
    <s v="No"/>
    <s v="Yes"/>
    <s v="No"/>
    <s v="Yes (High)"/>
    <s v="No"/>
    <s v="No"/>
    <s v="Yes"/>
    <s v="No"/>
    <s v="No"/>
    <s v="No"/>
    <n v="1278.4072109921076"/>
    <n v="453"/>
    <n v="1.1200000000000001"/>
    <n v="1.1499999999999999"/>
    <n v="2.4700000000000002"/>
    <n v="1"/>
    <n v="0.82"/>
    <n v="1.0900000000000001"/>
    <n v="1.28"/>
    <n v="1"/>
    <n v="1.21"/>
    <n v="1"/>
    <n v="1"/>
    <n v="0.72"/>
    <n v="1"/>
    <n v="1"/>
    <n v="0.89"/>
    <n v="1"/>
    <n v="1"/>
    <n v="1"/>
    <n v="1"/>
    <n v="1278.4072109921076"/>
    <n v="0"/>
    <s v="PASS"/>
    <n v="0"/>
    <x v="0"/>
  </r>
  <r>
    <s v="P0968"/>
    <d v="2025-09-10T00:00:00"/>
    <s v="Comprehensive"/>
    <s v="35-44"/>
    <n v="7"/>
    <n v="1"/>
    <s v="Yes (High Score)"/>
    <s v="0-4,999"/>
    <s v="Silverlake (90026 )"/>
    <s v="$150,000+"/>
    <s v="No"/>
    <s v="Yes"/>
    <s v="No"/>
    <s v="No"/>
    <s v="Yes"/>
    <s v="No"/>
    <s v="Yes (High)"/>
    <s v="No"/>
    <s v="No"/>
    <s v="No"/>
    <s v="Yes"/>
    <s v="No"/>
    <s v="No"/>
    <n v="221.45305928159493"/>
    <n v="121"/>
    <n v="1"/>
    <n v="0.95"/>
    <n v="1.34"/>
    <n v="0.65"/>
    <n v="0.82"/>
    <n v="1.1599999999999999"/>
    <n v="2.87"/>
    <n v="1"/>
    <n v="1.21"/>
    <n v="1"/>
    <n v="1"/>
    <n v="0.72"/>
    <n v="1"/>
    <n v="1"/>
    <n v="1"/>
    <n v="0.93"/>
    <n v="1"/>
    <n v="1"/>
    <n v="1"/>
    <n v="221.45305928159493"/>
    <n v="0"/>
    <s v="PASS"/>
    <n v="0"/>
    <x v="0"/>
  </r>
  <r>
    <s v="P0969"/>
    <d v="2025-10-19T00:00:00"/>
    <s v="Collision"/>
    <s v="35-44"/>
    <n v="5"/>
    <n v="1"/>
    <s v="Yes (High Score)"/>
    <s v="5,000-8,499"/>
    <s v="Hawthorne (90250)"/>
    <s v="$15,000-$24,999"/>
    <s v="No"/>
    <s v="No"/>
    <s v="No"/>
    <s v="No"/>
    <s v="Yes"/>
    <s v="No"/>
    <s v="Yes (High)"/>
    <s v="No"/>
    <s v="No"/>
    <s v="Yes"/>
    <s v="Yes"/>
    <s v="No"/>
    <s v="No"/>
    <n v="275.44747038569329"/>
    <n v="453"/>
    <n v="1"/>
    <n v="1.07"/>
    <n v="1.34"/>
    <n v="0.65"/>
    <n v="0.93"/>
    <n v="1.0900000000000001"/>
    <n v="1.08"/>
    <n v="1"/>
    <n v="1"/>
    <n v="1"/>
    <n v="1"/>
    <n v="0.72"/>
    <n v="1"/>
    <n v="1"/>
    <n v="0.89"/>
    <n v="0.93"/>
    <n v="1"/>
    <n v="1"/>
    <n v="1"/>
    <n v="275.44747038569329"/>
    <n v="0"/>
    <s v="PASS"/>
    <n v="0"/>
    <x v="0"/>
  </r>
  <r>
    <s v="P0970"/>
    <d v="2025-10-01T00:00:00"/>
    <s v="Collision"/>
    <s v="16-24"/>
    <n v="4"/>
    <n v="0"/>
    <s v="No"/>
    <s v="17,000+"/>
    <s v="Beverly Hills (90035)"/>
    <s v="$5,000-$14,999"/>
    <s v="No"/>
    <s v="No"/>
    <s v="No"/>
    <s v="No"/>
    <s v="Yes"/>
    <s v="No"/>
    <s v="Yes (Low)"/>
    <s v="No"/>
    <s v="No"/>
    <s v="No"/>
    <s v="No"/>
    <s v="No"/>
    <s v="No"/>
    <n v="1004.4353275010999"/>
    <n v="453"/>
    <n v="1.32"/>
    <n v="1.1499999999999999"/>
    <n v="1"/>
    <n v="1"/>
    <n v="1.31"/>
    <n v="1.21"/>
    <n v="0.97"/>
    <n v="1"/>
    <n v="1"/>
    <n v="1"/>
    <n v="1"/>
    <n v="0.95"/>
    <n v="1"/>
    <n v="1"/>
    <n v="1"/>
    <n v="1"/>
    <n v="1"/>
    <n v="1"/>
    <n v="1"/>
    <n v="1004.4353275010999"/>
    <n v="0"/>
    <s v="PASS"/>
    <n v="0"/>
    <x v="0"/>
  </r>
  <r>
    <s v="P0971"/>
    <d v="2025-09-30T00:00:00"/>
    <s v="Liability"/>
    <s v="65+"/>
    <n v="1"/>
    <n v="1"/>
    <s v="Yes (Low Score)"/>
    <s v="13,500-16,999"/>
    <s v="Culver City (90066)"/>
    <s v="$15,000-$24,999"/>
    <s v="No"/>
    <s v="Yes"/>
    <s v="No"/>
    <s v="Yes"/>
    <s v="No"/>
    <s v="Yes"/>
    <s v="No"/>
    <s v="Yes (Medium)"/>
    <s v="No"/>
    <s v="No"/>
    <s v="Yes"/>
    <s v="No"/>
    <s v="Yes"/>
    <n v="1671.5723634037888"/>
    <n v="622"/>
    <n v="1.27"/>
    <n v="1.64"/>
    <n v="1.34"/>
    <n v="0.95"/>
    <n v="1.18"/>
    <n v="1.1499999999999999"/>
    <n v="1.08"/>
    <n v="1"/>
    <n v="1.21"/>
    <n v="1"/>
    <n v="0.88"/>
    <n v="1"/>
    <n v="0.72"/>
    <n v="1"/>
    <n v="1"/>
    <n v="0.93"/>
    <n v="1"/>
    <n v="0.97"/>
    <n v="1"/>
    <n v="1671.5723634037888"/>
    <n v="0"/>
    <s v="PASS"/>
    <n v="0"/>
    <x v="0"/>
  </r>
  <r>
    <s v="P0972"/>
    <d v="2025-08-06T00:00:00"/>
    <s v="Collision"/>
    <s v="45-54"/>
    <n v="2"/>
    <n v="1"/>
    <s v="No"/>
    <s v="17,000+"/>
    <s v="Costa Mesa (92626)"/>
    <s v="$150,000+"/>
    <s v="No"/>
    <s v="Yes"/>
    <s v="No"/>
    <s v="No"/>
    <s v="Yes"/>
    <s v="No"/>
    <s v="Yes (High)"/>
    <s v="No"/>
    <s v="No"/>
    <s v="Yes"/>
    <s v="No"/>
    <s v="No"/>
    <s v="No"/>
    <n v="2456.1494213688147"/>
    <n v="453"/>
    <n v="1.07"/>
    <n v="1.41"/>
    <n v="1.34"/>
    <n v="1"/>
    <n v="1.31"/>
    <n v="0.92"/>
    <n v="2.87"/>
    <n v="1"/>
    <n v="1.21"/>
    <n v="1"/>
    <n v="1"/>
    <n v="0.72"/>
    <n v="1"/>
    <n v="1"/>
    <n v="0.89"/>
    <n v="1"/>
    <n v="1"/>
    <n v="1"/>
    <n v="1"/>
    <n v="2456.1494213688147"/>
    <n v="0"/>
    <s v="PASS"/>
    <n v="0"/>
    <x v="0"/>
  </r>
  <r>
    <s v="P0973"/>
    <d v="2026-04-21T00:00:00"/>
    <s v="Collision"/>
    <s v="25-34"/>
    <n v="3"/>
    <n v="4"/>
    <s v="No"/>
    <s v="5,000-8,499"/>
    <s v="Hollywood (90028)"/>
    <s v="$150,000+"/>
    <s v="No"/>
    <s v="Yes"/>
    <s v="No"/>
    <s v="No"/>
    <s v="Yes"/>
    <s v="No"/>
    <s v="Yes (High)"/>
    <s v="No"/>
    <s v="Yes"/>
    <s v="No"/>
    <s v="No"/>
    <s v="No"/>
    <s v="No"/>
    <n v="3888.8605586029144"/>
    <n v="453"/>
    <n v="1.23"/>
    <n v="1.22"/>
    <n v="2.12"/>
    <n v="1"/>
    <n v="0.93"/>
    <n v="1.19"/>
    <n v="2.87"/>
    <n v="1"/>
    <n v="1.21"/>
    <n v="1"/>
    <n v="1"/>
    <n v="0.72"/>
    <n v="1"/>
    <n v="0.92"/>
    <n v="1"/>
    <n v="1"/>
    <n v="1"/>
    <n v="1"/>
    <n v="1.06"/>
    <n v="3888.8605586029144"/>
    <n v="0"/>
    <s v="PASS"/>
    <n v="0"/>
    <x v="0"/>
  </r>
  <r>
    <s v="P0974"/>
    <d v="2025-10-26T00:00:00"/>
    <s v="Liability"/>
    <s v="16-24"/>
    <n v="6"/>
    <n v="0"/>
    <s v="Yes (Low Score)"/>
    <s v="13,500-16,999"/>
    <s v="Culver City (90066)"/>
    <s v="$25,000-$44,999"/>
    <s v="No"/>
    <s v="Yes"/>
    <s v="No"/>
    <s v="Yes"/>
    <s v="No"/>
    <s v="Yes"/>
    <s v="No"/>
    <s v="Yes (Medium)"/>
    <s v="No"/>
    <s v="No"/>
    <s v="No"/>
    <s v="No"/>
    <s v="No"/>
    <n v="1038.671648683131"/>
    <n v="622"/>
    <n v="1.32"/>
    <n v="1"/>
    <n v="1"/>
    <n v="0.95"/>
    <n v="1.18"/>
    <n v="1.1499999999999999"/>
    <n v="1.28"/>
    <n v="1"/>
    <n v="1.21"/>
    <n v="1"/>
    <n v="0.88"/>
    <n v="1"/>
    <n v="0.72"/>
    <n v="1"/>
    <n v="1"/>
    <n v="1"/>
    <n v="1"/>
    <n v="1"/>
    <n v="1"/>
    <n v="1038.671648683131"/>
    <n v="0"/>
    <s v="PASS"/>
    <n v="0"/>
    <x v="0"/>
  </r>
  <r>
    <s v="P0975"/>
    <d v="2025-12-25T00:00:00"/>
    <s v="Collision"/>
    <s v="25-34"/>
    <n v="5"/>
    <n v="0"/>
    <s v="No"/>
    <s v="8,500-13,499"/>
    <s v="Koreatown (90006)"/>
    <s v="$25,000-$44,999"/>
    <s v="No"/>
    <s v="Yes"/>
    <s v="No"/>
    <s v="Yes"/>
    <s v="Yes"/>
    <s v="No"/>
    <s v="Yes (High)"/>
    <s v="No"/>
    <s v="No"/>
    <s v="Yes"/>
    <s v="No"/>
    <s v="No"/>
    <s v="No"/>
    <n v="630.04704156711557"/>
    <n v="453"/>
    <n v="1.23"/>
    <n v="1.07"/>
    <n v="1"/>
    <n v="1"/>
    <n v="1"/>
    <n v="1.21"/>
    <n v="1.28"/>
    <n v="1"/>
    <n v="1.21"/>
    <n v="1"/>
    <n v="0.88"/>
    <n v="0.72"/>
    <n v="1"/>
    <n v="1"/>
    <n v="0.89"/>
    <n v="1"/>
    <n v="1"/>
    <n v="1"/>
    <n v="1"/>
    <n v="630.04704156711557"/>
    <n v="0"/>
    <s v="PASS"/>
    <n v="0"/>
    <x v="0"/>
  </r>
  <r>
    <s v="P0976"/>
    <d v="2025-06-16T00:00:00"/>
    <s v="Collision"/>
    <s v="45-54"/>
    <n v="5"/>
    <n v="2"/>
    <s v="No"/>
    <s v="5,000-8,499"/>
    <s v="Beverly Hills (90035)"/>
    <s v="$25,000-$44,999"/>
    <s v="No"/>
    <s v="No"/>
    <s v="No"/>
    <s v="No"/>
    <s v="Yes"/>
    <s v="No"/>
    <s v="Yes (Medium)"/>
    <s v="No"/>
    <s v="Yes"/>
    <s v="Yes"/>
    <s v="No"/>
    <s v="No"/>
    <s v="No"/>
    <n v="796.40295746662696"/>
    <n v="453"/>
    <n v="1.07"/>
    <n v="1.07"/>
    <n v="1.55"/>
    <n v="1"/>
    <n v="0.93"/>
    <n v="1.21"/>
    <n v="1.28"/>
    <n v="1"/>
    <n v="1"/>
    <n v="1"/>
    <n v="1"/>
    <n v="0.84"/>
    <n v="1"/>
    <n v="0.92"/>
    <n v="0.89"/>
    <n v="1"/>
    <n v="1"/>
    <n v="1"/>
    <n v="1"/>
    <n v="796.40295746662696"/>
    <n v="0"/>
    <s v="PASS"/>
    <n v="0"/>
    <x v="0"/>
  </r>
  <r>
    <s v="P0977"/>
    <d v="2025-08-14T00:00:00"/>
    <s v="Liability"/>
    <s v="25-34"/>
    <n v="2"/>
    <n v="2"/>
    <s v="No"/>
    <s v="0-4,999"/>
    <s v="Compton (90220)"/>
    <s v="$0-$4,999"/>
    <s v="No"/>
    <s v="No"/>
    <s v="Yes"/>
    <s v="No"/>
    <s v="No"/>
    <s v="Yes"/>
    <s v="No"/>
    <s v="Yes (High)"/>
    <s v="No"/>
    <s v="No"/>
    <s v="No"/>
    <s v="No"/>
    <s v="No"/>
    <n v="1708.9756915558276"/>
    <n v="622"/>
    <n v="1.23"/>
    <n v="1.41"/>
    <n v="1.55"/>
    <n v="1"/>
    <n v="0.82"/>
    <n v="1.56"/>
    <n v="0.82"/>
    <n v="1"/>
    <n v="1"/>
    <n v="1.1599999999999999"/>
    <n v="1"/>
    <n v="1"/>
    <n v="0.84"/>
    <n v="1"/>
    <n v="1"/>
    <n v="1"/>
    <n v="1"/>
    <n v="1"/>
    <n v="1"/>
    <n v="1708.9756915558276"/>
    <n v="0"/>
    <s v="PASS"/>
    <n v="0"/>
    <x v="0"/>
  </r>
  <r>
    <s v="P0978"/>
    <d v="2026-03-16T00:00:00"/>
    <s v="Liability"/>
    <s v="45-54"/>
    <n v="6"/>
    <n v="0"/>
    <s v="Yes (Low Score)"/>
    <s v="8,500-13,499"/>
    <s v="Anaheim (92801)"/>
    <s v="$45,000-$84,999"/>
    <s v="No"/>
    <s v="No"/>
    <s v="No"/>
    <s v="Yes"/>
    <s v="No"/>
    <s v="Yes"/>
    <s v="No"/>
    <s v="Yes (High)"/>
    <s v="No"/>
    <s v="No"/>
    <s v="No"/>
    <s v="No"/>
    <s v="No"/>
    <n v="863.35264195931529"/>
    <n v="622"/>
    <n v="1.07"/>
    <n v="1"/>
    <n v="1"/>
    <n v="0.95"/>
    <n v="1"/>
    <n v="1.1100000000000001"/>
    <n v="1.57"/>
    <n v="1"/>
    <n v="1"/>
    <n v="1"/>
    <n v="0.88"/>
    <n v="1"/>
    <n v="0.84"/>
    <n v="1"/>
    <n v="1"/>
    <n v="1"/>
    <n v="1"/>
    <n v="1"/>
    <n v="1.06"/>
    <n v="863.35264195931529"/>
    <n v="0"/>
    <s v="PASS"/>
    <n v="0"/>
    <x v="0"/>
  </r>
  <r>
    <s v="P0979"/>
    <d v="2025-11-20T00:00:00"/>
    <s v="Liability"/>
    <s v="16-24"/>
    <s v="8+"/>
    <n v="1"/>
    <s v="Yes (High Score)"/>
    <s v="5,000-8,499"/>
    <s v="Orange (92705)"/>
    <s v="$150,000+"/>
    <s v="No"/>
    <s v="No"/>
    <s v="Yes"/>
    <s v="No"/>
    <s v="No"/>
    <s v="Yes"/>
    <s v="No"/>
    <s v="Yes (Medium)"/>
    <s v="Yes"/>
    <s v="No"/>
    <s v="No"/>
    <s v="No"/>
    <s v="No"/>
    <n v="1391.2614433889717"/>
    <n v="622"/>
    <n v="1.32"/>
    <n v="0.93"/>
    <n v="1.34"/>
    <n v="0.65"/>
    <n v="0.93"/>
    <n v="1.02"/>
    <n v="2.87"/>
    <n v="1"/>
    <n v="1"/>
    <n v="1.1599999999999999"/>
    <n v="1"/>
    <n v="1"/>
    <n v="0.72"/>
    <n v="0.92"/>
    <n v="1"/>
    <n v="1"/>
    <n v="1"/>
    <n v="1"/>
    <n v="1"/>
    <n v="1391.2614433889717"/>
    <n v="0"/>
    <s v="PASS"/>
    <n v="0"/>
    <x v="0"/>
  </r>
  <r>
    <s v="P0980"/>
    <d v="2025-10-15T00:00:00"/>
    <s v="Collision"/>
    <s v="45-54"/>
    <n v="5"/>
    <n v="3"/>
    <s v="Yes (Low Score)"/>
    <s v="0-4,999"/>
    <s v="Hollywood (90028)"/>
    <s v="$150,000+"/>
    <s v="No"/>
    <s v="No"/>
    <s v="No"/>
    <s v="Yes"/>
    <s v="Yes"/>
    <s v="No"/>
    <s v="Yes (Low)"/>
    <s v="No"/>
    <s v="No"/>
    <s v="No"/>
    <s v="Yes"/>
    <s v="No"/>
    <s v="No"/>
    <n v="1952.5073938519697"/>
    <n v="453"/>
    <n v="1.07"/>
    <n v="1.07"/>
    <n v="1.82"/>
    <n v="0.95"/>
    <n v="0.82"/>
    <n v="1.19"/>
    <n v="2.87"/>
    <n v="1"/>
    <n v="1"/>
    <n v="1"/>
    <n v="0.88"/>
    <n v="0.95"/>
    <n v="1"/>
    <n v="1"/>
    <n v="1"/>
    <n v="0.93"/>
    <n v="1"/>
    <n v="1"/>
    <n v="1"/>
    <n v="1952.5073938519697"/>
    <n v="0"/>
    <s v="PASS"/>
    <n v="0"/>
    <x v="0"/>
  </r>
  <r>
    <s v="P0981"/>
    <d v="2025-07-15T00:00:00"/>
    <s v="Collision"/>
    <s v="55-64"/>
    <n v="6"/>
    <n v="0"/>
    <s v="No"/>
    <s v="13,500-16,999"/>
    <s v="Torrance (90248)"/>
    <s v="$85,000-$149,999"/>
    <s v="No"/>
    <s v="No"/>
    <s v="No"/>
    <s v="Yes"/>
    <s v="Yes"/>
    <s v="No"/>
    <s v="Yes (Low)"/>
    <s v="No"/>
    <s v="Yes"/>
    <s v="No"/>
    <s v="No"/>
    <s v="No"/>
    <s v="No"/>
    <n v="1041.7457297178626"/>
    <n v="453"/>
    <n v="1.1200000000000001"/>
    <n v="1"/>
    <n v="1"/>
    <n v="1"/>
    <n v="1.18"/>
    <n v="1.1200000000000001"/>
    <n v="2.02"/>
    <n v="1"/>
    <n v="1"/>
    <n v="1"/>
    <n v="0.88"/>
    <n v="0.95"/>
    <n v="1"/>
    <n v="0.92"/>
    <n v="1"/>
    <n v="1"/>
    <n v="1"/>
    <n v="1"/>
    <n v="1"/>
    <n v="1041.7457297178626"/>
    <n v="0"/>
    <s v="PASS"/>
    <n v="0"/>
    <x v="0"/>
  </r>
  <r>
    <s v="P0982"/>
    <d v="2026-03-30T00:00:00"/>
    <s v="Collision"/>
    <s v="16-24"/>
    <n v="2"/>
    <n v="2"/>
    <s v="Yes (Medium Score)"/>
    <s v="0-4,999"/>
    <s v="Fullerton (92832)"/>
    <s v="$25,000-$44,999"/>
    <s v="No"/>
    <s v="No"/>
    <s v="No"/>
    <s v="Yes"/>
    <s v="Yes"/>
    <s v="No"/>
    <s v="Yes (High)"/>
    <s v="No"/>
    <s v="No"/>
    <s v="No"/>
    <s v="No"/>
    <s v="No"/>
    <s v="Yes"/>
    <n v="800.65891528089026"/>
    <n v="453"/>
    <n v="1.32"/>
    <n v="1.41"/>
    <n v="1.55"/>
    <n v="0.8"/>
    <n v="0.82"/>
    <n v="1.1200000000000001"/>
    <n v="1.28"/>
    <n v="1"/>
    <n v="1"/>
    <n v="1"/>
    <n v="0.88"/>
    <n v="0.72"/>
    <n v="1"/>
    <n v="1"/>
    <n v="1"/>
    <n v="1"/>
    <n v="1"/>
    <n v="0.97"/>
    <n v="1.06"/>
    <n v="800.65891528089026"/>
    <n v="0"/>
    <s v="PASS"/>
    <n v="0"/>
    <x v="0"/>
  </r>
  <r>
    <s v="P0983"/>
    <d v="2025-09-30T00:00:00"/>
    <s v="Collision"/>
    <s v="45-54"/>
    <n v="7"/>
    <n v="2"/>
    <s v="No"/>
    <s v="17,000+"/>
    <s v="Compton (90220)"/>
    <s v="$15,000-$24,999"/>
    <s v="No"/>
    <s v="No"/>
    <s v="Yes"/>
    <s v="No"/>
    <s v="Yes"/>
    <s v="No"/>
    <s v="Yes (Medium)"/>
    <s v="No"/>
    <s v="No"/>
    <s v="No"/>
    <s v="No"/>
    <s v="No"/>
    <s v="No"/>
    <n v="1534.9499107944021"/>
    <n v="453"/>
    <n v="1.07"/>
    <n v="0.95"/>
    <n v="1.55"/>
    <n v="1"/>
    <n v="1.31"/>
    <n v="1.56"/>
    <n v="1.08"/>
    <n v="1"/>
    <n v="1"/>
    <n v="1.1599999999999999"/>
    <n v="1"/>
    <n v="0.84"/>
    <n v="1"/>
    <n v="1"/>
    <n v="1"/>
    <n v="1"/>
    <n v="1"/>
    <n v="1"/>
    <n v="1"/>
    <n v="1534.9499107944021"/>
    <n v="0"/>
    <s v="PASS"/>
    <n v="0"/>
    <x v="0"/>
  </r>
  <r>
    <s v="P0984"/>
    <d v="2026-04-02T00:00:00"/>
    <s v="Rental Car Reinbursement"/>
    <s v="65+"/>
    <n v="6"/>
    <n v="0"/>
    <s v="Yes (High Score)"/>
    <s v="17,000+"/>
    <s v="Santa Monica (90401)"/>
    <s v="$85,000-$149,999"/>
    <s v="No"/>
    <s v="No"/>
    <s v="No"/>
    <s v="Yes"/>
    <s v="No"/>
    <s v="Yes"/>
    <s v="No"/>
    <s v="Yes (High)"/>
    <s v="No"/>
    <s v="No"/>
    <s v="No"/>
    <s v="Yes"/>
    <s v="No"/>
    <n v="76.520406016654277"/>
    <n v="41"/>
    <n v="1.27"/>
    <n v="1"/>
    <n v="1"/>
    <n v="0.65"/>
    <n v="1.31"/>
    <n v="1.1599999999999999"/>
    <n v="2.02"/>
    <n v="1"/>
    <n v="1"/>
    <n v="1"/>
    <n v="0.88"/>
    <n v="1"/>
    <n v="0.84"/>
    <n v="1"/>
    <n v="1"/>
    <n v="1"/>
    <n v="0.94"/>
    <n v="1"/>
    <n v="1.06"/>
    <n v="76.520406016654277"/>
    <n v="0"/>
    <s v="PASS"/>
    <n v="0"/>
    <x v="0"/>
  </r>
  <r>
    <s v="P0985"/>
    <d v="2026-03-09T00:00:00"/>
    <s v="Uninsured Motorist"/>
    <s v="55-64"/>
    <n v="5"/>
    <n v="0"/>
    <s v="Yes (Medium Score)"/>
    <s v="0-4,999"/>
    <s v="Cypress (90630)"/>
    <s v="$85,000-$149,999"/>
    <s v="No"/>
    <s v="Yes"/>
    <s v="No"/>
    <s v="Yes"/>
    <s v="No"/>
    <s v="Yes"/>
    <s v="No"/>
    <s v="Yes (Low)"/>
    <s v="No"/>
    <s v="No"/>
    <s v="Yes"/>
    <s v="No"/>
    <s v="No"/>
    <n v="85.656841976815144"/>
    <n v="78"/>
    <n v="1.1200000000000001"/>
    <n v="1.07"/>
    <n v="1"/>
    <n v="0.8"/>
    <n v="0.82"/>
    <n v="1.08"/>
    <n v="2.02"/>
    <n v="1"/>
    <n v="1.21"/>
    <n v="1"/>
    <n v="0.88"/>
    <n v="1"/>
    <n v="0.61"/>
    <n v="1"/>
    <n v="1"/>
    <n v="0.93"/>
    <n v="1"/>
    <n v="1"/>
    <n v="1.06"/>
    <n v="85.656841976815144"/>
    <n v="0"/>
    <s v="PASS"/>
    <n v="0"/>
    <x v="0"/>
  </r>
  <r>
    <s v="P0986"/>
    <d v="2025-11-26T00:00:00"/>
    <s v="Comprehensive"/>
    <s v="35-44"/>
    <n v="6"/>
    <n v="0"/>
    <s v="Yes (High Score)"/>
    <s v="13,500-16,999"/>
    <s v="Santa Monica (90401)"/>
    <s v="$85,000-$149,999"/>
    <s v="No"/>
    <s v="No"/>
    <s v="No"/>
    <s v="No"/>
    <s v="Yes"/>
    <s v="No"/>
    <s v="Yes (High)"/>
    <s v="No"/>
    <s v="No"/>
    <s v="No"/>
    <s v="No"/>
    <s v="No"/>
    <s v="Yes"/>
    <n v="151.87780910015999"/>
    <n v="121"/>
    <n v="1"/>
    <n v="1"/>
    <n v="1"/>
    <n v="0.65"/>
    <n v="1.18"/>
    <n v="1.1599999999999999"/>
    <n v="2.02"/>
    <n v="1"/>
    <n v="1"/>
    <n v="1"/>
    <n v="1"/>
    <n v="0.72"/>
    <n v="1"/>
    <n v="1"/>
    <n v="1"/>
    <n v="1"/>
    <n v="1"/>
    <n v="0.97"/>
    <n v="1"/>
    <n v="151.87780910015999"/>
    <n v="0"/>
    <s v="PASS"/>
    <n v="0"/>
    <x v="0"/>
  </r>
  <r>
    <s v="P0987"/>
    <d v="2025-12-11T00:00:00"/>
    <s v="Collision"/>
    <s v="55-64"/>
    <n v="2"/>
    <s v="5+"/>
    <s v="Yes (Low Score)"/>
    <s v="0-4,999"/>
    <s v="Santa Ana (92702)"/>
    <s v="$25,000-$44,999"/>
    <s v="No"/>
    <s v="No"/>
    <s v="No"/>
    <s v="Yes"/>
    <s v="Yes"/>
    <s v="No"/>
    <s v="Yes (Low)"/>
    <s v="No"/>
    <s v="Yes"/>
    <s v="No"/>
    <s v="Yes"/>
    <s v="No"/>
    <s v="No"/>
    <n v="1285.4551928260735"/>
    <n v="453"/>
    <n v="1.1200000000000001"/>
    <n v="1.41"/>
    <n v="2.4700000000000002"/>
    <n v="0.95"/>
    <n v="0.82"/>
    <n v="1.02"/>
    <n v="1.28"/>
    <n v="1"/>
    <n v="1"/>
    <n v="1"/>
    <n v="0.88"/>
    <n v="0.95"/>
    <n v="1"/>
    <n v="0.92"/>
    <n v="1"/>
    <n v="0.93"/>
    <n v="1"/>
    <n v="1"/>
    <n v="1"/>
    <n v="1285.4551928260735"/>
    <n v="0"/>
    <s v="PASS"/>
    <n v="0"/>
    <x v="0"/>
  </r>
  <r>
    <s v="P0988"/>
    <d v="2026-04-10T00:00:00"/>
    <s v="Liability"/>
    <s v="55-64"/>
    <n v="7"/>
    <n v="3"/>
    <s v="No"/>
    <s v="17,000+"/>
    <s v="Newport Beach (92603)"/>
    <s v="$5,000-$14,999"/>
    <s v="No"/>
    <s v="No"/>
    <s v="No"/>
    <s v="Yes"/>
    <s v="No"/>
    <s v="Yes"/>
    <s v="No"/>
    <s v="Yes (Low)"/>
    <s v="Yes"/>
    <s v="No"/>
    <s v="No"/>
    <s v="No"/>
    <s v="No"/>
    <n v="753.14827187598723"/>
    <n v="622"/>
    <n v="1.1200000000000001"/>
    <n v="0.95"/>
    <n v="1.82"/>
    <n v="1"/>
    <n v="1.31"/>
    <n v="0.94"/>
    <n v="0.97"/>
    <n v="1"/>
    <n v="1"/>
    <n v="1"/>
    <n v="0.88"/>
    <n v="1"/>
    <n v="0.61"/>
    <n v="0.92"/>
    <n v="1"/>
    <n v="1"/>
    <n v="1"/>
    <n v="1"/>
    <n v="1.06"/>
    <n v="753.14827187598723"/>
    <n v="0"/>
    <s v="PASS"/>
    <n v="0"/>
    <x v="0"/>
  </r>
  <r>
    <s v="P0989"/>
    <d v="2025-05-08T00:00:00"/>
    <s v="Comprehensive"/>
    <s v="45-54"/>
    <n v="4"/>
    <s v="5+"/>
    <s v="Yes (Medium Score)"/>
    <s v="0-4,999"/>
    <s v="Newport Beach (92603)"/>
    <s v="$85,000-$149,999"/>
    <s v="No"/>
    <s v="No"/>
    <s v="No"/>
    <s v="Yes"/>
    <s v="Yes"/>
    <s v="No"/>
    <s v="Yes (Low)"/>
    <s v="No"/>
    <s v="No"/>
    <s v="Yes"/>
    <s v="No"/>
    <s v="No"/>
    <s v="No"/>
    <n v="382.96"/>
    <n v="121"/>
    <n v="1.07"/>
    <n v="1.1499999999999999"/>
    <n v="2.4700000000000002"/>
    <n v="0.8"/>
    <n v="0.82"/>
    <n v="0.94"/>
    <n v="2.02"/>
    <n v="1"/>
    <n v="1"/>
    <n v="1"/>
    <n v="0.88"/>
    <n v="0.95"/>
    <n v="1"/>
    <n v="1"/>
    <n v="0.89"/>
    <n v="1"/>
    <n v="1"/>
    <n v="1"/>
    <n v="1"/>
    <n v="340.83429562319236"/>
    <n v="42.125704376807619"/>
    <s v="FAIL"/>
    <n v="42.125704376807619"/>
    <x v="2"/>
  </r>
  <r>
    <s v="P0990"/>
    <d v="2025-11-12T00:00:00"/>
    <s v="Rental Car Reinbursement"/>
    <s v="65+"/>
    <n v="3"/>
    <n v="1"/>
    <s v="No"/>
    <s v="0-4,999"/>
    <s v="Fountain Valley (92708)"/>
    <s v="$0-$4,999"/>
    <s v="No"/>
    <s v="No"/>
    <s v="No"/>
    <s v="Yes"/>
    <s v="No"/>
    <s v="Yes"/>
    <s v="No"/>
    <s v="Yes (Medium)"/>
    <s v="No"/>
    <s v="No"/>
    <s v="No"/>
    <s v="No"/>
    <s v="No"/>
    <n v="41.705460452215291"/>
    <n v="41"/>
    <n v="1.27"/>
    <n v="1.22"/>
    <n v="1.34"/>
    <n v="1"/>
    <n v="0.82"/>
    <n v="1.1499999999999999"/>
    <n v="0.82"/>
    <n v="1"/>
    <n v="1"/>
    <n v="1"/>
    <n v="0.88"/>
    <n v="1"/>
    <n v="0.72"/>
    <n v="1"/>
    <n v="1"/>
    <n v="1"/>
    <n v="1"/>
    <n v="1"/>
    <n v="1"/>
    <n v="41.705460452215291"/>
    <n v="0"/>
    <s v="PASS"/>
    <n v="0"/>
    <x v="0"/>
  </r>
  <r>
    <s v="P0991"/>
    <d v="2025-12-15T00:00:00"/>
    <s v="Uninsured Motorist"/>
    <s v="35-44"/>
    <n v="5"/>
    <n v="1"/>
    <s v="No"/>
    <s v="5,000-8,499"/>
    <s v="Santa Ana (92702)"/>
    <s v="$5,000-$14,999"/>
    <s v="No"/>
    <s v="No"/>
    <s v="Yes"/>
    <s v="Yes"/>
    <s v="No"/>
    <s v="Yes"/>
    <s v="No"/>
    <s v="Yes (Low)"/>
    <s v="No"/>
    <s v="No"/>
    <s v="No"/>
    <s v="No"/>
    <s v="No"/>
    <n v="64.077938267906546"/>
    <n v="78"/>
    <n v="1"/>
    <n v="1.07"/>
    <n v="1.34"/>
    <n v="1"/>
    <n v="0.93"/>
    <n v="1.02"/>
    <n v="0.97"/>
    <n v="1"/>
    <n v="1"/>
    <n v="1.1599999999999999"/>
    <n v="0.88"/>
    <n v="1"/>
    <n v="0.61"/>
    <n v="1"/>
    <n v="1"/>
    <n v="1"/>
    <n v="1"/>
    <n v="1"/>
    <n v="1"/>
    <n v="64.077938267906546"/>
    <n v="0"/>
    <s v="PASS"/>
    <n v="0"/>
    <x v="0"/>
  </r>
  <r>
    <s v="P0992"/>
    <d v="2025-12-11T00:00:00"/>
    <s v="Liability"/>
    <s v="25-34"/>
    <n v="5"/>
    <n v="1"/>
    <s v="Yes (Medium Score)"/>
    <s v="0-4,999"/>
    <s v="West Hollywood (90046)"/>
    <s v="$85,000-$149,999"/>
    <s v="No"/>
    <s v="No"/>
    <s v="No"/>
    <s v="Yes"/>
    <s v="No"/>
    <s v="Yes"/>
    <s v="No"/>
    <s v="Yes (High)"/>
    <s v="No"/>
    <s v="No"/>
    <s v="No"/>
    <s v="No"/>
    <s v="Yes"/>
    <n v="1229.8580291795522"/>
    <n v="622"/>
    <n v="1.23"/>
    <n v="1.07"/>
    <n v="1.34"/>
    <n v="0.8"/>
    <n v="0.82"/>
    <n v="1.18"/>
    <n v="2.02"/>
    <n v="1"/>
    <n v="1"/>
    <n v="1"/>
    <n v="0.88"/>
    <n v="1"/>
    <n v="0.84"/>
    <n v="1"/>
    <n v="1"/>
    <n v="1"/>
    <n v="1"/>
    <n v="0.97"/>
    <n v="1"/>
    <n v="1229.8580291795522"/>
    <n v="0"/>
    <s v="PASS"/>
    <n v="0"/>
    <x v="0"/>
  </r>
  <r>
    <s v="P0993"/>
    <d v="2025-06-04T00:00:00"/>
    <s v="Liability"/>
    <s v="45-54"/>
    <n v="7"/>
    <n v="0"/>
    <s v="No"/>
    <s v="0-4,999"/>
    <s v="Hawthorne (90250)"/>
    <s v="$5,000-$14,999"/>
    <s v="No"/>
    <s v="Yes"/>
    <s v="No"/>
    <s v="Yes"/>
    <s v="No"/>
    <s v="Yes"/>
    <s v="No"/>
    <s v="Yes (High)"/>
    <s v="Yes"/>
    <s v="Yes"/>
    <s v="No"/>
    <s v="No"/>
    <s v="No"/>
    <n v="401.45328386890725"/>
    <n v="622"/>
    <n v="1.07"/>
    <n v="0.95"/>
    <n v="1"/>
    <n v="1"/>
    <n v="0.82"/>
    <n v="1.0900000000000001"/>
    <n v="0.97"/>
    <n v="1"/>
    <n v="1.21"/>
    <n v="1"/>
    <n v="0.88"/>
    <n v="1"/>
    <n v="0.84"/>
    <n v="0.92"/>
    <n v="0.89"/>
    <n v="1"/>
    <n v="1"/>
    <n v="1"/>
    <n v="1"/>
    <n v="401.45328386890725"/>
    <n v="0"/>
    <s v="PASS"/>
    <n v="0"/>
    <x v="0"/>
  </r>
  <r>
    <s v="P0994"/>
    <d v="2025-10-01T00:00:00"/>
    <s v="Liability"/>
    <s v="45-54"/>
    <n v="4"/>
    <n v="3"/>
    <s v="No"/>
    <s v="5,000-8,499"/>
    <s v="Hawthorne (90250)"/>
    <s v="$150,000+"/>
    <s v="No"/>
    <s v="No"/>
    <s v="No"/>
    <s v="No"/>
    <s v="No"/>
    <s v="Yes"/>
    <s v="No"/>
    <s v="Yes (Low)"/>
    <s v="No"/>
    <s v="Yes"/>
    <s v="No"/>
    <s v="No"/>
    <s v="No"/>
    <n v="2200.161574895415"/>
    <n v="622"/>
    <n v="1.07"/>
    <n v="1.1499999999999999"/>
    <n v="1.82"/>
    <n v="1"/>
    <n v="0.93"/>
    <n v="1.0900000000000001"/>
    <n v="2.87"/>
    <n v="1"/>
    <n v="1"/>
    <n v="1"/>
    <n v="1"/>
    <n v="1"/>
    <n v="0.61"/>
    <n v="1"/>
    <n v="0.89"/>
    <n v="1"/>
    <n v="1"/>
    <n v="1"/>
    <n v="1"/>
    <n v="2200.161574895415"/>
    <n v="0"/>
    <s v="PASS"/>
    <n v="0"/>
    <x v="0"/>
  </r>
  <r>
    <s v="P0995"/>
    <d v="2025-06-07T00:00:00"/>
    <s v="Collision"/>
    <s v="55-64"/>
    <s v="8+"/>
    <n v="3"/>
    <s v="No"/>
    <s v="8,500-13,499"/>
    <s v="West Hollywood (90046)"/>
    <s v="$150,000+"/>
    <s v="No"/>
    <s v="No"/>
    <s v="No"/>
    <s v="No"/>
    <s v="Yes"/>
    <s v="No"/>
    <s v="Yes (High)"/>
    <s v="No"/>
    <s v="Yes"/>
    <s v="No"/>
    <s v="Yes"/>
    <s v="Yes"/>
    <s v="No"/>
    <n v="1684.0911405912516"/>
    <n v="453"/>
    <n v="1.1200000000000001"/>
    <n v="0.93"/>
    <n v="1.82"/>
    <n v="1"/>
    <n v="1"/>
    <n v="1.18"/>
    <n v="2.87"/>
    <n v="1"/>
    <n v="1"/>
    <n v="1"/>
    <n v="1"/>
    <n v="0.72"/>
    <n v="1"/>
    <n v="0.92"/>
    <n v="1"/>
    <n v="0.93"/>
    <n v="0.94"/>
    <n v="1"/>
    <n v="1"/>
    <n v="1684.0911405912516"/>
    <n v="0"/>
    <s v="PASS"/>
    <n v="0"/>
    <x v="0"/>
  </r>
  <r>
    <s v="P0996"/>
    <d v="2026-01-27T00:00:00"/>
    <s v="Collision"/>
    <s v="65+"/>
    <n v="2"/>
    <s v="5+"/>
    <s v="Yes (High Score)"/>
    <s v="17,000+"/>
    <s v="Silverlake (90026 )"/>
    <s v="$5,000-$14,999"/>
    <s v="No"/>
    <s v="No"/>
    <s v="No"/>
    <s v="No"/>
    <s v="Yes"/>
    <s v="No"/>
    <s v="Yes (Low)"/>
    <s v="No"/>
    <s v="No"/>
    <s v="Yes"/>
    <s v="No"/>
    <s v="No"/>
    <s v="No"/>
    <n v="1720.4887685792919"/>
    <n v="453"/>
    <n v="1.27"/>
    <n v="1.41"/>
    <n v="2.4700000000000002"/>
    <n v="0.65"/>
    <n v="1.31"/>
    <n v="1.1599999999999999"/>
    <n v="0.97"/>
    <n v="1"/>
    <n v="1"/>
    <n v="1"/>
    <n v="1"/>
    <n v="0.95"/>
    <n v="1"/>
    <n v="1"/>
    <n v="0.89"/>
    <n v="1"/>
    <n v="1"/>
    <n v="1"/>
    <n v="1.06"/>
    <n v="1720.4887685792919"/>
    <n v="0"/>
    <s v="PASS"/>
    <n v="0"/>
    <x v="0"/>
  </r>
  <r>
    <s v="P0997"/>
    <d v="2025-11-27T00:00:00"/>
    <s v="Collision"/>
    <s v="35-44"/>
    <n v="1"/>
    <n v="2"/>
    <s v="No"/>
    <s v="0-4,999"/>
    <s v="DTLA (90012)"/>
    <s v="$150,000+"/>
    <s v="Yes"/>
    <s v="No"/>
    <s v="Yes"/>
    <s v="No"/>
    <s v="Yes"/>
    <s v="No"/>
    <s v="Yes (Medium)"/>
    <s v="No"/>
    <s v="No"/>
    <s v="No"/>
    <s v="No"/>
    <s v="No"/>
    <s v="No"/>
    <n v="4258.8004119364723"/>
    <n v="453"/>
    <n v="1"/>
    <n v="1.64"/>
    <n v="1.55"/>
    <n v="1"/>
    <n v="0.82"/>
    <n v="1.26"/>
    <n v="2.87"/>
    <n v="1.28"/>
    <n v="1"/>
    <n v="1.1599999999999999"/>
    <n v="1"/>
    <n v="0.84"/>
    <n v="1"/>
    <n v="1"/>
    <n v="1"/>
    <n v="1"/>
    <n v="1"/>
    <n v="1"/>
    <n v="1"/>
    <n v="4258.8004119364723"/>
    <n v="0"/>
    <s v="PASS"/>
    <n v="0"/>
    <x v="0"/>
  </r>
  <r>
    <s v="P0998"/>
    <d v="2025-08-16T00:00:00"/>
    <s v="Liability"/>
    <s v="55-64"/>
    <n v="4"/>
    <n v="2"/>
    <s v="Yes (Medium Score)"/>
    <s v="5,000-8,499"/>
    <s v="Compton (90220)"/>
    <s v="$5,000-$14,999"/>
    <s v="Yes"/>
    <s v="No"/>
    <s v="No"/>
    <s v="No"/>
    <s v="No"/>
    <s v="Yes"/>
    <s v="No"/>
    <s v="Yes (Medium)"/>
    <s v="No"/>
    <s v="No"/>
    <s v="Yes"/>
    <s v="Yes"/>
    <s v="No"/>
    <n v="1126.3165931490034"/>
    <n v="622"/>
    <n v="1.1200000000000001"/>
    <n v="1.1499999999999999"/>
    <n v="1.55"/>
    <n v="0.8"/>
    <n v="0.93"/>
    <n v="1.56"/>
    <n v="0.97"/>
    <n v="1.28"/>
    <n v="1"/>
    <n v="1"/>
    <n v="1"/>
    <n v="1"/>
    <n v="0.72"/>
    <n v="1"/>
    <n v="1"/>
    <n v="0.93"/>
    <n v="0.94"/>
    <n v="1"/>
    <n v="1"/>
    <n v="1126.3165931490034"/>
    <n v="0"/>
    <s v="PASS"/>
    <n v="0"/>
    <x v="0"/>
  </r>
  <r>
    <s v="P0999"/>
    <d v="2025-07-06T00:00:00"/>
    <s v="Liability"/>
    <s v="25-34"/>
    <n v="3"/>
    <n v="4"/>
    <s v="No"/>
    <s v="17,000+"/>
    <s v="Anaheim (92801)"/>
    <s v="$15,000-$24,999"/>
    <s v="No"/>
    <s v="Yes"/>
    <s v="No"/>
    <s v="Yes"/>
    <s v="No"/>
    <s v="Yes"/>
    <s v="No"/>
    <s v="Yes (High)"/>
    <s v="Yes"/>
    <s v="No"/>
    <s v="No"/>
    <s v="No"/>
    <s v="Yes"/>
    <n v="2480.3679318115219"/>
    <n v="622"/>
    <n v="1.23"/>
    <n v="1.22"/>
    <n v="2.12"/>
    <n v="1"/>
    <n v="1.31"/>
    <n v="1.1100000000000001"/>
    <n v="1.08"/>
    <n v="1"/>
    <n v="1.21"/>
    <n v="1"/>
    <n v="0.88"/>
    <n v="1"/>
    <n v="0.84"/>
    <n v="0.92"/>
    <n v="1"/>
    <n v="1"/>
    <n v="1"/>
    <n v="0.97"/>
    <n v="1"/>
    <n v="2480.3679318115219"/>
    <n v="0"/>
    <s v="PASS"/>
    <n v="0"/>
    <x v="0"/>
  </r>
  <r>
    <s v="P1000"/>
    <d v="2025-05-27T00:00:00"/>
    <s v="Collision"/>
    <s v="45-54"/>
    <n v="5"/>
    <n v="4"/>
    <s v="No"/>
    <s v="13,500-16,999"/>
    <s v="Anaheim (92801)"/>
    <s v="$150,000+"/>
    <s v="No"/>
    <s v="No"/>
    <s v="No"/>
    <s v="Yes"/>
    <s v="Yes"/>
    <s v="No"/>
    <s v="Yes (Low)"/>
    <s v="No"/>
    <s v="No"/>
    <s v="No"/>
    <s v="No"/>
    <s v="No"/>
    <s v="No"/>
    <n v="3455.371752392587"/>
    <n v="453"/>
    <n v="1.07"/>
    <n v="1.07"/>
    <n v="2.12"/>
    <n v="1"/>
    <n v="1.18"/>
    <n v="1.1100000000000001"/>
    <n v="2.87"/>
    <n v="1"/>
    <n v="1"/>
    <n v="1"/>
    <n v="0.88"/>
    <n v="0.95"/>
    <n v="1"/>
    <n v="1"/>
    <n v="1"/>
    <n v="1"/>
    <n v="1"/>
    <n v="1"/>
    <n v="1"/>
    <n v="3455.371752392587"/>
    <n v="0"/>
    <s v="PASS"/>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3D2FC1-CEFB-4BEE-BBFE-28B6C5F2D3D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14" firstHeaderRow="0" firstDataRow="1" firstDataCol="1"/>
  <pivotFields count="49">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64" showAll="0"/>
    <pivotField showAll="0"/>
    <pivotField dataField="1" numFmtId="164" showAll="0"/>
    <pivotField axis="axisRow" dataField="1" showAll="0">
      <items count="17">
        <item x="0"/>
        <item x="1"/>
        <item m="1" x="15"/>
        <item x="10"/>
        <item m="1" x="13"/>
        <item x="2"/>
        <item x="3"/>
        <item x="4"/>
        <item x="6"/>
        <item x="8"/>
        <item m="1" x="12"/>
        <item m="1" x="14"/>
        <item x="7"/>
        <item x="5"/>
        <item x="11"/>
        <item x="9"/>
        <item t="default"/>
      </items>
    </pivotField>
  </pivotFields>
  <rowFields count="1">
    <field x="48"/>
  </rowFields>
  <rowItems count="13">
    <i>
      <x/>
    </i>
    <i>
      <x v="1"/>
    </i>
    <i>
      <x v="3"/>
    </i>
    <i>
      <x v="5"/>
    </i>
    <i>
      <x v="6"/>
    </i>
    <i>
      <x v="7"/>
    </i>
    <i>
      <x v="8"/>
    </i>
    <i>
      <x v="9"/>
    </i>
    <i>
      <x v="12"/>
    </i>
    <i>
      <x v="13"/>
    </i>
    <i>
      <x v="14"/>
    </i>
    <i>
      <x v="15"/>
    </i>
    <i t="grand">
      <x/>
    </i>
  </rowItems>
  <colFields count="1">
    <field x="-2"/>
  </colFields>
  <colItems count="4">
    <i>
      <x/>
    </i>
    <i i="1">
      <x v="1"/>
    </i>
    <i i="2">
      <x v="2"/>
    </i>
    <i i="3">
      <x v="3"/>
    </i>
  </colItems>
  <dataFields count="4">
    <dataField name="Count of Likely Issue" fld="48" subtotal="count" baseField="0" baseItem="0"/>
    <dataField name="Percent of Test Cases" fld="48" subtotal="count" showDataAs="percentOfCol" baseField="0" baseItem="0" numFmtId="10"/>
    <dataField name="Sum of Difference" fld="45" baseField="0" baseItem="0" numFmtId="164"/>
    <dataField name="Sum of Absolute Difference" fld="47" baseField="0" baseItem="0" numFmtId="164"/>
  </dataFields>
  <formats count="14">
    <format dxfId="19">
      <pivotArea collapsedLevelsAreSubtotals="1" fieldPosition="0">
        <references count="2">
          <reference field="4294967294" count="1" selected="0">
            <x v="1"/>
          </reference>
          <reference field="48" count="0"/>
        </references>
      </pivotArea>
    </format>
    <format dxfId="18">
      <pivotArea dataOnly="0" labelOnly="1" outline="0" fieldPosition="0">
        <references count="1">
          <reference field="4294967294" count="4">
            <x v="0"/>
            <x v="1"/>
            <x v="2"/>
            <x v="3"/>
          </reference>
        </references>
      </pivotArea>
    </format>
    <format dxfId="17">
      <pivotArea grandRow="1" outline="0" collapsedLevelsAreSubtotals="1" fieldPosition="0"/>
    </format>
    <format dxfId="16">
      <pivotArea field="48" type="button" dataOnly="0" labelOnly="1" outline="0" axis="axisRow" fieldPosition="0"/>
    </format>
    <format dxfId="15">
      <pivotArea dataOnly="0" labelOnly="1" fieldPosition="0">
        <references count="1">
          <reference field="48" count="0"/>
        </references>
      </pivotArea>
    </format>
    <format dxfId="14">
      <pivotArea dataOnly="0" labelOnly="1" grandRow="1" outline="0" fieldPosition="0"/>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 dxfId="11">
      <pivotArea outline="0" collapsedLevelsAreSubtotals="1" fieldPosition="0">
        <references count="1">
          <reference field="4294967294" count="1" selected="0">
            <x v="1"/>
          </reference>
        </references>
      </pivotArea>
    </format>
    <format dxfId="10">
      <pivotArea dataOnly="0" labelOnly="1" outline="0" fieldPosition="0">
        <references count="1">
          <reference field="4294967294" count="1">
            <x v="1"/>
          </reference>
        </references>
      </pivotArea>
    </format>
    <format dxfId="9">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 dxfId="7">
      <pivotArea outline="0" collapsedLevelsAreSubtotals="1" fieldPosition="0">
        <references count="1">
          <reference field="4294967294" count="1" selected="0">
            <x v="3"/>
          </reference>
        </references>
      </pivotArea>
    </format>
    <format dxfId="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EFBE54-52A9-4895-9E09-8547EFDB84B8}" name="Table1" displayName="Table1" ref="C10:D19" totalsRowShown="0">
  <autoFilter ref="C10:D19" xr:uid="{68EFBE54-52A9-4895-9E09-8547EFDB84B8}"/>
  <tableColumns count="2">
    <tableColumn id="1" xr3:uid="{7C884328-E8DA-4076-B5B9-194EE9295BA9}" name="Years Driving"/>
    <tableColumn id="2" xr3:uid="{0A9C695D-0DAB-44B7-BD3D-5983DA1773C7}" name="Years Driving Facto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C80FBA-0360-4611-8140-5FD3837B9B08}" name="Table2" displayName="Table2" ref="C22:D28" totalsRowShown="0">
  <autoFilter ref="C22:D28" xr:uid="{A4C80FBA-0360-4611-8140-5FD3837B9B08}"/>
  <tableColumns count="2">
    <tableColumn id="1" xr3:uid="{0CE101AE-0DD5-47A5-AECF-AB11AF21093E}" name="At Fault Accidents"/>
    <tableColumn id="2" xr3:uid="{A5053A0D-A320-404D-AE41-49FB05832136}" name="At Fault Accident Facto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B8C457-A213-4B90-AF60-BF4A76603FA6}" name="Table3" displayName="Table3" ref="C31:D35" totalsRowShown="0">
  <autoFilter ref="C31:D35" xr:uid="{C9B8C457-A213-4B90-AF60-BF4A76603FA6}"/>
  <tableColumns count="2">
    <tableColumn id="1" xr3:uid="{9EFC9AA6-D7FD-4020-9E5D-F0F47F3AC4AC}" name="Usage-Based Insurance"/>
    <tableColumn id="2" xr3:uid="{B9B0ED2D-46E6-44C4-95C1-C57807856245}" name="Usage-Based Insurance Dis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0EF45A-E6CE-45E4-BFD9-3D41FC8CB6DD}" name="Table4" displayName="Table4" ref="C38:D43" totalsRowShown="0">
  <autoFilter ref="C38:D43" xr:uid="{FA0EF45A-E6CE-45E4-BFD9-3D41FC8CB6DD}"/>
  <tableColumns count="2">
    <tableColumn id="1" xr3:uid="{640694EB-320D-4A8D-89E5-A7FAA829C355}" name="Yearly Miles"/>
    <tableColumn id="2" xr3:uid="{5FB9C017-8344-4306-A778-2C1DF5A8699D}" name="Yearly Miles Facto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9018D7-97A6-4CE3-A882-1AA7B48A2AD7}" name="Table5" displayName="Table5" ref="C46:D70" totalsRowShown="0">
  <autoFilter ref="C46:D70" xr:uid="{379018D7-97A6-4CE3-A882-1AA7B48A2AD7}"/>
  <tableColumns count="2">
    <tableColumn id="1" xr3:uid="{84333A2A-ED72-4B4F-BC21-71B3CE44C814}" name="City/Zip Code"/>
    <tableColumn id="2" xr3:uid="{7CB3A7FE-EDC3-47EC-997E-D15656769E96}" name="City/Zip Code Facto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8E3AFCE-3E44-4DCD-8CDE-BDB9A0BB7D17}" name="Table6" displayName="Table6" ref="C73:D80" totalsRowShown="0">
  <autoFilter ref="C73:D80" xr:uid="{08E3AFCE-3E44-4DCD-8CDE-BDB9A0BB7D17}"/>
  <tableColumns count="2">
    <tableColumn id="1" xr3:uid="{819324F5-772E-4C62-B11F-BDD567BAAAAD}" name="Vehicle Price"/>
    <tableColumn id="2" xr3:uid="{05FDB4EB-8D88-4CB4-976B-17865E337114}" name="Vehicle Price Facto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FC3620-3D59-40C2-8C88-B6385BDC11A6}" name="Table7" displayName="Table7" ref="C83:D85" totalsRowShown="0">
  <autoFilter ref="C83:D85" xr:uid="{D7FC3620-3D59-40C2-8C88-B6385BDC11A6}"/>
  <tableColumns count="2">
    <tableColumn id="1" xr3:uid="{07EBAED2-F567-47EB-8E9F-E215B97853FC}" name="Exotic Car"/>
    <tableColumn id="2" xr3:uid="{A6E2B0F8-D8C7-4822-8081-75B7A3ADF389}" name="Exotic Car Facto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1EDC5FF-474A-4D8F-A00F-482DF68CA260}" name="Table8" displayName="Table8" ref="C88:D90" totalsRowShown="0">
  <autoFilter ref="C88:D90" xr:uid="{B1EDC5FF-474A-4D8F-A00F-482DF68CA260}"/>
  <tableColumns count="2">
    <tableColumn id="1" xr3:uid="{763831D3-CB6F-4DED-8AB9-24ECBAB4B6B9}" name="Difficult Parts"/>
    <tableColumn id="2" xr3:uid="{4CF5C0F5-6525-422F-A1BC-E0205D8E63FC}" name="Difficult Parts Factor"/>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C8F34-B808-44A6-9CDE-92D3A730086E}" name="Table9" displayName="Table9" ref="C93:D95" totalsRowShown="0">
  <autoFilter ref="C93:D95" xr:uid="{E05C8F34-B808-44A6-9CDE-92D3A730086E}"/>
  <tableColumns count="2">
    <tableColumn id="1" xr3:uid="{97FD43AE-847F-459C-99DA-41E3A5C07AB2}" name="High Theft Rate"/>
    <tableColumn id="2" xr3:uid="{24B23574-25CA-4903-A229-3C59CC18D64B}" name="High Theft Rate Factor"/>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145E3FE-A194-4639-BF39-49FE3B485FA5}" name="Table10" displayName="Table10" ref="C98:D100" totalsRowShown="0">
  <autoFilter ref="C98:D100" xr:uid="{8145E3FE-A194-4639-BF39-49FE3B485FA5}"/>
  <tableColumns count="2">
    <tableColumn id="1" xr3:uid="{2148BA69-1F93-4BEE-87FE-71BC5338423B}" name="Advanced Safety Features"/>
    <tableColumn id="2" xr3:uid="{0AC0714D-9AB4-4FC9-9961-EB167666C410}" name="Advanced Safety Features Factor"/>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294046F-394F-48CF-8E57-CA233A9A0B4A}" name="CoverageTable" displayName="CoverageTable" ref="C103:F108" totalsRowShown="0">
  <autoFilter ref="C103:F108" xr:uid="{8294046F-394F-48CF-8E57-CA233A9A0B4A}"/>
  <tableColumns count="4">
    <tableColumn id="1" xr3:uid="{77C2E56C-E3FA-46FF-9A8D-77B532A0D3E8}" name="Coverage"/>
    <tableColumn id="2" xr3:uid="{F07B5C92-74AD-4C88-A66A-A4EA02AC87AE}" name="Base Rate"/>
    <tableColumn id="3" xr3:uid="{E6E5DA6D-3C5E-499C-9D8B-EF4267C74D4B}" name="Deductible Applies"/>
    <tableColumn id="4" xr3:uid="{AE526708-F81A-4359-B5D3-A5CB9222802C}" name="Coverage Limit Appli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6745754-329B-479F-ADC0-5C60CA911952}" name="Table12" displayName="Table12" ref="C111:D115" totalsRowShown="0">
  <autoFilter ref="C111:D115" xr:uid="{26745754-329B-479F-ADC0-5C60CA911952}"/>
  <tableColumns count="2">
    <tableColumn id="1" xr3:uid="{22292075-CBEE-4F1F-AAF6-6A6710C56A72}" name="Deductible"/>
    <tableColumn id="2" xr3:uid="{8C38571F-5FBC-48DF-9D79-A868535C69EE}" name="Deductible Factor"/>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EB7A3E4-099C-40E8-BD43-A6E5F5C615A0}" name="Table13" displayName="Table13" ref="C118:D122" totalsRowShown="0">
  <autoFilter ref="C118:D122" xr:uid="{9EB7A3E4-099C-40E8-BD43-A6E5F5C615A0}"/>
  <tableColumns count="2">
    <tableColumn id="1" xr3:uid="{62CACC19-340D-4DBD-B3AD-D0820C639253}" name="Coverage Limit"/>
    <tableColumn id="2" xr3:uid="{8E658670-6A45-4979-91BB-8D86D3B53A10}" name="Coverage Limit Factor"/>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8903100-C472-4381-AF55-4C916191B639}" name="Table15" displayName="Table15" ref="C125:D130" totalsRowShown="0">
  <autoFilter ref="C125:D130" xr:uid="{08903100-C472-4381-AF55-4C916191B639}"/>
  <tableColumns count="2">
    <tableColumn id="1" xr3:uid="{8506419C-C6AC-4CC7-880D-00E14BB51096}" name="Discount"/>
    <tableColumn id="2" xr3:uid="{719793F4-2938-41A1-865F-4EDC290A0E12}" name="Discount Factor"/>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6731E8-40E7-4C05-B61F-B34F46C3E510}" name="Table16" displayName="Table16" ref="C1:D7" totalsRowShown="0">
  <autoFilter ref="C1:D7" xr:uid="{056731E8-40E7-4C05-B61F-B34F46C3E510}"/>
  <tableColumns count="2">
    <tableColumn id="1" xr3:uid="{60EF951C-1D6D-42B2-9C63-8FE675346952}" name="Ageband"/>
    <tableColumn id="2" xr3:uid="{0F5FEC90-7BC9-4830-837B-99DBAFAB3538}" name="Ageband Factor"/>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DF67C78-4089-4C09-9D06-393EB0160A38}" name="RateChangeTable" displayName="RateChangeTable" ref="C133:D134" totalsRowShown="0">
  <autoFilter ref="C133:D134" xr:uid="{FDF67C78-4089-4C09-9D06-393EB0160A38}"/>
  <tableColumns count="2">
    <tableColumn id="1" xr3:uid="{1F6074AD-93BA-4949-AFE3-D7EC6B036BD8}" name="Effective Date" dataDxfId="90"/>
    <tableColumn id="2" xr3:uid="{F70B3600-2BE8-4F1C-AB95-1A892C521732}" name="Rate Change Factor"/>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F614464-84B5-42D1-A0FA-0B05F795FA98}" name="Table18" displayName="Table18" ref="A1:W1001" totalsRowShown="0">
  <autoFilter ref="A1:W1001" xr:uid="{4F614464-84B5-42D1-A0FA-0B05F795FA98}"/>
  <tableColumns count="23">
    <tableColumn id="1" xr3:uid="{D1137869-4413-4A23-B3CD-E050F991D0CA}" name="PolicyID"/>
    <tableColumn id="2" xr3:uid="{3D3EBE96-1BC6-41E6-8D00-A8F121AF2CAC}" name="Effective Date" dataDxfId="89"/>
    <tableColumn id="3" xr3:uid="{CDFAE01D-47D6-445C-89EB-842B2F89DFD9}" name="Coverage" dataDxfId="88"/>
    <tableColumn id="4" xr3:uid="{1AD51C5E-5251-400F-8E5A-F00D08542E8E}" name="Ageband" dataDxfId="87"/>
    <tableColumn id="5" xr3:uid="{EB47309B-0E20-47D8-B236-287E614038DC}" name="Years Driving" dataDxfId="86"/>
    <tableColumn id="6" xr3:uid="{9AB15FA7-F17E-4C83-8DD8-C90402E0AFC3}" name="At Fault Accidents" dataDxfId="85"/>
    <tableColumn id="7" xr3:uid="{B3672221-AB1E-444B-837A-5DDBC9A062B7}" name="Usage-Based Insurance" dataDxfId="84"/>
    <tableColumn id="8" xr3:uid="{714AEA3C-DA6B-400C-975B-852AEF818694}" name="Yearly Miles" dataDxfId="83"/>
    <tableColumn id="9" xr3:uid="{97873F9A-EF41-48DE-B40A-66341B319A7A}" name="City/Zip Code" dataDxfId="82"/>
    <tableColumn id="10" xr3:uid="{6F233F49-0649-4048-9B21-F4F870F148FB}" name="Vehicle Price" dataDxfId="81"/>
    <tableColumn id="11" xr3:uid="{98D262A9-3D59-438F-996B-DF12DCD6D6A8}" name="Exotic Car" dataDxfId="80"/>
    <tableColumn id="12" xr3:uid="{759CA535-FFC0-48FE-A1F1-98F370083392}" name="Difficult Parts" dataDxfId="79"/>
    <tableColumn id="13" xr3:uid="{09B6EDE4-A334-44C1-8A17-D5563442BAD1}" name="High Theft Rate" dataDxfId="78"/>
    <tableColumn id="14" xr3:uid="{B586AE92-A7DC-40B2-A11F-D2F9651D57C0}" name="Advanced Safety Features" dataDxfId="77"/>
    <tableColumn id="15" xr3:uid="{6516A0E0-EC31-4BA5-83E8-C24A491045B5}" name="Deductible Applies" dataDxfId="76">
      <calculatedColumnFormula>INDEX(CoverageTable[Deductible Applies],MATCH(Table18[[#This Row],[Coverage]],CoverageTable[Coverage],0))</calculatedColumnFormula>
    </tableColumn>
    <tableColumn id="16" xr3:uid="{4E617F13-ED19-455A-9101-6DA07B25E498}" name="Coverage Limit Applies" dataDxfId="75">
      <calculatedColumnFormula>INDEX(CoverageTable[Coverage Limit Applies],MATCH(Table18[[#This Row],[Coverage]],CoverageTable[Coverage],0))</calculatedColumnFormula>
    </tableColumn>
    <tableColumn id="17" xr3:uid="{FE3D3878-8B63-473C-A230-DF93D2FB8D64}" name="Deductible" dataDxfId="74"/>
    <tableColumn id="18" xr3:uid="{18E0922D-43E1-43C6-ACBC-2E3D95D24B48}" name="Coverage Limit" dataDxfId="73"/>
    <tableColumn id="19" xr3:uid="{2BE0CC6A-C344-4827-B3EA-66AFC669D196}" name="Good Student Discount" dataDxfId="72"/>
    <tableColumn id="20" xr3:uid="{BCA85EBF-3471-4F6A-A3C4-44329CE092EE}" name="Good Driver Discount" dataDxfId="71"/>
    <tableColumn id="21" xr3:uid="{B0604C33-1755-47E6-8754-4FA937B70135}" name="Multi Policy Discount" dataDxfId="70"/>
    <tableColumn id="22" xr3:uid="{3721945B-737F-4C20-AF55-6BEA57BE892E}" name="Loyal Customer Discount" dataDxfId="69"/>
    <tableColumn id="23" xr3:uid="{E9BE7119-1605-4E69-A8C9-98F2655C98C7}" name="Organization Discount" dataDxfId="6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AEDAC4F-9D55-4667-B035-3DEF6F18ED2A}" name="Table1820" displayName="Table1820" ref="A1:AW1001" totalsRowShown="0">
  <autoFilter ref="A1:AW1001" xr:uid="{6AEDAC4F-9D55-4667-B035-3DEF6F18ED2A}"/>
  <tableColumns count="49">
    <tableColumn id="1" xr3:uid="{DE034454-8729-4969-998E-67FF4614C9D3}" name="PolicyID"/>
    <tableColumn id="2" xr3:uid="{B1D54D82-3AD6-4ABD-9A59-4DC21D4E21F6}" name="Effective Date" dataDxfId="67"/>
    <tableColumn id="3" xr3:uid="{EF2852A1-1993-4F5C-B56A-4327356D07F1}" name="Coverage" dataDxfId="66"/>
    <tableColumn id="4" xr3:uid="{8F2B9CE0-E3CE-4D83-8B98-25FD93AD9AB6}" name="Ageband" dataDxfId="65"/>
    <tableColumn id="5" xr3:uid="{97AA270E-20D2-4FA3-B07F-B13BFB49474E}" name="Years Driving" dataDxfId="64"/>
    <tableColumn id="6" xr3:uid="{7E925E1E-BBF4-472C-AC27-B686CD85F94A}" name="At Fault Accidents" dataDxfId="63"/>
    <tableColumn id="7" xr3:uid="{86E4A5B9-B850-4B0F-A528-8B91AB413DCD}" name="Usage-Based Insurance" dataDxfId="62"/>
    <tableColumn id="8" xr3:uid="{848A4B97-3172-4296-8089-520C2782EC57}" name="Yearly Miles" dataDxfId="61"/>
    <tableColumn id="9" xr3:uid="{AB2D80B0-D3A4-4BF9-BE64-B9C3D53D45F1}" name="City/Zip Code" dataDxfId="60"/>
    <tableColumn id="10" xr3:uid="{A71BE5A1-48FE-4843-B09C-3EA2E6AE4C53}" name="Vehicle Price" dataDxfId="59"/>
    <tableColumn id="11" xr3:uid="{87E597B9-9AB5-4C97-A8AC-299CA2802990}" name="Exotic Car" dataDxfId="58"/>
    <tableColumn id="12" xr3:uid="{412C1E4D-B053-498E-93DF-D9ACB0185434}" name="Difficult Parts" dataDxfId="57"/>
    <tableColumn id="13" xr3:uid="{54BC26FB-2BDF-49A8-A159-4F2D553EFAE1}" name="High Theft Rate" dataDxfId="56"/>
    <tableColumn id="14" xr3:uid="{DC698C81-1859-499B-A686-8094C4C9046C}" name="Advanced Safety Features" dataDxfId="55"/>
    <tableColumn id="15" xr3:uid="{9A59453E-D38B-43F6-8E25-F7CA0FFCD0BC}" name="Deductible Applies" dataDxfId="54">
      <calculatedColumnFormula>INDEX(CoverageTable[Deductible Applies],MATCH(Table1820[[#This Row],[Coverage]],CoverageTable[Coverage],0))</calculatedColumnFormula>
    </tableColumn>
    <tableColumn id="16" xr3:uid="{59DD1813-8B8D-4DFB-8106-95997CF24767}" name="Coverage Limit Applies" dataDxfId="53">
      <calculatedColumnFormula>INDEX(CoverageTable[Coverage Limit Applies],MATCH(Table1820[[#This Row],[Coverage]],CoverageTable[Coverage],0))</calculatedColumnFormula>
    </tableColumn>
    <tableColumn id="17" xr3:uid="{D32EF3D4-DED3-41FD-8DBC-6F41EB05B72E}" name="Deductible" dataDxfId="52"/>
    <tableColumn id="18" xr3:uid="{831B0C7F-5CD7-4CC0-A7C9-34178AC635CB}" name="Coverage Limit" dataDxfId="51"/>
    <tableColumn id="19" xr3:uid="{849F1C1B-E2CA-4426-89F3-19E456CC0869}" name="Good Student Discount" dataDxfId="50"/>
    <tableColumn id="20" xr3:uid="{DF813274-9FC4-476C-AD32-D1B4A5C6FB55}" name="Good Driver Discount" dataDxfId="49"/>
    <tableColumn id="21" xr3:uid="{D7D770E9-CA18-4C1E-8A68-D4F6E322DE36}" name="Multi Policy Discount" dataDxfId="48"/>
    <tableColumn id="22" xr3:uid="{A663FD09-BDC0-4886-B613-7896F86CBAA4}" name="Loyal Customer Discount" dataDxfId="47"/>
    <tableColumn id="23" xr3:uid="{1E06AD74-476A-4179-ABBA-E07905ADA98B}" name="Organization Discount" dataDxfId="46"/>
    <tableColumn id="44" xr3:uid="{80D9B3C4-36D6-4AB1-A1D6-A13E6D1DE8DD}" name="System-Generated Premium" dataDxfId="45"/>
    <tableColumn id="24" xr3:uid="{DDC21A57-E58C-43E9-82CE-A10FFF0FA5AB}" name="Base Rate" dataDxfId="44">
      <calculatedColumnFormula>_xlfn.XLOOKUP(Table1820[[#This Row],[Coverage]],CoverageTable[Coverage],CoverageTable[Base Rate],,0)</calculatedColumnFormula>
    </tableColumn>
    <tableColumn id="25" xr3:uid="{E5F5265C-153C-435E-B318-848D2DDF4344}" name="Ageband Factor" dataDxfId="43">
      <calculatedColumnFormula>INDEX(Table16[Ageband Factor],MATCH(Table1820[[#This Row],[Ageband]],Table16[Ageband],0))</calculatedColumnFormula>
    </tableColumn>
    <tableColumn id="26" xr3:uid="{376A2F4B-C19E-471F-B2F3-F10D973685A3}" name="Years Driving Factor" dataDxfId="42">
      <calculatedColumnFormula>VLOOKUP(Table1820[[#This Row],[Years Driving]],Table1[],2)</calculatedColumnFormula>
    </tableColumn>
    <tableColumn id="27" xr3:uid="{C7948DC4-9E0F-46B4-9F8C-196769A3A5FC}" name="At Fault Accidents Factor" dataDxfId="41">
      <calculatedColumnFormula>_xlfn.XLOOKUP(Table1820[[#This Row],[At Fault Accidents]],Table2[At Fault Accidents],Table2[At Fault Accident Factor],,0)</calculatedColumnFormula>
    </tableColumn>
    <tableColumn id="28" xr3:uid="{CAF5A2D8-F9F3-4ECF-B132-625FC1FD018C}" name="Usage Based Insurance Factor" dataDxfId="40">
      <calculatedColumnFormula>_xlfn.XLOOKUP(Table1820[[#This Row],[Usage-Based Insurance]],Table3[Usage-Based Insurance],Table3[Usage-Based Insurance Discount],,0)</calculatedColumnFormula>
    </tableColumn>
    <tableColumn id="29" xr3:uid="{AE138F90-ADC4-48FB-9A98-02D8BE540F75}" name="Yearly Miles Factor" dataDxfId="39">
      <calculatedColumnFormula>_xlfn.XLOOKUP(Table1820[[#This Row],[Yearly Miles]],Table4[Yearly Miles],Table4[Yearly Miles Factor],,0)</calculatedColumnFormula>
    </tableColumn>
    <tableColumn id="30" xr3:uid="{AA174315-9179-4952-95B6-753822EA07B2}" name="City/ Zip Code Factor" dataDxfId="38">
      <calculatedColumnFormula>_xlfn.XLOOKUP(Table1820[[#This Row],[City/Zip Code]],Table5[City/Zip Code],Table5[City/Zip Code Factor],,0)</calculatedColumnFormula>
    </tableColumn>
    <tableColumn id="31" xr3:uid="{FBB27AB9-6CAC-44A7-85FD-2D939EC82F52}" name="Vehicle Price Factor" dataDxfId="37">
      <calculatedColumnFormula>_xlfn.XLOOKUP(Table1820[[#This Row],[Vehicle Price]],Table6[Vehicle Price],Table6[Vehicle Price Factor])</calculatedColumnFormula>
    </tableColumn>
    <tableColumn id="32" xr3:uid="{2BB2F436-992F-4855-964A-C75DB9BBBC9E}" name="Exotic Car Factor" dataDxfId="36">
      <calculatedColumnFormula>_xlfn.XLOOKUP(Table1820[[#This Row],[Exotic Car]],Table7[Exotic Car],Table7[Exotic Car Factor],,0)</calculatedColumnFormula>
    </tableColumn>
    <tableColumn id="33" xr3:uid="{DA45BDA0-5156-4CD9-97D3-A7C20026694A}" name="Difficult Parts Factor" dataDxfId="35">
      <calculatedColumnFormula>_xlfn.XLOOKUP(Table1820[[#This Row],[Difficult Parts]],Table8[Difficult Parts],Table8[Difficult Parts Factor],,0)</calculatedColumnFormula>
    </tableColumn>
    <tableColumn id="34" xr3:uid="{2718015F-4592-4438-9953-1CFE79CDA1CE}" name="High Theft Rate Factor" dataDxfId="34">
      <calculatedColumnFormula>_xlfn.XLOOKUP(Table1820[[#This Row],[High Theft Rate]],Table9[High Theft Rate],Table9[High Theft Rate Factor],,0)</calculatedColumnFormula>
    </tableColumn>
    <tableColumn id="35" xr3:uid="{C8C05E77-0E7B-44DD-B95D-6D704100D127}" name="Advanced Safety Features Factor" dataDxfId="33">
      <calculatedColumnFormula>_xlfn.XLOOKUP(Table1820[[#This Row],[Advanced Safety Features]],Table10[Advanced Safety Features],Table10[Advanced Safety Features Factor],,0)</calculatedColumnFormula>
    </tableColumn>
    <tableColumn id="36" xr3:uid="{34284D86-591C-4902-A2E1-EF564F0E6103}" name="Deductible Factor" dataDxfId="32">
      <calculatedColumnFormula>_xlfn.XLOOKUP(Table1820[[#This Row],[Deductible]],Table12[Deductible],Table12[Deductible Factor],,0)</calculatedColumnFormula>
    </tableColumn>
    <tableColumn id="37" xr3:uid="{6D39013F-802F-4B1D-85FE-220080ED60F3}" name="Coverage Limit Factor" dataDxfId="31">
      <calculatedColumnFormula>_xlfn.XLOOKUP(Table1820[[#This Row],[Coverage Limit]],Table13[Coverage Limit],Table13[Coverage Limit Factor],,0)</calculatedColumnFormula>
    </tableColumn>
    <tableColumn id="38" xr3:uid="{B30F1952-0CF4-426F-B12E-77E39CDF66D9}" name="Good Student Factor" dataDxfId="30">
      <calculatedColumnFormula>IF(Table1820[[#This Row],[Good Student Discount]]="Yes",'Rate Book'!$D$126,1)</calculatedColumnFormula>
    </tableColumn>
    <tableColumn id="39" xr3:uid="{97ABF301-2A1C-4E1F-AE36-81241202B07B}" name="Good Driver Factor" dataDxfId="29">
      <calculatedColumnFormula>IF(Table1820[[#This Row],[Good Driver Discount]]="Yes",'Rate Book'!$D$127,1)</calculatedColumnFormula>
    </tableColumn>
    <tableColumn id="40" xr3:uid="{EED93D64-56AA-47DB-9799-2C64DE8389D0}" name="Multi Policy Factor" dataDxfId="28">
      <calculatedColumnFormula>IF(Table1820[[#This Row],[Multi Policy Discount]]="Yes",'Rate Book'!$D$128,1)</calculatedColumnFormula>
    </tableColumn>
    <tableColumn id="41" xr3:uid="{1280E7A5-B388-4136-8F74-7DEE33CDE510}" name="Loyal Customer Factor" dataDxfId="27">
      <calculatedColumnFormula>IF(Table1820[[#This Row],[Loyal Customer Discount]]="Yes",'Rate Book'!$D$129,1)</calculatedColumnFormula>
    </tableColumn>
    <tableColumn id="42" xr3:uid="{244225D7-0487-4888-A4F7-4139A782C5F2}" name="Organization Factor" dataDxfId="26">
      <calculatedColumnFormula>IF(Table1820[[#This Row],[Organization Discount]]="Yes",'Rate Book'!$D$130,1)</calculatedColumnFormula>
    </tableColumn>
    <tableColumn id="43" xr3:uid="{11D86309-4B7C-46E5-ADA9-AEA6D6359CD2}" name="Rate Change Factor" dataDxfId="25">
      <calculatedColumnFormula array="1">IF(Table1820[[#This Row],[Effective Date]]&gt;=RateChangeTable[Effective Date],RateChangeTable[Rate Change Factor],1)</calculatedColumnFormula>
    </tableColumn>
    <tableColumn id="45" xr3:uid="{8DD50E4D-F7D0-40ED-ABEA-333DC67107E6}" name="Expected Premium" dataDxfId="24">
      <calculatedColumnFormula>PRODUCT(Table1820[[#This Row],[Base Rate]:[Rate Change Factor]])</calculatedColumnFormula>
    </tableColumn>
    <tableColumn id="46" xr3:uid="{04DD6C26-1423-4224-B6AE-199871FA6255}" name="Difference" dataDxfId="23">
      <calculatedColumnFormula>Table1820[[#This Row],[System-Generated Premium]]-Table1820[[#This Row],[Expected Premium]]</calculatedColumnFormula>
    </tableColumn>
    <tableColumn id="47" xr3:uid="{48E98538-2984-4FE1-9878-63D02A5622FE}" name="PASS/FAIL" dataDxfId="22">
      <calculatedColumnFormula>IF(Table1820[[#This Row],[Difference]]=0,"PASS","FAIL")</calculatedColumnFormula>
    </tableColumn>
    <tableColumn id="48" xr3:uid="{61484E3C-D4D9-4AAD-BA65-9D9146BDCACE}" name="Absolute Difference" dataDxfId="21">
      <calculatedColumnFormula>ABS(Table1820[[#This Row],[Difference]])</calculatedColumnFormula>
    </tableColumn>
    <tableColumn id="49" xr3:uid="{594ABE2C-35C6-4DE1-B8FF-B5384BB8DD8F}" name="Likely Issue" dataDxfId="20"/>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829690D-840E-4C0B-97DB-89617DF0C931}" name="Table21" displayName="Table21" ref="A17:B28" totalsRowShown="0" headerRowDxfId="4" headerRowBorderDxfId="5" tableBorderDxfId="3">
  <autoFilter ref="A17:B28" xr:uid="{7829690D-840E-4C0B-97DB-89617DF0C931}"/>
  <tableColumns count="2">
    <tableColumn id="1" xr3:uid="{E5318286-F642-4DD2-89BC-D19759205F3E}" name="Metric"/>
    <tableColumn id="2" xr3:uid="{970FC4D5-7895-4041-96DA-958A896F3B45}" name="Value"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B9F3-6531-4A17-9CAA-5123122A493F}">
  <dimension ref="A2:U60"/>
  <sheetViews>
    <sheetView showGridLines="0" tabSelected="1" zoomScale="90" zoomScaleNormal="90" workbookViewId="0">
      <selection activeCell="AC18" sqref="AC18"/>
    </sheetView>
  </sheetViews>
  <sheetFormatPr defaultRowHeight="14.4" x14ac:dyDescent="0.3"/>
  <cols>
    <col min="1" max="1" width="19.77734375" customWidth="1"/>
  </cols>
  <sheetData>
    <row r="2" spans="1:21" ht="33.6" x14ac:dyDescent="0.65">
      <c r="A2" s="28" t="s">
        <v>1211</v>
      </c>
      <c r="B2" s="29"/>
      <c r="C2" s="29"/>
      <c r="D2" s="29"/>
      <c r="E2" s="29"/>
      <c r="F2" s="29"/>
    </row>
    <row r="3" spans="1:21" ht="25.8" x14ac:dyDescent="0.3">
      <c r="A3" s="38" t="s">
        <v>1212</v>
      </c>
      <c r="B3" s="29"/>
      <c r="C3" s="29"/>
      <c r="D3" s="29"/>
      <c r="E3" s="29"/>
      <c r="F3" s="29"/>
    </row>
    <row r="6" spans="1:21" ht="28.8" x14ac:dyDescent="0.55000000000000004">
      <c r="A6" s="41" t="s">
        <v>1210</v>
      </c>
      <c r="B6" s="26" t="s">
        <v>1213</v>
      </c>
    </row>
    <row r="8" spans="1:21" ht="28.8" customHeight="1" x14ac:dyDescent="0.3">
      <c r="B8" s="39" t="s">
        <v>1214</v>
      </c>
      <c r="C8" s="39"/>
      <c r="D8" s="39"/>
      <c r="E8" s="39"/>
      <c r="F8" s="39"/>
      <c r="G8" s="39"/>
      <c r="H8" s="39"/>
      <c r="I8" s="39"/>
      <c r="J8" s="39"/>
      <c r="K8" s="39"/>
      <c r="L8" s="39"/>
      <c r="M8" s="39"/>
      <c r="N8" s="39"/>
      <c r="O8" s="39"/>
      <c r="P8" s="39"/>
      <c r="Q8" s="39"/>
      <c r="R8" s="39"/>
      <c r="S8" s="39"/>
      <c r="T8" s="39"/>
      <c r="U8" s="39"/>
    </row>
    <row r="9" spans="1:21" ht="82.8" customHeight="1" x14ac:dyDescent="0.3">
      <c r="B9" s="39"/>
      <c r="C9" s="39"/>
      <c r="D9" s="39"/>
      <c r="E9" s="39"/>
      <c r="F9" s="39"/>
      <c r="G9" s="39"/>
      <c r="H9" s="39"/>
      <c r="I9" s="39"/>
      <c r="J9" s="39"/>
      <c r="K9" s="39"/>
      <c r="L9" s="39"/>
      <c r="M9" s="39"/>
      <c r="N9" s="39"/>
      <c r="O9" s="39"/>
      <c r="P9" s="39"/>
      <c r="Q9" s="39"/>
      <c r="R9" s="39"/>
      <c r="S9" s="39"/>
      <c r="T9" s="39"/>
      <c r="U9" s="39"/>
    </row>
    <row r="11" spans="1:21" ht="14.4" customHeight="1" x14ac:dyDescent="0.3">
      <c r="B11" s="39" t="s">
        <v>1215</v>
      </c>
      <c r="C11" s="39"/>
      <c r="D11" s="39"/>
      <c r="E11" s="39"/>
      <c r="F11" s="39"/>
      <c r="G11" s="39"/>
      <c r="H11" s="39"/>
      <c r="I11" s="39"/>
      <c r="J11" s="39"/>
      <c r="K11" s="39"/>
      <c r="L11" s="39"/>
      <c r="M11" s="39"/>
      <c r="N11" s="39"/>
      <c r="O11" s="39"/>
      <c r="P11" s="39"/>
      <c r="Q11" s="39"/>
      <c r="R11" s="39"/>
      <c r="S11" s="39"/>
      <c r="T11" s="39"/>
      <c r="U11" s="39"/>
    </row>
    <row r="12" spans="1:21" ht="40.200000000000003" customHeight="1" x14ac:dyDescent="0.3">
      <c r="B12" s="39"/>
      <c r="C12" s="39"/>
      <c r="D12" s="39"/>
      <c r="E12" s="39"/>
      <c r="F12" s="39"/>
      <c r="G12" s="39"/>
      <c r="H12" s="39"/>
      <c r="I12" s="39"/>
      <c r="J12" s="39"/>
      <c r="K12" s="39"/>
      <c r="L12" s="39"/>
      <c r="M12" s="39"/>
      <c r="N12" s="39"/>
      <c r="O12" s="39"/>
      <c r="P12" s="39"/>
      <c r="Q12" s="39"/>
      <c r="R12" s="39"/>
      <c r="S12" s="39"/>
      <c r="T12" s="39"/>
      <c r="U12" s="39"/>
    </row>
    <row r="14" spans="1:21" ht="28.8" customHeight="1" x14ac:dyDescent="0.3">
      <c r="B14" s="39" t="s">
        <v>1216</v>
      </c>
      <c r="C14" s="39"/>
      <c r="D14" s="39"/>
      <c r="E14" s="39"/>
      <c r="F14" s="39"/>
      <c r="G14" s="39"/>
      <c r="H14" s="39"/>
      <c r="I14" s="39"/>
      <c r="J14" s="39"/>
      <c r="K14" s="39"/>
      <c r="L14" s="39"/>
      <c r="M14" s="39"/>
      <c r="N14" s="39"/>
      <c r="O14" s="39"/>
      <c r="P14" s="39"/>
      <c r="Q14" s="39"/>
      <c r="R14" s="39"/>
      <c r="S14" s="39"/>
      <c r="T14" s="39"/>
      <c r="U14" s="39"/>
    </row>
    <row r="15" spans="1:21" ht="54" customHeight="1" x14ac:dyDescent="0.3">
      <c r="B15" s="39"/>
      <c r="C15" s="39"/>
      <c r="D15" s="39"/>
      <c r="E15" s="39"/>
      <c r="F15" s="39"/>
      <c r="G15" s="39"/>
      <c r="H15" s="39"/>
      <c r="I15" s="39"/>
      <c r="J15" s="39"/>
      <c r="K15" s="39"/>
      <c r="L15" s="39"/>
      <c r="M15" s="39"/>
      <c r="N15" s="39"/>
      <c r="O15" s="39"/>
      <c r="P15" s="39"/>
      <c r="Q15" s="39"/>
      <c r="R15" s="39"/>
      <c r="S15" s="39"/>
      <c r="T15" s="39"/>
      <c r="U15" s="39"/>
    </row>
    <row r="16" spans="1:21" ht="14.4" customHeight="1" x14ac:dyDescent="0.3"/>
    <row r="17" spans="2:21" ht="14.4" customHeight="1" x14ac:dyDescent="0.3">
      <c r="B17" s="39" t="s">
        <v>1217</v>
      </c>
      <c r="C17" s="39"/>
      <c r="D17" s="39"/>
      <c r="E17" s="39"/>
      <c r="F17" s="39"/>
      <c r="G17" s="39"/>
      <c r="H17" s="39"/>
      <c r="I17" s="39"/>
      <c r="J17" s="39"/>
      <c r="K17" s="39"/>
      <c r="L17" s="39"/>
      <c r="M17" s="39"/>
      <c r="N17" s="39"/>
      <c r="O17" s="39"/>
      <c r="P17" s="39"/>
      <c r="Q17" s="39"/>
      <c r="R17" s="39"/>
      <c r="S17" s="39"/>
      <c r="T17" s="39"/>
      <c r="U17" s="39"/>
    </row>
    <row r="18" spans="2:21" ht="48.6" customHeight="1" x14ac:dyDescent="0.3">
      <c r="B18" s="39"/>
      <c r="C18" s="39"/>
      <c r="D18" s="39"/>
      <c r="E18" s="39"/>
      <c r="F18" s="39"/>
      <c r="G18" s="39"/>
      <c r="H18" s="39"/>
      <c r="I18" s="39"/>
      <c r="J18" s="39"/>
      <c r="K18" s="39"/>
      <c r="L18" s="39"/>
      <c r="M18" s="39"/>
      <c r="N18" s="39"/>
      <c r="O18" s="39"/>
      <c r="P18" s="39"/>
      <c r="Q18" s="39"/>
      <c r="R18" s="39"/>
      <c r="S18" s="39"/>
      <c r="T18" s="39"/>
      <c r="U18" s="39"/>
    </row>
    <row r="19" spans="2:21" ht="14.4" customHeight="1" x14ac:dyDescent="0.3"/>
    <row r="20" spans="2:21" ht="14.4" customHeight="1" x14ac:dyDescent="0.3">
      <c r="B20" s="39" t="s">
        <v>1218</v>
      </c>
      <c r="C20" s="39"/>
      <c r="D20" s="39"/>
      <c r="E20" s="39"/>
      <c r="F20" s="39"/>
      <c r="G20" s="39"/>
      <c r="H20" s="39"/>
      <c r="I20" s="39"/>
      <c r="J20" s="39"/>
      <c r="K20" s="39"/>
      <c r="L20" s="39"/>
      <c r="M20" s="39"/>
      <c r="N20" s="39"/>
      <c r="O20" s="39"/>
      <c r="P20" s="39"/>
      <c r="Q20" s="39"/>
      <c r="R20" s="39"/>
      <c r="S20" s="39"/>
      <c r="T20" s="39"/>
      <c r="U20" s="39"/>
    </row>
    <row r="21" spans="2:21" ht="64.2" customHeight="1" x14ac:dyDescent="0.3">
      <c r="B21" s="39"/>
      <c r="C21" s="39"/>
      <c r="D21" s="39"/>
      <c r="E21" s="39"/>
      <c r="F21" s="39"/>
      <c r="G21" s="39"/>
      <c r="H21" s="39"/>
      <c r="I21" s="39"/>
      <c r="J21" s="39"/>
      <c r="K21" s="39"/>
      <c r="L21" s="39"/>
      <c r="M21" s="39"/>
      <c r="N21" s="39"/>
      <c r="O21" s="39"/>
      <c r="P21" s="39"/>
      <c r="Q21" s="39"/>
      <c r="R21" s="39"/>
      <c r="S21" s="39"/>
      <c r="T21" s="39"/>
      <c r="U21" s="39"/>
    </row>
    <row r="22" spans="2:21" ht="9" customHeight="1" x14ac:dyDescent="0.3"/>
    <row r="23" spans="2:21" ht="28.8" customHeight="1" x14ac:dyDescent="0.3">
      <c r="B23" s="39" t="s">
        <v>1219</v>
      </c>
      <c r="C23" s="39"/>
      <c r="D23" s="39"/>
      <c r="E23" s="39"/>
      <c r="F23" s="39"/>
      <c r="G23" s="39"/>
      <c r="H23" s="39"/>
      <c r="I23" s="39"/>
      <c r="J23" s="39"/>
      <c r="K23" s="39"/>
      <c r="L23" s="39"/>
      <c r="M23" s="39"/>
      <c r="N23" s="39"/>
      <c r="O23" s="39"/>
      <c r="P23" s="39"/>
      <c r="Q23" s="39"/>
      <c r="R23" s="39"/>
      <c r="S23" s="39"/>
      <c r="T23" s="39"/>
      <c r="U23" s="39"/>
    </row>
    <row r="24" spans="2:21" x14ac:dyDescent="0.3">
      <c r="B24" s="39"/>
      <c r="C24" s="39"/>
      <c r="D24" s="39"/>
      <c r="E24" s="39"/>
      <c r="F24" s="39"/>
      <c r="G24" s="39"/>
      <c r="H24" s="39"/>
      <c r="I24" s="39"/>
      <c r="J24" s="39"/>
      <c r="K24" s="39"/>
      <c r="L24" s="39"/>
      <c r="M24" s="39"/>
      <c r="N24" s="39"/>
      <c r="O24" s="39"/>
      <c r="P24" s="39"/>
      <c r="Q24" s="39"/>
      <c r="R24" s="39"/>
      <c r="S24" s="39"/>
      <c r="T24" s="39"/>
      <c r="U24" s="39"/>
    </row>
    <row r="25" spans="2:21" ht="42.6" customHeight="1" x14ac:dyDescent="0.3">
      <c r="B25" s="39"/>
      <c r="C25" s="39"/>
      <c r="D25" s="39"/>
      <c r="E25" s="39"/>
      <c r="F25" s="39"/>
      <c r="G25" s="39"/>
      <c r="H25" s="39"/>
      <c r="I25" s="39"/>
      <c r="J25" s="39"/>
      <c r="K25" s="39"/>
      <c r="L25" s="39"/>
      <c r="M25" s="39"/>
      <c r="N25" s="39"/>
      <c r="O25" s="39"/>
      <c r="P25" s="39"/>
      <c r="Q25" s="39"/>
      <c r="R25" s="39"/>
      <c r="S25" s="39"/>
      <c r="T25" s="39"/>
      <c r="U25" s="39"/>
    </row>
    <row r="26" spans="2:21" ht="14.4" customHeight="1" x14ac:dyDescent="0.3"/>
    <row r="27" spans="2:21" ht="14.4" customHeight="1" x14ac:dyDescent="0.3"/>
    <row r="28" spans="2:21" ht="14.4" customHeight="1" x14ac:dyDescent="0.3"/>
    <row r="29" spans="2:21" ht="14.4" customHeight="1" x14ac:dyDescent="0.3"/>
    <row r="42" spans="1:20" ht="28.8" x14ac:dyDescent="0.3">
      <c r="B42" s="40"/>
      <c r="C42" s="40"/>
      <c r="D42" s="40"/>
      <c r="E42" s="40"/>
      <c r="F42" s="40"/>
      <c r="G42" s="40"/>
      <c r="H42" s="40"/>
      <c r="I42" s="40"/>
      <c r="J42" s="40"/>
      <c r="K42" s="40"/>
      <c r="L42" s="40"/>
      <c r="M42" s="40"/>
      <c r="N42" s="40"/>
      <c r="O42" s="40"/>
      <c r="P42" s="40"/>
      <c r="Q42" s="40"/>
      <c r="R42" s="40"/>
      <c r="S42" s="40"/>
      <c r="T42" s="40"/>
    </row>
    <row r="43" spans="1:20" ht="28.8" x14ac:dyDescent="0.55000000000000004">
      <c r="A43" s="26"/>
      <c r="B43" s="40"/>
      <c r="C43" s="40"/>
      <c r="D43" s="40"/>
      <c r="E43" s="40"/>
      <c r="F43" s="40"/>
      <c r="G43" s="40"/>
      <c r="H43" s="40"/>
      <c r="I43" s="40"/>
      <c r="J43" s="40"/>
      <c r="K43" s="40"/>
      <c r="L43" s="40"/>
      <c r="M43" s="40"/>
      <c r="N43" s="40"/>
      <c r="O43" s="40"/>
      <c r="P43" s="40"/>
      <c r="Q43" s="40"/>
      <c r="R43" s="40"/>
      <c r="S43" s="40"/>
      <c r="T43" s="40"/>
    </row>
    <row r="44" spans="1:20" ht="28.8" x14ac:dyDescent="0.55000000000000004">
      <c r="A44" s="26"/>
      <c r="B44" s="40"/>
      <c r="C44" s="40"/>
      <c r="D44" s="40"/>
      <c r="E44" s="40"/>
      <c r="F44" s="40"/>
      <c r="G44" s="40"/>
      <c r="H44" s="40"/>
      <c r="I44" s="40"/>
      <c r="J44" s="40"/>
      <c r="K44" s="40"/>
      <c r="L44" s="40"/>
      <c r="M44" s="40"/>
      <c r="N44" s="40"/>
      <c r="O44" s="40"/>
      <c r="P44" s="40"/>
      <c r="Q44" s="40"/>
      <c r="R44" s="40"/>
      <c r="S44" s="40"/>
      <c r="T44" s="40"/>
    </row>
    <row r="45" spans="1:20" ht="28.8" x14ac:dyDescent="0.55000000000000004">
      <c r="A45" s="26"/>
      <c r="B45" s="40"/>
      <c r="C45" s="40"/>
      <c r="D45" s="40"/>
      <c r="E45" s="40"/>
      <c r="F45" s="40"/>
      <c r="G45" s="40"/>
      <c r="H45" s="40"/>
      <c r="I45" s="40"/>
      <c r="J45" s="40"/>
      <c r="K45" s="40"/>
      <c r="L45" s="40"/>
      <c r="M45" s="40"/>
      <c r="N45" s="40"/>
      <c r="O45" s="40"/>
      <c r="P45" s="40"/>
      <c r="Q45" s="40"/>
      <c r="R45" s="40"/>
      <c r="S45" s="40"/>
      <c r="T45" s="40"/>
    </row>
    <row r="46" spans="1:20" ht="28.8" x14ac:dyDescent="0.55000000000000004">
      <c r="A46" s="26"/>
      <c r="B46" s="27"/>
      <c r="C46" s="27"/>
      <c r="D46" s="27"/>
      <c r="E46" s="27"/>
      <c r="F46" s="27"/>
      <c r="G46" s="27"/>
      <c r="H46" s="27"/>
      <c r="I46" s="27"/>
      <c r="J46" s="27"/>
      <c r="K46" s="27"/>
      <c r="L46" s="27"/>
      <c r="M46" s="27"/>
      <c r="N46" s="27"/>
      <c r="O46" s="27"/>
      <c r="P46" s="27"/>
      <c r="Q46" s="27"/>
      <c r="R46" s="27"/>
      <c r="S46" s="27"/>
      <c r="T46" s="27"/>
    </row>
    <row r="47" spans="1:20" ht="28.8" x14ac:dyDescent="0.55000000000000004">
      <c r="A47" s="26"/>
      <c r="B47" s="27"/>
      <c r="C47" s="27"/>
      <c r="D47" s="27"/>
      <c r="E47" s="27"/>
      <c r="F47" s="27"/>
      <c r="G47" s="27"/>
      <c r="H47" s="27"/>
      <c r="I47" s="27"/>
      <c r="J47" s="27"/>
      <c r="K47" s="27"/>
      <c r="L47" s="27"/>
      <c r="M47" s="27"/>
      <c r="N47" s="27"/>
      <c r="O47" s="27"/>
      <c r="P47" s="27"/>
      <c r="Q47" s="27"/>
      <c r="R47" s="27"/>
      <c r="S47" s="27"/>
      <c r="T47" s="27"/>
    </row>
    <row r="48" spans="1:20" ht="28.8" x14ac:dyDescent="0.55000000000000004">
      <c r="A48" s="26"/>
      <c r="B48" s="27"/>
      <c r="C48" s="27"/>
      <c r="D48" s="27"/>
      <c r="E48" s="27"/>
      <c r="F48" s="27"/>
      <c r="G48" s="27"/>
      <c r="H48" s="27"/>
      <c r="I48" s="27"/>
      <c r="J48" s="27"/>
      <c r="K48" s="27"/>
      <c r="L48" s="27"/>
      <c r="M48" s="27"/>
      <c r="N48" s="27"/>
      <c r="O48" s="27"/>
      <c r="P48" s="27"/>
      <c r="Q48" s="27"/>
      <c r="R48" s="27"/>
      <c r="S48" s="27"/>
      <c r="T48" s="27"/>
    </row>
    <row r="49" spans="1:20" ht="28.8" x14ac:dyDescent="0.55000000000000004">
      <c r="A49" s="26"/>
      <c r="B49" s="27"/>
      <c r="C49" s="27"/>
      <c r="D49" s="27"/>
      <c r="E49" s="27"/>
      <c r="F49" s="27"/>
      <c r="G49" s="27"/>
      <c r="H49" s="27"/>
      <c r="I49" s="27"/>
      <c r="J49" s="27"/>
      <c r="K49" s="27"/>
      <c r="L49" s="27"/>
      <c r="M49" s="27"/>
      <c r="N49" s="27"/>
      <c r="O49" s="27"/>
      <c r="P49" s="27"/>
      <c r="Q49" s="27"/>
      <c r="R49" s="27"/>
      <c r="S49" s="27"/>
      <c r="T49" s="27"/>
    </row>
    <row r="50" spans="1:20" ht="28.8" x14ac:dyDescent="0.55000000000000004">
      <c r="A50" s="26"/>
      <c r="B50" s="27"/>
      <c r="C50" s="27"/>
      <c r="D50" s="27"/>
      <c r="E50" s="27"/>
      <c r="F50" s="27"/>
      <c r="G50" s="27"/>
      <c r="H50" s="27"/>
      <c r="I50" s="27"/>
      <c r="J50" s="27"/>
      <c r="K50" s="27"/>
      <c r="L50" s="27"/>
      <c r="M50" s="27"/>
      <c r="N50" s="27"/>
      <c r="O50" s="27"/>
      <c r="P50" s="27"/>
      <c r="Q50" s="27"/>
      <c r="R50" s="27"/>
      <c r="S50" s="27"/>
      <c r="T50" s="27"/>
    </row>
    <row r="51" spans="1:20" ht="28.8" x14ac:dyDescent="0.55000000000000004">
      <c r="A51" s="26"/>
      <c r="B51" s="27"/>
      <c r="C51" s="27"/>
      <c r="D51" s="27"/>
      <c r="E51" s="27"/>
      <c r="F51" s="27"/>
      <c r="G51" s="27"/>
      <c r="H51" s="27"/>
      <c r="I51" s="27"/>
      <c r="J51" s="27"/>
      <c r="K51" s="27"/>
      <c r="L51" s="27"/>
      <c r="M51" s="27"/>
      <c r="N51" s="27"/>
      <c r="O51" s="27"/>
      <c r="P51" s="27"/>
      <c r="Q51" s="27"/>
      <c r="R51" s="27"/>
      <c r="S51" s="27"/>
      <c r="T51" s="27"/>
    </row>
    <row r="52" spans="1:20" ht="28.8" x14ac:dyDescent="0.55000000000000004">
      <c r="A52" s="26"/>
      <c r="B52" s="27"/>
      <c r="C52" s="27"/>
      <c r="D52" s="27"/>
      <c r="E52" s="27"/>
      <c r="F52" s="27"/>
      <c r="G52" s="27"/>
      <c r="H52" s="27"/>
      <c r="I52" s="27"/>
      <c r="J52" s="27"/>
      <c r="K52" s="27"/>
      <c r="L52" s="27"/>
      <c r="M52" s="27"/>
      <c r="N52" s="27"/>
      <c r="O52" s="27"/>
      <c r="P52" s="27"/>
      <c r="Q52" s="27"/>
      <c r="R52" s="27"/>
      <c r="S52" s="27"/>
      <c r="T52" s="27"/>
    </row>
    <row r="53" spans="1:20" ht="28.8" x14ac:dyDescent="0.55000000000000004">
      <c r="A53" s="26"/>
      <c r="B53" s="27"/>
      <c r="C53" s="27"/>
      <c r="D53" s="27"/>
      <c r="E53" s="27"/>
      <c r="F53" s="27"/>
      <c r="G53" s="27"/>
      <c r="H53" s="27"/>
      <c r="I53" s="27"/>
      <c r="J53" s="27"/>
      <c r="K53" s="27"/>
      <c r="L53" s="27"/>
      <c r="M53" s="27"/>
      <c r="N53" s="27"/>
      <c r="O53" s="27"/>
      <c r="P53" s="27"/>
      <c r="Q53" s="27"/>
      <c r="R53" s="27"/>
      <c r="S53" s="27"/>
      <c r="T53" s="26"/>
    </row>
    <row r="54" spans="1:20" ht="28.8" x14ac:dyDescent="0.55000000000000004">
      <c r="A54" s="26"/>
      <c r="B54" s="27"/>
      <c r="C54" s="27"/>
      <c r="D54" s="27"/>
      <c r="E54" s="27"/>
      <c r="F54" s="27"/>
      <c r="G54" s="27"/>
      <c r="H54" s="27"/>
      <c r="I54" s="27"/>
      <c r="J54" s="27"/>
      <c r="K54" s="27"/>
      <c r="L54" s="27"/>
      <c r="M54" s="27"/>
      <c r="N54" s="27"/>
      <c r="O54" s="27"/>
      <c r="P54" s="27"/>
      <c r="Q54" s="27"/>
      <c r="R54" s="27"/>
      <c r="S54" s="27"/>
      <c r="T54" s="26"/>
    </row>
    <row r="55" spans="1:20" ht="28.8" x14ac:dyDescent="0.55000000000000004">
      <c r="A55" s="26"/>
      <c r="B55" s="27"/>
      <c r="C55" s="27"/>
      <c r="D55" s="27"/>
      <c r="E55" s="27"/>
      <c r="F55" s="27"/>
      <c r="G55" s="27"/>
      <c r="H55" s="27"/>
      <c r="I55" s="27"/>
      <c r="J55" s="27"/>
      <c r="K55" s="27"/>
      <c r="L55" s="27"/>
      <c r="M55" s="27"/>
      <c r="N55" s="27"/>
      <c r="O55" s="27"/>
      <c r="P55" s="27"/>
      <c r="Q55" s="27"/>
      <c r="R55" s="27"/>
      <c r="S55" s="27"/>
      <c r="T55" s="26"/>
    </row>
    <row r="56" spans="1:20" ht="28.8" x14ac:dyDescent="0.55000000000000004">
      <c r="A56" s="26"/>
      <c r="B56" s="27"/>
      <c r="C56" s="27"/>
      <c r="D56" s="27"/>
      <c r="E56" s="27"/>
      <c r="F56" s="27"/>
      <c r="G56" s="27"/>
      <c r="H56" s="27"/>
      <c r="I56" s="27"/>
      <c r="J56" s="27"/>
      <c r="K56" s="27"/>
      <c r="L56" s="27"/>
      <c r="M56" s="27"/>
      <c r="N56" s="27"/>
      <c r="O56" s="27"/>
      <c r="P56" s="27"/>
      <c r="Q56" s="27"/>
      <c r="R56" s="27"/>
      <c r="S56" s="27"/>
      <c r="T56" s="26"/>
    </row>
    <row r="57" spans="1:20" ht="28.8" x14ac:dyDescent="0.55000000000000004">
      <c r="A57" s="26"/>
      <c r="B57" s="27"/>
      <c r="C57" s="27"/>
      <c r="D57" s="27"/>
      <c r="E57" s="27"/>
      <c r="F57" s="27"/>
      <c r="G57" s="27"/>
      <c r="H57" s="27"/>
      <c r="I57" s="27"/>
      <c r="J57" s="27"/>
      <c r="K57" s="27"/>
      <c r="L57" s="27"/>
      <c r="M57" s="27"/>
      <c r="N57" s="27"/>
      <c r="O57" s="27"/>
      <c r="P57" s="27"/>
      <c r="Q57" s="27"/>
      <c r="R57" s="27"/>
      <c r="S57" s="27"/>
      <c r="T57" s="26"/>
    </row>
    <row r="58" spans="1:20" ht="28.8" x14ac:dyDescent="0.55000000000000004">
      <c r="A58" s="26"/>
      <c r="B58" s="27"/>
      <c r="C58" s="27"/>
      <c r="D58" s="27"/>
      <c r="E58" s="27"/>
      <c r="F58" s="27"/>
      <c r="G58" s="27"/>
      <c r="H58" s="27"/>
      <c r="I58" s="27"/>
      <c r="J58" s="27"/>
      <c r="K58" s="27"/>
      <c r="L58" s="27"/>
      <c r="M58" s="27"/>
      <c r="N58" s="27"/>
      <c r="O58" s="27"/>
      <c r="P58" s="27"/>
      <c r="Q58" s="27"/>
      <c r="R58" s="27"/>
      <c r="S58" s="27"/>
      <c r="T58" s="26"/>
    </row>
    <row r="59" spans="1:20" ht="28.8" x14ac:dyDescent="0.55000000000000004">
      <c r="A59" s="26"/>
      <c r="B59" s="26"/>
      <c r="C59" s="26"/>
      <c r="D59" s="26"/>
      <c r="E59" s="26"/>
      <c r="F59" s="26"/>
      <c r="G59" s="26"/>
      <c r="H59" s="26"/>
      <c r="I59" s="26"/>
      <c r="J59" s="26"/>
      <c r="K59" s="26"/>
      <c r="L59" s="26"/>
      <c r="M59" s="26"/>
      <c r="N59" s="26"/>
      <c r="O59" s="26"/>
      <c r="P59" s="26"/>
      <c r="Q59" s="26"/>
      <c r="R59" s="26"/>
      <c r="S59" s="26"/>
      <c r="T59" s="26"/>
    </row>
    <row r="60" spans="1:20" ht="28.8" x14ac:dyDescent="0.55000000000000004">
      <c r="A60" s="26"/>
      <c r="B60" s="26"/>
      <c r="C60" s="26"/>
      <c r="D60" s="26"/>
      <c r="E60" s="26"/>
      <c r="F60" s="26"/>
      <c r="G60" s="26"/>
      <c r="H60" s="26"/>
      <c r="I60" s="26"/>
      <c r="J60" s="26"/>
      <c r="K60" s="26"/>
      <c r="L60" s="26"/>
      <c r="M60" s="26"/>
      <c r="N60" s="26"/>
      <c r="O60" s="26"/>
      <c r="P60" s="26"/>
      <c r="Q60" s="26"/>
      <c r="R60" s="26"/>
      <c r="S60" s="26"/>
      <c r="T60" s="26"/>
    </row>
  </sheetData>
  <mergeCells count="6">
    <mergeCell ref="B23:U25"/>
    <mergeCell ref="B8:U9"/>
    <mergeCell ref="B11:U12"/>
    <mergeCell ref="B14:U15"/>
    <mergeCell ref="B17:U18"/>
    <mergeCell ref="B20:U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8F0B9-DFC9-4056-A167-4D6F0425062C}">
  <dimension ref="A1:F134"/>
  <sheetViews>
    <sheetView zoomScaleNormal="100" workbookViewId="0"/>
  </sheetViews>
  <sheetFormatPr defaultRowHeight="14.4" x14ac:dyDescent="0.3"/>
  <cols>
    <col min="1" max="1" width="23.21875" bestFit="1" customWidth="1"/>
    <col min="3" max="3" width="24.88671875" bestFit="1" customWidth="1"/>
    <col min="4" max="4" width="30.6640625" bestFit="1" customWidth="1"/>
    <col min="5" max="5" width="19.21875" bestFit="1" customWidth="1"/>
    <col min="6" max="6" width="22.44140625" bestFit="1" customWidth="1"/>
    <col min="7" max="7" width="11.44140625" customWidth="1"/>
    <col min="8" max="8" width="10.77734375" customWidth="1"/>
    <col min="9" max="9" width="9.77734375" customWidth="1"/>
  </cols>
  <sheetData>
    <row r="1" spans="1:4" x14ac:dyDescent="0.3">
      <c r="A1" s="4" t="s">
        <v>1094</v>
      </c>
      <c r="C1" t="s">
        <v>1095</v>
      </c>
      <c r="D1" t="s">
        <v>1096</v>
      </c>
    </row>
    <row r="2" spans="1:4" x14ac:dyDescent="0.3">
      <c r="C2" t="s">
        <v>1097</v>
      </c>
      <c r="D2">
        <v>1.32</v>
      </c>
    </row>
    <row r="3" spans="1:4" x14ac:dyDescent="0.3">
      <c r="C3" t="s">
        <v>1098</v>
      </c>
      <c r="D3">
        <v>1.23</v>
      </c>
    </row>
    <row r="4" spans="1:4" x14ac:dyDescent="0.3">
      <c r="C4" t="s">
        <v>1099</v>
      </c>
      <c r="D4">
        <v>1</v>
      </c>
    </row>
    <row r="5" spans="1:4" x14ac:dyDescent="0.3">
      <c r="C5" t="s">
        <v>1100</v>
      </c>
      <c r="D5">
        <v>1.07</v>
      </c>
    </row>
    <row r="6" spans="1:4" x14ac:dyDescent="0.3">
      <c r="C6" t="s">
        <v>1101</v>
      </c>
      <c r="D6">
        <v>1.1200000000000001</v>
      </c>
    </row>
    <row r="7" spans="1:4" x14ac:dyDescent="0.3">
      <c r="C7" t="s">
        <v>1102</v>
      </c>
      <c r="D7">
        <v>1.27</v>
      </c>
    </row>
    <row r="10" spans="1:4" x14ac:dyDescent="0.3">
      <c r="A10" s="4" t="s">
        <v>0</v>
      </c>
      <c r="C10" t="s">
        <v>1</v>
      </c>
      <c r="D10" t="s">
        <v>2</v>
      </c>
    </row>
    <row r="11" spans="1:4" x14ac:dyDescent="0.3">
      <c r="C11">
        <v>0</v>
      </c>
      <c r="D11">
        <v>1.87</v>
      </c>
    </row>
    <row r="12" spans="1:4" x14ac:dyDescent="0.3">
      <c r="C12">
        <v>1</v>
      </c>
      <c r="D12">
        <v>1.64</v>
      </c>
    </row>
    <row r="13" spans="1:4" x14ac:dyDescent="0.3">
      <c r="C13">
        <v>2</v>
      </c>
      <c r="D13">
        <v>1.41</v>
      </c>
    </row>
    <row r="14" spans="1:4" x14ac:dyDescent="0.3">
      <c r="C14">
        <v>3</v>
      </c>
      <c r="D14">
        <v>1.22</v>
      </c>
    </row>
    <row r="15" spans="1:4" x14ac:dyDescent="0.3">
      <c r="C15">
        <v>4</v>
      </c>
      <c r="D15">
        <v>1.1499999999999999</v>
      </c>
    </row>
    <row r="16" spans="1:4" x14ac:dyDescent="0.3">
      <c r="C16">
        <v>5</v>
      </c>
      <c r="D16">
        <v>1.07</v>
      </c>
    </row>
    <row r="17" spans="1:4" x14ac:dyDescent="0.3">
      <c r="C17">
        <v>6</v>
      </c>
      <c r="D17">
        <v>1</v>
      </c>
    </row>
    <row r="18" spans="1:4" x14ac:dyDescent="0.3">
      <c r="C18">
        <v>7</v>
      </c>
      <c r="D18">
        <v>0.95</v>
      </c>
    </row>
    <row r="19" spans="1:4" x14ac:dyDescent="0.3">
      <c r="C19" s="3" t="s">
        <v>1103</v>
      </c>
      <c r="D19">
        <v>0.93</v>
      </c>
    </row>
    <row r="22" spans="1:4" x14ac:dyDescent="0.3">
      <c r="A22" s="4" t="s">
        <v>3</v>
      </c>
      <c r="C22" t="s">
        <v>5</v>
      </c>
      <c r="D22" t="s">
        <v>6</v>
      </c>
    </row>
    <row r="23" spans="1:4" x14ac:dyDescent="0.3">
      <c r="A23" s="4" t="s">
        <v>4</v>
      </c>
      <c r="C23">
        <v>0</v>
      </c>
      <c r="D23">
        <v>1</v>
      </c>
    </row>
    <row r="24" spans="1:4" x14ac:dyDescent="0.3">
      <c r="C24">
        <v>1</v>
      </c>
      <c r="D24">
        <v>1.34</v>
      </c>
    </row>
    <row r="25" spans="1:4" x14ac:dyDescent="0.3">
      <c r="C25">
        <v>2</v>
      </c>
      <c r="D25">
        <v>1.55</v>
      </c>
    </row>
    <row r="26" spans="1:4" x14ac:dyDescent="0.3">
      <c r="C26">
        <v>3</v>
      </c>
      <c r="D26">
        <v>1.82</v>
      </c>
    </row>
    <row r="27" spans="1:4" x14ac:dyDescent="0.3">
      <c r="C27">
        <v>4</v>
      </c>
      <c r="D27">
        <v>2.12</v>
      </c>
    </row>
    <row r="28" spans="1:4" x14ac:dyDescent="0.3">
      <c r="C28" s="3" t="s">
        <v>7</v>
      </c>
      <c r="D28">
        <v>2.4700000000000002</v>
      </c>
    </row>
    <row r="31" spans="1:4" x14ac:dyDescent="0.3">
      <c r="A31" s="4" t="s">
        <v>8</v>
      </c>
      <c r="C31" t="s">
        <v>9</v>
      </c>
      <c r="D31" t="s">
        <v>17</v>
      </c>
    </row>
    <row r="32" spans="1:4" x14ac:dyDescent="0.3">
      <c r="C32" t="s">
        <v>10</v>
      </c>
      <c r="D32">
        <v>1</v>
      </c>
    </row>
    <row r="33" spans="1:4" x14ac:dyDescent="0.3">
      <c r="C33" t="s">
        <v>11</v>
      </c>
      <c r="D33">
        <v>0.95</v>
      </c>
    </row>
    <row r="34" spans="1:4" x14ac:dyDescent="0.3">
      <c r="C34" t="s">
        <v>12</v>
      </c>
      <c r="D34">
        <v>0.8</v>
      </c>
    </row>
    <row r="35" spans="1:4" x14ac:dyDescent="0.3">
      <c r="C35" t="s">
        <v>13</v>
      </c>
      <c r="D35">
        <v>0.65</v>
      </c>
    </row>
    <row r="38" spans="1:4" x14ac:dyDescent="0.3">
      <c r="A38" s="4" t="s">
        <v>14</v>
      </c>
      <c r="C38" t="s">
        <v>15</v>
      </c>
      <c r="D38" t="s">
        <v>16</v>
      </c>
    </row>
    <row r="39" spans="1:4" x14ac:dyDescent="0.3">
      <c r="C39" t="s">
        <v>1106</v>
      </c>
      <c r="D39">
        <v>0.82</v>
      </c>
    </row>
    <row r="40" spans="1:4" x14ac:dyDescent="0.3">
      <c r="C40" t="s">
        <v>1107</v>
      </c>
      <c r="D40">
        <v>0.93</v>
      </c>
    </row>
    <row r="41" spans="1:4" x14ac:dyDescent="0.3">
      <c r="C41" t="s">
        <v>1108</v>
      </c>
      <c r="D41">
        <v>1</v>
      </c>
    </row>
    <row r="42" spans="1:4" x14ac:dyDescent="0.3">
      <c r="C42" t="s">
        <v>1109</v>
      </c>
      <c r="D42">
        <v>1.18</v>
      </c>
    </row>
    <row r="43" spans="1:4" x14ac:dyDescent="0.3">
      <c r="C43" t="s">
        <v>1110</v>
      </c>
      <c r="D43">
        <v>1.31</v>
      </c>
    </row>
    <row r="46" spans="1:4" x14ac:dyDescent="0.3">
      <c r="A46" s="4" t="s">
        <v>19</v>
      </c>
      <c r="C46" t="s">
        <v>18</v>
      </c>
      <c r="D46" t="s">
        <v>20</v>
      </c>
    </row>
    <row r="47" spans="1:4" x14ac:dyDescent="0.3">
      <c r="C47" t="s">
        <v>21</v>
      </c>
      <c r="D47">
        <v>1.26</v>
      </c>
    </row>
    <row r="48" spans="1:4" x14ac:dyDescent="0.3">
      <c r="C48" t="s">
        <v>22</v>
      </c>
      <c r="D48">
        <v>1.21</v>
      </c>
    </row>
    <row r="49" spans="3:4" x14ac:dyDescent="0.3">
      <c r="C49" t="s">
        <v>23</v>
      </c>
      <c r="D49">
        <v>0.92</v>
      </c>
    </row>
    <row r="50" spans="3:4" x14ac:dyDescent="0.3">
      <c r="C50" t="s">
        <v>24</v>
      </c>
      <c r="D50">
        <v>1.19</v>
      </c>
    </row>
    <row r="51" spans="3:4" x14ac:dyDescent="0.3">
      <c r="C51" t="s">
        <v>25</v>
      </c>
      <c r="D51">
        <v>1.1599999999999999</v>
      </c>
    </row>
    <row r="52" spans="3:4" x14ac:dyDescent="0.3">
      <c r="C52" t="s">
        <v>26</v>
      </c>
      <c r="D52">
        <v>1.1499999999999999</v>
      </c>
    </row>
    <row r="53" spans="3:4" x14ac:dyDescent="0.3">
      <c r="C53" t="s">
        <v>27</v>
      </c>
      <c r="D53">
        <v>0.94</v>
      </c>
    </row>
    <row r="54" spans="3:4" x14ac:dyDescent="0.3">
      <c r="C54" t="s">
        <v>28</v>
      </c>
      <c r="D54">
        <v>0.95</v>
      </c>
    </row>
    <row r="55" spans="3:4" x14ac:dyDescent="0.3">
      <c r="C55" t="s">
        <v>29</v>
      </c>
      <c r="D55">
        <v>1.0900000000000001</v>
      </c>
    </row>
    <row r="56" spans="3:4" x14ac:dyDescent="0.3">
      <c r="C56" t="s">
        <v>30</v>
      </c>
      <c r="D56">
        <v>1.02</v>
      </c>
    </row>
    <row r="57" spans="3:4" x14ac:dyDescent="0.3">
      <c r="C57" t="s">
        <v>31</v>
      </c>
      <c r="D57">
        <v>1.1100000000000001</v>
      </c>
    </row>
    <row r="58" spans="3:4" x14ac:dyDescent="0.3">
      <c r="C58" t="s">
        <v>32</v>
      </c>
      <c r="D58">
        <v>1.1200000000000001</v>
      </c>
    </row>
    <row r="59" spans="3:4" x14ac:dyDescent="0.3">
      <c r="C59" t="s">
        <v>33</v>
      </c>
      <c r="D59">
        <v>1.02</v>
      </c>
    </row>
    <row r="60" spans="3:4" x14ac:dyDescent="0.3">
      <c r="C60" t="s">
        <v>34</v>
      </c>
      <c r="D60">
        <v>1.56</v>
      </c>
    </row>
    <row r="61" spans="3:4" x14ac:dyDescent="0.3">
      <c r="C61" t="s">
        <v>35</v>
      </c>
      <c r="D61">
        <v>1.1200000000000001</v>
      </c>
    </row>
    <row r="62" spans="3:4" x14ac:dyDescent="0.3">
      <c r="C62" t="s">
        <v>36</v>
      </c>
      <c r="D62">
        <v>0.98</v>
      </c>
    </row>
    <row r="63" spans="3:4" x14ac:dyDescent="0.3">
      <c r="C63" t="s">
        <v>37</v>
      </c>
      <c r="D63">
        <v>1.0900000000000001</v>
      </c>
    </row>
    <row r="64" spans="3:4" x14ac:dyDescent="0.3">
      <c r="C64" t="s">
        <v>38</v>
      </c>
      <c r="D64">
        <v>1.1200000000000001</v>
      </c>
    </row>
    <row r="65" spans="1:4" x14ac:dyDescent="0.3">
      <c r="C65" t="s">
        <v>39</v>
      </c>
      <c r="D65">
        <v>1.08</v>
      </c>
    </row>
    <row r="66" spans="1:4" x14ac:dyDescent="0.3">
      <c r="C66" t="s">
        <v>40</v>
      </c>
      <c r="D66">
        <v>1.0900000000000001</v>
      </c>
    </row>
    <row r="67" spans="1:4" x14ac:dyDescent="0.3">
      <c r="C67" t="s">
        <v>41</v>
      </c>
      <c r="D67">
        <v>1.1499999999999999</v>
      </c>
    </row>
    <row r="68" spans="1:4" x14ac:dyDescent="0.3">
      <c r="C68" t="s">
        <v>42</v>
      </c>
      <c r="D68">
        <v>1.21</v>
      </c>
    </row>
    <row r="69" spans="1:4" x14ac:dyDescent="0.3">
      <c r="C69" t="s">
        <v>43</v>
      </c>
      <c r="D69">
        <v>1.18</v>
      </c>
    </row>
    <row r="70" spans="1:4" x14ac:dyDescent="0.3">
      <c r="C70" t="s">
        <v>44</v>
      </c>
      <c r="D70">
        <v>1.1599999999999999</v>
      </c>
    </row>
    <row r="73" spans="1:4" x14ac:dyDescent="0.3">
      <c r="A73" s="4" t="s">
        <v>45</v>
      </c>
      <c r="C73" t="s">
        <v>46</v>
      </c>
      <c r="D73" t="s">
        <v>47</v>
      </c>
    </row>
    <row r="74" spans="1:4" x14ac:dyDescent="0.3">
      <c r="C74" t="s">
        <v>48</v>
      </c>
      <c r="D74">
        <v>0.82</v>
      </c>
    </row>
    <row r="75" spans="1:4" x14ac:dyDescent="0.3">
      <c r="C75" t="s">
        <v>49</v>
      </c>
      <c r="D75">
        <v>0.97</v>
      </c>
    </row>
    <row r="76" spans="1:4" x14ac:dyDescent="0.3">
      <c r="C76" t="s">
        <v>50</v>
      </c>
      <c r="D76">
        <v>1.08</v>
      </c>
    </row>
    <row r="77" spans="1:4" x14ac:dyDescent="0.3">
      <c r="C77" t="s">
        <v>51</v>
      </c>
      <c r="D77">
        <v>1.28</v>
      </c>
    </row>
    <row r="78" spans="1:4" x14ac:dyDescent="0.3">
      <c r="C78" t="s">
        <v>52</v>
      </c>
      <c r="D78">
        <v>1.57</v>
      </c>
    </row>
    <row r="79" spans="1:4" x14ac:dyDescent="0.3">
      <c r="C79" t="s">
        <v>53</v>
      </c>
      <c r="D79">
        <v>2.02</v>
      </c>
    </row>
    <row r="80" spans="1:4" x14ac:dyDescent="0.3">
      <c r="C80" t="s">
        <v>54</v>
      </c>
      <c r="D80">
        <v>2.87</v>
      </c>
    </row>
    <row r="83" spans="1:4" x14ac:dyDescent="0.3">
      <c r="A83" s="4" t="s">
        <v>58</v>
      </c>
      <c r="C83" t="s">
        <v>55</v>
      </c>
      <c r="D83" t="s">
        <v>56</v>
      </c>
    </row>
    <row r="84" spans="1:4" x14ac:dyDescent="0.3">
      <c r="C84" t="s">
        <v>57</v>
      </c>
      <c r="D84">
        <v>1.28</v>
      </c>
    </row>
    <row r="85" spans="1:4" x14ac:dyDescent="0.3">
      <c r="C85" t="s">
        <v>10</v>
      </c>
      <c r="D85">
        <v>1</v>
      </c>
    </row>
    <row r="88" spans="1:4" x14ac:dyDescent="0.3">
      <c r="A88" s="4" t="s">
        <v>1111</v>
      </c>
      <c r="C88" t="s">
        <v>59</v>
      </c>
      <c r="D88" t="s">
        <v>60</v>
      </c>
    </row>
    <row r="89" spans="1:4" x14ac:dyDescent="0.3">
      <c r="C89" t="s">
        <v>57</v>
      </c>
      <c r="D89">
        <v>1.21</v>
      </c>
    </row>
    <row r="90" spans="1:4" x14ac:dyDescent="0.3">
      <c r="C90" t="s">
        <v>10</v>
      </c>
      <c r="D90">
        <v>1</v>
      </c>
    </row>
    <row r="93" spans="1:4" x14ac:dyDescent="0.3">
      <c r="A93" s="4" t="s">
        <v>61</v>
      </c>
      <c r="C93" t="s">
        <v>62</v>
      </c>
      <c r="D93" t="s">
        <v>63</v>
      </c>
    </row>
    <row r="94" spans="1:4" x14ac:dyDescent="0.3">
      <c r="C94" t="s">
        <v>57</v>
      </c>
      <c r="D94">
        <v>1.1599999999999999</v>
      </c>
    </row>
    <row r="95" spans="1:4" x14ac:dyDescent="0.3">
      <c r="C95" t="s">
        <v>10</v>
      </c>
      <c r="D95">
        <v>1</v>
      </c>
    </row>
    <row r="98" spans="1:6" x14ac:dyDescent="0.3">
      <c r="A98" s="4" t="s">
        <v>64</v>
      </c>
      <c r="C98" t="s">
        <v>65</v>
      </c>
      <c r="D98" t="s">
        <v>66</v>
      </c>
    </row>
    <row r="99" spans="1:6" x14ac:dyDescent="0.3">
      <c r="C99" t="s">
        <v>57</v>
      </c>
      <c r="D99">
        <v>0.88</v>
      </c>
    </row>
    <row r="100" spans="1:6" x14ac:dyDescent="0.3">
      <c r="C100" t="s">
        <v>10</v>
      </c>
      <c r="D100">
        <v>1</v>
      </c>
    </row>
    <row r="103" spans="1:6" x14ac:dyDescent="0.3">
      <c r="A103" s="4" t="s">
        <v>67</v>
      </c>
      <c r="C103" t="s">
        <v>68</v>
      </c>
      <c r="D103" t="s">
        <v>69</v>
      </c>
      <c r="E103" t="s">
        <v>1112</v>
      </c>
      <c r="F103" t="s">
        <v>1113</v>
      </c>
    </row>
    <row r="104" spans="1:6" x14ac:dyDescent="0.3">
      <c r="C104" t="s">
        <v>70</v>
      </c>
      <c r="D104" s="5">
        <v>622</v>
      </c>
      <c r="E104" t="s">
        <v>10</v>
      </c>
      <c r="F104" t="s">
        <v>57</v>
      </c>
    </row>
    <row r="105" spans="1:6" x14ac:dyDescent="0.3">
      <c r="C105" t="s">
        <v>71</v>
      </c>
      <c r="D105" s="5">
        <v>453</v>
      </c>
      <c r="E105" t="s">
        <v>57</v>
      </c>
      <c r="F105" t="s">
        <v>10</v>
      </c>
    </row>
    <row r="106" spans="1:6" x14ac:dyDescent="0.3">
      <c r="C106" t="s">
        <v>72</v>
      </c>
      <c r="D106" s="5">
        <v>121</v>
      </c>
      <c r="E106" t="s">
        <v>57</v>
      </c>
      <c r="F106" t="s">
        <v>10</v>
      </c>
    </row>
    <row r="107" spans="1:6" x14ac:dyDescent="0.3">
      <c r="C107" t="s">
        <v>73</v>
      </c>
      <c r="D107" s="5">
        <v>78</v>
      </c>
      <c r="E107" t="s">
        <v>10</v>
      </c>
      <c r="F107" t="s">
        <v>57</v>
      </c>
    </row>
    <row r="108" spans="1:6" x14ac:dyDescent="0.3">
      <c r="C108" t="s">
        <v>74</v>
      </c>
      <c r="D108" s="5">
        <v>41</v>
      </c>
      <c r="E108" t="s">
        <v>10</v>
      </c>
      <c r="F108" t="s">
        <v>57</v>
      </c>
    </row>
    <row r="111" spans="1:6" x14ac:dyDescent="0.3">
      <c r="A111" s="4" t="s">
        <v>75</v>
      </c>
      <c r="C111" t="s">
        <v>76</v>
      </c>
      <c r="D111" t="s">
        <v>77</v>
      </c>
    </row>
    <row r="112" spans="1:6" x14ac:dyDescent="0.3">
      <c r="C112" t="s">
        <v>10</v>
      </c>
      <c r="D112">
        <v>1</v>
      </c>
    </row>
    <row r="113" spans="1:4" x14ac:dyDescent="0.3">
      <c r="C113" t="s">
        <v>78</v>
      </c>
      <c r="D113">
        <v>0.95</v>
      </c>
    </row>
    <row r="114" spans="1:4" x14ac:dyDescent="0.3">
      <c r="C114" t="s">
        <v>79</v>
      </c>
      <c r="D114">
        <v>0.84</v>
      </c>
    </row>
    <row r="115" spans="1:4" x14ac:dyDescent="0.3">
      <c r="C115" t="s">
        <v>80</v>
      </c>
      <c r="D115">
        <v>0.72</v>
      </c>
    </row>
    <row r="118" spans="1:4" x14ac:dyDescent="0.3">
      <c r="A118" s="4" t="s">
        <v>81</v>
      </c>
      <c r="C118" t="s">
        <v>82</v>
      </c>
      <c r="D118" t="s">
        <v>83</v>
      </c>
    </row>
    <row r="119" spans="1:4" x14ac:dyDescent="0.3">
      <c r="C119" t="s">
        <v>10</v>
      </c>
      <c r="D119">
        <v>1</v>
      </c>
    </row>
    <row r="120" spans="1:4" x14ac:dyDescent="0.3">
      <c r="C120" t="s">
        <v>78</v>
      </c>
      <c r="D120">
        <v>0.61</v>
      </c>
    </row>
    <row r="121" spans="1:4" x14ac:dyDescent="0.3">
      <c r="C121" t="s">
        <v>79</v>
      </c>
      <c r="D121">
        <v>0.72</v>
      </c>
    </row>
    <row r="122" spans="1:4" x14ac:dyDescent="0.3">
      <c r="C122" t="s">
        <v>80</v>
      </c>
      <c r="D122">
        <v>0.84</v>
      </c>
    </row>
    <row r="125" spans="1:4" x14ac:dyDescent="0.3">
      <c r="A125" s="4" t="s">
        <v>84</v>
      </c>
      <c r="C125" t="s">
        <v>85</v>
      </c>
      <c r="D125" t="s">
        <v>86</v>
      </c>
    </row>
    <row r="126" spans="1:4" x14ac:dyDescent="0.3">
      <c r="C126" t="s">
        <v>87</v>
      </c>
      <c r="D126">
        <v>0.92</v>
      </c>
    </row>
    <row r="127" spans="1:4" x14ac:dyDescent="0.3">
      <c r="C127" t="s">
        <v>88</v>
      </c>
      <c r="D127">
        <v>0.89</v>
      </c>
    </row>
    <row r="128" spans="1:4" x14ac:dyDescent="0.3">
      <c r="C128" t="s">
        <v>89</v>
      </c>
      <c r="D128">
        <v>0.93</v>
      </c>
    </row>
    <row r="129" spans="1:4" x14ac:dyDescent="0.3">
      <c r="C129" t="s">
        <v>90</v>
      </c>
      <c r="D129">
        <v>0.94</v>
      </c>
    </row>
    <row r="130" spans="1:4" x14ac:dyDescent="0.3">
      <c r="C130" t="s">
        <v>91</v>
      </c>
      <c r="D130">
        <v>0.97</v>
      </c>
    </row>
    <row r="133" spans="1:4" x14ac:dyDescent="0.3">
      <c r="A133" s="4" t="s">
        <v>1093</v>
      </c>
      <c r="C133" t="s">
        <v>1104</v>
      </c>
      <c r="D133" t="s">
        <v>1105</v>
      </c>
    </row>
    <row r="134" spans="1:4" x14ac:dyDescent="0.3">
      <c r="C134" s="7">
        <v>46023</v>
      </c>
      <c r="D134">
        <v>1.06</v>
      </c>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2832-609F-44E8-91EA-D2A573E52F22}">
  <dimension ref="A1:W1001"/>
  <sheetViews>
    <sheetView workbookViewId="0">
      <selection activeCell="E21" sqref="E21"/>
    </sheetView>
  </sheetViews>
  <sheetFormatPr defaultRowHeight="14.4" x14ac:dyDescent="0.3"/>
  <cols>
    <col min="1" max="1" width="10.109375" bestFit="1" customWidth="1"/>
    <col min="2" max="2" width="14.6640625" bestFit="1" customWidth="1"/>
    <col min="3" max="3" width="22.21875" bestFit="1" customWidth="1"/>
    <col min="4" max="4" width="10.44140625" bestFit="1" customWidth="1"/>
    <col min="5" max="5" width="13.88671875" bestFit="1" customWidth="1"/>
    <col min="6" max="6" width="18.33203125" bestFit="1" customWidth="1"/>
    <col min="7" max="7" width="22.6640625" bestFit="1" customWidth="1"/>
    <col min="8" max="8" width="13.109375" bestFit="1" customWidth="1"/>
    <col min="9" max="9" width="22" bestFit="1" customWidth="1"/>
    <col min="10" max="10" width="15.88671875" bestFit="1" customWidth="1"/>
    <col min="11" max="11" width="11.5546875" bestFit="1" customWidth="1"/>
    <col min="12" max="12" width="14.5546875" bestFit="1" customWidth="1"/>
    <col min="13" max="13" width="15.6640625" bestFit="1" customWidth="1"/>
    <col min="14" max="14" width="24.88671875" bestFit="1" customWidth="1"/>
    <col min="15" max="15" width="19.21875" hidden="1" customWidth="1"/>
    <col min="16" max="16" width="22.44140625" hidden="1" customWidth="1"/>
    <col min="17" max="17" width="12.44140625" bestFit="1" customWidth="1"/>
    <col min="18" max="18" width="15.6640625" bestFit="1" customWidth="1"/>
    <col min="19" max="19" width="22.44140625" bestFit="1" customWidth="1"/>
    <col min="20" max="20" width="20.88671875" bestFit="1" customWidth="1"/>
    <col min="21" max="21" width="20.77734375" bestFit="1" customWidth="1"/>
    <col min="22" max="22" width="24" bestFit="1" customWidth="1"/>
    <col min="23" max="23" width="21.6640625" bestFit="1" customWidth="1"/>
  </cols>
  <sheetData>
    <row r="1" spans="1:23" x14ac:dyDescent="0.3">
      <c r="A1" t="s">
        <v>92</v>
      </c>
      <c r="B1" t="s">
        <v>1104</v>
      </c>
      <c r="C1" t="s">
        <v>68</v>
      </c>
      <c r="D1" t="s">
        <v>1095</v>
      </c>
      <c r="E1" t="s">
        <v>1</v>
      </c>
      <c r="F1" t="s">
        <v>5</v>
      </c>
      <c r="G1" t="s">
        <v>9</v>
      </c>
      <c r="H1" t="s">
        <v>15</v>
      </c>
      <c r="I1" t="s">
        <v>18</v>
      </c>
      <c r="J1" t="s">
        <v>46</v>
      </c>
      <c r="K1" t="s">
        <v>55</v>
      </c>
      <c r="L1" t="s">
        <v>59</v>
      </c>
      <c r="M1" t="s">
        <v>62</v>
      </c>
      <c r="N1" t="s">
        <v>65</v>
      </c>
      <c r="O1" t="s">
        <v>1112</v>
      </c>
      <c r="P1" t="s">
        <v>1113</v>
      </c>
      <c r="Q1" t="s">
        <v>76</v>
      </c>
      <c r="R1" t="s">
        <v>82</v>
      </c>
      <c r="S1" t="s">
        <v>1114</v>
      </c>
      <c r="T1" t="s">
        <v>1115</v>
      </c>
      <c r="U1" t="s">
        <v>1116</v>
      </c>
      <c r="V1" t="s">
        <v>1117</v>
      </c>
      <c r="W1" t="s">
        <v>1118</v>
      </c>
    </row>
    <row r="2" spans="1:23" x14ac:dyDescent="0.3">
      <c r="A2" t="s">
        <v>93</v>
      </c>
      <c r="B2" s="7">
        <v>45908</v>
      </c>
      <c r="C2" t="s">
        <v>72</v>
      </c>
      <c r="D2" t="s">
        <v>1098</v>
      </c>
      <c r="E2" s="3">
        <v>1</v>
      </c>
      <c r="F2" s="3" t="s">
        <v>7</v>
      </c>
      <c r="G2" t="s">
        <v>12</v>
      </c>
      <c r="H2" t="s">
        <v>1107</v>
      </c>
      <c r="I2" t="s">
        <v>23</v>
      </c>
      <c r="J2" t="s">
        <v>49</v>
      </c>
      <c r="K2" t="s">
        <v>10</v>
      </c>
      <c r="L2" t="s">
        <v>10</v>
      </c>
      <c r="M2" t="s">
        <v>10</v>
      </c>
      <c r="N2" t="s">
        <v>10</v>
      </c>
      <c r="O2" t="str">
        <f>INDEX(CoverageTable[Deductible Applies],MATCH(Table18[[#This Row],[Coverage]],CoverageTable[Coverage],0))</f>
        <v>Yes</v>
      </c>
      <c r="P2" t="str">
        <f>INDEX(CoverageTable[Coverage Limit Applies],MATCH(Table18[[#This Row],[Coverage]],CoverageTable[Coverage],0))</f>
        <v>No</v>
      </c>
      <c r="Q2" t="s">
        <v>79</v>
      </c>
      <c r="R2" t="s">
        <v>10</v>
      </c>
      <c r="S2" t="s">
        <v>57</v>
      </c>
      <c r="T2" t="s">
        <v>10</v>
      </c>
      <c r="U2" t="s">
        <v>10</v>
      </c>
      <c r="V2" t="s">
        <v>10</v>
      </c>
      <c r="W2" t="s">
        <v>57</v>
      </c>
    </row>
    <row r="3" spans="1:23" x14ac:dyDescent="0.3">
      <c r="A3" t="s">
        <v>94</v>
      </c>
      <c r="B3" s="7">
        <v>45889</v>
      </c>
      <c r="C3" t="s">
        <v>74</v>
      </c>
      <c r="D3" t="s">
        <v>1097</v>
      </c>
      <c r="E3" s="3">
        <v>5</v>
      </c>
      <c r="F3" s="3">
        <v>4</v>
      </c>
      <c r="G3" t="s">
        <v>10</v>
      </c>
      <c r="H3" t="s">
        <v>1108</v>
      </c>
      <c r="I3" t="s">
        <v>43</v>
      </c>
      <c r="J3" t="s">
        <v>53</v>
      </c>
      <c r="K3" t="s">
        <v>10</v>
      </c>
      <c r="L3" t="s">
        <v>57</v>
      </c>
      <c r="M3" t="s">
        <v>10</v>
      </c>
      <c r="N3" t="s">
        <v>10</v>
      </c>
      <c r="O3" t="str">
        <f>INDEX(CoverageTable[Deductible Applies],MATCH(Table18[[#This Row],[Coverage]],CoverageTable[Coverage],0))</f>
        <v>No</v>
      </c>
      <c r="P3" t="str">
        <f>INDEX(CoverageTable[Coverage Limit Applies],MATCH(Table18[[#This Row],[Coverage]],CoverageTable[Coverage],0))</f>
        <v>Yes</v>
      </c>
      <c r="Q3" t="s">
        <v>10</v>
      </c>
      <c r="R3" t="s">
        <v>80</v>
      </c>
      <c r="S3" t="s">
        <v>10</v>
      </c>
      <c r="T3" t="s">
        <v>10</v>
      </c>
      <c r="U3" t="s">
        <v>57</v>
      </c>
      <c r="V3" t="s">
        <v>10</v>
      </c>
      <c r="W3" t="s">
        <v>10</v>
      </c>
    </row>
    <row r="4" spans="1:23" x14ac:dyDescent="0.3">
      <c r="A4" t="s">
        <v>95</v>
      </c>
      <c r="B4" s="7">
        <v>45946</v>
      </c>
      <c r="C4" t="s">
        <v>74</v>
      </c>
      <c r="D4" t="s">
        <v>1101</v>
      </c>
      <c r="E4" s="3">
        <v>5</v>
      </c>
      <c r="F4" s="3" t="s">
        <v>7</v>
      </c>
      <c r="G4" t="s">
        <v>10</v>
      </c>
      <c r="H4" t="s">
        <v>1107</v>
      </c>
      <c r="I4" t="s">
        <v>31</v>
      </c>
      <c r="J4" t="s">
        <v>49</v>
      </c>
      <c r="K4" t="s">
        <v>10</v>
      </c>
      <c r="L4" t="s">
        <v>10</v>
      </c>
      <c r="M4" t="s">
        <v>10</v>
      </c>
      <c r="N4" t="s">
        <v>10</v>
      </c>
      <c r="O4" t="str">
        <f>INDEX(CoverageTable[Deductible Applies],MATCH(Table18[[#This Row],[Coverage]],CoverageTable[Coverage],0))</f>
        <v>No</v>
      </c>
      <c r="P4" t="str">
        <f>INDEX(CoverageTable[Coverage Limit Applies],MATCH(Table18[[#This Row],[Coverage]],CoverageTable[Coverage],0))</f>
        <v>Yes</v>
      </c>
      <c r="Q4" t="s">
        <v>10</v>
      </c>
      <c r="R4" t="s">
        <v>80</v>
      </c>
      <c r="S4" t="s">
        <v>10</v>
      </c>
      <c r="T4" t="s">
        <v>10</v>
      </c>
      <c r="U4" t="s">
        <v>10</v>
      </c>
      <c r="V4" t="s">
        <v>10</v>
      </c>
      <c r="W4" t="s">
        <v>10</v>
      </c>
    </row>
    <row r="5" spans="1:23" x14ac:dyDescent="0.3">
      <c r="A5" t="s">
        <v>96</v>
      </c>
      <c r="B5" s="7">
        <v>46106</v>
      </c>
      <c r="C5" t="s">
        <v>72</v>
      </c>
      <c r="D5" t="s">
        <v>1102</v>
      </c>
      <c r="E5" s="3" t="s">
        <v>1103</v>
      </c>
      <c r="F5" s="3">
        <v>2</v>
      </c>
      <c r="G5" t="s">
        <v>12</v>
      </c>
      <c r="H5" t="s">
        <v>1110</v>
      </c>
      <c r="I5" t="s">
        <v>37</v>
      </c>
      <c r="J5" t="s">
        <v>48</v>
      </c>
      <c r="K5" t="s">
        <v>10</v>
      </c>
      <c r="L5" t="s">
        <v>10</v>
      </c>
      <c r="M5" t="s">
        <v>10</v>
      </c>
      <c r="N5" t="s">
        <v>57</v>
      </c>
      <c r="O5" t="str">
        <f>INDEX(CoverageTable[Deductible Applies],MATCH(Table18[[#This Row],[Coverage]],CoverageTable[Coverage],0))</f>
        <v>Yes</v>
      </c>
      <c r="P5" t="str">
        <f>INDEX(CoverageTable[Coverage Limit Applies],MATCH(Table18[[#This Row],[Coverage]],CoverageTable[Coverage],0))</f>
        <v>No</v>
      </c>
      <c r="Q5" t="s">
        <v>78</v>
      </c>
      <c r="R5" t="s">
        <v>10</v>
      </c>
      <c r="S5" t="s">
        <v>10</v>
      </c>
      <c r="T5" t="s">
        <v>57</v>
      </c>
      <c r="U5" t="s">
        <v>57</v>
      </c>
      <c r="V5" t="s">
        <v>10</v>
      </c>
      <c r="W5" t="s">
        <v>10</v>
      </c>
    </row>
    <row r="6" spans="1:23" x14ac:dyDescent="0.3">
      <c r="A6" t="s">
        <v>97</v>
      </c>
      <c r="B6" s="7">
        <v>46023</v>
      </c>
      <c r="C6" t="s">
        <v>71</v>
      </c>
      <c r="D6" t="s">
        <v>1101</v>
      </c>
      <c r="E6" s="3">
        <v>7</v>
      </c>
      <c r="F6" s="3">
        <v>3</v>
      </c>
      <c r="G6" t="s">
        <v>12</v>
      </c>
      <c r="H6" t="s">
        <v>1109</v>
      </c>
      <c r="I6" t="s">
        <v>41</v>
      </c>
      <c r="J6" t="s">
        <v>51</v>
      </c>
      <c r="K6" t="s">
        <v>10</v>
      </c>
      <c r="L6" t="s">
        <v>10</v>
      </c>
      <c r="M6" t="s">
        <v>10</v>
      </c>
      <c r="N6" t="s">
        <v>57</v>
      </c>
      <c r="O6" t="str">
        <f>INDEX(CoverageTable[Deductible Applies],MATCH(Table18[[#This Row],[Coverage]],CoverageTable[Coverage],0))</f>
        <v>Yes</v>
      </c>
      <c r="P6" t="str">
        <f>INDEX(CoverageTable[Coverage Limit Applies],MATCH(Table18[[#This Row],[Coverage]],CoverageTable[Coverage],0))</f>
        <v>No</v>
      </c>
      <c r="Q6" t="s">
        <v>78</v>
      </c>
      <c r="R6" t="s">
        <v>10</v>
      </c>
      <c r="S6" t="s">
        <v>10</v>
      </c>
      <c r="T6" t="s">
        <v>10</v>
      </c>
      <c r="U6" t="s">
        <v>57</v>
      </c>
      <c r="V6" t="s">
        <v>10</v>
      </c>
      <c r="W6" t="s">
        <v>10</v>
      </c>
    </row>
    <row r="7" spans="1:23" x14ac:dyDescent="0.3">
      <c r="A7" t="s">
        <v>98</v>
      </c>
      <c r="B7" s="7">
        <v>45924</v>
      </c>
      <c r="C7" t="s">
        <v>71</v>
      </c>
      <c r="D7" t="s">
        <v>1098</v>
      </c>
      <c r="E7" s="3" t="s">
        <v>1103</v>
      </c>
      <c r="F7" s="3">
        <v>4</v>
      </c>
      <c r="G7" t="s">
        <v>10</v>
      </c>
      <c r="H7" t="s">
        <v>1110</v>
      </c>
      <c r="I7" t="s">
        <v>37</v>
      </c>
      <c r="J7" t="s">
        <v>49</v>
      </c>
      <c r="K7" t="s">
        <v>10</v>
      </c>
      <c r="L7" t="s">
        <v>10</v>
      </c>
      <c r="M7" t="s">
        <v>10</v>
      </c>
      <c r="N7" t="s">
        <v>10</v>
      </c>
      <c r="O7" t="str">
        <f>INDEX(CoverageTable[Deductible Applies],MATCH(Table18[[#This Row],[Coverage]],CoverageTable[Coverage],0))</f>
        <v>Yes</v>
      </c>
      <c r="P7" t="str">
        <f>INDEX(CoverageTable[Coverage Limit Applies],MATCH(Table18[[#This Row],[Coverage]],CoverageTable[Coverage],0))</f>
        <v>No</v>
      </c>
      <c r="Q7" t="s">
        <v>80</v>
      </c>
      <c r="R7" t="s">
        <v>10</v>
      </c>
      <c r="S7" t="s">
        <v>10</v>
      </c>
      <c r="T7" t="s">
        <v>10</v>
      </c>
      <c r="U7" t="s">
        <v>10</v>
      </c>
      <c r="V7" t="s">
        <v>10</v>
      </c>
      <c r="W7" t="s">
        <v>10</v>
      </c>
    </row>
    <row r="8" spans="1:23" x14ac:dyDescent="0.3">
      <c r="A8" t="s">
        <v>99</v>
      </c>
      <c r="B8" s="7">
        <v>46120</v>
      </c>
      <c r="C8" t="s">
        <v>74</v>
      </c>
      <c r="D8" t="s">
        <v>1099</v>
      </c>
      <c r="E8" s="3">
        <v>5</v>
      </c>
      <c r="F8" s="3">
        <v>3</v>
      </c>
      <c r="G8" t="s">
        <v>10</v>
      </c>
      <c r="H8" t="s">
        <v>1106</v>
      </c>
      <c r="I8" t="s">
        <v>44</v>
      </c>
      <c r="J8" t="s">
        <v>53</v>
      </c>
      <c r="K8" t="s">
        <v>10</v>
      </c>
      <c r="L8" t="s">
        <v>10</v>
      </c>
      <c r="M8" t="s">
        <v>10</v>
      </c>
      <c r="N8" t="s">
        <v>10</v>
      </c>
      <c r="O8" t="str">
        <f>INDEX(CoverageTable[Deductible Applies],MATCH(Table18[[#This Row],[Coverage]],CoverageTable[Coverage],0))</f>
        <v>No</v>
      </c>
      <c r="P8" t="str">
        <f>INDEX(CoverageTable[Coverage Limit Applies],MATCH(Table18[[#This Row],[Coverage]],CoverageTable[Coverage],0))</f>
        <v>Yes</v>
      </c>
      <c r="Q8" t="s">
        <v>10</v>
      </c>
      <c r="R8" t="s">
        <v>78</v>
      </c>
      <c r="S8" t="s">
        <v>10</v>
      </c>
      <c r="T8" t="s">
        <v>10</v>
      </c>
      <c r="U8" t="s">
        <v>10</v>
      </c>
      <c r="V8" t="s">
        <v>10</v>
      </c>
      <c r="W8" t="s">
        <v>10</v>
      </c>
    </row>
    <row r="9" spans="1:23" x14ac:dyDescent="0.3">
      <c r="A9" t="s">
        <v>100</v>
      </c>
      <c r="B9" s="7">
        <v>46143</v>
      </c>
      <c r="C9" t="s">
        <v>70</v>
      </c>
      <c r="D9" t="s">
        <v>1098</v>
      </c>
      <c r="E9" s="3">
        <v>7</v>
      </c>
      <c r="F9" s="3">
        <v>2</v>
      </c>
      <c r="G9" t="s">
        <v>12</v>
      </c>
      <c r="H9" t="s">
        <v>1108</v>
      </c>
      <c r="I9" t="s">
        <v>34</v>
      </c>
      <c r="J9" t="s">
        <v>52</v>
      </c>
      <c r="K9" t="s">
        <v>10</v>
      </c>
      <c r="L9" t="s">
        <v>10</v>
      </c>
      <c r="M9" t="s">
        <v>10</v>
      </c>
      <c r="N9" t="s">
        <v>57</v>
      </c>
      <c r="O9" t="str">
        <f>INDEX(CoverageTable[Deductible Applies],MATCH(Table18[[#This Row],[Coverage]],CoverageTable[Coverage],0))</f>
        <v>No</v>
      </c>
      <c r="P9" t="str">
        <f>INDEX(CoverageTable[Coverage Limit Applies],MATCH(Table18[[#This Row],[Coverage]],CoverageTable[Coverage],0))</f>
        <v>Yes</v>
      </c>
      <c r="Q9" t="s">
        <v>10</v>
      </c>
      <c r="R9" t="s">
        <v>79</v>
      </c>
      <c r="S9" t="s">
        <v>57</v>
      </c>
      <c r="T9" t="s">
        <v>10</v>
      </c>
      <c r="U9" t="s">
        <v>10</v>
      </c>
      <c r="V9" t="s">
        <v>10</v>
      </c>
      <c r="W9" t="s">
        <v>10</v>
      </c>
    </row>
    <row r="10" spans="1:23" x14ac:dyDescent="0.3">
      <c r="A10" t="s">
        <v>101</v>
      </c>
      <c r="B10" s="7">
        <v>46072</v>
      </c>
      <c r="C10" t="s">
        <v>70</v>
      </c>
      <c r="D10" t="s">
        <v>1099</v>
      </c>
      <c r="E10" s="3">
        <v>6</v>
      </c>
      <c r="F10" s="3">
        <v>3</v>
      </c>
      <c r="G10" t="s">
        <v>13</v>
      </c>
      <c r="H10" t="s">
        <v>1110</v>
      </c>
      <c r="I10" t="s">
        <v>27</v>
      </c>
      <c r="J10" t="s">
        <v>53</v>
      </c>
      <c r="K10" t="s">
        <v>10</v>
      </c>
      <c r="L10" t="s">
        <v>10</v>
      </c>
      <c r="M10" t="s">
        <v>10</v>
      </c>
      <c r="N10" t="s">
        <v>10</v>
      </c>
      <c r="O10" t="str">
        <f>INDEX(CoverageTable[Deductible Applies],MATCH(Table18[[#This Row],[Coverage]],CoverageTable[Coverage],0))</f>
        <v>No</v>
      </c>
      <c r="P10" t="str">
        <f>INDEX(CoverageTable[Coverage Limit Applies],MATCH(Table18[[#This Row],[Coverage]],CoverageTable[Coverage],0))</f>
        <v>Yes</v>
      </c>
      <c r="Q10" t="s">
        <v>10</v>
      </c>
      <c r="R10" t="s">
        <v>79</v>
      </c>
      <c r="S10" t="s">
        <v>57</v>
      </c>
      <c r="T10" t="s">
        <v>57</v>
      </c>
      <c r="U10" t="s">
        <v>57</v>
      </c>
      <c r="V10" t="s">
        <v>10</v>
      </c>
      <c r="W10" t="s">
        <v>57</v>
      </c>
    </row>
    <row r="11" spans="1:23" x14ac:dyDescent="0.3">
      <c r="A11" t="s">
        <v>102</v>
      </c>
      <c r="B11" s="7">
        <v>45997</v>
      </c>
      <c r="C11" t="s">
        <v>70</v>
      </c>
      <c r="D11" t="s">
        <v>1098</v>
      </c>
      <c r="E11" s="3" t="s">
        <v>1103</v>
      </c>
      <c r="F11" s="3">
        <v>2</v>
      </c>
      <c r="G11" t="s">
        <v>10</v>
      </c>
      <c r="H11" t="s">
        <v>1107</v>
      </c>
      <c r="I11" t="s">
        <v>36</v>
      </c>
      <c r="J11" t="s">
        <v>50</v>
      </c>
      <c r="K11" t="s">
        <v>10</v>
      </c>
      <c r="L11" t="s">
        <v>10</v>
      </c>
      <c r="M11" t="s">
        <v>10</v>
      </c>
      <c r="N11" t="s">
        <v>10</v>
      </c>
      <c r="O11" t="str">
        <f>INDEX(CoverageTable[Deductible Applies],MATCH(Table18[[#This Row],[Coverage]],CoverageTable[Coverage],0))</f>
        <v>No</v>
      </c>
      <c r="P11" t="str">
        <f>INDEX(CoverageTable[Coverage Limit Applies],MATCH(Table18[[#This Row],[Coverage]],CoverageTable[Coverage],0))</f>
        <v>Yes</v>
      </c>
      <c r="Q11" t="s">
        <v>10</v>
      </c>
      <c r="R11" t="s">
        <v>79</v>
      </c>
      <c r="S11" t="s">
        <v>10</v>
      </c>
      <c r="T11" t="s">
        <v>10</v>
      </c>
      <c r="U11" t="s">
        <v>10</v>
      </c>
      <c r="V11" t="s">
        <v>10</v>
      </c>
      <c r="W11" t="s">
        <v>57</v>
      </c>
    </row>
    <row r="12" spans="1:23" x14ac:dyDescent="0.3">
      <c r="A12" t="s">
        <v>103</v>
      </c>
      <c r="B12" s="7">
        <v>46063</v>
      </c>
      <c r="C12" t="s">
        <v>72</v>
      </c>
      <c r="D12" t="s">
        <v>1099</v>
      </c>
      <c r="E12" s="3">
        <v>2</v>
      </c>
      <c r="F12" s="3">
        <v>1</v>
      </c>
      <c r="G12" t="s">
        <v>10</v>
      </c>
      <c r="H12" t="s">
        <v>1107</v>
      </c>
      <c r="I12" t="s">
        <v>41</v>
      </c>
      <c r="J12" t="s">
        <v>50</v>
      </c>
      <c r="K12" t="s">
        <v>57</v>
      </c>
      <c r="L12" t="s">
        <v>10</v>
      </c>
      <c r="M12" t="s">
        <v>10</v>
      </c>
      <c r="N12" t="s">
        <v>10</v>
      </c>
      <c r="O12" t="str">
        <f>INDEX(CoverageTable[Deductible Applies],MATCH(Table18[[#This Row],[Coverage]],CoverageTable[Coverage],0))</f>
        <v>Yes</v>
      </c>
      <c r="P12" t="str">
        <f>INDEX(CoverageTable[Coverage Limit Applies],MATCH(Table18[[#This Row],[Coverage]],CoverageTable[Coverage],0))</f>
        <v>No</v>
      </c>
      <c r="Q12" t="s">
        <v>80</v>
      </c>
      <c r="R12" t="s">
        <v>10</v>
      </c>
      <c r="S12" t="s">
        <v>10</v>
      </c>
      <c r="T12" t="s">
        <v>10</v>
      </c>
      <c r="U12" t="s">
        <v>10</v>
      </c>
      <c r="V12" t="s">
        <v>57</v>
      </c>
      <c r="W12" t="s">
        <v>10</v>
      </c>
    </row>
    <row r="13" spans="1:23" x14ac:dyDescent="0.3">
      <c r="A13" t="s">
        <v>104</v>
      </c>
      <c r="B13" s="7">
        <v>46097</v>
      </c>
      <c r="C13" t="s">
        <v>70</v>
      </c>
      <c r="D13" t="s">
        <v>1102</v>
      </c>
      <c r="E13" s="3">
        <v>5</v>
      </c>
      <c r="F13" s="3" t="s">
        <v>7</v>
      </c>
      <c r="G13" t="s">
        <v>11</v>
      </c>
      <c r="H13" t="s">
        <v>1110</v>
      </c>
      <c r="I13" t="s">
        <v>43</v>
      </c>
      <c r="J13" t="s">
        <v>50</v>
      </c>
      <c r="K13" t="s">
        <v>10</v>
      </c>
      <c r="L13" t="s">
        <v>10</v>
      </c>
      <c r="M13" t="s">
        <v>57</v>
      </c>
      <c r="N13" t="s">
        <v>57</v>
      </c>
      <c r="O13" t="str">
        <f>INDEX(CoverageTable[Deductible Applies],MATCH(Table18[[#This Row],[Coverage]],CoverageTable[Coverage],0))</f>
        <v>No</v>
      </c>
      <c r="P13" t="str">
        <f>INDEX(CoverageTable[Coverage Limit Applies],MATCH(Table18[[#This Row],[Coverage]],CoverageTable[Coverage],0))</f>
        <v>Yes</v>
      </c>
      <c r="Q13" t="s">
        <v>10</v>
      </c>
      <c r="R13" t="s">
        <v>79</v>
      </c>
      <c r="S13" t="s">
        <v>57</v>
      </c>
      <c r="T13" t="s">
        <v>57</v>
      </c>
      <c r="U13" t="s">
        <v>10</v>
      </c>
      <c r="V13" t="s">
        <v>10</v>
      </c>
      <c r="W13" t="s">
        <v>10</v>
      </c>
    </row>
    <row r="14" spans="1:23" x14ac:dyDescent="0.3">
      <c r="A14" t="s">
        <v>105</v>
      </c>
      <c r="B14" s="7">
        <v>46139</v>
      </c>
      <c r="C14" t="s">
        <v>73</v>
      </c>
      <c r="D14" t="s">
        <v>1100</v>
      </c>
      <c r="E14" s="3">
        <v>1</v>
      </c>
      <c r="F14" s="3">
        <v>3</v>
      </c>
      <c r="G14" t="s">
        <v>11</v>
      </c>
      <c r="H14" t="s">
        <v>1109</v>
      </c>
      <c r="I14" t="s">
        <v>35</v>
      </c>
      <c r="J14" t="s">
        <v>49</v>
      </c>
      <c r="K14" t="s">
        <v>57</v>
      </c>
      <c r="L14" t="s">
        <v>10</v>
      </c>
      <c r="M14" t="s">
        <v>10</v>
      </c>
      <c r="N14" t="s">
        <v>57</v>
      </c>
      <c r="O14" t="str">
        <f>INDEX(CoverageTable[Deductible Applies],MATCH(Table18[[#This Row],[Coverage]],CoverageTable[Coverage],0))</f>
        <v>No</v>
      </c>
      <c r="P14" t="str">
        <f>INDEX(CoverageTable[Coverage Limit Applies],MATCH(Table18[[#This Row],[Coverage]],CoverageTable[Coverage],0))</f>
        <v>Yes</v>
      </c>
      <c r="Q14" t="s">
        <v>10</v>
      </c>
      <c r="R14" t="s">
        <v>79</v>
      </c>
      <c r="S14" t="s">
        <v>10</v>
      </c>
      <c r="T14" t="s">
        <v>10</v>
      </c>
      <c r="U14" t="s">
        <v>10</v>
      </c>
      <c r="V14" t="s">
        <v>10</v>
      </c>
      <c r="W14" t="s">
        <v>10</v>
      </c>
    </row>
    <row r="15" spans="1:23" x14ac:dyDescent="0.3">
      <c r="A15" t="s">
        <v>106</v>
      </c>
      <c r="B15" s="7">
        <v>45901</v>
      </c>
      <c r="C15" t="s">
        <v>70</v>
      </c>
      <c r="D15" t="s">
        <v>1101</v>
      </c>
      <c r="E15" s="3">
        <v>5</v>
      </c>
      <c r="F15" s="3">
        <v>3</v>
      </c>
      <c r="G15" t="s">
        <v>13</v>
      </c>
      <c r="H15" t="s">
        <v>1110</v>
      </c>
      <c r="I15" t="s">
        <v>23</v>
      </c>
      <c r="J15" t="s">
        <v>52</v>
      </c>
      <c r="K15" t="s">
        <v>10</v>
      </c>
      <c r="L15" t="s">
        <v>10</v>
      </c>
      <c r="M15" t="s">
        <v>10</v>
      </c>
      <c r="N15" t="s">
        <v>57</v>
      </c>
      <c r="O15" t="str">
        <f>INDEX(CoverageTable[Deductible Applies],MATCH(Table18[[#This Row],[Coverage]],CoverageTable[Coverage],0))</f>
        <v>No</v>
      </c>
      <c r="P15" t="str">
        <f>INDEX(CoverageTable[Coverage Limit Applies],MATCH(Table18[[#This Row],[Coverage]],CoverageTable[Coverage],0))</f>
        <v>Yes</v>
      </c>
      <c r="Q15" t="s">
        <v>10</v>
      </c>
      <c r="R15" t="s">
        <v>79</v>
      </c>
      <c r="S15" t="s">
        <v>10</v>
      </c>
      <c r="T15" t="s">
        <v>57</v>
      </c>
      <c r="U15" t="s">
        <v>10</v>
      </c>
      <c r="V15" t="s">
        <v>57</v>
      </c>
      <c r="W15" t="s">
        <v>10</v>
      </c>
    </row>
    <row r="16" spans="1:23" x14ac:dyDescent="0.3">
      <c r="A16" t="s">
        <v>107</v>
      </c>
      <c r="B16" s="7">
        <v>45813</v>
      </c>
      <c r="C16" t="s">
        <v>70</v>
      </c>
      <c r="D16" t="s">
        <v>1099</v>
      </c>
      <c r="E16" s="3">
        <v>7</v>
      </c>
      <c r="F16" s="3">
        <v>4</v>
      </c>
      <c r="G16" t="s">
        <v>10</v>
      </c>
      <c r="H16" t="s">
        <v>1107</v>
      </c>
      <c r="I16" t="s">
        <v>32</v>
      </c>
      <c r="J16" t="s">
        <v>48</v>
      </c>
      <c r="K16" t="s">
        <v>10</v>
      </c>
      <c r="L16" t="s">
        <v>10</v>
      </c>
      <c r="M16" t="s">
        <v>10</v>
      </c>
      <c r="N16" t="s">
        <v>57</v>
      </c>
      <c r="O16" t="str">
        <f>INDEX(CoverageTable[Deductible Applies],MATCH(Table18[[#This Row],[Coverage]],CoverageTable[Coverage],0))</f>
        <v>No</v>
      </c>
      <c r="P16" t="str">
        <f>INDEX(CoverageTable[Coverage Limit Applies],MATCH(Table18[[#This Row],[Coverage]],CoverageTable[Coverage],0))</f>
        <v>Yes</v>
      </c>
      <c r="Q16" t="s">
        <v>10</v>
      </c>
      <c r="R16" t="s">
        <v>79</v>
      </c>
      <c r="S16" t="s">
        <v>10</v>
      </c>
      <c r="T16" t="s">
        <v>10</v>
      </c>
      <c r="U16" t="s">
        <v>10</v>
      </c>
      <c r="V16" t="s">
        <v>10</v>
      </c>
      <c r="W16" t="s">
        <v>57</v>
      </c>
    </row>
    <row r="17" spans="1:23" x14ac:dyDescent="0.3">
      <c r="A17" t="s">
        <v>108</v>
      </c>
      <c r="B17" s="7">
        <v>45944</v>
      </c>
      <c r="C17" t="s">
        <v>71</v>
      </c>
      <c r="D17" t="s">
        <v>1097</v>
      </c>
      <c r="E17" s="3">
        <v>7</v>
      </c>
      <c r="F17" s="3">
        <v>0</v>
      </c>
      <c r="G17" t="s">
        <v>12</v>
      </c>
      <c r="H17" t="s">
        <v>1108</v>
      </c>
      <c r="I17" t="s">
        <v>38</v>
      </c>
      <c r="J17" t="s">
        <v>54</v>
      </c>
      <c r="K17" t="s">
        <v>10</v>
      </c>
      <c r="L17" t="s">
        <v>10</v>
      </c>
      <c r="M17" t="s">
        <v>10</v>
      </c>
      <c r="N17" t="s">
        <v>10</v>
      </c>
      <c r="O17" t="str">
        <f>INDEX(CoverageTable[Deductible Applies],MATCH(Table18[[#This Row],[Coverage]],CoverageTable[Coverage],0))</f>
        <v>Yes</v>
      </c>
      <c r="P17" t="str">
        <f>INDEX(CoverageTable[Coverage Limit Applies],MATCH(Table18[[#This Row],[Coverage]],CoverageTable[Coverage],0))</f>
        <v>No</v>
      </c>
      <c r="Q17" t="s">
        <v>79</v>
      </c>
      <c r="R17" t="s">
        <v>10</v>
      </c>
      <c r="S17" t="s">
        <v>10</v>
      </c>
      <c r="T17" t="s">
        <v>57</v>
      </c>
      <c r="U17" t="s">
        <v>10</v>
      </c>
      <c r="V17" t="s">
        <v>10</v>
      </c>
      <c r="W17" t="s">
        <v>10</v>
      </c>
    </row>
    <row r="18" spans="1:23" x14ac:dyDescent="0.3">
      <c r="A18" t="s">
        <v>109</v>
      </c>
      <c r="B18" s="7">
        <v>45792</v>
      </c>
      <c r="C18" t="s">
        <v>73</v>
      </c>
      <c r="D18" t="s">
        <v>1102</v>
      </c>
      <c r="E18" s="3">
        <v>7</v>
      </c>
      <c r="F18" s="3">
        <v>1</v>
      </c>
      <c r="G18" t="s">
        <v>11</v>
      </c>
      <c r="H18" t="s">
        <v>1110</v>
      </c>
      <c r="I18" t="s">
        <v>34</v>
      </c>
      <c r="J18" t="s">
        <v>49</v>
      </c>
      <c r="K18" t="s">
        <v>10</v>
      </c>
      <c r="L18" t="s">
        <v>10</v>
      </c>
      <c r="M18" t="s">
        <v>10</v>
      </c>
      <c r="N18" t="s">
        <v>57</v>
      </c>
      <c r="O18" t="str">
        <f>INDEX(CoverageTable[Deductible Applies],MATCH(Table18[[#This Row],[Coverage]],CoverageTable[Coverage],0))</f>
        <v>No</v>
      </c>
      <c r="P18" t="str">
        <f>INDEX(CoverageTable[Coverage Limit Applies],MATCH(Table18[[#This Row],[Coverage]],CoverageTable[Coverage],0))</f>
        <v>Yes</v>
      </c>
      <c r="Q18" t="s">
        <v>10</v>
      </c>
      <c r="R18" t="s">
        <v>80</v>
      </c>
      <c r="S18" t="s">
        <v>10</v>
      </c>
      <c r="T18" t="s">
        <v>10</v>
      </c>
      <c r="U18" t="s">
        <v>10</v>
      </c>
      <c r="V18" t="s">
        <v>10</v>
      </c>
      <c r="W18" t="s">
        <v>10</v>
      </c>
    </row>
    <row r="19" spans="1:23" x14ac:dyDescent="0.3">
      <c r="A19" t="s">
        <v>110</v>
      </c>
      <c r="B19" s="7">
        <v>45825</v>
      </c>
      <c r="C19" t="s">
        <v>71</v>
      </c>
      <c r="D19" t="s">
        <v>1102</v>
      </c>
      <c r="E19" s="3">
        <v>7</v>
      </c>
      <c r="F19" s="3">
        <v>1</v>
      </c>
      <c r="G19" t="s">
        <v>10</v>
      </c>
      <c r="H19" t="s">
        <v>1106</v>
      </c>
      <c r="I19" t="s">
        <v>43</v>
      </c>
      <c r="J19" t="s">
        <v>50</v>
      </c>
      <c r="K19" t="s">
        <v>10</v>
      </c>
      <c r="L19" t="s">
        <v>10</v>
      </c>
      <c r="M19" t="s">
        <v>10</v>
      </c>
      <c r="N19" t="s">
        <v>10</v>
      </c>
      <c r="O19" t="str">
        <f>INDEX(CoverageTable[Deductible Applies],MATCH(Table18[[#This Row],[Coverage]],CoverageTable[Coverage],0))</f>
        <v>Yes</v>
      </c>
      <c r="P19" t="str">
        <f>INDEX(CoverageTable[Coverage Limit Applies],MATCH(Table18[[#This Row],[Coverage]],CoverageTable[Coverage],0))</f>
        <v>No</v>
      </c>
      <c r="Q19" t="s">
        <v>78</v>
      </c>
      <c r="R19" t="s">
        <v>10</v>
      </c>
      <c r="S19" t="s">
        <v>10</v>
      </c>
      <c r="T19" t="s">
        <v>10</v>
      </c>
      <c r="U19" t="s">
        <v>10</v>
      </c>
      <c r="V19" t="s">
        <v>10</v>
      </c>
      <c r="W19" t="s">
        <v>10</v>
      </c>
    </row>
    <row r="20" spans="1:23" x14ac:dyDescent="0.3">
      <c r="A20" t="s">
        <v>111</v>
      </c>
      <c r="B20" s="7">
        <v>46085</v>
      </c>
      <c r="C20" t="s">
        <v>73</v>
      </c>
      <c r="D20" t="s">
        <v>1102</v>
      </c>
      <c r="E20" s="3">
        <v>3</v>
      </c>
      <c r="F20" s="3" t="s">
        <v>7</v>
      </c>
      <c r="G20" t="s">
        <v>10</v>
      </c>
      <c r="H20" t="s">
        <v>1106</v>
      </c>
      <c r="I20" t="s">
        <v>25</v>
      </c>
      <c r="J20" t="s">
        <v>50</v>
      </c>
      <c r="K20" t="s">
        <v>10</v>
      </c>
      <c r="L20" t="s">
        <v>57</v>
      </c>
      <c r="M20" t="s">
        <v>10</v>
      </c>
      <c r="N20" t="s">
        <v>57</v>
      </c>
      <c r="O20" t="str">
        <f>INDEX(CoverageTable[Deductible Applies],MATCH(Table18[[#This Row],[Coverage]],CoverageTable[Coverage],0))</f>
        <v>No</v>
      </c>
      <c r="P20" t="str">
        <f>INDEX(CoverageTable[Coverage Limit Applies],MATCH(Table18[[#This Row],[Coverage]],CoverageTable[Coverage],0))</f>
        <v>Yes</v>
      </c>
      <c r="Q20" t="s">
        <v>10</v>
      </c>
      <c r="R20" t="s">
        <v>80</v>
      </c>
      <c r="S20" t="s">
        <v>10</v>
      </c>
      <c r="T20" t="s">
        <v>10</v>
      </c>
      <c r="U20" t="s">
        <v>10</v>
      </c>
      <c r="V20" t="s">
        <v>10</v>
      </c>
      <c r="W20" t="s">
        <v>10</v>
      </c>
    </row>
    <row r="21" spans="1:23" x14ac:dyDescent="0.3">
      <c r="A21" t="s">
        <v>112</v>
      </c>
      <c r="B21" s="7">
        <v>45889</v>
      </c>
      <c r="C21" t="s">
        <v>73</v>
      </c>
      <c r="D21" t="s">
        <v>1098</v>
      </c>
      <c r="E21" s="3">
        <v>6</v>
      </c>
      <c r="F21" s="3">
        <v>0</v>
      </c>
      <c r="G21" t="s">
        <v>13</v>
      </c>
      <c r="H21" t="s">
        <v>1108</v>
      </c>
      <c r="I21" t="s">
        <v>34</v>
      </c>
      <c r="J21" t="s">
        <v>53</v>
      </c>
      <c r="K21" t="s">
        <v>10</v>
      </c>
      <c r="L21" t="s">
        <v>10</v>
      </c>
      <c r="M21" t="s">
        <v>10</v>
      </c>
      <c r="N21" t="s">
        <v>57</v>
      </c>
      <c r="O21" t="str">
        <f>INDEX(CoverageTable[Deductible Applies],MATCH(Table18[[#This Row],[Coverage]],CoverageTable[Coverage],0))</f>
        <v>No</v>
      </c>
      <c r="P21" t="str">
        <f>INDEX(CoverageTable[Coverage Limit Applies],MATCH(Table18[[#This Row],[Coverage]],CoverageTable[Coverage],0))</f>
        <v>Yes</v>
      </c>
      <c r="Q21" t="s">
        <v>10</v>
      </c>
      <c r="R21" t="s">
        <v>80</v>
      </c>
      <c r="S21" t="s">
        <v>10</v>
      </c>
      <c r="T21" t="s">
        <v>10</v>
      </c>
      <c r="U21" t="s">
        <v>10</v>
      </c>
      <c r="V21" t="s">
        <v>10</v>
      </c>
      <c r="W21" t="s">
        <v>10</v>
      </c>
    </row>
    <row r="22" spans="1:23" x14ac:dyDescent="0.3">
      <c r="A22" t="s">
        <v>113</v>
      </c>
      <c r="B22" s="7">
        <v>45863</v>
      </c>
      <c r="C22" t="s">
        <v>71</v>
      </c>
      <c r="D22" t="s">
        <v>1097</v>
      </c>
      <c r="E22" s="3">
        <v>1</v>
      </c>
      <c r="F22" s="3">
        <v>4</v>
      </c>
      <c r="G22" t="s">
        <v>10</v>
      </c>
      <c r="H22" t="s">
        <v>1106</v>
      </c>
      <c r="I22" t="s">
        <v>37</v>
      </c>
      <c r="J22" t="s">
        <v>48</v>
      </c>
      <c r="K22" t="s">
        <v>10</v>
      </c>
      <c r="L22" t="s">
        <v>10</v>
      </c>
      <c r="M22" t="s">
        <v>10</v>
      </c>
      <c r="N22" t="s">
        <v>57</v>
      </c>
      <c r="O22" t="str">
        <f>INDEX(CoverageTable[Deductible Applies],MATCH(Table18[[#This Row],[Coverage]],CoverageTable[Coverage],0))</f>
        <v>Yes</v>
      </c>
      <c r="P22" t="str">
        <f>INDEX(CoverageTable[Coverage Limit Applies],MATCH(Table18[[#This Row],[Coverage]],CoverageTable[Coverage],0))</f>
        <v>No</v>
      </c>
      <c r="Q22" t="s">
        <v>78</v>
      </c>
      <c r="R22" t="s">
        <v>10</v>
      </c>
      <c r="S22" t="s">
        <v>10</v>
      </c>
      <c r="T22" t="s">
        <v>10</v>
      </c>
      <c r="U22" t="s">
        <v>10</v>
      </c>
      <c r="V22" t="s">
        <v>57</v>
      </c>
      <c r="W22" t="s">
        <v>10</v>
      </c>
    </row>
    <row r="23" spans="1:23" x14ac:dyDescent="0.3">
      <c r="A23" t="s">
        <v>114</v>
      </c>
      <c r="B23" s="7">
        <v>45961</v>
      </c>
      <c r="C23" t="s">
        <v>71</v>
      </c>
      <c r="D23" t="s">
        <v>1102</v>
      </c>
      <c r="E23" s="3">
        <v>7</v>
      </c>
      <c r="F23" s="3">
        <v>3</v>
      </c>
      <c r="G23" t="s">
        <v>11</v>
      </c>
      <c r="H23" t="s">
        <v>1109</v>
      </c>
      <c r="I23" t="s">
        <v>34</v>
      </c>
      <c r="J23" t="s">
        <v>52</v>
      </c>
      <c r="K23" t="s">
        <v>10</v>
      </c>
      <c r="L23" t="s">
        <v>10</v>
      </c>
      <c r="M23" t="s">
        <v>57</v>
      </c>
      <c r="N23" t="s">
        <v>57</v>
      </c>
      <c r="O23" t="str">
        <f>INDEX(CoverageTable[Deductible Applies],MATCH(Table18[[#This Row],[Coverage]],CoverageTable[Coverage],0))</f>
        <v>Yes</v>
      </c>
      <c r="P23" t="str">
        <f>INDEX(CoverageTable[Coverage Limit Applies],MATCH(Table18[[#This Row],[Coverage]],CoverageTable[Coverage],0))</f>
        <v>No</v>
      </c>
      <c r="Q23" t="s">
        <v>78</v>
      </c>
      <c r="R23" t="s">
        <v>10</v>
      </c>
      <c r="S23" t="s">
        <v>10</v>
      </c>
      <c r="T23" t="s">
        <v>57</v>
      </c>
      <c r="U23" t="s">
        <v>10</v>
      </c>
      <c r="V23" t="s">
        <v>10</v>
      </c>
      <c r="W23" t="s">
        <v>10</v>
      </c>
    </row>
    <row r="24" spans="1:23" x14ac:dyDescent="0.3">
      <c r="A24" t="s">
        <v>115</v>
      </c>
      <c r="B24" s="7">
        <v>45867</v>
      </c>
      <c r="C24" t="s">
        <v>71</v>
      </c>
      <c r="D24" t="s">
        <v>1098</v>
      </c>
      <c r="E24" s="3">
        <v>2</v>
      </c>
      <c r="F24" s="3">
        <v>0</v>
      </c>
      <c r="G24" t="s">
        <v>10</v>
      </c>
      <c r="H24" t="s">
        <v>1106</v>
      </c>
      <c r="I24" t="s">
        <v>38</v>
      </c>
      <c r="J24" t="s">
        <v>51</v>
      </c>
      <c r="K24" t="s">
        <v>10</v>
      </c>
      <c r="L24" t="s">
        <v>10</v>
      </c>
      <c r="M24" t="s">
        <v>10</v>
      </c>
      <c r="N24" t="s">
        <v>10</v>
      </c>
      <c r="O24" t="str">
        <f>INDEX(CoverageTable[Deductible Applies],MATCH(Table18[[#This Row],[Coverage]],CoverageTable[Coverage],0))</f>
        <v>Yes</v>
      </c>
      <c r="P24" t="str">
        <f>INDEX(CoverageTable[Coverage Limit Applies],MATCH(Table18[[#This Row],[Coverage]],CoverageTable[Coverage],0))</f>
        <v>No</v>
      </c>
      <c r="Q24" t="s">
        <v>78</v>
      </c>
      <c r="R24" t="s">
        <v>10</v>
      </c>
      <c r="S24" t="s">
        <v>10</v>
      </c>
      <c r="T24" t="s">
        <v>57</v>
      </c>
      <c r="U24" t="s">
        <v>57</v>
      </c>
      <c r="V24" t="s">
        <v>10</v>
      </c>
      <c r="W24" t="s">
        <v>10</v>
      </c>
    </row>
    <row r="25" spans="1:23" x14ac:dyDescent="0.3">
      <c r="A25" t="s">
        <v>116</v>
      </c>
      <c r="B25" s="7">
        <v>45824</v>
      </c>
      <c r="C25" t="s">
        <v>71</v>
      </c>
      <c r="D25" t="s">
        <v>1102</v>
      </c>
      <c r="E25" s="3">
        <v>1</v>
      </c>
      <c r="F25" s="3">
        <v>0</v>
      </c>
      <c r="G25" t="s">
        <v>10</v>
      </c>
      <c r="H25" t="s">
        <v>1109</v>
      </c>
      <c r="I25" t="s">
        <v>37</v>
      </c>
      <c r="J25" t="s">
        <v>52</v>
      </c>
      <c r="K25" t="s">
        <v>10</v>
      </c>
      <c r="L25" t="s">
        <v>10</v>
      </c>
      <c r="M25" t="s">
        <v>57</v>
      </c>
      <c r="N25" t="s">
        <v>10</v>
      </c>
      <c r="O25" t="str">
        <f>INDEX(CoverageTable[Deductible Applies],MATCH(Table18[[#This Row],[Coverage]],CoverageTable[Coverage],0))</f>
        <v>Yes</v>
      </c>
      <c r="P25" t="str">
        <f>INDEX(CoverageTable[Coverage Limit Applies],MATCH(Table18[[#This Row],[Coverage]],CoverageTable[Coverage],0))</f>
        <v>No</v>
      </c>
      <c r="Q25" t="s">
        <v>79</v>
      </c>
      <c r="R25" t="s">
        <v>10</v>
      </c>
      <c r="S25" t="s">
        <v>10</v>
      </c>
      <c r="T25" t="s">
        <v>10</v>
      </c>
      <c r="U25" t="s">
        <v>10</v>
      </c>
      <c r="V25" t="s">
        <v>10</v>
      </c>
      <c r="W25" t="s">
        <v>10</v>
      </c>
    </row>
    <row r="26" spans="1:23" x14ac:dyDescent="0.3">
      <c r="A26" t="s">
        <v>117</v>
      </c>
      <c r="B26" s="7">
        <v>45861</v>
      </c>
      <c r="C26" t="s">
        <v>71</v>
      </c>
      <c r="D26" t="s">
        <v>1100</v>
      </c>
      <c r="E26" s="3">
        <v>1</v>
      </c>
      <c r="F26" s="3">
        <v>0</v>
      </c>
      <c r="G26" t="s">
        <v>13</v>
      </c>
      <c r="H26" t="s">
        <v>1108</v>
      </c>
      <c r="I26" t="s">
        <v>28</v>
      </c>
      <c r="J26" t="s">
        <v>51</v>
      </c>
      <c r="K26" t="s">
        <v>10</v>
      </c>
      <c r="L26" t="s">
        <v>10</v>
      </c>
      <c r="M26" t="s">
        <v>10</v>
      </c>
      <c r="N26" t="s">
        <v>57</v>
      </c>
      <c r="O26" t="str">
        <f>INDEX(CoverageTable[Deductible Applies],MATCH(Table18[[#This Row],[Coverage]],CoverageTable[Coverage],0))</f>
        <v>Yes</v>
      </c>
      <c r="P26" t="str">
        <f>INDEX(CoverageTable[Coverage Limit Applies],MATCH(Table18[[#This Row],[Coverage]],CoverageTable[Coverage],0))</f>
        <v>No</v>
      </c>
      <c r="Q26" t="s">
        <v>80</v>
      </c>
      <c r="R26" t="s">
        <v>10</v>
      </c>
      <c r="S26" t="s">
        <v>10</v>
      </c>
      <c r="T26" t="s">
        <v>10</v>
      </c>
      <c r="U26" t="s">
        <v>10</v>
      </c>
      <c r="V26" t="s">
        <v>10</v>
      </c>
      <c r="W26" t="s">
        <v>10</v>
      </c>
    </row>
    <row r="27" spans="1:23" x14ac:dyDescent="0.3">
      <c r="A27" t="s">
        <v>118</v>
      </c>
      <c r="B27" s="7">
        <v>46043</v>
      </c>
      <c r="C27" t="s">
        <v>71</v>
      </c>
      <c r="D27" t="s">
        <v>1102</v>
      </c>
      <c r="E27" s="3">
        <v>2</v>
      </c>
      <c r="F27" s="3">
        <v>3</v>
      </c>
      <c r="G27" t="s">
        <v>10</v>
      </c>
      <c r="H27" t="s">
        <v>1107</v>
      </c>
      <c r="I27" t="s">
        <v>41</v>
      </c>
      <c r="J27" t="s">
        <v>54</v>
      </c>
      <c r="K27" t="s">
        <v>10</v>
      </c>
      <c r="L27" t="s">
        <v>57</v>
      </c>
      <c r="M27" t="s">
        <v>10</v>
      </c>
      <c r="N27" t="s">
        <v>57</v>
      </c>
      <c r="O27" t="str">
        <f>INDEX(CoverageTable[Deductible Applies],MATCH(Table18[[#This Row],[Coverage]],CoverageTable[Coverage],0))</f>
        <v>Yes</v>
      </c>
      <c r="P27" t="str">
        <f>INDEX(CoverageTable[Coverage Limit Applies],MATCH(Table18[[#This Row],[Coverage]],CoverageTable[Coverage],0))</f>
        <v>No</v>
      </c>
      <c r="Q27" t="s">
        <v>78</v>
      </c>
      <c r="R27" t="s">
        <v>10</v>
      </c>
      <c r="S27" t="s">
        <v>57</v>
      </c>
      <c r="T27" t="s">
        <v>10</v>
      </c>
      <c r="U27" t="s">
        <v>10</v>
      </c>
      <c r="V27" t="s">
        <v>10</v>
      </c>
      <c r="W27" t="s">
        <v>10</v>
      </c>
    </row>
    <row r="28" spans="1:23" x14ac:dyDescent="0.3">
      <c r="A28" t="s">
        <v>119</v>
      </c>
      <c r="B28" s="7">
        <v>45927</v>
      </c>
      <c r="C28" t="s">
        <v>70</v>
      </c>
      <c r="D28" t="s">
        <v>1099</v>
      </c>
      <c r="E28" s="3" t="s">
        <v>1103</v>
      </c>
      <c r="F28" s="3">
        <v>2</v>
      </c>
      <c r="G28" t="s">
        <v>13</v>
      </c>
      <c r="H28" t="s">
        <v>1107</v>
      </c>
      <c r="I28" t="s">
        <v>44</v>
      </c>
      <c r="J28" t="s">
        <v>49</v>
      </c>
      <c r="K28" t="s">
        <v>10</v>
      </c>
      <c r="L28" t="s">
        <v>10</v>
      </c>
      <c r="M28" t="s">
        <v>10</v>
      </c>
      <c r="N28" t="s">
        <v>57</v>
      </c>
      <c r="O28" t="str">
        <f>INDEX(CoverageTable[Deductible Applies],MATCH(Table18[[#This Row],[Coverage]],CoverageTable[Coverage],0))</f>
        <v>No</v>
      </c>
      <c r="P28" t="str">
        <f>INDEX(CoverageTable[Coverage Limit Applies],MATCH(Table18[[#This Row],[Coverage]],CoverageTable[Coverage],0))</f>
        <v>Yes</v>
      </c>
      <c r="Q28" t="s">
        <v>10</v>
      </c>
      <c r="R28" t="s">
        <v>80</v>
      </c>
      <c r="S28" t="s">
        <v>10</v>
      </c>
      <c r="T28" t="s">
        <v>10</v>
      </c>
      <c r="U28" t="s">
        <v>57</v>
      </c>
      <c r="V28" t="s">
        <v>10</v>
      </c>
      <c r="W28" t="s">
        <v>10</v>
      </c>
    </row>
    <row r="29" spans="1:23" x14ac:dyDescent="0.3">
      <c r="A29" t="s">
        <v>120</v>
      </c>
      <c r="B29" s="7">
        <v>45799</v>
      </c>
      <c r="C29" t="s">
        <v>74</v>
      </c>
      <c r="D29" t="s">
        <v>1100</v>
      </c>
      <c r="E29" s="3">
        <v>3</v>
      </c>
      <c r="F29" s="3">
        <v>1</v>
      </c>
      <c r="G29" t="s">
        <v>12</v>
      </c>
      <c r="H29" t="s">
        <v>1109</v>
      </c>
      <c r="I29" t="s">
        <v>40</v>
      </c>
      <c r="J29" t="s">
        <v>53</v>
      </c>
      <c r="K29" t="s">
        <v>10</v>
      </c>
      <c r="L29" t="s">
        <v>10</v>
      </c>
      <c r="M29" t="s">
        <v>10</v>
      </c>
      <c r="N29" t="s">
        <v>10</v>
      </c>
      <c r="O29" t="str">
        <f>INDEX(CoverageTable[Deductible Applies],MATCH(Table18[[#This Row],[Coverage]],CoverageTable[Coverage],0))</f>
        <v>No</v>
      </c>
      <c r="P29" t="str">
        <f>INDEX(CoverageTable[Coverage Limit Applies],MATCH(Table18[[#This Row],[Coverage]],CoverageTable[Coverage],0))</f>
        <v>Yes</v>
      </c>
      <c r="Q29" t="s">
        <v>10</v>
      </c>
      <c r="R29" t="s">
        <v>80</v>
      </c>
      <c r="S29" t="s">
        <v>10</v>
      </c>
      <c r="T29" t="s">
        <v>10</v>
      </c>
      <c r="U29" t="s">
        <v>10</v>
      </c>
      <c r="V29" t="s">
        <v>10</v>
      </c>
      <c r="W29" t="s">
        <v>57</v>
      </c>
    </row>
    <row r="30" spans="1:23" x14ac:dyDescent="0.3">
      <c r="A30" t="s">
        <v>121</v>
      </c>
      <c r="B30" s="7">
        <v>45819</v>
      </c>
      <c r="C30" t="s">
        <v>74</v>
      </c>
      <c r="D30" t="s">
        <v>1098</v>
      </c>
      <c r="E30" s="3">
        <v>5</v>
      </c>
      <c r="F30" s="3">
        <v>2</v>
      </c>
      <c r="G30" t="s">
        <v>11</v>
      </c>
      <c r="H30" t="s">
        <v>1109</v>
      </c>
      <c r="I30" t="s">
        <v>42</v>
      </c>
      <c r="J30" t="s">
        <v>51</v>
      </c>
      <c r="K30" t="s">
        <v>10</v>
      </c>
      <c r="L30" t="s">
        <v>10</v>
      </c>
      <c r="M30" t="s">
        <v>10</v>
      </c>
      <c r="N30" t="s">
        <v>10</v>
      </c>
      <c r="O30" t="str">
        <f>INDEX(CoverageTable[Deductible Applies],MATCH(Table18[[#This Row],[Coverage]],CoverageTable[Coverage],0))</f>
        <v>No</v>
      </c>
      <c r="P30" t="str">
        <f>INDEX(CoverageTable[Coverage Limit Applies],MATCH(Table18[[#This Row],[Coverage]],CoverageTable[Coverage],0))</f>
        <v>Yes</v>
      </c>
      <c r="Q30" t="s">
        <v>10</v>
      </c>
      <c r="R30" t="s">
        <v>80</v>
      </c>
      <c r="S30" t="s">
        <v>10</v>
      </c>
      <c r="T30" t="s">
        <v>10</v>
      </c>
      <c r="U30" t="s">
        <v>10</v>
      </c>
      <c r="V30" t="s">
        <v>10</v>
      </c>
      <c r="W30" t="s">
        <v>10</v>
      </c>
    </row>
    <row r="31" spans="1:23" x14ac:dyDescent="0.3">
      <c r="A31" t="s">
        <v>122</v>
      </c>
      <c r="B31" s="7">
        <v>45933</v>
      </c>
      <c r="C31" t="s">
        <v>73</v>
      </c>
      <c r="D31" t="s">
        <v>1098</v>
      </c>
      <c r="E31" s="3">
        <v>3</v>
      </c>
      <c r="F31" s="3">
        <v>1</v>
      </c>
      <c r="G31" t="s">
        <v>10</v>
      </c>
      <c r="H31" t="s">
        <v>1110</v>
      </c>
      <c r="I31" t="s">
        <v>41</v>
      </c>
      <c r="J31" t="s">
        <v>49</v>
      </c>
      <c r="K31" t="s">
        <v>10</v>
      </c>
      <c r="L31" t="s">
        <v>10</v>
      </c>
      <c r="M31" t="s">
        <v>10</v>
      </c>
      <c r="N31" t="s">
        <v>57</v>
      </c>
      <c r="O31" t="str">
        <f>INDEX(CoverageTable[Deductible Applies],MATCH(Table18[[#This Row],[Coverage]],CoverageTable[Coverage],0))</f>
        <v>No</v>
      </c>
      <c r="P31" t="str">
        <f>INDEX(CoverageTable[Coverage Limit Applies],MATCH(Table18[[#This Row],[Coverage]],CoverageTable[Coverage],0))</f>
        <v>Yes</v>
      </c>
      <c r="Q31" t="s">
        <v>10</v>
      </c>
      <c r="R31" t="s">
        <v>80</v>
      </c>
      <c r="S31" t="s">
        <v>10</v>
      </c>
      <c r="T31" t="s">
        <v>10</v>
      </c>
      <c r="U31" t="s">
        <v>57</v>
      </c>
      <c r="V31" t="s">
        <v>10</v>
      </c>
      <c r="W31" t="s">
        <v>10</v>
      </c>
    </row>
    <row r="32" spans="1:23" x14ac:dyDescent="0.3">
      <c r="A32" t="s">
        <v>123</v>
      </c>
      <c r="B32" s="7">
        <v>46047</v>
      </c>
      <c r="C32" t="s">
        <v>70</v>
      </c>
      <c r="D32" t="s">
        <v>1097</v>
      </c>
      <c r="E32" s="3">
        <v>1</v>
      </c>
      <c r="F32" s="3">
        <v>0</v>
      </c>
      <c r="G32" t="s">
        <v>12</v>
      </c>
      <c r="H32" t="s">
        <v>1107</v>
      </c>
      <c r="I32" t="s">
        <v>44</v>
      </c>
      <c r="J32" t="s">
        <v>50</v>
      </c>
      <c r="K32" t="s">
        <v>57</v>
      </c>
      <c r="L32" t="s">
        <v>10</v>
      </c>
      <c r="M32" t="s">
        <v>10</v>
      </c>
      <c r="N32" t="s">
        <v>10</v>
      </c>
      <c r="O32" t="str">
        <f>INDEX(CoverageTable[Deductible Applies],MATCH(Table18[[#This Row],[Coverage]],CoverageTable[Coverage],0))</f>
        <v>No</v>
      </c>
      <c r="P32" t="str">
        <f>INDEX(CoverageTable[Coverage Limit Applies],MATCH(Table18[[#This Row],[Coverage]],CoverageTable[Coverage],0))</f>
        <v>Yes</v>
      </c>
      <c r="Q32" t="s">
        <v>10</v>
      </c>
      <c r="R32" t="s">
        <v>79</v>
      </c>
      <c r="S32" t="s">
        <v>10</v>
      </c>
      <c r="T32" t="s">
        <v>10</v>
      </c>
      <c r="U32" t="s">
        <v>10</v>
      </c>
      <c r="V32" t="s">
        <v>10</v>
      </c>
      <c r="W32" t="s">
        <v>10</v>
      </c>
    </row>
    <row r="33" spans="1:23" x14ac:dyDescent="0.3">
      <c r="A33" t="s">
        <v>124</v>
      </c>
      <c r="B33" s="7">
        <v>45927</v>
      </c>
      <c r="C33" t="s">
        <v>71</v>
      </c>
      <c r="D33" t="s">
        <v>1098</v>
      </c>
      <c r="E33" s="3">
        <v>4</v>
      </c>
      <c r="F33" s="3">
        <v>4</v>
      </c>
      <c r="G33" t="s">
        <v>10</v>
      </c>
      <c r="H33" t="s">
        <v>1110</v>
      </c>
      <c r="I33" t="s">
        <v>21</v>
      </c>
      <c r="J33" t="s">
        <v>49</v>
      </c>
      <c r="K33" t="s">
        <v>10</v>
      </c>
      <c r="L33" t="s">
        <v>10</v>
      </c>
      <c r="M33" t="s">
        <v>10</v>
      </c>
      <c r="N33" t="s">
        <v>57</v>
      </c>
      <c r="O33" t="str">
        <f>INDEX(CoverageTable[Deductible Applies],MATCH(Table18[[#This Row],[Coverage]],CoverageTable[Coverage],0))</f>
        <v>Yes</v>
      </c>
      <c r="P33" t="str">
        <f>INDEX(CoverageTable[Coverage Limit Applies],MATCH(Table18[[#This Row],[Coverage]],CoverageTable[Coverage],0))</f>
        <v>No</v>
      </c>
      <c r="Q33" t="s">
        <v>78</v>
      </c>
      <c r="R33" t="s">
        <v>10</v>
      </c>
      <c r="S33" t="s">
        <v>10</v>
      </c>
      <c r="T33" t="s">
        <v>57</v>
      </c>
      <c r="U33" t="s">
        <v>10</v>
      </c>
      <c r="V33" t="s">
        <v>10</v>
      </c>
      <c r="W33" t="s">
        <v>10</v>
      </c>
    </row>
    <row r="34" spans="1:23" x14ac:dyDescent="0.3">
      <c r="A34" t="s">
        <v>125</v>
      </c>
      <c r="B34" s="7">
        <v>45841</v>
      </c>
      <c r="C34" t="s">
        <v>70</v>
      </c>
      <c r="D34" t="s">
        <v>1098</v>
      </c>
      <c r="E34" s="3">
        <v>5</v>
      </c>
      <c r="F34" s="3">
        <v>4</v>
      </c>
      <c r="G34" t="s">
        <v>10</v>
      </c>
      <c r="H34" t="s">
        <v>1110</v>
      </c>
      <c r="I34" t="s">
        <v>21</v>
      </c>
      <c r="J34" t="s">
        <v>48</v>
      </c>
      <c r="K34" t="s">
        <v>10</v>
      </c>
      <c r="L34" t="s">
        <v>10</v>
      </c>
      <c r="M34" t="s">
        <v>10</v>
      </c>
      <c r="N34" t="s">
        <v>57</v>
      </c>
      <c r="O34" t="str">
        <f>INDEX(CoverageTable[Deductible Applies],MATCH(Table18[[#This Row],[Coverage]],CoverageTable[Coverage],0))</f>
        <v>No</v>
      </c>
      <c r="P34" t="str">
        <f>INDEX(CoverageTable[Coverage Limit Applies],MATCH(Table18[[#This Row],[Coverage]],CoverageTable[Coverage],0))</f>
        <v>Yes</v>
      </c>
      <c r="Q34" t="s">
        <v>10</v>
      </c>
      <c r="R34" t="s">
        <v>79</v>
      </c>
      <c r="S34" t="s">
        <v>10</v>
      </c>
      <c r="T34" t="s">
        <v>10</v>
      </c>
      <c r="U34" t="s">
        <v>10</v>
      </c>
      <c r="V34" t="s">
        <v>10</v>
      </c>
      <c r="W34" t="s">
        <v>10</v>
      </c>
    </row>
    <row r="35" spans="1:23" x14ac:dyDescent="0.3">
      <c r="A35" t="s">
        <v>126</v>
      </c>
      <c r="B35" s="7">
        <v>45816</v>
      </c>
      <c r="C35" t="s">
        <v>70</v>
      </c>
      <c r="D35" t="s">
        <v>1100</v>
      </c>
      <c r="E35" s="3" t="s">
        <v>1103</v>
      </c>
      <c r="F35" s="3">
        <v>4</v>
      </c>
      <c r="G35" t="s">
        <v>12</v>
      </c>
      <c r="H35" t="s">
        <v>1107</v>
      </c>
      <c r="I35" t="s">
        <v>44</v>
      </c>
      <c r="J35" t="s">
        <v>51</v>
      </c>
      <c r="K35" t="s">
        <v>10</v>
      </c>
      <c r="L35" t="s">
        <v>10</v>
      </c>
      <c r="M35" t="s">
        <v>10</v>
      </c>
      <c r="N35" t="s">
        <v>57</v>
      </c>
      <c r="O35" t="str">
        <f>INDEX(CoverageTable[Deductible Applies],MATCH(Table18[[#This Row],[Coverage]],CoverageTable[Coverage],0))</f>
        <v>No</v>
      </c>
      <c r="P35" t="str">
        <f>INDEX(CoverageTable[Coverage Limit Applies],MATCH(Table18[[#This Row],[Coverage]],CoverageTable[Coverage],0))</f>
        <v>Yes</v>
      </c>
      <c r="Q35" t="s">
        <v>10</v>
      </c>
      <c r="R35" t="s">
        <v>78</v>
      </c>
      <c r="S35" t="s">
        <v>57</v>
      </c>
      <c r="T35" t="s">
        <v>10</v>
      </c>
      <c r="U35" t="s">
        <v>10</v>
      </c>
      <c r="V35" t="s">
        <v>10</v>
      </c>
      <c r="W35" t="s">
        <v>10</v>
      </c>
    </row>
    <row r="36" spans="1:23" x14ac:dyDescent="0.3">
      <c r="A36" t="s">
        <v>127</v>
      </c>
      <c r="B36" s="7">
        <v>46131</v>
      </c>
      <c r="C36" t="s">
        <v>74</v>
      </c>
      <c r="D36" t="s">
        <v>1102</v>
      </c>
      <c r="E36" s="3">
        <v>5</v>
      </c>
      <c r="F36" s="3">
        <v>1</v>
      </c>
      <c r="G36" t="s">
        <v>10</v>
      </c>
      <c r="H36" t="s">
        <v>1109</v>
      </c>
      <c r="I36" t="s">
        <v>38</v>
      </c>
      <c r="J36" t="s">
        <v>50</v>
      </c>
      <c r="K36" t="s">
        <v>10</v>
      </c>
      <c r="L36" t="s">
        <v>10</v>
      </c>
      <c r="M36" t="s">
        <v>10</v>
      </c>
      <c r="N36" t="s">
        <v>57</v>
      </c>
      <c r="O36" t="str">
        <f>INDEX(CoverageTable[Deductible Applies],MATCH(Table18[[#This Row],[Coverage]],CoverageTable[Coverage],0))</f>
        <v>No</v>
      </c>
      <c r="P36" t="str">
        <f>INDEX(CoverageTable[Coverage Limit Applies],MATCH(Table18[[#This Row],[Coverage]],CoverageTable[Coverage],0))</f>
        <v>Yes</v>
      </c>
      <c r="Q36" t="s">
        <v>10</v>
      </c>
      <c r="R36" t="s">
        <v>79</v>
      </c>
      <c r="S36" t="s">
        <v>10</v>
      </c>
      <c r="T36" t="s">
        <v>10</v>
      </c>
      <c r="U36" t="s">
        <v>10</v>
      </c>
      <c r="V36" t="s">
        <v>57</v>
      </c>
      <c r="W36" t="s">
        <v>10</v>
      </c>
    </row>
    <row r="37" spans="1:23" x14ac:dyDescent="0.3">
      <c r="A37" t="s">
        <v>128</v>
      </c>
      <c r="B37" s="7">
        <v>45872</v>
      </c>
      <c r="C37" t="s">
        <v>71</v>
      </c>
      <c r="D37" t="s">
        <v>1100</v>
      </c>
      <c r="E37" s="3">
        <v>7</v>
      </c>
      <c r="F37" s="3">
        <v>0</v>
      </c>
      <c r="G37" t="s">
        <v>10</v>
      </c>
      <c r="H37" t="s">
        <v>1108</v>
      </c>
      <c r="I37" t="s">
        <v>32</v>
      </c>
      <c r="J37" t="s">
        <v>48</v>
      </c>
      <c r="K37" t="s">
        <v>10</v>
      </c>
      <c r="L37" t="s">
        <v>10</v>
      </c>
      <c r="M37" t="s">
        <v>10</v>
      </c>
      <c r="N37" t="s">
        <v>57</v>
      </c>
      <c r="O37" t="str">
        <f>INDEX(CoverageTable[Deductible Applies],MATCH(Table18[[#This Row],[Coverage]],CoverageTable[Coverage],0))</f>
        <v>Yes</v>
      </c>
      <c r="P37" t="str">
        <f>INDEX(CoverageTable[Coverage Limit Applies],MATCH(Table18[[#This Row],[Coverage]],CoverageTable[Coverage],0))</f>
        <v>No</v>
      </c>
      <c r="Q37" t="s">
        <v>78</v>
      </c>
      <c r="R37" t="s">
        <v>10</v>
      </c>
      <c r="S37" t="s">
        <v>10</v>
      </c>
      <c r="T37" t="s">
        <v>10</v>
      </c>
      <c r="U37" t="s">
        <v>57</v>
      </c>
      <c r="V37" t="s">
        <v>10</v>
      </c>
      <c r="W37" t="s">
        <v>10</v>
      </c>
    </row>
    <row r="38" spans="1:23" x14ac:dyDescent="0.3">
      <c r="A38" t="s">
        <v>129</v>
      </c>
      <c r="B38" s="7">
        <v>46077</v>
      </c>
      <c r="C38" t="s">
        <v>70</v>
      </c>
      <c r="D38" t="s">
        <v>1100</v>
      </c>
      <c r="E38" s="3">
        <v>7</v>
      </c>
      <c r="F38" s="3">
        <v>3</v>
      </c>
      <c r="G38" t="s">
        <v>10</v>
      </c>
      <c r="H38" t="s">
        <v>1108</v>
      </c>
      <c r="I38" t="s">
        <v>24</v>
      </c>
      <c r="J38" t="s">
        <v>54</v>
      </c>
      <c r="K38" t="s">
        <v>10</v>
      </c>
      <c r="L38" t="s">
        <v>10</v>
      </c>
      <c r="M38" t="s">
        <v>10</v>
      </c>
      <c r="N38" t="s">
        <v>10</v>
      </c>
      <c r="O38" t="str">
        <f>INDEX(CoverageTable[Deductible Applies],MATCH(Table18[[#This Row],[Coverage]],CoverageTable[Coverage],0))</f>
        <v>No</v>
      </c>
      <c r="P38" t="str">
        <f>INDEX(CoverageTable[Coverage Limit Applies],MATCH(Table18[[#This Row],[Coverage]],CoverageTable[Coverage],0))</f>
        <v>Yes</v>
      </c>
      <c r="Q38" t="s">
        <v>10</v>
      </c>
      <c r="R38" t="s">
        <v>78</v>
      </c>
      <c r="S38" t="s">
        <v>10</v>
      </c>
      <c r="T38" t="s">
        <v>57</v>
      </c>
      <c r="U38" t="s">
        <v>10</v>
      </c>
      <c r="V38" t="s">
        <v>10</v>
      </c>
      <c r="W38" t="s">
        <v>10</v>
      </c>
    </row>
    <row r="39" spans="1:23" x14ac:dyDescent="0.3">
      <c r="A39" t="s">
        <v>130</v>
      </c>
      <c r="B39" s="7">
        <v>46113</v>
      </c>
      <c r="C39" t="s">
        <v>70</v>
      </c>
      <c r="D39" t="s">
        <v>1101</v>
      </c>
      <c r="E39" s="3">
        <v>2</v>
      </c>
      <c r="F39" s="3">
        <v>0</v>
      </c>
      <c r="G39" t="s">
        <v>10</v>
      </c>
      <c r="H39" t="s">
        <v>1109</v>
      </c>
      <c r="I39" t="s">
        <v>43</v>
      </c>
      <c r="J39" t="s">
        <v>52</v>
      </c>
      <c r="K39" t="s">
        <v>10</v>
      </c>
      <c r="L39" t="s">
        <v>10</v>
      </c>
      <c r="M39" t="s">
        <v>57</v>
      </c>
      <c r="N39" t="s">
        <v>10</v>
      </c>
      <c r="O39" t="str">
        <f>INDEX(CoverageTable[Deductible Applies],MATCH(Table18[[#This Row],[Coverage]],CoverageTable[Coverage],0))</f>
        <v>No</v>
      </c>
      <c r="P39" t="str">
        <f>INDEX(CoverageTable[Coverage Limit Applies],MATCH(Table18[[#This Row],[Coverage]],CoverageTable[Coverage],0))</f>
        <v>Yes</v>
      </c>
      <c r="Q39" t="s">
        <v>10</v>
      </c>
      <c r="R39" t="s">
        <v>79</v>
      </c>
      <c r="S39" t="s">
        <v>10</v>
      </c>
      <c r="T39" t="s">
        <v>10</v>
      </c>
      <c r="U39" t="s">
        <v>10</v>
      </c>
      <c r="V39" t="s">
        <v>10</v>
      </c>
      <c r="W39" t="s">
        <v>10</v>
      </c>
    </row>
    <row r="40" spans="1:23" x14ac:dyDescent="0.3">
      <c r="A40" t="s">
        <v>131</v>
      </c>
      <c r="B40" s="7">
        <v>46128</v>
      </c>
      <c r="C40" t="s">
        <v>70</v>
      </c>
      <c r="D40" t="s">
        <v>1099</v>
      </c>
      <c r="E40" s="3">
        <v>6</v>
      </c>
      <c r="F40" s="3">
        <v>2</v>
      </c>
      <c r="G40" t="s">
        <v>11</v>
      </c>
      <c r="H40" t="s">
        <v>1108</v>
      </c>
      <c r="I40" t="s">
        <v>39</v>
      </c>
      <c r="J40" t="s">
        <v>53</v>
      </c>
      <c r="K40" t="s">
        <v>10</v>
      </c>
      <c r="L40" t="s">
        <v>10</v>
      </c>
      <c r="M40" t="s">
        <v>10</v>
      </c>
      <c r="N40" t="s">
        <v>57</v>
      </c>
      <c r="O40" t="str">
        <f>INDEX(CoverageTable[Deductible Applies],MATCH(Table18[[#This Row],[Coverage]],CoverageTable[Coverage],0))</f>
        <v>No</v>
      </c>
      <c r="P40" t="str">
        <f>INDEX(CoverageTable[Coverage Limit Applies],MATCH(Table18[[#This Row],[Coverage]],CoverageTable[Coverage],0))</f>
        <v>Yes</v>
      </c>
      <c r="Q40" t="s">
        <v>10</v>
      </c>
      <c r="R40" t="s">
        <v>78</v>
      </c>
      <c r="S40" t="s">
        <v>10</v>
      </c>
      <c r="T40" t="s">
        <v>10</v>
      </c>
      <c r="U40" t="s">
        <v>10</v>
      </c>
      <c r="V40" t="s">
        <v>10</v>
      </c>
      <c r="W40" t="s">
        <v>57</v>
      </c>
    </row>
    <row r="41" spans="1:23" x14ac:dyDescent="0.3">
      <c r="A41" t="s">
        <v>132</v>
      </c>
      <c r="B41" s="7">
        <v>45901</v>
      </c>
      <c r="C41" t="s">
        <v>74</v>
      </c>
      <c r="D41" t="s">
        <v>1102</v>
      </c>
      <c r="E41" s="3">
        <v>1</v>
      </c>
      <c r="F41" s="3">
        <v>1</v>
      </c>
      <c r="G41" t="s">
        <v>11</v>
      </c>
      <c r="H41" t="s">
        <v>1106</v>
      </c>
      <c r="I41" t="s">
        <v>36</v>
      </c>
      <c r="J41" t="s">
        <v>49</v>
      </c>
      <c r="K41" t="s">
        <v>10</v>
      </c>
      <c r="L41" t="s">
        <v>10</v>
      </c>
      <c r="M41" t="s">
        <v>57</v>
      </c>
      <c r="N41" t="s">
        <v>10</v>
      </c>
      <c r="O41" t="str">
        <f>INDEX(CoverageTable[Deductible Applies],MATCH(Table18[[#This Row],[Coverage]],CoverageTable[Coverage],0))</f>
        <v>No</v>
      </c>
      <c r="P41" t="str">
        <f>INDEX(CoverageTable[Coverage Limit Applies],MATCH(Table18[[#This Row],[Coverage]],CoverageTable[Coverage],0))</f>
        <v>Yes</v>
      </c>
      <c r="Q41" t="s">
        <v>10</v>
      </c>
      <c r="R41" t="s">
        <v>79</v>
      </c>
      <c r="S41" t="s">
        <v>57</v>
      </c>
      <c r="T41" t="s">
        <v>57</v>
      </c>
      <c r="U41" t="s">
        <v>10</v>
      </c>
      <c r="V41" t="s">
        <v>10</v>
      </c>
      <c r="W41" t="s">
        <v>10</v>
      </c>
    </row>
    <row r="42" spans="1:23" x14ac:dyDescent="0.3">
      <c r="A42" t="s">
        <v>133</v>
      </c>
      <c r="B42" s="7">
        <v>45992</v>
      </c>
      <c r="C42" t="s">
        <v>70</v>
      </c>
      <c r="D42" t="s">
        <v>1098</v>
      </c>
      <c r="E42" s="3">
        <v>7</v>
      </c>
      <c r="F42" s="3">
        <v>1</v>
      </c>
      <c r="G42" t="s">
        <v>10</v>
      </c>
      <c r="H42" t="s">
        <v>1106</v>
      </c>
      <c r="I42" t="s">
        <v>41</v>
      </c>
      <c r="J42" t="s">
        <v>51</v>
      </c>
      <c r="K42" t="s">
        <v>10</v>
      </c>
      <c r="L42" t="s">
        <v>10</v>
      </c>
      <c r="M42" t="s">
        <v>10</v>
      </c>
      <c r="N42" t="s">
        <v>57</v>
      </c>
      <c r="O42" t="str">
        <f>INDEX(CoverageTable[Deductible Applies],MATCH(Table18[[#This Row],[Coverage]],CoverageTable[Coverage],0))</f>
        <v>No</v>
      </c>
      <c r="P42" t="str">
        <f>INDEX(CoverageTable[Coverage Limit Applies],MATCH(Table18[[#This Row],[Coverage]],CoverageTable[Coverage],0))</f>
        <v>Yes</v>
      </c>
      <c r="Q42" t="s">
        <v>10</v>
      </c>
      <c r="R42" t="s">
        <v>78</v>
      </c>
      <c r="S42" t="s">
        <v>10</v>
      </c>
      <c r="T42" t="s">
        <v>57</v>
      </c>
      <c r="U42" t="s">
        <v>10</v>
      </c>
      <c r="V42" t="s">
        <v>10</v>
      </c>
      <c r="W42" t="s">
        <v>10</v>
      </c>
    </row>
    <row r="43" spans="1:23" x14ac:dyDescent="0.3">
      <c r="A43" t="s">
        <v>134</v>
      </c>
      <c r="B43" s="7">
        <v>45994</v>
      </c>
      <c r="C43" t="s">
        <v>72</v>
      </c>
      <c r="D43" t="s">
        <v>1097</v>
      </c>
      <c r="E43" s="3" t="s">
        <v>1103</v>
      </c>
      <c r="F43" s="3">
        <v>4</v>
      </c>
      <c r="G43" t="s">
        <v>13</v>
      </c>
      <c r="H43" t="s">
        <v>1106</v>
      </c>
      <c r="I43" t="s">
        <v>32</v>
      </c>
      <c r="J43" t="s">
        <v>48</v>
      </c>
      <c r="K43" t="s">
        <v>10</v>
      </c>
      <c r="L43" t="s">
        <v>10</v>
      </c>
      <c r="M43" t="s">
        <v>10</v>
      </c>
      <c r="N43" t="s">
        <v>10</v>
      </c>
      <c r="O43" t="str">
        <f>INDEX(CoverageTable[Deductible Applies],MATCH(Table18[[#This Row],[Coverage]],CoverageTable[Coverage],0))</f>
        <v>Yes</v>
      </c>
      <c r="P43" t="str">
        <f>INDEX(CoverageTable[Coverage Limit Applies],MATCH(Table18[[#This Row],[Coverage]],CoverageTable[Coverage],0))</f>
        <v>No</v>
      </c>
      <c r="Q43" t="s">
        <v>79</v>
      </c>
      <c r="R43" t="s">
        <v>10</v>
      </c>
      <c r="S43" t="s">
        <v>10</v>
      </c>
      <c r="T43" t="s">
        <v>57</v>
      </c>
      <c r="U43" t="s">
        <v>10</v>
      </c>
      <c r="V43" t="s">
        <v>10</v>
      </c>
      <c r="W43" t="s">
        <v>10</v>
      </c>
    </row>
    <row r="44" spans="1:23" x14ac:dyDescent="0.3">
      <c r="A44" t="s">
        <v>135</v>
      </c>
      <c r="B44" s="7">
        <v>45806</v>
      </c>
      <c r="C44" t="s">
        <v>71</v>
      </c>
      <c r="D44" t="s">
        <v>1101</v>
      </c>
      <c r="E44" s="3">
        <v>3</v>
      </c>
      <c r="F44" s="3">
        <v>4</v>
      </c>
      <c r="G44" t="s">
        <v>11</v>
      </c>
      <c r="H44" t="s">
        <v>1110</v>
      </c>
      <c r="I44" t="s">
        <v>32</v>
      </c>
      <c r="J44" t="s">
        <v>48</v>
      </c>
      <c r="K44" t="s">
        <v>10</v>
      </c>
      <c r="L44" t="s">
        <v>57</v>
      </c>
      <c r="M44" t="s">
        <v>10</v>
      </c>
      <c r="N44" t="s">
        <v>57</v>
      </c>
      <c r="O44" t="str">
        <f>INDEX(CoverageTable[Deductible Applies],MATCH(Table18[[#This Row],[Coverage]],CoverageTable[Coverage],0))</f>
        <v>Yes</v>
      </c>
      <c r="P44" t="str">
        <f>INDEX(CoverageTable[Coverage Limit Applies],MATCH(Table18[[#This Row],[Coverage]],CoverageTable[Coverage],0))</f>
        <v>No</v>
      </c>
      <c r="Q44" t="s">
        <v>79</v>
      </c>
      <c r="R44" t="s">
        <v>10</v>
      </c>
      <c r="S44" t="s">
        <v>10</v>
      </c>
      <c r="T44" t="s">
        <v>57</v>
      </c>
      <c r="U44" t="s">
        <v>57</v>
      </c>
      <c r="V44" t="s">
        <v>10</v>
      </c>
      <c r="W44" t="s">
        <v>10</v>
      </c>
    </row>
    <row r="45" spans="1:23" x14ac:dyDescent="0.3">
      <c r="A45" t="s">
        <v>136</v>
      </c>
      <c r="B45" s="7">
        <v>45781</v>
      </c>
      <c r="C45" t="s">
        <v>73</v>
      </c>
      <c r="D45" t="s">
        <v>1098</v>
      </c>
      <c r="E45" s="3" t="s">
        <v>1103</v>
      </c>
      <c r="F45" s="3">
        <v>0</v>
      </c>
      <c r="G45" t="s">
        <v>10</v>
      </c>
      <c r="H45" t="s">
        <v>1109</v>
      </c>
      <c r="I45" t="s">
        <v>29</v>
      </c>
      <c r="J45" t="s">
        <v>52</v>
      </c>
      <c r="K45" t="s">
        <v>10</v>
      </c>
      <c r="L45" t="s">
        <v>10</v>
      </c>
      <c r="M45" t="s">
        <v>10</v>
      </c>
      <c r="N45" t="s">
        <v>10</v>
      </c>
      <c r="O45" t="str">
        <f>INDEX(CoverageTable[Deductible Applies],MATCH(Table18[[#This Row],[Coverage]],CoverageTable[Coverage],0))</f>
        <v>No</v>
      </c>
      <c r="P45" t="str">
        <f>INDEX(CoverageTable[Coverage Limit Applies],MATCH(Table18[[#This Row],[Coverage]],CoverageTable[Coverage],0))</f>
        <v>Yes</v>
      </c>
      <c r="Q45" t="s">
        <v>10</v>
      </c>
      <c r="R45" t="s">
        <v>80</v>
      </c>
      <c r="S45" t="s">
        <v>10</v>
      </c>
      <c r="T45" t="s">
        <v>10</v>
      </c>
      <c r="U45" t="s">
        <v>10</v>
      </c>
      <c r="V45" t="s">
        <v>10</v>
      </c>
      <c r="W45" t="s">
        <v>10</v>
      </c>
    </row>
    <row r="46" spans="1:23" x14ac:dyDescent="0.3">
      <c r="A46" t="s">
        <v>137</v>
      </c>
      <c r="B46" s="7">
        <v>45987</v>
      </c>
      <c r="C46" t="s">
        <v>70</v>
      </c>
      <c r="D46" t="s">
        <v>1099</v>
      </c>
      <c r="E46" s="3">
        <v>3</v>
      </c>
      <c r="F46" s="3">
        <v>1</v>
      </c>
      <c r="G46" t="s">
        <v>11</v>
      </c>
      <c r="H46" t="s">
        <v>1106</v>
      </c>
      <c r="I46" t="s">
        <v>27</v>
      </c>
      <c r="J46" t="s">
        <v>54</v>
      </c>
      <c r="K46" t="s">
        <v>10</v>
      </c>
      <c r="L46" t="s">
        <v>10</v>
      </c>
      <c r="M46" t="s">
        <v>57</v>
      </c>
      <c r="N46" t="s">
        <v>10</v>
      </c>
      <c r="O46" t="str">
        <f>INDEX(CoverageTable[Deductible Applies],MATCH(Table18[[#This Row],[Coverage]],CoverageTable[Coverage],0))</f>
        <v>No</v>
      </c>
      <c r="P46" t="str">
        <f>INDEX(CoverageTable[Coverage Limit Applies],MATCH(Table18[[#This Row],[Coverage]],CoverageTable[Coverage],0))</f>
        <v>Yes</v>
      </c>
      <c r="Q46" t="s">
        <v>10</v>
      </c>
      <c r="R46" t="s">
        <v>80</v>
      </c>
      <c r="S46" t="s">
        <v>10</v>
      </c>
      <c r="T46" t="s">
        <v>10</v>
      </c>
      <c r="U46" t="s">
        <v>10</v>
      </c>
      <c r="V46" t="s">
        <v>10</v>
      </c>
      <c r="W46" t="s">
        <v>10</v>
      </c>
    </row>
    <row r="47" spans="1:23" x14ac:dyDescent="0.3">
      <c r="A47" t="s">
        <v>138</v>
      </c>
      <c r="B47" s="7">
        <v>45867</v>
      </c>
      <c r="C47" t="s">
        <v>74</v>
      </c>
      <c r="D47" t="s">
        <v>1101</v>
      </c>
      <c r="E47" s="3" t="s">
        <v>1103</v>
      </c>
      <c r="F47" s="3">
        <v>1</v>
      </c>
      <c r="G47" t="s">
        <v>13</v>
      </c>
      <c r="H47" t="s">
        <v>1109</v>
      </c>
      <c r="I47" t="s">
        <v>32</v>
      </c>
      <c r="J47" t="s">
        <v>50</v>
      </c>
      <c r="K47" t="s">
        <v>10</v>
      </c>
      <c r="L47" t="s">
        <v>10</v>
      </c>
      <c r="M47" t="s">
        <v>10</v>
      </c>
      <c r="N47" t="s">
        <v>10</v>
      </c>
      <c r="O47" t="str">
        <f>INDEX(CoverageTable[Deductible Applies],MATCH(Table18[[#This Row],[Coverage]],CoverageTable[Coverage],0))</f>
        <v>No</v>
      </c>
      <c r="P47" t="str">
        <f>INDEX(CoverageTable[Coverage Limit Applies],MATCH(Table18[[#This Row],[Coverage]],CoverageTable[Coverage],0))</f>
        <v>Yes</v>
      </c>
      <c r="Q47" t="s">
        <v>10</v>
      </c>
      <c r="R47" t="s">
        <v>78</v>
      </c>
      <c r="S47" t="s">
        <v>10</v>
      </c>
      <c r="T47" t="s">
        <v>57</v>
      </c>
      <c r="U47" t="s">
        <v>57</v>
      </c>
      <c r="V47" t="s">
        <v>10</v>
      </c>
      <c r="W47" t="s">
        <v>10</v>
      </c>
    </row>
    <row r="48" spans="1:23" x14ac:dyDescent="0.3">
      <c r="A48" t="s">
        <v>139</v>
      </c>
      <c r="B48" s="7">
        <v>45884</v>
      </c>
      <c r="C48" t="s">
        <v>70</v>
      </c>
      <c r="D48" t="s">
        <v>1101</v>
      </c>
      <c r="E48" s="3">
        <v>4</v>
      </c>
      <c r="F48" s="3">
        <v>3</v>
      </c>
      <c r="G48" t="s">
        <v>10</v>
      </c>
      <c r="H48" t="s">
        <v>1110</v>
      </c>
      <c r="I48" t="s">
        <v>40</v>
      </c>
      <c r="J48" t="s">
        <v>54</v>
      </c>
      <c r="K48" t="s">
        <v>10</v>
      </c>
      <c r="L48" t="s">
        <v>57</v>
      </c>
      <c r="M48" t="s">
        <v>10</v>
      </c>
      <c r="N48" t="s">
        <v>57</v>
      </c>
      <c r="O48" t="str">
        <f>INDEX(CoverageTable[Deductible Applies],MATCH(Table18[[#This Row],[Coverage]],CoverageTable[Coverage],0))</f>
        <v>No</v>
      </c>
      <c r="P48" t="str">
        <f>INDEX(CoverageTable[Coverage Limit Applies],MATCH(Table18[[#This Row],[Coverage]],CoverageTable[Coverage],0))</f>
        <v>Yes</v>
      </c>
      <c r="Q48" t="s">
        <v>10</v>
      </c>
      <c r="R48" t="s">
        <v>78</v>
      </c>
      <c r="S48" t="s">
        <v>57</v>
      </c>
      <c r="T48" t="s">
        <v>10</v>
      </c>
      <c r="U48" t="s">
        <v>57</v>
      </c>
      <c r="V48" t="s">
        <v>10</v>
      </c>
      <c r="W48" t="s">
        <v>10</v>
      </c>
    </row>
    <row r="49" spans="1:23" x14ac:dyDescent="0.3">
      <c r="A49" t="s">
        <v>140</v>
      </c>
      <c r="B49" s="7">
        <v>45960</v>
      </c>
      <c r="C49" t="s">
        <v>70</v>
      </c>
      <c r="D49" t="s">
        <v>1102</v>
      </c>
      <c r="E49" s="3">
        <v>1</v>
      </c>
      <c r="F49" s="3">
        <v>1</v>
      </c>
      <c r="G49" t="s">
        <v>13</v>
      </c>
      <c r="H49" t="s">
        <v>1107</v>
      </c>
      <c r="I49" t="s">
        <v>40</v>
      </c>
      <c r="J49" t="s">
        <v>53</v>
      </c>
      <c r="K49" t="s">
        <v>10</v>
      </c>
      <c r="L49" t="s">
        <v>10</v>
      </c>
      <c r="M49" t="s">
        <v>10</v>
      </c>
      <c r="N49" t="s">
        <v>57</v>
      </c>
      <c r="O49" t="str">
        <f>INDEX(CoverageTable[Deductible Applies],MATCH(Table18[[#This Row],[Coverage]],CoverageTable[Coverage],0))</f>
        <v>No</v>
      </c>
      <c r="P49" t="str">
        <f>INDEX(CoverageTable[Coverage Limit Applies],MATCH(Table18[[#This Row],[Coverage]],CoverageTable[Coverage],0))</f>
        <v>Yes</v>
      </c>
      <c r="Q49" t="s">
        <v>10</v>
      </c>
      <c r="R49" t="s">
        <v>78</v>
      </c>
      <c r="S49" t="s">
        <v>10</v>
      </c>
      <c r="T49" t="s">
        <v>57</v>
      </c>
      <c r="U49" t="s">
        <v>57</v>
      </c>
      <c r="V49" t="s">
        <v>10</v>
      </c>
      <c r="W49" t="s">
        <v>10</v>
      </c>
    </row>
    <row r="50" spans="1:23" x14ac:dyDescent="0.3">
      <c r="A50" t="s">
        <v>141</v>
      </c>
      <c r="B50" s="7">
        <v>45926</v>
      </c>
      <c r="C50" t="s">
        <v>71</v>
      </c>
      <c r="D50" t="s">
        <v>1098</v>
      </c>
      <c r="E50" s="3">
        <v>4</v>
      </c>
      <c r="F50" s="3">
        <v>0</v>
      </c>
      <c r="G50" t="s">
        <v>10</v>
      </c>
      <c r="H50" t="s">
        <v>1108</v>
      </c>
      <c r="I50" t="s">
        <v>23</v>
      </c>
      <c r="J50" t="s">
        <v>49</v>
      </c>
      <c r="K50" t="s">
        <v>10</v>
      </c>
      <c r="L50" t="s">
        <v>10</v>
      </c>
      <c r="M50" t="s">
        <v>10</v>
      </c>
      <c r="N50" t="s">
        <v>10</v>
      </c>
      <c r="O50" t="str">
        <f>INDEX(CoverageTable[Deductible Applies],MATCH(Table18[[#This Row],[Coverage]],CoverageTable[Coverage],0))</f>
        <v>Yes</v>
      </c>
      <c r="P50" t="str">
        <f>INDEX(CoverageTable[Coverage Limit Applies],MATCH(Table18[[#This Row],[Coverage]],CoverageTable[Coverage],0))</f>
        <v>No</v>
      </c>
      <c r="Q50" t="s">
        <v>79</v>
      </c>
      <c r="R50" t="s">
        <v>10</v>
      </c>
      <c r="S50" t="s">
        <v>10</v>
      </c>
      <c r="T50" t="s">
        <v>57</v>
      </c>
      <c r="U50" t="s">
        <v>57</v>
      </c>
      <c r="V50" t="s">
        <v>10</v>
      </c>
      <c r="W50" t="s">
        <v>10</v>
      </c>
    </row>
    <row r="51" spans="1:23" x14ac:dyDescent="0.3">
      <c r="A51" t="s">
        <v>142</v>
      </c>
      <c r="B51" s="7">
        <v>45931</v>
      </c>
      <c r="C51" t="s">
        <v>73</v>
      </c>
      <c r="D51" t="s">
        <v>1098</v>
      </c>
      <c r="E51" s="3">
        <v>7</v>
      </c>
      <c r="F51" s="3">
        <v>3</v>
      </c>
      <c r="G51" t="s">
        <v>13</v>
      </c>
      <c r="H51" t="s">
        <v>1110</v>
      </c>
      <c r="I51" t="s">
        <v>24</v>
      </c>
      <c r="J51" t="s">
        <v>54</v>
      </c>
      <c r="K51" t="s">
        <v>10</v>
      </c>
      <c r="L51" t="s">
        <v>10</v>
      </c>
      <c r="M51" t="s">
        <v>10</v>
      </c>
      <c r="N51" t="s">
        <v>57</v>
      </c>
      <c r="O51" t="str">
        <f>INDEX(CoverageTable[Deductible Applies],MATCH(Table18[[#This Row],[Coverage]],CoverageTable[Coverage],0))</f>
        <v>No</v>
      </c>
      <c r="P51" t="str">
        <f>INDEX(CoverageTable[Coverage Limit Applies],MATCH(Table18[[#This Row],[Coverage]],CoverageTable[Coverage],0))</f>
        <v>Yes</v>
      </c>
      <c r="Q51" t="s">
        <v>10</v>
      </c>
      <c r="R51" t="s">
        <v>79</v>
      </c>
      <c r="S51" t="s">
        <v>57</v>
      </c>
      <c r="T51" t="s">
        <v>10</v>
      </c>
      <c r="U51" t="s">
        <v>10</v>
      </c>
      <c r="V51" t="s">
        <v>57</v>
      </c>
      <c r="W51" t="s">
        <v>10</v>
      </c>
    </row>
    <row r="52" spans="1:23" x14ac:dyDescent="0.3">
      <c r="A52" t="s">
        <v>143</v>
      </c>
      <c r="B52" s="7">
        <v>45817</v>
      </c>
      <c r="C52" t="s">
        <v>70</v>
      </c>
      <c r="D52" t="s">
        <v>1101</v>
      </c>
      <c r="E52" s="3">
        <v>6</v>
      </c>
      <c r="F52" s="3">
        <v>1</v>
      </c>
      <c r="G52" t="s">
        <v>10</v>
      </c>
      <c r="H52" t="s">
        <v>1108</v>
      </c>
      <c r="I52" t="s">
        <v>30</v>
      </c>
      <c r="J52" t="s">
        <v>49</v>
      </c>
      <c r="K52" t="s">
        <v>10</v>
      </c>
      <c r="L52" t="s">
        <v>57</v>
      </c>
      <c r="M52" t="s">
        <v>10</v>
      </c>
      <c r="N52" t="s">
        <v>57</v>
      </c>
      <c r="O52" t="str">
        <f>INDEX(CoverageTable[Deductible Applies],MATCH(Table18[[#This Row],[Coverage]],CoverageTable[Coverage],0))</f>
        <v>No</v>
      </c>
      <c r="P52" t="str">
        <f>INDEX(CoverageTable[Coverage Limit Applies],MATCH(Table18[[#This Row],[Coverage]],CoverageTable[Coverage],0))</f>
        <v>Yes</v>
      </c>
      <c r="Q52" t="s">
        <v>10</v>
      </c>
      <c r="R52" t="s">
        <v>78</v>
      </c>
      <c r="S52" t="s">
        <v>10</v>
      </c>
      <c r="T52" t="s">
        <v>57</v>
      </c>
      <c r="U52" t="s">
        <v>57</v>
      </c>
      <c r="V52" t="s">
        <v>10</v>
      </c>
      <c r="W52" t="s">
        <v>57</v>
      </c>
    </row>
    <row r="53" spans="1:23" x14ac:dyDescent="0.3">
      <c r="A53" t="s">
        <v>144</v>
      </c>
      <c r="B53" s="7">
        <v>45970</v>
      </c>
      <c r="C53" t="s">
        <v>70</v>
      </c>
      <c r="D53" t="s">
        <v>1097</v>
      </c>
      <c r="E53" s="3">
        <v>2</v>
      </c>
      <c r="F53" s="3">
        <v>1</v>
      </c>
      <c r="G53" t="s">
        <v>11</v>
      </c>
      <c r="H53" t="s">
        <v>1109</v>
      </c>
      <c r="I53" t="s">
        <v>22</v>
      </c>
      <c r="J53" t="s">
        <v>49</v>
      </c>
      <c r="K53" t="s">
        <v>10</v>
      </c>
      <c r="L53" t="s">
        <v>10</v>
      </c>
      <c r="M53" t="s">
        <v>10</v>
      </c>
      <c r="N53" t="s">
        <v>10</v>
      </c>
      <c r="O53" t="str">
        <f>INDEX(CoverageTable[Deductible Applies],MATCH(Table18[[#This Row],[Coverage]],CoverageTable[Coverage],0))</f>
        <v>No</v>
      </c>
      <c r="P53" t="str">
        <f>INDEX(CoverageTable[Coverage Limit Applies],MATCH(Table18[[#This Row],[Coverage]],CoverageTable[Coverage],0))</f>
        <v>Yes</v>
      </c>
      <c r="Q53" t="s">
        <v>10</v>
      </c>
      <c r="R53" t="s">
        <v>78</v>
      </c>
      <c r="S53" t="s">
        <v>10</v>
      </c>
      <c r="T53" t="s">
        <v>10</v>
      </c>
      <c r="U53" t="s">
        <v>10</v>
      </c>
      <c r="V53" t="s">
        <v>10</v>
      </c>
      <c r="W53" t="s">
        <v>10</v>
      </c>
    </row>
    <row r="54" spans="1:23" x14ac:dyDescent="0.3">
      <c r="A54" t="s">
        <v>145</v>
      </c>
      <c r="B54" s="7">
        <v>46091</v>
      </c>
      <c r="C54" t="s">
        <v>71</v>
      </c>
      <c r="D54" t="s">
        <v>1101</v>
      </c>
      <c r="E54" s="3" t="s">
        <v>1103</v>
      </c>
      <c r="F54" s="3">
        <v>4</v>
      </c>
      <c r="G54" t="s">
        <v>11</v>
      </c>
      <c r="H54" t="s">
        <v>1108</v>
      </c>
      <c r="I54" t="s">
        <v>43</v>
      </c>
      <c r="J54" t="s">
        <v>48</v>
      </c>
      <c r="K54" t="s">
        <v>10</v>
      </c>
      <c r="L54" t="s">
        <v>57</v>
      </c>
      <c r="M54" t="s">
        <v>10</v>
      </c>
      <c r="N54" t="s">
        <v>10</v>
      </c>
      <c r="O54" t="str">
        <f>INDEX(CoverageTable[Deductible Applies],MATCH(Table18[[#This Row],[Coverage]],CoverageTable[Coverage],0))</f>
        <v>Yes</v>
      </c>
      <c r="P54" t="str">
        <f>INDEX(CoverageTable[Coverage Limit Applies],MATCH(Table18[[#This Row],[Coverage]],CoverageTable[Coverage],0))</f>
        <v>No</v>
      </c>
      <c r="Q54" t="s">
        <v>78</v>
      </c>
      <c r="R54" t="s">
        <v>10</v>
      </c>
      <c r="S54" t="s">
        <v>10</v>
      </c>
      <c r="T54" t="s">
        <v>10</v>
      </c>
      <c r="U54" t="s">
        <v>10</v>
      </c>
      <c r="V54" t="s">
        <v>57</v>
      </c>
      <c r="W54" t="s">
        <v>10</v>
      </c>
    </row>
    <row r="55" spans="1:23" x14ac:dyDescent="0.3">
      <c r="A55" t="s">
        <v>146</v>
      </c>
      <c r="B55" s="7">
        <v>45990</v>
      </c>
      <c r="C55" t="s">
        <v>71</v>
      </c>
      <c r="D55" t="s">
        <v>1101</v>
      </c>
      <c r="E55" s="3">
        <v>3</v>
      </c>
      <c r="F55" s="3">
        <v>1</v>
      </c>
      <c r="G55" t="s">
        <v>13</v>
      </c>
      <c r="H55" t="s">
        <v>1108</v>
      </c>
      <c r="I55" t="s">
        <v>27</v>
      </c>
      <c r="J55" t="s">
        <v>48</v>
      </c>
      <c r="K55" t="s">
        <v>10</v>
      </c>
      <c r="L55" t="s">
        <v>10</v>
      </c>
      <c r="M55" t="s">
        <v>10</v>
      </c>
      <c r="N55" t="s">
        <v>10</v>
      </c>
      <c r="O55" t="str">
        <f>INDEX(CoverageTable[Deductible Applies],MATCH(Table18[[#This Row],[Coverage]],CoverageTable[Coverage],0))</f>
        <v>Yes</v>
      </c>
      <c r="P55" t="str">
        <f>INDEX(CoverageTable[Coverage Limit Applies],MATCH(Table18[[#This Row],[Coverage]],CoverageTable[Coverage],0))</f>
        <v>No</v>
      </c>
      <c r="Q55" t="s">
        <v>79</v>
      </c>
      <c r="R55" t="s">
        <v>10</v>
      </c>
      <c r="S55" t="s">
        <v>10</v>
      </c>
      <c r="T55" t="s">
        <v>10</v>
      </c>
      <c r="U55" t="s">
        <v>10</v>
      </c>
      <c r="V55" t="s">
        <v>10</v>
      </c>
      <c r="W55" t="s">
        <v>10</v>
      </c>
    </row>
    <row r="56" spans="1:23" x14ac:dyDescent="0.3">
      <c r="A56" t="s">
        <v>147</v>
      </c>
      <c r="B56" s="7">
        <v>45863</v>
      </c>
      <c r="C56" t="s">
        <v>72</v>
      </c>
      <c r="D56" t="s">
        <v>1101</v>
      </c>
      <c r="E56" s="3">
        <v>4</v>
      </c>
      <c r="F56" s="3" t="s">
        <v>7</v>
      </c>
      <c r="G56" t="s">
        <v>10</v>
      </c>
      <c r="H56" t="s">
        <v>1110</v>
      </c>
      <c r="I56" t="s">
        <v>33</v>
      </c>
      <c r="J56" t="s">
        <v>50</v>
      </c>
      <c r="K56" t="s">
        <v>10</v>
      </c>
      <c r="L56" t="s">
        <v>10</v>
      </c>
      <c r="M56" t="s">
        <v>10</v>
      </c>
      <c r="N56" t="s">
        <v>10</v>
      </c>
      <c r="O56" t="str">
        <f>INDEX(CoverageTable[Deductible Applies],MATCH(Table18[[#This Row],[Coverage]],CoverageTable[Coverage],0))</f>
        <v>Yes</v>
      </c>
      <c r="P56" t="str">
        <f>INDEX(CoverageTable[Coverage Limit Applies],MATCH(Table18[[#This Row],[Coverage]],CoverageTable[Coverage],0))</f>
        <v>No</v>
      </c>
      <c r="Q56" t="s">
        <v>80</v>
      </c>
      <c r="R56" t="s">
        <v>10</v>
      </c>
      <c r="S56" t="s">
        <v>10</v>
      </c>
      <c r="T56" t="s">
        <v>10</v>
      </c>
      <c r="U56" t="s">
        <v>10</v>
      </c>
      <c r="V56" t="s">
        <v>10</v>
      </c>
      <c r="W56" t="s">
        <v>10</v>
      </c>
    </row>
    <row r="57" spans="1:23" x14ac:dyDescent="0.3">
      <c r="A57" t="s">
        <v>148</v>
      </c>
      <c r="B57" s="7">
        <v>45847</v>
      </c>
      <c r="C57" t="s">
        <v>71</v>
      </c>
      <c r="D57" t="s">
        <v>1098</v>
      </c>
      <c r="E57" s="3">
        <v>7</v>
      </c>
      <c r="F57" s="3" t="s">
        <v>7</v>
      </c>
      <c r="G57" t="s">
        <v>10</v>
      </c>
      <c r="H57" t="s">
        <v>1108</v>
      </c>
      <c r="I57" t="s">
        <v>28</v>
      </c>
      <c r="J57" t="s">
        <v>48</v>
      </c>
      <c r="K57" t="s">
        <v>10</v>
      </c>
      <c r="L57" t="s">
        <v>10</v>
      </c>
      <c r="M57" t="s">
        <v>57</v>
      </c>
      <c r="N57" t="s">
        <v>57</v>
      </c>
      <c r="O57" t="str">
        <f>INDEX(CoverageTable[Deductible Applies],MATCH(Table18[[#This Row],[Coverage]],CoverageTable[Coverage],0))</f>
        <v>Yes</v>
      </c>
      <c r="P57" t="str">
        <f>INDEX(CoverageTable[Coverage Limit Applies],MATCH(Table18[[#This Row],[Coverage]],CoverageTable[Coverage],0))</f>
        <v>No</v>
      </c>
      <c r="Q57" t="s">
        <v>78</v>
      </c>
      <c r="R57" t="s">
        <v>10</v>
      </c>
      <c r="S57" t="s">
        <v>10</v>
      </c>
      <c r="T57" t="s">
        <v>57</v>
      </c>
      <c r="U57" t="s">
        <v>57</v>
      </c>
      <c r="V57" t="s">
        <v>57</v>
      </c>
      <c r="W57" t="s">
        <v>57</v>
      </c>
    </row>
    <row r="58" spans="1:23" x14ac:dyDescent="0.3">
      <c r="A58" t="s">
        <v>149</v>
      </c>
      <c r="B58" s="7">
        <v>46132</v>
      </c>
      <c r="C58" t="s">
        <v>71</v>
      </c>
      <c r="D58" t="s">
        <v>1099</v>
      </c>
      <c r="E58" s="3">
        <v>4</v>
      </c>
      <c r="F58" s="3">
        <v>1</v>
      </c>
      <c r="G58" t="s">
        <v>12</v>
      </c>
      <c r="H58" t="s">
        <v>1109</v>
      </c>
      <c r="I58" t="s">
        <v>35</v>
      </c>
      <c r="J58" t="s">
        <v>54</v>
      </c>
      <c r="K58" t="s">
        <v>10</v>
      </c>
      <c r="L58" t="s">
        <v>10</v>
      </c>
      <c r="M58" t="s">
        <v>57</v>
      </c>
      <c r="N58" t="s">
        <v>10</v>
      </c>
      <c r="O58" t="str">
        <f>INDEX(CoverageTable[Deductible Applies],MATCH(Table18[[#This Row],[Coverage]],CoverageTable[Coverage],0))</f>
        <v>Yes</v>
      </c>
      <c r="P58" t="str">
        <f>INDEX(CoverageTable[Coverage Limit Applies],MATCH(Table18[[#This Row],[Coverage]],CoverageTable[Coverage],0))</f>
        <v>No</v>
      </c>
      <c r="Q58" t="s">
        <v>78</v>
      </c>
      <c r="R58" t="s">
        <v>10</v>
      </c>
      <c r="S58" t="s">
        <v>10</v>
      </c>
      <c r="T58" t="s">
        <v>10</v>
      </c>
      <c r="U58" t="s">
        <v>10</v>
      </c>
      <c r="V58" t="s">
        <v>10</v>
      </c>
      <c r="W58" t="s">
        <v>10</v>
      </c>
    </row>
    <row r="59" spans="1:23" x14ac:dyDescent="0.3">
      <c r="A59" t="s">
        <v>150</v>
      </c>
      <c r="B59" s="7">
        <v>45920</v>
      </c>
      <c r="C59" t="s">
        <v>70</v>
      </c>
      <c r="D59" t="s">
        <v>1098</v>
      </c>
      <c r="E59" s="3" t="s">
        <v>1103</v>
      </c>
      <c r="F59" s="3">
        <v>1</v>
      </c>
      <c r="G59" t="s">
        <v>10</v>
      </c>
      <c r="H59" t="s">
        <v>1106</v>
      </c>
      <c r="I59" t="s">
        <v>43</v>
      </c>
      <c r="J59" t="s">
        <v>51</v>
      </c>
      <c r="K59" t="s">
        <v>10</v>
      </c>
      <c r="L59" t="s">
        <v>10</v>
      </c>
      <c r="M59" t="s">
        <v>10</v>
      </c>
      <c r="N59" t="s">
        <v>57</v>
      </c>
      <c r="O59" t="str">
        <f>INDEX(CoverageTable[Deductible Applies],MATCH(Table18[[#This Row],[Coverage]],CoverageTable[Coverage],0))</f>
        <v>No</v>
      </c>
      <c r="P59" t="str">
        <f>INDEX(CoverageTable[Coverage Limit Applies],MATCH(Table18[[#This Row],[Coverage]],CoverageTable[Coverage],0))</f>
        <v>Yes</v>
      </c>
      <c r="Q59" t="s">
        <v>10</v>
      </c>
      <c r="R59" t="s">
        <v>80</v>
      </c>
      <c r="S59" t="s">
        <v>10</v>
      </c>
      <c r="T59" t="s">
        <v>10</v>
      </c>
      <c r="U59" t="s">
        <v>57</v>
      </c>
      <c r="V59" t="s">
        <v>10</v>
      </c>
      <c r="W59" t="s">
        <v>10</v>
      </c>
    </row>
    <row r="60" spans="1:23" x14ac:dyDescent="0.3">
      <c r="A60" t="s">
        <v>151</v>
      </c>
      <c r="B60" s="7">
        <v>45996</v>
      </c>
      <c r="C60" t="s">
        <v>70</v>
      </c>
      <c r="D60" t="s">
        <v>1101</v>
      </c>
      <c r="E60" s="3">
        <v>4</v>
      </c>
      <c r="F60" s="3">
        <v>0</v>
      </c>
      <c r="G60" t="s">
        <v>11</v>
      </c>
      <c r="H60" t="s">
        <v>1108</v>
      </c>
      <c r="I60" t="s">
        <v>35</v>
      </c>
      <c r="J60" t="s">
        <v>54</v>
      </c>
      <c r="K60" t="s">
        <v>10</v>
      </c>
      <c r="L60" t="s">
        <v>57</v>
      </c>
      <c r="M60" t="s">
        <v>10</v>
      </c>
      <c r="N60" t="s">
        <v>10</v>
      </c>
      <c r="O60" t="str">
        <f>INDEX(CoverageTable[Deductible Applies],MATCH(Table18[[#This Row],[Coverage]],CoverageTable[Coverage],0))</f>
        <v>No</v>
      </c>
      <c r="P60" t="str">
        <f>INDEX(CoverageTable[Coverage Limit Applies],MATCH(Table18[[#This Row],[Coverage]],CoverageTable[Coverage],0))</f>
        <v>Yes</v>
      </c>
      <c r="Q60" t="s">
        <v>10</v>
      </c>
      <c r="R60" t="s">
        <v>78</v>
      </c>
      <c r="S60" t="s">
        <v>10</v>
      </c>
      <c r="T60" t="s">
        <v>57</v>
      </c>
      <c r="U60" t="s">
        <v>10</v>
      </c>
      <c r="V60" t="s">
        <v>10</v>
      </c>
      <c r="W60" t="s">
        <v>10</v>
      </c>
    </row>
    <row r="61" spans="1:23" x14ac:dyDescent="0.3">
      <c r="A61" t="s">
        <v>152</v>
      </c>
      <c r="B61" s="7">
        <v>46125</v>
      </c>
      <c r="C61" t="s">
        <v>71</v>
      </c>
      <c r="D61" t="s">
        <v>1101</v>
      </c>
      <c r="E61" s="3">
        <v>1</v>
      </c>
      <c r="F61" s="3">
        <v>1</v>
      </c>
      <c r="G61" t="s">
        <v>10</v>
      </c>
      <c r="H61" t="s">
        <v>1110</v>
      </c>
      <c r="I61" t="s">
        <v>33</v>
      </c>
      <c r="J61" t="s">
        <v>53</v>
      </c>
      <c r="K61" t="s">
        <v>57</v>
      </c>
      <c r="L61" t="s">
        <v>10</v>
      </c>
      <c r="M61" t="s">
        <v>10</v>
      </c>
      <c r="N61" t="s">
        <v>10</v>
      </c>
      <c r="O61" t="str">
        <f>INDEX(CoverageTable[Deductible Applies],MATCH(Table18[[#This Row],[Coverage]],CoverageTable[Coverage],0))</f>
        <v>Yes</v>
      </c>
      <c r="P61" t="str">
        <f>INDEX(CoverageTable[Coverage Limit Applies],MATCH(Table18[[#This Row],[Coverage]],CoverageTable[Coverage],0))</f>
        <v>No</v>
      </c>
      <c r="Q61" t="s">
        <v>79</v>
      </c>
      <c r="R61" t="s">
        <v>10</v>
      </c>
      <c r="S61" t="s">
        <v>10</v>
      </c>
      <c r="T61" t="s">
        <v>10</v>
      </c>
      <c r="U61" t="s">
        <v>57</v>
      </c>
      <c r="V61" t="s">
        <v>10</v>
      </c>
      <c r="W61" t="s">
        <v>10</v>
      </c>
    </row>
    <row r="62" spans="1:23" x14ac:dyDescent="0.3">
      <c r="A62" t="s">
        <v>153</v>
      </c>
      <c r="B62" s="7">
        <v>46107</v>
      </c>
      <c r="C62" t="s">
        <v>70</v>
      </c>
      <c r="D62" t="s">
        <v>1101</v>
      </c>
      <c r="E62" s="3">
        <v>1</v>
      </c>
      <c r="F62" s="3">
        <v>4</v>
      </c>
      <c r="G62" t="s">
        <v>10</v>
      </c>
      <c r="H62" t="s">
        <v>1110</v>
      </c>
      <c r="I62" t="s">
        <v>32</v>
      </c>
      <c r="J62" t="s">
        <v>54</v>
      </c>
      <c r="K62" t="s">
        <v>10</v>
      </c>
      <c r="L62" t="s">
        <v>10</v>
      </c>
      <c r="M62" t="s">
        <v>57</v>
      </c>
      <c r="N62" t="s">
        <v>10</v>
      </c>
      <c r="O62" t="str">
        <f>INDEX(CoverageTable[Deductible Applies],MATCH(Table18[[#This Row],[Coverage]],CoverageTable[Coverage],0))</f>
        <v>No</v>
      </c>
      <c r="P62" t="str">
        <f>INDEX(CoverageTable[Coverage Limit Applies],MATCH(Table18[[#This Row],[Coverage]],CoverageTable[Coverage],0))</f>
        <v>Yes</v>
      </c>
      <c r="Q62" t="s">
        <v>10</v>
      </c>
      <c r="R62" t="s">
        <v>78</v>
      </c>
      <c r="S62" t="s">
        <v>57</v>
      </c>
      <c r="T62" t="s">
        <v>10</v>
      </c>
      <c r="U62" t="s">
        <v>10</v>
      </c>
      <c r="V62" t="s">
        <v>10</v>
      </c>
      <c r="W62" t="s">
        <v>10</v>
      </c>
    </row>
    <row r="63" spans="1:23" x14ac:dyDescent="0.3">
      <c r="A63" t="s">
        <v>154</v>
      </c>
      <c r="B63" s="7">
        <v>46121</v>
      </c>
      <c r="C63" t="s">
        <v>71</v>
      </c>
      <c r="D63" t="s">
        <v>1099</v>
      </c>
      <c r="E63" s="3">
        <v>2</v>
      </c>
      <c r="F63" s="3">
        <v>2</v>
      </c>
      <c r="G63" t="s">
        <v>10</v>
      </c>
      <c r="H63" t="s">
        <v>1108</v>
      </c>
      <c r="I63" t="s">
        <v>35</v>
      </c>
      <c r="J63" t="s">
        <v>54</v>
      </c>
      <c r="K63" t="s">
        <v>10</v>
      </c>
      <c r="L63" t="s">
        <v>57</v>
      </c>
      <c r="M63" t="s">
        <v>57</v>
      </c>
      <c r="N63" t="s">
        <v>57</v>
      </c>
      <c r="O63" t="str">
        <f>INDEX(CoverageTable[Deductible Applies],MATCH(Table18[[#This Row],[Coverage]],CoverageTable[Coverage],0))</f>
        <v>Yes</v>
      </c>
      <c r="P63" t="str">
        <f>INDEX(CoverageTable[Coverage Limit Applies],MATCH(Table18[[#This Row],[Coverage]],CoverageTable[Coverage],0))</f>
        <v>No</v>
      </c>
      <c r="Q63" t="s">
        <v>78</v>
      </c>
      <c r="R63" t="s">
        <v>10</v>
      </c>
      <c r="S63" t="s">
        <v>10</v>
      </c>
      <c r="T63" t="s">
        <v>57</v>
      </c>
      <c r="U63" t="s">
        <v>57</v>
      </c>
      <c r="V63" t="s">
        <v>10</v>
      </c>
      <c r="W63" t="s">
        <v>10</v>
      </c>
    </row>
    <row r="64" spans="1:23" x14ac:dyDescent="0.3">
      <c r="A64" t="s">
        <v>155</v>
      </c>
      <c r="B64" s="7">
        <v>46081</v>
      </c>
      <c r="C64" t="s">
        <v>71</v>
      </c>
      <c r="D64" t="s">
        <v>1098</v>
      </c>
      <c r="E64" s="3">
        <v>5</v>
      </c>
      <c r="F64" s="3">
        <v>4</v>
      </c>
      <c r="G64" t="s">
        <v>13</v>
      </c>
      <c r="H64" t="s">
        <v>1110</v>
      </c>
      <c r="I64" t="s">
        <v>32</v>
      </c>
      <c r="J64" t="s">
        <v>51</v>
      </c>
      <c r="K64" t="s">
        <v>10</v>
      </c>
      <c r="L64" t="s">
        <v>10</v>
      </c>
      <c r="M64" t="s">
        <v>10</v>
      </c>
      <c r="N64" t="s">
        <v>10</v>
      </c>
      <c r="O64" t="str">
        <f>INDEX(CoverageTable[Deductible Applies],MATCH(Table18[[#This Row],[Coverage]],CoverageTable[Coverage],0))</f>
        <v>Yes</v>
      </c>
      <c r="P64" t="str">
        <f>INDEX(CoverageTable[Coverage Limit Applies],MATCH(Table18[[#This Row],[Coverage]],CoverageTable[Coverage],0))</f>
        <v>No</v>
      </c>
      <c r="Q64" t="s">
        <v>79</v>
      </c>
      <c r="R64" t="s">
        <v>10</v>
      </c>
      <c r="S64" t="s">
        <v>10</v>
      </c>
      <c r="T64" t="s">
        <v>10</v>
      </c>
      <c r="U64" t="s">
        <v>10</v>
      </c>
      <c r="V64" t="s">
        <v>10</v>
      </c>
      <c r="W64" t="s">
        <v>10</v>
      </c>
    </row>
    <row r="65" spans="1:23" x14ac:dyDescent="0.3">
      <c r="A65" t="s">
        <v>156</v>
      </c>
      <c r="B65" s="7">
        <v>46104</v>
      </c>
      <c r="C65" t="s">
        <v>73</v>
      </c>
      <c r="D65" t="s">
        <v>1102</v>
      </c>
      <c r="E65" s="3">
        <v>4</v>
      </c>
      <c r="F65" s="3">
        <v>0</v>
      </c>
      <c r="G65" t="s">
        <v>12</v>
      </c>
      <c r="H65" t="s">
        <v>1109</v>
      </c>
      <c r="I65" t="s">
        <v>28</v>
      </c>
      <c r="J65" t="s">
        <v>54</v>
      </c>
      <c r="K65" t="s">
        <v>10</v>
      </c>
      <c r="L65" t="s">
        <v>10</v>
      </c>
      <c r="M65" t="s">
        <v>10</v>
      </c>
      <c r="N65" t="s">
        <v>10</v>
      </c>
      <c r="O65" t="str">
        <f>INDEX(CoverageTable[Deductible Applies],MATCH(Table18[[#This Row],[Coverage]],CoverageTable[Coverage],0))</f>
        <v>No</v>
      </c>
      <c r="P65" t="str">
        <f>INDEX(CoverageTable[Coverage Limit Applies],MATCH(Table18[[#This Row],[Coverage]],CoverageTable[Coverage],0))</f>
        <v>Yes</v>
      </c>
      <c r="Q65" t="s">
        <v>10</v>
      </c>
      <c r="R65" t="s">
        <v>80</v>
      </c>
      <c r="S65" t="s">
        <v>57</v>
      </c>
      <c r="T65" t="s">
        <v>57</v>
      </c>
      <c r="U65" t="s">
        <v>10</v>
      </c>
      <c r="V65" t="s">
        <v>10</v>
      </c>
      <c r="W65" t="s">
        <v>10</v>
      </c>
    </row>
    <row r="66" spans="1:23" x14ac:dyDescent="0.3">
      <c r="A66" t="s">
        <v>157</v>
      </c>
      <c r="B66" s="7">
        <v>45833</v>
      </c>
      <c r="C66" t="s">
        <v>70</v>
      </c>
      <c r="D66" t="s">
        <v>1102</v>
      </c>
      <c r="E66" s="3">
        <v>7</v>
      </c>
      <c r="F66" s="3">
        <v>1</v>
      </c>
      <c r="G66" t="s">
        <v>13</v>
      </c>
      <c r="H66" t="s">
        <v>1107</v>
      </c>
      <c r="I66" t="s">
        <v>31</v>
      </c>
      <c r="J66" t="s">
        <v>48</v>
      </c>
      <c r="K66" t="s">
        <v>10</v>
      </c>
      <c r="L66" t="s">
        <v>10</v>
      </c>
      <c r="M66" t="s">
        <v>10</v>
      </c>
      <c r="N66" t="s">
        <v>57</v>
      </c>
      <c r="O66" t="str">
        <f>INDEX(CoverageTable[Deductible Applies],MATCH(Table18[[#This Row],[Coverage]],CoverageTable[Coverage],0))</f>
        <v>No</v>
      </c>
      <c r="P66" t="str">
        <f>INDEX(CoverageTable[Coverage Limit Applies],MATCH(Table18[[#This Row],[Coverage]],CoverageTable[Coverage],0))</f>
        <v>Yes</v>
      </c>
      <c r="Q66" t="s">
        <v>10</v>
      </c>
      <c r="R66" t="s">
        <v>80</v>
      </c>
      <c r="S66" t="s">
        <v>10</v>
      </c>
      <c r="T66" t="s">
        <v>57</v>
      </c>
      <c r="U66" t="s">
        <v>10</v>
      </c>
      <c r="V66" t="s">
        <v>57</v>
      </c>
      <c r="W66" t="s">
        <v>10</v>
      </c>
    </row>
    <row r="67" spans="1:23" x14ac:dyDescent="0.3">
      <c r="A67" t="s">
        <v>158</v>
      </c>
      <c r="B67" s="7">
        <v>45989</v>
      </c>
      <c r="C67" t="s">
        <v>70</v>
      </c>
      <c r="D67" t="s">
        <v>1101</v>
      </c>
      <c r="E67" s="3">
        <v>1</v>
      </c>
      <c r="F67" s="3" t="s">
        <v>7</v>
      </c>
      <c r="G67" t="s">
        <v>10</v>
      </c>
      <c r="H67" t="s">
        <v>1106</v>
      </c>
      <c r="I67" t="s">
        <v>21</v>
      </c>
      <c r="J67" t="s">
        <v>53</v>
      </c>
      <c r="K67" t="s">
        <v>10</v>
      </c>
      <c r="L67" t="s">
        <v>10</v>
      </c>
      <c r="M67" t="s">
        <v>10</v>
      </c>
      <c r="N67" t="s">
        <v>10</v>
      </c>
      <c r="O67" t="str">
        <f>INDEX(CoverageTable[Deductible Applies],MATCH(Table18[[#This Row],[Coverage]],CoverageTable[Coverage],0))</f>
        <v>No</v>
      </c>
      <c r="P67" t="str">
        <f>INDEX(CoverageTable[Coverage Limit Applies],MATCH(Table18[[#This Row],[Coverage]],CoverageTable[Coverage],0))</f>
        <v>Yes</v>
      </c>
      <c r="Q67" t="s">
        <v>10</v>
      </c>
      <c r="R67" t="s">
        <v>78</v>
      </c>
      <c r="S67" t="s">
        <v>10</v>
      </c>
      <c r="T67" t="s">
        <v>10</v>
      </c>
      <c r="U67" t="s">
        <v>10</v>
      </c>
      <c r="V67" t="s">
        <v>10</v>
      </c>
      <c r="W67" t="s">
        <v>10</v>
      </c>
    </row>
    <row r="68" spans="1:23" x14ac:dyDescent="0.3">
      <c r="A68" t="s">
        <v>159</v>
      </c>
      <c r="B68" s="7">
        <v>45873</v>
      </c>
      <c r="C68" t="s">
        <v>70</v>
      </c>
      <c r="D68" t="s">
        <v>1098</v>
      </c>
      <c r="E68" s="3">
        <v>1</v>
      </c>
      <c r="F68" s="3">
        <v>1</v>
      </c>
      <c r="G68" t="s">
        <v>10</v>
      </c>
      <c r="H68" t="s">
        <v>1106</v>
      </c>
      <c r="I68" t="s">
        <v>37</v>
      </c>
      <c r="J68" t="s">
        <v>51</v>
      </c>
      <c r="K68" t="s">
        <v>57</v>
      </c>
      <c r="L68" t="s">
        <v>10</v>
      </c>
      <c r="M68" t="s">
        <v>10</v>
      </c>
      <c r="N68" t="s">
        <v>57</v>
      </c>
      <c r="O68" t="str">
        <f>INDEX(CoverageTable[Deductible Applies],MATCH(Table18[[#This Row],[Coverage]],CoverageTable[Coverage],0))</f>
        <v>No</v>
      </c>
      <c r="P68" t="str">
        <f>INDEX(CoverageTable[Coverage Limit Applies],MATCH(Table18[[#This Row],[Coverage]],CoverageTable[Coverage],0))</f>
        <v>Yes</v>
      </c>
      <c r="Q68" t="s">
        <v>10</v>
      </c>
      <c r="R68" t="s">
        <v>78</v>
      </c>
      <c r="S68" t="s">
        <v>10</v>
      </c>
      <c r="T68" t="s">
        <v>10</v>
      </c>
      <c r="U68" t="s">
        <v>10</v>
      </c>
      <c r="V68" t="s">
        <v>57</v>
      </c>
      <c r="W68" t="s">
        <v>57</v>
      </c>
    </row>
    <row r="69" spans="1:23" x14ac:dyDescent="0.3">
      <c r="A69" t="s">
        <v>160</v>
      </c>
      <c r="B69" s="7">
        <v>45905</v>
      </c>
      <c r="C69" t="s">
        <v>70</v>
      </c>
      <c r="D69" t="s">
        <v>1099</v>
      </c>
      <c r="E69" s="3">
        <v>1</v>
      </c>
      <c r="F69" s="3">
        <v>0</v>
      </c>
      <c r="G69" t="s">
        <v>13</v>
      </c>
      <c r="H69" t="s">
        <v>1109</v>
      </c>
      <c r="I69" t="s">
        <v>41</v>
      </c>
      <c r="J69" t="s">
        <v>50</v>
      </c>
      <c r="K69" t="s">
        <v>10</v>
      </c>
      <c r="L69" t="s">
        <v>10</v>
      </c>
      <c r="M69" t="s">
        <v>10</v>
      </c>
      <c r="N69" t="s">
        <v>10</v>
      </c>
      <c r="O69" t="str">
        <f>INDEX(CoverageTable[Deductible Applies],MATCH(Table18[[#This Row],[Coverage]],CoverageTable[Coverage],0))</f>
        <v>No</v>
      </c>
      <c r="P69" t="str">
        <f>INDEX(CoverageTable[Coverage Limit Applies],MATCH(Table18[[#This Row],[Coverage]],CoverageTable[Coverage],0))</f>
        <v>Yes</v>
      </c>
      <c r="Q69" t="s">
        <v>10</v>
      </c>
      <c r="R69" t="s">
        <v>79</v>
      </c>
      <c r="S69" t="s">
        <v>10</v>
      </c>
      <c r="T69" t="s">
        <v>10</v>
      </c>
      <c r="U69" t="s">
        <v>10</v>
      </c>
      <c r="V69" t="s">
        <v>10</v>
      </c>
      <c r="W69" t="s">
        <v>10</v>
      </c>
    </row>
    <row r="70" spans="1:23" x14ac:dyDescent="0.3">
      <c r="A70" t="s">
        <v>161</v>
      </c>
      <c r="B70" s="7">
        <v>45912</v>
      </c>
      <c r="C70" t="s">
        <v>70</v>
      </c>
      <c r="D70" t="s">
        <v>1100</v>
      </c>
      <c r="E70" s="3">
        <v>4</v>
      </c>
      <c r="F70" s="3">
        <v>0</v>
      </c>
      <c r="G70" t="s">
        <v>12</v>
      </c>
      <c r="H70" t="s">
        <v>1108</v>
      </c>
      <c r="I70" t="s">
        <v>38</v>
      </c>
      <c r="J70" t="s">
        <v>50</v>
      </c>
      <c r="K70" t="s">
        <v>10</v>
      </c>
      <c r="L70" t="s">
        <v>57</v>
      </c>
      <c r="M70" t="s">
        <v>10</v>
      </c>
      <c r="N70" t="s">
        <v>10</v>
      </c>
      <c r="O70" t="str">
        <f>INDEX(CoverageTable[Deductible Applies],MATCH(Table18[[#This Row],[Coverage]],CoverageTable[Coverage],0))</f>
        <v>No</v>
      </c>
      <c r="P70" t="str">
        <f>INDEX(CoverageTable[Coverage Limit Applies],MATCH(Table18[[#This Row],[Coverage]],CoverageTable[Coverage],0))</f>
        <v>Yes</v>
      </c>
      <c r="Q70" t="s">
        <v>10</v>
      </c>
      <c r="R70" t="s">
        <v>80</v>
      </c>
      <c r="S70" t="s">
        <v>57</v>
      </c>
      <c r="T70" t="s">
        <v>10</v>
      </c>
      <c r="U70" t="s">
        <v>57</v>
      </c>
      <c r="V70" t="s">
        <v>57</v>
      </c>
      <c r="W70" t="s">
        <v>10</v>
      </c>
    </row>
    <row r="71" spans="1:23" x14ac:dyDescent="0.3">
      <c r="A71" t="s">
        <v>162</v>
      </c>
      <c r="B71" s="7">
        <v>45783</v>
      </c>
      <c r="C71" t="s">
        <v>71</v>
      </c>
      <c r="D71" t="s">
        <v>1098</v>
      </c>
      <c r="E71" s="3" t="s">
        <v>1103</v>
      </c>
      <c r="F71" s="3">
        <v>1</v>
      </c>
      <c r="G71" t="s">
        <v>13</v>
      </c>
      <c r="H71" t="s">
        <v>1110</v>
      </c>
      <c r="I71" t="s">
        <v>25</v>
      </c>
      <c r="J71" t="s">
        <v>48</v>
      </c>
      <c r="K71" t="s">
        <v>10</v>
      </c>
      <c r="L71" t="s">
        <v>10</v>
      </c>
      <c r="M71" t="s">
        <v>10</v>
      </c>
      <c r="N71" t="s">
        <v>57</v>
      </c>
      <c r="O71" t="str">
        <f>INDEX(CoverageTable[Deductible Applies],MATCH(Table18[[#This Row],[Coverage]],CoverageTable[Coverage],0))</f>
        <v>Yes</v>
      </c>
      <c r="P71" t="str">
        <f>INDEX(CoverageTable[Coverage Limit Applies],MATCH(Table18[[#This Row],[Coverage]],CoverageTable[Coverage],0))</f>
        <v>No</v>
      </c>
      <c r="Q71" t="s">
        <v>79</v>
      </c>
      <c r="R71" t="s">
        <v>10</v>
      </c>
      <c r="S71" t="s">
        <v>10</v>
      </c>
      <c r="T71" t="s">
        <v>10</v>
      </c>
      <c r="U71" t="s">
        <v>10</v>
      </c>
      <c r="V71" t="s">
        <v>10</v>
      </c>
      <c r="W71" t="s">
        <v>10</v>
      </c>
    </row>
    <row r="72" spans="1:23" x14ac:dyDescent="0.3">
      <c r="A72" t="s">
        <v>163</v>
      </c>
      <c r="B72" s="7">
        <v>45859</v>
      </c>
      <c r="C72" t="s">
        <v>70</v>
      </c>
      <c r="D72" t="s">
        <v>1097</v>
      </c>
      <c r="E72" s="3">
        <v>4</v>
      </c>
      <c r="F72" s="3">
        <v>3</v>
      </c>
      <c r="G72" t="s">
        <v>13</v>
      </c>
      <c r="H72" t="s">
        <v>1110</v>
      </c>
      <c r="I72" t="s">
        <v>28</v>
      </c>
      <c r="J72" t="s">
        <v>52</v>
      </c>
      <c r="K72" t="s">
        <v>10</v>
      </c>
      <c r="L72" t="s">
        <v>10</v>
      </c>
      <c r="M72" t="s">
        <v>10</v>
      </c>
      <c r="N72" t="s">
        <v>10</v>
      </c>
      <c r="O72" t="str">
        <f>INDEX(CoverageTable[Deductible Applies],MATCH(Table18[[#This Row],[Coverage]],CoverageTable[Coverage],0))</f>
        <v>No</v>
      </c>
      <c r="P72" t="str">
        <f>INDEX(CoverageTable[Coverage Limit Applies],MATCH(Table18[[#This Row],[Coverage]],CoverageTable[Coverage],0))</f>
        <v>Yes</v>
      </c>
      <c r="Q72" t="s">
        <v>10</v>
      </c>
      <c r="R72" t="s">
        <v>80</v>
      </c>
      <c r="S72" t="s">
        <v>10</v>
      </c>
      <c r="T72" t="s">
        <v>10</v>
      </c>
      <c r="U72" t="s">
        <v>57</v>
      </c>
      <c r="V72" t="s">
        <v>10</v>
      </c>
      <c r="W72" t="s">
        <v>10</v>
      </c>
    </row>
    <row r="73" spans="1:23" x14ac:dyDescent="0.3">
      <c r="A73" t="s">
        <v>164</v>
      </c>
      <c r="B73" s="7">
        <v>46044</v>
      </c>
      <c r="C73" t="s">
        <v>70</v>
      </c>
      <c r="D73" t="s">
        <v>1100</v>
      </c>
      <c r="E73" s="3">
        <v>2</v>
      </c>
      <c r="F73" s="3">
        <v>0</v>
      </c>
      <c r="G73" t="s">
        <v>10</v>
      </c>
      <c r="H73" t="s">
        <v>1107</v>
      </c>
      <c r="I73" t="s">
        <v>26</v>
      </c>
      <c r="J73" t="s">
        <v>53</v>
      </c>
      <c r="K73" t="s">
        <v>10</v>
      </c>
      <c r="L73" t="s">
        <v>57</v>
      </c>
      <c r="M73" t="s">
        <v>10</v>
      </c>
      <c r="N73" t="s">
        <v>57</v>
      </c>
      <c r="O73" t="str">
        <f>INDEX(CoverageTable[Deductible Applies],MATCH(Table18[[#This Row],[Coverage]],CoverageTable[Coverage],0))</f>
        <v>No</v>
      </c>
      <c r="P73" t="str">
        <f>INDEX(CoverageTable[Coverage Limit Applies],MATCH(Table18[[#This Row],[Coverage]],CoverageTable[Coverage],0))</f>
        <v>Yes</v>
      </c>
      <c r="Q73" t="s">
        <v>10</v>
      </c>
      <c r="R73" t="s">
        <v>80</v>
      </c>
      <c r="S73" t="s">
        <v>10</v>
      </c>
      <c r="T73" t="s">
        <v>10</v>
      </c>
      <c r="U73" t="s">
        <v>10</v>
      </c>
      <c r="V73" t="s">
        <v>10</v>
      </c>
      <c r="W73" t="s">
        <v>57</v>
      </c>
    </row>
    <row r="74" spans="1:23" x14ac:dyDescent="0.3">
      <c r="A74" t="s">
        <v>165</v>
      </c>
      <c r="B74" s="7">
        <v>45985</v>
      </c>
      <c r="C74" t="s">
        <v>71</v>
      </c>
      <c r="D74" t="s">
        <v>1102</v>
      </c>
      <c r="E74" s="3">
        <v>4</v>
      </c>
      <c r="F74" s="3">
        <v>4</v>
      </c>
      <c r="G74" t="s">
        <v>10</v>
      </c>
      <c r="H74" t="s">
        <v>1106</v>
      </c>
      <c r="I74" t="s">
        <v>32</v>
      </c>
      <c r="J74" t="s">
        <v>53</v>
      </c>
      <c r="K74" t="s">
        <v>57</v>
      </c>
      <c r="L74" t="s">
        <v>10</v>
      </c>
      <c r="M74" t="s">
        <v>10</v>
      </c>
      <c r="N74" t="s">
        <v>57</v>
      </c>
      <c r="O74" t="str">
        <f>INDEX(CoverageTable[Deductible Applies],MATCH(Table18[[#This Row],[Coverage]],CoverageTable[Coverage],0))</f>
        <v>Yes</v>
      </c>
      <c r="P74" t="str">
        <f>INDEX(CoverageTable[Coverage Limit Applies],MATCH(Table18[[#This Row],[Coverage]],CoverageTable[Coverage],0))</f>
        <v>No</v>
      </c>
      <c r="Q74" t="s">
        <v>79</v>
      </c>
      <c r="R74" t="s">
        <v>10</v>
      </c>
      <c r="S74" t="s">
        <v>10</v>
      </c>
      <c r="T74" t="s">
        <v>57</v>
      </c>
      <c r="U74" t="s">
        <v>57</v>
      </c>
      <c r="V74" t="s">
        <v>10</v>
      </c>
      <c r="W74" t="s">
        <v>10</v>
      </c>
    </row>
    <row r="75" spans="1:23" x14ac:dyDescent="0.3">
      <c r="A75" t="s">
        <v>166</v>
      </c>
      <c r="B75" s="7">
        <v>46002</v>
      </c>
      <c r="C75" t="s">
        <v>70</v>
      </c>
      <c r="D75" t="s">
        <v>1101</v>
      </c>
      <c r="E75" s="3">
        <v>1</v>
      </c>
      <c r="F75" s="3">
        <v>3</v>
      </c>
      <c r="G75" t="s">
        <v>10</v>
      </c>
      <c r="H75" t="s">
        <v>1110</v>
      </c>
      <c r="I75" t="s">
        <v>29</v>
      </c>
      <c r="J75" t="s">
        <v>48</v>
      </c>
      <c r="K75" t="s">
        <v>10</v>
      </c>
      <c r="L75" t="s">
        <v>10</v>
      </c>
      <c r="M75" t="s">
        <v>10</v>
      </c>
      <c r="N75" t="s">
        <v>57</v>
      </c>
      <c r="O75" t="str">
        <f>INDEX(CoverageTable[Deductible Applies],MATCH(Table18[[#This Row],[Coverage]],CoverageTable[Coverage],0))</f>
        <v>No</v>
      </c>
      <c r="P75" t="str">
        <f>INDEX(CoverageTable[Coverage Limit Applies],MATCH(Table18[[#This Row],[Coverage]],CoverageTable[Coverage],0))</f>
        <v>Yes</v>
      </c>
      <c r="Q75" t="s">
        <v>10</v>
      </c>
      <c r="R75" t="s">
        <v>78</v>
      </c>
      <c r="S75" t="s">
        <v>10</v>
      </c>
      <c r="T75" t="s">
        <v>10</v>
      </c>
      <c r="U75" t="s">
        <v>10</v>
      </c>
      <c r="V75" t="s">
        <v>10</v>
      </c>
      <c r="W75" t="s">
        <v>10</v>
      </c>
    </row>
    <row r="76" spans="1:23" x14ac:dyDescent="0.3">
      <c r="A76" t="s">
        <v>167</v>
      </c>
      <c r="B76" s="7">
        <v>46089</v>
      </c>
      <c r="C76" t="s">
        <v>71</v>
      </c>
      <c r="D76" t="s">
        <v>1100</v>
      </c>
      <c r="E76" s="3">
        <v>5</v>
      </c>
      <c r="F76" s="3">
        <v>4</v>
      </c>
      <c r="G76" t="s">
        <v>10</v>
      </c>
      <c r="H76" t="s">
        <v>1107</v>
      </c>
      <c r="I76" t="s">
        <v>34</v>
      </c>
      <c r="J76" t="s">
        <v>52</v>
      </c>
      <c r="K76" t="s">
        <v>10</v>
      </c>
      <c r="L76" t="s">
        <v>57</v>
      </c>
      <c r="M76" t="s">
        <v>57</v>
      </c>
      <c r="N76" t="s">
        <v>57</v>
      </c>
      <c r="O76" t="str">
        <f>INDEX(CoverageTable[Deductible Applies],MATCH(Table18[[#This Row],[Coverage]],CoverageTable[Coverage],0))</f>
        <v>Yes</v>
      </c>
      <c r="P76" t="str">
        <f>INDEX(CoverageTable[Coverage Limit Applies],MATCH(Table18[[#This Row],[Coverage]],CoverageTable[Coverage],0))</f>
        <v>No</v>
      </c>
      <c r="Q76" t="s">
        <v>78</v>
      </c>
      <c r="R76" t="s">
        <v>10</v>
      </c>
      <c r="S76" t="s">
        <v>10</v>
      </c>
      <c r="T76" t="s">
        <v>10</v>
      </c>
      <c r="U76" t="s">
        <v>10</v>
      </c>
      <c r="V76" t="s">
        <v>10</v>
      </c>
      <c r="W76" t="s">
        <v>10</v>
      </c>
    </row>
    <row r="77" spans="1:23" x14ac:dyDescent="0.3">
      <c r="A77" t="s">
        <v>168</v>
      </c>
      <c r="B77" s="7">
        <v>46110</v>
      </c>
      <c r="C77" t="s">
        <v>70</v>
      </c>
      <c r="D77" t="s">
        <v>1102</v>
      </c>
      <c r="E77" s="3">
        <v>5</v>
      </c>
      <c r="F77" s="3">
        <v>0</v>
      </c>
      <c r="G77" t="s">
        <v>10</v>
      </c>
      <c r="H77" t="s">
        <v>1110</v>
      </c>
      <c r="I77" t="s">
        <v>23</v>
      </c>
      <c r="J77" t="s">
        <v>48</v>
      </c>
      <c r="K77" t="s">
        <v>10</v>
      </c>
      <c r="L77" t="s">
        <v>57</v>
      </c>
      <c r="M77" t="s">
        <v>57</v>
      </c>
      <c r="N77" t="s">
        <v>10</v>
      </c>
      <c r="O77" t="str">
        <f>INDEX(CoverageTable[Deductible Applies],MATCH(Table18[[#This Row],[Coverage]],CoverageTable[Coverage],0))</f>
        <v>No</v>
      </c>
      <c r="P77" t="str">
        <f>INDEX(CoverageTable[Coverage Limit Applies],MATCH(Table18[[#This Row],[Coverage]],CoverageTable[Coverage],0))</f>
        <v>Yes</v>
      </c>
      <c r="Q77" t="s">
        <v>10</v>
      </c>
      <c r="R77" t="s">
        <v>80</v>
      </c>
      <c r="S77" t="s">
        <v>57</v>
      </c>
      <c r="T77" t="s">
        <v>57</v>
      </c>
      <c r="U77" t="s">
        <v>10</v>
      </c>
      <c r="V77" t="s">
        <v>10</v>
      </c>
      <c r="W77" t="s">
        <v>10</v>
      </c>
    </row>
    <row r="78" spans="1:23" x14ac:dyDescent="0.3">
      <c r="A78" t="s">
        <v>169</v>
      </c>
      <c r="B78" s="7">
        <v>46131</v>
      </c>
      <c r="C78" t="s">
        <v>74</v>
      </c>
      <c r="D78" t="s">
        <v>1102</v>
      </c>
      <c r="E78" s="3">
        <v>2</v>
      </c>
      <c r="F78" s="3">
        <v>4</v>
      </c>
      <c r="G78" t="s">
        <v>13</v>
      </c>
      <c r="H78" t="s">
        <v>1109</v>
      </c>
      <c r="I78" t="s">
        <v>36</v>
      </c>
      <c r="J78" t="s">
        <v>50</v>
      </c>
      <c r="K78" t="s">
        <v>10</v>
      </c>
      <c r="L78" t="s">
        <v>57</v>
      </c>
      <c r="M78" t="s">
        <v>10</v>
      </c>
      <c r="N78" t="s">
        <v>57</v>
      </c>
      <c r="O78" t="str">
        <f>INDEX(CoverageTable[Deductible Applies],MATCH(Table18[[#This Row],[Coverage]],CoverageTable[Coverage],0))</f>
        <v>No</v>
      </c>
      <c r="P78" t="str">
        <f>INDEX(CoverageTable[Coverage Limit Applies],MATCH(Table18[[#This Row],[Coverage]],CoverageTable[Coverage],0))</f>
        <v>Yes</v>
      </c>
      <c r="Q78" t="s">
        <v>10</v>
      </c>
      <c r="R78" t="s">
        <v>80</v>
      </c>
      <c r="S78" t="s">
        <v>10</v>
      </c>
      <c r="T78" t="s">
        <v>10</v>
      </c>
      <c r="U78" t="s">
        <v>57</v>
      </c>
      <c r="V78" t="s">
        <v>10</v>
      </c>
      <c r="W78" t="s">
        <v>57</v>
      </c>
    </row>
    <row r="79" spans="1:23" x14ac:dyDescent="0.3">
      <c r="A79" t="s">
        <v>170</v>
      </c>
      <c r="B79" s="7">
        <v>46118</v>
      </c>
      <c r="C79" t="s">
        <v>70</v>
      </c>
      <c r="D79" t="s">
        <v>1102</v>
      </c>
      <c r="E79" s="3">
        <v>1</v>
      </c>
      <c r="F79" s="3">
        <v>3</v>
      </c>
      <c r="G79" t="s">
        <v>10</v>
      </c>
      <c r="H79" t="s">
        <v>1107</v>
      </c>
      <c r="I79" t="s">
        <v>36</v>
      </c>
      <c r="J79" t="s">
        <v>48</v>
      </c>
      <c r="K79" t="s">
        <v>10</v>
      </c>
      <c r="L79" t="s">
        <v>10</v>
      </c>
      <c r="M79" t="s">
        <v>10</v>
      </c>
      <c r="N79" t="s">
        <v>10</v>
      </c>
      <c r="O79" t="str">
        <f>INDEX(CoverageTable[Deductible Applies],MATCH(Table18[[#This Row],[Coverage]],CoverageTable[Coverage],0))</f>
        <v>No</v>
      </c>
      <c r="P79" t="str">
        <f>INDEX(CoverageTable[Coverage Limit Applies],MATCH(Table18[[#This Row],[Coverage]],CoverageTable[Coverage],0))</f>
        <v>Yes</v>
      </c>
      <c r="Q79" t="s">
        <v>10</v>
      </c>
      <c r="R79" t="s">
        <v>79</v>
      </c>
      <c r="S79" t="s">
        <v>10</v>
      </c>
      <c r="T79" t="s">
        <v>10</v>
      </c>
      <c r="U79" t="s">
        <v>10</v>
      </c>
      <c r="V79" t="s">
        <v>10</v>
      </c>
      <c r="W79" t="s">
        <v>10</v>
      </c>
    </row>
    <row r="80" spans="1:23" x14ac:dyDescent="0.3">
      <c r="A80" t="s">
        <v>171</v>
      </c>
      <c r="B80" s="7">
        <v>45895</v>
      </c>
      <c r="C80" t="s">
        <v>70</v>
      </c>
      <c r="D80" t="s">
        <v>1097</v>
      </c>
      <c r="E80" s="3">
        <v>2</v>
      </c>
      <c r="F80" s="3">
        <v>1</v>
      </c>
      <c r="G80" t="s">
        <v>12</v>
      </c>
      <c r="H80" t="s">
        <v>1110</v>
      </c>
      <c r="I80" t="s">
        <v>29</v>
      </c>
      <c r="J80" t="s">
        <v>52</v>
      </c>
      <c r="K80" t="s">
        <v>10</v>
      </c>
      <c r="L80" t="s">
        <v>10</v>
      </c>
      <c r="M80" t="s">
        <v>10</v>
      </c>
      <c r="N80" t="s">
        <v>10</v>
      </c>
      <c r="O80" t="str">
        <f>INDEX(CoverageTable[Deductible Applies],MATCH(Table18[[#This Row],[Coverage]],CoverageTable[Coverage],0))</f>
        <v>No</v>
      </c>
      <c r="P80" t="str">
        <f>INDEX(CoverageTable[Coverage Limit Applies],MATCH(Table18[[#This Row],[Coverage]],CoverageTable[Coverage],0))</f>
        <v>Yes</v>
      </c>
      <c r="Q80" t="s">
        <v>10</v>
      </c>
      <c r="R80" t="s">
        <v>80</v>
      </c>
      <c r="S80" t="s">
        <v>10</v>
      </c>
      <c r="T80" t="s">
        <v>10</v>
      </c>
      <c r="U80" t="s">
        <v>57</v>
      </c>
      <c r="V80" t="s">
        <v>10</v>
      </c>
      <c r="W80" t="s">
        <v>10</v>
      </c>
    </row>
    <row r="81" spans="1:23" x14ac:dyDescent="0.3">
      <c r="A81" t="s">
        <v>172</v>
      </c>
      <c r="B81" s="7">
        <v>45994</v>
      </c>
      <c r="C81" t="s">
        <v>71</v>
      </c>
      <c r="D81" t="s">
        <v>1100</v>
      </c>
      <c r="E81" s="3">
        <v>7</v>
      </c>
      <c r="F81" s="3">
        <v>0</v>
      </c>
      <c r="G81" t="s">
        <v>10</v>
      </c>
      <c r="H81" t="s">
        <v>1106</v>
      </c>
      <c r="I81" t="s">
        <v>30</v>
      </c>
      <c r="J81" t="s">
        <v>50</v>
      </c>
      <c r="K81" t="s">
        <v>10</v>
      </c>
      <c r="L81" t="s">
        <v>10</v>
      </c>
      <c r="M81" t="s">
        <v>10</v>
      </c>
      <c r="N81" t="s">
        <v>10</v>
      </c>
      <c r="O81" t="str">
        <f>INDEX(CoverageTable[Deductible Applies],MATCH(Table18[[#This Row],[Coverage]],CoverageTable[Coverage],0))</f>
        <v>Yes</v>
      </c>
      <c r="P81" t="str">
        <f>INDEX(CoverageTable[Coverage Limit Applies],MATCH(Table18[[#This Row],[Coverage]],CoverageTable[Coverage],0))</f>
        <v>No</v>
      </c>
      <c r="Q81" t="s">
        <v>80</v>
      </c>
      <c r="R81" t="s">
        <v>10</v>
      </c>
      <c r="S81" t="s">
        <v>10</v>
      </c>
      <c r="T81" t="s">
        <v>57</v>
      </c>
      <c r="U81" t="s">
        <v>10</v>
      </c>
      <c r="V81" t="s">
        <v>57</v>
      </c>
      <c r="W81" t="s">
        <v>10</v>
      </c>
    </row>
    <row r="82" spans="1:23" x14ac:dyDescent="0.3">
      <c r="A82" t="s">
        <v>173</v>
      </c>
      <c r="B82" s="7">
        <v>46005</v>
      </c>
      <c r="C82" t="s">
        <v>71</v>
      </c>
      <c r="D82" t="s">
        <v>1099</v>
      </c>
      <c r="E82" s="3" t="s">
        <v>1103</v>
      </c>
      <c r="F82" s="3">
        <v>4</v>
      </c>
      <c r="G82" t="s">
        <v>11</v>
      </c>
      <c r="H82" t="s">
        <v>1110</v>
      </c>
      <c r="I82" t="s">
        <v>30</v>
      </c>
      <c r="J82" t="s">
        <v>50</v>
      </c>
      <c r="K82" t="s">
        <v>10</v>
      </c>
      <c r="L82" t="s">
        <v>10</v>
      </c>
      <c r="M82" t="s">
        <v>10</v>
      </c>
      <c r="N82" t="s">
        <v>10</v>
      </c>
      <c r="O82" t="str">
        <f>INDEX(CoverageTable[Deductible Applies],MATCH(Table18[[#This Row],[Coverage]],CoverageTable[Coverage],0))</f>
        <v>Yes</v>
      </c>
      <c r="P82" t="str">
        <f>INDEX(CoverageTable[Coverage Limit Applies],MATCH(Table18[[#This Row],[Coverage]],CoverageTable[Coverage],0))</f>
        <v>No</v>
      </c>
      <c r="Q82" t="s">
        <v>80</v>
      </c>
      <c r="R82" t="s">
        <v>10</v>
      </c>
      <c r="S82" t="s">
        <v>10</v>
      </c>
      <c r="T82" t="s">
        <v>57</v>
      </c>
      <c r="U82" t="s">
        <v>10</v>
      </c>
      <c r="V82" t="s">
        <v>10</v>
      </c>
      <c r="W82" t="s">
        <v>57</v>
      </c>
    </row>
    <row r="83" spans="1:23" x14ac:dyDescent="0.3">
      <c r="A83" t="s">
        <v>174</v>
      </c>
      <c r="B83" s="7">
        <v>45992</v>
      </c>
      <c r="C83" t="s">
        <v>72</v>
      </c>
      <c r="D83" t="s">
        <v>1097</v>
      </c>
      <c r="E83" s="3">
        <v>2</v>
      </c>
      <c r="F83" s="3" t="s">
        <v>7</v>
      </c>
      <c r="G83" t="s">
        <v>10</v>
      </c>
      <c r="H83" t="s">
        <v>1106</v>
      </c>
      <c r="I83" t="s">
        <v>40</v>
      </c>
      <c r="J83" t="s">
        <v>51</v>
      </c>
      <c r="K83" t="s">
        <v>10</v>
      </c>
      <c r="L83" t="s">
        <v>10</v>
      </c>
      <c r="M83" t="s">
        <v>57</v>
      </c>
      <c r="N83" t="s">
        <v>57</v>
      </c>
      <c r="O83" t="str">
        <f>INDEX(CoverageTable[Deductible Applies],MATCH(Table18[[#This Row],[Coverage]],CoverageTable[Coverage],0))</f>
        <v>Yes</v>
      </c>
      <c r="P83" t="str">
        <f>INDEX(CoverageTable[Coverage Limit Applies],MATCH(Table18[[#This Row],[Coverage]],CoverageTable[Coverage],0))</f>
        <v>No</v>
      </c>
      <c r="Q83" t="s">
        <v>80</v>
      </c>
      <c r="R83" t="s">
        <v>10</v>
      </c>
      <c r="S83" t="s">
        <v>10</v>
      </c>
      <c r="T83" t="s">
        <v>57</v>
      </c>
      <c r="U83" t="s">
        <v>10</v>
      </c>
      <c r="V83" t="s">
        <v>10</v>
      </c>
      <c r="W83" t="s">
        <v>10</v>
      </c>
    </row>
    <row r="84" spans="1:23" x14ac:dyDescent="0.3">
      <c r="A84" t="s">
        <v>175</v>
      </c>
      <c r="B84" s="7">
        <v>45803</v>
      </c>
      <c r="C84" t="s">
        <v>71</v>
      </c>
      <c r="D84" t="s">
        <v>1097</v>
      </c>
      <c r="E84" s="3">
        <v>7</v>
      </c>
      <c r="F84" s="3">
        <v>0</v>
      </c>
      <c r="G84" t="s">
        <v>13</v>
      </c>
      <c r="H84" t="s">
        <v>1107</v>
      </c>
      <c r="I84" t="s">
        <v>31</v>
      </c>
      <c r="J84" t="s">
        <v>49</v>
      </c>
      <c r="K84" t="s">
        <v>57</v>
      </c>
      <c r="L84" t="s">
        <v>10</v>
      </c>
      <c r="M84" t="s">
        <v>57</v>
      </c>
      <c r="N84" t="s">
        <v>10</v>
      </c>
      <c r="O84" t="str">
        <f>INDEX(CoverageTable[Deductible Applies],MATCH(Table18[[#This Row],[Coverage]],CoverageTable[Coverage],0))</f>
        <v>Yes</v>
      </c>
      <c r="P84" t="str">
        <f>INDEX(CoverageTable[Coverage Limit Applies],MATCH(Table18[[#This Row],[Coverage]],CoverageTable[Coverage],0))</f>
        <v>No</v>
      </c>
      <c r="Q84" t="s">
        <v>78</v>
      </c>
      <c r="R84" t="s">
        <v>10</v>
      </c>
      <c r="S84" t="s">
        <v>10</v>
      </c>
      <c r="T84" t="s">
        <v>10</v>
      </c>
      <c r="U84" t="s">
        <v>10</v>
      </c>
      <c r="V84" t="s">
        <v>10</v>
      </c>
      <c r="W84" t="s">
        <v>10</v>
      </c>
    </row>
    <row r="85" spans="1:23" x14ac:dyDescent="0.3">
      <c r="A85" t="s">
        <v>176</v>
      </c>
      <c r="B85" s="7">
        <v>46129</v>
      </c>
      <c r="C85" t="s">
        <v>71</v>
      </c>
      <c r="D85" t="s">
        <v>1098</v>
      </c>
      <c r="E85" s="3" t="s">
        <v>1103</v>
      </c>
      <c r="F85" s="3">
        <v>1</v>
      </c>
      <c r="G85" t="s">
        <v>13</v>
      </c>
      <c r="H85" t="s">
        <v>1109</v>
      </c>
      <c r="I85" t="s">
        <v>36</v>
      </c>
      <c r="J85" t="s">
        <v>53</v>
      </c>
      <c r="K85" t="s">
        <v>10</v>
      </c>
      <c r="L85" t="s">
        <v>10</v>
      </c>
      <c r="M85" t="s">
        <v>10</v>
      </c>
      <c r="N85" t="s">
        <v>10</v>
      </c>
      <c r="O85" t="str">
        <f>INDEX(CoverageTable[Deductible Applies],MATCH(Table18[[#This Row],[Coverage]],CoverageTable[Coverage],0))</f>
        <v>Yes</v>
      </c>
      <c r="P85" t="str">
        <f>INDEX(CoverageTable[Coverage Limit Applies],MATCH(Table18[[#This Row],[Coverage]],CoverageTable[Coverage],0))</f>
        <v>No</v>
      </c>
      <c r="Q85" t="s">
        <v>80</v>
      </c>
      <c r="R85" t="s">
        <v>10</v>
      </c>
      <c r="S85" t="s">
        <v>10</v>
      </c>
      <c r="T85" t="s">
        <v>57</v>
      </c>
      <c r="U85" t="s">
        <v>57</v>
      </c>
      <c r="V85" t="s">
        <v>10</v>
      </c>
      <c r="W85" t="s">
        <v>57</v>
      </c>
    </row>
    <row r="86" spans="1:23" x14ac:dyDescent="0.3">
      <c r="A86" t="s">
        <v>177</v>
      </c>
      <c r="B86" s="7">
        <v>45916</v>
      </c>
      <c r="C86" t="s">
        <v>70</v>
      </c>
      <c r="D86" t="s">
        <v>1099</v>
      </c>
      <c r="E86" s="3">
        <v>1</v>
      </c>
      <c r="F86" s="3" t="s">
        <v>7</v>
      </c>
      <c r="G86" t="s">
        <v>12</v>
      </c>
      <c r="H86" t="s">
        <v>1109</v>
      </c>
      <c r="I86" t="s">
        <v>21</v>
      </c>
      <c r="J86" t="s">
        <v>50</v>
      </c>
      <c r="K86" t="s">
        <v>10</v>
      </c>
      <c r="L86" t="s">
        <v>57</v>
      </c>
      <c r="M86" t="s">
        <v>10</v>
      </c>
      <c r="N86" t="s">
        <v>10</v>
      </c>
      <c r="O86" t="str">
        <f>INDEX(CoverageTable[Deductible Applies],MATCH(Table18[[#This Row],[Coverage]],CoverageTable[Coverage],0))</f>
        <v>No</v>
      </c>
      <c r="P86" t="str">
        <f>INDEX(CoverageTable[Coverage Limit Applies],MATCH(Table18[[#This Row],[Coverage]],CoverageTable[Coverage],0))</f>
        <v>Yes</v>
      </c>
      <c r="Q86" t="s">
        <v>10</v>
      </c>
      <c r="R86" t="s">
        <v>78</v>
      </c>
      <c r="S86" t="s">
        <v>57</v>
      </c>
      <c r="T86" t="s">
        <v>10</v>
      </c>
      <c r="U86" t="s">
        <v>10</v>
      </c>
      <c r="V86" t="s">
        <v>10</v>
      </c>
      <c r="W86" t="s">
        <v>10</v>
      </c>
    </row>
    <row r="87" spans="1:23" x14ac:dyDescent="0.3">
      <c r="A87" t="s">
        <v>178</v>
      </c>
      <c r="B87" s="7">
        <v>45780</v>
      </c>
      <c r="C87" t="s">
        <v>71</v>
      </c>
      <c r="D87" t="s">
        <v>1097</v>
      </c>
      <c r="E87" s="3">
        <v>7</v>
      </c>
      <c r="F87" s="3">
        <v>1</v>
      </c>
      <c r="G87" t="s">
        <v>13</v>
      </c>
      <c r="H87" t="s">
        <v>1106</v>
      </c>
      <c r="I87" t="s">
        <v>31</v>
      </c>
      <c r="J87" t="s">
        <v>48</v>
      </c>
      <c r="K87" t="s">
        <v>10</v>
      </c>
      <c r="L87" t="s">
        <v>10</v>
      </c>
      <c r="M87" t="s">
        <v>10</v>
      </c>
      <c r="N87" t="s">
        <v>10</v>
      </c>
      <c r="O87" t="str">
        <f>INDEX(CoverageTable[Deductible Applies],MATCH(Table18[[#This Row],[Coverage]],CoverageTable[Coverage],0))</f>
        <v>Yes</v>
      </c>
      <c r="P87" t="str">
        <f>INDEX(CoverageTable[Coverage Limit Applies],MATCH(Table18[[#This Row],[Coverage]],CoverageTable[Coverage],0))</f>
        <v>No</v>
      </c>
      <c r="Q87" t="s">
        <v>78</v>
      </c>
      <c r="R87" t="s">
        <v>10</v>
      </c>
      <c r="S87" t="s">
        <v>57</v>
      </c>
      <c r="T87" t="s">
        <v>10</v>
      </c>
      <c r="U87" t="s">
        <v>57</v>
      </c>
      <c r="V87" t="s">
        <v>10</v>
      </c>
      <c r="W87" t="s">
        <v>57</v>
      </c>
    </row>
    <row r="88" spans="1:23" x14ac:dyDescent="0.3">
      <c r="A88" t="s">
        <v>179</v>
      </c>
      <c r="B88" s="7">
        <v>45854</v>
      </c>
      <c r="C88" t="s">
        <v>72</v>
      </c>
      <c r="D88" t="s">
        <v>1099</v>
      </c>
      <c r="E88" s="3">
        <v>2</v>
      </c>
      <c r="F88" s="3">
        <v>4</v>
      </c>
      <c r="G88" t="s">
        <v>12</v>
      </c>
      <c r="H88" t="s">
        <v>1110</v>
      </c>
      <c r="I88" t="s">
        <v>43</v>
      </c>
      <c r="J88" t="s">
        <v>49</v>
      </c>
      <c r="K88" t="s">
        <v>10</v>
      </c>
      <c r="L88" t="s">
        <v>10</v>
      </c>
      <c r="M88" t="s">
        <v>10</v>
      </c>
      <c r="N88" t="s">
        <v>57</v>
      </c>
      <c r="O88" t="str">
        <f>INDEX(CoverageTable[Deductible Applies],MATCH(Table18[[#This Row],[Coverage]],CoverageTable[Coverage],0))</f>
        <v>Yes</v>
      </c>
      <c r="P88" t="str">
        <f>INDEX(CoverageTable[Coverage Limit Applies],MATCH(Table18[[#This Row],[Coverage]],CoverageTable[Coverage],0))</f>
        <v>No</v>
      </c>
      <c r="Q88" t="s">
        <v>79</v>
      </c>
      <c r="R88" t="s">
        <v>10</v>
      </c>
      <c r="S88" t="s">
        <v>10</v>
      </c>
      <c r="T88" t="s">
        <v>10</v>
      </c>
      <c r="U88" t="s">
        <v>10</v>
      </c>
      <c r="V88" t="s">
        <v>10</v>
      </c>
      <c r="W88" t="s">
        <v>10</v>
      </c>
    </row>
    <row r="89" spans="1:23" x14ac:dyDescent="0.3">
      <c r="A89" t="s">
        <v>180</v>
      </c>
      <c r="B89" s="7">
        <v>45960</v>
      </c>
      <c r="C89" t="s">
        <v>71</v>
      </c>
      <c r="D89" t="s">
        <v>1099</v>
      </c>
      <c r="E89" s="3">
        <v>7</v>
      </c>
      <c r="F89" s="3" t="s">
        <v>7</v>
      </c>
      <c r="G89" t="s">
        <v>10</v>
      </c>
      <c r="H89" t="s">
        <v>1110</v>
      </c>
      <c r="I89" t="s">
        <v>39</v>
      </c>
      <c r="J89" t="s">
        <v>48</v>
      </c>
      <c r="K89" t="s">
        <v>10</v>
      </c>
      <c r="L89" t="s">
        <v>10</v>
      </c>
      <c r="M89" t="s">
        <v>10</v>
      </c>
      <c r="N89" t="s">
        <v>57</v>
      </c>
      <c r="O89" t="str">
        <f>INDEX(CoverageTable[Deductible Applies],MATCH(Table18[[#This Row],[Coverage]],CoverageTable[Coverage],0))</f>
        <v>Yes</v>
      </c>
      <c r="P89" t="str">
        <f>INDEX(CoverageTable[Coverage Limit Applies],MATCH(Table18[[#This Row],[Coverage]],CoverageTable[Coverage],0))</f>
        <v>No</v>
      </c>
      <c r="Q89" t="s">
        <v>78</v>
      </c>
      <c r="R89" t="s">
        <v>10</v>
      </c>
      <c r="S89" t="s">
        <v>10</v>
      </c>
      <c r="T89" t="s">
        <v>10</v>
      </c>
      <c r="U89" t="s">
        <v>57</v>
      </c>
      <c r="V89" t="s">
        <v>10</v>
      </c>
      <c r="W89" t="s">
        <v>10</v>
      </c>
    </row>
    <row r="90" spans="1:23" x14ac:dyDescent="0.3">
      <c r="A90" t="s">
        <v>181</v>
      </c>
      <c r="B90" s="7">
        <v>46035</v>
      </c>
      <c r="C90" t="s">
        <v>71</v>
      </c>
      <c r="D90" t="s">
        <v>1097</v>
      </c>
      <c r="E90" s="3">
        <v>1</v>
      </c>
      <c r="F90" s="3">
        <v>1</v>
      </c>
      <c r="G90" t="s">
        <v>10</v>
      </c>
      <c r="H90" t="s">
        <v>1110</v>
      </c>
      <c r="I90" t="s">
        <v>31</v>
      </c>
      <c r="J90" t="s">
        <v>51</v>
      </c>
      <c r="K90" t="s">
        <v>10</v>
      </c>
      <c r="L90" t="s">
        <v>10</v>
      </c>
      <c r="M90" t="s">
        <v>10</v>
      </c>
      <c r="N90" t="s">
        <v>57</v>
      </c>
      <c r="O90" t="str">
        <f>INDEX(CoverageTable[Deductible Applies],MATCH(Table18[[#This Row],[Coverage]],CoverageTable[Coverage],0))</f>
        <v>Yes</v>
      </c>
      <c r="P90" t="str">
        <f>INDEX(CoverageTable[Coverage Limit Applies],MATCH(Table18[[#This Row],[Coverage]],CoverageTable[Coverage],0))</f>
        <v>No</v>
      </c>
      <c r="Q90" t="s">
        <v>78</v>
      </c>
      <c r="R90" t="s">
        <v>10</v>
      </c>
      <c r="S90" t="s">
        <v>10</v>
      </c>
      <c r="T90" t="s">
        <v>57</v>
      </c>
      <c r="U90" t="s">
        <v>10</v>
      </c>
      <c r="V90" t="s">
        <v>10</v>
      </c>
      <c r="W90" t="s">
        <v>10</v>
      </c>
    </row>
    <row r="91" spans="1:23" x14ac:dyDescent="0.3">
      <c r="A91" t="s">
        <v>182</v>
      </c>
      <c r="B91" s="7">
        <v>45854</v>
      </c>
      <c r="C91" t="s">
        <v>70</v>
      </c>
      <c r="D91" t="s">
        <v>1099</v>
      </c>
      <c r="E91" s="3" t="s">
        <v>1103</v>
      </c>
      <c r="F91" s="3">
        <v>0</v>
      </c>
      <c r="G91" t="s">
        <v>11</v>
      </c>
      <c r="H91" t="s">
        <v>1108</v>
      </c>
      <c r="I91" t="s">
        <v>28</v>
      </c>
      <c r="J91" t="s">
        <v>48</v>
      </c>
      <c r="K91" t="s">
        <v>10</v>
      </c>
      <c r="L91" t="s">
        <v>10</v>
      </c>
      <c r="M91" t="s">
        <v>10</v>
      </c>
      <c r="N91" t="s">
        <v>10</v>
      </c>
      <c r="O91" t="str">
        <f>INDEX(CoverageTable[Deductible Applies],MATCH(Table18[[#This Row],[Coverage]],CoverageTable[Coverage],0))</f>
        <v>No</v>
      </c>
      <c r="P91" t="str">
        <f>INDEX(CoverageTable[Coverage Limit Applies],MATCH(Table18[[#This Row],[Coverage]],CoverageTable[Coverage],0))</f>
        <v>Yes</v>
      </c>
      <c r="Q91" t="s">
        <v>10</v>
      </c>
      <c r="R91" t="s">
        <v>79</v>
      </c>
      <c r="S91" t="s">
        <v>10</v>
      </c>
      <c r="T91" t="s">
        <v>10</v>
      </c>
      <c r="U91" t="s">
        <v>10</v>
      </c>
      <c r="V91" t="s">
        <v>57</v>
      </c>
      <c r="W91" t="s">
        <v>10</v>
      </c>
    </row>
    <row r="92" spans="1:23" x14ac:dyDescent="0.3">
      <c r="A92" t="s">
        <v>183</v>
      </c>
      <c r="B92" s="7">
        <v>45931</v>
      </c>
      <c r="C92" t="s">
        <v>71</v>
      </c>
      <c r="D92" t="s">
        <v>1097</v>
      </c>
      <c r="E92" s="3">
        <v>2</v>
      </c>
      <c r="F92" s="3" t="s">
        <v>7</v>
      </c>
      <c r="G92" t="s">
        <v>10</v>
      </c>
      <c r="H92" t="s">
        <v>1108</v>
      </c>
      <c r="I92" t="s">
        <v>44</v>
      </c>
      <c r="J92" t="s">
        <v>54</v>
      </c>
      <c r="K92" t="s">
        <v>10</v>
      </c>
      <c r="L92" t="s">
        <v>57</v>
      </c>
      <c r="M92" t="s">
        <v>10</v>
      </c>
      <c r="N92" t="s">
        <v>57</v>
      </c>
      <c r="O92" t="str">
        <f>INDEX(CoverageTable[Deductible Applies],MATCH(Table18[[#This Row],[Coverage]],CoverageTable[Coverage],0))</f>
        <v>Yes</v>
      </c>
      <c r="P92" t="str">
        <f>INDEX(CoverageTable[Coverage Limit Applies],MATCH(Table18[[#This Row],[Coverage]],CoverageTable[Coverage],0))</f>
        <v>No</v>
      </c>
      <c r="Q92" t="s">
        <v>78</v>
      </c>
      <c r="R92" t="s">
        <v>10</v>
      </c>
      <c r="S92" t="s">
        <v>10</v>
      </c>
      <c r="T92" t="s">
        <v>10</v>
      </c>
      <c r="U92" t="s">
        <v>10</v>
      </c>
      <c r="V92" t="s">
        <v>10</v>
      </c>
      <c r="W92" t="s">
        <v>10</v>
      </c>
    </row>
    <row r="93" spans="1:23" x14ac:dyDescent="0.3">
      <c r="A93" t="s">
        <v>184</v>
      </c>
      <c r="B93" s="7">
        <v>46020</v>
      </c>
      <c r="C93" t="s">
        <v>70</v>
      </c>
      <c r="D93" t="s">
        <v>1099</v>
      </c>
      <c r="E93" s="3">
        <v>7</v>
      </c>
      <c r="F93" s="3" t="s">
        <v>7</v>
      </c>
      <c r="G93" t="s">
        <v>10</v>
      </c>
      <c r="H93" t="s">
        <v>1107</v>
      </c>
      <c r="I93" t="s">
        <v>43</v>
      </c>
      <c r="J93" t="s">
        <v>48</v>
      </c>
      <c r="K93" t="s">
        <v>10</v>
      </c>
      <c r="L93" t="s">
        <v>10</v>
      </c>
      <c r="M93" t="s">
        <v>10</v>
      </c>
      <c r="N93" t="s">
        <v>10</v>
      </c>
      <c r="O93" t="str">
        <f>INDEX(CoverageTable[Deductible Applies],MATCH(Table18[[#This Row],[Coverage]],CoverageTable[Coverage],0))</f>
        <v>No</v>
      </c>
      <c r="P93" t="str">
        <f>INDEX(CoverageTable[Coverage Limit Applies],MATCH(Table18[[#This Row],[Coverage]],CoverageTable[Coverage],0))</f>
        <v>Yes</v>
      </c>
      <c r="Q93" t="s">
        <v>10</v>
      </c>
      <c r="R93" t="s">
        <v>78</v>
      </c>
      <c r="S93" t="s">
        <v>10</v>
      </c>
      <c r="T93" t="s">
        <v>10</v>
      </c>
      <c r="U93" t="s">
        <v>57</v>
      </c>
      <c r="V93" t="s">
        <v>10</v>
      </c>
      <c r="W93" t="s">
        <v>57</v>
      </c>
    </row>
    <row r="94" spans="1:23" x14ac:dyDescent="0.3">
      <c r="A94" t="s">
        <v>185</v>
      </c>
      <c r="B94" s="7">
        <v>45872</v>
      </c>
      <c r="C94" t="s">
        <v>73</v>
      </c>
      <c r="D94" t="s">
        <v>1100</v>
      </c>
      <c r="E94" s="3">
        <v>2</v>
      </c>
      <c r="F94" s="3">
        <v>0</v>
      </c>
      <c r="G94" t="s">
        <v>10</v>
      </c>
      <c r="H94" t="s">
        <v>1108</v>
      </c>
      <c r="I94" t="s">
        <v>34</v>
      </c>
      <c r="J94" t="s">
        <v>52</v>
      </c>
      <c r="K94" t="s">
        <v>10</v>
      </c>
      <c r="L94" t="s">
        <v>10</v>
      </c>
      <c r="M94" t="s">
        <v>10</v>
      </c>
      <c r="N94" t="s">
        <v>10</v>
      </c>
      <c r="O94" t="str">
        <f>INDEX(CoverageTable[Deductible Applies],MATCH(Table18[[#This Row],[Coverage]],CoverageTable[Coverage],0))</f>
        <v>No</v>
      </c>
      <c r="P94" t="str">
        <f>INDEX(CoverageTable[Coverage Limit Applies],MATCH(Table18[[#This Row],[Coverage]],CoverageTable[Coverage],0))</f>
        <v>Yes</v>
      </c>
      <c r="Q94" t="s">
        <v>10</v>
      </c>
      <c r="R94" t="s">
        <v>79</v>
      </c>
      <c r="S94" t="s">
        <v>10</v>
      </c>
      <c r="T94" t="s">
        <v>10</v>
      </c>
      <c r="U94" t="s">
        <v>10</v>
      </c>
      <c r="V94" t="s">
        <v>10</v>
      </c>
      <c r="W94" t="s">
        <v>10</v>
      </c>
    </row>
    <row r="95" spans="1:23" x14ac:dyDescent="0.3">
      <c r="A95" t="s">
        <v>186</v>
      </c>
      <c r="B95" s="7">
        <v>46069</v>
      </c>
      <c r="C95" t="s">
        <v>73</v>
      </c>
      <c r="D95" t="s">
        <v>1101</v>
      </c>
      <c r="E95" s="3" t="s">
        <v>1103</v>
      </c>
      <c r="F95" s="3">
        <v>1</v>
      </c>
      <c r="G95" t="s">
        <v>11</v>
      </c>
      <c r="H95" t="s">
        <v>1110</v>
      </c>
      <c r="I95" t="s">
        <v>34</v>
      </c>
      <c r="J95" t="s">
        <v>48</v>
      </c>
      <c r="K95" t="s">
        <v>10</v>
      </c>
      <c r="L95" t="s">
        <v>57</v>
      </c>
      <c r="M95" t="s">
        <v>10</v>
      </c>
      <c r="N95" t="s">
        <v>57</v>
      </c>
      <c r="O95" t="str">
        <f>INDEX(CoverageTable[Deductible Applies],MATCH(Table18[[#This Row],[Coverage]],CoverageTable[Coverage],0))</f>
        <v>No</v>
      </c>
      <c r="P95" t="str">
        <f>INDEX(CoverageTable[Coverage Limit Applies],MATCH(Table18[[#This Row],[Coverage]],CoverageTable[Coverage],0))</f>
        <v>Yes</v>
      </c>
      <c r="Q95" t="s">
        <v>10</v>
      </c>
      <c r="R95" t="s">
        <v>79</v>
      </c>
      <c r="S95" t="s">
        <v>10</v>
      </c>
      <c r="T95" t="s">
        <v>57</v>
      </c>
      <c r="U95" t="s">
        <v>10</v>
      </c>
      <c r="V95" t="s">
        <v>10</v>
      </c>
      <c r="W95" t="s">
        <v>10</v>
      </c>
    </row>
    <row r="96" spans="1:23" x14ac:dyDescent="0.3">
      <c r="A96" t="s">
        <v>187</v>
      </c>
      <c r="B96" s="7">
        <v>45823</v>
      </c>
      <c r="C96" t="s">
        <v>71</v>
      </c>
      <c r="D96" t="s">
        <v>1099</v>
      </c>
      <c r="E96" s="3">
        <v>2</v>
      </c>
      <c r="F96" s="3">
        <v>3</v>
      </c>
      <c r="G96" t="s">
        <v>10</v>
      </c>
      <c r="H96" t="s">
        <v>1110</v>
      </c>
      <c r="I96" t="s">
        <v>24</v>
      </c>
      <c r="J96" t="s">
        <v>54</v>
      </c>
      <c r="K96" t="s">
        <v>10</v>
      </c>
      <c r="L96" t="s">
        <v>10</v>
      </c>
      <c r="M96" t="s">
        <v>10</v>
      </c>
      <c r="N96" t="s">
        <v>10</v>
      </c>
      <c r="O96" t="str">
        <f>INDEX(CoverageTable[Deductible Applies],MATCH(Table18[[#This Row],[Coverage]],CoverageTable[Coverage],0))</f>
        <v>Yes</v>
      </c>
      <c r="P96" t="str">
        <f>INDEX(CoverageTable[Coverage Limit Applies],MATCH(Table18[[#This Row],[Coverage]],CoverageTable[Coverage],0))</f>
        <v>No</v>
      </c>
      <c r="Q96" t="s">
        <v>78</v>
      </c>
      <c r="R96" t="s">
        <v>10</v>
      </c>
      <c r="S96" t="s">
        <v>10</v>
      </c>
      <c r="T96" t="s">
        <v>10</v>
      </c>
      <c r="U96" t="s">
        <v>10</v>
      </c>
      <c r="V96" t="s">
        <v>10</v>
      </c>
      <c r="W96" t="s">
        <v>10</v>
      </c>
    </row>
    <row r="97" spans="1:23" x14ac:dyDescent="0.3">
      <c r="A97" t="s">
        <v>188</v>
      </c>
      <c r="B97" s="7">
        <v>45805</v>
      </c>
      <c r="C97" t="s">
        <v>74</v>
      </c>
      <c r="D97" t="s">
        <v>1102</v>
      </c>
      <c r="E97" s="3">
        <v>6</v>
      </c>
      <c r="F97" s="3">
        <v>0</v>
      </c>
      <c r="G97" t="s">
        <v>10</v>
      </c>
      <c r="H97" t="s">
        <v>1108</v>
      </c>
      <c r="I97" t="s">
        <v>27</v>
      </c>
      <c r="J97" t="s">
        <v>50</v>
      </c>
      <c r="K97" t="s">
        <v>10</v>
      </c>
      <c r="L97" t="s">
        <v>10</v>
      </c>
      <c r="M97" t="s">
        <v>10</v>
      </c>
      <c r="N97" t="s">
        <v>10</v>
      </c>
      <c r="O97" t="str">
        <f>INDEX(CoverageTable[Deductible Applies],MATCH(Table18[[#This Row],[Coverage]],CoverageTable[Coverage],0))</f>
        <v>No</v>
      </c>
      <c r="P97" t="str">
        <f>INDEX(CoverageTable[Coverage Limit Applies],MATCH(Table18[[#This Row],[Coverage]],CoverageTable[Coverage],0))</f>
        <v>Yes</v>
      </c>
      <c r="Q97" t="s">
        <v>10</v>
      </c>
      <c r="R97" t="s">
        <v>79</v>
      </c>
      <c r="S97" t="s">
        <v>10</v>
      </c>
      <c r="T97" t="s">
        <v>57</v>
      </c>
      <c r="U97" t="s">
        <v>57</v>
      </c>
      <c r="V97" t="s">
        <v>57</v>
      </c>
      <c r="W97" t="s">
        <v>10</v>
      </c>
    </row>
    <row r="98" spans="1:23" x14ac:dyDescent="0.3">
      <c r="A98" t="s">
        <v>189</v>
      </c>
      <c r="B98" s="7">
        <v>46049</v>
      </c>
      <c r="C98" t="s">
        <v>71</v>
      </c>
      <c r="D98" t="s">
        <v>1098</v>
      </c>
      <c r="E98" s="3">
        <v>1</v>
      </c>
      <c r="F98" s="3">
        <v>0</v>
      </c>
      <c r="G98" t="s">
        <v>10</v>
      </c>
      <c r="H98" t="s">
        <v>1108</v>
      </c>
      <c r="I98" t="s">
        <v>28</v>
      </c>
      <c r="J98" t="s">
        <v>51</v>
      </c>
      <c r="K98" t="s">
        <v>10</v>
      </c>
      <c r="L98" t="s">
        <v>10</v>
      </c>
      <c r="M98" t="s">
        <v>10</v>
      </c>
      <c r="N98" t="s">
        <v>57</v>
      </c>
      <c r="O98" t="str">
        <f>INDEX(CoverageTable[Deductible Applies],MATCH(Table18[[#This Row],[Coverage]],CoverageTable[Coverage],0))</f>
        <v>Yes</v>
      </c>
      <c r="P98" t="str">
        <f>INDEX(CoverageTable[Coverage Limit Applies],MATCH(Table18[[#This Row],[Coverage]],CoverageTable[Coverage],0))</f>
        <v>No</v>
      </c>
      <c r="Q98" t="s">
        <v>79</v>
      </c>
      <c r="R98" t="s">
        <v>10</v>
      </c>
      <c r="S98" t="s">
        <v>10</v>
      </c>
      <c r="T98" t="s">
        <v>10</v>
      </c>
      <c r="U98" t="s">
        <v>57</v>
      </c>
      <c r="V98" t="s">
        <v>10</v>
      </c>
      <c r="W98" t="s">
        <v>10</v>
      </c>
    </row>
    <row r="99" spans="1:23" x14ac:dyDescent="0.3">
      <c r="A99" t="s">
        <v>190</v>
      </c>
      <c r="B99" s="7">
        <v>46108</v>
      </c>
      <c r="C99" t="s">
        <v>74</v>
      </c>
      <c r="D99" t="s">
        <v>1100</v>
      </c>
      <c r="E99" s="3" t="s">
        <v>1103</v>
      </c>
      <c r="F99" s="3">
        <v>4</v>
      </c>
      <c r="G99" t="s">
        <v>11</v>
      </c>
      <c r="H99" t="s">
        <v>1108</v>
      </c>
      <c r="I99" t="s">
        <v>33</v>
      </c>
      <c r="J99" t="s">
        <v>50</v>
      </c>
      <c r="K99" t="s">
        <v>10</v>
      </c>
      <c r="L99" t="s">
        <v>10</v>
      </c>
      <c r="M99" t="s">
        <v>10</v>
      </c>
      <c r="N99" t="s">
        <v>57</v>
      </c>
      <c r="O99" t="str">
        <f>INDEX(CoverageTable[Deductible Applies],MATCH(Table18[[#This Row],[Coverage]],CoverageTable[Coverage],0))</f>
        <v>No</v>
      </c>
      <c r="P99" t="str">
        <f>INDEX(CoverageTable[Coverage Limit Applies],MATCH(Table18[[#This Row],[Coverage]],CoverageTable[Coverage],0))</f>
        <v>Yes</v>
      </c>
      <c r="Q99" t="s">
        <v>10</v>
      </c>
      <c r="R99" t="s">
        <v>79</v>
      </c>
      <c r="S99" t="s">
        <v>10</v>
      </c>
      <c r="T99" t="s">
        <v>57</v>
      </c>
      <c r="U99" t="s">
        <v>10</v>
      </c>
      <c r="V99" t="s">
        <v>10</v>
      </c>
      <c r="W99" t="s">
        <v>10</v>
      </c>
    </row>
    <row r="100" spans="1:23" x14ac:dyDescent="0.3">
      <c r="A100" t="s">
        <v>191</v>
      </c>
      <c r="B100" s="7">
        <v>46005</v>
      </c>
      <c r="C100" t="s">
        <v>70</v>
      </c>
      <c r="D100" t="s">
        <v>1097</v>
      </c>
      <c r="E100" s="3">
        <v>5</v>
      </c>
      <c r="F100" s="3">
        <v>0</v>
      </c>
      <c r="G100" t="s">
        <v>11</v>
      </c>
      <c r="H100" t="s">
        <v>1108</v>
      </c>
      <c r="I100" t="s">
        <v>27</v>
      </c>
      <c r="J100" t="s">
        <v>49</v>
      </c>
      <c r="K100" t="s">
        <v>10</v>
      </c>
      <c r="L100" t="s">
        <v>10</v>
      </c>
      <c r="M100" t="s">
        <v>10</v>
      </c>
      <c r="N100" t="s">
        <v>10</v>
      </c>
      <c r="O100" t="str">
        <f>INDEX(CoverageTable[Deductible Applies],MATCH(Table18[[#This Row],[Coverage]],CoverageTable[Coverage],0))</f>
        <v>No</v>
      </c>
      <c r="P100" t="str">
        <f>INDEX(CoverageTable[Coverage Limit Applies],MATCH(Table18[[#This Row],[Coverage]],CoverageTable[Coverage],0))</f>
        <v>Yes</v>
      </c>
      <c r="Q100" t="s">
        <v>10</v>
      </c>
      <c r="R100" t="s">
        <v>79</v>
      </c>
      <c r="S100" t="s">
        <v>57</v>
      </c>
      <c r="T100" t="s">
        <v>57</v>
      </c>
      <c r="U100" t="s">
        <v>10</v>
      </c>
      <c r="V100" t="s">
        <v>10</v>
      </c>
      <c r="W100" t="s">
        <v>10</v>
      </c>
    </row>
    <row r="101" spans="1:23" x14ac:dyDescent="0.3">
      <c r="A101" t="s">
        <v>192</v>
      </c>
      <c r="B101" s="7">
        <v>45826</v>
      </c>
      <c r="C101" t="s">
        <v>70</v>
      </c>
      <c r="D101" t="s">
        <v>1097</v>
      </c>
      <c r="E101" s="3">
        <v>3</v>
      </c>
      <c r="F101" s="3">
        <v>1</v>
      </c>
      <c r="G101" t="s">
        <v>10</v>
      </c>
      <c r="H101" t="s">
        <v>1107</v>
      </c>
      <c r="I101" t="s">
        <v>35</v>
      </c>
      <c r="J101" t="s">
        <v>52</v>
      </c>
      <c r="K101" t="s">
        <v>10</v>
      </c>
      <c r="L101" t="s">
        <v>10</v>
      </c>
      <c r="M101" t="s">
        <v>10</v>
      </c>
      <c r="N101" t="s">
        <v>57</v>
      </c>
      <c r="O101" t="str">
        <f>INDEX(CoverageTable[Deductible Applies],MATCH(Table18[[#This Row],[Coverage]],CoverageTable[Coverage],0))</f>
        <v>No</v>
      </c>
      <c r="P101" t="str">
        <f>INDEX(CoverageTable[Coverage Limit Applies],MATCH(Table18[[#This Row],[Coverage]],CoverageTable[Coverage],0))</f>
        <v>Yes</v>
      </c>
      <c r="Q101" t="s">
        <v>10</v>
      </c>
      <c r="R101" t="s">
        <v>79</v>
      </c>
      <c r="S101" t="s">
        <v>10</v>
      </c>
      <c r="T101" t="s">
        <v>57</v>
      </c>
      <c r="U101" t="s">
        <v>10</v>
      </c>
      <c r="V101" t="s">
        <v>10</v>
      </c>
      <c r="W101" t="s">
        <v>10</v>
      </c>
    </row>
    <row r="102" spans="1:23" x14ac:dyDescent="0.3">
      <c r="A102" t="s">
        <v>193</v>
      </c>
      <c r="B102" s="7">
        <v>45879</v>
      </c>
      <c r="C102" t="s">
        <v>70</v>
      </c>
      <c r="D102" t="s">
        <v>1099</v>
      </c>
      <c r="E102" s="3" t="s">
        <v>1103</v>
      </c>
      <c r="F102" s="3" t="s">
        <v>7</v>
      </c>
      <c r="G102" t="s">
        <v>10</v>
      </c>
      <c r="H102" t="s">
        <v>1107</v>
      </c>
      <c r="I102" t="s">
        <v>40</v>
      </c>
      <c r="J102" t="s">
        <v>49</v>
      </c>
      <c r="K102" t="s">
        <v>10</v>
      </c>
      <c r="L102" t="s">
        <v>57</v>
      </c>
      <c r="M102" t="s">
        <v>10</v>
      </c>
      <c r="N102" t="s">
        <v>57</v>
      </c>
      <c r="O102" t="str">
        <f>INDEX(CoverageTable[Deductible Applies],MATCH(Table18[[#This Row],[Coverage]],CoverageTable[Coverage],0))</f>
        <v>No</v>
      </c>
      <c r="P102" t="str">
        <f>INDEX(CoverageTable[Coverage Limit Applies],MATCH(Table18[[#This Row],[Coverage]],CoverageTable[Coverage],0))</f>
        <v>Yes</v>
      </c>
      <c r="Q102" t="s">
        <v>10</v>
      </c>
      <c r="R102" t="s">
        <v>78</v>
      </c>
      <c r="S102" t="s">
        <v>10</v>
      </c>
      <c r="T102" t="s">
        <v>10</v>
      </c>
      <c r="U102" t="s">
        <v>57</v>
      </c>
      <c r="V102" t="s">
        <v>10</v>
      </c>
      <c r="W102" t="s">
        <v>10</v>
      </c>
    </row>
    <row r="103" spans="1:23" x14ac:dyDescent="0.3">
      <c r="A103" t="s">
        <v>194</v>
      </c>
      <c r="B103" s="7">
        <v>46071</v>
      </c>
      <c r="C103" t="s">
        <v>72</v>
      </c>
      <c r="D103" t="s">
        <v>1100</v>
      </c>
      <c r="E103" s="3" t="s">
        <v>1103</v>
      </c>
      <c r="F103" s="3">
        <v>2</v>
      </c>
      <c r="G103" t="s">
        <v>13</v>
      </c>
      <c r="H103" t="s">
        <v>1107</v>
      </c>
      <c r="I103" t="s">
        <v>40</v>
      </c>
      <c r="J103" t="s">
        <v>53</v>
      </c>
      <c r="K103" t="s">
        <v>10</v>
      </c>
      <c r="L103" t="s">
        <v>10</v>
      </c>
      <c r="M103" t="s">
        <v>10</v>
      </c>
      <c r="N103" t="s">
        <v>10</v>
      </c>
      <c r="O103" t="str">
        <f>INDEX(CoverageTable[Deductible Applies],MATCH(Table18[[#This Row],[Coverage]],CoverageTable[Coverage],0))</f>
        <v>Yes</v>
      </c>
      <c r="P103" t="str">
        <f>INDEX(CoverageTable[Coverage Limit Applies],MATCH(Table18[[#This Row],[Coverage]],CoverageTable[Coverage],0))</f>
        <v>No</v>
      </c>
      <c r="Q103" t="s">
        <v>80</v>
      </c>
      <c r="R103" t="s">
        <v>10</v>
      </c>
      <c r="S103" t="s">
        <v>10</v>
      </c>
      <c r="T103" t="s">
        <v>10</v>
      </c>
      <c r="U103" t="s">
        <v>57</v>
      </c>
      <c r="V103" t="s">
        <v>10</v>
      </c>
      <c r="W103" t="s">
        <v>10</v>
      </c>
    </row>
    <row r="104" spans="1:23" x14ac:dyDescent="0.3">
      <c r="A104" t="s">
        <v>195</v>
      </c>
      <c r="B104" s="7">
        <v>45789</v>
      </c>
      <c r="C104" t="s">
        <v>71</v>
      </c>
      <c r="D104" t="s">
        <v>1097</v>
      </c>
      <c r="E104" s="3">
        <v>3</v>
      </c>
      <c r="F104" s="3">
        <v>4</v>
      </c>
      <c r="G104" t="s">
        <v>12</v>
      </c>
      <c r="H104" t="s">
        <v>1106</v>
      </c>
      <c r="I104" t="s">
        <v>33</v>
      </c>
      <c r="J104" t="s">
        <v>49</v>
      </c>
      <c r="K104" t="s">
        <v>10</v>
      </c>
      <c r="L104" t="s">
        <v>10</v>
      </c>
      <c r="M104" t="s">
        <v>57</v>
      </c>
      <c r="N104" t="s">
        <v>10</v>
      </c>
      <c r="O104" t="str">
        <f>INDEX(CoverageTable[Deductible Applies],MATCH(Table18[[#This Row],[Coverage]],CoverageTable[Coverage],0))</f>
        <v>Yes</v>
      </c>
      <c r="P104" t="str">
        <f>INDEX(CoverageTable[Coverage Limit Applies],MATCH(Table18[[#This Row],[Coverage]],CoverageTable[Coverage],0))</f>
        <v>No</v>
      </c>
      <c r="Q104" t="s">
        <v>79</v>
      </c>
      <c r="R104" t="s">
        <v>10</v>
      </c>
      <c r="S104" t="s">
        <v>10</v>
      </c>
      <c r="T104" t="s">
        <v>57</v>
      </c>
      <c r="U104" t="s">
        <v>57</v>
      </c>
      <c r="V104" t="s">
        <v>10</v>
      </c>
      <c r="W104" t="s">
        <v>10</v>
      </c>
    </row>
    <row r="105" spans="1:23" x14ac:dyDescent="0.3">
      <c r="A105" t="s">
        <v>196</v>
      </c>
      <c r="B105" s="7">
        <v>46055</v>
      </c>
      <c r="C105" t="s">
        <v>70</v>
      </c>
      <c r="D105" t="s">
        <v>1098</v>
      </c>
      <c r="E105" s="3" t="s">
        <v>1103</v>
      </c>
      <c r="F105" s="3">
        <v>0</v>
      </c>
      <c r="G105" t="s">
        <v>10</v>
      </c>
      <c r="H105" t="s">
        <v>1106</v>
      </c>
      <c r="I105" t="s">
        <v>38</v>
      </c>
      <c r="J105" t="s">
        <v>48</v>
      </c>
      <c r="K105" t="s">
        <v>57</v>
      </c>
      <c r="L105" t="s">
        <v>10</v>
      </c>
      <c r="M105" t="s">
        <v>10</v>
      </c>
      <c r="N105" t="s">
        <v>10</v>
      </c>
      <c r="O105" t="str">
        <f>INDEX(CoverageTable[Deductible Applies],MATCH(Table18[[#This Row],[Coverage]],CoverageTable[Coverage],0))</f>
        <v>No</v>
      </c>
      <c r="P105" t="str">
        <f>INDEX(CoverageTable[Coverage Limit Applies],MATCH(Table18[[#This Row],[Coverage]],CoverageTable[Coverage],0))</f>
        <v>Yes</v>
      </c>
      <c r="Q105" t="s">
        <v>10</v>
      </c>
      <c r="R105" t="s">
        <v>80</v>
      </c>
      <c r="S105" t="s">
        <v>57</v>
      </c>
      <c r="T105" t="s">
        <v>57</v>
      </c>
      <c r="U105" t="s">
        <v>57</v>
      </c>
      <c r="V105" t="s">
        <v>10</v>
      </c>
      <c r="W105" t="s">
        <v>10</v>
      </c>
    </row>
    <row r="106" spans="1:23" x14ac:dyDescent="0.3">
      <c r="A106" t="s">
        <v>197</v>
      </c>
      <c r="B106" s="7">
        <v>45964</v>
      </c>
      <c r="C106" t="s">
        <v>70</v>
      </c>
      <c r="D106" t="s">
        <v>1102</v>
      </c>
      <c r="E106" s="3">
        <v>3</v>
      </c>
      <c r="F106" s="3" t="s">
        <v>7</v>
      </c>
      <c r="G106" t="s">
        <v>10</v>
      </c>
      <c r="H106" t="s">
        <v>1106</v>
      </c>
      <c r="I106" t="s">
        <v>40</v>
      </c>
      <c r="J106" t="s">
        <v>53</v>
      </c>
      <c r="K106" t="s">
        <v>10</v>
      </c>
      <c r="L106" t="s">
        <v>10</v>
      </c>
      <c r="M106" t="s">
        <v>10</v>
      </c>
      <c r="N106" t="s">
        <v>10</v>
      </c>
      <c r="O106" t="str">
        <f>INDEX(CoverageTable[Deductible Applies],MATCH(Table18[[#This Row],[Coverage]],CoverageTable[Coverage],0))</f>
        <v>No</v>
      </c>
      <c r="P106" t="str">
        <f>INDEX(CoverageTable[Coverage Limit Applies],MATCH(Table18[[#This Row],[Coverage]],CoverageTable[Coverage],0))</f>
        <v>Yes</v>
      </c>
      <c r="Q106" t="s">
        <v>10</v>
      </c>
      <c r="R106" t="s">
        <v>80</v>
      </c>
      <c r="S106" t="s">
        <v>10</v>
      </c>
      <c r="T106" t="s">
        <v>57</v>
      </c>
      <c r="U106" t="s">
        <v>10</v>
      </c>
      <c r="V106" t="s">
        <v>10</v>
      </c>
      <c r="W106" t="s">
        <v>10</v>
      </c>
    </row>
    <row r="107" spans="1:23" x14ac:dyDescent="0.3">
      <c r="A107" t="s">
        <v>198</v>
      </c>
      <c r="B107" s="7">
        <v>46092</v>
      </c>
      <c r="C107" t="s">
        <v>71</v>
      </c>
      <c r="D107" t="s">
        <v>1099</v>
      </c>
      <c r="E107" s="3">
        <v>7</v>
      </c>
      <c r="F107" s="3">
        <v>1</v>
      </c>
      <c r="G107" t="s">
        <v>11</v>
      </c>
      <c r="H107" t="s">
        <v>1110</v>
      </c>
      <c r="I107" t="s">
        <v>33</v>
      </c>
      <c r="J107" t="s">
        <v>54</v>
      </c>
      <c r="K107" t="s">
        <v>10</v>
      </c>
      <c r="L107" t="s">
        <v>57</v>
      </c>
      <c r="M107" t="s">
        <v>10</v>
      </c>
      <c r="N107" t="s">
        <v>10</v>
      </c>
      <c r="O107" t="str">
        <f>INDEX(CoverageTable[Deductible Applies],MATCH(Table18[[#This Row],[Coverage]],CoverageTable[Coverage],0))</f>
        <v>Yes</v>
      </c>
      <c r="P107" t="str">
        <f>INDEX(CoverageTable[Coverage Limit Applies],MATCH(Table18[[#This Row],[Coverage]],CoverageTable[Coverage],0))</f>
        <v>No</v>
      </c>
      <c r="Q107" t="s">
        <v>80</v>
      </c>
      <c r="R107" t="s">
        <v>10</v>
      </c>
      <c r="S107" t="s">
        <v>10</v>
      </c>
      <c r="T107" t="s">
        <v>10</v>
      </c>
      <c r="U107" t="s">
        <v>10</v>
      </c>
      <c r="V107" t="s">
        <v>57</v>
      </c>
      <c r="W107" t="s">
        <v>10</v>
      </c>
    </row>
    <row r="108" spans="1:23" x14ac:dyDescent="0.3">
      <c r="A108" t="s">
        <v>199</v>
      </c>
      <c r="B108" s="7">
        <v>45792</v>
      </c>
      <c r="C108" t="s">
        <v>70</v>
      </c>
      <c r="D108" t="s">
        <v>1102</v>
      </c>
      <c r="E108" s="3">
        <v>4</v>
      </c>
      <c r="F108" s="3">
        <v>1</v>
      </c>
      <c r="G108" t="s">
        <v>11</v>
      </c>
      <c r="H108" t="s">
        <v>1109</v>
      </c>
      <c r="I108" t="s">
        <v>27</v>
      </c>
      <c r="J108" t="s">
        <v>50</v>
      </c>
      <c r="K108" t="s">
        <v>10</v>
      </c>
      <c r="L108" t="s">
        <v>10</v>
      </c>
      <c r="M108" t="s">
        <v>10</v>
      </c>
      <c r="N108" t="s">
        <v>57</v>
      </c>
      <c r="O108" t="str">
        <f>INDEX(CoverageTable[Deductible Applies],MATCH(Table18[[#This Row],[Coverage]],CoverageTable[Coverage],0))</f>
        <v>No</v>
      </c>
      <c r="P108" t="str">
        <f>INDEX(CoverageTable[Coverage Limit Applies],MATCH(Table18[[#This Row],[Coverage]],CoverageTable[Coverage],0))</f>
        <v>Yes</v>
      </c>
      <c r="Q108" t="s">
        <v>10</v>
      </c>
      <c r="R108" t="s">
        <v>79</v>
      </c>
      <c r="S108" t="s">
        <v>57</v>
      </c>
      <c r="T108" t="s">
        <v>57</v>
      </c>
      <c r="U108" t="s">
        <v>57</v>
      </c>
      <c r="V108" t="s">
        <v>57</v>
      </c>
      <c r="W108" t="s">
        <v>10</v>
      </c>
    </row>
    <row r="109" spans="1:23" x14ac:dyDescent="0.3">
      <c r="A109" t="s">
        <v>200</v>
      </c>
      <c r="B109" s="7">
        <v>46143</v>
      </c>
      <c r="C109" t="s">
        <v>72</v>
      </c>
      <c r="D109" t="s">
        <v>1102</v>
      </c>
      <c r="E109" s="3">
        <v>2</v>
      </c>
      <c r="F109" s="3">
        <v>1</v>
      </c>
      <c r="G109" t="s">
        <v>11</v>
      </c>
      <c r="H109" t="s">
        <v>1106</v>
      </c>
      <c r="I109" t="s">
        <v>23</v>
      </c>
      <c r="J109" t="s">
        <v>52</v>
      </c>
      <c r="K109" t="s">
        <v>10</v>
      </c>
      <c r="L109" t="s">
        <v>57</v>
      </c>
      <c r="M109" t="s">
        <v>10</v>
      </c>
      <c r="N109" t="s">
        <v>10</v>
      </c>
      <c r="O109" t="str">
        <f>INDEX(CoverageTable[Deductible Applies],MATCH(Table18[[#This Row],[Coverage]],CoverageTable[Coverage],0))</f>
        <v>Yes</v>
      </c>
      <c r="P109" t="str">
        <f>INDEX(CoverageTable[Coverage Limit Applies],MATCH(Table18[[#This Row],[Coverage]],CoverageTable[Coverage],0))</f>
        <v>No</v>
      </c>
      <c r="Q109" t="s">
        <v>79</v>
      </c>
      <c r="R109" t="s">
        <v>10</v>
      </c>
      <c r="S109" t="s">
        <v>10</v>
      </c>
      <c r="T109" t="s">
        <v>10</v>
      </c>
      <c r="U109" t="s">
        <v>10</v>
      </c>
      <c r="V109" t="s">
        <v>10</v>
      </c>
      <c r="W109" t="s">
        <v>10</v>
      </c>
    </row>
    <row r="110" spans="1:23" x14ac:dyDescent="0.3">
      <c r="A110" t="s">
        <v>201</v>
      </c>
      <c r="B110" s="7">
        <v>45882</v>
      </c>
      <c r="C110" t="s">
        <v>73</v>
      </c>
      <c r="D110" t="s">
        <v>1101</v>
      </c>
      <c r="E110" s="3">
        <v>4</v>
      </c>
      <c r="F110" s="3">
        <v>1</v>
      </c>
      <c r="G110" t="s">
        <v>11</v>
      </c>
      <c r="H110" t="s">
        <v>1108</v>
      </c>
      <c r="I110" t="s">
        <v>29</v>
      </c>
      <c r="J110" t="s">
        <v>50</v>
      </c>
      <c r="K110" t="s">
        <v>10</v>
      </c>
      <c r="L110" t="s">
        <v>57</v>
      </c>
      <c r="M110" t="s">
        <v>10</v>
      </c>
      <c r="N110" t="s">
        <v>57</v>
      </c>
      <c r="O110" t="str">
        <f>INDEX(CoverageTable[Deductible Applies],MATCH(Table18[[#This Row],[Coverage]],CoverageTable[Coverage],0))</f>
        <v>No</v>
      </c>
      <c r="P110" t="str">
        <f>INDEX(CoverageTable[Coverage Limit Applies],MATCH(Table18[[#This Row],[Coverage]],CoverageTable[Coverage],0))</f>
        <v>Yes</v>
      </c>
      <c r="Q110" t="s">
        <v>10</v>
      </c>
      <c r="R110" t="s">
        <v>78</v>
      </c>
      <c r="S110" t="s">
        <v>10</v>
      </c>
      <c r="T110" t="s">
        <v>57</v>
      </c>
      <c r="U110" t="s">
        <v>57</v>
      </c>
      <c r="V110" t="s">
        <v>10</v>
      </c>
      <c r="W110" t="s">
        <v>57</v>
      </c>
    </row>
    <row r="111" spans="1:23" x14ac:dyDescent="0.3">
      <c r="A111" t="s">
        <v>202</v>
      </c>
      <c r="B111" s="7">
        <v>45955</v>
      </c>
      <c r="C111" t="s">
        <v>70</v>
      </c>
      <c r="D111" t="s">
        <v>1101</v>
      </c>
      <c r="E111" s="3">
        <v>5</v>
      </c>
      <c r="F111" s="3">
        <v>1</v>
      </c>
      <c r="G111" t="s">
        <v>10</v>
      </c>
      <c r="H111" t="s">
        <v>1110</v>
      </c>
      <c r="I111" t="s">
        <v>28</v>
      </c>
      <c r="J111" t="s">
        <v>50</v>
      </c>
      <c r="K111" t="s">
        <v>10</v>
      </c>
      <c r="L111" t="s">
        <v>10</v>
      </c>
      <c r="M111" t="s">
        <v>10</v>
      </c>
      <c r="N111" t="s">
        <v>57</v>
      </c>
      <c r="O111" t="str">
        <f>INDEX(CoverageTable[Deductible Applies],MATCH(Table18[[#This Row],[Coverage]],CoverageTable[Coverage],0))</f>
        <v>No</v>
      </c>
      <c r="P111" t="str">
        <f>INDEX(CoverageTable[Coverage Limit Applies],MATCH(Table18[[#This Row],[Coverage]],CoverageTable[Coverage],0))</f>
        <v>Yes</v>
      </c>
      <c r="Q111" t="s">
        <v>10</v>
      </c>
      <c r="R111" t="s">
        <v>78</v>
      </c>
      <c r="S111" t="s">
        <v>10</v>
      </c>
      <c r="T111" t="s">
        <v>10</v>
      </c>
      <c r="U111" t="s">
        <v>10</v>
      </c>
      <c r="V111" t="s">
        <v>10</v>
      </c>
      <c r="W111" t="s">
        <v>10</v>
      </c>
    </row>
    <row r="112" spans="1:23" x14ac:dyDescent="0.3">
      <c r="A112" t="s">
        <v>203</v>
      </c>
      <c r="B112" s="7">
        <v>46078</v>
      </c>
      <c r="C112" t="s">
        <v>70</v>
      </c>
      <c r="D112" t="s">
        <v>1099</v>
      </c>
      <c r="E112" s="3">
        <v>1</v>
      </c>
      <c r="F112" s="3">
        <v>0</v>
      </c>
      <c r="G112" t="s">
        <v>10</v>
      </c>
      <c r="H112" t="s">
        <v>1109</v>
      </c>
      <c r="I112" t="s">
        <v>32</v>
      </c>
      <c r="J112" t="s">
        <v>52</v>
      </c>
      <c r="K112" t="s">
        <v>10</v>
      </c>
      <c r="L112" t="s">
        <v>10</v>
      </c>
      <c r="M112" t="s">
        <v>10</v>
      </c>
      <c r="N112" t="s">
        <v>57</v>
      </c>
      <c r="O112" t="str">
        <f>INDEX(CoverageTable[Deductible Applies],MATCH(Table18[[#This Row],[Coverage]],CoverageTable[Coverage],0))</f>
        <v>No</v>
      </c>
      <c r="P112" t="str">
        <f>INDEX(CoverageTable[Coverage Limit Applies],MATCH(Table18[[#This Row],[Coverage]],CoverageTable[Coverage],0))</f>
        <v>Yes</v>
      </c>
      <c r="Q112" t="s">
        <v>10</v>
      </c>
      <c r="R112" t="s">
        <v>80</v>
      </c>
      <c r="S112" t="s">
        <v>10</v>
      </c>
      <c r="T112" t="s">
        <v>10</v>
      </c>
      <c r="U112" t="s">
        <v>57</v>
      </c>
      <c r="V112" t="s">
        <v>10</v>
      </c>
      <c r="W112" t="s">
        <v>57</v>
      </c>
    </row>
    <row r="113" spans="1:23" x14ac:dyDescent="0.3">
      <c r="A113" t="s">
        <v>204</v>
      </c>
      <c r="B113" s="7">
        <v>45837</v>
      </c>
      <c r="C113" t="s">
        <v>71</v>
      </c>
      <c r="D113" t="s">
        <v>1098</v>
      </c>
      <c r="E113" s="3">
        <v>1</v>
      </c>
      <c r="F113" s="3">
        <v>3</v>
      </c>
      <c r="G113" t="s">
        <v>10</v>
      </c>
      <c r="H113" t="s">
        <v>1108</v>
      </c>
      <c r="I113" t="s">
        <v>28</v>
      </c>
      <c r="J113" t="s">
        <v>53</v>
      </c>
      <c r="K113" t="s">
        <v>10</v>
      </c>
      <c r="L113" t="s">
        <v>10</v>
      </c>
      <c r="M113" t="s">
        <v>10</v>
      </c>
      <c r="N113" t="s">
        <v>10</v>
      </c>
      <c r="O113" t="str">
        <f>INDEX(CoverageTable[Deductible Applies],MATCH(Table18[[#This Row],[Coverage]],CoverageTable[Coverage],0))</f>
        <v>Yes</v>
      </c>
      <c r="P113" t="str">
        <f>INDEX(CoverageTable[Coverage Limit Applies],MATCH(Table18[[#This Row],[Coverage]],CoverageTable[Coverage],0))</f>
        <v>No</v>
      </c>
      <c r="Q113" t="s">
        <v>79</v>
      </c>
      <c r="R113" t="s">
        <v>10</v>
      </c>
      <c r="S113" t="s">
        <v>10</v>
      </c>
      <c r="T113" t="s">
        <v>10</v>
      </c>
      <c r="U113" t="s">
        <v>57</v>
      </c>
      <c r="V113" t="s">
        <v>10</v>
      </c>
      <c r="W113" t="s">
        <v>10</v>
      </c>
    </row>
    <row r="114" spans="1:23" x14ac:dyDescent="0.3">
      <c r="A114" t="s">
        <v>205</v>
      </c>
      <c r="B114" s="7">
        <v>45792</v>
      </c>
      <c r="C114" t="s">
        <v>72</v>
      </c>
      <c r="D114" t="s">
        <v>1098</v>
      </c>
      <c r="E114" s="3">
        <v>2</v>
      </c>
      <c r="F114" s="3" t="s">
        <v>7</v>
      </c>
      <c r="G114" t="s">
        <v>10</v>
      </c>
      <c r="H114" t="s">
        <v>1107</v>
      </c>
      <c r="I114" t="s">
        <v>30</v>
      </c>
      <c r="J114" t="s">
        <v>48</v>
      </c>
      <c r="K114" t="s">
        <v>10</v>
      </c>
      <c r="L114" t="s">
        <v>10</v>
      </c>
      <c r="M114" t="s">
        <v>10</v>
      </c>
      <c r="N114" t="s">
        <v>57</v>
      </c>
      <c r="O114" t="str">
        <f>INDEX(CoverageTable[Deductible Applies],MATCH(Table18[[#This Row],[Coverage]],CoverageTable[Coverage],0))</f>
        <v>Yes</v>
      </c>
      <c r="P114" t="str">
        <f>INDEX(CoverageTable[Coverage Limit Applies],MATCH(Table18[[#This Row],[Coverage]],CoverageTable[Coverage],0))</f>
        <v>No</v>
      </c>
      <c r="Q114" t="s">
        <v>79</v>
      </c>
      <c r="R114" t="s">
        <v>10</v>
      </c>
      <c r="S114" t="s">
        <v>10</v>
      </c>
      <c r="T114" t="s">
        <v>57</v>
      </c>
      <c r="U114" t="s">
        <v>10</v>
      </c>
      <c r="V114" t="s">
        <v>10</v>
      </c>
      <c r="W114" t="s">
        <v>10</v>
      </c>
    </row>
    <row r="115" spans="1:23" x14ac:dyDescent="0.3">
      <c r="A115" t="s">
        <v>206</v>
      </c>
      <c r="B115" s="7">
        <v>46089</v>
      </c>
      <c r="C115" t="s">
        <v>73</v>
      </c>
      <c r="D115" t="s">
        <v>1102</v>
      </c>
      <c r="E115" s="3">
        <v>1</v>
      </c>
      <c r="F115" s="3" t="s">
        <v>7</v>
      </c>
      <c r="G115" t="s">
        <v>12</v>
      </c>
      <c r="H115" t="s">
        <v>1107</v>
      </c>
      <c r="I115" t="s">
        <v>34</v>
      </c>
      <c r="J115" t="s">
        <v>48</v>
      </c>
      <c r="K115" t="s">
        <v>10</v>
      </c>
      <c r="L115" t="s">
        <v>57</v>
      </c>
      <c r="M115" t="s">
        <v>10</v>
      </c>
      <c r="N115" t="s">
        <v>10</v>
      </c>
      <c r="O115" t="str">
        <f>INDEX(CoverageTable[Deductible Applies],MATCH(Table18[[#This Row],[Coverage]],CoverageTable[Coverage],0))</f>
        <v>No</v>
      </c>
      <c r="P115" t="str">
        <f>INDEX(CoverageTable[Coverage Limit Applies],MATCH(Table18[[#This Row],[Coverage]],CoverageTable[Coverage],0))</f>
        <v>Yes</v>
      </c>
      <c r="Q115" t="s">
        <v>10</v>
      </c>
      <c r="R115" t="s">
        <v>80</v>
      </c>
      <c r="S115" t="s">
        <v>10</v>
      </c>
      <c r="T115" t="s">
        <v>10</v>
      </c>
      <c r="U115" t="s">
        <v>10</v>
      </c>
      <c r="V115" t="s">
        <v>57</v>
      </c>
      <c r="W115" t="s">
        <v>10</v>
      </c>
    </row>
    <row r="116" spans="1:23" x14ac:dyDescent="0.3">
      <c r="A116" t="s">
        <v>207</v>
      </c>
      <c r="B116" s="7">
        <v>45942</v>
      </c>
      <c r="C116" t="s">
        <v>73</v>
      </c>
      <c r="D116" t="s">
        <v>1099</v>
      </c>
      <c r="E116" s="3">
        <v>1</v>
      </c>
      <c r="F116" s="3">
        <v>1</v>
      </c>
      <c r="G116" t="s">
        <v>10</v>
      </c>
      <c r="H116" t="s">
        <v>1110</v>
      </c>
      <c r="I116" t="s">
        <v>27</v>
      </c>
      <c r="J116" t="s">
        <v>52</v>
      </c>
      <c r="K116" t="s">
        <v>10</v>
      </c>
      <c r="L116" t="s">
        <v>57</v>
      </c>
      <c r="M116" t="s">
        <v>10</v>
      </c>
      <c r="N116" t="s">
        <v>57</v>
      </c>
      <c r="O116" t="str">
        <f>INDEX(CoverageTable[Deductible Applies],MATCH(Table18[[#This Row],[Coverage]],CoverageTable[Coverage],0))</f>
        <v>No</v>
      </c>
      <c r="P116" t="str">
        <f>INDEX(CoverageTable[Coverage Limit Applies],MATCH(Table18[[#This Row],[Coverage]],CoverageTable[Coverage],0))</f>
        <v>Yes</v>
      </c>
      <c r="Q116" t="s">
        <v>10</v>
      </c>
      <c r="R116" t="s">
        <v>79</v>
      </c>
      <c r="S116" t="s">
        <v>10</v>
      </c>
      <c r="T116" t="s">
        <v>10</v>
      </c>
      <c r="U116" t="s">
        <v>10</v>
      </c>
      <c r="V116" t="s">
        <v>10</v>
      </c>
      <c r="W116" t="s">
        <v>57</v>
      </c>
    </row>
    <row r="117" spans="1:23" x14ac:dyDescent="0.3">
      <c r="A117" t="s">
        <v>208</v>
      </c>
      <c r="B117" s="7">
        <v>45828</v>
      </c>
      <c r="C117" t="s">
        <v>70</v>
      </c>
      <c r="D117" t="s">
        <v>1102</v>
      </c>
      <c r="E117" s="3">
        <v>4</v>
      </c>
      <c r="F117" s="3">
        <v>0</v>
      </c>
      <c r="G117" t="s">
        <v>12</v>
      </c>
      <c r="H117" t="s">
        <v>1107</v>
      </c>
      <c r="I117" t="s">
        <v>38</v>
      </c>
      <c r="J117" t="s">
        <v>53</v>
      </c>
      <c r="K117" t="s">
        <v>10</v>
      </c>
      <c r="L117" t="s">
        <v>10</v>
      </c>
      <c r="M117" t="s">
        <v>10</v>
      </c>
      <c r="N117" t="s">
        <v>10</v>
      </c>
      <c r="O117" t="str">
        <f>INDEX(CoverageTable[Deductible Applies],MATCH(Table18[[#This Row],[Coverage]],CoverageTable[Coverage],0))</f>
        <v>No</v>
      </c>
      <c r="P117" t="str">
        <f>INDEX(CoverageTable[Coverage Limit Applies],MATCH(Table18[[#This Row],[Coverage]],CoverageTable[Coverage],0))</f>
        <v>Yes</v>
      </c>
      <c r="Q117" t="s">
        <v>10</v>
      </c>
      <c r="R117" t="s">
        <v>78</v>
      </c>
      <c r="S117" t="s">
        <v>10</v>
      </c>
      <c r="T117" t="s">
        <v>57</v>
      </c>
      <c r="U117" t="s">
        <v>10</v>
      </c>
      <c r="V117" t="s">
        <v>10</v>
      </c>
      <c r="W117" t="s">
        <v>10</v>
      </c>
    </row>
    <row r="118" spans="1:23" x14ac:dyDescent="0.3">
      <c r="A118" t="s">
        <v>209</v>
      </c>
      <c r="B118" s="7">
        <v>45794</v>
      </c>
      <c r="C118" t="s">
        <v>70</v>
      </c>
      <c r="D118" t="s">
        <v>1101</v>
      </c>
      <c r="E118" s="3">
        <v>3</v>
      </c>
      <c r="F118" s="3" t="s">
        <v>7</v>
      </c>
      <c r="G118" t="s">
        <v>10</v>
      </c>
      <c r="H118" t="s">
        <v>1109</v>
      </c>
      <c r="I118" t="s">
        <v>37</v>
      </c>
      <c r="J118" t="s">
        <v>49</v>
      </c>
      <c r="K118" t="s">
        <v>10</v>
      </c>
      <c r="L118" t="s">
        <v>10</v>
      </c>
      <c r="M118" t="s">
        <v>10</v>
      </c>
      <c r="N118" t="s">
        <v>57</v>
      </c>
      <c r="O118" t="str">
        <f>INDEX(CoverageTable[Deductible Applies],MATCH(Table18[[#This Row],[Coverage]],CoverageTable[Coverage],0))</f>
        <v>No</v>
      </c>
      <c r="P118" t="str">
        <f>INDEX(CoverageTable[Coverage Limit Applies],MATCH(Table18[[#This Row],[Coverage]],CoverageTable[Coverage],0))</f>
        <v>Yes</v>
      </c>
      <c r="Q118" t="s">
        <v>10</v>
      </c>
      <c r="R118" t="s">
        <v>80</v>
      </c>
      <c r="S118" t="s">
        <v>10</v>
      </c>
      <c r="T118" t="s">
        <v>10</v>
      </c>
      <c r="U118" t="s">
        <v>10</v>
      </c>
      <c r="V118" t="s">
        <v>10</v>
      </c>
      <c r="W118" t="s">
        <v>10</v>
      </c>
    </row>
    <row r="119" spans="1:23" x14ac:dyDescent="0.3">
      <c r="A119" t="s">
        <v>210</v>
      </c>
      <c r="B119" s="7">
        <v>46054</v>
      </c>
      <c r="C119" t="s">
        <v>72</v>
      </c>
      <c r="D119" t="s">
        <v>1098</v>
      </c>
      <c r="E119" s="3">
        <v>5</v>
      </c>
      <c r="F119" s="3">
        <v>1</v>
      </c>
      <c r="G119" t="s">
        <v>13</v>
      </c>
      <c r="H119" t="s">
        <v>1106</v>
      </c>
      <c r="I119" t="s">
        <v>34</v>
      </c>
      <c r="J119" t="s">
        <v>54</v>
      </c>
      <c r="K119" t="s">
        <v>10</v>
      </c>
      <c r="L119" t="s">
        <v>10</v>
      </c>
      <c r="M119" t="s">
        <v>10</v>
      </c>
      <c r="N119" t="s">
        <v>10</v>
      </c>
      <c r="O119" t="str">
        <f>INDEX(CoverageTable[Deductible Applies],MATCH(Table18[[#This Row],[Coverage]],CoverageTable[Coverage],0))</f>
        <v>Yes</v>
      </c>
      <c r="P119" t="str">
        <f>INDEX(CoverageTable[Coverage Limit Applies],MATCH(Table18[[#This Row],[Coverage]],CoverageTable[Coverage],0))</f>
        <v>No</v>
      </c>
      <c r="Q119" t="s">
        <v>80</v>
      </c>
      <c r="R119" t="s">
        <v>10</v>
      </c>
      <c r="S119" t="s">
        <v>10</v>
      </c>
      <c r="T119" t="s">
        <v>57</v>
      </c>
      <c r="U119" t="s">
        <v>10</v>
      </c>
      <c r="V119" t="s">
        <v>10</v>
      </c>
      <c r="W119" t="s">
        <v>10</v>
      </c>
    </row>
    <row r="120" spans="1:23" x14ac:dyDescent="0.3">
      <c r="A120" t="s">
        <v>211</v>
      </c>
      <c r="B120" s="7">
        <v>45859</v>
      </c>
      <c r="C120" t="s">
        <v>70</v>
      </c>
      <c r="D120" t="s">
        <v>1098</v>
      </c>
      <c r="E120" s="3">
        <v>1</v>
      </c>
      <c r="F120" s="3">
        <v>4</v>
      </c>
      <c r="G120" t="s">
        <v>11</v>
      </c>
      <c r="H120" t="s">
        <v>1106</v>
      </c>
      <c r="I120" t="s">
        <v>43</v>
      </c>
      <c r="J120" t="s">
        <v>52</v>
      </c>
      <c r="K120" t="s">
        <v>10</v>
      </c>
      <c r="L120" t="s">
        <v>10</v>
      </c>
      <c r="M120" t="s">
        <v>10</v>
      </c>
      <c r="N120" t="s">
        <v>10</v>
      </c>
      <c r="O120" t="str">
        <f>INDEX(CoverageTable[Deductible Applies],MATCH(Table18[[#This Row],[Coverage]],CoverageTable[Coverage],0))</f>
        <v>No</v>
      </c>
      <c r="P120" t="str">
        <f>INDEX(CoverageTable[Coverage Limit Applies],MATCH(Table18[[#This Row],[Coverage]],CoverageTable[Coverage],0))</f>
        <v>Yes</v>
      </c>
      <c r="Q120" t="s">
        <v>10</v>
      </c>
      <c r="R120" t="s">
        <v>78</v>
      </c>
      <c r="S120" t="s">
        <v>10</v>
      </c>
      <c r="T120" t="s">
        <v>10</v>
      </c>
      <c r="U120" t="s">
        <v>57</v>
      </c>
      <c r="V120" t="s">
        <v>10</v>
      </c>
      <c r="W120" t="s">
        <v>10</v>
      </c>
    </row>
    <row r="121" spans="1:23" x14ac:dyDescent="0.3">
      <c r="A121" t="s">
        <v>212</v>
      </c>
      <c r="B121" s="7">
        <v>46073</v>
      </c>
      <c r="C121" t="s">
        <v>70</v>
      </c>
      <c r="D121" t="s">
        <v>1099</v>
      </c>
      <c r="E121" s="3">
        <v>6</v>
      </c>
      <c r="F121" s="3">
        <v>1</v>
      </c>
      <c r="G121" t="s">
        <v>13</v>
      </c>
      <c r="H121" t="s">
        <v>1107</v>
      </c>
      <c r="I121" t="s">
        <v>42</v>
      </c>
      <c r="J121" t="s">
        <v>54</v>
      </c>
      <c r="K121" t="s">
        <v>10</v>
      </c>
      <c r="L121" t="s">
        <v>10</v>
      </c>
      <c r="M121" t="s">
        <v>57</v>
      </c>
      <c r="N121" t="s">
        <v>57</v>
      </c>
      <c r="O121" t="str">
        <f>INDEX(CoverageTable[Deductible Applies],MATCH(Table18[[#This Row],[Coverage]],CoverageTable[Coverage],0))</f>
        <v>No</v>
      </c>
      <c r="P121" t="str">
        <f>INDEX(CoverageTable[Coverage Limit Applies],MATCH(Table18[[#This Row],[Coverage]],CoverageTable[Coverage],0))</f>
        <v>Yes</v>
      </c>
      <c r="Q121" t="s">
        <v>10</v>
      </c>
      <c r="R121" t="s">
        <v>79</v>
      </c>
      <c r="S121" t="s">
        <v>10</v>
      </c>
      <c r="T121" t="s">
        <v>57</v>
      </c>
      <c r="U121" t="s">
        <v>10</v>
      </c>
      <c r="V121" t="s">
        <v>10</v>
      </c>
      <c r="W121" t="s">
        <v>57</v>
      </c>
    </row>
    <row r="122" spans="1:23" x14ac:dyDescent="0.3">
      <c r="A122" t="s">
        <v>213</v>
      </c>
      <c r="B122" s="7">
        <v>46090</v>
      </c>
      <c r="C122" t="s">
        <v>71</v>
      </c>
      <c r="D122" t="s">
        <v>1101</v>
      </c>
      <c r="E122" s="3">
        <v>4</v>
      </c>
      <c r="F122" s="3">
        <v>3</v>
      </c>
      <c r="G122" t="s">
        <v>10</v>
      </c>
      <c r="H122" t="s">
        <v>1108</v>
      </c>
      <c r="I122" t="s">
        <v>26</v>
      </c>
      <c r="J122" t="s">
        <v>54</v>
      </c>
      <c r="K122" t="s">
        <v>10</v>
      </c>
      <c r="L122" t="s">
        <v>10</v>
      </c>
      <c r="M122" t="s">
        <v>57</v>
      </c>
      <c r="N122" t="s">
        <v>57</v>
      </c>
      <c r="O122" t="str">
        <f>INDEX(CoverageTable[Deductible Applies],MATCH(Table18[[#This Row],[Coverage]],CoverageTable[Coverage],0))</f>
        <v>Yes</v>
      </c>
      <c r="P122" t="str">
        <f>INDEX(CoverageTable[Coverage Limit Applies],MATCH(Table18[[#This Row],[Coverage]],CoverageTable[Coverage],0))</f>
        <v>No</v>
      </c>
      <c r="Q122" t="s">
        <v>78</v>
      </c>
      <c r="R122" t="s">
        <v>10</v>
      </c>
      <c r="S122" t="s">
        <v>10</v>
      </c>
      <c r="T122" t="s">
        <v>57</v>
      </c>
      <c r="U122" t="s">
        <v>10</v>
      </c>
      <c r="V122" t="s">
        <v>10</v>
      </c>
      <c r="W122" t="s">
        <v>10</v>
      </c>
    </row>
    <row r="123" spans="1:23" x14ac:dyDescent="0.3">
      <c r="A123" t="s">
        <v>214</v>
      </c>
      <c r="B123" s="7">
        <v>45839</v>
      </c>
      <c r="C123" t="s">
        <v>71</v>
      </c>
      <c r="D123" t="s">
        <v>1098</v>
      </c>
      <c r="E123" s="3" t="s">
        <v>1103</v>
      </c>
      <c r="F123" s="3">
        <v>3</v>
      </c>
      <c r="G123" t="s">
        <v>10</v>
      </c>
      <c r="H123" t="s">
        <v>1108</v>
      </c>
      <c r="I123" t="s">
        <v>39</v>
      </c>
      <c r="J123" t="s">
        <v>49</v>
      </c>
      <c r="K123" t="s">
        <v>10</v>
      </c>
      <c r="L123" t="s">
        <v>10</v>
      </c>
      <c r="M123" t="s">
        <v>10</v>
      </c>
      <c r="N123" t="s">
        <v>57</v>
      </c>
      <c r="O123" t="str">
        <f>INDEX(CoverageTable[Deductible Applies],MATCH(Table18[[#This Row],[Coverage]],CoverageTable[Coverage],0))</f>
        <v>Yes</v>
      </c>
      <c r="P123" t="str">
        <f>INDEX(CoverageTable[Coverage Limit Applies],MATCH(Table18[[#This Row],[Coverage]],CoverageTable[Coverage],0))</f>
        <v>No</v>
      </c>
      <c r="Q123" t="s">
        <v>80</v>
      </c>
      <c r="R123" t="s">
        <v>10</v>
      </c>
      <c r="S123" t="s">
        <v>10</v>
      </c>
      <c r="T123" t="s">
        <v>10</v>
      </c>
      <c r="U123" t="s">
        <v>10</v>
      </c>
      <c r="V123" t="s">
        <v>10</v>
      </c>
      <c r="W123" t="s">
        <v>10</v>
      </c>
    </row>
    <row r="124" spans="1:23" x14ac:dyDescent="0.3">
      <c r="A124" t="s">
        <v>215</v>
      </c>
      <c r="B124" s="7">
        <v>45968</v>
      </c>
      <c r="C124" t="s">
        <v>73</v>
      </c>
      <c r="D124" t="s">
        <v>1099</v>
      </c>
      <c r="E124" s="3">
        <v>5</v>
      </c>
      <c r="F124" s="3">
        <v>2</v>
      </c>
      <c r="G124" t="s">
        <v>10</v>
      </c>
      <c r="H124" t="s">
        <v>1109</v>
      </c>
      <c r="I124" t="s">
        <v>42</v>
      </c>
      <c r="J124" t="s">
        <v>51</v>
      </c>
      <c r="K124" t="s">
        <v>10</v>
      </c>
      <c r="L124" t="s">
        <v>10</v>
      </c>
      <c r="M124" t="s">
        <v>57</v>
      </c>
      <c r="N124" t="s">
        <v>57</v>
      </c>
      <c r="O124" t="str">
        <f>INDEX(CoverageTable[Deductible Applies],MATCH(Table18[[#This Row],[Coverage]],CoverageTable[Coverage],0))</f>
        <v>No</v>
      </c>
      <c r="P124" t="str">
        <f>INDEX(CoverageTable[Coverage Limit Applies],MATCH(Table18[[#This Row],[Coverage]],CoverageTable[Coverage],0))</f>
        <v>Yes</v>
      </c>
      <c r="Q124" t="s">
        <v>10</v>
      </c>
      <c r="R124" t="s">
        <v>79</v>
      </c>
      <c r="S124" t="s">
        <v>10</v>
      </c>
      <c r="T124" t="s">
        <v>10</v>
      </c>
      <c r="U124" t="s">
        <v>10</v>
      </c>
      <c r="V124" t="s">
        <v>10</v>
      </c>
      <c r="W124" t="s">
        <v>10</v>
      </c>
    </row>
    <row r="125" spans="1:23" x14ac:dyDescent="0.3">
      <c r="A125" t="s">
        <v>216</v>
      </c>
      <c r="B125" s="7">
        <v>46010</v>
      </c>
      <c r="C125" t="s">
        <v>70</v>
      </c>
      <c r="D125" t="s">
        <v>1101</v>
      </c>
      <c r="E125" s="3">
        <v>3</v>
      </c>
      <c r="F125" s="3">
        <v>2</v>
      </c>
      <c r="G125" t="s">
        <v>12</v>
      </c>
      <c r="H125" t="s">
        <v>1107</v>
      </c>
      <c r="I125" t="s">
        <v>25</v>
      </c>
      <c r="J125" t="s">
        <v>50</v>
      </c>
      <c r="K125" t="s">
        <v>10</v>
      </c>
      <c r="L125" t="s">
        <v>10</v>
      </c>
      <c r="M125" t="s">
        <v>10</v>
      </c>
      <c r="N125" t="s">
        <v>57</v>
      </c>
      <c r="O125" t="str">
        <f>INDEX(CoverageTable[Deductible Applies],MATCH(Table18[[#This Row],[Coverage]],CoverageTable[Coverage],0))</f>
        <v>No</v>
      </c>
      <c r="P125" t="str">
        <f>INDEX(CoverageTable[Coverage Limit Applies],MATCH(Table18[[#This Row],[Coverage]],CoverageTable[Coverage],0))</f>
        <v>Yes</v>
      </c>
      <c r="Q125" t="s">
        <v>10</v>
      </c>
      <c r="R125" t="s">
        <v>80</v>
      </c>
      <c r="S125" t="s">
        <v>10</v>
      </c>
      <c r="T125" t="s">
        <v>10</v>
      </c>
      <c r="U125" t="s">
        <v>10</v>
      </c>
      <c r="V125" t="s">
        <v>57</v>
      </c>
      <c r="W125" t="s">
        <v>10</v>
      </c>
    </row>
    <row r="126" spans="1:23" x14ac:dyDescent="0.3">
      <c r="A126" t="s">
        <v>217</v>
      </c>
      <c r="B126" s="7">
        <v>46073</v>
      </c>
      <c r="C126" t="s">
        <v>71</v>
      </c>
      <c r="D126" t="s">
        <v>1098</v>
      </c>
      <c r="E126" s="3">
        <v>4</v>
      </c>
      <c r="F126" s="3">
        <v>1</v>
      </c>
      <c r="G126" t="s">
        <v>10</v>
      </c>
      <c r="H126" t="s">
        <v>1109</v>
      </c>
      <c r="I126" t="s">
        <v>33</v>
      </c>
      <c r="J126" t="s">
        <v>54</v>
      </c>
      <c r="K126" t="s">
        <v>10</v>
      </c>
      <c r="L126" t="s">
        <v>10</v>
      </c>
      <c r="M126" t="s">
        <v>10</v>
      </c>
      <c r="N126" t="s">
        <v>57</v>
      </c>
      <c r="O126" t="str">
        <f>INDEX(CoverageTable[Deductible Applies],MATCH(Table18[[#This Row],[Coverage]],CoverageTable[Coverage],0))</f>
        <v>Yes</v>
      </c>
      <c r="P126" t="str">
        <f>INDEX(CoverageTable[Coverage Limit Applies],MATCH(Table18[[#This Row],[Coverage]],CoverageTable[Coverage],0))</f>
        <v>No</v>
      </c>
      <c r="Q126" t="s">
        <v>80</v>
      </c>
      <c r="R126" t="s">
        <v>10</v>
      </c>
      <c r="S126" t="s">
        <v>10</v>
      </c>
      <c r="T126" t="s">
        <v>10</v>
      </c>
      <c r="U126" t="s">
        <v>10</v>
      </c>
      <c r="V126" t="s">
        <v>57</v>
      </c>
      <c r="W126" t="s">
        <v>10</v>
      </c>
    </row>
    <row r="127" spans="1:23" x14ac:dyDescent="0.3">
      <c r="A127" t="s">
        <v>218</v>
      </c>
      <c r="B127" s="7">
        <v>46143</v>
      </c>
      <c r="C127" t="s">
        <v>70</v>
      </c>
      <c r="D127" t="s">
        <v>1098</v>
      </c>
      <c r="E127" s="3">
        <v>1</v>
      </c>
      <c r="F127" s="3" t="s">
        <v>7</v>
      </c>
      <c r="G127" t="s">
        <v>13</v>
      </c>
      <c r="H127" t="s">
        <v>1109</v>
      </c>
      <c r="I127" t="s">
        <v>40</v>
      </c>
      <c r="J127" t="s">
        <v>52</v>
      </c>
      <c r="K127" t="s">
        <v>10</v>
      </c>
      <c r="L127" t="s">
        <v>10</v>
      </c>
      <c r="M127" t="s">
        <v>10</v>
      </c>
      <c r="N127" t="s">
        <v>10</v>
      </c>
      <c r="O127" t="str">
        <f>INDEX(CoverageTable[Deductible Applies],MATCH(Table18[[#This Row],[Coverage]],CoverageTable[Coverage],0))</f>
        <v>No</v>
      </c>
      <c r="P127" t="str">
        <f>INDEX(CoverageTable[Coverage Limit Applies],MATCH(Table18[[#This Row],[Coverage]],CoverageTable[Coverage],0))</f>
        <v>Yes</v>
      </c>
      <c r="Q127" t="s">
        <v>10</v>
      </c>
      <c r="R127" t="s">
        <v>78</v>
      </c>
      <c r="S127" t="s">
        <v>10</v>
      </c>
      <c r="T127" t="s">
        <v>10</v>
      </c>
      <c r="U127" t="s">
        <v>10</v>
      </c>
      <c r="V127" t="s">
        <v>10</v>
      </c>
      <c r="W127" t="s">
        <v>10</v>
      </c>
    </row>
    <row r="128" spans="1:23" x14ac:dyDescent="0.3">
      <c r="A128" t="s">
        <v>219</v>
      </c>
      <c r="B128" s="7">
        <v>45928</v>
      </c>
      <c r="C128" t="s">
        <v>70</v>
      </c>
      <c r="D128" t="s">
        <v>1102</v>
      </c>
      <c r="E128" s="3">
        <v>4</v>
      </c>
      <c r="F128" s="3" t="s">
        <v>7</v>
      </c>
      <c r="G128" t="s">
        <v>10</v>
      </c>
      <c r="H128" t="s">
        <v>1109</v>
      </c>
      <c r="I128" t="s">
        <v>25</v>
      </c>
      <c r="J128" t="s">
        <v>52</v>
      </c>
      <c r="K128" t="s">
        <v>10</v>
      </c>
      <c r="L128" t="s">
        <v>10</v>
      </c>
      <c r="M128" t="s">
        <v>10</v>
      </c>
      <c r="N128" t="s">
        <v>10</v>
      </c>
      <c r="O128" t="str">
        <f>INDEX(CoverageTable[Deductible Applies],MATCH(Table18[[#This Row],[Coverage]],CoverageTable[Coverage],0))</f>
        <v>No</v>
      </c>
      <c r="P128" t="str">
        <f>INDEX(CoverageTable[Coverage Limit Applies],MATCH(Table18[[#This Row],[Coverage]],CoverageTable[Coverage],0))</f>
        <v>Yes</v>
      </c>
      <c r="Q128" t="s">
        <v>10</v>
      </c>
      <c r="R128" t="s">
        <v>80</v>
      </c>
      <c r="S128" t="s">
        <v>57</v>
      </c>
      <c r="T128" t="s">
        <v>57</v>
      </c>
      <c r="U128" t="s">
        <v>10</v>
      </c>
      <c r="V128" t="s">
        <v>10</v>
      </c>
      <c r="W128" t="s">
        <v>10</v>
      </c>
    </row>
    <row r="129" spans="1:23" x14ac:dyDescent="0.3">
      <c r="A129" t="s">
        <v>220</v>
      </c>
      <c r="B129" s="7">
        <v>45848</v>
      </c>
      <c r="C129" t="s">
        <v>72</v>
      </c>
      <c r="D129" t="s">
        <v>1098</v>
      </c>
      <c r="E129" s="3">
        <v>1</v>
      </c>
      <c r="F129" s="3">
        <v>2</v>
      </c>
      <c r="G129" t="s">
        <v>12</v>
      </c>
      <c r="H129" t="s">
        <v>1110</v>
      </c>
      <c r="I129" t="s">
        <v>39</v>
      </c>
      <c r="J129" t="s">
        <v>51</v>
      </c>
      <c r="K129" t="s">
        <v>10</v>
      </c>
      <c r="L129" t="s">
        <v>10</v>
      </c>
      <c r="M129" t="s">
        <v>10</v>
      </c>
      <c r="N129" t="s">
        <v>57</v>
      </c>
      <c r="O129" t="str">
        <f>INDEX(CoverageTable[Deductible Applies],MATCH(Table18[[#This Row],[Coverage]],CoverageTable[Coverage],0))</f>
        <v>Yes</v>
      </c>
      <c r="P129" t="str">
        <f>INDEX(CoverageTable[Coverage Limit Applies],MATCH(Table18[[#This Row],[Coverage]],CoverageTable[Coverage],0))</f>
        <v>No</v>
      </c>
      <c r="Q129" t="s">
        <v>80</v>
      </c>
      <c r="R129" t="s">
        <v>10</v>
      </c>
      <c r="S129" t="s">
        <v>57</v>
      </c>
      <c r="T129" t="s">
        <v>10</v>
      </c>
      <c r="U129" t="s">
        <v>10</v>
      </c>
      <c r="V129" t="s">
        <v>57</v>
      </c>
      <c r="W129" t="s">
        <v>10</v>
      </c>
    </row>
    <row r="130" spans="1:23" x14ac:dyDescent="0.3">
      <c r="A130" t="s">
        <v>221</v>
      </c>
      <c r="B130" s="7">
        <v>45802</v>
      </c>
      <c r="C130" t="s">
        <v>70</v>
      </c>
      <c r="D130" t="s">
        <v>1097</v>
      </c>
      <c r="E130" s="3">
        <v>3</v>
      </c>
      <c r="F130" s="3">
        <v>4</v>
      </c>
      <c r="G130" t="s">
        <v>12</v>
      </c>
      <c r="H130" t="s">
        <v>1108</v>
      </c>
      <c r="I130" t="s">
        <v>43</v>
      </c>
      <c r="J130" t="s">
        <v>50</v>
      </c>
      <c r="K130" t="s">
        <v>10</v>
      </c>
      <c r="L130" t="s">
        <v>10</v>
      </c>
      <c r="M130" t="s">
        <v>10</v>
      </c>
      <c r="N130" t="s">
        <v>10</v>
      </c>
      <c r="O130" t="str">
        <f>INDEX(CoverageTable[Deductible Applies],MATCH(Table18[[#This Row],[Coverage]],CoverageTable[Coverage],0))</f>
        <v>No</v>
      </c>
      <c r="P130" t="str">
        <f>INDEX(CoverageTable[Coverage Limit Applies],MATCH(Table18[[#This Row],[Coverage]],CoverageTable[Coverage],0))</f>
        <v>Yes</v>
      </c>
      <c r="Q130" t="s">
        <v>10</v>
      </c>
      <c r="R130" t="s">
        <v>80</v>
      </c>
      <c r="S130" t="s">
        <v>10</v>
      </c>
      <c r="T130" t="s">
        <v>57</v>
      </c>
      <c r="U130" t="s">
        <v>57</v>
      </c>
      <c r="V130" t="s">
        <v>10</v>
      </c>
      <c r="W130" t="s">
        <v>10</v>
      </c>
    </row>
    <row r="131" spans="1:23" x14ac:dyDescent="0.3">
      <c r="A131" t="s">
        <v>222</v>
      </c>
      <c r="B131" s="7">
        <v>46080</v>
      </c>
      <c r="C131" t="s">
        <v>74</v>
      </c>
      <c r="D131" t="s">
        <v>1100</v>
      </c>
      <c r="E131" s="3">
        <v>2</v>
      </c>
      <c r="F131" s="3">
        <v>1</v>
      </c>
      <c r="G131" t="s">
        <v>10</v>
      </c>
      <c r="H131" t="s">
        <v>1108</v>
      </c>
      <c r="I131" t="s">
        <v>34</v>
      </c>
      <c r="J131" t="s">
        <v>49</v>
      </c>
      <c r="K131" t="s">
        <v>57</v>
      </c>
      <c r="L131" t="s">
        <v>10</v>
      </c>
      <c r="M131" t="s">
        <v>10</v>
      </c>
      <c r="N131" t="s">
        <v>10</v>
      </c>
      <c r="O131" t="str">
        <f>INDEX(CoverageTable[Deductible Applies],MATCH(Table18[[#This Row],[Coverage]],CoverageTable[Coverage],0))</f>
        <v>No</v>
      </c>
      <c r="P131" t="str">
        <f>INDEX(CoverageTable[Coverage Limit Applies],MATCH(Table18[[#This Row],[Coverage]],CoverageTable[Coverage],0))</f>
        <v>Yes</v>
      </c>
      <c r="Q131" t="s">
        <v>10</v>
      </c>
      <c r="R131" t="s">
        <v>78</v>
      </c>
      <c r="S131" t="s">
        <v>10</v>
      </c>
      <c r="T131" t="s">
        <v>57</v>
      </c>
      <c r="U131" t="s">
        <v>57</v>
      </c>
      <c r="V131" t="s">
        <v>10</v>
      </c>
      <c r="W131" t="s">
        <v>10</v>
      </c>
    </row>
    <row r="132" spans="1:23" x14ac:dyDescent="0.3">
      <c r="A132" t="s">
        <v>223</v>
      </c>
      <c r="B132" s="7">
        <v>45878</v>
      </c>
      <c r="C132" t="s">
        <v>70</v>
      </c>
      <c r="D132" t="s">
        <v>1098</v>
      </c>
      <c r="E132" s="3">
        <v>5</v>
      </c>
      <c r="F132" s="3">
        <v>0</v>
      </c>
      <c r="G132" t="s">
        <v>12</v>
      </c>
      <c r="H132" t="s">
        <v>1108</v>
      </c>
      <c r="I132" t="s">
        <v>31</v>
      </c>
      <c r="J132" t="s">
        <v>52</v>
      </c>
      <c r="K132" t="s">
        <v>10</v>
      </c>
      <c r="L132" t="s">
        <v>10</v>
      </c>
      <c r="M132" t="s">
        <v>10</v>
      </c>
      <c r="N132" t="s">
        <v>10</v>
      </c>
      <c r="O132" t="str">
        <f>INDEX(CoverageTable[Deductible Applies],MATCH(Table18[[#This Row],[Coverage]],CoverageTable[Coverage],0))</f>
        <v>No</v>
      </c>
      <c r="P132" t="str">
        <f>INDEX(CoverageTable[Coverage Limit Applies],MATCH(Table18[[#This Row],[Coverage]],CoverageTable[Coverage],0))</f>
        <v>Yes</v>
      </c>
      <c r="Q132" t="s">
        <v>10</v>
      </c>
      <c r="R132" t="s">
        <v>79</v>
      </c>
      <c r="S132" t="s">
        <v>57</v>
      </c>
      <c r="T132" t="s">
        <v>10</v>
      </c>
      <c r="U132" t="s">
        <v>10</v>
      </c>
      <c r="V132" t="s">
        <v>10</v>
      </c>
      <c r="W132" t="s">
        <v>10</v>
      </c>
    </row>
    <row r="133" spans="1:23" x14ac:dyDescent="0.3">
      <c r="A133" t="s">
        <v>224</v>
      </c>
      <c r="B133" s="7">
        <v>45946</v>
      </c>
      <c r="C133" t="s">
        <v>70</v>
      </c>
      <c r="D133" t="s">
        <v>1102</v>
      </c>
      <c r="E133" s="3">
        <v>4</v>
      </c>
      <c r="F133" s="3">
        <v>1</v>
      </c>
      <c r="G133" t="s">
        <v>10</v>
      </c>
      <c r="H133" t="s">
        <v>1108</v>
      </c>
      <c r="I133" t="s">
        <v>43</v>
      </c>
      <c r="J133" t="s">
        <v>48</v>
      </c>
      <c r="K133" t="s">
        <v>10</v>
      </c>
      <c r="L133" t="s">
        <v>10</v>
      </c>
      <c r="M133" t="s">
        <v>10</v>
      </c>
      <c r="N133" t="s">
        <v>10</v>
      </c>
      <c r="O133" t="str">
        <f>INDEX(CoverageTable[Deductible Applies],MATCH(Table18[[#This Row],[Coverage]],CoverageTable[Coverage],0))</f>
        <v>No</v>
      </c>
      <c r="P133" t="str">
        <f>INDEX(CoverageTable[Coverage Limit Applies],MATCH(Table18[[#This Row],[Coverage]],CoverageTable[Coverage],0))</f>
        <v>Yes</v>
      </c>
      <c r="Q133" t="s">
        <v>10</v>
      </c>
      <c r="R133" t="s">
        <v>80</v>
      </c>
      <c r="S133" t="s">
        <v>10</v>
      </c>
      <c r="T133" t="s">
        <v>57</v>
      </c>
      <c r="U133" t="s">
        <v>10</v>
      </c>
      <c r="V133" t="s">
        <v>10</v>
      </c>
      <c r="W133" t="s">
        <v>10</v>
      </c>
    </row>
    <row r="134" spans="1:23" x14ac:dyDescent="0.3">
      <c r="A134" t="s">
        <v>225</v>
      </c>
      <c r="B134" s="7">
        <v>45877</v>
      </c>
      <c r="C134" t="s">
        <v>74</v>
      </c>
      <c r="D134" t="s">
        <v>1101</v>
      </c>
      <c r="E134" s="3">
        <v>4</v>
      </c>
      <c r="F134" s="3">
        <v>0</v>
      </c>
      <c r="G134" t="s">
        <v>10</v>
      </c>
      <c r="H134" t="s">
        <v>1108</v>
      </c>
      <c r="I134" t="s">
        <v>31</v>
      </c>
      <c r="J134" t="s">
        <v>54</v>
      </c>
      <c r="K134" t="s">
        <v>10</v>
      </c>
      <c r="L134" t="s">
        <v>10</v>
      </c>
      <c r="M134" t="s">
        <v>10</v>
      </c>
      <c r="N134" t="s">
        <v>57</v>
      </c>
      <c r="O134" t="str">
        <f>INDEX(CoverageTable[Deductible Applies],MATCH(Table18[[#This Row],[Coverage]],CoverageTable[Coverage],0))</f>
        <v>No</v>
      </c>
      <c r="P134" t="str">
        <f>INDEX(CoverageTable[Coverage Limit Applies],MATCH(Table18[[#This Row],[Coverage]],CoverageTable[Coverage],0))</f>
        <v>Yes</v>
      </c>
      <c r="Q134" t="s">
        <v>10</v>
      </c>
      <c r="R134" t="s">
        <v>78</v>
      </c>
      <c r="S134" t="s">
        <v>10</v>
      </c>
      <c r="T134" t="s">
        <v>10</v>
      </c>
      <c r="U134" t="s">
        <v>10</v>
      </c>
      <c r="V134" t="s">
        <v>57</v>
      </c>
      <c r="W134" t="s">
        <v>10</v>
      </c>
    </row>
    <row r="135" spans="1:23" x14ac:dyDescent="0.3">
      <c r="A135" t="s">
        <v>226</v>
      </c>
      <c r="B135" s="7">
        <v>45807</v>
      </c>
      <c r="C135" t="s">
        <v>72</v>
      </c>
      <c r="D135" t="s">
        <v>1097</v>
      </c>
      <c r="E135" s="3">
        <v>6</v>
      </c>
      <c r="F135" s="3">
        <v>1</v>
      </c>
      <c r="G135" t="s">
        <v>10</v>
      </c>
      <c r="H135" t="s">
        <v>1106</v>
      </c>
      <c r="I135" t="s">
        <v>42</v>
      </c>
      <c r="J135" t="s">
        <v>51</v>
      </c>
      <c r="K135" t="s">
        <v>10</v>
      </c>
      <c r="L135" t="s">
        <v>10</v>
      </c>
      <c r="M135" t="s">
        <v>57</v>
      </c>
      <c r="N135" t="s">
        <v>10</v>
      </c>
      <c r="O135" t="str">
        <f>INDEX(CoverageTable[Deductible Applies],MATCH(Table18[[#This Row],[Coverage]],CoverageTable[Coverage],0))</f>
        <v>Yes</v>
      </c>
      <c r="P135" t="str">
        <f>INDEX(CoverageTable[Coverage Limit Applies],MATCH(Table18[[#This Row],[Coverage]],CoverageTable[Coverage],0))</f>
        <v>No</v>
      </c>
      <c r="Q135" t="s">
        <v>80</v>
      </c>
      <c r="R135" t="s">
        <v>10</v>
      </c>
      <c r="S135" t="s">
        <v>10</v>
      </c>
      <c r="T135" t="s">
        <v>57</v>
      </c>
      <c r="U135" t="s">
        <v>10</v>
      </c>
      <c r="V135" t="s">
        <v>10</v>
      </c>
      <c r="W135" t="s">
        <v>10</v>
      </c>
    </row>
    <row r="136" spans="1:23" x14ac:dyDescent="0.3">
      <c r="A136" t="s">
        <v>227</v>
      </c>
      <c r="B136" s="7">
        <v>45831</v>
      </c>
      <c r="C136" t="s">
        <v>73</v>
      </c>
      <c r="D136" t="s">
        <v>1097</v>
      </c>
      <c r="E136" s="3">
        <v>6</v>
      </c>
      <c r="F136" s="3">
        <v>0</v>
      </c>
      <c r="G136" t="s">
        <v>12</v>
      </c>
      <c r="H136" t="s">
        <v>1107</v>
      </c>
      <c r="I136" t="s">
        <v>25</v>
      </c>
      <c r="J136" t="s">
        <v>54</v>
      </c>
      <c r="K136" t="s">
        <v>10</v>
      </c>
      <c r="L136" t="s">
        <v>10</v>
      </c>
      <c r="M136" t="s">
        <v>10</v>
      </c>
      <c r="N136" t="s">
        <v>57</v>
      </c>
      <c r="O136" t="str">
        <f>INDEX(CoverageTable[Deductible Applies],MATCH(Table18[[#This Row],[Coverage]],CoverageTable[Coverage],0))</f>
        <v>No</v>
      </c>
      <c r="P136" t="str">
        <f>INDEX(CoverageTable[Coverage Limit Applies],MATCH(Table18[[#This Row],[Coverage]],CoverageTable[Coverage],0))</f>
        <v>Yes</v>
      </c>
      <c r="Q136" t="s">
        <v>10</v>
      </c>
      <c r="R136" t="s">
        <v>80</v>
      </c>
      <c r="S136" t="s">
        <v>10</v>
      </c>
      <c r="T136" t="s">
        <v>10</v>
      </c>
      <c r="U136" t="s">
        <v>57</v>
      </c>
      <c r="V136" t="s">
        <v>57</v>
      </c>
      <c r="W136" t="s">
        <v>10</v>
      </c>
    </row>
    <row r="137" spans="1:23" x14ac:dyDescent="0.3">
      <c r="A137" t="s">
        <v>228</v>
      </c>
      <c r="B137" s="7">
        <v>45801</v>
      </c>
      <c r="C137" t="s">
        <v>70</v>
      </c>
      <c r="D137" t="s">
        <v>1099</v>
      </c>
      <c r="E137" s="3">
        <v>6</v>
      </c>
      <c r="F137" s="3">
        <v>1</v>
      </c>
      <c r="G137" t="s">
        <v>13</v>
      </c>
      <c r="H137" t="s">
        <v>1110</v>
      </c>
      <c r="I137" t="s">
        <v>34</v>
      </c>
      <c r="J137" t="s">
        <v>48</v>
      </c>
      <c r="K137" t="s">
        <v>10</v>
      </c>
      <c r="L137" t="s">
        <v>10</v>
      </c>
      <c r="M137" t="s">
        <v>10</v>
      </c>
      <c r="N137" t="s">
        <v>10</v>
      </c>
      <c r="O137" t="str">
        <f>INDEX(CoverageTable[Deductible Applies],MATCH(Table18[[#This Row],[Coverage]],CoverageTable[Coverage],0))</f>
        <v>No</v>
      </c>
      <c r="P137" t="str">
        <f>INDEX(CoverageTable[Coverage Limit Applies],MATCH(Table18[[#This Row],[Coverage]],CoverageTable[Coverage],0))</f>
        <v>Yes</v>
      </c>
      <c r="Q137" t="s">
        <v>10</v>
      </c>
      <c r="R137" t="s">
        <v>79</v>
      </c>
      <c r="S137" t="s">
        <v>10</v>
      </c>
      <c r="T137" t="s">
        <v>57</v>
      </c>
      <c r="U137" t="s">
        <v>10</v>
      </c>
      <c r="V137" t="s">
        <v>10</v>
      </c>
      <c r="W137" t="s">
        <v>10</v>
      </c>
    </row>
    <row r="138" spans="1:23" x14ac:dyDescent="0.3">
      <c r="A138" t="s">
        <v>229</v>
      </c>
      <c r="B138" s="7">
        <v>45885</v>
      </c>
      <c r="C138" t="s">
        <v>73</v>
      </c>
      <c r="D138" t="s">
        <v>1100</v>
      </c>
      <c r="E138" s="3">
        <v>3</v>
      </c>
      <c r="F138" s="3">
        <v>1</v>
      </c>
      <c r="G138" t="s">
        <v>10</v>
      </c>
      <c r="H138" t="s">
        <v>1109</v>
      </c>
      <c r="I138" t="s">
        <v>39</v>
      </c>
      <c r="J138" t="s">
        <v>51</v>
      </c>
      <c r="K138" t="s">
        <v>10</v>
      </c>
      <c r="L138" t="s">
        <v>10</v>
      </c>
      <c r="M138" t="s">
        <v>10</v>
      </c>
      <c r="N138" t="s">
        <v>57</v>
      </c>
      <c r="O138" t="str">
        <f>INDEX(CoverageTable[Deductible Applies],MATCH(Table18[[#This Row],[Coverage]],CoverageTable[Coverage],0))</f>
        <v>No</v>
      </c>
      <c r="P138" t="str">
        <f>INDEX(CoverageTable[Coverage Limit Applies],MATCH(Table18[[#This Row],[Coverage]],CoverageTable[Coverage],0))</f>
        <v>Yes</v>
      </c>
      <c r="Q138" t="s">
        <v>10</v>
      </c>
      <c r="R138" t="s">
        <v>78</v>
      </c>
      <c r="S138" t="s">
        <v>57</v>
      </c>
      <c r="T138" t="s">
        <v>57</v>
      </c>
      <c r="U138" t="s">
        <v>10</v>
      </c>
      <c r="V138" t="s">
        <v>10</v>
      </c>
      <c r="W138" t="s">
        <v>10</v>
      </c>
    </row>
    <row r="139" spans="1:23" x14ac:dyDescent="0.3">
      <c r="A139" t="s">
        <v>230</v>
      </c>
      <c r="B139" s="7">
        <v>46129</v>
      </c>
      <c r="C139" t="s">
        <v>70</v>
      </c>
      <c r="D139" t="s">
        <v>1098</v>
      </c>
      <c r="E139" s="3">
        <v>1</v>
      </c>
      <c r="F139" s="3">
        <v>0</v>
      </c>
      <c r="G139" t="s">
        <v>10</v>
      </c>
      <c r="H139" t="s">
        <v>1107</v>
      </c>
      <c r="I139" t="s">
        <v>32</v>
      </c>
      <c r="J139" t="s">
        <v>49</v>
      </c>
      <c r="K139" t="s">
        <v>57</v>
      </c>
      <c r="L139" t="s">
        <v>57</v>
      </c>
      <c r="M139" t="s">
        <v>10</v>
      </c>
      <c r="N139" t="s">
        <v>57</v>
      </c>
      <c r="O139" t="str">
        <f>INDEX(CoverageTable[Deductible Applies],MATCH(Table18[[#This Row],[Coverage]],CoverageTable[Coverage],0))</f>
        <v>No</v>
      </c>
      <c r="P139" t="str">
        <f>INDEX(CoverageTable[Coverage Limit Applies],MATCH(Table18[[#This Row],[Coverage]],CoverageTable[Coverage],0))</f>
        <v>Yes</v>
      </c>
      <c r="Q139" t="s">
        <v>10</v>
      </c>
      <c r="R139" t="s">
        <v>79</v>
      </c>
      <c r="S139" t="s">
        <v>10</v>
      </c>
      <c r="T139" t="s">
        <v>10</v>
      </c>
      <c r="U139" t="s">
        <v>10</v>
      </c>
      <c r="V139" t="s">
        <v>10</v>
      </c>
      <c r="W139" t="s">
        <v>57</v>
      </c>
    </row>
    <row r="140" spans="1:23" x14ac:dyDescent="0.3">
      <c r="A140" t="s">
        <v>231</v>
      </c>
      <c r="B140" s="7">
        <v>45985</v>
      </c>
      <c r="C140" t="s">
        <v>71</v>
      </c>
      <c r="D140" t="s">
        <v>1097</v>
      </c>
      <c r="E140" s="3">
        <v>2</v>
      </c>
      <c r="F140" s="3" t="s">
        <v>7</v>
      </c>
      <c r="G140" t="s">
        <v>10</v>
      </c>
      <c r="H140" t="s">
        <v>1106</v>
      </c>
      <c r="I140" t="s">
        <v>44</v>
      </c>
      <c r="J140" t="s">
        <v>50</v>
      </c>
      <c r="K140" t="s">
        <v>10</v>
      </c>
      <c r="L140" t="s">
        <v>10</v>
      </c>
      <c r="M140" t="s">
        <v>10</v>
      </c>
      <c r="N140" t="s">
        <v>10</v>
      </c>
      <c r="O140" t="str">
        <f>INDEX(CoverageTable[Deductible Applies],MATCH(Table18[[#This Row],[Coverage]],CoverageTable[Coverage],0))</f>
        <v>Yes</v>
      </c>
      <c r="P140" t="str">
        <f>INDEX(CoverageTable[Coverage Limit Applies],MATCH(Table18[[#This Row],[Coverage]],CoverageTable[Coverage],0))</f>
        <v>No</v>
      </c>
      <c r="Q140" t="s">
        <v>79</v>
      </c>
      <c r="R140" t="s">
        <v>10</v>
      </c>
      <c r="S140" t="s">
        <v>10</v>
      </c>
      <c r="T140" t="s">
        <v>10</v>
      </c>
      <c r="U140" t="s">
        <v>10</v>
      </c>
      <c r="V140" t="s">
        <v>10</v>
      </c>
      <c r="W140" t="s">
        <v>57</v>
      </c>
    </row>
    <row r="141" spans="1:23" x14ac:dyDescent="0.3">
      <c r="A141" t="s">
        <v>232</v>
      </c>
      <c r="B141" s="7">
        <v>45808</v>
      </c>
      <c r="C141" t="s">
        <v>71</v>
      </c>
      <c r="D141" t="s">
        <v>1100</v>
      </c>
      <c r="E141" s="3">
        <v>1</v>
      </c>
      <c r="F141" s="3">
        <v>3</v>
      </c>
      <c r="G141" t="s">
        <v>10</v>
      </c>
      <c r="H141" t="s">
        <v>1107</v>
      </c>
      <c r="I141" t="s">
        <v>26</v>
      </c>
      <c r="J141" t="s">
        <v>53</v>
      </c>
      <c r="K141" t="s">
        <v>10</v>
      </c>
      <c r="L141" t="s">
        <v>10</v>
      </c>
      <c r="M141" t="s">
        <v>57</v>
      </c>
      <c r="N141" t="s">
        <v>10</v>
      </c>
      <c r="O141" t="str">
        <f>INDEX(CoverageTable[Deductible Applies],MATCH(Table18[[#This Row],[Coverage]],CoverageTable[Coverage],0))</f>
        <v>Yes</v>
      </c>
      <c r="P141" t="str">
        <f>INDEX(CoverageTable[Coverage Limit Applies],MATCH(Table18[[#This Row],[Coverage]],CoverageTable[Coverage],0))</f>
        <v>No</v>
      </c>
      <c r="Q141" t="s">
        <v>80</v>
      </c>
      <c r="R141" t="s">
        <v>10</v>
      </c>
      <c r="S141" t="s">
        <v>10</v>
      </c>
      <c r="T141" t="s">
        <v>57</v>
      </c>
      <c r="U141" t="s">
        <v>10</v>
      </c>
      <c r="V141" t="s">
        <v>10</v>
      </c>
      <c r="W141" t="s">
        <v>57</v>
      </c>
    </row>
    <row r="142" spans="1:23" x14ac:dyDescent="0.3">
      <c r="A142" t="s">
        <v>233</v>
      </c>
      <c r="B142" s="7">
        <v>46057</v>
      </c>
      <c r="C142" t="s">
        <v>70</v>
      </c>
      <c r="D142" t="s">
        <v>1098</v>
      </c>
      <c r="E142" s="3">
        <v>3</v>
      </c>
      <c r="F142" s="3">
        <v>1</v>
      </c>
      <c r="G142" t="s">
        <v>10</v>
      </c>
      <c r="H142" t="s">
        <v>1107</v>
      </c>
      <c r="I142" t="s">
        <v>39</v>
      </c>
      <c r="J142" t="s">
        <v>48</v>
      </c>
      <c r="K142" t="s">
        <v>10</v>
      </c>
      <c r="L142" t="s">
        <v>10</v>
      </c>
      <c r="M142" t="s">
        <v>10</v>
      </c>
      <c r="N142" t="s">
        <v>57</v>
      </c>
      <c r="O142" t="str">
        <f>INDEX(CoverageTable[Deductible Applies],MATCH(Table18[[#This Row],[Coverage]],CoverageTable[Coverage],0))</f>
        <v>No</v>
      </c>
      <c r="P142" t="str">
        <f>INDEX(CoverageTable[Coverage Limit Applies],MATCH(Table18[[#This Row],[Coverage]],CoverageTable[Coverage],0))</f>
        <v>Yes</v>
      </c>
      <c r="Q142" t="s">
        <v>10</v>
      </c>
      <c r="R142" t="s">
        <v>79</v>
      </c>
      <c r="S142" t="s">
        <v>57</v>
      </c>
      <c r="T142" t="s">
        <v>10</v>
      </c>
      <c r="U142" t="s">
        <v>10</v>
      </c>
      <c r="V142" t="s">
        <v>10</v>
      </c>
      <c r="W142" t="s">
        <v>10</v>
      </c>
    </row>
    <row r="143" spans="1:23" x14ac:dyDescent="0.3">
      <c r="A143" t="s">
        <v>234</v>
      </c>
      <c r="B143" s="7">
        <v>46064</v>
      </c>
      <c r="C143" t="s">
        <v>74</v>
      </c>
      <c r="D143" t="s">
        <v>1101</v>
      </c>
      <c r="E143" s="3">
        <v>5</v>
      </c>
      <c r="F143" s="3">
        <v>4</v>
      </c>
      <c r="G143" t="s">
        <v>11</v>
      </c>
      <c r="H143" t="s">
        <v>1107</v>
      </c>
      <c r="I143" t="s">
        <v>27</v>
      </c>
      <c r="J143" t="s">
        <v>51</v>
      </c>
      <c r="K143" t="s">
        <v>57</v>
      </c>
      <c r="L143" t="s">
        <v>10</v>
      </c>
      <c r="M143" t="s">
        <v>57</v>
      </c>
      <c r="N143" t="s">
        <v>57</v>
      </c>
      <c r="O143" t="str">
        <f>INDEX(CoverageTable[Deductible Applies],MATCH(Table18[[#This Row],[Coverage]],CoverageTable[Coverage],0))</f>
        <v>No</v>
      </c>
      <c r="P143" t="str">
        <f>INDEX(CoverageTable[Coverage Limit Applies],MATCH(Table18[[#This Row],[Coverage]],CoverageTable[Coverage],0))</f>
        <v>Yes</v>
      </c>
      <c r="Q143" t="s">
        <v>10</v>
      </c>
      <c r="R143" t="s">
        <v>80</v>
      </c>
      <c r="S143" t="s">
        <v>10</v>
      </c>
      <c r="T143" t="s">
        <v>10</v>
      </c>
      <c r="U143" t="s">
        <v>10</v>
      </c>
      <c r="V143" t="s">
        <v>10</v>
      </c>
      <c r="W143" t="s">
        <v>57</v>
      </c>
    </row>
    <row r="144" spans="1:23" x14ac:dyDescent="0.3">
      <c r="A144" t="s">
        <v>235</v>
      </c>
      <c r="B144" s="7">
        <v>45830</v>
      </c>
      <c r="C144" t="s">
        <v>70</v>
      </c>
      <c r="D144" t="s">
        <v>1097</v>
      </c>
      <c r="E144" s="3">
        <v>1</v>
      </c>
      <c r="F144" s="3">
        <v>1</v>
      </c>
      <c r="G144" t="s">
        <v>11</v>
      </c>
      <c r="H144" t="s">
        <v>1107</v>
      </c>
      <c r="I144" t="s">
        <v>27</v>
      </c>
      <c r="J144" t="s">
        <v>53</v>
      </c>
      <c r="K144" t="s">
        <v>10</v>
      </c>
      <c r="L144" t="s">
        <v>10</v>
      </c>
      <c r="M144" t="s">
        <v>10</v>
      </c>
      <c r="N144" t="s">
        <v>10</v>
      </c>
      <c r="O144" t="str">
        <f>INDEX(CoverageTable[Deductible Applies],MATCH(Table18[[#This Row],[Coverage]],CoverageTable[Coverage],0))</f>
        <v>No</v>
      </c>
      <c r="P144" t="str">
        <f>INDEX(CoverageTable[Coverage Limit Applies],MATCH(Table18[[#This Row],[Coverage]],CoverageTable[Coverage],0))</f>
        <v>Yes</v>
      </c>
      <c r="Q144" t="s">
        <v>10</v>
      </c>
      <c r="R144" t="s">
        <v>79</v>
      </c>
      <c r="S144" t="s">
        <v>10</v>
      </c>
      <c r="T144" t="s">
        <v>10</v>
      </c>
      <c r="U144" t="s">
        <v>10</v>
      </c>
      <c r="V144" t="s">
        <v>10</v>
      </c>
      <c r="W144" t="s">
        <v>10</v>
      </c>
    </row>
    <row r="145" spans="1:23" x14ac:dyDescent="0.3">
      <c r="A145" t="s">
        <v>236</v>
      </c>
      <c r="B145" s="7">
        <v>46047</v>
      </c>
      <c r="C145" t="s">
        <v>70</v>
      </c>
      <c r="D145" t="s">
        <v>1097</v>
      </c>
      <c r="E145" s="3">
        <v>7</v>
      </c>
      <c r="F145" s="3" t="s">
        <v>7</v>
      </c>
      <c r="G145" t="s">
        <v>12</v>
      </c>
      <c r="H145" t="s">
        <v>1106</v>
      </c>
      <c r="I145" t="s">
        <v>35</v>
      </c>
      <c r="J145" t="s">
        <v>51</v>
      </c>
      <c r="K145" t="s">
        <v>10</v>
      </c>
      <c r="L145" t="s">
        <v>10</v>
      </c>
      <c r="M145" t="s">
        <v>10</v>
      </c>
      <c r="N145" t="s">
        <v>57</v>
      </c>
      <c r="O145" t="str">
        <f>INDEX(CoverageTable[Deductible Applies],MATCH(Table18[[#This Row],[Coverage]],CoverageTable[Coverage],0))</f>
        <v>No</v>
      </c>
      <c r="P145" t="str">
        <f>INDEX(CoverageTable[Coverage Limit Applies],MATCH(Table18[[#This Row],[Coverage]],CoverageTable[Coverage],0))</f>
        <v>Yes</v>
      </c>
      <c r="Q145" t="s">
        <v>10</v>
      </c>
      <c r="R145" t="s">
        <v>78</v>
      </c>
      <c r="S145" t="s">
        <v>10</v>
      </c>
      <c r="T145" t="s">
        <v>57</v>
      </c>
      <c r="U145" t="s">
        <v>10</v>
      </c>
      <c r="V145" t="s">
        <v>10</v>
      </c>
      <c r="W145" t="s">
        <v>10</v>
      </c>
    </row>
    <row r="146" spans="1:23" x14ac:dyDescent="0.3">
      <c r="A146" t="s">
        <v>237</v>
      </c>
      <c r="B146" s="7">
        <v>45892</v>
      </c>
      <c r="C146" t="s">
        <v>71</v>
      </c>
      <c r="D146" t="s">
        <v>1099</v>
      </c>
      <c r="E146" s="3">
        <v>6</v>
      </c>
      <c r="F146" s="3">
        <v>3</v>
      </c>
      <c r="G146" t="s">
        <v>10</v>
      </c>
      <c r="H146" t="s">
        <v>1109</v>
      </c>
      <c r="I146" t="s">
        <v>23</v>
      </c>
      <c r="J146" t="s">
        <v>51</v>
      </c>
      <c r="K146" t="s">
        <v>10</v>
      </c>
      <c r="L146" t="s">
        <v>10</v>
      </c>
      <c r="M146" t="s">
        <v>57</v>
      </c>
      <c r="N146" t="s">
        <v>57</v>
      </c>
      <c r="O146" t="str">
        <f>INDEX(CoverageTable[Deductible Applies],MATCH(Table18[[#This Row],[Coverage]],CoverageTable[Coverage],0))</f>
        <v>Yes</v>
      </c>
      <c r="P146" t="str">
        <f>INDEX(CoverageTable[Coverage Limit Applies],MATCH(Table18[[#This Row],[Coverage]],CoverageTable[Coverage],0))</f>
        <v>No</v>
      </c>
      <c r="Q146" t="s">
        <v>78</v>
      </c>
      <c r="R146" t="s">
        <v>10</v>
      </c>
      <c r="S146" t="s">
        <v>57</v>
      </c>
      <c r="T146" t="s">
        <v>10</v>
      </c>
      <c r="U146" t="s">
        <v>10</v>
      </c>
      <c r="V146" t="s">
        <v>10</v>
      </c>
      <c r="W146" t="s">
        <v>10</v>
      </c>
    </row>
    <row r="147" spans="1:23" x14ac:dyDescent="0.3">
      <c r="A147" t="s">
        <v>238</v>
      </c>
      <c r="B147" s="7">
        <v>45877</v>
      </c>
      <c r="C147" t="s">
        <v>73</v>
      </c>
      <c r="D147" t="s">
        <v>1102</v>
      </c>
      <c r="E147" s="3">
        <v>5</v>
      </c>
      <c r="F147" s="3">
        <v>3</v>
      </c>
      <c r="G147" t="s">
        <v>10</v>
      </c>
      <c r="H147" t="s">
        <v>1107</v>
      </c>
      <c r="I147" t="s">
        <v>40</v>
      </c>
      <c r="J147" t="s">
        <v>50</v>
      </c>
      <c r="K147" t="s">
        <v>10</v>
      </c>
      <c r="L147" t="s">
        <v>57</v>
      </c>
      <c r="M147" t="s">
        <v>10</v>
      </c>
      <c r="N147" t="s">
        <v>57</v>
      </c>
      <c r="O147" t="str">
        <f>INDEX(CoverageTable[Deductible Applies],MATCH(Table18[[#This Row],[Coverage]],CoverageTable[Coverage],0))</f>
        <v>No</v>
      </c>
      <c r="P147" t="str">
        <f>INDEX(CoverageTable[Coverage Limit Applies],MATCH(Table18[[#This Row],[Coverage]],CoverageTable[Coverage],0))</f>
        <v>Yes</v>
      </c>
      <c r="Q147" t="s">
        <v>10</v>
      </c>
      <c r="R147" t="s">
        <v>79</v>
      </c>
      <c r="S147" t="s">
        <v>10</v>
      </c>
      <c r="T147" t="s">
        <v>10</v>
      </c>
      <c r="U147" t="s">
        <v>10</v>
      </c>
      <c r="V147" t="s">
        <v>10</v>
      </c>
      <c r="W147" t="s">
        <v>10</v>
      </c>
    </row>
    <row r="148" spans="1:23" x14ac:dyDescent="0.3">
      <c r="A148" t="s">
        <v>239</v>
      </c>
      <c r="B148" s="7">
        <v>46046</v>
      </c>
      <c r="C148" t="s">
        <v>71</v>
      </c>
      <c r="D148" t="s">
        <v>1099</v>
      </c>
      <c r="E148" s="3">
        <v>2</v>
      </c>
      <c r="F148" s="3">
        <v>4</v>
      </c>
      <c r="G148" t="s">
        <v>10</v>
      </c>
      <c r="H148" t="s">
        <v>1106</v>
      </c>
      <c r="I148" t="s">
        <v>22</v>
      </c>
      <c r="J148" t="s">
        <v>49</v>
      </c>
      <c r="K148" t="s">
        <v>10</v>
      </c>
      <c r="L148" t="s">
        <v>10</v>
      </c>
      <c r="M148" t="s">
        <v>10</v>
      </c>
      <c r="N148" t="s">
        <v>57</v>
      </c>
      <c r="O148" t="str">
        <f>INDEX(CoverageTable[Deductible Applies],MATCH(Table18[[#This Row],[Coverage]],CoverageTable[Coverage],0))</f>
        <v>Yes</v>
      </c>
      <c r="P148" t="str">
        <f>INDEX(CoverageTable[Coverage Limit Applies],MATCH(Table18[[#This Row],[Coverage]],CoverageTable[Coverage],0))</f>
        <v>No</v>
      </c>
      <c r="Q148" t="s">
        <v>79</v>
      </c>
      <c r="R148" t="s">
        <v>10</v>
      </c>
      <c r="S148" t="s">
        <v>10</v>
      </c>
      <c r="T148" t="s">
        <v>10</v>
      </c>
      <c r="U148" t="s">
        <v>10</v>
      </c>
      <c r="V148" t="s">
        <v>10</v>
      </c>
      <c r="W148" t="s">
        <v>10</v>
      </c>
    </row>
    <row r="149" spans="1:23" x14ac:dyDescent="0.3">
      <c r="A149" t="s">
        <v>240</v>
      </c>
      <c r="B149" s="7">
        <v>45888</v>
      </c>
      <c r="C149" t="s">
        <v>72</v>
      </c>
      <c r="D149" t="s">
        <v>1102</v>
      </c>
      <c r="E149" s="3">
        <v>1</v>
      </c>
      <c r="F149" s="3">
        <v>0</v>
      </c>
      <c r="G149" t="s">
        <v>10</v>
      </c>
      <c r="H149" t="s">
        <v>1108</v>
      </c>
      <c r="I149" t="s">
        <v>26</v>
      </c>
      <c r="J149" t="s">
        <v>48</v>
      </c>
      <c r="K149" t="s">
        <v>10</v>
      </c>
      <c r="L149" t="s">
        <v>10</v>
      </c>
      <c r="M149" t="s">
        <v>10</v>
      </c>
      <c r="N149" t="s">
        <v>10</v>
      </c>
      <c r="O149" t="str">
        <f>INDEX(CoverageTable[Deductible Applies],MATCH(Table18[[#This Row],[Coverage]],CoverageTable[Coverage],0))</f>
        <v>Yes</v>
      </c>
      <c r="P149" t="str">
        <f>INDEX(CoverageTable[Coverage Limit Applies],MATCH(Table18[[#This Row],[Coverage]],CoverageTable[Coverage],0))</f>
        <v>No</v>
      </c>
      <c r="Q149" t="s">
        <v>80</v>
      </c>
      <c r="R149" t="s">
        <v>10</v>
      </c>
      <c r="S149" t="s">
        <v>57</v>
      </c>
      <c r="T149" t="s">
        <v>10</v>
      </c>
      <c r="U149" t="s">
        <v>10</v>
      </c>
      <c r="V149" t="s">
        <v>10</v>
      </c>
      <c r="W149" t="s">
        <v>10</v>
      </c>
    </row>
    <row r="150" spans="1:23" x14ac:dyDescent="0.3">
      <c r="A150" t="s">
        <v>241</v>
      </c>
      <c r="B150" s="7">
        <v>46081</v>
      </c>
      <c r="C150" t="s">
        <v>71</v>
      </c>
      <c r="D150" t="s">
        <v>1100</v>
      </c>
      <c r="E150" s="3" t="s">
        <v>1103</v>
      </c>
      <c r="F150" s="3">
        <v>0</v>
      </c>
      <c r="G150" t="s">
        <v>13</v>
      </c>
      <c r="H150" t="s">
        <v>1110</v>
      </c>
      <c r="I150" t="s">
        <v>21</v>
      </c>
      <c r="J150" t="s">
        <v>53</v>
      </c>
      <c r="K150" t="s">
        <v>10</v>
      </c>
      <c r="L150" t="s">
        <v>10</v>
      </c>
      <c r="M150" t="s">
        <v>10</v>
      </c>
      <c r="N150" t="s">
        <v>57</v>
      </c>
      <c r="O150" t="str">
        <f>INDEX(CoverageTable[Deductible Applies],MATCH(Table18[[#This Row],[Coverage]],CoverageTable[Coverage],0))</f>
        <v>Yes</v>
      </c>
      <c r="P150" t="str">
        <f>INDEX(CoverageTable[Coverage Limit Applies],MATCH(Table18[[#This Row],[Coverage]],CoverageTable[Coverage],0))</f>
        <v>No</v>
      </c>
      <c r="Q150" t="s">
        <v>80</v>
      </c>
      <c r="R150" t="s">
        <v>10</v>
      </c>
      <c r="S150" t="s">
        <v>10</v>
      </c>
      <c r="T150" t="s">
        <v>57</v>
      </c>
      <c r="U150" t="s">
        <v>57</v>
      </c>
      <c r="V150" t="s">
        <v>10</v>
      </c>
      <c r="W150" t="s">
        <v>10</v>
      </c>
    </row>
    <row r="151" spans="1:23" x14ac:dyDescent="0.3">
      <c r="A151" t="s">
        <v>242</v>
      </c>
      <c r="B151" s="7">
        <v>46089</v>
      </c>
      <c r="C151" t="s">
        <v>73</v>
      </c>
      <c r="D151" t="s">
        <v>1102</v>
      </c>
      <c r="E151" s="3">
        <v>2</v>
      </c>
      <c r="F151" s="3">
        <v>1</v>
      </c>
      <c r="G151" t="s">
        <v>13</v>
      </c>
      <c r="H151" t="s">
        <v>1110</v>
      </c>
      <c r="I151" t="s">
        <v>43</v>
      </c>
      <c r="J151" t="s">
        <v>50</v>
      </c>
      <c r="K151" t="s">
        <v>57</v>
      </c>
      <c r="L151" t="s">
        <v>10</v>
      </c>
      <c r="M151" t="s">
        <v>57</v>
      </c>
      <c r="N151" t="s">
        <v>10</v>
      </c>
      <c r="O151" t="str">
        <f>INDEX(CoverageTable[Deductible Applies],MATCH(Table18[[#This Row],[Coverage]],CoverageTable[Coverage],0))</f>
        <v>No</v>
      </c>
      <c r="P151" t="str">
        <f>INDEX(CoverageTable[Coverage Limit Applies],MATCH(Table18[[#This Row],[Coverage]],CoverageTable[Coverage],0))</f>
        <v>Yes</v>
      </c>
      <c r="Q151" t="s">
        <v>10</v>
      </c>
      <c r="R151" t="s">
        <v>78</v>
      </c>
      <c r="S151" t="s">
        <v>10</v>
      </c>
      <c r="T151" t="s">
        <v>57</v>
      </c>
      <c r="U151" t="s">
        <v>57</v>
      </c>
      <c r="V151" t="s">
        <v>10</v>
      </c>
      <c r="W151" t="s">
        <v>10</v>
      </c>
    </row>
    <row r="152" spans="1:23" x14ac:dyDescent="0.3">
      <c r="A152" t="s">
        <v>243</v>
      </c>
      <c r="B152" s="7">
        <v>46110</v>
      </c>
      <c r="C152" t="s">
        <v>70</v>
      </c>
      <c r="D152" t="s">
        <v>1097</v>
      </c>
      <c r="E152" s="3">
        <v>1</v>
      </c>
      <c r="F152" s="3" t="s">
        <v>7</v>
      </c>
      <c r="G152" t="s">
        <v>10</v>
      </c>
      <c r="H152" t="s">
        <v>1108</v>
      </c>
      <c r="I152" t="s">
        <v>40</v>
      </c>
      <c r="J152" t="s">
        <v>53</v>
      </c>
      <c r="K152" t="s">
        <v>10</v>
      </c>
      <c r="L152" t="s">
        <v>10</v>
      </c>
      <c r="M152" t="s">
        <v>10</v>
      </c>
      <c r="N152" t="s">
        <v>10</v>
      </c>
      <c r="O152" t="str">
        <f>INDEX(CoverageTable[Deductible Applies],MATCH(Table18[[#This Row],[Coverage]],CoverageTable[Coverage],0))</f>
        <v>No</v>
      </c>
      <c r="P152" t="str">
        <f>INDEX(CoverageTable[Coverage Limit Applies],MATCH(Table18[[#This Row],[Coverage]],CoverageTable[Coverage],0))</f>
        <v>Yes</v>
      </c>
      <c r="Q152" t="s">
        <v>10</v>
      </c>
      <c r="R152" t="s">
        <v>80</v>
      </c>
      <c r="S152" t="s">
        <v>10</v>
      </c>
      <c r="T152" t="s">
        <v>57</v>
      </c>
      <c r="U152" t="s">
        <v>10</v>
      </c>
      <c r="V152" t="s">
        <v>10</v>
      </c>
      <c r="W152" t="s">
        <v>10</v>
      </c>
    </row>
    <row r="153" spans="1:23" x14ac:dyDescent="0.3">
      <c r="A153" t="s">
        <v>244</v>
      </c>
      <c r="B153" s="7">
        <v>46100</v>
      </c>
      <c r="C153" t="s">
        <v>70</v>
      </c>
      <c r="D153" t="s">
        <v>1101</v>
      </c>
      <c r="E153" s="3">
        <v>5</v>
      </c>
      <c r="F153" s="3">
        <v>4</v>
      </c>
      <c r="G153" t="s">
        <v>10</v>
      </c>
      <c r="H153" t="s">
        <v>1108</v>
      </c>
      <c r="I153" t="s">
        <v>31</v>
      </c>
      <c r="J153" t="s">
        <v>50</v>
      </c>
      <c r="K153" t="s">
        <v>10</v>
      </c>
      <c r="L153" t="s">
        <v>10</v>
      </c>
      <c r="M153" t="s">
        <v>10</v>
      </c>
      <c r="N153" t="s">
        <v>57</v>
      </c>
      <c r="O153" t="str">
        <f>INDEX(CoverageTable[Deductible Applies],MATCH(Table18[[#This Row],[Coverage]],CoverageTable[Coverage],0))</f>
        <v>No</v>
      </c>
      <c r="P153" t="str">
        <f>INDEX(CoverageTable[Coverage Limit Applies],MATCH(Table18[[#This Row],[Coverage]],CoverageTable[Coverage],0))</f>
        <v>Yes</v>
      </c>
      <c r="Q153" t="s">
        <v>10</v>
      </c>
      <c r="R153" t="s">
        <v>80</v>
      </c>
      <c r="S153" t="s">
        <v>10</v>
      </c>
      <c r="T153" t="s">
        <v>57</v>
      </c>
      <c r="U153" t="s">
        <v>10</v>
      </c>
      <c r="V153" t="s">
        <v>10</v>
      </c>
      <c r="W153" t="s">
        <v>10</v>
      </c>
    </row>
    <row r="154" spans="1:23" x14ac:dyDescent="0.3">
      <c r="A154" t="s">
        <v>245</v>
      </c>
      <c r="B154" s="7">
        <v>46035</v>
      </c>
      <c r="C154" t="s">
        <v>74</v>
      </c>
      <c r="D154" t="s">
        <v>1099</v>
      </c>
      <c r="E154" s="3">
        <v>2</v>
      </c>
      <c r="F154" s="3" t="s">
        <v>7</v>
      </c>
      <c r="G154" t="s">
        <v>10</v>
      </c>
      <c r="H154" t="s">
        <v>1106</v>
      </c>
      <c r="I154" t="s">
        <v>26</v>
      </c>
      <c r="J154" t="s">
        <v>51</v>
      </c>
      <c r="K154" t="s">
        <v>57</v>
      </c>
      <c r="L154" t="s">
        <v>57</v>
      </c>
      <c r="M154" t="s">
        <v>10</v>
      </c>
      <c r="N154" t="s">
        <v>57</v>
      </c>
      <c r="O154" t="str">
        <f>INDEX(CoverageTable[Deductible Applies],MATCH(Table18[[#This Row],[Coverage]],CoverageTable[Coverage],0))</f>
        <v>No</v>
      </c>
      <c r="P154" t="str">
        <f>INDEX(CoverageTable[Coverage Limit Applies],MATCH(Table18[[#This Row],[Coverage]],CoverageTable[Coverage],0))</f>
        <v>Yes</v>
      </c>
      <c r="Q154" t="s">
        <v>10</v>
      </c>
      <c r="R154" t="s">
        <v>79</v>
      </c>
      <c r="S154" t="s">
        <v>57</v>
      </c>
      <c r="T154" t="s">
        <v>10</v>
      </c>
      <c r="U154" t="s">
        <v>10</v>
      </c>
      <c r="V154" t="s">
        <v>10</v>
      </c>
      <c r="W154" t="s">
        <v>10</v>
      </c>
    </row>
    <row r="155" spans="1:23" x14ac:dyDescent="0.3">
      <c r="A155" t="s">
        <v>246</v>
      </c>
      <c r="B155" s="7">
        <v>46012</v>
      </c>
      <c r="C155" t="s">
        <v>71</v>
      </c>
      <c r="D155" t="s">
        <v>1098</v>
      </c>
      <c r="E155" s="3">
        <v>3</v>
      </c>
      <c r="F155" s="3">
        <v>3</v>
      </c>
      <c r="G155" t="s">
        <v>10</v>
      </c>
      <c r="H155" t="s">
        <v>1108</v>
      </c>
      <c r="I155" t="s">
        <v>26</v>
      </c>
      <c r="J155" t="s">
        <v>48</v>
      </c>
      <c r="K155" t="s">
        <v>10</v>
      </c>
      <c r="L155" t="s">
        <v>10</v>
      </c>
      <c r="M155" t="s">
        <v>10</v>
      </c>
      <c r="N155" t="s">
        <v>10</v>
      </c>
      <c r="O155" t="str">
        <f>INDEX(CoverageTable[Deductible Applies],MATCH(Table18[[#This Row],[Coverage]],CoverageTable[Coverage],0))</f>
        <v>Yes</v>
      </c>
      <c r="P155" t="str">
        <f>INDEX(CoverageTable[Coverage Limit Applies],MATCH(Table18[[#This Row],[Coverage]],CoverageTable[Coverage],0))</f>
        <v>No</v>
      </c>
      <c r="Q155" t="s">
        <v>78</v>
      </c>
      <c r="R155" t="s">
        <v>10</v>
      </c>
      <c r="S155" t="s">
        <v>10</v>
      </c>
      <c r="T155" t="s">
        <v>57</v>
      </c>
      <c r="U155" t="s">
        <v>57</v>
      </c>
      <c r="V155" t="s">
        <v>10</v>
      </c>
      <c r="W155" t="s">
        <v>10</v>
      </c>
    </row>
    <row r="156" spans="1:23" x14ac:dyDescent="0.3">
      <c r="A156" t="s">
        <v>247</v>
      </c>
      <c r="B156" s="7">
        <v>45782</v>
      </c>
      <c r="C156" t="s">
        <v>70</v>
      </c>
      <c r="D156" t="s">
        <v>1100</v>
      </c>
      <c r="E156" s="3">
        <v>5</v>
      </c>
      <c r="F156" s="3">
        <v>0</v>
      </c>
      <c r="G156" t="s">
        <v>10</v>
      </c>
      <c r="H156" t="s">
        <v>1109</v>
      </c>
      <c r="I156" t="s">
        <v>21</v>
      </c>
      <c r="J156" t="s">
        <v>49</v>
      </c>
      <c r="K156" t="s">
        <v>10</v>
      </c>
      <c r="L156" t="s">
        <v>10</v>
      </c>
      <c r="M156" t="s">
        <v>10</v>
      </c>
      <c r="N156" t="s">
        <v>10</v>
      </c>
      <c r="O156" t="str">
        <f>INDEX(CoverageTable[Deductible Applies],MATCH(Table18[[#This Row],[Coverage]],CoverageTable[Coverage],0))</f>
        <v>No</v>
      </c>
      <c r="P156" t="str">
        <f>INDEX(CoverageTable[Coverage Limit Applies],MATCH(Table18[[#This Row],[Coverage]],CoverageTable[Coverage],0))</f>
        <v>Yes</v>
      </c>
      <c r="Q156" t="s">
        <v>10</v>
      </c>
      <c r="R156" t="s">
        <v>78</v>
      </c>
      <c r="S156" t="s">
        <v>10</v>
      </c>
      <c r="T156" t="s">
        <v>10</v>
      </c>
      <c r="U156" t="s">
        <v>10</v>
      </c>
      <c r="V156" t="s">
        <v>57</v>
      </c>
      <c r="W156" t="s">
        <v>10</v>
      </c>
    </row>
    <row r="157" spans="1:23" x14ac:dyDescent="0.3">
      <c r="A157" t="s">
        <v>248</v>
      </c>
      <c r="B157" s="7">
        <v>46143</v>
      </c>
      <c r="C157" t="s">
        <v>70</v>
      </c>
      <c r="D157" t="s">
        <v>1097</v>
      </c>
      <c r="E157" s="3">
        <v>5</v>
      </c>
      <c r="F157" s="3">
        <v>0</v>
      </c>
      <c r="G157" t="s">
        <v>12</v>
      </c>
      <c r="H157" t="s">
        <v>1106</v>
      </c>
      <c r="I157" t="s">
        <v>26</v>
      </c>
      <c r="J157" t="s">
        <v>54</v>
      </c>
      <c r="K157" t="s">
        <v>10</v>
      </c>
      <c r="L157" t="s">
        <v>10</v>
      </c>
      <c r="M157" t="s">
        <v>57</v>
      </c>
      <c r="N157" t="s">
        <v>57</v>
      </c>
      <c r="O157" t="str">
        <f>INDEX(CoverageTable[Deductible Applies],MATCH(Table18[[#This Row],[Coverage]],CoverageTable[Coverage],0))</f>
        <v>No</v>
      </c>
      <c r="P157" t="str">
        <f>INDEX(CoverageTable[Coverage Limit Applies],MATCH(Table18[[#This Row],[Coverage]],CoverageTable[Coverage],0))</f>
        <v>Yes</v>
      </c>
      <c r="Q157" t="s">
        <v>10</v>
      </c>
      <c r="R157" t="s">
        <v>78</v>
      </c>
      <c r="S157" t="s">
        <v>57</v>
      </c>
      <c r="T157" t="s">
        <v>57</v>
      </c>
      <c r="U157" t="s">
        <v>10</v>
      </c>
      <c r="V157" t="s">
        <v>10</v>
      </c>
      <c r="W157" t="s">
        <v>10</v>
      </c>
    </row>
    <row r="158" spans="1:23" x14ac:dyDescent="0.3">
      <c r="A158" t="s">
        <v>249</v>
      </c>
      <c r="B158" s="7">
        <v>45881</v>
      </c>
      <c r="C158" t="s">
        <v>70</v>
      </c>
      <c r="D158" t="s">
        <v>1101</v>
      </c>
      <c r="E158" s="3">
        <v>5</v>
      </c>
      <c r="F158" s="3">
        <v>1</v>
      </c>
      <c r="G158" t="s">
        <v>10</v>
      </c>
      <c r="H158" t="s">
        <v>1109</v>
      </c>
      <c r="I158" t="s">
        <v>30</v>
      </c>
      <c r="J158" t="s">
        <v>52</v>
      </c>
      <c r="K158" t="s">
        <v>10</v>
      </c>
      <c r="L158" t="s">
        <v>10</v>
      </c>
      <c r="M158" t="s">
        <v>10</v>
      </c>
      <c r="N158" t="s">
        <v>10</v>
      </c>
      <c r="O158" t="str">
        <f>INDEX(CoverageTable[Deductible Applies],MATCH(Table18[[#This Row],[Coverage]],CoverageTable[Coverage],0))</f>
        <v>No</v>
      </c>
      <c r="P158" t="str">
        <f>INDEX(CoverageTable[Coverage Limit Applies],MATCH(Table18[[#This Row],[Coverage]],CoverageTable[Coverage],0))</f>
        <v>Yes</v>
      </c>
      <c r="Q158" t="s">
        <v>10</v>
      </c>
      <c r="R158" t="s">
        <v>78</v>
      </c>
      <c r="S158" t="s">
        <v>10</v>
      </c>
      <c r="T158" t="s">
        <v>57</v>
      </c>
      <c r="U158" t="s">
        <v>57</v>
      </c>
      <c r="V158" t="s">
        <v>10</v>
      </c>
      <c r="W158" t="s">
        <v>57</v>
      </c>
    </row>
    <row r="159" spans="1:23" x14ac:dyDescent="0.3">
      <c r="A159" t="s">
        <v>250</v>
      </c>
      <c r="B159" s="7">
        <v>45991</v>
      </c>
      <c r="C159" t="s">
        <v>71</v>
      </c>
      <c r="D159" t="s">
        <v>1102</v>
      </c>
      <c r="E159" s="3">
        <v>3</v>
      </c>
      <c r="F159" s="3">
        <v>4</v>
      </c>
      <c r="G159" t="s">
        <v>13</v>
      </c>
      <c r="H159" t="s">
        <v>1108</v>
      </c>
      <c r="I159" t="s">
        <v>43</v>
      </c>
      <c r="J159" t="s">
        <v>49</v>
      </c>
      <c r="K159" t="s">
        <v>10</v>
      </c>
      <c r="L159" t="s">
        <v>57</v>
      </c>
      <c r="M159" t="s">
        <v>10</v>
      </c>
      <c r="N159" t="s">
        <v>57</v>
      </c>
      <c r="O159" t="str">
        <f>INDEX(CoverageTable[Deductible Applies],MATCH(Table18[[#This Row],[Coverage]],CoverageTable[Coverage],0))</f>
        <v>Yes</v>
      </c>
      <c r="P159" t="str">
        <f>INDEX(CoverageTable[Coverage Limit Applies],MATCH(Table18[[#This Row],[Coverage]],CoverageTable[Coverage],0))</f>
        <v>No</v>
      </c>
      <c r="Q159" t="s">
        <v>80</v>
      </c>
      <c r="R159" t="s">
        <v>10</v>
      </c>
      <c r="S159" t="s">
        <v>10</v>
      </c>
      <c r="T159" t="s">
        <v>10</v>
      </c>
      <c r="U159" t="s">
        <v>10</v>
      </c>
      <c r="V159" t="s">
        <v>10</v>
      </c>
      <c r="W159" t="s">
        <v>57</v>
      </c>
    </row>
    <row r="160" spans="1:23" x14ac:dyDescent="0.3">
      <c r="A160" t="s">
        <v>251</v>
      </c>
      <c r="B160" s="7">
        <v>46077</v>
      </c>
      <c r="C160" t="s">
        <v>74</v>
      </c>
      <c r="D160" t="s">
        <v>1098</v>
      </c>
      <c r="E160" s="3">
        <v>6</v>
      </c>
      <c r="F160" s="3">
        <v>2</v>
      </c>
      <c r="G160" t="s">
        <v>10</v>
      </c>
      <c r="H160" t="s">
        <v>1108</v>
      </c>
      <c r="I160" t="s">
        <v>21</v>
      </c>
      <c r="J160" t="s">
        <v>53</v>
      </c>
      <c r="K160" t="s">
        <v>10</v>
      </c>
      <c r="L160" t="s">
        <v>10</v>
      </c>
      <c r="M160" t="s">
        <v>10</v>
      </c>
      <c r="N160" t="s">
        <v>10</v>
      </c>
      <c r="O160" t="str">
        <f>INDEX(CoverageTable[Deductible Applies],MATCH(Table18[[#This Row],[Coverage]],CoverageTable[Coverage],0))</f>
        <v>No</v>
      </c>
      <c r="P160" t="str">
        <f>INDEX(CoverageTable[Coverage Limit Applies],MATCH(Table18[[#This Row],[Coverage]],CoverageTable[Coverage],0))</f>
        <v>Yes</v>
      </c>
      <c r="Q160" t="s">
        <v>10</v>
      </c>
      <c r="R160" t="s">
        <v>79</v>
      </c>
      <c r="S160" t="s">
        <v>10</v>
      </c>
      <c r="T160" t="s">
        <v>10</v>
      </c>
      <c r="U160" t="s">
        <v>10</v>
      </c>
      <c r="V160" t="s">
        <v>57</v>
      </c>
      <c r="W160" t="s">
        <v>10</v>
      </c>
    </row>
    <row r="161" spans="1:23" x14ac:dyDescent="0.3">
      <c r="A161" t="s">
        <v>252</v>
      </c>
      <c r="B161" s="7">
        <v>46114</v>
      </c>
      <c r="C161" t="s">
        <v>71</v>
      </c>
      <c r="D161" t="s">
        <v>1098</v>
      </c>
      <c r="E161" s="3">
        <v>1</v>
      </c>
      <c r="F161" s="3">
        <v>2</v>
      </c>
      <c r="G161" t="s">
        <v>13</v>
      </c>
      <c r="H161" t="s">
        <v>1109</v>
      </c>
      <c r="I161" t="s">
        <v>35</v>
      </c>
      <c r="J161" t="s">
        <v>54</v>
      </c>
      <c r="K161" t="s">
        <v>10</v>
      </c>
      <c r="L161" t="s">
        <v>10</v>
      </c>
      <c r="M161" t="s">
        <v>10</v>
      </c>
      <c r="N161" t="s">
        <v>10</v>
      </c>
      <c r="O161" t="str">
        <f>INDEX(CoverageTable[Deductible Applies],MATCH(Table18[[#This Row],[Coverage]],CoverageTable[Coverage],0))</f>
        <v>Yes</v>
      </c>
      <c r="P161" t="str">
        <f>INDEX(CoverageTable[Coverage Limit Applies],MATCH(Table18[[#This Row],[Coverage]],CoverageTable[Coverage],0))</f>
        <v>No</v>
      </c>
      <c r="Q161" t="s">
        <v>80</v>
      </c>
      <c r="R161" t="s">
        <v>10</v>
      </c>
      <c r="S161" t="s">
        <v>10</v>
      </c>
      <c r="T161" t="s">
        <v>57</v>
      </c>
      <c r="U161" t="s">
        <v>57</v>
      </c>
      <c r="V161" t="s">
        <v>10</v>
      </c>
      <c r="W161" t="s">
        <v>10</v>
      </c>
    </row>
    <row r="162" spans="1:23" x14ac:dyDescent="0.3">
      <c r="A162" t="s">
        <v>253</v>
      </c>
      <c r="B162" s="7">
        <v>45937</v>
      </c>
      <c r="C162" t="s">
        <v>70</v>
      </c>
      <c r="D162" t="s">
        <v>1099</v>
      </c>
      <c r="E162" s="3">
        <v>2</v>
      </c>
      <c r="F162" s="3">
        <v>4</v>
      </c>
      <c r="G162" t="s">
        <v>11</v>
      </c>
      <c r="H162" t="s">
        <v>1109</v>
      </c>
      <c r="I162" t="s">
        <v>28</v>
      </c>
      <c r="J162" t="s">
        <v>53</v>
      </c>
      <c r="K162" t="s">
        <v>10</v>
      </c>
      <c r="L162" t="s">
        <v>10</v>
      </c>
      <c r="M162" t="s">
        <v>10</v>
      </c>
      <c r="N162" t="s">
        <v>10</v>
      </c>
      <c r="O162" t="str">
        <f>INDEX(CoverageTable[Deductible Applies],MATCH(Table18[[#This Row],[Coverage]],CoverageTable[Coverage],0))</f>
        <v>No</v>
      </c>
      <c r="P162" t="str">
        <f>INDEX(CoverageTable[Coverage Limit Applies],MATCH(Table18[[#This Row],[Coverage]],CoverageTable[Coverage],0))</f>
        <v>Yes</v>
      </c>
      <c r="Q162" t="s">
        <v>10</v>
      </c>
      <c r="R162" t="s">
        <v>80</v>
      </c>
      <c r="S162" t="s">
        <v>57</v>
      </c>
      <c r="T162" t="s">
        <v>10</v>
      </c>
      <c r="U162" t="s">
        <v>57</v>
      </c>
      <c r="V162" t="s">
        <v>10</v>
      </c>
      <c r="W162" t="s">
        <v>57</v>
      </c>
    </row>
    <row r="163" spans="1:23" x14ac:dyDescent="0.3">
      <c r="A163" t="s">
        <v>254</v>
      </c>
      <c r="B163" s="7">
        <v>46130</v>
      </c>
      <c r="C163" t="s">
        <v>70</v>
      </c>
      <c r="D163" t="s">
        <v>1102</v>
      </c>
      <c r="E163" s="3">
        <v>3</v>
      </c>
      <c r="F163" s="3">
        <v>0</v>
      </c>
      <c r="G163" t="s">
        <v>13</v>
      </c>
      <c r="H163" t="s">
        <v>1110</v>
      </c>
      <c r="I163" t="s">
        <v>27</v>
      </c>
      <c r="J163" t="s">
        <v>54</v>
      </c>
      <c r="K163" t="s">
        <v>10</v>
      </c>
      <c r="L163" t="s">
        <v>10</v>
      </c>
      <c r="M163" t="s">
        <v>10</v>
      </c>
      <c r="N163" t="s">
        <v>57</v>
      </c>
      <c r="O163" t="str">
        <f>INDEX(CoverageTable[Deductible Applies],MATCH(Table18[[#This Row],[Coverage]],CoverageTable[Coverage],0))</f>
        <v>No</v>
      </c>
      <c r="P163" t="str">
        <f>INDEX(CoverageTable[Coverage Limit Applies],MATCH(Table18[[#This Row],[Coverage]],CoverageTable[Coverage],0))</f>
        <v>Yes</v>
      </c>
      <c r="Q163" t="s">
        <v>10</v>
      </c>
      <c r="R163" t="s">
        <v>80</v>
      </c>
      <c r="S163" t="s">
        <v>10</v>
      </c>
      <c r="T163" t="s">
        <v>57</v>
      </c>
      <c r="U163" t="s">
        <v>10</v>
      </c>
      <c r="V163" t="s">
        <v>10</v>
      </c>
      <c r="W163" t="s">
        <v>10</v>
      </c>
    </row>
    <row r="164" spans="1:23" x14ac:dyDescent="0.3">
      <c r="A164" t="s">
        <v>255</v>
      </c>
      <c r="B164" s="7">
        <v>46064</v>
      </c>
      <c r="C164" t="s">
        <v>74</v>
      </c>
      <c r="D164" t="s">
        <v>1102</v>
      </c>
      <c r="E164" s="3" t="s">
        <v>1103</v>
      </c>
      <c r="F164" s="3">
        <v>1</v>
      </c>
      <c r="G164" t="s">
        <v>10</v>
      </c>
      <c r="H164" t="s">
        <v>1109</v>
      </c>
      <c r="I164" t="s">
        <v>34</v>
      </c>
      <c r="J164" t="s">
        <v>51</v>
      </c>
      <c r="K164" t="s">
        <v>10</v>
      </c>
      <c r="L164" t="s">
        <v>10</v>
      </c>
      <c r="M164" t="s">
        <v>57</v>
      </c>
      <c r="N164" t="s">
        <v>57</v>
      </c>
      <c r="O164" t="str">
        <f>INDEX(CoverageTable[Deductible Applies],MATCH(Table18[[#This Row],[Coverage]],CoverageTable[Coverage],0))</f>
        <v>No</v>
      </c>
      <c r="P164" t="str">
        <f>INDEX(CoverageTable[Coverage Limit Applies],MATCH(Table18[[#This Row],[Coverage]],CoverageTable[Coverage],0))</f>
        <v>Yes</v>
      </c>
      <c r="Q164" t="s">
        <v>10</v>
      </c>
      <c r="R164" t="s">
        <v>78</v>
      </c>
      <c r="S164" t="s">
        <v>10</v>
      </c>
      <c r="T164" t="s">
        <v>10</v>
      </c>
      <c r="U164" t="s">
        <v>10</v>
      </c>
      <c r="V164" t="s">
        <v>10</v>
      </c>
      <c r="W164" t="s">
        <v>57</v>
      </c>
    </row>
    <row r="165" spans="1:23" x14ac:dyDescent="0.3">
      <c r="A165" t="s">
        <v>256</v>
      </c>
      <c r="B165" s="7">
        <v>46026</v>
      </c>
      <c r="C165" t="s">
        <v>71</v>
      </c>
      <c r="D165" t="s">
        <v>1101</v>
      </c>
      <c r="E165" s="3">
        <v>2</v>
      </c>
      <c r="F165" s="3">
        <v>1</v>
      </c>
      <c r="G165" t="s">
        <v>10</v>
      </c>
      <c r="H165" t="s">
        <v>1106</v>
      </c>
      <c r="I165" t="s">
        <v>43</v>
      </c>
      <c r="J165" t="s">
        <v>50</v>
      </c>
      <c r="K165" t="s">
        <v>10</v>
      </c>
      <c r="L165" t="s">
        <v>10</v>
      </c>
      <c r="M165" t="s">
        <v>10</v>
      </c>
      <c r="N165" t="s">
        <v>10</v>
      </c>
      <c r="O165" t="str">
        <f>INDEX(CoverageTable[Deductible Applies],MATCH(Table18[[#This Row],[Coverage]],CoverageTable[Coverage],0))</f>
        <v>Yes</v>
      </c>
      <c r="P165" t="str">
        <f>INDEX(CoverageTable[Coverage Limit Applies],MATCH(Table18[[#This Row],[Coverage]],CoverageTable[Coverage],0))</f>
        <v>No</v>
      </c>
      <c r="Q165" t="s">
        <v>80</v>
      </c>
      <c r="R165" t="s">
        <v>10</v>
      </c>
      <c r="S165" t="s">
        <v>10</v>
      </c>
      <c r="T165" t="s">
        <v>10</v>
      </c>
      <c r="U165" t="s">
        <v>10</v>
      </c>
      <c r="V165" t="s">
        <v>57</v>
      </c>
      <c r="W165" t="s">
        <v>10</v>
      </c>
    </row>
    <row r="166" spans="1:23" x14ac:dyDescent="0.3">
      <c r="A166" t="s">
        <v>257</v>
      </c>
      <c r="B166" s="7">
        <v>45971</v>
      </c>
      <c r="C166" t="s">
        <v>70</v>
      </c>
      <c r="D166" t="s">
        <v>1102</v>
      </c>
      <c r="E166" s="3">
        <v>3</v>
      </c>
      <c r="F166" s="3">
        <v>0</v>
      </c>
      <c r="G166" t="s">
        <v>10</v>
      </c>
      <c r="H166" t="s">
        <v>1110</v>
      </c>
      <c r="I166" t="s">
        <v>26</v>
      </c>
      <c r="J166" t="s">
        <v>54</v>
      </c>
      <c r="K166" t="s">
        <v>10</v>
      </c>
      <c r="L166" t="s">
        <v>10</v>
      </c>
      <c r="M166" t="s">
        <v>10</v>
      </c>
      <c r="N166" t="s">
        <v>10</v>
      </c>
      <c r="O166" t="str">
        <f>INDEX(CoverageTable[Deductible Applies],MATCH(Table18[[#This Row],[Coverage]],CoverageTable[Coverage],0))</f>
        <v>No</v>
      </c>
      <c r="P166" t="str">
        <f>INDEX(CoverageTable[Coverage Limit Applies],MATCH(Table18[[#This Row],[Coverage]],CoverageTable[Coverage],0))</f>
        <v>Yes</v>
      </c>
      <c r="Q166" t="s">
        <v>10</v>
      </c>
      <c r="R166" t="s">
        <v>80</v>
      </c>
      <c r="S166" t="s">
        <v>10</v>
      </c>
      <c r="T166" t="s">
        <v>10</v>
      </c>
      <c r="U166" t="s">
        <v>57</v>
      </c>
      <c r="V166" t="s">
        <v>10</v>
      </c>
      <c r="W166" t="s">
        <v>57</v>
      </c>
    </row>
    <row r="167" spans="1:23" x14ac:dyDescent="0.3">
      <c r="A167" t="s">
        <v>258</v>
      </c>
      <c r="B167" s="7">
        <v>45829</v>
      </c>
      <c r="C167" t="s">
        <v>71</v>
      </c>
      <c r="D167" t="s">
        <v>1100</v>
      </c>
      <c r="E167" s="3" t="s">
        <v>1103</v>
      </c>
      <c r="F167" s="3">
        <v>2</v>
      </c>
      <c r="G167" t="s">
        <v>12</v>
      </c>
      <c r="H167" t="s">
        <v>1106</v>
      </c>
      <c r="I167" t="s">
        <v>33</v>
      </c>
      <c r="J167" t="s">
        <v>48</v>
      </c>
      <c r="K167" t="s">
        <v>10</v>
      </c>
      <c r="L167" t="s">
        <v>10</v>
      </c>
      <c r="M167" t="s">
        <v>10</v>
      </c>
      <c r="N167" t="s">
        <v>10</v>
      </c>
      <c r="O167" t="str">
        <f>INDEX(CoverageTable[Deductible Applies],MATCH(Table18[[#This Row],[Coverage]],CoverageTable[Coverage],0))</f>
        <v>Yes</v>
      </c>
      <c r="P167" t="str">
        <f>INDEX(CoverageTable[Coverage Limit Applies],MATCH(Table18[[#This Row],[Coverage]],CoverageTable[Coverage],0))</f>
        <v>No</v>
      </c>
      <c r="Q167" t="s">
        <v>80</v>
      </c>
      <c r="R167" t="s">
        <v>10</v>
      </c>
      <c r="S167" t="s">
        <v>10</v>
      </c>
      <c r="T167" t="s">
        <v>10</v>
      </c>
      <c r="U167" t="s">
        <v>10</v>
      </c>
      <c r="V167" t="s">
        <v>57</v>
      </c>
      <c r="W167" t="s">
        <v>10</v>
      </c>
    </row>
    <row r="168" spans="1:23" x14ac:dyDescent="0.3">
      <c r="A168" t="s">
        <v>259</v>
      </c>
      <c r="B168" s="7">
        <v>45994</v>
      </c>
      <c r="C168" t="s">
        <v>71</v>
      </c>
      <c r="D168" t="s">
        <v>1097</v>
      </c>
      <c r="E168" s="3">
        <v>6</v>
      </c>
      <c r="F168" s="3">
        <v>0</v>
      </c>
      <c r="G168" t="s">
        <v>12</v>
      </c>
      <c r="H168" t="s">
        <v>1108</v>
      </c>
      <c r="I168" t="s">
        <v>26</v>
      </c>
      <c r="J168" t="s">
        <v>53</v>
      </c>
      <c r="K168" t="s">
        <v>10</v>
      </c>
      <c r="L168" t="s">
        <v>10</v>
      </c>
      <c r="M168" t="s">
        <v>10</v>
      </c>
      <c r="N168" t="s">
        <v>10</v>
      </c>
      <c r="O168" t="str">
        <f>INDEX(CoverageTable[Deductible Applies],MATCH(Table18[[#This Row],[Coverage]],CoverageTable[Coverage],0))</f>
        <v>Yes</v>
      </c>
      <c r="P168" t="str">
        <f>INDEX(CoverageTable[Coverage Limit Applies],MATCH(Table18[[#This Row],[Coverage]],CoverageTable[Coverage],0))</f>
        <v>No</v>
      </c>
      <c r="Q168" t="s">
        <v>80</v>
      </c>
      <c r="R168" t="s">
        <v>10</v>
      </c>
      <c r="S168" t="s">
        <v>10</v>
      </c>
      <c r="T168" t="s">
        <v>10</v>
      </c>
      <c r="U168" t="s">
        <v>10</v>
      </c>
      <c r="V168" t="s">
        <v>10</v>
      </c>
      <c r="W168" t="s">
        <v>57</v>
      </c>
    </row>
    <row r="169" spans="1:23" x14ac:dyDescent="0.3">
      <c r="A169" t="s">
        <v>260</v>
      </c>
      <c r="B169" s="7">
        <v>45956</v>
      </c>
      <c r="C169" t="s">
        <v>71</v>
      </c>
      <c r="D169" t="s">
        <v>1101</v>
      </c>
      <c r="E169" s="3">
        <v>5</v>
      </c>
      <c r="F169" s="3">
        <v>2</v>
      </c>
      <c r="G169" t="s">
        <v>10</v>
      </c>
      <c r="H169" t="s">
        <v>1110</v>
      </c>
      <c r="I169" t="s">
        <v>34</v>
      </c>
      <c r="J169" t="s">
        <v>53</v>
      </c>
      <c r="K169" t="s">
        <v>10</v>
      </c>
      <c r="L169" t="s">
        <v>10</v>
      </c>
      <c r="M169" t="s">
        <v>10</v>
      </c>
      <c r="N169" t="s">
        <v>57</v>
      </c>
      <c r="O169" t="str">
        <f>INDEX(CoverageTable[Deductible Applies],MATCH(Table18[[#This Row],[Coverage]],CoverageTable[Coverage],0))</f>
        <v>Yes</v>
      </c>
      <c r="P169" t="str">
        <f>INDEX(CoverageTable[Coverage Limit Applies],MATCH(Table18[[#This Row],[Coverage]],CoverageTable[Coverage],0))</f>
        <v>No</v>
      </c>
      <c r="Q169" t="s">
        <v>80</v>
      </c>
      <c r="R169" t="s">
        <v>10</v>
      </c>
      <c r="S169" t="s">
        <v>10</v>
      </c>
      <c r="T169" t="s">
        <v>10</v>
      </c>
      <c r="U169" t="s">
        <v>10</v>
      </c>
      <c r="V169" t="s">
        <v>10</v>
      </c>
      <c r="W169" t="s">
        <v>10</v>
      </c>
    </row>
    <row r="170" spans="1:23" x14ac:dyDescent="0.3">
      <c r="A170" t="s">
        <v>261</v>
      </c>
      <c r="B170" s="7">
        <v>45998</v>
      </c>
      <c r="C170" t="s">
        <v>72</v>
      </c>
      <c r="D170" t="s">
        <v>1097</v>
      </c>
      <c r="E170" s="3">
        <v>1</v>
      </c>
      <c r="F170" s="3" t="s">
        <v>7</v>
      </c>
      <c r="G170" t="s">
        <v>10</v>
      </c>
      <c r="H170" t="s">
        <v>1107</v>
      </c>
      <c r="I170" t="s">
        <v>30</v>
      </c>
      <c r="J170" t="s">
        <v>54</v>
      </c>
      <c r="K170" t="s">
        <v>10</v>
      </c>
      <c r="L170" t="s">
        <v>57</v>
      </c>
      <c r="M170" t="s">
        <v>10</v>
      </c>
      <c r="N170" t="s">
        <v>57</v>
      </c>
      <c r="O170" t="str">
        <f>INDEX(CoverageTable[Deductible Applies],MATCH(Table18[[#This Row],[Coverage]],CoverageTable[Coverage],0))</f>
        <v>Yes</v>
      </c>
      <c r="P170" t="str">
        <f>INDEX(CoverageTable[Coverage Limit Applies],MATCH(Table18[[#This Row],[Coverage]],CoverageTable[Coverage],0))</f>
        <v>No</v>
      </c>
      <c r="Q170" t="s">
        <v>78</v>
      </c>
      <c r="R170" t="s">
        <v>10</v>
      </c>
      <c r="S170" t="s">
        <v>10</v>
      </c>
      <c r="T170" t="s">
        <v>10</v>
      </c>
      <c r="U170" t="s">
        <v>10</v>
      </c>
      <c r="V170" t="s">
        <v>10</v>
      </c>
      <c r="W170" t="s">
        <v>10</v>
      </c>
    </row>
    <row r="171" spans="1:23" x14ac:dyDescent="0.3">
      <c r="A171" t="s">
        <v>262</v>
      </c>
      <c r="B171" s="7">
        <v>46047</v>
      </c>
      <c r="C171" t="s">
        <v>71</v>
      </c>
      <c r="D171" t="s">
        <v>1102</v>
      </c>
      <c r="E171" s="3" t="s">
        <v>1103</v>
      </c>
      <c r="F171" s="3">
        <v>2</v>
      </c>
      <c r="G171" t="s">
        <v>10</v>
      </c>
      <c r="H171" t="s">
        <v>1110</v>
      </c>
      <c r="I171" t="s">
        <v>43</v>
      </c>
      <c r="J171" t="s">
        <v>49</v>
      </c>
      <c r="K171" t="s">
        <v>10</v>
      </c>
      <c r="L171" t="s">
        <v>10</v>
      </c>
      <c r="M171" t="s">
        <v>10</v>
      </c>
      <c r="N171" t="s">
        <v>10</v>
      </c>
      <c r="O171" t="str">
        <f>INDEX(CoverageTable[Deductible Applies],MATCH(Table18[[#This Row],[Coverage]],CoverageTable[Coverage],0))</f>
        <v>Yes</v>
      </c>
      <c r="P171" t="str">
        <f>INDEX(CoverageTable[Coverage Limit Applies],MATCH(Table18[[#This Row],[Coverage]],CoverageTable[Coverage],0))</f>
        <v>No</v>
      </c>
      <c r="Q171" t="s">
        <v>79</v>
      </c>
      <c r="R171" t="s">
        <v>10</v>
      </c>
      <c r="S171" t="s">
        <v>10</v>
      </c>
      <c r="T171" t="s">
        <v>10</v>
      </c>
      <c r="U171" t="s">
        <v>10</v>
      </c>
      <c r="V171" t="s">
        <v>10</v>
      </c>
      <c r="W171" t="s">
        <v>10</v>
      </c>
    </row>
    <row r="172" spans="1:23" x14ac:dyDescent="0.3">
      <c r="A172" t="s">
        <v>263</v>
      </c>
      <c r="B172" s="7">
        <v>45974</v>
      </c>
      <c r="C172" t="s">
        <v>72</v>
      </c>
      <c r="D172" t="s">
        <v>1099</v>
      </c>
      <c r="E172" s="3" t="s">
        <v>1103</v>
      </c>
      <c r="F172" s="3">
        <v>3</v>
      </c>
      <c r="G172" t="s">
        <v>13</v>
      </c>
      <c r="H172" t="s">
        <v>1110</v>
      </c>
      <c r="I172" t="s">
        <v>38</v>
      </c>
      <c r="J172" t="s">
        <v>52</v>
      </c>
      <c r="K172" t="s">
        <v>10</v>
      </c>
      <c r="L172" t="s">
        <v>10</v>
      </c>
      <c r="M172" t="s">
        <v>57</v>
      </c>
      <c r="N172" t="s">
        <v>57</v>
      </c>
      <c r="O172" t="str">
        <f>INDEX(CoverageTable[Deductible Applies],MATCH(Table18[[#This Row],[Coverage]],CoverageTable[Coverage],0))</f>
        <v>Yes</v>
      </c>
      <c r="P172" t="str">
        <f>INDEX(CoverageTable[Coverage Limit Applies],MATCH(Table18[[#This Row],[Coverage]],CoverageTable[Coverage],0))</f>
        <v>No</v>
      </c>
      <c r="Q172" t="s">
        <v>78</v>
      </c>
      <c r="R172" t="s">
        <v>10</v>
      </c>
      <c r="S172" t="s">
        <v>10</v>
      </c>
      <c r="T172" t="s">
        <v>57</v>
      </c>
      <c r="U172" t="s">
        <v>10</v>
      </c>
      <c r="V172" t="s">
        <v>10</v>
      </c>
      <c r="W172" t="s">
        <v>10</v>
      </c>
    </row>
    <row r="173" spans="1:23" x14ac:dyDescent="0.3">
      <c r="A173" t="s">
        <v>264</v>
      </c>
      <c r="B173" s="7">
        <v>45823</v>
      </c>
      <c r="C173" t="s">
        <v>73</v>
      </c>
      <c r="D173" t="s">
        <v>1101</v>
      </c>
      <c r="E173" s="3">
        <v>5</v>
      </c>
      <c r="F173" s="3">
        <v>2</v>
      </c>
      <c r="G173" t="s">
        <v>12</v>
      </c>
      <c r="H173" t="s">
        <v>1110</v>
      </c>
      <c r="I173" t="s">
        <v>21</v>
      </c>
      <c r="J173" t="s">
        <v>52</v>
      </c>
      <c r="K173" t="s">
        <v>10</v>
      </c>
      <c r="L173" t="s">
        <v>10</v>
      </c>
      <c r="M173" t="s">
        <v>57</v>
      </c>
      <c r="N173" t="s">
        <v>10</v>
      </c>
      <c r="O173" t="str">
        <f>INDEX(CoverageTable[Deductible Applies],MATCH(Table18[[#This Row],[Coverage]],CoverageTable[Coverage],0))</f>
        <v>No</v>
      </c>
      <c r="P173" t="str">
        <f>INDEX(CoverageTable[Coverage Limit Applies],MATCH(Table18[[#This Row],[Coverage]],CoverageTable[Coverage],0))</f>
        <v>Yes</v>
      </c>
      <c r="Q173" t="s">
        <v>10</v>
      </c>
      <c r="R173" t="s">
        <v>78</v>
      </c>
      <c r="S173" t="s">
        <v>10</v>
      </c>
      <c r="T173" t="s">
        <v>57</v>
      </c>
      <c r="U173" t="s">
        <v>10</v>
      </c>
      <c r="V173" t="s">
        <v>10</v>
      </c>
      <c r="W173" t="s">
        <v>10</v>
      </c>
    </row>
    <row r="174" spans="1:23" x14ac:dyDescent="0.3">
      <c r="A174" t="s">
        <v>265</v>
      </c>
      <c r="B174" s="7">
        <v>45808</v>
      </c>
      <c r="C174" t="s">
        <v>70</v>
      </c>
      <c r="D174" t="s">
        <v>1101</v>
      </c>
      <c r="E174" s="3">
        <v>2</v>
      </c>
      <c r="F174" s="3">
        <v>3</v>
      </c>
      <c r="G174" t="s">
        <v>10</v>
      </c>
      <c r="H174" t="s">
        <v>1109</v>
      </c>
      <c r="I174" t="s">
        <v>29</v>
      </c>
      <c r="J174" t="s">
        <v>54</v>
      </c>
      <c r="K174" t="s">
        <v>10</v>
      </c>
      <c r="L174" t="s">
        <v>10</v>
      </c>
      <c r="M174" t="s">
        <v>10</v>
      </c>
      <c r="N174" t="s">
        <v>57</v>
      </c>
      <c r="O174" t="str">
        <f>INDEX(CoverageTable[Deductible Applies],MATCH(Table18[[#This Row],[Coverage]],CoverageTable[Coverage],0))</f>
        <v>No</v>
      </c>
      <c r="P174" t="str">
        <f>INDEX(CoverageTable[Coverage Limit Applies],MATCH(Table18[[#This Row],[Coverage]],CoverageTable[Coverage],0))</f>
        <v>Yes</v>
      </c>
      <c r="Q174" t="s">
        <v>10</v>
      </c>
      <c r="R174" t="s">
        <v>80</v>
      </c>
      <c r="S174" t="s">
        <v>10</v>
      </c>
      <c r="T174" t="s">
        <v>10</v>
      </c>
      <c r="U174" t="s">
        <v>10</v>
      </c>
      <c r="V174" t="s">
        <v>57</v>
      </c>
      <c r="W174" t="s">
        <v>10</v>
      </c>
    </row>
    <row r="175" spans="1:23" x14ac:dyDescent="0.3">
      <c r="A175" t="s">
        <v>266</v>
      </c>
      <c r="B175" s="7">
        <v>45866</v>
      </c>
      <c r="C175" t="s">
        <v>71</v>
      </c>
      <c r="D175" t="s">
        <v>1101</v>
      </c>
      <c r="E175" s="3" t="s">
        <v>1103</v>
      </c>
      <c r="F175" s="3">
        <v>1</v>
      </c>
      <c r="G175" t="s">
        <v>12</v>
      </c>
      <c r="H175" t="s">
        <v>1110</v>
      </c>
      <c r="I175" t="s">
        <v>40</v>
      </c>
      <c r="J175" t="s">
        <v>53</v>
      </c>
      <c r="K175" t="s">
        <v>10</v>
      </c>
      <c r="L175" t="s">
        <v>57</v>
      </c>
      <c r="M175" t="s">
        <v>57</v>
      </c>
      <c r="N175" t="s">
        <v>10</v>
      </c>
      <c r="O175" t="str">
        <f>INDEX(CoverageTable[Deductible Applies],MATCH(Table18[[#This Row],[Coverage]],CoverageTable[Coverage],0))</f>
        <v>Yes</v>
      </c>
      <c r="P175" t="str">
        <f>INDEX(CoverageTable[Coverage Limit Applies],MATCH(Table18[[#This Row],[Coverage]],CoverageTable[Coverage],0))</f>
        <v>No</v>
      </c>
      <c r="Q175" t="s">
        <v>79</v>
      </c>
      <c r="R175" t="s">
        <v>10</v>
      </c>
      <c r="S175" t="s">
        <v>10</v>
      </c>
      <c r="T175" t="s">
        <v>10</v>
      </c>
      <c r="U175" t="s">
        <v>57</v>
      </c>
      <c r="V175" t="s">
        <v>10</v>
      </c>
      <c r="W175" t="s">
        <v>10</v>
      </c>
    </row>
    <row r="176" spans="1:23" x14ac:dyDescent="0.3">
      <c r="A176" t="s">
        <v>267</v>
      </c>
      <c r="B176" s="7">
        <v>46004</v>
      </c>
      <c r="C176" t="s">
        <v>73</v>
      </c>
      <c r="D176" t="s">
        <v>1102</v>
      </c>
      <c r="E176" s="3">
        <v>7</v>
      </c>
      <c r="F176" s="3">
        <v>4</v>
      </c>
      <c r="G176" t="s">
        <v>10</v>
      </c>
      <c r="H176" t="s">
        <v>1107</v>
      </c>
      <c r="I176" t="s">
        <v>44</v>
      </c>
      <c r="J176" t="s">
        <v>50</v>
      </c>
      <c r="K176" t="s">
        <v>10</v>
      </c>
      <c r="L176" t="s">
        <v>10</v>
      </c>
      <c r="M176" t="s">
        <v>10</v>
      </c>
      <c r="N176" t="s">
        <v>57</v>
      </c>
      <c r="O176" t="str">
        <f>INDEX(CoverageTable[Deductible Applies],MATCH(Table18[[#This Row],[Coverage]],CoverageTable[Coverage],0))</f>
        <v>No</v>
      </c>
      <c r="P176" t="str">
        <f>INDEX(CoverageTable[Coverage Limit Applies],MATCH(Table18[[#This Row],[Coverage]],CoverageTable[Coverage],0))</f>
        <v>Yes</v>
      </c>
      <c r="Q176" t="s">
        <v>10</v>
      </c>
      <c r="R176" t="s">
        <v>78</v>
      </c>
      <c r="S176" t="s">
        <v>10</v>
      </c>
      <c r="T176" t="s">
        <v>10</v>
      </c>
      <c r="U176" t="s">
        <v>10</v>
      </c>
      <c r="V176" t="s">
        <v>10</v>
      </c>
      <c r="W176" t="s">
        <v>10</v>
      </c>
    </row>
    <row r="177" spans="1:23" x14ac:dyDescent="0.3">
      <c r="A177" t="s">
        <v>268</v>
      </c>
      <c r="B177" s="7">
        <v>46120</v>
      </c>
      <c r="C177" t="s">
        <v>70</v>
      </c>
      <c r="D177" t="s">
        <v>1101</v>
      </c>
      <c r="E177" s="3">
        <v>6</v>
      </c>
      <c r="F177" s="3" t="s">
        <v>7</v>
      </c>
      <c r="G177" t="s">
        <v>13</v>
      </c>
      <c r="H177" t="s">
        <v>1110</v>
      </c>
      <c r="I177" t="s">
        <v>44</v>
      </c>
      <c r="J177" t="s">
        <v>48</v>
      </c>
      <c r="K177" t="s">
        <v>10</v>
      </c>
      <c r="L177" t="s">
        <v>10</v>
      </c>
      <c r="M177" t="s">
        <v>10</v>
      </c>
      <c r="N177" t="s">
        <v>57</v>
      </c>
      <c r="O177" t="str">
        <f>INDEX(CoverageTable[Deductible Applies],MATCH(Table18[[#This Row],[Coverage]],CoverageTable[Coverage],0))</f>
        <v>No</v>
      </c>
      <c r="P177" t="str">
        <f>INDEX(CoverageTable[Coverage Limit Applies],MATCH(Table18[[#This Row],[Coverage]],CoverageTable[Coverage],0))</f>
        <v>Yes</v>
      </c>
      <c r="Q177" t="s">
        <v>10</v>
      </c>
      <c r="R177" t="s">
        <v>80</v>
      </c>
      <c r="S177" t="s">
        <v>10</v>
      </c>
      <c r="T177" t="s">
        <v>10</v>
      </c>
      <c r="U177" t="s">
        <v>10</v>
      </c>
      <c r="V177" t="s">
        <v>57</v>
      </c>
      <c r="W177" t="s">
        <v>10</v>
      </c>
    </row>
    <row r="178" spans="1:23" x14ac:dyDescent="0.3">
      <c r="A178" t="s">
        <v>269</v>
      </c>
      <c r="B178" s="7">
        <v>46075</v>
      </c>
      <c r="C178" t="s">
        <v>74</v>
      </c>
      <c r="D178" t="s">
        <v>1102</v>
      </c>
      <c r="E178" s="3">
        <v>6</v>
      </c>
      <c r="F178" s="3" t="s">
        <v>7</v>
      </c>
      <c r="G178" t="s">
        <v>10</v>
      </c>
      <c r="H178" t="s">
        <v>1106</v>
      </c>
      <c r="I178" t="s">
        <v>26</v>
      </c>
      <c r="J178" t="s">
        <v>52</v>
      </c>
      <c r="K178" t="s">
        <v>10</v>
      </c>
      <c r="L178" t="s">
        <v>10</v>
      </c>
      <c r="M178" t="s">
        <v>10</v>
      </c>
      <c r="N178" t="s">
        <v>57</v>
      </c>
      <c r="O178" t="str">
        <f>INDEX(CoverageTable[Deductible Applies],MATCH(Table18[[#This Row],[Coverage]],CoverageTable[Coverage],0))</f>
        <v>No</v>
      </c>
      <c r="P178" t="str">
        <f>INDEX(CoverageTable[Coverage Limit Applies],MATCH(Table18[[#This Row],[Coverage]],CoverageTable[Coverage],0))</f>
        <v>Yes</v>
      </c>
      <c r="Q178" t="s">
        <v>10</v>
      </c>
      <c r="R178" t="s">
        <v>79</v>
      </c>
      <c r="S178" t="s">
        <v>10</v>
      </c>
      <c r="T178" t="s">
        <v>57</v>
      </c>
      <c r="U178" t="s">
        <v>10</v>
      </c>
      <c r="V178" t="s">
        <v>10</v>
      </c>
      <c r="W178" t="s">
        <v>10</v>
      </c>
    </row>
    <row r="179" spans="1:23" x14ac:dyDescent="0.3">
      <c r="A179" t="s">
        <v>270</v>
      </c>
      <c r="B179" s="7">
        <v>46061</v>
      </c>
      <c r="C179" t="s">
        <v>70</v>
      </c>
      <c r="D179" t="s">
        <v>1098</v>
      </c>
      <c r="E179" s="3" t="s">
        <v>1103</v>
      </c>
      <c r="F179" s="3">
        <v>4</v>
      </c>
      <c r="G179" t="s">
        <v>10</v>
      </c>
      <c r="H179" t="s">
        <v>1108</v>
      </c>
      <c r="I179" t="s">
        <v>24</v>
      </c>
      <c r="J179" t="s">
        <v>51</v>
      </c>
      <c r="K179" t="s">
        <v>10</v>
      </c>
      <c r="L179" t="s">
        <v>10</v>
      </c>
      <c r="M179" t="s">
        <v>10</v>
      </c>
      <c r="N179" t="s">
        <v>57</v>
      </c>
      <c r="O179" t="str">
        <f>INDEX(CoverageTable[Deductible Applies],MATCH(Table18[[#This Row],[Coverage]],CoverageTable[Coverage],0))</f>
        <v>No</v>
      </c>
      <c r="P179" t="str">
        <f>INDEX(CoverageTable[Coverage Limit Applies],MATCH(Table18[[#This Row],[Coverage]],CoverageTable[Coverage],0))</f>
        <v>Yes</v>
      </c>
      <c r="Q179" t="s">
        <v>10</v>
      </c>
      <c r="R179" t="s">
        <v>78</v>
      </c>
      <c r="S179" t="s">
        <v>10</v>
      </c>
      <c r="T179" t="s">
        <v>10</v>
      </c>
      <c r="U179" t="s">
        <v>10</v>
      </c>
      <c r="V179" t="s">
        <v>10</v>
      </c>
      <c r="W179" t="s">
        <v>10</v>
      </c>
    </row>
    <row r="180" spans="1:23" x14ac:dyDescent="0.3">
      <c r="A180" t="s">
        <v>271</v>
      </c>
      <c r="B180" s="7">
        <v>46046</v>
      </c>
      <c r="C180" t="s">
        <v>70</v>
      </c>
      <c r="D180" t="s">
        <v>1097</v>
      </c>
      <c r="E180" s="3">
        <v>5</v>
      </c>
      <c r="F180" s="3">
        <v>3</v>
      </c>
      <c r="G180" t="s">
        <v>13</v>
      </c>
      <c r="H180" t="s">
        <v>1109</v>
      </c>
      <c r="I180" t="s">
        <v>39</v>
      </c>
      <c r="J180" t="s">
        <v>54</v>
      </c>
      <c r="K180" t="s">
        <v>10</v>
      </c>
      <c r="L180" t="s">
        <v>10</v>
      </c>
      <c r="M180" t="s">
        <v>57</v>
      </c>
      <c r="N180" t="s">
        <v>57</v>
      </c>
      <c r="O180" t="str">
        <f>INDEX(CoverageTable[Deductible Applies],MATCH(Table18[[#This Row],[Coverage]],CoverageTable[Coverage],0))</f>
        <v>No</v>
      </c>
      <c r="P180" t="str">
        <f>INDEX(CoverageTable[Coverage Limit Applies],MATCH(Table18[[#This Row],[Coverage]],CoverageTable[Coverage],0))</f>
        <v>Yes</v>
      </c>
      <c r="Q180" t="s">
        <v>10</v>
      </c>
      <c r="R180" t="s">
        <v>79</v>
      </c>
      <c r="S180" t="s">
        <v>10</v>
      </c>
      <c r="T180" t="s">
        <v>10</v>
      </c>
      <c r="U180" t="s">
        <v>10</v>
      </c>
      <c r="V180" t="s">
        <v>57</v>
      </c>
      <c r="W180" t="s">
        <v>57</v>
      </c>
    </row>
    <row r="181" spans="1:23" x14ac:dyDescent="0.3">
      <c r="A181" t="s">
        <v>272</v>
      </c>
      <c r="B181" s="7">
        <v>45937</v>
      </c>
      <c r="C181" t="s">
        <v>72</v>
      </c>
      <c r="D181" t="s">
        <v>1102</v>
      </c>
      <c r="E181" s="3">
        <v>7</v>
      </c>
      <c r="F181" s="3">
        <v>0</v>
      </c>
      <c r="G181" t="s">
        <v>12</v>
      </c>
      <c r="H181" t="s">
        <v>1108</v>
      </c>
      <c r="I181" t="s">
        <v>39</v>
      </c>
      <c r="J181" t="s">
        <v>53</v>
      </c>
      <c r="K181" t="s">
        <v>10</v>
      </c>
      <c r="L181" t="s">
        <v>57</v>
      </c>
      <c r="M181" t="s">
        <v>10</v>
      </c>
      <c r="N181" t="s">
        <v>10</v>
      </c>
      <c r="O181" t="str">
        <f>INDEX(CoverageTable[Deductible Applies],MATCH(Table18[[#This Row],[Coverage]],CoverageTable[Coverage],0))</f>
        <v>Yes</v>
      </c>
      <c r="P181" t="str">
        <f>INDEX(CoverageTable[Coverage Limit Applies],MATCH(Table18[[#This Row],[Coverage]],CoverageTable[Coverage],0))</f>
        <v>No</v>
      </c>
      <c r="Q181" t="s">
        <v>79</v>
      </c>
      <c r="R181" t="s">
        <v>10</v>
      </c>
      <c r="S181" t="s">
        <v>10</v>
      </c>
      <c r="T181" t="s">
        <v>10</v>
      </c>
      <c r="U181" t="s">
        <v>10</v>
      </c>
      <c r="V181" t="s">
        <v>57</v>
      </c>
      <c r="W181" t="s">
        <v>57</v>
      </c>
    </row>
    <row r="182" spans="1:23" x14ac:dyDescent="0.3">
      <c r="A182" t="s">
        <v>273</v>
      </c>
      <c r="B182" s="7">
        <v>45803</v>
      </c>
      <c r="C182" t="s">
        <v>71</v>
      </c>
      <c r="D182" t="s">
        <v>1100</v>
      </c>
      <c r="E182" s="3">
        <v>1</v>
      </c>
      <c r="F182" s="3" t="s">
        <v>7</v>
      </c>
      <c r="G182" t="s">
        <v>13</v>
      </c>
      <c r="H182" t="s">
        <v>1110</v>
      </c>
      <c r="I182" t="s">
        <v>21</v>
      </c>
      <c r="J182" t="s">
        <v>54</v>
      </c>
      <c r="K182" t="s">
        <v>10</v>
      </c>
      <c r="L182" t="s">
        <v>10</v>
      </c>
      <c r="M182" t="s">
        <v>10</v>
      </c>
      <c r="N182" t="s">
        <v>10</v>
      </c>
      <c r="O182" t="str">
        <f>INDEX(CoverageTable[Deductible Applies],MATCH(Table18[[#This Row],[Coverage]],CoverageTable[Coverage],0))</f>
        <v>Yes</v>
      </c>
      <c r="P182" t="str">
        <f>INDEX(CoverageTable[Coverage Limit Applies],MATCH(Table18[[#This Row],[Coverage]],CoverageTable[Coverage],0))</f>
        <v>No</v>
      </c>
      <c r="Q182" t="s">
        <v>79</v>
      </c>
      <c r="R182" t="s">
        <v>10</v>
      </c>
      <c r="S182" t="s">
        <v>10</v>
      </c>
      <c r="T182" t="s">
        <v>10</v>
      </c>
      <c r="U182" t="s">
        <v>10</v>
      </c>
      <c r="V182" t="s">
        <v>57</v>
      </c>
      <c r="W182" t="s">
        <v>10</v>
      </c>
    </row>
    <row r="183" spans="1:23" x14ac:dyDescent="0.3">
      <c r="A183" t="s">
        <v>274</v>
      </c>
      <c r="B183" s="7">
        <v>46121</v>
      </c>
      <c r="C183" t="s">
        <v>70</v>
      </c>
      <c r="D183" t="s">
        <v>1102</v>
      </c>
      <c r="E183" s="3">
        <v>2</v>
      </c>
      <c r="F183" s="3" t="s">
        <v>7</v>
      </c>
      <c r="G183" t="s">
        <v>11</v>
      </c>
      <c r="H183" t="s">
        <v>1106</v>
      </c>
      <c r="I183" t="s">
        <v>31</v>
      </c>
      <c r="J183" t="s">
        <v>53</v>
      </c>
      <c r="K183" t="s">
        <v>10</v>
      </c>
      <c r="L183" t="s">
        <v>10</v>
      </c>
      <c r="M183" t="s">
        <v>10</v>
      </c>
      <c r="N183" t="s">
        <v>57</v>
      </c>
      <c r="O183" t="str">
        <f>INDEX(CoverageTable[Deductible Applies],MATCH(Table18[[#This Row],[Coverage]],CoverageTable[Coverage],0))</f>
        <v>No</v>
      </c>
      <c r="P183" t="str">
        <f>INDEX(CoverageTable[Coverage Limit Applies],MATCH(Table18[[#This Row],[Coverage]],CoverageTable[Coverage],0))</f>
        <v>Yes</v>
      </c>
      <c r="Q183" t="s">
        <v>10</v>
      </c>
      <c r="R183" t="s">
        <v>80</v>
      </c>
      <c r="S183" t="s">
        <v>10</v>
      </c>
      <c r="T183" t="s">
        <v>10</v>
      </c>
      <c r="U183" t="s">
        <v>10</v>
      </c>
      <c r="V183" t="s">
        <v>57</v>
      </c>
      <c r="W183" t="s">
        <v>10</v>
      </c>
    </row>
    <row r="184" spans="1:23" x14ac:dyDescent="0.3">
      <c r="A184" t="s">
        <v>275</v>
      </c>
      <c r="B184" s="7">
        <v>46006</v>
      </c>
      <c r="C184" t="s">
        <v>71</v>
      </c>
      <c r="D184" t="s">
        <v>1100</v>
      </c>
      <c r="E184" s="3">
        <v>1</v>
      </c>
      <c r="F184" s="3">
        <v>0</v>
      </c>
      <c r="G184" t="s">
        <v>12</v>
      </c>
      <c r="H184" t="s">
        <v>1107</v>
      </c>
      <c r="I184" t="s">
        <v>38</v>
      </c>
      <c r="J184" t="s">
        <v>52</v>
      </c>
      <c r="K184" t="s">
        <v>10</v>
      </c>
      <c r="L184" t="s">
        <v>10</v>
      </c>
      <c r="M184" t="s">
        <v>10</v>
      </c>
      <c r="N184" t="s">
        <v>10</v>
      </c>
      <c r="O184" t="str">
        <f>INDEX(CoverageTable[Deductible Applies],MATCH(Table18[[#This Row],[Coverage]],CoverageTable[Coverage],0))</f>
        <v>Yes</v>
      </c>
      <c r="P184" t="str">
        <f>INDEX(CoverageTable[Coverage Limit Applies],MATCH(Table18[[#This Row],[Coverage]],CoverageTable[Coverage],0))</f>
        <v>No</v>
      </c>
      <c r="Q184" t="s">
        <v>80</v>
      </c>
      <c r="R184" t="s">
        <v>10</v>
      </c>
      <c r="S184" t="s">
        <v>10</v>
      </c>
      <c r="T184" t="s">
        <v>57</v>
      </c>
      <c r="U184" t="s">
        <v>10</v>
      </c>
      <c r="V184" t="s">
        <v>10</v>
      </c>
      <c r="W184" t="s">
        <v>10</v>
      </c>
    </row>
    <row r="185" spans="1:23" x14ac:dyDescent="0.3">
      <c r="A185" t="s">
        <v>276</v>
      </c>
      <c r="B185" s="7">
        <v>46128</v>
      </c>
      <c r="C185" t="s">
        <v>74</v>
      </c>
      <c r="D185" t="s">
        <v>1102</v>
      </c>
      <c r="E185" s="3">
        <v>2</v>
      </c>
      <c r="F185" s="3">
        <v>1</v>
      </c>
      <c r="G185" t="s">
        <v>10</v>
      </c>
      <c r="H185" t="s">
        <v>1106</v>
      </c>
      <c r="I185" t="s">
        <v>42</v>
      </c>
      <c r="J185" t="s">
        <v>53</v>
      </c>
      <c r="K185" t="s">
        <v>10</v>
      </c>
      <c r="L185" t="s">
        <v>57</v>
      </c>
      <c r="M185" t="s">
        <v>10</v>
      </c>
      <c r="N185" t="s">
        <v>10</v>
      </c>
      <c r="O185" t="str">
        <f>INDEX(CoverageTable[Deductible Applies],MATCH(Table18[[#This Row],[Coverage]],CoverageTable[Coverage],0))</f>
        <v>No</v>
      </c>
      <c r="P185" t="str">
        <f>INDEX(CoverageTable[Coverage Limit Applies],MATCH(Table18[[#This Row],[Coverage]],CoverageTable[Coverage],0))</f>
        <v>Yes</v>
      </c>
      <c r="Q185" t="s">
        <v>10</v>
      </c>
      <c r="R185" t="s">
        <v>79</v>
      </c>
      <c r="S185" t="s">
        <v>57</v>
      </c>
      <c r="T185" t="s">
        <v>10</v>
      </c>
      <c r="U185" t="s">
        <v>10</v>
      </c>
      <c r="V185" t="s">
        <v>57</v>
      </c>
      <c r="W185" t="s">
        <v>10</v>
      </c>
    </row>
    <row r="186" spans="1:23" x14ac:dyDescent="0.3">
      <c r="A186" t="s">
        <v>277</v>
      </c>
      <c r="B186" s="7">
        <v>45881</v>
      </c>
      <c r="C186" t="s">
        <v>73</v>
      </c>
      <c r="D186" t="s">
        <v>1102</v>
      </c>
      <c r="E186" s="3" t="s">
        <v>1103</v>
      </c>
      <c r="F186" s="3">
        <v>1</v>
      </c>
      <c r="G186" t="s">
        <v>10</v>
      </c>
      <c r="H186" t="s">
        <v>1107</v>
      </c>
      <c r="I186" t="s">
        <v>43</v>
      </c>
      <c r="J186" t="s">
        <v>52</v>
      </c>
      <c r="K186" t="s">
        <v>10</v>
      </c>
      <c r="L186" t="s">
        <v>10</v>
      </c>
      <c r="M186" t="s">
        <v>57</v>
      </c>
      <c r="N186" t="s">
        <v>10</v>
      </c>
      <c r="O186" t="str">
        <f>INDEX(CoverageTable[Deductible Applies],MATCH(Table18[[#This Row],[Coverage]],CoverageTable[Coverage],0))</f>
        <v>No</v>
      </c>
      <c r="P186" t="str">
        <f>INDEX(CoverageTable[Coverage Limit Applies],MATCH(Table18[[#This Row],[Coverage]],CoverageTable[Coverage],0))</f>
        <v>Yes</v>
      </c>
      <c r="Q186" t="s">
        <v>10</v>
      </c>
      <c r="R186" t="s">
        <v>79</v>
      </c>
      <c r="S186" t="s">
        <v>10</v>
      </c>
      <c r="T186" t="s">
        <v>10</v>
      </c>
      <c r="U186" t="s">
        <v>10</v>
      </c>
      <c r="V186" t="s">
        <v>10</v>
      </c>
      <c r="W186" t="s">
        <v>10</v>
      </c>
    </row>
    <row r="187" spans="1:23" x14ac:dyDescent="0.3">
      <c r="A187" t="s">
        <v>278</v>
      </c>
      <c r="B187" s="7">
        <v>45950</v>
      </c>
      <c r="C187" t="s">
        <v>70</v>
      </c>
      <c r="D187" t="s">
        <v>1098</v>
      </c>
      <c r="E187" s="3" t="s">
        <v>1103</v>
      </c>
      <c r="F187" s="3" t="s">
        <v>7</v>
      </c>
      <c r="G187" t="s">
        <v>12</v>
      </c>
      <c r="H187" t="s">
        <v>1106</v>
      </c>
      <c r="I187" t="s">
        <v>36</v>
      </c>
      <c r="J187" t="s">
        <v>48</v>
      </c>
      <c r="K187" t="s">
        <v>10</v>
      </c>
      <c r="L187" t="s">
        <v>57</v>
      </c>
      <c r="M187" t="s">
        <v>57</v>
      </c>
      <c r="N187" t="s">
        <v>10</v>
      </c>
      <c r="O187" t="str">
        <f>INDEX(CoverageTable[Deductible Applies],MATCH(Table18[[#This Row],[Coverage]],CoverageTable[Coverage],0))</f>
        <v>No</v>
      </c>
      <c r="P187" t="str">
        <f>INDEX(CoverageTable[Coverage Limit Applies],MATCH(Table18[[#This Row],[Coverage]],CoverageTable[Coverage],0))</f>
        <v>Yes</v>
      </c>
      <c r="Q187" t="s">
        <v>10</v>
      </c>
      <c r="R187" t="s">
        <v>80</v>
      </c>
      <c r="S187" t="s">
        <v>10</v>
      </c>
      <c r="T187" t="s">
        <v>10</v>
      </c>
      <c r="U187" t="s">
        <v>10</v>
      </c>
      <c r="V187" t="s">
        <v>10</v>
      </c>
      <c r="W187" t="s">
        <v>10</v>
      </c>
    </row>
    <row r="188" spans="1:23" x14ac:dyDescent="0.3">
      <c r="A188" t="s">
        <v>279</v>
      </c>
      <c r="B188" s="7">
        <v>45991</v>
      </c>
      <c r="C188" t="s">
        <v>71</v>
      </c>
      <c r="D188" t="s">
        <v>1102</v>
      </c>
      <c r="E188" s="3">
        <v>5</v>
      </c>
      <c r="F188" s="3">
        <v>4</v>
      </c>
      <c r="G188" t="s">
        <v>10</v>
      </c>
      <c r="H188" t="s">
        <v>1106</v>
      </c>
      <c r="I188" t="s">
        <v>41</v>
      </c>
      <c r="J188" t="s">
        <v>51</v>
      </c>
      <c r="K188" t="s">
        <v>10</v>
      </c>
      <c r="L188" t="s">
        <v>10</v>
      </c>
      <c r="M188" t="s">
        <v>10</v>
      </c>
      <c r="N188" t="s">
        <v>10</v>
      </c>
      <c r="O188" t="str">
        <f>INDEX(CoverageTable[Deductible Applies],MATCH(Table18[[#This Row],[Coverage]],CoverageTable[Coverage],0))</f>
        <v>Yes</v>
      </c>
      <c r="P188" t="str">
        <f>INDEX(CoverageTable[Coverage Limit Applies],MATCH(Table18[[#This Row],[Coverage]],CoverageTable[Coverage],0))</f>
        <v>No</v>
      </c>
      <c r="Q188" t="s">
        <v>78</v>
      </c>
      <c r="R188" t="s">
        <v>10</v>
      </c>
      <c r="S188" t="s">
        <v>10</v>
      </c>
      <c r="T188" t="s">
        <v>10</v>
      </c>
      <c r="U188" t="s">
        <v>10</v>
      </c>
      <c r="V188" t="s">
        <v>57</v>
      </c>
      <c r="W188" t="s">
        <v>57</v>
      </c>
    </row>
    <row r="189" spans="1:23" x14ac:dyDescent="0.3">
      <c r="A189" t="s">
        <v>280</v>
      </c>
      <c r="B189" s="7">
        <v>45947</v>
      </c>
      <c r="C189" t="s">
        <v>71</v>
      </c>
      <c r="D189" t="s">
        <v>1102</v>
      </c>
      <c r="E189" s="3">
        <v>3</v>
      </c>
      <c r="F189" s="3">
        <v>1</v>
      </c>
      <c r="G189" t="s">
        <v>12</v>
      </c>
      <c r="H189" t="s">
        <v>1107</v>
      </c>
      <c r="I189" t="s">
        <v>29</v>
      </c>
      <c r="J189" t="s">
        <v>52</v>
      </c>
      <c r="K189" t="s">
        <v>10</v>
      </c>
      <c r="L189" t="s">
        <v>57</v>
      </c>
      <c r="M189" t="s">
        <v>10</v>
      </c>
      <c r="N189" t="s">
        <v>10</v>
      </c>
      <c r="O189" t="str">
        <f>INDEX(CoverageTable[Deductible Applies],MATCH(Table18[[#This Row],[Coverage]],CoverageTable[Coverage],0))</f>
        <v>Yes</v>
      </c>
      <c r="P189" t="str">
        <f>INDEX(CoverageTable[Coverage Limit Applies],MATCH(Table18[[#This Row],[Coverage]],CoverageTable[Coverage],0))</f>
        <v>No</v>
      </c>
      <c r="Q189" t="s">
        <v>79</v>
      </c>
      <c r="R189" t="s">
        <v>10</v>
      </c>
      <c r="S189" t="s">
        <v>10</v>
      </c>
      <c r="T189" t="s">
        <v>57</v>
      </c>
      <c r="U189" t="s">
        <v>10</v>
      </c>
      <c r="V189" t="s">
        <v>10</v>
      </c>
      <c r="W189" t="s">
        <v>10</v>
      </c>
    </row>
    <row r="190" spans="1:23" x14ac:dyDescent="0.3">
      <c r="A190" t="s">
        <v>281</v>
      </c>
      <c r="B190" s="7">
        <v>46084</v>
      </c>
      <c r="C190" t="s">
        <v>71</v>
      </c>
      <c r="D190" t="s">
        <v>1100</v>
      </c>
      <c r="E190" s="3">
        <v>4</v>
      </c>
      <c r="F190" s="3">
        <v>4</v>
      </c>
      <c r="G190" t="s">
        <v>10</v>
      </c>
      <c r="H190" t="s">
        <v>1109</v>
      </c>
      <c r="I190" t="s">
        <v>22</v>
      </c>
      <c r="J190" t="s">
        <v>48</v>
      </c>
      <c r="K190" t="s">
        <v>10</v>
      </c>
      <c r="L190" t="s">
        <v>10</v>
      </c>
      <c r="M190" t="s">
        <v>10</v>
      </c>
      <c r="N190" t="s">
        <v>10</v>
      </c>
      <c r="O190" t="str">
        <f>INDEX(CoverageTable[Deductible Applies],MATCH(Table18[[#This Row],[Coverage]],CoverageTable[Coverage],0))</f>
        <v>Yes</v>
      </c>
      <c r="P190" t="str">
        <f>INDEX(CoverageTable[Coverage Limit Applies],MATCH(Table18[[#This Row],[Coverage]],CoverageTable[Coverage],0))</f>
        <v>No</v>
      </c>
      <c r="Q190" t="s">
        <v>78</v>
      </c>
      <c r="R190" t="s">
        <v>10</v>
      </c>
      <c r="S190" t="s">
        <v>10</v>
      </c>
      <c r="T190" t="s">
        <v>57</v>
      </c>
      <c r="U190" t="s">
        <v>10</v>
      </c>
      <c r="V190" t="s">
        <v>10</v>
      </c>
      <c r="W190" t="s">
        <v>10</v>
      </c>
    </row>
    <row r="191" spans="1:23" x14ac:dyDescent="0.3">
      <c r="A191" t="s">
        <v>282</v>
      </c>
      <c r="B191" s="7">
        <v>45884</v>
      </c>
      <c r="C191" t="s">
        <v>71</v>
      </c>
      <c r="D191" t="s">
        <v>1100</v>
      </c>
      <c r="E191" s="3" t="s">
        <v>1103</v>
      </c>
      <c r="F191" s="3" t="s">
        <v>7</v>
      </c>
      <c r="G191" t="s">
        <v>10</v>
      </c>
      <c r="H191" t="s">
        <v>1110</v>
      </c>
      <c r="I191" t="s">
        <v>28</v>
      </c>
      <c r="J191" t="s">
        <v>48</v>
      </c>
      <c r="K191" t="s">
        <v>10</v>
      </c>
      <c r="L191" t="s">
        <v>10</v>
      </c>
      <c r="M191" t="s">
        <v>10</v>
      </c>
      <c r="N191" t="s">
        <v>57</v>
      </c>
      <c r="O191" t="str">
        <f>INDEX(CoverageTable[Deductible Applies],MATCH(Table18[[#This Row],[Coverage]],CoverageTable[Coverage],0))</f>
        <v>Yes</v>
      </c>
      <c r="P191" t="str">
        <f>INDEX(CoverageTable[Coverage Limit Applies],MATCH(Table18[[#This Row],[Coverage]],CoverageTable[Coverage],0))</f>
        <v>No</v>
      </c>
      <c r="Q191" t="s">
        <v>80</v>
      </c>
      <c r="R191" t="s">
        <v>10</v>
      </c>
      <c r="S191" t="s">
        <v>10</v>
      </c>
      <c r="T191" t="s">
        <v>57</v>
      </c>
      <c r="U191" t="s">
        <v>10</v>
      </c>
      <c r="V191" t="s">
        <v>57</v>
      </c>
      <c r="W191" t="s">
        <v>57</v>
      </c>
    </row>
    <row r="192" spans="1:23" x14ac:dyDescent="0.3">
      <c r="A192" t="s">
        <v>283</v>
      </c>
      <c r="B192" s="7">
        <v>46084</v>
      </c>
      <c r="C192" t="s">
        <v>70</v>
      </c>
      <c r="D192" t="s">
        <v>1099</v>
      </c>
      <c r="E192" s="3">
        <v>7</v>
      </c>
      <c r="F192" s="3" t="s">
        <v>7</v>
      </c>
      <c r="G192" t="s">
        <v>11</v>
      </c>
      <c r="H192" t="s">
        <v>1107</v>
      </c>
      <c r="I192" t="s">
        <v>39</v>
      </c>
      <c r="J192" t="s">
        <v>52</v>
      </c>
      <c r="K192" t="s">
        <v>10</v>
      </c>
      <c r="L192" t="s">
        <v>57</v>
      </c>
      <c r="M192" t="s">
        <v>10</v>
      </c>
      <c r="N192" t="s">
        <v>57</v>
      </c>
      <c r="O192" t="str">
        <f>INDEX(CoverageTable[Deductible Applies],MATCH(Table18[[#This Row],[Coverage]],CoverageTable[Coverage],0))</f>
        <v>No</v>
      </c>
      <c r="P192" t="str">
        <f>INDEX(CoverageTable[Coverage Limit Applies],MATCH(Table18[[#This Row],[Coverage]],CoverageTable[Coverage],0))</f>
        <v>Yes</v>
      </c>
      <c r="Q192" t="s">
        <v>10</v>
      </c>
      <c r="R192" t="s">
        <v>80</v>
      </c>
      <c r="S192" t="s">
        <v>10</v>
      </c>
      <c r="T192" t="s">
        <v>10</v>
      </c>
      <c r="U192" t="s">
        <v>10</v>
      </c>
      <c r="V192" t="s">
        <v>10</v>
      </c>
      <c r="W192" t="s">
        <v>57</v>
      </c>
    </row>
    <row r="193" spans="1:23" x14ac:dyDescent="0.3">
      <c r="A193" t="s">
        <v>284</v>
      </c>
      <c r="B193" s="7">
        <v>46015</v>
      </c>
      <c r="C193" t="s">
        <v>70</v>
      </c>
      <c r="D193" t="s">
        <v>1101</v>
      </c>
      <c r="E193" s="3">
        <v>3</v>
      </c>
      <c r="F193" s="3">
        <v>1</v>
      </c>
      <c r="G193" t="s">
        <v>10</v>
      </c>
      <c r="H193" t="s">
        <v>1107</v>
      </c>
      <c r="I193" t="s">
        <v>39</v>
      </c>
      <c r="J193" t="s">
        <v>49</v>
      </c>
      <c r="K193" t="s">
        <v>10</v>
      </c>
      <c r="L193" t="s">
        <v>10</v>
      </c>
      <c r="M193" t="s">
        <v>10</v>
      </c>
      <c r="N193" t="s">
        <v>10</v>
      </c>
      <c r="O193" t="str">
        <f>INDEX(CoverageTable[Deductible Applies],MATCH(Table18[[#This Row],[Coverage]],CoverageTable[Coverage],0))</f>
        <v>No</v>
      </c>
      <c r="P193" t="str">
        <f>INDEX(CoverageTable[Coverage Limit Applies],MATCH(Table18[[#This Row],[Coverage]],CoverageTable[Coverage],0))</f>
        <v>Yes</v>
      </c>
      <c r="Q193" t="s">
        <v>10</v>
      </c>
      <c r="R193" t="s">
        <v>79</v>
      </c>
      <c r="S193" t="s">
        <v>57</v>
      </c>
      <c r="T193" t="s">
        <v>10</v>
      </c>
      <c r="U193" t="s">
        <v>10</v>
      </c>
      <c r="V193" t="s">
        <v>57</v>
      </c>
      <c r="W193" t="s">
        <v>10</v>
      </c>
    </row>
    <row r="194" spans="1:23" x14ac:dyDescent="0.3">
      <c r="A194" t="s">
        <v>285</v>
      </c>
      <c r="B194" s="7">
        <v>46011</v>
      </c>
      <c r="C194" t="s">
        <v>70</v>
      </c>
      <c r="D194" t="s">
        <v>1101</v>
      </c>
      <c r="E194" s="3" t="s">
        <v>1103</v>
      </c>
      <c r="F194" s="3">
        <v>1</v>
      </c>
      <c r="G194" t="s">
        <v>10</v>
      </c>
      <c r="H194" t="s">
        <v>1107</v>
      </c>
      <c r="I194" t="s">
        <v>29</v>
      </c>
      <c r="J194" t="s">
        <v>50</v>
      </c>
      <c r="K194" t="s">
        <v>10</v>
      </c>
      <c r="L194" t="s">
        <v>10</v>
      </c>
      <c r="M194" t="s">
        <v>10</v>
      </c>
      <c r="N194" t="s">
        <v>57</v>
      </c>
      <c r="O194" t="str">
        <f>INDEX(CoverageTable[Deductible Applies],MATCH(Table18[[#This Row],[Coverage]],CoverageTable[Coverage],0))</f>
        <v>No</v>
      </c>
      <c r="P194" t="str">
        <f>INDEX(CoverageTable[Coverage Limit Applies],MATCH(Table18[[#This Row],[Coverage]],CoverageTable[Coverage],0))</f>
        <v>Yes</v>
      </c>
      <c r="Q194" t="s">
        <v>10</v>
      </c>
      <c r="R194" t="s">
        <v>80</v>
      </c>
      <c r="S194" t="s">
        <v>10</v>
      </c>
      <c r="T194" t="s">
        <v>10</v>
      </c>
      <c r="U194" t="s">
        <v>10</v>
      </c>
      <c r="V194" t="s">
        <v>10</v>
      </c>
      <c r="W194" t="s">
        <v>57</v>
      </c>
    </row>
    <row r="195" spans="1:23" x14ac:dyDescent="0.3">
      <c r="A195" t="s">
        <v>286</v>
      </c>
      <c r="B195" s="7">
        <v>46114</v>
      </c>
      <c r="C195" t="s">
        <v>70</v>
      </c>
      <c r="D195" t="s">
        <v>1099</v>
      </c>
      <c r="E195" s="3">
        <v>5</v>
      </c>
      <c r="F195" s="3">
        <v>3</v>
      </c>
      <c r="G195" t="s">
        <v>10</v>
      </c>
      <c r="H195" t="s">
        <v>1106</v>
      </c>
      <c r="I195" t="s">
        <v>34</v>
      </c>
      <c r="J195" t="s">
        <v>52</v>
      </c>
      <c r="K195" t="s">
        <v>10</v>
      </c>
      <c r="L195" t="s">
        <v>10</v>
      </c>
      <c r="M195" t="s">
        <v>10</v>
      </c>
      <c r="N195" t="s">
        <v>57</v>
      </c>
      <c r="O195" t="str">
        <f>INDEX(CoverageTable[Deductible Applies],MATCH(Table18[[#This Row],[Coverage]],CoverageTable[Coverage],0))</f>
        <v>No</v>
      </c>
      <c r="P195" t="str">
        <f>INDEX(CoverageTable[Coverage Limit Applies],MATCH(Table18[[#This Row],[Coverage]],CoverageTable[Coverage],0))</f>
        <v>Yes</v>
      </c>
      <c r="Q195" t="s">
        <v>10</v>
      </c>
      <c r="R195" t="s">
        <v>78</v>
      </c>
      <c r="S195" t="s">
        <v>10</v>
      </c>
      <c r="T195" t="s">
        <v>10</v>
      </c>
      <c r="U195" t="s">
        <v>10</v>
      </c>
      <c r="V195" t="s">
        <v>57</v>
      </c>
      <c r="W195" t="s">
        <v>10</v>
      </c>
    </row>
    <row r="196" spans="1:23" x14ac:dyDescent="0.3">
      <c r="A196" t="s">
        <v>287</v>
      </c>
      <c r="B196" s="7">
        <v>45813</v>
      </c>
      <c r="C196" t="s">
        <v>73</v>
      </c>
      <c r="D196" t="s">
        <v>1100</v>
      </c>
      <c r="E196" s="3">
        <v>2</v>
      </c>
      <c r="F196" s="3">
        <v>2</v>
      </c>
      <c r="G196" t="s">
        <v>12</v>
      </c>
      <c r="H196" t="s">
        <v>1108</v>
      </c>
      <c r="I196" t="s">
        <v>43</v>
      </c>
      <c r="J196" t="s">
        <v>52</v>
      </c>
      <c r="K196" t="s">
        <v>10</v>
      </c>
      <c r="L196" t="s">
        <v>10</v>
      </c>
      <c r="M196" t="s">
        <v>10</v>
      </c>
      <c r="N196" t="s">
        <v>10</v>
      </c>
      <c r="O196" t="str">
        <f>INDEX(CoverageTable[Deductible Applies],MATCH(Table18[[#This Row],[Coverage]],CoverageTable[Coverage],0))</f>
        <v>No</v>
      </c>
      <c r="P196" t="str">
        <f>INDEX(CoverageTable[Coverage Limit Applies],MATCH(Table18[[#This Row],[Coverage]],CoverageTable[Coverage],0))</f>
        <v>Yes</v>
      </c>
      <c r="Q196" t="s">
        <v>10</v>
      </c>
      <c r="R196" t="s">
        <v>79</v>
      </c>
      <c r="S196" t="s">
        <v>10</v>
      </c>
      <c r="T196" t="s">
        <v>57</v>
      </c>
      <c r="U196" t="s">
        <v>57</v>
      </c>
      <c r="V196" t="s">
        <v>10</v>
      </c>
      <c r="W196" t="s">
        <v>10</v>
      </c>
    </row>
    <row r="197" spans="1:23" x14ac:dyDescent="0.3">
      <c r="A197" t="s">
        <v>288</v>
      </c>
      <c r="B197" s="7">
        <v>46068</v>
      </c>
      <c r="C197" t="s">
        <v>70</v>
      </c>
      <c r="D197" t="s">
        <v>1101</v>
      </c>
      <c r="E197" s="3">
        <v>7</v>
      </c>
      <c r="F197" s="3">
        <v>1</v>
      </c>
      <c r="G197" t="s">
        <v>10</v>
      </c>
      <c r="H197" t="s">
        <v>1109</v>
      </c>
      <c r="I197" t="s">
        <v>22</v>
      </c>
      <c r="J197" t="s">
        <v>54</v>
      </c>
      <c r="K197" t="s">
        <v>10</v>
      </c>
      <c r="L197" t="s">
        <v>10</v>
      </c>
      <c r="M197" t="s">
        <v>57</v>
      </c>
      <c r="N197" t="s">
        <v>10</v>
      </c>
      <c r="O197" t="str">
        <f>INDEX(CoverageTable[Deductible Applies],MATCH(Table18[[#This Row],[Coverage]],CoverageTable[Coverage],0))</f>
        <v>No</v>
      </c>
      <c r="P197" t="str">
        <f>INDEX(CoverageTable[Coverage Limit Applies],MATCH(Table18[[#This Row],[Coverage]],CoverageTable[Coverage],0))</f>
        <v>Yes</v>
      </c>
      <c r="Q197" t="s">
        <v>10</v>
      </c>
      <c r="R197" t="s">
        <v>78</v>
      </c>
      <c r="S197" t="s">
        <v>10</v>
      </c>
      <c r="T197" t="s">
        <v>57</v>
      </c>
      <c r="U197" t="s">
        <v>10</v>
      </c>
      <c r="V197" t="s">
        <v>10</v>
      </c>
      <c r="W197" t="s">
        <v>10</v>
      </c>
    </row>
    <row r="198" spans="1:23" x14ac:dyDescent="0.3">
      <c r="A198" t="s">
        <v>289</v>
      </c>
      <c r="B198" s="7">
        <v>45982</v>
      </c>
      <c r="C198" t="s">
        <v>70</v>
      </c>
      <c r="D198" t="s">
        <v>1102</v>
      </c>
      <c r="E198" s="3">
        <v>1</v>
      </c>
      <c r="F198" s="3">
        <v>1</v>
      </c>
      <c r="G198" t="s">
        <v>11</v>
      </c>
      <c r="H198" t="s">
        <v>1106</v>
      </c>
      <c r="I198" t="s">
        <v>30</v>
      </c>
      <c r="J198" t="s">
        <v>51</v>
      </c>
      <c r="K198" t="s">
        <v>57</v>
      </c>
      <c r="L198" t="s">
        <v>10</v>
      </c>
      <c r="M198" t="s">
        <v>10</v>
      </c>
      <c r="N198" t="s">
        <v>10</v>
      </c>
      <c r="O198" t="str">
        <f>INDEX(CoverageTable[Deductible Applies],MATCH(Table18[[#This Row],[Coverage]],CoverageTable[Coverage],0))</f>
        <v>No</v>
      </c>
      <c r="P198" t="str">
        <f>INDEX(CoverageTable[Coverage Limit Applies],MATCH(Table18[[#This Row],[Coverage]],CoverageTable[Coverage],0))</f>
        <v>Yes</v>
      </c>
      <c r="Q198" t="s">
        <v>10</v>
      </c>
      <c r="R198" t="s">
        <v>80</v>
      </c>
      <c r="S198" t="s">
        <v>10</v>
      </c>
      <c r="T198" t="s">
        <v>57</v>
      </c>
      <c r="U198" t="s">
        <v>10</v>
      </c>
      <c r="V198" t="s">
        <v>10</v>
      </c>
      <c r="W198" t="s">
        <v>10</v>
      </c>
    </row>
    <row r="199" spans="1:23" x14ac:dyDescent="0.3">
      <c r="A199" t="s">
        <v>290</v>
      </c>
      <c r="B199" s="7">
        <v>45936</v>
      </c>
      <c r="C199" t="s">
        <v>72</v>
      </c>
      <c r="D199" t="s">
        <v>1097</v>
      </c>
      <c r="E199" s="3">
        <v>5</v>
      </c>
      <c r="F199" s="3">
        <v>1</v>
      </c>
      <c r="G199" t="s">
        <v>10</v>
      </c>
      <c r="H199" t="s">
        <v>1109</v>
      </c>
      <c r="I199" t="s">
        <v>36</v>
      </c>
      <c r="J199" t="s">
        <v>51</v>
      </c>
      <c r="K199" t="s">
        <v>10</v>
      </c>
      <c r="L199" t="s">
        <v>10</v>
      </c>
      <c r="M199" t="s">
        <v>10</v>
      </c>
      <c r="N199" t="s">
        <v>57</v>
      </c>
      <c r="O199" t="str">
        <f>INDEX(CoverageTable[Deductible Applies],MATCH(Table18[[#This Row],[Coverage]],CoverageTable[Coverage],0))</f>
        <v>Yes</v>
      </c>
      <c r="P199" t="str">
        <f>INDEX(CoverageTable[Coverage Limit Applies],MATCH(Table18[[#This Row],[Coverage]],CoverageTable[Coverage],0))</f>
        <v>No</v>
      </c>
      <c r="Q199" t="s">
        <v>80</v>
      </c>
      <c r="R199" t="s">
        <v>10</v>
      </c>
      <c r="S199" t="s">
        <v>10</v>
      </c>
      <c r="T199" t="s">
        <v>10</v>
      </c>
      <c r="U199" t="s">
        <v>57</v>
      </c>
      <c r="V199" t="s">
        <v>10</v>
      </c>
      <c r="W199" t="s">
        <v>10</v>
      </c>
    </row>
    <row r="200" spans="1:23" x14ac:dyDescent="0.3">
      <c r="A200" t="s">
        <v>291</v>
      </c>
      <c r="B200" s="7">
        <v>45818</v>
      </c>
      <c r="C200" t="s">
        <v>74</v>
      </c>
      <c r="D200" t="s">
        <v>1101</v>
      </c>
      <c r="E200" s="3">
        <v>4</v>
      </c>
      <c r="F200" s="3">
        <v>4</v>
      </c>
      <c r="G200" t="s">
        <v>10</v>
      </c>
      <c r="H200" t="s">
        <v>1110</v>
      </c>
      <c r="I200" t="s">
        <v>39</v>
      </c>
      <c r="J200" t="s">
        <v>48</v>
      </c>
      <c r="K200" t="s">
        <v>10</v>
      </c>
      <c r="L200" t="s">
        <v>57</v>
      </c>
      <c r="M200" t="s">
        <v>10</v>
      </c>
      <c r="N200" t="s">
        <v>10</v>
      </c>
      <c r="O200" t="str">
        <f>INDEX(CoverageTable[Deductible Applies],MATCH(Table18[[#This Row],[Coverage]],CoverageTable[Coverage],0))</f>
        <v>No</v>
      </c>
      <c r="P200" t="str">
        <f>INDEX(CoverageTable[Coverage Limit Applies],MATCH(Table18[[#This Row],[Coverage]],CoverageTable[Coverage],0))</f>
        <v>Yes</v>
      </c>
      <c r="Q200" t="s">
        <v>10</v>
      </c>
      <c r="R200" t="s">
        <v>78</v>
      </c>
      <c r="S200" t="s">
        <v>10</v>
      </c>
      <c r="T200" t="s">
        <v>10</v>
      </c>
      <c r="U200" t="s">
        <v>10</v>
      </c>
      <c r="V200" t="s">
        <v>10</v>
      </c>
      <c r="W200" t="s">
        <v>10</v>
      </c>
    </row>
    <row r="201" spans="1:23" x14ac:dyDescent="0.3">
      <c r="A201" t="s">
        <v>292</v>
      </c>
      <c r="B201" s="7">
        <v>46037</v>
      </c>
      <c r="C201" t="s">
        <v>71</v>
      </c>
      <c r="D201" t="s">
        <v>1097</v>
      </c>
      <c r="E201" s="3">
        <v>2</v>
      </c>
      <c r="F201" s="3">
        <v>4</v>
      </c>
      <c r="G201" t="s">
        <v>12</v>
      </c>
      <c r="H201" t="s">
        <v>1110</v>
      </c>
      <c r="I201" t="s">
        <v>42</v>
      </c>
      <c r="J201" t="s">
        <v>52</v>
      </c>
      <c r="K201" t="s">
        <v>10</v>
      </c>
      <c r="L201" t="s">
        <v>10</v>
      </c>
      <c r="M201" t="s">
        <v>57</v>
      </c>
      <c r="N201" t="s">
        <v>10</v>
      </c>
      <c r="O201" t="str">
        <f>INDEX(CoverageTable[Deductible Applies],MATCH(Table18[[#This Row],[Coverage]],CoverageTable[Coverage],0))</f>
        <v>Yes</v>
      </c>
      <c r="P201" t="str">
        <f>INDEX(CoverageTable[Coverage Limit Applies],MATCH(Table18[[#This Row],[Coverage]],CoverageTable[Coverage],0))</f>
        <v>No</v>
      </c>
      <c r="Q201" t="s">
        <v>79</v>
      </c>
      <c r="R201" t="s">
        <v>10</v>
      </c>
      <c r="S201" t="s">
        <v>57</v>
      </c>
      <c r="T201" t="s">
        <v>10</v>
      </c>
      <c r="U201" t="s">
        <v>10</v>
      </c>
      <c r="V201" t="s">
        <v>10</v>
      </c>
      <c r="W201" t="s">
        <v>57</v>
      </c>
    </row>
    <row r="202" spans="1:23" x14ac:dyDescent="0.3">
      <c r="A202" t="s">
        <v>293</v>
      </c>
      <c r="B202" s="7">
        <v>45971</v>
      </c>
      <c r="C202" t="s">
        <v>71</v>
      </c>
      <c r="D202" t="s">
        <v>1098</v>
      </c>
      <c r="E202" s="3">
        <v>6</v>
      </c>
      <c r="F202" s="3">
        <v>0</v>
      </c>
      <c r="G202" t="s">
        <v>12</v>
      </c>
      <c r="H202" t="s">
        <v>1107</v>
      </c>
      <c r="I202" t="s">
        <v>42</v>
      </c>
      <c r="J202" t="s">
        <v>49</v>
      </c>
      <c r="K202" t="s">
        <v>10</v>
      </c>
      <c r="L202" t="s">
        <v>10</v>
      </c>
      <c r="M202" t="s">
        <v>10</v>
      </c>
      <c r="N202" t="s">
        <v>10</v>
      </c>
      <c r="O202" t="str">
        <f>INDEX(CoverageTable[Deductible Applies],MATCH(Table18[[#This Row],[Coverage]],CoverageTable[Coverage],0))</f>
        <v>Yes</v>
      </c>
      <c r="P202" t="str">
        <f>INDEX(CoverageTable[Coverage Limit Applies],MATCH(Table18[[#This Row],[Coverage]],CoverageTable[Coverage],0))</f>
        <v>No</v>
      </c>
      <c r="Q202" t="s">
        <v>78</v>
      </c>
      <c r="R202" t="s">
        <v>10</v>
      </c>
      <c r="S202" t="s">
        <v>10</v>
      </c>
      <c r="T202" t="s">
        <v>57</v>
      </c>
      <c r="U202" t="s">
        <v>57</v>
      </c>
      <c r="V202" t="s">
        <v>10</v>
      </c>
      <c r="W202" t="s">
        <v>57</v>
      </c>
    </row>
    <row r="203" spans="1:23" x14ac:dyDescent="0.3">
      <c r="A203" t="s">
        <v>294</v>
      </c>
      <c r="B203" s="7">
        <v>45819</v>
      </c>
      <c r="C203" t="s">
        <v>71</v>
      </c>
      <c r="D203" t="s">
        <v>1099</v>
      </c>
      <c r="E203" s="3">
        <v>1</v>
      </c>
      <c r="F203" s="3">
        <v>2</v>
      </c>
      <c r="G203" t="s">
        <v>13</v>
      </c>
      <c r="H203" t="s">
        <v>1109</v>
      </c>
      <c r="I203" t="s">
        <v>27</v>
      </c>
      <c r="J203" t="s">
        <v>51</v>
      </c>
      <c r="K203" t="s">
        <v>10</v>
      </c>
      <c r="L203" t="s">
        <v>57</v>
      </c>
      <c r="M203" t="s">
        <v>57</v>
      </c>
      <c r="N203" t="s">
        <v>57</v>
      </c>
      <c r="O203" t="str">
        <f>INDEX(CoverageTable[Deductible Applies],MATCH(Table18[[#This Row],[Coverage]],CoverageTable[Coverage],0))</f>
        <v>Yes</v>
      </c>
      <c r="P203" t="str">
        <f>INDEX(CoverageTable[Coverage Limit Applies],MATCH(Table18[[#This Row],[Coverage]],CoverageTable[Coverage],0))</f>
        <v>No</v>
      </c>
      <c r="Q203" t="s">
        <v>80</v>
      </c>
      <c r="R203" t="s">
        <v>10</v>
      </c>
      <c r="S203" t="s">
        <v>10</v>
      </c>
      <c r="T203" t="s">
        <v>57</v>
      </c>
      <c r="U203" t="s">
        <v>10</v>
      </c>
      <c r="V203" t="s">
        <v>10</v>
      </c>
      <c r="W203" t="s">
        <v>57</v>
      </c>
    </row>
    <row r="204" spans="1:23" x14ac:dyDescent="0.3">
      <c r="A204" t="s">
        <v>295</v>
      </c>
      <c r="B204" s="7">
        <v>46055</v>
      </c>
      <c r="C204" t="s">
        <v>70</v>
      </c>
      <c r="D204" t="s">
        <v>1097</v>
      </c>
      <c r="E204" s="3">
        <v>4</v>
      </c>
      <c r="F204" s="3">
        <v>2</v>
      </c>
      <c r="G204" t="s">
        <v>10</v>
      </c>
      <c r="H204" t="s">
        <v>1109</v>
      </c>
      <c r="I204" t="s">
        <v>34</v>
      </c>
      <c r="J204" t="s">
        <v>49</v>
      </c>
      <c r="K204" t="s">
        <v>10</v>
      </c>
      <c r="L204" t="s">
        <v>10</v>
      </c>
      <c r="M204" t="s">
        <v>10</v>
      </c>
      <c r="N204" t="s">
        <v>10</v>
      </c>
      <c r="O204" t="str">
        <f>INDEX(CoverageTable[Deductible Applies],MATCH(Table18[[#This Row],[Coverage]],CoverageTable[Coverage],0))</f>
        <v>No</v>
      </c>
      <c r="P204" t="str">
        <f>INDEX(CoverageTable[Coverage Limit Applies],MATCH(Table18[[#This Row],[Coverage]],CoverageTable[Coverage],0))</f>
        <v>Yes</v>
      </c>
      <c r="Q204" t="s">
        <v>10</v>
      </c>
      <c r="R204" t="s">
        <v>79</v>
      </c>
      <c r="S204" t="s">
        <v>10</v>
      </c>
      <c r="T204" t="s">
        <v>10</v>
      </c>
      <c r="U204" t="s">
        <v>10</v>
      </c>
      <c r="V204" t="s">
        <v>10</v>
      </c>
      <c r="W204" t="s">
        <v>57</v>
      </c>
    </row>
    <row r="205" spans="1:23" x14ac:dyDescent="0.3">
      <c r="A205" t="s">
        <v>296</v>
      </c>
      <c r="B205" s="7">
        <v>45892</v>
      </c>
      <c r="C205" t="s">
        <v>74</v>
      </c>
      <c r="D205" t="s">
        <v>1097</v>
      </c>
      <c r="E205" s="3">
        <v>6</v>
      </c>
      <c r="F205" s="3">
        <v>1</v>
      </c>
      <c r="G205" t="s">
        <v>13</v>
      </c>
      <c r="H205" t="s">
        <v>1106</v>
      </c>
      <c r="I205" t="s">
        <v>21</v>
      </c>
      <c r="J205" t="s">
        <v>51</v>
      </c>
      <c r="K205" t="s">
        <v>10</v>
      </c>
      <c r="L205" t="s">
        <v>57</v>
      </c>
      <c r="M205" t="s">
        <v>10</v>
      </c>
      <c r="N205" t="s">
        <v>10</v>
      </c>
      <c r="O205" t="str">
        <f>INDEX(CoverageTable[Deductible Applies],MATCH(Table18[[#This Row],[Coverage]],CoverageTable[Coverage],0))</f>
        <v>No</v>
      </c>
      <c r="P205" t="str">
        <f>INDEX(CoverageTable[Coverage Limit Applies],MATCH(Table18[[#This Row],[Coverage]],CoverageTable[Coverage],0))</f>
        <v>Yes</v>
      </c>
      <c r="Q205" t="s">
        <v>10</v>
      </c>
      <c r="R205" t="s">
        <v>80</v>
      </c>
      <c r="S205" t="s">
        <v>10</v>
      </c>
      <c r="T205" t="s">
        <v>10</v>
      </c>
      <c r="U205" t="s">
        <v>57</v>
      </c>
      <c r="V205" t="s">
        <v>10</v>
      </c>
      <c r="W205" t="s">
        <v>10</v>
      </c>
    </row>
    <row r="206" spans="1:23" x14ac:dyDescent="0.3">
      <c r="A206" t="s">
        <v>297</v>
      </c>
      <c r="B206" s="7">
        <v>46024</v>
      </c>
      <c r="C206" t="s">
        <v>71</v>
      </c>
      <c r="D206" t="s">
        <v>1099</v>
      </c>
      <c r="E206" s="3">
        <v>6</v>
      </c>
      <c r="F206" s="3">
        <v>2</v>
      </c>
      <c r="G206" t="s">
        <v>10</v>
      </c>
      <c r="H206" t="s">
        <v>1108</v>
      </c>
      <c r="I206" t="s">
        <v>21</v>
      </c>
      <c r="J206" t="s">
        <v>49</v>
      </c>
      <c r="K206" t="s">
        <v>10</v>
      </c>
      <c r="L206" t="s">
        <v>10</v>
      </c>
      <c r="M206" t="s">
        <v>10</v>
      </c>
      <c r="N206" t="s">
        <v>10</v>
      </c>
      <c r="O206" t="str">
        <f>INDEX(CoverageTable[Deductible Applies],MATCH(Table18[[#This Row],[Coverage]],CoverageTable[Coverage],0))</f>
        <v>Yes</v>
      </c>
      <c r="P206" t="str">
        <f>INDEX(CoverageTable[Coverage Limit Applies],MATCH(Table18[[#This Row],[Coverage]],CoverageTable[Coverage],0))</f>
        <v>No</v>
      </c>
      <c r="Q206" t="s">
        <v>79</v>
      </c>
      <c r="R206" t="s">
        <v>10</v>
      </c>
      <c r="S206" t="s">
        <v>10</v>
      </c>
      <c r="T206" t="s">
        <v>10</v>
      </c>
      <c r="U206" t="s">
        <v>10</v>
      </c>
      <c r="V206" t="s">
        <v>57</v>
      </c>
      <c r="W206" t="s">
        <v>10</v>
      </c>
    </row>
    <row r="207" spans="1:23" x14ac:dyDescent="0.3">
      <c r="A207" t="s">
        <v>298</v>
      </c>
      <c r="B207" s="7">
        <v>45950</v>
      </c>
      <c r="C207" t="s">
        <v>70</v>
      </c>
      <c r="D207" t="s">
        <v>1098</v>
      </c>
      <c r="E207" s="3">
        <v>6</v>
      </c>
      <c r="F207" s="3">
        <v>1</v>
      </c>
      <c r="G207" t="s">
        <v>11</v>
      </c>
      <c r="H207" t="s">
        <v>1107</v>
      </c>
      <c r="I207" t="s">
        <v>28</v>
      </c>
      <c r="J207" t="s">
        <v>49</v>
      </c>
      <c r="K207" t="s">
        <v>10</v>
      </c>
      <c r="L207" t="s">
        <v>10</v>
      </c>
      <c r="M207" t="s">
        <v>10</v>
      </c>
      <c r="N207" t="s">
        <v>57</v>
      </c>
      <c r="O207" t="str">
        <f>INDEX(CoverageTable[Deductible Applies],MATCH(Table18[[#This Row],[Coverage]],CoverageTable[Coverage],0))</f>
        <v>No</v>
      </c>
      <c r="P207" t="str">
        <f>INDEX(CoverageTable[Coverage Limit Applies],MATCH(Table18[[#This Row],[Coverage]],CoverageTable[Coverage],0))</f>
        <v>Yes</v>
      </c>
      <c r="Q207" t="s">
        <v>10</v>
      </c>
      <c r="R207" t="s">
        <v>79</v>
      </c>
      <c r="S207" t="s">
        <v>10</v>
      </c>
      <c r="T207" t="s">
        <v>10</v>
      </c>
      <c r="U207" t="s">
        <v>10</v>
      </c>
      <c r="V207" t="s">
        <v>10</v>
      </c>
      <c r="W207" t="s">
        <v>10</v>
      </c>
    </row>
    <row r="208" spans="1:23" x14ac:dyDescent="0.3">
      <c r="A208" t="s">
        <v>299</v>
      </c>
      <c r="B208" s="7">
        <v>46129</v>
      </c>
      <c r="C208" t="s">
        <v>74</v>
      </c>
      <c r="D208" t="s">
        <v>1101</v>
      </c>
      <c r="E208" s="3">
        <v>1</v>
      </c>
      <c r="F208" s="3">
        <v>0</v>
      </c>
      <c r="G208" t="s">
        <v>10</v>
      </c>
      <c r="H208" t="s">
        <v>1109</v>
      </c>
      <c r="I208" t="s">
        <v>34</v>
      </c>
      <c r="J208" t="s">
        <v>49</v>
      </c>
      <c r="K208" t="s">
        <v>57</v>
      </c>
      <c r="L208" t="s">
        <v>57</v>
      </c>
      <c r="M208" t="s">
        <v>10</v>
      </c>
      <c r="N208" t="s">
        <v>10</v>
      </c>
      <c r="O208" t="str">
        <f>INDEX(CoverageTable[Deductible Applies],MATCH(Table18[[#This Row],[Coverage]],CoverageTable[Coverage],0))</f>
        <v>No</v>
      </c>
      <c r="P208" t="str">
        <f>INDEX(CoverageTable[Coverage Limit Applies],MATCH(Table18[[#This Row],[Coverage]],CoverageTable[Coverage],0))</f>
        <v>Yes</v>
      </c>
      <c r="Q208" t="s">
        <v>10</v>
      </c>
      <c r="R208" t="s">
        <v>78</v>
      </c>
      <c r="S208" t="s">
        <v>10</v>
      </c>
      <c r="T208" t="s">
        <v>10</v>
      </c>
      <c r="U208" t="s">
        <v>57</v>
      </c>
      <c r="V208" t="s">
        <v>10</v>
      </c>
      <c r="W208" t="s">
        <v>57</v>
      </c>
    </row>
    <row r="209" spans="1:23" x14ac:dyDescent="0.3">
      <c r="A209" t="s">
        <v>300</v>
      </c>
      <c r="B209" s="7">
        <v>45948</v>
      </c>
      <c r="C209" t="s">
        <v>71</v>
      </c>
      <c r="D209" t="s">
        <v>1099</v>
      </c>
      <c r="E209" s="3">
        <v>5</v>
      </c>
      <c r="F209" s="3">
        <v>3</v>
      </c>
      <c r="G209" t="s">
        <v>12</v>
      </c>
      <c r="H209" t="s">
        <v>1107</v>
      </c>
      <c r="I209" t="s">
        <v>36</v>
      </c>
      <c r="J209" t="s">
        <v>50</v>
      </c>
      <c r="K209" t="s">
        <v>10</v>
      </c>
      <c r="L209" t="s">
        <v>57</v>
      </c>
      <c r="M209" t="s">
        <v>10</v>
      </c>
      <c r="N209" t="s">
        <v>57</v>
      </c>
      <c r="O209" t="str">
        <f>INDEX(CoverageTable[Deductible Applies],MATCH(Table18[[#This Row],[Coverage]],CoverageTable[Coverage],0))</f>
        <v>Yes</v>
      </c>
      <c r="P209" t="str">
        <f>INDEX(CoverageTable[Coverage Limit Applies],MATCH(Table18[[#This Row],[Coverage]],CoverageTable[Coverage],0))</f>
        <v>No</v>
      </c>
      <c r="Q209" t="s">
        <v>79</v>
      </c>
      <c r="R209" t="s">
        <v>10</v>
      </c>
      <c r="S209" t="s">
        <v>57</v>
      </c>
      <c r="T209" t="s">
        <v>10</v>
      </c>
      <c r="U209" t="s">
        <v>10</v>
      </c>
      <c r="V209" t="s">
        <v>10</v>
      </c>
      <c r="W209" t="s">
        <v>10</v>
      </c>
    </row>
    <row r="210" spans="1:23" x14ac:dyDescent="0.3">
      <c r="A210" t="s">
        <v>301</v>
      </c>
      <c r="B210" s="7">
        <v>45812</v>
      </c>
      <c r="C210" t="s">
        <v>74</v>
      </c>
      <c r="D210" t="s">
        <v>1098</v>
      </c>
      <c r="E210" s="3">
        <v>6</v>
      </c>
      <c r="F210" s="3">
        <v>0</v>
      </c>
      <c r="G210" t="s">
        <v>13</v>
      </c>
      <c r="H210" t="s">
        <v>1106</v>
      </c>
      <c r="I210" t="s">
        <v>35</v>
      </c>
      <c r="J210" t="s">
        <v>49</v>
      </c>
      <c r="K210" t="s">
        <v>10</v>
      </c>
      <c r="L210" t="s">
        <v>10</v>
      </c>
      <c r="M210" t="s">
        <v>10</v>
      </c>
      <c r="N210" t="s">
        <v>10</v>
      </c>
      <c r="O210" t="str">
        <f>INDEX(CoverageTable[Deductible Applies],MATCH(Table18[[#This Row],[Coverage]],CoverageTable[Coverage],0))</f>
        <v>No</v>
      </c>
      <c r="P210" t="str">
        <f>INDEX(CoverageTable[Coverage Limit Applies],MATCH(Table18[[#This Row],[Coverage]],CoverageTable[Coverage],0))</f>
        <v>Yes</v>
      </c>
      <c r="Q210" t="s">
        <v>10</v>
      </c>
      <c r="R210" t="s">
        <v>80</v>
      </c>
      <c r="S210" t="s">
        <v>10</v>
      </c>
      <c r="T210" t="s">
        <v>10</v>
      </c>
      <c r="U210" t="s">
        <v>10</v>
      </c>
      <c r="V210" t="s">
        <v>10</v>
      </c>
      <c r="W210" t="s">
        <v>57</v>
      </c>
    </row>
    <row r="211" spans="1:23" x14ac:dyDescent="0.3">
      <c r="A211" t="s">
        <v>302</v>
      </c>
      <c r="B211" s="7">
        <v>45867</v>
      </c>
      <c r="C211" t="s">
        <v>73</v>
      </c>
      <c r="D211" t="s">
        <v>1099</v>
      </c>
      <c r="E211" s="3">
        <v>6</v>
      </c>
      <c r="F211" s="3">
        <v>0</v>
      </c>
      <c r="G211" t="s">
        <v>10</v>
      </c>
      <c r="H211" t="s">
        <v>1110</v>
      </c>
      <c r="I211" t="s">
        <v>32</v>
      </c>
      <c r="J211" t="s">
        <v>48</v>
      </c>
      <c r="K211" t="s">
        <v>10</v>
      </c>
      <c r="L211" t="s">
        <v>57</v>
      </c>
      <c r="M211" t="s">
        <v>10</v>
      </c>
      <c r="N211" t="s">
        <v>57</v>
      </c>
      <c r="O211" t="str">
        <f>INDEX(CoverageTable[Deductible Applies],MATCH(Table18[[#This Row],[Coverage]],CoverageTable[Coverage],0))</f>
        <v>No</v>
      </c>
      <c r="P211" t="str">
        <f>INDEX(CoverageTable[Coverage Limit Applies],MATCH(Table18[[#This Row],[Coverage]],CoverageTable[Coverage],0))</f>
        <v>Yes</v>
      </c>
      <c r="Q211" t="s">
        <v>10</v>
      </c>
      <c r="R211" t="s">
        <v>78</v>
      </c>
      <c r="S211" t="s">
        <v>10</v>
      </c>
      <c r="T211" t="s">
        <v>10</v>
      </c>
      <c r="U211" t="s">
        <v>10</v>
      </c>
      <c r="V211" t="s">
        <v>10</v>
      </c>
      <c r="W211" t="s">
        <v>10</v>
      </c>
    </row>
    <row r="212" spans="1:23" x14ac:dyDescent="0.3">
      <c r="A212" t="s">
        <v>303</v>
      </c>
      <c r="B212" s="7">
        <v>45838</v>
      </c>
      <c r="C212" t="s">
        <v>73</v>
      </c>
      <c r="D212" t="s">
        <v>1100</v>
      </c>
      <c r="E212" s="3">
        <v>5</v>
      </c>
      <c r="F212" s="3">
        <v>2</v>
      </c>
      <c r="G212" t="s">
        <v>13</v>
      </c>
      <c r="H212" t="s">
        <v>1107</v>
      </c>
      <c r="I212" t="s">
        <v>26</v>
      </c>
      <c r="J212" t="s">
        <v>48</v>
      </c>
      <c r="K212" t="s">
        <v>10</v>
      </c>
      <c r="L212" t="s">
        <v>10</v>
      </c>
      <c r="M212" t="s">
        <v>10</v>
      </c>
      <c r="N212" t="s">
        <v>57</v>
      </c>
      <c r="O212" t="str">
        <f>INDEX(CoverageTable[Deductible Applies],MATCH(Table18[[#This Row],[Coverage]],CoverageTable[Coverage],0))</f>
        <v>No</v>
      </c>
      <c r="P212" t="str">
        <f>INDEX(CoverageTable[Coverage Limit Applies],MATCH(Table18[[#This Row],[Coverage]],CoverageTable[Coverage],0))</f>
        <v>Yes</v>
      </c>
      <c r="Q212" t="s">
        <v>10</v>
      </c>
      <c r="R212" t="s">
        <v>79</v>
      </c>
      <c r="S212" t="s">
        <v>10</v>
      </c>
      <c r="T212" t="s">
        <v>57</v>
      </c>
      <c r="U212" t="s">
        <v>10</v>
      </c>
      <c r="V212" t="s">
        <v>10</v>
      </c>
      <c r="W212" t="s">
        <v>57</v>
      </c>
    </row>
    <row r="213" spans="1:23" x14ac:dyDescent="0.3">
      <c r="A213" t="s">
        <v>304</v>
      </c>
      <c r="B213" s="7">
        <v>46049</v>
      </c>
      <c r="C213" t="s">
        <v>72</v>
      </c>
      <c r="D213" t="s">
        <v>1098</v>
      </c>
      <c r="E213" s="3">
        <v>2</v>
      </c>
      <c r="F213" s="3">
        <v>2</v>
      </c>
      <c r="G213" t="s">
        <v>11</v>
      </c>
      <c r="H213" t="s">
        <v>1106</v>
      </c>
      <c r="I213" t="s">
        <v>31</v>
      </c>
      <c r="J213" t="s">
        <v>54</v>
      </c>
      <c r="K213" t="s">
        <v>10</v>
      </c>
      <c r="L213" t="s">
        <v>10</v>
      </c>
      <c r="M213" t="s">
        <v>10</v>
      </c>
      <c r="N213" t="s">
        <v>57</v>
      </c>
      <c r="O213" t="str">
        <f>INDEX(CoverageTable[Deductible Applies],MATCH(Table18[[#This Row],[Coverage]],CoverageTable[Coverage],0))</f>
        <v>Yes</v>
      </c>
      <c r="P213" t="str">
        <f>INDEX(CoverageTable[Coverage Limit Applies],MATCH(Table18[[#This Row],[Coverage]],CoverageTable[Coverage],0))</f>
        <v>No</v>
      </c>
      <c r="Q213" t="s">
        <v>78</v>
      </c>
      <c r="R213" t="s">
        <v>10</v>
      </c>
      <c r="S213" t="s">
        <v>57</v>
      </c>
      <c r="T213" t="s">
        <v>57</v>
      </c>
      <c r="U213" t="s">
        <v>10</v>
      </c>
      <c r="V213" t="s">
        <v>57</v>
      </c>
      <c r="W213" t="s">
        <v>10</v>
      </c>
    </row>
    <row r="214" spans="1:23" x14ac:dyDescent="0.3">
      <c r="A214" t="s">
        <v>305</v>
      </c>
      <c r="B214" s="7">
        <v>45901</v>
      </c>
      <c r="C214" t="s">
        <v>70</v>
      </c>
      <c r="D214" t="s">
        <v>1102</v>
      </c>
      <c r="E214" s="3">
        <v>7</v>
      </c>
      <c r="F214" s="3">
        <v>1</v>
      </c>
      <c r="G214" t="s">
        <v>10</v>
      </c>
      <c r="H214" t="s">
        <v>1110</v>
      </c>
      <c r="I214" t="s">
        <v>34</v>
      </c>
      <c r="J214" t="s">
        <v>53</v>
      </c>
      <c r="K214" t="s">
        <v>10</v>
      </c>
      <c r="L214" t="s">
        <v>10</v>
      </c>
      <c r="M214" t="s">
        <v>10</v>
      </c>
      <c r="N214" t="s">
        <v>57</v>
      </c>
      <c r="O214" t="str">
        <f>INDEX(CoverageTable[Deductible Applies],MATCH(Table18[[#This Row],[Coverage]],CoverageTable[Coverage],0))</f>
        <v>No</v>
      </c>
      <c r="P214" t="str">
        <f>INDEX(CoverageTable[Coverage Limit Applies],MATCH(Table18[[#This Row],[Coverage]],CoverageTable[Coverage],0))</f>
        <v>Yes</v>
      </c>
      <c r="Q214" t="s">
        <v>10</v>
      </c>
      <c r="R214" t="s">
        <v>80</v>
      </c>
      <c r="S214" t="s">
        <v>10</v>
      </c>
      <c r="T214" t="s">
        <v>10</v>
      </c>
      <c r="U214" t="s">
        <v>10</v>
      </c>
      <c r="V214" t="s">
        <v>57</v>
      </c>
      <c r="W214" t="s">
        <v>57</v>
      </c>
    </row>
    <row r="215" spans="1:23" x14ac:dyDescent="0.3">
      <c r="A215" t="s">
        <v>306</v>
      </c>
      <c r="B215" s="7">
        <v>46117</v>
      </c>
      <c r="C215" t="s">
        <v>73</v>
      </c>
      <c r="D215" t="s">
        <v>1099</v>
      </c>
      <c r="E215" s="3">
        <v>7</v>
      </c>
      <c r="F215" s="3">
        <v>2</v>
      </c>
      <c r="G215" t="s">
        <v>13</v>
      </c>
      <c r="H215" t="s">
        <v>1108</v>
      </c>
      <c r="I215" t="s">
        <v>22</v>
      </c>
      <c r="J215" t="s">
        <v>53</v>
      </c>
      <c r="K215" t="s">
        <v>10</v>
      </c>
      <c r="L215" t="s">
        <v>10</v>
      </c>
      <c r="M215" t="s">
        <v>10</v>
      </c>
      <c r="N215" t="s">
        <v>10</v>
      </c>
      <c r="O215" t="str">
        <f>INDEX(CoverageTable[Deductible Applies],MATCH(Table18[[#This Row],[Coverage]],CoverageTable[Coverage],0))</f>
        <v>No</v>
      </c>
      <c r="P215" t="str">
        <f>INDEX(CoverageTable[Coverage Limit Applies],MATCH(Table18[[#This Row],[Coverage]],CoverageTable[Coverage],0))</f>
        <v>Yes</v>
      </c>
      <c r="Q215" t="s">
        <v>10</v>
      </c>
      <c r="R215" t="s">
        <v>79</v>
      </c>
      <c r="S215" t="s">
        <v>10</v>
      </c>
      <c r="T215" t="s">
        <v>10</v>
      </c>
      <c r="U215" t="s">
        <v>10</v>
      </c>
      <c r="V215" t="s">
        <v>10</v>
      </c>
      <c r="W215" t="s">
        <v>57</v>
      </c>
    </row>
    <row r="216" spans="1:23" x14ac:dyDescent="0.3">
      <c r="A216" t="s">
        <v>307</v>
      </c>
      <c r="B216" s="7">
        <v>45998</v>
      </c>
      <c r="C216" t="s">
        <v>71</v>
      </c>
      <c r="D216" t="s">
        <v>1097</v>
      </c>
      <c r="E216" s="3">
        <v>4</v>
      </c>
      <c r="F216" s="3">
        <v>0</v>
      </c>
      <c r="G216" t="s">
        <v>13</v>
      </c>
      <c r="H216" t="s">
        <v>1108</v>
      </c>
      <c r="I216" t="s">
        <v>40</v>
      </c>
      <c r="J216" t="s">
        <v>49</v>
      </c>
      <c r="K216" t="s">
        <v>10</v>
      </c>
      <c r="L216" t="s">
        <v>10</v>
      </c>
      <c r="M216" t="s">
        <v>10</v>
      </c>
      <c r="N216" t="s">
        <v>10</v>
      </c>
      <c r="O216" t="str">
        <f>INDEX(CoverageTable[Deductible Applies],MATCH(Table18[[#This Row],[Coverage]],CoverageTable[Coverage],0))</f>
        <v>Yes</v>
      </c>
      <c r="P216" t="str">
        <f>INDEX(CoverageTable[Coverage Limit Applies],MATCH(Table18[[#This Row],[Coverage]],CoverageTable[Coverage],0))</f>
        <v>No</v>
      </c>
      <c r="Q216" t="s">
        <v>80</v>
      </c>
      <c r="R216" t="s">
        <v>10</v>
      </c>
      <c r="S216" t="s">
        <v>10</v>
      </c>
      <c r="T216" t="s">
        <v>10</v>
      </c>
      <c r="U216" t="s">
        <v>57</v>
      </c>
      <c r="V216" t="s">
        <v>57</v>
      </c>
      <c r="W216" t="s">
        <v>10</v>
      </c>
    </row>
    <row r="217" spans="1:23" x14ac:dyDescent="0.3">
      <c r="A217" t="s">
        <v>308</v>
      </c>
      <c r="B217" s="7">
        <v>45804</v>
      </c>
      <c r="C217" t="s">
        <v>70</v>
      </c>
      <c r="D217" t="s">
        <v>1100</v>
      </c>
      <c r="E217" s="3">
        <v>4</v>
      </c>
      <c r="F217" s="3">
        <v>1</v>
      </c>
      <c r="G217" t="s">
        <v>10</v>
      </c>
      <c r="H217" t="s">
        <v>1106</v>
      </c>
      <c r="I217" t="s">
        <v>41</v>
      </c>
      <c r="J217" t="s">
        <v>54</v>
      </c>
      <c r="K217" t="s">
        <v>10</v>
      </c>
      <c r="L217" t="s">
        <v>57</v>
      </c>
      <c r="M217" t="s">
        <v>10</v>
      </c>
      <c r="N217" t="s">
        <v>57</v>
      </c>
      <c r="O217" t="str">
        <f>INDEX(CoverageTable[Deductible Applies],MATCH(Table18[[#This Row],[Coverage]],CoverageTable[Coverage],0))</f>
        <v>No</v>
      </c>
      <c r="P217" t="str">
        <f>INDEX(CoverageTable[Coverage Limit Applies],MATCH(Table18[[#This Row],[Coverage]],CoverageTable[Coverage],0))</f>
        <v>Yes</v>
      </c>
      <c r="Q217" t="s">
        <v>10</v>
      </c>
      <c r="R217" t="s">
        <v>79</v>
      </c>
      <c r="S217" t="s">
        <v>10</v>
      </c>
      <c r="T217" t="s">
        <v>57</v>
      </c>
      <c r="U217" t="s">
        <v>57</v>
      </c>
      <c r="V217" t="s">
        <v>10</v>
      </c>
      <c r="W217" t="s">
        <v>10</v>
      </c>
    </row>
    <row r="218" spans="1:23" x14ac:dyDescent="0.3">
      <c r="A218" t="s">
        <v>309</v>
      </c>
      <c r="B218" s="7">
        <v>46124</v>
      </c>
      <c r="C218" t="s">
        <v>70</v>
      </c>
      <c r="D218" t="s">
        <v>1097</v>
      </c>
      <c r="E218" s="3">
        <v>1</v>
      </c>
      <c r="F218" s="3">
        <v>3</v>
      </c>
      <c r="G218" t="s">
        <v>12</v>
      </c>
      <c r="H218" t="s">
        <v>1108</v>
      </c>
      <c r="I218" t="s">
        <v>42</v>
      </c>
      <c r="J218" t="s">
        <v>51</v>
      </c>
      <c r="K218" t="s">
        <v>10</v>
      </c>
      <c r="L218" t="s">
        <v>10</v>
      </c>
      <c r="M218" t="s">
        <v>10</v>
      </c>
      <c r="N218" t="s">
        <v>10</v>
      </c>
      <c r="O218" t="str">
        <f>INDEX(CoverageTable[Deductible Applies],MATCH(Table18[[#This Row],[Coverage]],CoverageTable[Coverage],0))</f>
        <v>No</v>
      </c>
      <c r="P218" t="str">
        <f>INDEX(CoverageTable[Coverage Limit Applies],MATCH(Table18[[#This Row],[Coverage]],CoverageTable[Coverage],0))</f>
        <v>Yes</v>
      </c>
      <c r="Q218" t="s">
        <v>10</v>
      </c>
      <c r="R218" t="s">
        <v>78</v>
      </c>
      <c r="S218" t="s">
        <v>57</v>
      </c>
      <c r="T218" t="s">
        <v>10</v>
      </c>
      <c r="U218" t="s">
        <v>10</v>
      </c>
      <c r="V218" t="s">
        <v>10</v>
      </c>
      <c r="W218" t="s">
        <v>10</v>
      </c>
    </row>
    <row r="219" spans="1:23" x14ac:dyDescent="0.3">
      <c r="A219" t="s">
        <v>310</v>
      </c>
      <c r="B219" s="7">
        <v>45799</v>
      </c>
      <c r="C219" t="s">
        <v>71</v>
      </c>
      <c r="D219" t="s">
        <v>1098</v>
      </c>
      <c r="E219" s="3">
        <v>1</v>
      </c>
      <c r="F219" s="3">
        <v>0</v>
      </c>
      <c r="G219" t="s">
        <v>10</v>
      </c>
      <c r="H219" t="s">
        <v>1109</v>
      </c>
      <c r="I219" t="s">
        <v>35</v>
      </c>
      <c r="J219" t="s">
        <v>50</v>
      </c>
      <c r="K219" t="s">
        <v>10</v>
      </c>
      <c r="L219" t="s">
        <v>10</v>
      </c>
      <c r="M219" t="s">
        <v>10</v>
      </c>
      <c r="N219" t="s">
        <v>10</v>
      </c>
      <c r="O219" t="str">
        <f>INDEX(CoverageTable[Deductible Applies],MATCH(Table18[[#This Row],[Coverage]],CoverageTable[Coverage],0))</f>
        <v>Yes</v>
      </c>
      <c r="P219" t="str">
        <f>INDEX(CoverageTable[Coverage Limit Applies],MATCH(Table18[[#This Row],[Coverage]],CoverageTable[Coverage],0))</f>
        <v>No</v>
      </c>
      <c r="Q219" t="s">
        <v>78</v>
      </c>
      <c r="R219" t="s">
        <v>10</v>
      </c>
      <c r="S219" t="s">
        <v>10</v>
      </c>
      <c r="T219" t="s">
        <v>57</v>
      </c>
      <c r="U219" t="s">
        <v>10</v>
      </c>
      <c r="V219" t="s">
        <v>10</v>
      </c>
      <c r="W219" t="s">
        <v>10</v>
      </c>
    </row>
    <row r="220" spans="1:23" x14ac:dyDescent="0.3">
      <c r="A220" t="s">
        <v>311</v>
      </c>
      <c r="B220" s="7">
        <v>46112</v>
      </c>
      <c r="C220" t="s">
        <v>71</v>
      </c>
      <c r="D220" t="s">
        <v>1101</v>
      </c>
      <c r="E220" s="3">
        <v>2</v>
      </c>
      <c r="F220" s="3">
        <v>3</v>
      </c>
      <c r="G220" t="s">
        <v>10</v>
      </c>
      <c r="H220" t="s">
        <v>1107</v>
      </c>
      <c r="I220" t="s">
        <v>26</v>
      </c>
      <c r="J220" t="s">
        <v>52</v>
      </c>
      <c r="K220" t="s">
        <v>10</v>
      </c>
      <c r="L220" t="s">
        <v>10</v>
      </c>
      <c r="M220" t="s">
        <v>10</v>
      </c>
      <c r="N220" t="s">
        <v>10</v>
      </c>
      <c r="O220" t="str">
        <f>INDEX(CoverageTable[Deductible Applies],MATCH(Table18[[#This Row],[Coverage]],CoverageTable[Coverage],0))</f>
        <v>Yes</v>
      </c>
      <c r="P220" t="str">
        <f>INDEX(CoverageTable[Coverage Limit Applies],MATCH(Table18[[#This Row],[Coverage]],CoverageTable[Coverage],0))</f>
        <v>No</v>
      </c>
      <c r="Q220" t="s">
        <v>80</v>
      </c>
      <c r="R220" t="s">
        <v>10</v>
      </c>
      <c r="S220" t="s">
        <v>10</v>
      </c>
      <c r="T220" t="s">
        <v>10</v>
      </c>
      <c r="U220" t="s">
        <v>57</v>
      </c>
      <c r="V220" t="s">
        <v>10</v>
      </c>
      <c r="W220" t="s">
        <v>10</v>
      </c>
    </row>
    <row r="221" spans="1:23" x14ac:dyDescent="0.3">
      <c r="A221" t="s">
        <v>312</v>
      </c>
      <c r="B221" s="7">
        <v>46002</v>
      </c>
      <c r="C221" t="s">
        <v>71</v>
      </c>
      <c r="D221" t="s">
        <v>1099</v>
      </c>
      <c r="E221" s="3">
        <v>3</v>
      </c>
      <c r="F221" s="3">
        <v>3</v>
      </c>
      <c r="G221" t="s">
        <v>10</v>
      </c>
      <c r="H221" t="s">
        <v>1110</v>
      </c>
      <c r="I221" t="s">
        <v>42</v>
      </c>
      <c r="J221" t="s">
        <v>52</v>
      </c>
      <c r="K221" t="s">
        <v>10</v>
      </c>
      <c r="L221" t="s">
        <v>10</v>
      </c>
      <c r="M221" t="s">
        <v>10</v>
      </c>
      <c r="N221" t="s">
        <v>57</v>
      </c>
      <c r="O221" t="str">
        <f>INDEX(CoverageTable[Deductible Applies],MATCH(Table18[[#This Row],[Coverage]],CoverageTable[Coverage],0))</f>
        <v>Yes</v>
      </c>
      <c r="P221" t="str">
        <f>INDEX(CoverageTable[Coverage Limit Applies],MATCH(Table18[[#This Row],[Coverage]],CoverageTable[Coverage],0))</f>
        <v>No</v>
      </c>
      <c r="Q221" t="s">
        <v>80</v>
      </c>
      <c r="R221" t="s">
        <v>10</v>
      </c>
      <c r="S221" t="s">
        <v>10</v>
      </c>
      <c r="T221" t="s">
        <v>57</v>
      </c>
      <c r="U221" t="s">
        <v>57</v>
      </c>
      <c r="V221" t="s">
        <v>10</v>
      </c>
      <c r="W221" t="s">
        <v>10</v>
      </c>
    </row>
    <row r="222" spans="1:23" x14ac:dyDescent="0.3">
      <c r="A222" t="s">
        <v>313</v>
      </c>
      <c r="B222" s="7">
        <v>45887</v>
      </c>
      <c r="C222" t="s">
        <v>70</v>
      </c>
      <c r="D222" t="s">
        <v>1100</v>
      </c>
      <c r="E222" s="3">
        <v>2</v>
      </c>
      <c r="F222" s="3">
        <v>2</v>
      </c>
      <c r="G222" t="s">
        <v>10</v>
      </c>
      <c r="H222" t="s">
        <v>1107</v>
      </c>
      <c r="I222" t="s">
        <v>37</v>
      </c>
      <c r="J222" t="s">
        <v>51</v>
      </c>
      <c r="K222" t="s">
        <v>10</v>
      </c>
      <c r="L222" t="s">
        <v>10</v>
      </c>
      <c r="M222" t="s">
        <v>10</v>
      </c>
      <c r="N222" t="s">
        <v>57</v>
      </c>
      <c r="O222" t="str">
        <f>INDEX(CoverageTable[Deductible Applies],MATCH(Table18[[#This Row],[Coverage]],CoverageTable[Coverage],0))</f>
        <v>No</v>
      </c>
      <c r="P222" t="str">
        <f>INDEX(CoverageTable[Coverage Limit Applies],MATCH(Table18[[#This Row],[Coverage]],CoverageTable[Coverage],0))</f>
        <v>Yes</v>
      </c>
      <c r="Q222" t="s">
        <v>10</v>
      </c>
      <c r="R222" t="s">
        <v>78</v>
      </c>
      <c r="S222" t="s">
        <v>10</v>
      </c>
      <c r="T222" t="s">
        <v>57</v>
      </c>
      <c r="U222" t="s">
        <v>57</v>
      </c>
      <c r="V222" t="s">
        <v>10</v>
      </c>
      <c r="W222" t="s">
        <v>57</v>
      </c>
    </row>
    <row r="223" spans="1:23" x14ac:dyDescent="0.3">
      <c r="A223" t="s">
        <v>314</v>
      </c>
      <c r="B223" s="7">
        <v>45812</v>
      </c>
      <c r="C223" t="s">
        <v>74</v>
      </c>
      <c r="D223" t="s">
        <v>1101</v>
      </c>
      <c r="E223" s="3">
        <v>3</v>
      </c>
      <c r="F223" s="3">
        <v>4</v>
      </c>
      <c r="G223" t="s">
        <v>11</v>
      </c>
      <c r="H223" t="s">
        <v>1109</v>
      </c>
      <c r="I223" t="s">
        <v>31</v>
      </c>
      <c r="J223" t="s">
        <v>50</v>
      </c>
      <c r="K223" t="s">
        <v>10</v>
      </c>
      <c r="L223" t="s">
        <v>10</v>
      </c>
      <c r="M223" t="s">
        <v>10</v>
      </c>
      <c r="N223" t="s">
        <v>10</v>
      </c>
      <c r="O223" t="str">
        <f>INDEX(CoverageTable[Deductible Applies],MATCH(Table18[[#This Row],[Coverage]],CoverageTable[Coverage],0))</f>
        <v>No</v>
      </c>
      <c r="P223" t="str">
        <f>INDEX(CoverageTable[Coverage Limit Applies],MATCH(Table18[[#This Row],[Coverage]],CoverageTable[Coverage],0))</f>
        <v>Yes</v>
      </c>
      <c r="Q223" t="s">
        <v>10</v>
      </c>
      <c r="R223" t="s">
        <v>78</v>
      </c>
      <c r="S223" t="s">
        <v>57</v>
      </c>
      <c r="T223" t="s">
        <v>10</v>
      </c>
      <c r="U223" t="s">
        <v>57</v>
      </c>
      <c r="V223" t="s">
        <v>57</v>
      </c>
      <c r="W223" t="s">
        <v>10</v>
      </c>
    </row>
    <row r="224" spans="1:23" x14ac:dyDescent="0.3">
      <c r="A224" t="s">
        <v>315</v>
      </c>
      <c r="B224" s="7">
        <v>46034</v>
      </c>
      <c r="C224" t="s">
        <v>72</v>
      </c>
      <c r="D224" t="s">
        <v>1100</v>
      </c>
      <c r="E224" s="3">
        <v>4</v>
      </c>
      <c r="F224" s="3" t="s">
        <v>7</v>
      </c>
      <c r="G224" t="s">
        <v>13</v>
      </c>
      <c r="H224" t="s">
        <v>1108</v>
      </c>
      <c r="I224" t="s">
        <v>30</v>
      </c>
      <c r="J224" t="s">
        <v>48</v>
      </c>
      <c r="K224" t="s">
        <v>10</v>
      </c>
      <c r="L224" t="s">
        <v>10</v>
      </c>
      <c r="M224" t="s">
        <v>10</v>
      </c>
      <c r="N224" t="s">
        <v>57</v>
      </c>
      <c r="O224" t="str">
        <f>INDEX(CoverageTable[Deductible Applies],MATCH(Table18[[#This Row],[Coverage]],CoverageTable[Coverage],0))</f>
        <v>Yes</v>
      </c>
      <c r="P224" t="str">
        <f>INDEX(CoverageTable[Coverage Limit Applies],MATCH(Table18[[#This Row],[Coverage]],CoverageTable[Coverage],0))</f>
        <v>No</v>
      </c>
      <c r="Q224" t="s">
        <v>80</v>
      </c>
      <c r="R224" t="s">
        <v>10</v>
      </c>
      <c r="S224" t="s">
        <v>10</v>
      </c>
      <c r="T224" t="s">
        <v>10</v>
      </c>
      <c r="U224" t="s">
        <v>10</v>
      </c>
      <c r="V224" t="s">
        <v>10</v>
      </c>
      <c r="W224" t="s">
        <v>10</v>
      </c>
    </row>
    <row r="225" spans="1:23" x14ac:dyDescent="0.3">
      <c r="A225" t="s">
        <v>316</v>
      </c>
      <c r="B225" s="7">
        <v>45868</v>
      </c>
      <c r="C225" t="s">
        <v>72</v>
      </c>
      <c r="D225" t="s">
        <v>1102</v>
      </c>
      <c r="E225" s="3" t="s">
        <v>1103</v>
      </c>
      <c r="F225" s="3">
        <v>0</v>
      </c>
      <c r="G225" t="s">
        <v>10</v>
      </c>
      <c r="H225" t="s">
        <v>1110</v>
      </c>
      <c r="I225" t="s">
        <v>37</v>
      </c>
      <c r="J225" t="s">
        <v>51</v>
      </c>
      <c r="K225" t="s">
        <v>10</v>
      </c>
      <c r="L225" t="s">
        <v>10</v>
      </c>
      <c r="M225" t="s">
        <v>10</v>
      </c>
      <c r="N225" t="s">
        <v>57</v>
      </c>
      <c r="O225" t="str">
        <f>INDEX(CoverageTable[Deductible Applies],MATCH(Table18[[#This Row],[Coverage]],CoverageTable[Coverage],0))</f>
        <v>Yes</v>
      </c>
      <c r="P225" t="str">
        <f>INDEX(CoverageTable[Coverage Limit Applies],MATCH(Table18[[#This Row],[Coverage]],CoverageTable[Coverage],0))</f>
        <v>No</v>
      </c>
      <c r="Q225" t="s">
        <v>80</v>
      </c>
      <c r="R225" t="s">
        <v>10</v>
      </c>
      <c r="S225" t="s">
        <v>10</v>
      </c>
      <c r="T225" t="s">
        <v>10</v>
      </c>
      <c r="U225" t="s">
        <v>57</v>
      </c>
      <c r="V225" t="s">
        <v>57</v>
      </c>
      <c r="W225" t="s">
        <v>10</v>
      </c>
    </row>
    <row r="226" spans="1:23" x14ac:dyDescent="0.3">
      <c r="A226" t="s">
        <v>317</v>
      </c>
      <c r="B226" s="7">
        <v>46043</v>
      </c>
      <c r="C226" t="s">
        <v>70</v>
      </c>
      <c r="D226" t="s">
        <v>1102</v>
      </c>
      <c r="E226" s="3">
        <v>6</v>
      </c>
      <c r="F226" s="3">
        <v>1</v>
      </c>
      <c r="G226" t="s">
        <v>11</v>
      </c>
      <c r="H226" t="s">
        <v>1108</v>
      </c>
      <c r="I226" t="s">
        <v>35</v>
      </c>
      <c r="J226" t="s">
        <v>52</v>
      </c>
      <c r="K226" t="s">
        <v>10</v>
      </c>
      <c r="L226" t="s">
        <v>10</v>
      </c>
      <c r="M226" t="s">
        <v>10</v>
      </c>
      <c r="N226" t="s">
        <v>10</v>
      </c>
      <c r="O226" t="str">
        <f>INDEX(CoverageTable[Deductible Applies],MATCH(Table18[[#This Row],[Coverage]],CoverageTable[Coverage],0))</f>
        <v>No</v>
      </c>
      <c r="P226" t="str">
        <f>INDEX(CoverageTable[Coverage Limit Applies],MATCH(Table18[[#This Row],[Coverage]],CoverageTable[Coverage],0))</f>
        <v>Yes</v>
      </c>
      <c r="Q226" t="s">
        <v>10</v>
      </c>
      <c r="R226" t="s">
        <v>79</v>
      </c>
      <c r="S226" t="s">
        <v>10</v>
      </c>
      <c r="T226" t="s">
        <v>57</v>
      </c>
      <c r="U226" t="s">
        <v>10</v>
      </c>
      <c r="V226" t="s">
        <v>10</v>
      </c>
      <c r="W226" t="s">
        <v>10</v>
      </c>
    </row>
    <row r="227" spans="1:23" x14ac:dyDescent="0.3">
      <c r="A227" t="s">
        <v>318</v>
      </c>
      <c r="B227" s="7">
        <v>46033</v>
      </c>
      <c r="C227" t="s">
        <v>70</v>
      </c>
      <c r="D227" t="s">
        <v>1102</v>
      </c>
      <c r="E227" s="3">
        <v>2</v>
      </c>
      <c r="F227" s="3">
        <v>2</v>
      </c>
      <c r="G227" t="s">
        <v>13</v>
      </c>
      <c r="H227" t="s">
        <v>1107</v>
      </c>
      <c r="I227" t="s">
        <v>43</v>
      </c>
      <c r="J227" t="s">
        <v>53</v>
      </c>
      <c r="K227" t="s">
        <v>10</v>
      </c>
      <c r="L227" t="s">
        <v>10</v>
      </c>
      <c r="M227" t="s">
        <v>10</v>
      </c>
      <c r="N227" t="s">
        <v>10</v>
      </c>
      <c r="O227" t="str">
        <f>INDEX(CoverageTable[Deductible Applies],MATCH(Table18[[#This Row],[Coverage]],CoverageTable[Coverage],0))</f>
        <v>No</v>
      </c>
      <c r="P227" t="str">
        <f>INDEX(CoverageTable[Coverage Limit Applies],MATCH(Table18[[#This Row],[Coverage]],CoverageTable[Coverage],0))</f>
        <v>Yes</v>
      </c>
      <c r="Q227" t="s">
        <v>10</v>
      </c>
      <c r="R227" t="s">
        <v>79</v>
      </c>
      <c r="S227" t="s">
        <v>10</v>
      </c>
      <c r="T227" t="s">
        <v>10</v>
      </c>
      <c r="U227" t="s">
        <v>10</v>
      </c>
      <c r="V227" t="s">
        <v>10</v>
      </c>
      <c r="W227" t="s">
        <v>10</v>
      </c>
    </row>
    <row r="228" spans="1:23" x14ac:dyDescent="0.3">
      <c r="A228" t="s">
        <v>319</v>
      </c>
      <c r="B228" s="7">
        <v>46049</v>
      </c>
      <c r="C228" t="s">
        <v>74</v>
      </c>
      <c r="D228" t="s">
        <v>1097</v>
      </c>
      <c r="E228" s="3">
        <v>7</v>
      </c>
      <c r="F228" s="3">
        <v>3</v>
      </c>
      <c r="G228" t="s">
        <v>12</v>
      </c>
      <c r="H228" t="s">
        <v>1107</v>
      </c>
      <c r="I228" t="s">
        <v>33</v>
      </c>
      <c r="J228" t="s">
        <v>48</v>
      </c>
      <c r="K228" t="s">
        <v>10</v>
      </c>
      <c r="L228" t="s">
        <v>57</v>
      </c>
      <c r="M228" t="s">
        <v>10</v>
      </c>
      <c r="N228" t="s">
        <v>10</v>
      </c>
      <c r="O228" t="str">
        <f>INDEX(CoverageTable[Deductible Applies],MATCH(Table18[[#This Row],[Coverage]],CoverageTable[Coverage],0))</f>
        <v>No</v>
      </c>
      <c r="P228" t="str">
        <f>INDEX(CoverageTable[Coverage Limit Applies],MATCH(Table18[[#This Row],[Coverage]],CoverageTable[Coverage],0))</f>
        <v>Yes</v>
      </c>
      <c r="Q228" t="s">
        <v>10</v>
      </c>
      <c r="R228" t="s">
        <v>80</v>
      </c>
      <c r="S228" t="s">
        <v>10</v>
      </c>
      <c r="T228" t="s">
        <v>10</v>
      </c>
      <c r="U228" t="s">
        <v>10</v>
      </c>
      <c r="V228" t="s">
        <v>10</v>
      </c>
      <c r="W228" t="s">
        <v>10</v>
      </c>
    </row>
    <row r="229" spans="1:23" x14ac:dyDescent="0.3">
      <c r="A229" t="s">
        <v>320</v>
      </c>
      <c r="B229" s="7">
        <v>46082</v>
      </c>
      <c r="C229" t="s">
        <v>72</v>
      </c>
      <c r="D229" t="s">
        <v>1098</v>
      </c>
      <c r="E229" s="3">
        <v>2</v>
      </c>
      <c r="F229" s="3">
        <v>1</v>
      </c>
      <c r="G229" t="s">
        <v>11</v>
      </c>
      <c r="H229" t="s">
        <v>1106</v>
      </c>
      <c r="I229" t="s">
        <v>33</v>
      </c>
      <c r="J229" t="s">
        <v>51</v>
      </c>
      <c r="K229" t="s">
        <v>10</v>
      </c>
      <c r="L229" t="s">
        <v>10</v>
      </c>
      <c r="M229" t="s">
        <v>57</v>
      </c>
      <c r="N229" t="s">
        <v>57</v>
      </c>
      <c r="O229" t="str">
        <f>INDEX(CoverageTable[Deductible Applies],MATCH(Table18[[#This Row],[Coverage]],CoverageTable[Coverage],0))</f>
        <v>Yes</v>
      </c>
      <c r="P229" t="str">
        <f>INDEX(CoverageTable[Coverage Limit Applies],MATCH(Table18[[#This Row],[Coverage]],CoverageTable[Coverage],0))</f>
        <v>No</v>
      </c>
      <c r="Q229" t="s">
        <v>80</v>
      </c>
      <c r="R229" t="s">
        <v>10</v>
      </c>
      <c r="S229" t="s">
        <v>10</v>
      </c>
      <c r="T229" t="s">
        <v>10</v>
      </c>
      <c r="U229" t="s">
        <v>10</v>
      </c>
      <c r="V229" t="s">
        <v>10</v>
      </c>
      <c r="W229" t="s">
        <v>10</v>
      </c>
    </row>
    <row r="230" spans="1:23" x14ac:dyDescent="0.3">
      <c r="A230" t="s">
        <v>321</v>
      </c>
      <c r="B230" s="7">
        <v>46056</v>
      </c>
      <c r="C230" t="s">
        <v>70</v>
      </c>
      <c r="D230" t="s">
        <v>1098</v>
      </c>
      <c r="E230" s="3">
        <v>1</v>
      </c>
      <c r="F230" s="3">
        <v>4</v>
      </c>
      <c r="G230" t="s">
        <v>11</v>
      </c>
      <c r="H230" t="s">
        <v>1110</v>
      </c>
      <c r="I230" t="s">
        <v>23</v>
      </c>
      <c r="J230" t="s">
        <v>52</v>
      </c>
      <c r="K230" t="s">
        <v>10</v>
      </c>
      <c r="L230" t="s">
        <v>10</v>
      </c>
      <c r="M230" t="s">
        <v>10</v>
      </c>
      <c r="N230" t="s">
        <v>57</v>
      </c>
      <c r="O230" t="str">
        <f>INDEX(CoverageTable[Deductible Applies],MATCH(Table18[[#This Row],[Coverage]],CoverageTable[Coverage],0))</f>
        <v>No</v>
      </c>
      <c r="P230" t="str">
        <f>INDEX(CoverageTable[Coverage Limit Applies],MATCH(Table18[[#This Row],[Coverage]],CoverageTable[Coverage],0))</f>
        <v>Yes</v>
      </c>
      <c r="Q230" t="s">
        <v>10</v>
      </c>
      <c r="R230" t="s">
        <v>79</v>
      </c>
      <c r="S230" t="s">
        <v>10</v>
      </c>
      <c r="T230" t="s">
        <v>10</v>
      </c>
      <c r="U230" t="s">
        <v>57</v>
      </c>
      <c r="V230" t="s">
        <v>10</v>
      </c>
      <c r="W230" t="s">
        <v>10</v>
      </c>
    </row>
    <row r="231" spans="1:23" x14ac:dyDescent="0.3">
      <c r="A231" t="s">
        <v>322</v>
      </c>
      <c r="B231" s="7">
        <v>46134</v>
      </c>
      <c r="C231" t="s">
        <v>70</v>
      </c>
      <c r="D231" t="s">
        <v>1098</v>
      </c>
      <c r="E231" s="3">
        <v>6</v>
      </c>
      <c r="F231" s="3">
        <v>2</v>
      </c>
      <c r="G231" t="s">
        <v>11</v>
      </c>
      <c r="H231" t="s">
        <v>1110</v>
      </c>
      <c r="I231" t="s">
        <v>32</v>
      </c>
      <c r="J231" t="s">
        <v>49</v>
      </c>
      <c r="K231" t="s">
        <v>10</v>
      </c>
      <c r="L231" t="s">
        <v>10</v>
      </c>
      <c r="M231" t="s">
        <v>10</v>
      </c>
      <c r="N231" t="s">
        <v>10</v>
      </c>
      <c r="O231" t="str">
        <f>INDEX(CoverageTable[Deductible Applies],MATCH(Table18[[#This Row],[Coverage]],CoverageTable[Coverage],0))</f>
        <v>No</v>
      </c>
      <c r="P231" t="str">
        <f>INDEX(CoverageTable[Coverage Limit Applies],MATCH(Table18[[#This Row],[Coverage]],CoverageTable[Coverage],0))</f>
        <v>Yes</v>
      </c>
      <c r="Q231" t="s">
        <v>10</v>
      </c>
      <c r="R231" t="s">
        <v>78</v>
      </c>
      <c r="S231" t="s">
        <v>10</v>
      </c>
      <c r="T231" t="s">
        <v>10</v>
      </c>
      <c r="U231" t="s">
        <v>10</v>
      </c>
      <c r="V231" t="s">
        <v>10</v>
      </c>
      <c r="W231" t="s">
        <v>57</v>
      </c>
    </row>
    <row r="232" spans="1:23" x14ac:dyDescent="0.3">
      <c r="A232" t="s">
        <v>323</v>
      </c>
      <c r="B232" s="7">
        <v>46004</v>
      </c>
      <c r="C232" t="s">
        <v>73</v>
      </c>
      <c r="D232" t="s">
        <v>1098</v>
      </c>
      <c r="E232" s="3">
        <v>2</v>
      </c>
      <c r="F232" s="3">
        <v>1</v>
      </c>
      <c r="G232" t="s">
        <v>10</v>
      </c>
      <c r="H232" t="s">
        <v>1106</v>
      </c>
      <c r="I232" t="s">
        <v>39</v>
      </c>
      <c r="J232" t="s">
        <v>51</v>
      </c>
      <c r="K232" t="s">
        <v>10</v>
      </c>
      <c r="L232" t="s">
        <v>10</v>
      </c>
      <c r="M232" t="s">
        <v>10</v>
      </c>
      <c r="N232" t="s">
        <v>57</v>
      </c>
      <c r="O232" t="str">
        <f>INDEX(CoverageTable[Deductible Applies],MATCH(Table18[[#This Row],[Coverage]],CoverageTable[Coverage],0))</f>
        <v>No</v>
      </c>
      <c r="P232" t="str">
        <f>INDEX(CoverageTable[Coverage Limit Applies],MATCH(Table18[[#This Row],[Coverage]],CoverageTable[Coverage],0))</f>
        <v>Yes</v>
      </c>
      <c r="Q232" t="s">
        <v>10</v>
      </c>
      <c r="R232" t="s">
        <v>80</v>
      </c>
      <c r="S232" t="s">
        <v>10</v>
      </c>
      <c r="T232" t="s">
        <v>10</v>
      </c>
      <c r="U232" t="s">
        <v>10</v>
      </c>
      <c r="V232" t="s">
        <v>10</v>
      </c>
      <c r="W232" t="s">
        <v>10</v>
      </c>
    </row>
    <row r="233" spans="1:23" x14ac:dyDescent="0.3">
      <c r="A233" t="s">
        <v>324</v>
      </c>
      <c r="B233" s="7">
        <v>46037</v>
      </c>
      <c r="C233" t="s">
        <v>72</v>
      </c>
      <c r="D233" t="s">
        <v>1097</v>
      </c>
      <c r="E233" s="3">
        <v>3</v>
      </c>
      <c r="F233" s="3">
        <v>1</v>
      </c>
      <c r="G233" t="s">
        <v>10</v>
      </c>
      <c r="H233" t="s">
        <v>1107</v>
      </c>
      <c r="I233" t="s">
        <v>38</v>
      </c>
      <c r="J233" t="s">
        <v>48</v>
      </c>
      <c r="K233" t="s">
        <v>10</v>
      </c>
      <c r="L233" t="s">
        <v>10</v>
      </c>
      <c r="M233" t="s">
        <v>10</v>
      </c>
      <c r="N233" t="s">
        <v>10</v>
      </c>
      <c r="O233" t="str">
        <f>INDEX(CoverageTable[Deductible Applies],MATCH(Table18[[#This Row],[Coverage]],CoverageTable[Coverage],0))</f>
        <v>Yes</v>
      </c>
      <c r="P233" t="str">
        <f>INDEX(CoverageTable[Coverage Limit Applies],MATCH(Table18[[#This Row],[Coverage]],CoverageTable[Coverage],0))</f>
        <v>No</v>
      </c>
      <c r="Q233" t="s">
        <v>79</v>
      </c>
      <c r="R233" t="s">
        <v>10</v>
      </c>
      <c r="S233" t="s">
        <v>10</v>
      </c>
      <c r="T233" t="s">
        <v>10</v>
      </c>
      <c r="U233" t="s">
        <v>10</v>
      </c>
      <c r="V233" t="s">
        <v>10</v>
      </c>
      <c r="W233" t="s">
        <v>10</v>
      </c>
    </row>
    <row r="234" spans="1:23" x14ac:dyDescent="0.3">
      <c r="A234" t="s">
        <v>325</v>
      </c>
      <c r="B234" s="7">
        <v>45892</v>
      </c>
      <c r="C234" t="s">
        <v>70</v>
      </c>
      <c r="D234" t="s">
        <v>1097</v>
      </c>
      <c r="E234" s="3">
        <v>7</v>
      </c>
      <c r="F234" s="3">
        <v>1</v>
      </c>
      <c r="G234" t="s">
        <v>10</v>
      </c>
      <c r="H234" t="s">
        <v>1107</v>
      </c>
      <c r="I234" t="s">
        <v>22</v>
      </c>
      <c r="J234" t="s">
        <v>54</v>
      </c>
      <c r="K234" t="s">
        <v>57</v>
      </c>
      <c r="L234" t="s">
        <v>10</v>
      </c>
      <c r="M234" t="s">
        <v>10</v>
      </c>
      <c r="N234" t="s">
        <v>10</v>
      </c>
      <c r="O234" t="str">
        <f>INDEX(CoverageTable[Deductible Applies],MATCH(Table18[[#This Row],[Coverage]],CoverageTable[Coverage],0))</f>
        <v>No</v>
      </c>
      <c r="P234" t="str">
        <f>INDEX(CoverageTable[Coverage Limit Applies],MATCH(Table18[[#This Row],[Coverage]],CoverageTable[Coverage],0))</f>
        <v>Yes</v>
      </c>
      <c r="Q234" t="s">
        <v>10</v>
      </c>
      <c r="R234" t="s">
        <v>78</v>
      </c>
      <c r="S234" t="s">
        <v>10</v>
      </c>
      <c r="T234" t="s">
        <v>10</v>
      </c>
      <c r="U234" t="s">
        <v>57</v>
      </c>
      <c r="V234" t="s">
        <v>10</v>
      </c>
      <c r="W234" t="s">
        <v>10</v>
      </c>
    </row>
    <row r="235" spans="1:23" x14ac:dyDescent="0.3">
      <c r="A235" t="s">
        <v>326</v>
      </c>
      <c r="B235" s="7">
        <v>45856</v>
      </c>
      <c r="C235" t="s">
        <v>71</v>
      </c>
      <c r="D235" t="s">
        <v>1097</v>
      </c>
      <c r="E235" s="3">
        <v>6</v>
      </c>
      <c r="F235" s="3">
        <v>0</v>
      </c>
      <c r="G235" t="s">
        <v>11</v>
      </c>
      <c r="H235" t="s">
        <v>1108</v>
      </c>
      <c r="I235" t="s">
        <v>40</v>
      </c>
      <c r="J235" t="s">
        <v>54</v>
      </c>
      <c r="K235" t="s">
        <v>10</v>
      </c>
      <c r="L235" t="s">
        <v>10</v>
      </c>
      <c r="M235" t="s">
        <v>10</v>
      </c>
      <c r="N235" t="s">
        <v>57</v>
      </c>
      <c r="O235" t="str">
        <f>INDEX(CoverageTable[Deductible Applies],MATCH(Table18[[#This Row],[Coverage]],CoverageTable[Coverage],0))</f>
        <v>Yes</v>
      </c>
      <c r="P235" t="str">
        <f>INDEX(CoverageTable[Coverage Limit Applies],MATCH(Table18[[#This Row],[Coverage]],CoverageTable[Coverage],0))</f>
        <v>No</v>
      </c>
      <c r="Q235" t="s">
        <v>79</v>
      </c>
      <c r="R235" t="s">
        <v>10</v>
      </c>
      <c r="S235" t="s">
        <v>57</v>
      </c>
      <c r="T235" t="s">
        <v>10</v>
      </c>
      <c r="U235" t="s">
        <v>10</v>
      </c>
      <c r="V235" t="s">
        <v>10</v>
      </c>
      <c r="W235" t="s">
        <v>57</v>
      </c>
    </row>
    <row r="236" spans="1:23" x14ac:dyDescent="0.3">
      <c r="A236" t="s">
        <v>327</v>
      </c>
      <c r="B236" s="7">
        <v>45947</v>
      </c>
      <c r="C236" t="s">
        <v>71</v>
      </c>
      <c r="D236" t="s">
        <v>1102</v>
      </c>
      <c r="E236" s="3">
        <v>6</v>
      </c>
      <c r="F236" s="3">
        <v>3</v>
      </c>
      <c r="G236" t="s">
        <v>10</v>
      </c>
      <c r="H236" t="s">
        <v>1110</v>
      </c>
      <c r="I236" t="s">
        <v>34</v>
      </c>
      <c r="J236" t="s">
        <v>54</v>
      </c>
      <c r="K236" t="s">
        <v>10</v>
      </c>
      <c r="L236" t="s">
        <v>10</v>
      </c>
      <c r="M236" t="s">
        <v>10</v>
      </c>
      <c r="N236" t="s">
        <v>57</v>
      </c>
      <c r="O236" t="str">
        <f>INDEX(CoverageTable[Deductible Applies],MATCH(Table18[[#This Row],[Coverage]],CoverageTable[Coverage],0))</f>
        <v>Yes</v>
      </c>
      <c r="P236" t="str">
        <f>INDEX(CoverageTable[Coverage Limit Applies],MATCH(Table18[[#This Row],[Coverage]],CoverageTable[Coverage],0))</f>
        <v>No</v>
      </c>
      <c r="Q236" t="s">
        <v>79</v>
      </c>
      <c r="R236" t="s">
        <v>10</v>
      </c>
      <c r="S236" t="s">
        <v>10</v>
      </c>
      <c r="T236" t="s">
        <v>10</v>
      </c>
      <c r="U236" t="s">
        <v>10</v>
      </c>
      <c r="V236" t="s">
        <v>57</v>
      </c>
      <c r="W236" t="s">
        <v>10</v>
      </c>
    </row>
    <row r="237" spans="1:23" x14ac:dyDescent="0.3">
      <c r="A237" t="s">
        <v>328</v>
      </c>
      <c r="B237" s="7">
        <v>45942</v>
      </c>
      <c r="C237" t="s">
        <v>74</v>
      </c>
      <c r="D237" t="s">
        <v>1101</v>
      </c>
      <c r="E237" s="3">
        <v>2</v>
      </c>
      <c r="F237" s="3" t="s">
        <v>7</v>
      </c>
      <c r="G237" t="s">
        <v>10</v>
      </c>
      <c r="H237" t="s">
        <v>1108</v>
      </c>
      <c r="I237" t="s">
        <v>41</v>
      </c>
      <c r="J237" t="s">
        <v>53</v>
      </c>
      <c r="K237" t="s">
        <v>10</v>
      </c>
      <c r="L237" t="s">
        <v>10</v>
      </c>
      <c r="M237" t="s">
        <v>57</v>
      </c>
      <c r="N237" t="s">
        <v>57</v>
      </c>
      <c r="O237" t="str">
        <f>INDEX(CoverageTable[Deductible Applies],MATCH(Table18[[#This Row],[Coverage]],CoverageTable[Coverage],0))</f>
        <v>No</v>
      </c>
      <c r="P237" t="str">
        <f>INDEX(CoverageTable[Coverage Limit Applies],MATCH(Table18[[#This Row],[Coverage]],CoverageTable[Coverage],0))</f>
        <v>Yes</v>
      </c>
      <c r="Q237" t="s">
        <v>10</v>
      </c>
      <c r="R237" t="s">
        <v>79</v>
      </c>
      <c r="S237" t="s">
        <v>57</v>
      </c>
      <c r="T237" t="s">
        <v>10</v>
      </c>
      <c r="U237" t="s">
        <v>10</v>
      </c>
      <c r="V237" t="s">
        <v>10</v>
      </c>
      <c r="W237" t="s">
        <v>10</v>
      </c>
    </row>
    <row r="238" spans="1:23" x14ac:dyDescent="0.3">
      <c r="A238" t="s">
        <v>329</v>
      </c>
      <c r="B238" s="7">
        <v>45868</v>
      </c>
      <c r="C238" t="s">
        <v>71</v>
      </c>
      <c r="D238" t="s">
        <v>1099</v>
      </c>
      <c r="E238" s="3" t="s">
        <v>1103</v>
      </c>
      <c r="F238" s="3" t="s">
        <v>7</v>
      </c>
      <c r="G238" t="s">
        <v>11</v>
      </c>
      <c r="H238" t="s">
        <v>1106</v>
      </c>
      <c r="I238" t="s">
        <v>26</v>
      </c>
      <c r="J238" t="s">
        <v>51</v>
      </c>
      <c r="K238" t="s">
        <v>10</v>
      </c>
      <c r="L238" t="s">
        <v>10</v>
      </c>
      <c r="M238" t="s">
        <v>10</v>
      </c>
      <c r="N238" t="s">
        <v>10</v>
      </c>
      <c r="O238" t="str">
        <f>INDEX(CoverageTable[Deductible Applies],MATCH(Table18[[#This Row],[Coverage]],CoverageTable[Coverage],0))</f>
        <v>Yes</v>
      </c>
      <c r="P238" t="str">
        <f>INDEX(CoverageTable[Coverage Limit Applies],MATCH(Table18[[#This Row],[Coverage]],CoverageTable[Coverage],0))</f>
        <v>No</v>
      </c>
      <c r="Q238" t="s">
        <v>78</v>
      </c>
      <c r="R238" t="s">
        <v>10</v>
      </c>
      <c r="S238" t="s">
        <v>10</v>
      </c>
      <c r="T238" t="s">
        <v>57</v>
      </c>
      <c r="U238" t="s">
        <v>10</v>
      </c>
      <c r="V238" t="s">
        <v>10</v>
      </c>
      <c r="W238" t="s">
        <v>57</v>
      </c>
    </row>
    <row r="239" spans="1:23" x14ac:dyDescent="0.3">
      <c r="A239" t="s">
        <v>330</v>
      </c>
      <c r="B239" s="7">
        <v>45875</v>
      </c>
      <c r="C239" t="s">
        <v>73</v>
      </c>
      <c r="D239" t="s">
        <v>1098</v>
      </c>
      <c r="E239" s="3">
        <v>3</v>
      </c>
      <c r="F239" s="3">
        <v>4</v>
      </c>
      <c r="G239" t="s">
        <v>13</v>
      </c>
      <c r="H239" t="s">
        <v>1110</v>
      </c>
      <c r="I239" t="s">
        <v>44</v>
      </c>
      <c r="J239" t="s">
        <v>53</v>
      </c>
      <c r="K239" t="s">
        <v>10</v>
      </c>
      <c r="L239" t="s">
        <v>57</v>
      </c>
      <c r="M239" t="s">
        <v>57</v>
      </c>
      <c r="N239" t="s">
        <v>10</v>
      </c>
      <c r="O239" t="str">
        <f>INDEX(CoverageTable[Deductible Applies],MATCH(Table18[[#This Row],[Coverage]],CoverageTable[Coverage],0))</f>
        <v>No</v>
      </c>
      <c r="P239" t="str">
        <f>INDEX(CoverageTable[Coverage Limit Applies],MATCH(Table18[[#This Row],[Coverage]],CoverageTable[Coverage],0))</f>
        <v>Yes</v>
      </c>
      <c r="Q239" t="s">
        <v>10</v>
      </c>
      <c r="R239" t="s">
        <v>80</v>
      </c>
      <c r="S239" t="s">
        <v>10</v>
      </c>
      <c r="T239" t="s">
        <v>10</v>
      </c>
      <c r="U239" t="s">
        <v>57</v>
      </c>
      <c r="V239" t="s">
        <v>10</v>
      </c>
      <c r="W239" t="s">
        <v>10</v>
      </c>
    </row>
    <row r="240" spans="1:23" x14ac:dyDescent="0.3">
      <c r="A240" t="s">
        <v>331</v>
      </c>
      <c r="B240" s="7">
        <v>45804</v>
      </c>
      <c r="C240" t="s">
        <v>73</v>
      </c>
      <c r="D240" t="s">
        <v>1100</v>
      </c>
      <c r="E240" s="3">
        <v>2</v>
      </c>
      <c r="F240" s="3">
        <v>1</v>
      </c>
      <c r="G240" t="s">
        <v>11</v>
      </c>
      <c r="H240" t="s">
        <v>1108</v>
      </c>
      <c r="I240" t="s">
        <v>28</v>
      </c>
      <c r="J240" t="s">
        <v>48</v>
      </c>
      <c r="K240" t="s">
        <v>10</v>
      </c>
      <c r="L240" t="s">
        <v>10</v>
      </c>
      <c r="M240" t="s">
        <v>10</v>
      </c>
      <c r="N240" t="s">
        <v>10</v>
      </c>
      <c r="O240" t="str">
        <f>INDEX(CoverageTable[Deductible Applies],MATCH(Table18[[#This Row],[Coverage]],CoverageTable[Coverage],0))</f>
        <v>No</v>
      </c>
      <c r="P240" t="str">
        <f>INDEX(CoverageTable[Coverage Limit Applies],MATCH(Table18[[#This Row],[Coverage]],CoverageTable[Coverage],0))</f>
        <v>Yes</v>
      </c>
      <c r="Q240" t="s">
        <v>10</v>
      </c>
      <c r="R240" t="s">
        <v>80</v>
      </c>
      <c r="S240" t="s">
        <v>10</v>
      </c>
      <c r="T240" t="s">
        <v>10</v>
      </c>
      <c r="U240" t="s">
        <v>10</v>
      </c>
      <c r="V240" t="s">
        <v>10</v>
      </c>
      <c r="W240" t="s">
        <v>10</v>
      </c>
    </row>
    <row r="241" spans="1:23" x14ac:dyDescent="0.3">
      <c r="A241" t="s">
        <v>332</v>
      </c>
      <c r="B241" s="7">
        <v>45967</v>
      </c>
      <c r="C241" t="s">
        <v>70</v>
      </c>
      <c r="D241" t="s">
        <v>1102</v>
      </c>
      <c r="E241" s="3">
        <v>3</v>
      </c>
      <c r="F241" s="3">
        <v>1</v>
      </c>
      <c r="G241" t="s">
        <v>12</v>
      </c>
      <c r="H241" t="s">
        <v>1106</v>
      </c>
      <c r="I241" t="s">
        <v>21</v>
      </c>
      <c r="J241" t="s">
        <v>50</v>
      </c>
      <c r="K241" t="s">
        <v>10</v>
      </c>
      <c r="L241" t="s">
        <v>10</v>
      </c>
      <c r="M241" t="s">
        <v>10</v>
      </c>
      <c r="N241" t="s">
        <v>57</v>
      </c>
      <c r="O241" t="str">
        <f>INDEX(CoverageTable[Deductible Applies],MATCH(Table18[[#This Row],[Coverage]],CoverageTable[Coverage],0))</f>
        <v>No</v>
      </c>
      <c r="P241" t="str">
        <f>INDEX(CoverageTable[Coverage Limit Applies],MATCH(Table18[[#This Row],[Coverage]],CoverageTable[Coverage],0))</f>
        <v>Yes</v>
      </c>
      <c r="Q241" t="s">
        <v>10</v>
      </c>
      <c r="R241" t="s">
        <v>79</v>
      </c>
      <c r="S241" t="s">
        <v>10</v>
      </c>
      <c r="T241" t="s">
        <v>10</v>
      </c>
      <c r="U241" t="s">
        <v>10</v>
      </c>
      <c r="V241" t="s">
        <v>57</v>
      </c>
      <c r="W241" t="s">
        <v>10</v>
      </c>
    </row>
    <row r="242" spans="1:23" x14ac:dyDescent="0.3">
      <c r="A242" t="s">
        <v>333</v>
      </c>
      <c r="B242" s="7">
        <v>45992</v>
      </c>
      <c r="C242" t="s">
        <v>70</v>
      </c>
      <c r="D242" t="s">
        <v>1098</v>
      </c>
      <c r="E242" s="3">
        <v>1</v>
      </c>
      <c r="F242" s="3">
        <v>1</v>
      </c>
      <c r="G242" t="s">
        <v>13</v>
      </c>
      <c r="H242" t="s">
        <v>1107</v>
      </c>
      <c r="I242" t="s">
        <v>31</v>
      </c>
      <c r="J242" t="s">
        <v>51</v>
      </c>
      <c r="K242" t="s">
        <v>57</v>
      </c>
      <c r="L242" t="s">
        <v>10</v>
      </c>
      <c r="M242" t="s">
        <v>10</v>
      </c>
      <c r="N242" t="s">
        <v>10</v>
      </c>
      <c r="O242" t="str">
        <f>INDEX(CoverageTable[Deductible Applies],MATCH(Table18[[#This Row],[Coverage]],CoverageTable[Coverage],0))</f>
        <v>No</v>
      </c>
      <c r="P242" t="str">
        <f>INDEX(CoverageTable[Coverage Limit Applies],MATCH(Table18[[#This Row],[Coverage]],CoverageTable[Coverage],0))</f>
        <v>Yes</v>
      </c>
      <c r="Q242" t="s">
        <v>10</v>
      </c>
      <c r="R242" t="s">
        <v>80</v>
      </c>
      <c r="S242" t="s">
        <v>10</v>
      </c>
      <c r="T242" t="s">
        <v>57</v>
      </c>
      <c r="U242" t="s">
        <v>10</v>
      </c>
      <c r="V242" t="s">
        <v>10</v>
      </c>
      <c r="W242" t="s">
        <v>10</v>
      </c>
    </row>
    <row r="243" spans="1:23" x14ac:dyDescent="0.3">
      <c r="A243" t="s">
        <v>334</v>
      </c>
      <c r="B243" s="7">
        <v>45930</v>
      </c>
      <c r="C243" t="s">
        <v>70</v>
      </c>
      <c r="D243" t="s">
        <v>1102</v>
      </c>
      <c r="E243" s="3">
        <v>7</v>
      </c>
      <c r="F243" s="3">
        <v>1</v>
      </c>
      <c r="G243" t="s">
        <v>10</v>
      </c>
      <c r="H243" t="s">
        <v>1106</v>
      </c>
      <c r="I243" t="s">
        <v>29</v>
      </c>
      <c r="J243" t="s">
        <v>52</v>
      </c>
      <c r="K243" t="s">
        <v>10</v>
      </c>
      <c r="L243" t="s">
        <v>10</v>
      </c>
      <c r="M243" t="s">
        <v>10</v>
      </c>
      <c r="N243" t="s">
        <v>10</v>
      </c>
      <c r="O243" t="str">
        <f>INDEX(CoverageTable[Deductible Applies],MATCH(Table18[[#This Row],[Coverage]],CoverageTable[Coverage],0))</f>
        <v>No</v>
      </c>
      <c r="P243" t="str">
        <f>INDEX(CoverageTable[Coverage Limit Applies],MATCH(Table18[[#This Row],[Coverage]],CoverageTable[Coverage],0))</f>
        <v>Yes</v>
      </c>
      <c r="Q243" t="s">
        <v>10</v>
      </c>
      <c r="R243" t="s">
        <v>79</v>
      </c>
      <c r="S243" t="s">
        <v>10</v>
      </c>
      <c r="T243" t="s">
        <v>10</v>
      </c>
      <c r="U243" t="s">
        <v>10</v>
      </c>
      <c r="V243" t="s">
        <v>10</v>
      </c>
      <c r="W243" t="s">
        <v>10</v>
      </c>
    </row>
    <row r="244" spans="1:23" x14ac:dyDescent="0.3">
      <c r="A244" t="s">
        <v>335</v>
      </c>
      <c r="B244" s="7">
        <v>45950</v>
      </c>
      <c r="C244" t="s">
        <v>71</v>
      </c>
      <c r="D244" t="s">
        <v>1101</v>
      </c>
      <c r="E244" s="3">
        <v>4</v>
      </c>
      <c r="F244" s="3">
        <v>0</v>
      </c>
      <c r="G244" t="s">
        <v>12</v>
      </c>
      <c r="H244" t="s">
        <v>1108</v>
      </c>
      <c r="I244" t="s">
        <v>29</v>
      </c>
      <c r="J244" t="s">
        <v>53</v>
      </c>
      <c r="K244" t="s">
        <v>10</v>
      </c>
      <c r="L244" t="s">
        <v>10</v>
      </c>
      <c r="M244" t="s">
        <v>10</v>
      </c>
      <c r="N244" t="s">
        <v>10</v>
      </c>
      <c r="O244" t="str">
        <f>INDEX(CoverageTable[Deductible Applies],MATCH(Table18[[#This Row],[Coverage]],CoverageTable[Coverage],0))</f>
        <v>Yes</v>
      </c>
      <c r="P244" t="str">
        <f>INDEX(CoverageTable[Coverage Limit Applies],MATCH(Table18[[#This Row],[Coverage]],CoverageTable[Coverage],0))</f>
        <v>No</v>
      </c>
      <c r="Q244" t="s">
        <v>80</v>
      </c>
      <c r="R244" t="s">
        <v>10</v>
      </c>
      <c r="S244" t="s">
        <v>10</v>
      </c>
      <c r="T244" t="s">
        <v>10</v>
      </c>
      <c r="U244" t="s">
        <v>10</v>
      </c>
      <c r="V244" t="s">
        <v>10</v>
      </c>
      <c r="W244" t="s">
        <v>57</v>
      </c>
    </row>
    <row r="245" spans="1:23" x14ac:dyDescent="0.3">
      <c r="A245" t="s">
        <v>336</v>
      </c>
      <c r="B245" s="7">
        <v>46135</v>
      </c>
      <c r="C245" t="s">
        <v>70</v>
      </c>
      <c r="D245" t="s">
        <v>1101</v>
      </c>
      <c r="E245" s="3">
        <v>6</v>
      </c>
      <c r="F245" s="3">
        <v>1</v>
      </c>
      <c r="G245" t="s">
        <v>10</v>
      </c>
      <c r="H245" t="s">
        <v>1110</v>
      </c>
      <c r="I245" t="s">
        <v>41</v>
      </c>
      <c r="J245" t="s">
        <v>52</v>
      </c>
      <c r="K245" t="s">
        <v>57</v>
      </c>
      <c r="L245" t="s">
        <v>10</v>
      </c>
      <c r="M245" t="s">
        <v>10</v>
      </c>
      <c r="N245" t="s">
        <v>10</v>
      </c>
      <c r="O245" t="str">
        <f>INDEX(CoverageTable[Deductible Applies],MATCH(Table18[[#This Row],[Coverage]],CoverageTable[Coverage],0))</f>
        <v>No</v>
      </c>
      <c r="P245" t="str">
        <f>INDEX(CoverageTable[Coverage Limit Applies],MATCH(Table18[[#This Row],[Coverage]],CoverageTable[Coverage],0))</f>
        <v>Yes</v>
      </c>
      <c r="Q245" t="s">
        <v>10</v>
      </c>
      <c r="R245" t="s">
        <v>79</v>
      </c>
      <c r="S245" t="s">
        <v>10</v>
      </c>
      <c r="T245" t="s">
        <v>10</v>
      </c>
      <c r="U245" t="s">
        <v>10</v>
      </c>
      <c r="V245" t="s">
        <v>10</v>
      </c>
      <c r="W245" t="s">
        <v>10</v>
      </c>
    </row>
    <row r="246" spans="1:23" x14ac:dyDescent="0.3">
      <c r="A246" t="s">
        <v>337</v>
      </c>
      <c r="B246" s="7">
        <v>45927</v>
      </c>
      <c r="C246" t="s">
        <v>71</v>
      </c>
      <c r="D246" t="s">
        <v>1102</v>
      </c>
      <c r="E246" s="3">
        <v>2</v>
      </c>
      <c r="F246" s="3">
        <v>0</v>
      </c>
      <c r="G246" t="s">
        <v>10</v>
      </c>
      <c r="H246" t="s">
        <v>1108</v>
      </c>
      <c r="I246" t="s">
        <v>28</v>
      </c>
      <c r="J246" t="s">
        <v>54</v>
      </c>
      <c r="K246" t="s">
        <v>10</v>
      </c>
      <c r="L246" t="s">
        <v>10</v>
      </c>
      <c r="M246" t="s">
        <v>57</v>
      </c>
      <c r="N246" t="s">
        <v>57</v>
      </c>
      <c r="O246" t="str">
        <f>INDEX(CoverageTable[Deductible Applies],MATCH(Table18[[#This Row],[Coverage]],CoverageTable[Coverage],0))</f>
        <v>Yes</v>
      </c>
      <c r="P246" t="str">
        <f>INDEX(CoverageTable[Coverage Limit Applies],MATCH(Table18[[#This Row],[Coverage]],CoverageTable[Coverage],0))</f>
        <v>No</v>
      </c>
      <c r="Q246" t="s">
        <v>80</v>
      </c>
      <c r="R246" t="s">
        <v>10</v>
      </c>
      <c r="S246" t="s">
        <v>10</v>
      </c>
      <c r="T246" t="s">
        <v>10</v>
      </c>
      <c r="U246" t="s">
        <v>10</v>
      </c>
      <c r="V246" t="s">
        <v>10</v>
      </c>
      <c r="W246" t="s">
        <v>10</v>
      </c>
    </row>
    <row r="247" spans="1:23" x14ac:dyDescent="0.3">
      <c r="A247" t="s">
        <v>338</v>
      </c>
      <c r="B247" s="7">
        <v>46067</v>
      </c>
      <c r="C247" t="s">
        <v>74</v>
      </c>
      <c r="D247" t="s">
        <v>1102</v>
      </c>
      <c r="E247" s="3" t="s">
        <v>1103</v>
      </c>
      <c r="F247" s="3">
        <v>2</v>
      </c>
      <c r="G247" t="s">
        <v>10</v>
      </c>
      <c r="H247" t="s">
        <v>1106</v>
      </c>
      <c r="I247" t="s">
        <v>27</v>
      </c>
      <c r="J247" t="s">
        <v>49</v>
      </c>
      <c r="K247" t="s">
        <v>10</v>
      </c>
      <c r="L247" t="s">
        <v>10</v>
      </c>
      <c r="M247" t="s">
        <v>10</v>
      </c>
      <c r="N247" t="s">
        <v>10</v>
      </c>
      <c r="O247" t="str">
        <f>INDEX(CoverageTable[Deductible Applies],MATCH(Table18[[#This Row],[Coverage]],CoverageTable[Coverage],0))</f>
        <v>No</v>
      </c>
      <c r="P247" t="str">
        <f>INDEX(CoverageTable[Coverage Limit Applies],MATCH(Table18[[#This Row],[Coverage]],CoverageTable[Coverage],0))</f>
        <v>Yes</v>
      </c>
      <c r="Q247" t="s">
        <v>10</v>
      </c>
      <c r="R247" t="s">
        <v>79</v>
      </c>
      <c r="S247" t="s">
        <v>10</v>
      </c>
      <c r="T247" t="s">
        <v>10</v>
      </c>
      <c r="U247" t="s">
        <v>10</v>
      </c>
      <c r="V247" t="s">
        <v>10</v>
      </c>
      <c r="W247" t="s">
        <v>10</v>
      </c>
    </row>
    <row r="248" spans="1:23" x14ac:dyDescent="0.3">
      <c r="A248" t="s">
        <v>339</v>
      </c>
      <c r="B248" s="7">
        <v>46065</v>
      </c>
      <c r="C248" t="s">
        <v>72</v>
      </c>
      <c r="D248" t="s">
        <v>1097</v>
      </c>
      <c r="E248" s="3">
        <v>5</v>
      </c>
      <c r="F248" s="3">
        <v>0</v>
      </c>
      <c r="G248" t="s">
        <v>10</v>
      </c>
      <c r="H248" t="s">
        <v>1106</v>
      </c>
      <c r="I248" t="s">
        <v>24</v>
      </c>
      <c r="J248" t="s">
        <v>53</v>
      </c>
      <c r="K248" t="s">
        <v>10</v>
      </c>
      <c r="L248" t="s">
        <v>57</v>
      </c>
      <c r="M248" t="s">
        <v>10</v>
      </c>
      <c r="N248" t="s">
        <v>57</v>
      </c>
      <c r="O248" t="str">
        <f>INDEX(CoverageTable[Deductible Applies],MATCH(Table18[[#This Row],[Coverage]],CoverageTable[Coverage],0))</f>
        <v>Yes</v>
      </c>
      <c r="P248" t="str">
        <f>INDEX(CoverageTable[Coverage Limit Applies],MATCH(Table18[[#This Row],[Coverage]],CoverageTable[Coverage],0))</f>
        <v>No</v>
      </c>
      <c r="Q248" t="s">
        <v>78</v>
      </c>
      <c r="R248" t="s">
        <v>10</v>
      </c>
      <c r="S248" t="s">
        <v>10</v>
      </c>
      <c r="T248" t="s">
        <v>57</v>
      </c>
      <c r="U248" t="s">
        <v>57</v>
      </c>
      <c r="V248" t="s">
        <v>57</v>
      </c>
      <c r="W248" t="s">
        <v>10</v>
      </c>
    </row>
    <row r="249" spans="1:23" x14ac:dyDescent="0.3">
      <c r="A249" t="s">
        <v>340</v>
      </c>
      <c r="B249" s="7">
        <v>46013</v>
      </c>
      <c r="C249" t="s">
        <v>74</v>
      </c>
      <c r="D249" t="s">
        <v>1098</v>
      </c>
      <c r="E249" s="3">
        <v>1</v>
      </c>
      <c r="F249" s="3">
        <v>4</v>
      </c>
      <c r="G249" t="s">
        <v>11</v>
      </c>
      <c r="H249" t="s">
        <v>1110</v>
      </c>
      <c r="I249" t="s">
        <v>22</v>
      </c>
      <c r="J249" t="s">
        <v>48</v>
      </c>
      <c r="K249" t="s">
        <v>10</v>
      </c>
      <c r="L249" t="s">
        <v>57</v>
      </c>
      <c r="M249" t="s">
        <v>10</v>
      </c>
      <c r="N249" t="s">
        <v>57</v>
      </c>
      <c r="O249" t="str">
        <f>INDEX(CoverageTable[Deductible Applies],MATCH(Table18[[#This Row],[Coverage]],CoverageTable[Coverage],0))</f>
        <v>No</v>
      </c>
      <c r="P249" t="str">
        <f>INDEX(CoverageTable[Coverage Limit Applies],MATCH(Table18[[#This Row],[Coverage]],CoverageTable[Coverage],0))</f>
        <v>Yes</v>
      </c>
      <c r="Q249" t="s">
        <v>10</v>
      </c>
      <c r="R249" t="s">
        <v>78</v>
      </c>
      <c r="S249" t="s">
        <v>10</v>
      </c>
      <c r="T249" t="s">
        <v>57</v>
      </c>
      <c r="U249" t="s">
        <v>10</v>
      </c>
      <c r="V249" t="s">
        <v>10</v>
      </c>
      <c r="W249" t="s">
        <v>10</v>
      </c>
    </row>
    <row r="250" spans="1:23" x14ac:dyDescent="0.3">
      <c r="A250" t="s">
        <v>341</v>
      </c>
      <c r="B250" s="7">
        <v>46094</v>
      </c>
      <c r="C250" t="s">
        <v>71</v>
      </c>
      <c r="D250" t="s">
        <v>1101</v>
      </c>
      <c r="E250" s="3">
        <v>5</v>
      </c>
      <c r="F250" s="3">
        <v>0</v>
      </c>
      <c r="G250" t="s">
        <v>11</v>
      </c>
      <c r="H250" t="s">
        <v>1107</v>
      </c>
      <c r="I250" t="s">
        <v>43</v>
      </c>
      <c r="J250" t="s">
        <v>54</v>
      </c>
      <c r="K250" t="s">
        <v>10</v>
      </c>
      <c r="L250" t="s">
        <v>10</v>
      </c>
      <c r="M250" t="s">
        <v>10</v>
      </c>
      <c r="N250" t="s">
        <v>10</v>
      </c>
      <c r="O250" t="str">
        <f>INDEX(CoverageTable[Deductible Applies],MATCH(Table18[[#This Row],[Coverage]],CoverageTable[Coverage],0))</f>
        <v>Yes</v>
      </c>
      <c r="P250" t="str">
        <f>INDEX(CoverageTable[Coverage Limit Applies],MATCH(Table18[[#This Row],[Coverage]],CoverageTable[Coverage],0))</f>
        <v>No</v>
      </c>
      <c r="Q250" t="s">
        <v>80</v>
      </c>
      <c r="R250" t="s">
        <v>10</v>
      </c>
      <c r="S250" t="s">
        <v>10</v>
      </c>
      <c r="T250" t="s">
        <v>10</v>
      </c>
      <c r="U250" t="s">
        <v>10</v>
      </c>
      <c r="V250" t="s">
        <v>10</v>
      </c>
      <c r="W250" t="s">
        <v>10</v>
      </c>
    </row>
    <row r="251" spans="1:23" x14ac:dyDescent="0.3">
      <c r="A251" t="s">
        <v>342</v>
      </c>
      <c r="B251" s="7">
        <v>45824</v>
      </c>
      <c r="C251" t="s">
        <v>73</v>
      </c>
      <c r="D251" t="s">
        <v>1097</v>
      </c>
      <c r="E251" s="3">
        <v>5</v>
      </c>
      <c r="F251" s="3">
        <v>0</v>
      </c>
      <c r="G251" t="s">
        <v>10</v>
      </c>
      <c r="H251" t="s">
        <v>1110</v>
      </c>
      <c r="I251" t="s">
        <v>33</v>
      </c>
      <c r="J251" t="s">
        <v>53</v>
      </c>
      <c r="K251" t="s">
        <v>10</v>
      </c>
      <c r="L251" t="s">
        <v>10</v>
      </c>
      <c r="M251" t="s">
        <v>10</v>
      </c>
      <c r="N251" t="s">
        <v>10</v>
      </c>
      <c r="O251" t="str">
        <f>INDEX(CoverageTable[Deductible Applies],MATCH(Table18[[#This Row],[Coverage]],CoverageTable[Coverage],0))</f>
        <v>No</v>
      </c>
      <c r="P251" t="str">
        <f>INDEX(CoverageTable[Coverage Limit Applies],MATCH(Table18[[#This Row],[Coverage]],CoverageTable[Coverage],0))</f>
        <v>Yes</v>
      </c>
      <c r="Q251" t="s">
        <v>10</v>
      </c>
      <c r="R251" t="s">
        <v>79</v>
      </c>
      <c r="S251" t="s">
        <v>10</v>
      </c>
      <c r="T251" t="s">
        <v>57</v>
      </c>
      <c r="U251" t="s">
        <v>10</v>
      </c>
      <c r="V251" t="s">
        <v>10</v>
      </c>
      <c r="W251" t="s">
        <v>57</v>
      </c>
    </row>
    <row r="252" spans="1:23" x14ac:dyDescent="0.3">
      <c r="A252" t="s">
        <v>343</v>
      </c>
      <c r="B252" s="7">
        <v>46031</v>
      </c>
      <c r="C252" t="s">
        <v>72</v>
      </c>
      <c r="D252" t="s">
        <v>1102</v>
      </c>
      <c r="E252" s="3">
        <v>2</v>
      </c>
      <c r="F252" s="3">
        <v>1</v>
      </c>
      <c r="G252" t="s">
        <v>10</v>
      </c>
      <c r="H252" t="s">
        <v>1109</v>
      </c>
      <c r="I252" t="s">
        <v>22</v>
      </c>
      <c r="J252" t="s">
        <v>50</v>
      </c>
      <c r="K252" t="s">
        <v>10</v>
      </c>
      <c r="L252" t="s">
        <v>57</v>
      </c>
      <c r="M252" t="s">
        <v>10</v>
      </c>
      <c r="N252" t="s">
        <v>57</v>
      </c>
      <c r="O252" t="str">
        <f>INDEX(CoverageTable[Deductible Applies],MATCH(Table18[[#This Row],[Coverage]],CoverageTable[Coverage],0))</f>
        <v>Yes</v>
      </c>
      <c r="P252" t="str">
        <f>INDEX(CoverageTable[Coverage Limit Applies],MATCH(Table18[[#This Row],[Coverage]],CoverageTable[Coverage],0))</f>
        <v>No</v>
      </c>
      <c r="Q252" t="s">
        <v>80</v>
      </c>
      <c r="R252" t="s">
        <v>10</v>
      </c>
      <c r="S252" t="s">
        <v>10</v>
      </c>
      <c r="T252" t="s">
        <v>10</v>
      </c>
      <c r="U252" t="s">
        <v>10</v>
      </c>
      <c r="V252" t="s">
        <v>10</v>
      </c>
      <c r="W252" t="s">
        <v>10</v>
      </c>
    </row>
    <row r="253" spans="1:23" x14ac:dyDescent="0.3">
      <c r="A253" t="s">
        <v>344</v>
      </c>
      <c r="B253" s="7">
        <v>46013</v>
      </c>
      <c r="C253" t="s">
        <v>71</v>
      </c>
      <c r="D253" t="s">
        <v>1101</v>
      </c>
      <c r="E253" s="3" t="s">
        <v>1103</v>
      </c>
      <c r="F253" s="3">
        <v>3</v>
      </c>
      <c r="G253" t="s">
        <v>10</v>
      </c>
      <c r="H253" t="s">
        <v>1106</v>
      </c>
      <c r="I253" t="s">
        <v>24</v>
      </c>
      <c r="J253" t="s">
        <v>54</v>
      </c>
      <c r="K253" t="s">
        <v>10</v>
      </c>
      <c r="L253" t="s">
        <v>10</v>
      </c>
      <c r="M253" t="s">
        <v>10</v>
      </c>
      <c r="N253" t="s">
        <v>10</v>
      </c>
      <c r="O253" t="str">
        <f>INDEX(CoverageTable[Deductible Applies],MATCH(Table18[[#This Row],[Coverage]],CoverageTable[Coverage],0))</f>
        <v>Yes</v>
      </c>
      <c r="P253" t="str">
        <f>INDEX(CoverageTable[Coverage Limit Applies],MATCH(Table18[[#This Row],[Coverage]],CoverageTable[Coverage],0))</f>
        <v>No</v>
      </c>
      <c r="Q253" t="s">
        <v>80</v>
      </c>
      <c r="R253" t="s">
        <v>10</v>
      </c>
      <c r="S253" t="s">
        <v>10</v>
      </c>
      <c r="T253" t="s">
        <v>57</v>
      </c>
      <c r="U253" t="s">
        <v>10</v>
      </c>
      <c r="V253" t="s">
        <v>57</v>
      </c>
      <c r="W253" t="s">
        <v>10</v>
      </c>
    </row>
    <row r="254" spans="1:23" x14ac:dyDescent="0.3">
      <c r="A254" t="s">
        <v>345</v>
      </c>
      <c r="B254" s="7">
        <v>46114</v>
      </c>
      <c r="C254" t="s">
        <v>73</v>
      </c>
      <c r="D254" t="s">
        <v>1099</v>
      </c>
      <c r="E254" s="3">
        <v>7</v>
      </c>
      <c r="F254" s="3">
        <v>1</v>
      </c>
      <c r="G254" t="s">
        <v>10</v>
      </c>
      <c r="H254" t="s">
        <v>1108</v>
      </c>
      <c r="I254" t="s">
        <v>23</v>
      </c>
      <c r="J254" t="s">
        <v>50</v>
      </c>
      <c r="K254" t="s">
        <v>10</v>
      </c>
      <c r="L254" t="s">
        <v>57</v>
      </c>
      <c r="M254" t="s">
        <v>10</v>
      </c>
      <c r="N254" t="s">
        <v>57</v>
      </c>
      <c r="O254" t="str">
        <f>INDEX(CoverageTable[Deductible Applies],MATCH(Table18[[#This Row],[Coverage]],CoverageTable[Coverage],0))</f>
        <v>No</v>
      </c>
      <c r="P254" t="str">
        <f>INDEX(CoverageTable[Coverage Limit Applies],MATCH(Table18[[#This Row],[Coverage]],CoverageTable[Coverage],0))</f>
        <v>Yes</v>
      </c>
      <c r="Q254" t="s">
        <v>10</v>
      </c>
      <c r="R254" t="s">
        <v>79</v>
      </c>
      <c r="S254" t="s">
        <v>10</v>
      </c>
      <c r="T254" t="s">
        <v>10</v>
      </c>
      <c r="U254" t="s">
        <v>57</v>
      </c>
      <c r="V254" t="s">
        <v>10</v>
      </c>
      <c r="W254" t="s">
        <v>10</v>
      </c>
    </row>
    <row r="255" spans="1:23" x14ac:dyDescent="0.3">
      <c r="A255" t="s">
        <v>346</v>
      </c>
      <c r="B255" s="7">
        <v>45908</v>
      </c>
      <c r="C255" t="s">
        <v>72</v>
      </c>
      <c r="D255" t="s">
        <v>1101</v>
      </c>
      <c r="E255" s="3" t="s">
        <v>1103</v>
      </c>
      <c r="F255" s="3">
        <v>1</v>
      </c>
      <c r="G255" t="s">
        <v>10</v>
      </c>
      <c r="H255" t="s">
        <v>1110</v>
      </c>
      <c r="I255" t="s">
        <v>41</v>
      </c>
      <c r="J255" t="s">
        <v>49</v>
      </c>
      <c r="K255" t="s">
        <v>10</v>
      </c>
      <c r="L255" t="s">
        <v>10</v>
      </c>
      <c r="M255" t="s">
        <v>10</v>
      </c>
      <c r="N255" t="s">
        <v>10</v>
      </c>
      <c r="O255" t="str">
        <f>INDEX(CoverageTable[Deductible Applies],MATCH(Table18[[#This Row],[Coverage]],CoverageTable[Coverage],0))</f>
        <v>Yes</v>
      </c>
      <c r="P255" t="str">
        <f>INDEX(CoverageTable[Coverage Limit Applies],MATCH(Table18[[#This Row],[Coverage]],CoverageTable[Coverage],0))</f>
        <v>No</v>
      </c>
      <c r="Q255" t="s">
        <v>78</v>
      </c>
      <c r="R255" t="s">
        <v>10</v>
      </c>
      <c r="S255" t="s">
        <v>10</v>
      </c>
      <c r="T255" t="s">
        <v>10</v>
      </c>
      <c r="U255" t="s">
        <v>57</v>
      </c>
      <c r="V255" t="s">
        <v>10</v>
      </c>
      <c r="W255" t="s">
        <v>10</v>
      </c>
    </row>
    <row r="256" spans="1:23" x14ac:dyDescent="0.3">
      <c r="A256" t="s">
        <v>347</v>
      </c>
      <c r="B256" s="7">
        <v>46069</v>
      </c>
      <c r="C256" t="s">
        <v>70</v>
      </c>
      <c r="D256" t="s">
        <v>1099</v>
      </c>
      <c r="E256" s="3">
        <v>1</v>
      </c>
      <c r="F256" s="3" t="s">
        <v>7</v>
      </c>
      <c r="G256" t="s">
        <v>12</v>
      </c>
      <c r="H256" t="s">
        <v>1108</v>
      </c>
      <c r="I256" t="s">
        <v>29</v>
      </c>
      <c r="J256" t="s">
        <v>53</v>
      </c>
      <c r="K256" t="s">
        <v>10</v>
      </c>
      <c r="L256" t="s">
        <v>10</v>
      </c>
      <c r="M256" t="s">
        <v>10</v>
      </c>
      <c r="N256" t="s">
        <v>10</v>
      </c>
      <c r="O256" t="str">
        <f>INDEX(CoverageTable[Deductible Applies],MATCH(Table18[[#This Row],[Coverage]],CoverageTable[Coverage],0))</f>
        <v>No</v>
      </c>
      <c r="P256" t="str">
        <f>INDEX(CoverageTable[Coverage Limit Applies],MATCH(Table18[[#This Row],[Coverage]],CoverageTable[Coverage],0))</f>
        <v>Yes</v>
      </c>
      <c r="Q256" t="s">
        <v>10</v>
      </c>
      <c r="R256" t="s">
        <v>78</v>
      </c>
      <c r="S256" t="s">
        <v>10</v>
      </c>
      <c r="T256" t="s">
        <v>10</v>
      </c>
      <c r="U256" t="s">
        <v>10</v>
      </c>
      <c r="V256" t="s">
        <v>10</v>
      </c>
      <c r="W256" t="s">
        <v>10</v>
      </c>
    </row>
    <row r="257" spans="1:23" x14ac:dyDescent="0.3">
      <c r="A257" t="s">
        <v>348</v>
      </c>
      <c r="B257" s="7">
        <v>46020</v>
      </c>
      <c r="C257" t="s">
        <v>71</v>
      </c>
      <c r="D257" t="s">
        <v>1099</v>
      </c>
      <c r="E257" s="3" t="s">
        <v>1103</v>
      </c>
      <c r="F257" s="3">
        <v>1</v>
      </c>
      <c r="G257" t="s">
        <v>10</v>
      </c>
      <c r="H257" t="s">
        <v>1108</v>
      </c>
      <c r="I257" t="s">
        <v>30</v>
      </c>
      <c r="J257" t="s">
        <v>51</v>
      </c>
      <c r="K257" t="s">
        <v>10</v>
      </c>
      <c r="L257" t="s">
        <v>10</v>
      </c>
      <c r="M257" t="s">
        <v>10</v>
      </c>
      <c r="N257" t="s">
        <v>57</v>
      </c>
      <c r="O257" t="str">
        <f>INDEX(CoverageTable[Deductible Applies],MATCH(Table18[[#This Row],[Coverage]],CoverageTable[Coverage],0))</f>
        <v>Yes</v>
      </c>
      <c r="P257" t="str">
        <f>INDEX(CoverageTable[Coverage Limit Applies],MATCH(Table18[[#This Row],[Coverage]],CoverageTable[Coverage],0))</f>
        <v>No</v>
      </c>
      <c r="Q257" t="s">
        <v>80</v>
      </c>
      <c r="R257" t="s">
        <v>10</v>
      </c>
      <c r="S257" t="s">
        <v>10</v>
      </c>
      <c r="T257" t="s">
        <v>10</v>
      </c>
      <c r="U257" t="s">
        <v>57</v>
      </c>
      <c r="V257" t="s">
        <v>10</v>
      </c>
      <c r="W257" t="s">
        <v>10</v>
      </c>
    </row>
    <row r="258" spans="1:23" x14ac:dyDescent="0.3">
      <c r="A258" t="s">
        <v>349</v>
      </c>
      <c r="B258" s="7">
        <v>46133</v>
      </c>
      <c r="C258" t="s">
        <v>70</v>
      </c>
      <c r="D258" t="s">
        <v>1101</v>
      </c>
      <c r="E258" s="3">
        <v>5</v>
      </c>
      <c r="F258" s="3">
        <v>2</v>
      </c>
      <c r="G258" t="s">
        <v>12</v>
      </c>
      <c r="H258" t="s">
        <v>1107</v>
      </c>
      <c r="I258" t="s">
        <v>27</v>
      </c>
      <c r="J258" t="s">
        <v>48</v>
      </c>
      <c r="K258" t="s">
        <v>10</v>
      </c>
      <c r="L258" t="s">
        <v>10</v>
      </c>
      <c r="M258" t="s">
        <v>57</v>
      </c>
      <c r="N258" t="s">
        <v>57</v>
      </c>
      <c r="O258" t="str">
        <f>INDEX(CoverageTable[Deductible Applies],MATCH(Table18[[#This Row],[Coverage]],CoverageTable[Coverage],0))</f>
        <v>No</v>
      </c>
      <c r="P258" t="str">
        <f>INDEX(CoverageTable[Coverage Limit Applies],MATCH(Table18[[#This Row],[Coverage]],CoverageTable[Coverage],0))</f>
        <v>Yes</v>
      </c>
      <c r="Q258" t="s">
        <v>10</v>
      </c>
      <c r="R258" t="s">
        <v>78</v>
      </c>
      <c r="S258" t="s">
        <v>10</v>
      </c>
      <c r="T258" t="s">
        <v>10</v>
      </c>
      <c r="U258" t="s">
        <v>57</v>
      </c>
      <c r="V258" t="s">
        <v>10</v>
      </c>
      <c r="W258" t="s">
        <v>10</v>
      </c>
    </row>
    <row r="259" spans="1:23" x14ac:dyDescent="0.3">
      <c r="A259" t="s">
        <v>350</v>
      </c>
      <c r="B259" s="7">
        <v>45836</v>
      </c>
      <c r="C259" t="s">
        <v>72</v>
      </c>
      <c r="D259" t="s">
        <v>1097</v>
      </c>
      <c r="E259" s="3">
        <v>5</v>
      </c>
      <c r="F259" s="3">
        <v>3</v>
      </c>
      <c r="G259" t="s">
        <v>10</v>
      </c>
      <c r="H259" t="s">
        <v>1106</v>
      </c>
      <c r="I259" t="s">
        <v>32</v>
      </c>
      <c r="J259" t="s">
        <v>52</v>
      </c>
      <c r="K259" t="s">
        <v>10</v>
      </c>
      <c r="L259" t="s">
        <v>57</v>
      </c>
      <c r="M259" t="s">
        <v>10</v>
      </c>
      <c r="N259" t="s">
        <v>57</v>
      </c>
      <c r="O259" t="str">
        <f>INDEX(CoverageTable[Deductible Applies],MATCH(Table18[[#This Row],[Coverage]],CoverageTable[Coverage],0))</f>
        <v>Yes</v>
      </c>
      <c r="P259" t="str">
        <f>INDEX(CoverageTable[Coverage Limit Applies],MATCH(Table18[[#This Row],[Coverage]],CoverageTable[Coverage],0))</f>
        <v>No</v>
      </c>
      <c r="Q259" t="s">
        <v>80</v>
      </c>
      <c r="R259" t="s">
        <v>10</v>
      </c>
      <c r="S259" t="s">
        <v>10</v>
      </c>
      <c r="T259" t="s">
        <v>10</v>
      </c>
      <c r="U259" t="s">
        <v>10</v>
      </c>
      <c r="V259" t="s">
        <v>10</v>
      </c>
      <c r="W259" t="s">
        <v>10</v>
      </c>
    </row>
    <row r="260" spans="1:23" x14ac:dyDescent="0.3">
      <c r="A260" t="s">
        <v>351</v>
      </c>
      <c r="B260" s="7">
        <v>45972</v>
      </c>
      <c r="C260" t="s">
        <v>70</v>
      </c>
      <c r="D260" t="s">
        <v>1098</v>
      </c>
      <c r="E260" s="3">
        <v>7</v>
      </c>
      <c r="F260" s="3">
        <v>1</v>
      </c>
      <c r="G260" t="s">
        <v>10</v>
      </c>
      <c r="H260" t="s">
        <v>1106</v>
      </c>
      <c r="I260" t="s">
        <v>35</v>
      </c>
      <c r="J260" t="s">
        <v>52</v>
      </c>
      <c r="K260" t="s">
        <v>10</v>
      </c>
      <c r="L260" t="s">
        <v>10</v>
      </c>
      <c r="M260" t="s">
        <v>57</v>
      </c>
      <c r="N260" t="s">
        <v>57</v>
      </c>
      <c r="O260" t="str">
        <f>INDEX(CoverageTable[Deductible Applies],MATCH(Table18[[#This Row],[Coverage]],CoverageTable[Coverage],0))</f>
        <v>No</v>
      </c>
      <c r="P260" t="str">
        <f>INDEX(CoverageTable[Coverage Limit Applies],MATCH(Table18[[#This Row],[Coverage]],CoverageTable[Coverage],0))</f>
        <v>Yes</v>
      </c>
      <c r="Q260" t="s">
        <v>10</v>
      </c>
      <c r="R260" t="s">
        <v>80</v>
      </c>
      <c r="S260" t="s">
        <v>10</v>
      </c>
      <c r="T260" t="s">
        <v>10</v>
      </c>
      <c r="U260" t="s">
        <v>10</v>
      </c>
      <c r="V260" t="s">
        <v>10</v>
      </c>
      <c r="W260" t="s">
        <v>10</v>
      </c>
    </row>
    <row r="261" spans="1:23" x14ac:dyDescent="0.3">
      <c r="A261" t="s">
        <v>352</v>
      </c>
      <c r="B261" s="7">
        <v>45859</v>
      </c>
      <c r="C261" t="s">
        <v>70</v>
      </c>
      <c r="D261" t="s">
        <v>1102</v>
      </c>
      <c r="E261" s="3">
        <v>1</v>
      </c>
      <c r="F261" s="3">
        <v>2</v>
      </c>
      <c r="G261" t="s">
        <v>10</v>
      </c>
      <c r="H261" t="s">
        <v>1107</v>
      </c>
      <c r="I261" t="s">
        <v>23</v>
      </c>
      <c r="J261" t="s">
        <v>54</v>
      </c>
      <c r="K261" t="s">
        <v>10</v>
      </c>
      <c r="L261" t="s">
        <v>57</v>
      </c>
      <c r="M261" t="s">
        <v>10</v>
      </c>
      <c r="N261" t="s">
        <v>10</v>
      </c>
      <c r="O261" t="str">
        <f>INDEX(CoverageTable[Deductible Applies],MATCH(Table18[[#This Row],[Coverage]],CoverageTable[Coverage],0))</f>
        <v>No</v>
      </c>
      <c r="P261" t="str">
        <f>INDEX(CoverageTable[Coverage Limit Applies],MATCH(Table18[[#This Row],[Coverage]],CoverageTable[Coverage],0))</f>
        <v>Yes</v>
      </c>
      <c r="Q261" t="s">
        <v>10</v>
      </c>
      <c r="R261" t="s">
        <v>78</v>
      </c>
      <c r="S261" t="s">
        <v>10</v>
      </c>
      <c r="T261" t="s">
        <v>57</v>
      </c>
      <c r="U261" t="s">
        <v>57</v>
      </c>
      <c r="V261" t="s">
        <v>10</v>
      </c>
      <c r="W261" t="s">
        <v>10</v>
      </c>
    </row>
    <row r="262" spans="1:23" x14ac:dyDescent="0.3">
      <c r="A262" t="s">
        <v>353</v>
      </c>
      <c r="B262" s="7">
        <v>45807</v>
      </c>
      <c r="C262" t="s">
        <v>74</v>
      </c>
      <c r="D262" t="s">
        <v>1097</v>
      </c>
      <c r="E262" s="3">
        <v>7</v>
      </c>
      <c r="F262" s="3">
        <v>0</v>
      </c>
      <c r="G262" t="s">
        <v>10</v>
      </c>
      <c r="H262" t="s">
        <v>1110</v>
      </c>
      <c r="I262" t="s">
        <v>44</v>
      </c>
      <c r="J262" t="s">
        <v>48</v>
      </c>
      <c r="K262" t="s">
        <v>10</v>
      </c>
      <c r="L262" t="s">
        <v>10</v>
      </c>
      <c r="M262" t="s">
        <v>57</v>
      </c>
      <c r="N262" t="s">
        <v>57</v>
      </c>
      <c r="O262" t="str">
        <f>INDEX(CoverageTable[Deductible Applies],MATCH(Table18[[#This Row],[Coverage]],CoverageTable[Coverage],0))</f>
        <v>No</v>
      </c>
      <c r="P262" t="str">
        <f>INDEX(CoverageTable[Coverage Limit Applies],MATCH(Table18[[#This Row],[Coverage]],CoverageTable[Coverage],0))</f>
        <v>Yes</v>
      </c>
      <c r="Q262" t="s">
        <v>10</v>
      </c>
      <c r="R262" t="s">
        <v>78</v>
      </c>
      <c r="S262" t="s">
        <v>10</v>
      </c>
      <c r="T262" t="s">
        <v>10</v>
      </c>
      <c r="U262" t="s">
        <v>10</v>
      </c>
      <c r="V262" t="s">
        <v>57</v>
      </c>
      <c r="W262" t="s">
        <v>57</v>
      </c>
    </row>
    <row r="263" spans="1:23" x14ac:dyDescent="0.3">
      <c r="A263" t="s">
        <v>354</v>
      </c>
      <c r="B263" s="7">
        <v>46095</v>
      </c>
      <c r="C263" t="s">
        <v>73</v>
      </c>
      <c r="D263" t="s">
        <v>1099</v>
      </c>
      <c r="E263" s="3">
        <v>3</v>
      </c>
      <c r="F263" s="3">
        <v>1</v>
      </c>
      <c r="G263" t="s">
        <v>10</v>
      </c>
      <c r="H263" t="s">
        <v>1106</v>
      </c>
      <c r="I263" t="s">
        <v>40</v>
      </c>
      <c r="J263" t="s">
        <v>51</v>
      </c>
      <c r="K263" t="s">
        <v>10</v>
      </c>
      <c r="L263" t="s">
        <v>10</v>
      </c>
      <c r="M263" t="s">
        <v>10</v>
      </c>
      <c r="N263" t="s">
        <v>57</v>
      </c>
      <c r="O263" t="str">
        <f>INDEX(CoverageTable[Deductible Applies],MATCH(Table18[[#This Row],[Coverage]],CoverageTable[Coverage],0))</f>
        <v>No</v>
      </c>
      <c r="P263" t="str">
        <f>INDEX(CoverageTable[Coverage Limit Applies],MATCH(Table18[[#This Row],[Coverage]],CoverageTable[Coverage],0))</f>
        <v>Yes</v>
      </c>
      <c r="Q263" t="s">
        <v>10</v>
      </c>
      <c r="R263" t="s">
        <v>79</v>
      </c>
      <c r="S263" t="s">
        <v>10</v>
      </c>
      <c r="T263" t="s">
        <v>10</v>
      </c>
      <c r="U263" t="s">
        <v>10</v>
      </c>
      <c r="V263" t="s">
        <v>10</v>
      </c>
      <c r="W263" t="s">
        <v>10</v>
      </c>
    </row>
    <row r="264" spans="1:23" x14ac:dyDescent="0.3">
      <c r="A264" t="s">
        <v>355</v>
      </c>
      <c r="B264" s="7">
        <v>45794</v>
      </c>
      <c r="C264" t="s">
        <v>73</v>
      </c>
      <c r="D264" t="s">
        <v>1098</v>
      </c>
      <c r="E264" s="3">
        <v>2</v>
      </c>
      <c r="F264" s="3">
        <v>2</v>
      </c>
      <c r="G264" t="s">
        <v>11</v>
      </c>
      <c r="H264" t="s">
        <v>1106</v>
      </c>
      <c r="I264" t="s">
        <v>31</v>
      </c>
      <c r="J264" t="s">
        <v>49</v>
      </c>
      <c r="K264" t="s">
        <v>10</v>
      </c>
      <c r="L264" t="s">
        <v>10</v>
      </c>
      <c r="M264" t="s">
        <v>10</v>
      </c>
      <c r="N264" t="s">
        <v>57</v>
      </c>
      <c r="O264" t="str">
        <f>INDEX(CoverageTable[Deductible Applies],MATCH(Table18[[#This Row],[Coverage]],CoverageTable[Coverage],0))</f>
        <v>No</v>
      </c>
      <c r="P264" t="str">
        <f>INDEX(CoverageTable[Coverage Limit Applies],MATCH(Table18[[#This Row],[Coverage]],CoverageTable[Coverage],0))</f>
        <v>Yes</v>
      </c>
      <c r="Q264" t="s">
        <v>10</v>
      </c>
      <c r="R264" t="s">
        <v>78</v>
      </c>
      <c r="S264" t="s">
        <v>10</v>
      </c>
      <c r="T264" t="s">
        <v>57</v>
      </c>
      <c r="U264" t="s">
        <v>57</v>
      </c>
      <c r="V264" t="s">
        <v>10</v>
      </c>
      <c r="W264" t="s">
        <v>10</v>
      </c>
    </row>
    <row r="265" spans="1:23" x14ac:dyDescent="0.3">
      <c r="A265" t="s">
        <v>356</v>
      </c>
      <c r="B265" s="7">
        <v>45852</v>
      </c>
      <c r="C265" t="s">
        <v>70</v>
      </c>
      <c r="D265" t="s">
        <v>1097</v>
      </c>
      <c r="E265" s="3">
        <v>5</v>
      </c>
      <c r="F265" s="3">
        <v>3</v>
      </c>
      <c r="G265" t="s">
        <v>10</v>
      </c>
      <c r="H265" t="s">
        <v>1110</v>
      </c>
      <c r="I265" t="s">
        <v>32</v>
      </c>
      <c r="J265" t="s">
        <v>54</v>
      </c>
      <c r="K265" t="s">
        <v>10</v>
      </c>
      <c r="L265" t="s">
        <v>10</v>
      </c>
      <c r="M265" t="s">
        <v>10</v>
      </c>
      <c r="N265" t="s">
        <v>10</v>
      </c>
      <c r="O265" t="str">
        <f>INDEX(CoverageTable[Deductible Applies],MATCH(Table18[[#This Row],[Coverage]],CoverageTable[Coverage],0))</f>
        <v>No</v>
      </c>
      <c r="P265" t="str">
        <f>INDEX(CoverageTable[Coverage Limit Applies],MATCH(Table18[[#This Row],[Coverage]],CoverageTable[Coverage],0))</f>
        <v>Yes</v>
      </c>
      <c r="Q265" t="s">
        <v>10</v>
      </c>
      <c r="R265" t="s">
        <v>80</v>
      </c>
      <c r="S265" t="s">
        <v>10</v>
      </c>
      <c r="T265" t="s">
        <v>57</v>
      </c>
      <c r="U265" t="s">
        <v>57</v>
      </c>
      <c r="V265" t="s">
        <v>10</v>
      </c>
      <c r="W265" t="s">
        <v>10</v>
      </c>
    </row>
    <row r="266" spans="1:23" x14ac:dyDescent="0.3">
      <c r="A266" t="s">
        <v>357</v>
      </c>
      <c r="B266" s="7">
        <v>46129</v>
      </c>
      <c r="C266" t="s">
        <v>70</v>
      </c>
      <c r="D266" t="s">
        <v>1099</v>
      </c>
      <c r="E266" s="3">
        <v>7</v>
      </c>
      <c r="F266" s="3">
        <v>1</v>
      </c>
      <c r="G266" t="s">
        <v>13</v>
      </c>
      <c r="H266" t="s">
        <v>1109</v>
      </c>
      <c r="I266" t="s">
        <v>37</v>
      </c>
      <c r="J266" t="s">
        <v>53</v>
      </c>
      <c r="K266" t="s">
        <v>10</v>
      </c>
      <c r="L266" t="s">
        <v>10</v>
      </c>
      <c r="M266" t="s">
        <v>10</v>
      </c>
      <c r="N266" t="s">
        <v>10</v>
      </c>
      <c r="O266" t="str">
        <f>INDEX(CoverageTable[Deductible Applies],MATCH(Table18[[#This Row],[Coverage]],CoverageTable[Coverage],0))</f>
        <v>No</v>
      </c>
      <c r="P266" t="str">
        <f>INDEX(CoverageTable[Coverage Limit Applies],MATCH(Table18[[#This Row],[Coverage]],CoverageTable[Coverage],0))</f>
        <v>Yes</v>
      </c>
      <c r="Q266" t="s">
        <v>10</v>
      </c>
      <c r="R266" t="s">
        <v>79</v>
      </c>
      <c r="S266" t="s">
        <v>10</v>
      </c>
      <c r="T266" t="s">
        <v>57</v>
      </c>
      <c r="U266" t="s">
        <v>10</v>
      </c>
      <c r="V266" t="s">
        <v>10</v>
      </c>
      <c r="W266" t="s">
        <v>10</v>
      </c>
    </row>
    <row r="267" spans="1:23" x14ac:dyDescent="0.3">
      <c r="A267" t="s">
        <v>358</v>
      </c>
      <c r="B267" s="7">
        <v>45830</v>
      </c>
      <c r="C267" t="s">
        <v>72</v>
      </c>
      <c r="D267" t="s">
        <v>1101</v>
      </c>
      <c r="E267" s="3">
        <v>2</v>
      </c>
      <c r="F267" s="3">
        <v>4</v>
      </c>
      <c r="G267" t="s">
        <v>10</v>
      </c>
      <c r="H267" t="s">
        <v>1107</v>
      </c>
      <c r="I267" t="s">
        <v>36</v>
      </c>
      <c r="J267" t="s">
        <v>51</v>
      </c>
      <c r="K267" t="s">
        <v>10</v>
      </c>
      <c r="L267" t="s">
        <v>10</v>
      </c>
      <c r="M267" t="s">
        <v>10</v>
      </c>
      <c r="N267" t="s">
        <v>10</v>
      </c>
      <c r="O267" t="str">
        <f>INDEX(CoverageTable[Deductible Applies],MATCH(Table18[[#This Row],[Coverage]],CoverageTable[Coverage],0))</f>
        <v>Yes</v>
      </c>
      <c r="P267" t="str">
        <f>INDEX(CoverageTable[Coverage Limit Applies],MATCH(Table18[[#This Row],[Coverage]],CoverageTable[Coverage],0))</f>
        <v>No</v>
      </c>
      <c r="Q267" t="s">
        <v>79</v>
      </c>
      <c r="R267" t="s">
        <v>10</v>
      </c>
      <c r="S267" t="s">
        <v>10</v>
      </c>
      <c r="T267" t="s">
        <v>10</v>
      </c>
      <c r="U267" t="s">
        <v>10</v>
      </c>
      <c r="V267" t="s">
        <v>10</v>
      </c>
      <c r="W267" t="s">
        <v>10</v>
      </c>
    </row>
    <row r="268" spans="1:23" x14ac:dyDescent="0.3">
      <c r="A268" t="s">
        <v>359</v>
      </c>
      <c r="B268" s="7">
        <v>45870</v>
      </c>
      <c r="C268" t="s">
        <v>72</v>
      </c>
      <c r="D268" t="s">
        <v>1098</v>
      </c>
      <c r="E268" s="3">
        <v>4</v>
      </c>
      <c r="F268" s="3">
        <v>0</v>
      </c>
      <c r="G268" t="s">
        <v>10</v>
      </c>
      <c r="H268" t="s">
        <v>1107</v>
      </c>
      <c r="I268" t="s">
        <v>33</v>
      </c>
      <c r="J268" t="s">
        <v>48</v>
      </c>
      <c r="K268" t="s">
        <v>10</v>
      </c>
      <c r="L268" t="s">
        <v>10</v>
      </c>
      <c r="M268" t="s">
        <v>10</v>
      </c>
      <c r="N268" t="s">
        <v>57</v>
      </c>
      <c r="O268" t="str">
        <f>INDEX(CoverageTable[Deductible Applies],MATCH(Table18[[#This Row],[Coverage]],CoverageTable[Coverage],0))</f>
        <v>Yes</v>
      </c>
      <c r="P268" t="str">
        <f>INDEX(CoverageTable[Coverage Limit Applies],MATCH(Table18[[#This Row],[Coverage]],CoverageTable[Coverage],0))</f>
        <v>No</v>
      </c>
      <c r="Q268" t="s">
        <v>80</v>
      </c>
      <c r="R268" t="s">
        <v>10</v>
      </c>
      <c r="S268" t="s">
        <v>10</v>
      </c>
      <c r="T268" t="s">
        <v>10</v>
      </c>
      <c r="U268" t="s">
        <v>10</v>
      </c>
      <c r="V268" t="s">
        <v>57</v>
      </c>
      <c r="W268" t="s">
        <v>10</v>
      </c>
    </row>
    <row r="269" spans="1:23" x14ac:dyDescent="0.3">
      <c r="A269" t="s">
        <v>360</v>
      </c>
      <c r="B269" s="7">
        <v>45966</v>
      </c>
      <c r="C269" t="s">
        <v>71</v>
      </c>
      <c r="D269" t="s">
        <v>1101</v>
      </c>
      <c r="E269" s="3">
        <v>6</v>
      </c>
      <c r="F269" s="3">
        <v>2</v>
      </c>
      <c r="G269" t="s">
        <v>11</v>
      </c>
      <c r="H269" t="s">
        <v>1108</v>
      </c>
      <c r="I269" t="s">
        <v>31</v>
      </c>
      <c r="J269" t="s">
        <v>51</v>
      </c>
      <c r="K269" t="s">
        <v>10</v>
      </c>
      <c r="L269" t="s">
        <v>10</v>
      </c>
      <c r="M269" t="s">
        <v>10</v>
      </c>
      <c r="N269" t="s">
        <v>10</v>
      </c>
      <c r="O269" t="str">
        <f>INDEX(CoverageTable[Deductible Applies],MATCH(Table18[[#This Row],[Coverage]],CoverageTable[Coverage],0))</f>
        <v>Yes</v>
      </c>
      <c r="P269" t="str">
        <f>INDEX(CoverageTable[Coverage Limit Applies],MATCH(Table18[[#This Row],[Coverage]],CoverageTable[Coverage],0))</f>
        <v>No</v>
      </c>
      <c r="Q269" t="s">
        <v>78</v>
      </c>
      <c r="R269" t="s">
        <v>10</v>
      </c>
      <c r="S269" t="s">
        <v>10</v>
      </c>
      <c r="T269" t="s">
        <v>10</v>
      </c>
      <c r="U269" t="s">
        <v>57</v>
      </c>
      <c r="V269" t="s">
        <v>10</v>
      </c>
      <c r="W269" t="s">
        <v>10</v>
      </c>
    </row>
    <row r="270" spans="1:23" x14ac:dyDescent="0.3">
      <c r="A270" t="s">
        <v>361</v>
      </c>
      <c r="B270" s="7">
        <v>45818</v>
      </c>
      <c r="C270" t="s">
        <v>70</v>
      </c>
      <c r="D270" t="s">
        <v>1098</v>
      </c>
      <c r="E270" s="3">
        <v>6</v>
      </c>
      <c r="F270" s="3">
        <v>3</v>
      </c>
      <c r="G270" t="s">
        <v>10</v>
      </c>
      <c r="H270" t="s">
        <v>1107</v>
      </c>
      <c r="I270" t="s">
        <v>28</v>
      </c>
      <c r="J270" t="s">
        <v>52</v>
      </c>
      <c r="K270" t="s">
        <v>10</v>
      </c>
      <c r="L270" t="s">
        <v>10</v>
      </c>
      <c r="M270" t="s">
        <v>10</v>
      </c>
      <c r="N270" t="s">
        <v>10</v>
      </c>
      <c r="O270" t="str">
        <f>INDEX(CoverageTable[Deductible Applies],MATCH(Table18[[#This Row],[Coverage]],CoverageTable[Coverage],0))</f>
        <v>No</v>
      </c>
      <c r="P270" t="str">
        <f>INDEX(CoverageTable[Coverage Limit Applies],MATCH(Table18[[#This Row],[Coverage]],CoverageTable[Coverage],0))</f>
        <v>Yes</v>
      </c>
      <c r="Q270" t="s">
        <v>10</v>
      </c>
      <c r="R270" t="s">
        <v>79</v>
      </c>
      <c r="S270" t="s">
        <v>57</v>
      </c>
      <c r="T270" t="s">
        <v>10</v>
      </c>
      <c r="U270" t="s">
        <v>57</v>
      </c>
      <c r="V270" t="s">
        <v>10</v>
      </c>
      <c r="W270" t="s">
        <v>10</v>
      </c>
    </row>
    <row r="271" spans="1:23" x14ac:dyDescent="0.3">
      <c r="A271" t="s">
        <v>362</v>
      </c>
      <c r="B271" s="7">
        <v>46054</v>
      </c>
      <c r="C271" t="s">
        <v>74</v>
      </c>
      <c r="D271" t="s">
        <v>1097</v>
      </c>
      <c r="E271" s="3" t="s">
        <v>1103</v>
      </c>
      <c r="F271" s="3">
        <v>0</v>
      </c>
      <c r="G271" t="s">
        <v>10</v>
      </c>
      <c r="H271" t="s">
        <v>1110</v>
      </c>
      <c r="I271" t="s">
        <v>41</v>
      </c>
      <c r="J271" t="s">
        <v>48</v>
      </c>
      <c r="K271" t="s">
        <v>10</v>
      </c>
      <c r="L271" t="s">
        <v>10</v>
      </c>
      <c r="M271" t="s">
        <v>10</v>
      </c>
      <c r="N271" t="s">
        <v>10</v>
      </c>
      <c r="O271" t="str">
        <f>INDEX(CoverageTable[Deductible Applies],MATCH(Table18[[#This Row],[Coverage]],CoverageTable[Coverage],0))</f>
        <v>No</v>
      </c>
      <c r="P271" t="str">
        <f>INDEX(CoverageTable[Coverage Limit Applies],MATCH(Table18[[#This Row],[Coverage]],CoverageTable[Coverage],0))</f>
        <v>Yes</v>
      </c>
      <c r="Q271" t="s">
        <v>10</v>
      </c>
      <c r="R271" t="s">
        <v>80</v>
      </c>
      <c r="S271" t="s">
        <v>10</v>
      </c>
      <c r="T271" t="s">
        <v>57</v>
      </c>
      <c r="U271" t="s">
        <v>10</v>
      </c>
      <c r="V271" t="s">
        <v>10</v>
      </c>
      <c r="W271" t="s">
        <v>10</v>
      </c>
    </row>
    <row r="272" spans="1:23" x14ac:dyDescent="0.3">
      <c r="A272" t="s">
        <v>363</v>
      </c>
      <c r="B272" s="7">
        <v>46101</v>
      </c>
      <c r="C272" t="s">
        <v>70</v>
      </c>
      <c r="D272" t="s">
        <v>1101</v>
      </c>
      <c r="E272" s="3">
        <v>6</v>
      </c>
      <c r="F272" s="3">
        <v>1</v>
      </c>
      <c r="G272" t="s">
        <v>13</v>
      </c>
      <c r="H272" t="s">
        <v>1110</v>
      </c>
      <c r="I272" t="s">
        <v>21</v>
      </c>
      <c r="J272" t="s">
        <v>51</v>
      </c>
      <c r="K272" t="s">
        <v>10</v>
      </c>
      <c r="L272" t="s">
        <v>10</v>
      </c>
      <c r="M272" t="s">
        <v>10</v>
      </c>
      <c r="N272" t="s">
        <v>57</v>
      </c>
      <c r="O272" t="str">
        <f>INDEX(CoverageTable[Deductible Applies],MATCH(Table18[[#This Row],[Coverage]],CoverageTable[Coverage],0))</f>
        <v>No</v>
      </c>
      <c r="P272" t="str">
        <f>INDEX(CoverageTable[Coverage Limit Applies],MATCH(Table18[[#This Row],[Coverage]],CoverageTable[Coverage],0))</f>
        <v>Yes</v>
      </c>
      <c r="Q272" t="s">
        <v>10</v>
      </c>
      <c r="R272" t="s">
        <v>78</v>
      </c>
      <c r="S272" t="s">
        <v>57</v>
      </c>
      <c r="T272" t="s">
        <v>10</v>
      </c>
      <c r="U272" t="s">
        <v>10</v>
      </c>
      <c r="V272" t="s">
        <v>10</v>
      </c>
      <c r="W272" t="s">
        <v>57</v>
      </c>
    </row>
    <row r="273" spans="1:23" x14ac:dyDescent="0.3">
      <c r="A273" t="s">
        <v>364</v>
      </c>
      <c r="B273" s="7">
        <v>45958</v>
      </c>
      <c r="C273" t="s">
        <v>73</v>
      </c>
      <c r="D273" t="s">
        <v>1098</v>
      </c>
      <c r="E273" s="3">
        <v>7</v>
      </c>
      <c r="F273" s="3">
        <v>1</v>
      </c>
      <c r="G273" t="s">
        <v>13</v>
      </c>
      <c r="H273" t="s">
        <v>1108</v>
      </c>
      <c r="I273" t="s">
        <v>27</v>
      </c>
      <c r="J273" t="s">
        <v>53</v>
      </c>
      <c r="K273" t="s">
        <v>57</v>
      </c>
      <c r="L273" t="s">
        <v>10</v>
      </c>
      <c r="M273" t="s">
        <v>57</v>
      </c>
      <c r="N273" t="s">
        <v>57</v>
      </c>
      <c r="O273" t="str">
        <f>INDEX(CoverageTable[Deductible Applies],MATCH(Table18[[#This Row],[Coverage]],CoverageTable[Coverage],0))</f>
        <v>No</v>
      </c>
      <c r="P273" t="str">
        <f>INDEX(CoverageTable[Coverage Limit Applies],MATCH(Table18[[#This Row],[Coverage]],CoverageTable[Coverage],0))</f>
        <v>Yes</v>
      </c>
      <c r="Q273" t="s">
        <v>10</v>
      </c>
      <c r="R273" t="s">
        <v>80</v>
      </c>
      <c r="S273" t="s">
        <v>10</v>
      </c>
      <c r="T273" t="s">
        <v>57</v>
      </c>
      <c r="U273" t="s">
        <v>10</v>
      </c>
      <c r="V273" t="s">
        <v>10</v>
      </c>
      <c r="W273" t="s">
        <v>10</v>
      </c>
    </row>
    <row r="274" spans="1:23" x14ac:dyDescent="0.3">
      <c r="A274" t="s">
        <v>365</v>
      </c>
      <c r="B274" s="7">
        <v>46074</v>
      </c>
      <c r="C274" t="s">
        <v>70</v>
      </c>
      <c r="D274" t="s">
        <v>1102</v>
      </c>
      <c r="E274" s="3">
        <v>4</v>
      </c>
      <c r="F274" s="3">
        <v>1</v>
      </c>
      <c r="G274" t="s">
        <v>12</v>
      </c>
      <c r="H274" t="s">
        <v>1107</v>
      </c>
      <c r="I274" t="s">
        <v>26</v>
      </c>
      <c r="J274" t="s">
        <v>54</v>
      </c>
      <c r="K274" t="s">
        <v>10</v>
      </c>
      <c r="L274" t="s">
        <v>10</v>
      </c>
      <c r="M274" t="s">
        <v>10</v>
      </c>
      <c r="N274" t="s">
        <v>10</v>
      </c>
      <c r="O274" t="str">
        <f>INDEX(CoverageTable[Deductible Applies],MATCH(Table18[[#This Row],[Coverage]],CoverageTable[Coverage],0))</f>
        <v>No</v>
      </c>
      <c r="P274" t="str">
        <f>INDEX(CoverageTable[Coverage Limit Applies],MATCH(Table18[[#This Row],[Coverage]],CoverageTable[Coverage],0))</f>
        <v>Yes</v>
      </c>
      <c r="Q274" t="s">
        <v>10</v>
      </c>
      <c r="R274" t="s">
        <v>79</v>
      </c>
      <c r="S274" t="s">
        <v>10</v>
      </c>
      <c r="T274" t="s">
        <v>10</v>
      </c>
      <c r="U274" t="s">
        <v>57</v>
      </c>
      <c r="V274" t="s">
        <v>10</v>
      </c>
      <c r="W274" t="s">
        <v>10</v>
      </c>
    </row>
    <row r="275" spans="1:23" x14ac:dyDescent="0.3">
      <c r="A275" t="s">
        <v>366</v>
      </c>
      <c r="B275" s="7">
        <v>46092</v>
      </c>
      <c r="C275" t="s">
        <v>71</v>
      </c>
      <c r="D275" t="s">
        <v>1098</v>
      </c>
      <c r="E275" s="3">
        <v>6</v>
      </c>
      <c r="F275" s="3" t="s">
        <v>7</v>
      </c>
      <c r="G275" t="s">
        <v>11</v>
      </c>
      <c r="H275" t="s">
        <v>1109</v>
      </c>
      <c r="I275" t="s">
        <v>39</v>
      </c>
      <c r="J275" t="s">
        <v>52</v>
      </c>
      <c r="K275" t="s">
        <v>10</v>
      </c>
      <c r="L275" t="s">
        <v>57</v>
      </c>
      <c r="M275" t="s">
        <v>10</v>
      </c>
      <c r="N275" t="s">
        <v>57</v>
      </c>
      <c r="O275" t="str">
        <f>INDEX(CoverageTable[Deductible Applies],MATCH(Table18[[#This Row],[Coverage]],CoverageTable[Coverage],0))</f>
        <v>Yes</v>
      </c>
      <c r="P275" t="str">
        <f>INDEX(CoverageTable[Coverage Limit Applies],MATCH(Table18[[#This Row],[Coverage]],CoverageTable[Coverage],0))</f>
        <v>No</v>
      </c>
      <c r="Q275" t="s">
        <v>79</v>
      </c>
      <c r="R275" t="s">
        <v>10</v>
      </c>
      <c r="S275" t="s">
        <v>10</v>
      </c>
      <c r="T275" t="s">
        <v>10</v>
      </c>
      <c r="U275" t="s">
        <v>57</v>
      </c>
      <c r="V275" t="s">
        <v>10</v>
      </c>
      <c r="W275" t="s">
        <v>10</v>
      </c>
    </row>
    <row r="276" spans="1:23" x14ac:dyDescent="0.3">
      <c r="A276" t="s">
        <v>367</v>
      </c>
      <c r="B276" s="7">
        <v>45838</v>
      </c>
      <c r="C276" t="s">
        <v>70</v>
      </c>
      <c r="D276" t="s">
        <v>1098</v>
      </c>
      <c r="E276" s="3">
        <v>2</v>
      </c>
      <c r="F276" s="3">
        <v>0</v>
      </c>
      <c r="G276" t="s">
        <v>10</v>
      </c>
      <c r="H276" t="s">
        <v>1109</v>
      </c>
      <c r="I276" t="s">
        <v>30</v>
      </c>
      <c r="J276" t="s">
        <v>51</v>
      </c>
      <c r="K276" t="s">
        <v>10</v>
      </c>
      <c r="L276" t="s">
        <v>10</v>
      </c>
      <c r="M276" t="s">
        <v>10</v>
      </c>
      <c r="N276" t="s">
        <v>10</v>
      </c>
      <c r="O276" t="str">
        <f>INDEX(CoverageTable[Deductible Applies],MATCH(Table18[[#This Row],[Coverage]],CoverageTable[Coverage],0))</f>
        <v>No</v>
      </c>
      <c r="P276" t="str">
        <f>INDEX(CoverageTable[Coverage Limit Applies],MATCH(Table18[[#This Row],[Coverage]],CoverageTable[Coverage],0))</f>
        <v>Yes</v>
      </c>
      <c r="Q276" t="s">
        <v>10</v>
      </c>
      <c r="R276" t="s">
        <v>80</v>
      </c>
      <c r="S276" t="s">
        <v>10</v>
      </c>
      <c r="T276" t="s">
        <v>10</v>
      </c>
      <c r="U276" t="s">
        <v>57</v>
      </c>
      <c r="V276" t="s">
        <v>57</v>
      </c>
      <c r="W276" t="s">
        <v>10</v>
      </c>
    </row>
    <row r="277" spans="1:23" x14ac:dyDescent="0.3">
      <c r="A277" t="s">
        <v>368</v>
      </c>
      <c r="B277" s="7">
        <v>45891</v>
      </c>
      <c r="C277" t="s">
        <v>73</v>
      </c>
      <c r="D277" t="s">
        <v>1102</v>
      </c>
      <c r="E277" s="3">
        <v>2</v>
      </c>
      <c r="F277" s="3">
        <v>0</v>
      </c>
      <c r="G277" t="s">
        <v>11</v>
      </c>
      <c r="H277" t="s">
        <v>1107</v>
      </c>
      <c r="I277" t="s">
        <v>26</v>
      </c>
      <c r="J277" t="s">
        <v>51</v>
      </c>
      <c r="K277" t="s">
        <v>10</v>
      </c>
      <c r="L277" t="s">
        <v>10</v>
      </c>
      <c r="M277" t="s">
        <v>10</v>
      </c>
      <c r="N277" t="s">
        <v>10</v>
      </c>
      <c r="O277" t="str">
        <f>INDEX(CoverageTable[Deductible Applies],MATCH(Table18[[#This Row],[Coverage]],CoverageTable[Coverage],0))</f>
        <v>No</v>
      </c>
      <c r="P277" t="str">
        <f>INDEX(CoverageTable[Coverage Limit Applies],MATCH(Table18[[#This Row],[Coverage]],CoverageTable[Coverage],0))</f>
        <v>Yes</v>
      </c>
      <c r="Q277" t="s">
        <v>10</v>
      </c>
      <c r="R277" t="s">
        <v>80</v>
      </c>
      <c r="S277" t="s">
        <v>10</v>
      </c>
      <c r="T277" t="s">
        <v>10</v>
      </c>
      <c r="U277" t="s">
        <v>10</v>
      </c>
      <c r="V277" t="s">
        <v>10</v>
      </c>
      <c r="W277" t="s">
        <v>10</v>
      </c>
    </row>
    <row r="278" spans="1:23" x14ac:dyDescent="0.3">
      <c r="A278" t="s">
        <v>369</v>
      </c>
      <c r="B278" s="7">
        <v>45917</v>
      </c>
      <c r="C278" t="s">
        <v>72</v>
      </c>
      <c r="D278" t="s">
        <v>1099</v>
      </c>
      <c r="E278" s="3">
        <v>5</v>
      </c>
      <c r="F278" s="3">
        <v>1</v>
      </c>
      <c r="G278" t="s">
        <v>11</v>
      </c>
      <c r="H278" t="s">
        <v>1107</v>
      </c>
      <c r="I278" t="s">
        <v>35</v>
      </c>
      <c r="J278" t="s">
        <v>50</v>
      </c>
      <c r="K278" t="s">
        <v>10</v>
      </c>
      <c r="L278" t="s">
        <v>57</v>
      </c>
      <c r="M278" t="s">
        <v>10</v>
      </c>
      <c r="N278" t="s">
        <v>10</v>
      </c>
      <c r="O278" t="str">
        <f>INDEX(CoverageTable[Deductible Applies],MATCH(Table18[[#This Row],[Coverage]],CoverageTable[Coverage],0))</f>
        <v>Yes</v>
      </c>
      <c r="P278" t="str">
        <f>INDEX(CoverageTable[Coverage Limit Applies],MATCH(Table18[[#This Row],[Coverage]],CoverageTable[Coverage],0))</f>
        <v>No</v>
      </c>
      <c r="Q278" t="s">
        <v>80</v>
      </c>
      <c r="R278" t="s">
        <v>10</v>
      </c>
      <c r="S278" t="s">
        <v>10</v>
      </c>
      <c r="T278" t="s">
        <v>10</v>
      </c>
      <c r="U278" t="s">
        <v>10</v>
      </c>
      <c r="V278" t="s">
        <v>10</v>
      </c>
      <c r="W278" t="s">
        <v>10</v>
      </c>
    </row>
    <row r="279" spans="1:23" x14ac:dyDescent="0.3">
      <c r="A279" t="s">
        <v>370</v>
      </c>
      <c r="B279" s="7">
        <v>45948</v>
      </c>
      <c r="C279" t="s">
        <v>71</v>
      </c>
      <c r="D279" t="s">
        <v>1101</v>
      </c>
      <c r="E279" s="3">
        <v>7</v>
      </c>
      <c r="F279" s="3">
        <v>1</v>
      </c>
      <c r="G279" t="s">
        <v>10</v>
      </c>
      <c r="H279" t="s">
        <v>1109</v>
      </c>
      <c r="I279" t="s">
        <v>33</v>
      </c>
      <c r="J279" t="s">
        <v>50</v>
      </c>
      <c r="K279" t="s">
        <v>10</v>
      </c>
      <c r="L279" t="s">
        <v>10</v>
      </c>
      <c r="M279" t="s">
        <v>10</v>
      </c>
      <c r="N279" t="s">
        <v>10</v>
      </c>
      <c r="O279" t="str">
        <f>INDEX(CoverageTable[Deductible Applies],MATCH(Table18[[#This Row],[Coverage]],CoverageTable[Coverage],0))</f>
        <v>Yes</v>
      </c>
      <c r="P279" t="str">
        <f>INDEX(CoverageTable[Coverage Limit Applies],MATCH(Table18[[#This Row],[Coverage]],CoverageTable[Coverage],0))</f>
        <v>No</v>
      </c>
      <c r="Q279" t="s">
        <v>79</v>
      </c>
      <c r="R279" t="s">
        <v>10</v>
      </c>
      <c r="S279" t="s">
        <v>57</v>
      </c>
      <c r="T279" t="s">
        <v>57</v>
      </c>
      <c r="U279" t="s">
        <v>10</v>
      </c>
      <c r="V279" t="s">
        <v>10</v>
      </c>
      <c r="W279" t="s">
        <v>10</v>
      </c>
    </row>
    <row r="280" spans="1:23" x14ac:dyDescent="0.3">
      <c r="A280" t="s">
        <v>371</v>
      </c>
      <c r="B280" s="7">
        <v>45967</v>
      </c>
      <c r="C280" t="s">
        <v>70</v>
      </c>
      <c r="D280" t="s">
        <v>1101</v>
      </c>
      <c r="E280" s="3">
        <v>3</v>
      </c>
      <c r="F280" s="3">
        <v>0</v>
      </c>
      <c r="G280" t="s">
        <v>10</v>
      </c>
      <c r="H280" t="s">
        <v>1109</v>
      </c>
      <c r="I280" t="s">
        <v>28</v>
      </c>
      <c r="J280" t="s">
        <v>48</v>
      </c>
      <c r="K280" t="s">
        <v>10</v>
      </c>
      <c r="L280" t="s">
        <v>57</v>
      </c>
      <c r="M280" t="s">
        <v>10</v>
      </c>
      <c r="N280" t="s">
        <v>10</v>
      </c>
      <c r="O280" t="str">
        <f>INDEX(CoverageTable[Deductible Applies],MATCH(Table18[[#This Row],[Coverage]],CoverageTable[Coverage],0))</f>
        <v>No</v>
      </c>
      <c r="P280" t="str">
        <f>INDEX(CoverageTable[Coverage Limit Applies],MATCH(Table18[[#This Row],[Coverage]],CoverageTable[Coverage],0))</f>
        <v>Yes</v>
      </c>
      <c r="Q280" t="s">
        <v>10</v>
      </c>
      <c r="R280" t="s">
        <v>79</v>
      </c>
      <c r="S280" t="s">
        <v>10</v>
      </c>
      <c r="T280" t="s">
        <v>10</v>
      </c>
      <c r="U280" t="s">
        <v>57</v>
      </c>
      <c r="V280" t="s">
        <v>10</v>
      </c>
      <c r="W280" t="s">
        <v>10</v>
      </c>
    </row>
    <row r="281" spans="1:23" x14ac:dyDescent="0.3">
      <c r="A281" t="s">
        <v>372</v>
      </c>
      <c r="B281" s="7">
        <v>46115</v>
      </c>
      <c r="C281" t="s">
        <v>72</v>
      </c>
      <c r="D281" t="s">
        <v>1101</v>
      </c>
      <c r="E281" s="3" t="s">
        <v>1103</v>
      </c>
      <c r="F281" s="3">
        <v>0</v>
      </c>
      <c r="G281" t="s">
        <v>10</v>
      </c>
      <c r="H281" t="s">
        <v>1107</v>
      </c>
      <c r="I281" t="s">
        <v>30</v>
      </c>
      <c r="J281" t="s">
        <v>51</v>
      </c>
      <c r="K281" t="s">
        <v>10</v>
      </c>
      <c r="L281" t="s">
        <v>10</v>
      </c>
      <c r="M281" t="s">
        <v>10</v>
      </c>
      <c r="N281" t="s">
        <v>10</v>
      </c>
      <c r="O281" t="str">
        <f>INDEX(CoverageTable[Deductible Applies],MATCH(Table18[[#This Row],[Coverage]],CoverageTable[Coverage],0))</f>
        <v>Yes</v>
      </c>
      <c r="P281" t="str">
        <f>INDEX(CoverageTable[Coverage Limit Applies],MATCH(Table18[[#This Row],[Coverage]],CoverageTable[Coverage],0))</f>
        <v>No</v>
      </c>
      <c r="Q281" t="s">
        <v>80</v>
      </c>
      <c r="R281" t="s">
        <v>10</v>
      </c>
      <c r="S281" t="s">
        <v>10</v>
      </c>
      <c r="T281" t="s">
        <v>10</v>
      </c>
      <c r="U281" t="s">
        <v>10</v>
      </c>
      <c r="V281" t="s">
        <v>57</v>
      </c>
      <c r="W281" t="s">
        <v>10</v>
      </c>
    </row>
    <row r="282" spans="1:23" x14ac:dyDescent="0.3">
      <c r="A282" t="s">
        <v>373</v>
      </c>
      <c r="B282" s="7">
        <v>46019</v>
      </c>
      <c r="C282" t="s">
        <v>71</v>
      </c>
      <c r="D282" t="s">
        <v>1102</v>
      </c>
      <c r="E282" s="3">
        <v>5</v>
      </c>
      <c r="F282" s="3">
        <v>0</v>
      </c>
      <c r="G282" t="s">
        <v>12</v>
      </c>
      <c r="H282" t="s">
        <v>1107</v>
      </c>
      <c r="I282" t="s">
        <v>36</v>
      </c>
      <c r="J282" t="s">
        <v>48</v>
      </c>
      <c r="K282" t="s">
        <v>10</v>
      </c>
      <c r="L282" t="s">
        <v>10</v>
      </c>
      <c r="M282" t="s">
        <v>57</v>
      </c>
      <c r="N282" t="s">
        <v>10</v>
      </c>
      <c r="O282" t="str">
        <f>INDEX(CoverageTable[Deductible Applies],MATCH(Table18[[#This Row],[Coverage]],CoverageTable[Coverage],0))</f>
        <v>Yes</v>
      </c>
      <c r="P282" t="str">
        <f>INDEX(CoverageTable[Coverage Limit Applies],MATCH(Table18[[#This Row],[Coverage]],CoverageTable[Coverage],0))</f>
        <v>No</v>
      </c>
      <c r="Q282" t="s">
        <v>80</v>
      </c>
      <c r="R282" t="s">
        <v>10</v>
      </c>
      <c r="S282" t="s">
        <v>10</v>
      </c>
      <c r="T282" t="s">
        <v>10</v>
      </c>
      <c r="U282" t="s">
        <v>10</v>
      </c>
      <c r="V282" t="s">
        <v>10</v>
      </c>
      <c r="W282" t="s">
        <v>10</v>
      </c>
    </row>
    <row r="283" spans="1:23" x14ac:dyDescent="0.3">
      <c r="A283" t="s">
        <v>374</v>
      </c>
      <c r="B283" s="7">
        <v>45985</v>
      </c>
      <c r="C283" t="s">
        <v>71</v>
      </c>
      <c r="D283" t="s">
        <v>1098</v>
      </c>
      <c r="E283" s="3" t="s">
        <v>1103</v>
      </c>
      <c r="F283" s="3">
        <v>0</v>
      </c>
      <c r="G283" t="s">
        <v>13</v>
      </c>
      <c r="H283" t="s">
        <v>1108</v>
      </c>
      <c r="I283" t="s">
        <v>42</v>
      </c>
      <c r="J283" t="s">
        <v>54</v>
      </c>
      <c r="K283" t="s">
        <v>10</v>
      </c>
      <c r="L283" t="s">
        <v>10</v>
      </c>
      <c r="M283" t="s">
        <v>10</v>
      </c>
      <c r="N283" t="s">
        <v>57</v>
      </c>
      <c r="O283" t="str">
        <f>INDEX(CoverageTable[Deductible Applies],MATCH(Table18[[#This Row],[Coverage]],CoverageTable[Coverage],0))</f>
        <v>Yes</v>
      </c>
      <c r="P283" t="str">
        <f>INDEX(CoverageTable[Coverage Limit Applies],MATCH(Table18[[#This Row],[Coverage]],CoverageTable[Coverage],0))</f>
        <v>No</v>
      </c>
      <c r="Q283" t="s">
        <v>79</v>
      </c>
      <c r="R283" t="s">
        <v>10</v>
      </c>
      <c r="S283" t="s">
        <v>10</v>
      </c>
      <c r="T283" t="s">
        <v>57</v>
      </c>
      <c r="U283" t="s">
        <v>10</v>
      </c>
      <c r="V283" t="s">
        <v>57</v>
      </c>
      <c r="W283" t="s">
        <v>57</v>
      </c>
    </row>
    <row r="284" spans="1:23" x14ac:dyDescent="0.3">
      <c r="A284" t="s">
        <v>375</v>
      </c>
      <c r="B284" s="7">
        <v>45915</v>
      </c>
      <c r="C284" t="s">
        <v>70</v>
      </c>
      <c r="D284" t="s">
        <v>1100</v>
      </c>
      <c r="E284" s="3" t="s">
        <v>1103</v>
      </c>
      <c r="F284" s="3">
        <v>2</v>
      </c>
      <c r="G284" t="s">
        <v>12</v>
      </c>
      <c r="H284" t="s">
        <v>1109</v>
      </c>
      <c r="I284" t="s">
        <v>34</v>
      </c>
      <c r="J284" t="s">
        <v>53</v>
      </c>
      <c r="K284" t="s">
        <v>10</v>
      </c>
      <c r="L284" t="s">
        <v>57</v>
      </c>
      <c r="M284" t="s">
        <v>57</v>
      </c>
      <c r="N284" t="s">
        <v>57</v>
      </c>
      <c r="O284" t="str">
        <f>INDEX(CoverageTable[Deductible Applies],MATCH(Table18[[#This Row],[Coverage]],CoverageTable[Coverage],0))</f>
        <v>No</v>
      </c>
      <c r="P284" t="str">
        <f>INDEX(CoverageTable[Coverage Limit Applies],MATCH(Table18[[#This Row],[Coverage]],CoverageTable[Coverage],0))</f>
        <v>Yes</v>
      </c>
      <c r="Q284" t="s">
        <v>10</v>
      </c>
      <c r="R284" t="s">
        <v>78</v>
      </c>
      <c r="S284" t="s">
        <v>57</v>
      </c>
      <c r="T284" t="s">
        <v>10</v>
      </c>
      <c r="U284" t="s">
        <v>10</v>
      </c>
      <c r="V284" t="s">
        <v>10</v>
      </c>
      <c r="W284" t="s">
        <v>10</v>
      </c>
    </row>
    <row r="285" spans="1:23" x14ac:dyDescent="0.3">
      <c r="A285" t="s">
        <v>376</v>
      </c>
      <c r="B285" s="7">
        <v>45927</v>
      </c>
      <c r="C285" t="s">
        <v>72</v>
      </c>
      <c r="D285" t="s">
        <v>1098</v>
      </c>
      <c r="E285" s="3">
        <v>2</v>
      </c>
      <c r="F285" s="3">
        <v>1</v>
      </c>
      <c r="G285" t="s">
        <v>10</v>
      </c>
      <c r="H285" t="s">
        <v>1109</v>
      </c>
      <c r="I285" t="s">
        <v>35</v>
      </c>
      <c r="J285" t="s">
        <v>49</v>
      </c>
      <c r="K285" t="s">
        <v>10</v>
      </c>
      <c r="L285" t="s">
        <v>10</v>
      </c>
      <c r="M285" t="s">
        <v>10</v>
      </c>
      <c r="N285" t="s">
        <v>10</v>
      </c>
      <c r="O285" t="str">
        <f>INDEX(CoverageTable[Deductible Applies],MATCH(Table18[[#This Row],[Coverage]],CoverageTable[Coverage],0))</f>
        <v>Yes</v>
      </c>
      <c r="P285" t="str">
        <f>INDEX(CoverageTable[Coverage Limit Applies],MATCH(Table18[[#This Row],[Coverage]],CoverageTable[Coverage],0))</f>
        <v>No</v>
      </c>
      <c r="Q285" t="s">
        <v>78</v>
      </c>
      <c r="R285" t="s">
        <v>10</v>
      </c>
      <c r="S285" t="s">
        <v>10</v>
      </c>
      <c r="T285" t="s">
        <v>57</v>
      </c>
      <c r="U285" t="s">
        <v>57</v>
      </c>
      <c r="V285" t="s">
        <v>10</v>
      </c>
      <c r="W285" t="s">
        <v>10</v>
      </c>
    </row>
    <row r="286" spans="1:23" x14ac:dyDescent="0.3">
      <c r="A286" t="s">
        <v>377</v>
      </c>
      <c r="B286" s="7">
        <v>46044</v>
      </c>
      <c r="C286" t="s">
        <v>73</v>
      </c>
      <c r="D286" t="s">
        <v>1097</v>
      </c>
      <c r="E286" s="3">
        <v>3</v>
      </c>
      <c r="F286" s="3">
        <v>1</v>
      </c>
      <c r="G286" t="s">
        <v>11</v>
      </c>
      <c r="H286" t="s">
        <v>1110</v>
      </c>
      <c r="I286" t="s">
        <v>37</v>
      </c>
      <c r="J286" t="s">
        <v>51</v>
      </c>
      <c r="K286" t="s">
        <v>10</v>
      </c>
      <c r="L286" t="s">
        <v>57</v>
      </c>
      <c r="M286" t="s">
        <v>10</v>
      </c>
      <c r="N286" t="s">
        <v>57</v>
      </c>
      <c r="O286" t="str">
        <f>INDEX(CoverageTable[Deductible Applies],MATCH(Table18[[#This Row],[Coverage]],CoverageTable[Coverage],0))</f>
        <v>No</v>
      </c>
      <c r="P286" t="str">
        <f>INDEX(CoverageTable[Coverage Limit Applies],MATCH(Table18[[#This Row],[Coverage]],CoverageTable[Coverage],0))</f>
        <v>Yes</v>
      </c>
      <c r="Q286" t="s">
        <v>10</v>
      </c>
      <c r="R286" t="s">
        <v>78</v>
      </c>
      <c r="S286" t="s">
        <v>10</v>
      </c>
      <c r="T286" t="s">
        <v>57</v>
      </c>
      <c r="U286" t="s">
        <v>10</v>
      </c>
      <c r="V286" t="s">
        <v>10</v>
      </c>
      <c r="W286" t="s">
        <v>10</v>
      </c>
    </row>
    <row r="287" spans="1:23" x14ac:dyDescent="0.3">
      <c r="A287" t="s">
        <v>378</v>
      </c>
      <c r="B287" s="7">
        <v>45982</v>
      </c>
      <c r="C287" t="s">
        <v>72</v>
      </c>
      <c r="D287" t="s">
        <v>1102</v>
      </c>
      <c r="E287" s="3">
        <v>5</v>
      </c>
      <c r="F287" s="3">
        <v>1</v>
      </c>
      <c r="G287" t="s">
        <v>11</v>
      </c>
      <c r="H287" t="s">
        <v>1109</v>
      </c>
      <c r="I287" t="s">
        <v>38</v>
      </c>
      <c r="J287" t="s">
        <v>49</v>
      </c>
      <c r="K287" t="s">
        <v>10</v>
      </c>
      <c r="L287" t="s">
        <v>10</v>
      </c>
      <c r="M287" t="s">
        <v>10</v>
      </c>
      <c r="N287" t="s">
        <v>10</v>
      </c>
      <c r="O287" t="str">
        <f>INDEX(CoverageTable[Deductible Applies],MATCH(Table18[[#This Row],[Coverage]],CoverageTable[Coverage],0))</f>
        <v>Yes</v>
      </c>
      <c r="P287" t="str">
        <f>INDEX(CoverageTable[Coverage Limit Applies],MATCH(Table18[[#This Row],[Coverage]],CoverageTable[Coverage],0))</f>
        <v>No</v>
      </c>
      <c r="Q287" t="s">
        <v>78</v>
      </c>
      <c r="R287" t="s">
        <v>10</v>
      </c>
      <c r="S287" t="s">
        <v>10</v>
      </c>
      <c r="T287" t="s">
        <v>10</v>
      </c>
      <c r="U287" t="s">
        <v>10</v>
      </c>
      <c r="V287" t="s">
        <v>10</v>
      </c>
      <c r="W287" t="s">
        <v>10</v>
      </c>
    </row>
    <row r="288" spans="1:23" x14ac:dyDescent="0.3">
      <c r="A288" t="s">
        <v>379</v>
      </c>
      <c r="B288" s="7">
        <v>45919</v>
      </c>
      <c r="C288" t="s">
        <v>71</v>
      </c>
      <c r="D288" t="s">
        <v>1100</v>
      </c>
      <c r="E288" s="3">
        <v>2</v>
      </c>
      <c r="F288" s="3" t="s">
        <v>7</v>
      </c>
      <c r="G288" t="s">
        <v>13</v>
      </c>
      <c r="H288" t="s">
        <v>1106</v>
      </c>
      <c r="I288" t="s">
        <v>35</v>
      </c>
      <c r="J288" t="s">
        <v>49</v>
      </c>
      <c r="K288" t="s">
        <v>10</v>
      </c>
      <c r="L288" t="s">
        <v>10</v>
      </c>
      <c r="M288" t="s">
        <v>10</v>
      </c>
      <c r="N288" t="s">
        <v>10</v>
      </c>
      <c r="O288" t="str">
        <f>INDEX(CoverageTable[Deductible Applies],MATCH(Table18[[#This Row],[Coverage]],CoverageTable[Coverage],0))</f>
        <v>Yes</v>
      </c>
      <c r="P288" t="str">
        <f>INDEX(CoverageTable[Coverage Limit Applies],MATCH(Table18[[#This Row],[Coverage]],CoverageTable[Coverage],0))</f>
        <v>No</v>
      </c>
      <c r="Q288" t="s">
        <v>78</v>
      </c>
      <c r="R288" t="s">
        <v>10</v>
      </c>
      <c r="S288" t="s">
        <v>10</v>
      </c>
      <c r="T288" t="s">
        <v>57</v>
      </c>
      <c r="U288" t="s">
        <v>10</v>
      </c>
      <c r="V288" t="s">
        <v>10</v>
      </c>
      <c r="W288" t="s">
        <v>57</v>
      </c>
    </row>
    <row r="289" spans="1:23" x14ac:dyDescent="0.3">
      <c r="A289" t="s">
        <v>380</v>
      </c>
      <c r="B289" s="7">
        <v>46095</v>
      </c>
      <c r="C289" t="s">
        <v>71</v>
      </c>
      <c r="D289" t="s">
        <v>1100</v>
      </c>
      <c r="E289" s="3">
        <v>2</v>
      </c>
      <c r="F289" s="3">
        <v>0</v>
      </c>
      <c r="G289" t="s">
        <v>10</v>
      </c>
      <c r="H289" t="s">
        <v>1108</v>
      </c>
      <c r="I289" t="s">
        <v>38</v>
      </c>
      <c r="J289" t="s">
        <v>51</v>
      </c>
      <c r="K289" t="s">
        <v>10</v>
      </c>
      <c r="L289" t="s">
        <v>10</v>
      </c>
      <c r="M289" t="s">
        <v>10</v>
      </c>
      <c r="N289" t="s">
        <v>10</v>
      </c>
      <c r="O289" t="str">
        <f>INDEX(CoverageTable[Deductible Applies],MATCH(Table18[[#This Row],[Coverage]],CoverageTable[Coverage],0))</f>
        <v>Yes</v>
      </c>
      <c r="P289" t="str">
        <f>INDEX(CoverageTable[Coverage Limit Applies],MATCH(Table18[[#This Row],[Coverage]],CoverageTable[Coverage],0))</f>
        <v>No</v>
      </c>
      <c r="Q289" t="s">
        <v>78</v>
      </c>
      <c r="R289" t="s">
        <v>10</v>
      </c>
      <c r="S289" t="s">
        <v>10</v>
      </c>
      <c r="T289" t="s">
        <v>10</v>
      </c>
      <c r="U289" t="s">
        <v>57</v>
      </c>
      <c r="V289" t="s">
        <v>10</v>
      </c>
      <c r="W289" t="s">
        <v>57</v>
      </c>
    </row>
    <row r="290" spans="1:23" x14ac:dyDescent="0.3">
      <c r="A290" t="s">
        <v>381</v>
      </c>
      <c r="B290" s="7">
        <v>45951</v>
      </c>
      <c r="C290" t="s">
        <v>74</v>
      </c>
      <c r="D290" t="s">
        <v>1100</v>
      </c>
      <c r="E290" s="3">
        <v>2</v>
      </c>
      <c r="F290" s="3">
        <v>0</v>
      </c>
      <c r="G290" t="s">
        <v>12</v>
      </c>
      <c r="H290" t="s">
        <v>1109</v>
      </c>
      <c r="I290" t="s">
        <v>34</v>
      </c>
      <c r="J290" t="s">
        <v>49</v>
      </c>
      <c r="K290" t="s">
        <v>10</v>
      </c>
      <c r="L290" t="s">
        <v>10</v>
      </c>
      <c r="M290" t="s">
        <v>10</v>
      </c>
      <c r="N290" t="s">
        <v>57</v>
      </c>
      <c r="O290" t="str">
        <f>INDEX(CoverageTable[Deductible Applies],MATCH(Table18[[#This Row],[Coverage]],CoverageTable[Coverage],0))</f>
        <v>No</v>
      </c>
      <c r="P290" t="str">
        <f>INDEX(CoverageTable[Coverage Limit Applies],MATCH(Table18[[#This Row],[Coverage]],CoverageTable[Coverage],0))</f>
        <v>Yes</v>
      </c>
      <c r="Q290" t="s">
        <v>10</v>
      </c>
      <c r="R290" t="s">
        <v>80</v>
      </c>
      <c r="S290" t="s">
        <v>10</v>
      </c>
      <c r="T290" t="s">
        <v>57</v>
      </c>
      <c r="U290" t="s">
        <v>10</v>
      </c>
      <c r="V290" t="s">
        <v>10</v>
      </c>
      <c r="W290" t="s">
        <v>10</v>
      </c>
    </row>
    <row r="291" spans="1:23" x14ac:dyDescent="0.3">
      <c r="A291" t="s">
        <v>382</v>
      </c>
      <c r="B291" s="7">
        <v>45880</v>
      </c>
      <c r="C291" t="s">
        <v>72</v>
      </c>
      <c r="D291" t="s">
        <v>1102</v>
      </c>
      <c r="E291" s="3" t="s">
        <v>1103</v>
      </c>
      <c r="F291" s="3">
        <v>4</v>
      </c>
      <c r="G291" t="s">
        <v>11</v>
      </c>
      <c r="H291" t="s">
        <v>1108</v>
      </c>
      <c r="I291" t="s">
        <v>30</v>
      </c>
      <c r="J291" t="s">
        <v>49</v>
      </c>
      <c r="K291" t="s">
        <v>10</v>
      </c>
      <c r="L291" t="s">
        <v>10</v>
      </c>
      <c r="M291" t="s">
        <v>10</v>
      </c>
      <c r="N291" t="s">
        <v>10</v>
      </c>
      <c r="O291" t="str">
        <f>INDEX(CoverageTable[Deductible Applies],MATCH(Table18[[#This Row],[Coverage]],CoverageTable[Coverage],0))</f>
        <v>Yes</v>
      </c>
      <c r="P291" t="str">
        <f>INDEX(CoverageTable[Coverage Limit Applies],MATCH(Table18[[#This Row],[Coverage]],CoverageTable[Coverage],0))</f>
        <v>No</v>
      </c>
      <c r="Q291" t="s">
        <v>78</v>
      </c>
      <c r="R291" t="s">
        <v>10</v>
      </c>
      <c r="S291" t="s">
        <v>10</v>
      </c>
      <c r="T291" t="s">
        <v>10</v>
      </c>
      <c r="U291" t="s">
        <v>10</v>
      </c>
      <c r="V291" t="s">
        <v>10</v>
      </c>
      <c r="W291" t="s">
        <v>10</v>
      </c>
    </row>
    <row r="292" spans="1:23" x14ac:dyDescent="0.3">
      <c r="A292" t="s">
        <v>383</v>
      </c>
      <c r="B292" s="7">
        <v>46143</v>
      </c>
      <c r="C292" t="s">
        <v>70</v>
      </c>
      <c r="D292" t="s">
        <v>1102</v>
      </c>
      <c r="E292" s="3">
        <v>7</v>
      </c>
      <c r="F292" s="3">
        <v>0</v>
      </c>
      <c r="G292" t="s">
        <v>10</v>
      </c>
      <c r="H292" t="s">
        <v>1107</v>
      </c>
      <c r="I292" t="s">
        <v>41</v>
      </c>
      <c r="J292" t="s">
        <v>52</v>
      </c>
      <c r="K292" t="s">
        <v>10</v>
      </c>
      <c r="L292" t="s">
        <v>10</v>
      </c>
      <c r="M292" t="s">
        <v>57</v>
      </c>
      <c r="N292" t="s">
        <v>10</v>
      </c>
      <c r="O292" t="str">
        <f>INDEX(CoverageTable[Deductible Applies],MATCH(Table18[[#This Row],[Coverage]],CoverageTable[Coverage],0))</f>
        <v>No</v>
      </c>
      <c r="P292" t="str">
        <f>INDEX(CoverageTable[Coverage Limit Applies],MATCH(Table18[[#This Row],[Coverage]],CoverageTable[Coverage],0))</f>
        <v>Yes</v>
      </c>
      <c r="Q292" t="s">
        <v>10</v>
      </c>
      <c r="R292" t="s">
        <v>80</v>
      </c>
      <c r="S292" t="s">
        <v>10</v>
      </c>
      <c r="T292" t="s">
        <v>57</v>
      </c>
      <c r="U292" t="s">
        <v>57</v>
      </c>
      <c r="V292" t="s">
        <v>57</v>
      </c>
      <c r="W292" t="s">
        <v>10</v>
      </c>
    </row>
    <row r="293" spans="1:23" x14ac:dyDescent="0.3">
      <c r="A293" t="s">
        <v>384</v>
      </c>
      <c r="B293" s="7">
        <v>45974</v>
      </c>
      <c r="C293" t="s">
        <v>70</v>
      </c>
      <c r="D293" t="s">
        <v>1100</v>
      </c>
      <c r="E293" s="3">
        <v>1</v>
      </c>
      <c r="F293" s="3">
        <v>4</v>
      </c>
      <c r="G293" t="s">
        <v>10</v>
      </c>
      <c r="H293" t="s">
        <v>1106</v>
      </c>
      <c r="I293" t="s">
        <v>32</v>
      </c>
      <c r="J293" t="s">
        <v>54</v>
      </c>
      <c r="K293" t="s">
        <v>10</v>
      </c>
      <c r="L293" t="s">
        <v>57</v>
      </c>
      <c r="M293" t="s">
        <v>10</v>
      </c>
      <c r="N293" t="s">
        <v>10</v>
      </c>
      <c r="O293" t="str">
        <f>INDEX(CoverageTable[Deductible Applies],MATCH(Table18[[#This Row],[Coverage]],CoverageTable[Coverage],0))</f>
        <v>No</v>
      </c>
      <c r="P293" t="str">
        <f>INDEX(CoverageTable[Coverage Limit Applies],MATCH(Table18[[#This Row],[Coverage]],CoverageTable[Coverage],0))</f>
        <v>Yes</v>
      </c>
      <c r="Q293" t="s">
        <v>10</v>
      </c>
      <c r="R293" t="s">
        <v>79</v>
      </c>
      <c r="S293" t="s">
        <v>10</v>
      </c>
      <c r="T293" t="s">
        <v>57</v>
      </c>
      <c r="U293" t="s">
        <v>10</v>
      </c>
      <c r="V293" t="s">
        <v>10</v>
      </c>
      <c r="W293" t="s">
        <v>10</v>
      </c>
    </row>
    <row r="294" spans="1:23" x14ac:dyDescent="0.3">
      <c r="A294" t="s">
        <v>385</v>
      </c>
      <c r="B294" s="7">
        <v>45860</v>
      </c>
      <c r="C294" t="s">
        <v>74</v>
      </c>
      <c r="D294" t="s">
        <v>1102</v>
      </c>
      <c r="E294" s="3" t="s">
        <v>1103</v>
      </c>
      <c r="F294" s="3">
        <v>0</v>
      </c>
      <c r="G294" t="s">
        <v>12</v>
      </c>
      <c r="H294" t="s">
        <v>1109</v>
      </c>
      <c r="I294" t="s">
        <v>23</v>
      </c>
      <c r="J294" t="s">
        <v>53</v>
      </c>
      <c r="K294" t="s">
        <v>10</v>
      </c>
      <c r="L294" t="s">
        <v>57</v>
      </c>
      <c r="M294" t="s">
        <v>10</v>
      </c>
      <c r="N294" t="s">
        <v>10</v>
      </c>
      <c r="O294" t="str">
        <f>INDEX(CoverageTable[Deductible Applies],MATCH(Table18[[#This Row],[Coverage]],CoverageTable[Coverage],0))</f>
        <v>No</v>
      </c>
      <c r="P294" t="str">
        <f>INDEX(CoverageTable[Coverage Limit Applies],MATCH(Table18[[#This Row],[Coverage]],CoverageTable[Coverage],0))</f>
        <v>Yes</v>
      </c>
      <c r="Q294" t="s">
        <v>10</v>
      </c>
      <c r="R294" t="s">
        <v>79</v>
      </c>
      <c r="S294" t="s">
        <v>57</v>
      </c>
      <c r="T294" t="s">
        <v>57</v>
      </c>
      <c r="U294" t="s">
        <v>10</v>
      </c>
      <c r="V294" t="s">
        <v>57</v>
      </c>
      <c r="W294" t="s">
        <v>10</v>
      </c>
    </row>
    <row r="295" spans="1:23" x14ac:dyDescent="0.3">
      <c r="A295" t="s">
        <v>386</v>
      </c>
      <c r="B295" s="7">
        <v>45873</v>
      </c>
      <c r="C295" t="s">
        <v>70</v>
      </c>
      <c r="D295" t="s">
        <v>1097</v>
      </c>
      <c r="E295" s="3">
        <v>6</v>
      </c>
      <c r="F295" s="3">
        <v>4</v>
      </c>
      <c r="G295" t="s">
        <v>10</v>
      </c>
      <c r="H295" t="s">
        <v>1106</v>
      </c>
      <c r="I295" t="s">
        <v>32</v>
      </c>
      <c r="J295" t="s">
        <v>48</v>
      </c>
      <c r="K295" t="s">
        <v>10</v>
      </c>
      <c r="L295" t="s">
        <v>10</v>
      </c>
      <c r="M295" t="s">
        <v>10</v>
      </c>
      <c r="N295" t="s">
        <v>57</v>
      </c>
      <c r="O295" t="str">
        <f>INDEX(CoverageTable[Deductible Applies],MATCH(Table18[[#This Row],[Coverage]],CoverageTable[Coverage],0))</f>
        <v>No</v>
      </c>
      <c r="P295" t="str">
        <f>INDEX(CoverageTable[Coverage Limit Applies],MATCH(Table18[[#This Row],[Coverage]],CoverageTable[Coverage],0))</f>
        <v>Yes</v>
      </c>
      <c r="Q295" t="s">
        <v>10</v>
      </c>
      <c r="R295" t="s">
        <v>80</v>
      </c>
      <c r="S295" t="s">
        <v>10</v>
      </c>
      <c r="T295" t="s">
        <v>10</v>
      </c>
      <c r="U295" t="s">
        <v>57</v>
      </c>
      <c r="V295" t="s">
        <v>10</v>
      </c>
      <c r="W295" t="s">
        <v>10</v>
      </c>
    </row>
    <row r="296" spans="1:23" x14ac:dyDescent="0.3">
      <c r="A296" t="s">
        <v>387</v>
      </c>
      <c r="B296" s="7">
        <v>45921</v>
      </c>
      <c r="C296" t="s">
        <v>70</v>
      </c>
      <c r="D296" t="s">
        <v>1098</v>
      </c>
      <c r="E296" s="3">
        <v>7</v>
      </c>
      <c r="F296" s="3" t="s">
        <v>7</v>
      </c>
      <c r="G296" t="s">
        <v>11</v>
      </c>
      <c r="H296" t="s">
        <v>1109</v>
      </c>
      <c r="I296" t="s">
        <v>30</v>
      </c>
      <c r="J296" t="s">
        <v>49</v>
      </c>
      <c r="K296" t="s">
        <v>10</v>
      </c>
      <c r="L296" t="s">
        <v>10</v>
      </c>
      <c r="M296" t="s">
        <v>10</v>
      </c>
      <c r="N296" t="s">
        <v>57</v>
      </c>
      <c r="O296" t="str">
        <f>INDEX(CoverageTable[Deductible Applies],MATCH(Table18[[#This Row],[Coverage]],CoverageTable[Coverage],0))</f>
        <v>No</v>
      </c>
      <c r="P296" t="str">
        <f>INDEX(CoverageTable[Coverage Limit Applies],MATCH(Table18[[#This Row],[Coverage]],CoverageTable[Coverage],0))</f>
        <v>Yes</v>
      </c>
      <c r="Q296" t="s">
        <v>10</v>
      </c>
      <c r="R296" t="s">
        <v>78</v>
      </c>
      <c r="S296" t="s">
        <v>10</v>
      </c>
      <c r="T296" t="s">
        <v>10</v>
      </c>
      <c r="U296" t="s">
        <v>10</v>
      </c>
      <c r="V296" t="s">
        <v>10</v>
      </c>
      <c r="W296" t="s">
        <v>10</v>
      </c>
    </row>
    <row r="297" spans="1:23" x14ac:dyDescent="0.3">
      <c r="A297" t="s">
        <v>388</v>
      </c>
      <c r="B297" s="7">
        <v>46121</v>
      </c>
      <c r="C297" t="s">
        <v>70</v>
      </c>
      <c r="D297" t="s">
        <v>1100</v>
      </c>
      <c r="E297" s="3">
        <v>4</v>
      </c>
      <c r="F297" s="3">
        <v>0</v>
      </c>
      <c r="G297" t="s">
        <v>11</v>
      </c>
      <c r="H297" t="s">
        <v>1109</v>
      </c>
      <c r="I297" t="s">
        <v>35</v>
      </c>
      <c r="J297" t="s">
        <v>48</v>
      </c>
      <c r="K297" t="s">
        <v>10</v>
      </c>
      <c r="L297" t="s">
        <v>57</v>
      </c>
      <c r="M297" t="s">
        <v>10</v>
      </c>
      <c r="N297" t="s">
        <v>57</v>
      </c>
      <c r="O297" t="str">
        <f>INDEX(CoverageTable[Deductible Applies],MATCH(Table18[[#This Row],[Coverage]],CoverageTable[Coverage],0))</f>
        <v>No</v>
      </c>
      <c r="P297" t="str">
        <f>INDEX(CoverageTable[Coverage Limit Applies],MATCH(Table18[[#This Row],[Coverage]],CoverageTable[Coverage],0))</f>
        <v>Yes</v>
      </c>
      <c r="Q297" t="s">
        <v>10</v>
      </c>
      <c r="R297" t="s">
        <v>80</v>
      </c>
      <c r="S297" t="s">
        <v>10</v>
      </c>
      <c r="T297" t="s">
        <v>10</v>
      </c>
      <c r="U297" t="s">
        <v>10</v>
      </c>
      <c r="V297" t="s">
        <v>10</v>
      </c>
      <c r="W297" t="s">
        <v>57</v>
      </c>
    </row>
    <row r="298" spans="1:23" x14ac:dyDescent="0.3">
      <c r="A298" t="s">
        <v>389</v>
      </c>
      <c r="B298" s="7">
        <v>46018</v>
      </c>
      <c r="C298" t="s">
        <v>71</v>
      </c>
      <c r="D298" t="s">
        <v>1102</v>
      </c>
      <c r="E298" s="3">
        <v>4</v>
      </c>
      <c r="F298" s="3">
        <v>0</v>
      </c>
      <c r="G298" t="s">
        <v>12</v>
      </c>
      <c r="H298" t="s">
        <v>1106</v>
      </c>
      <c r="I298" t="s">
        <v>36</v>
      </c>
      <c r="J298" t="s">
        <v>54</v>
      </c>
      <c r="K298" t="s">
        <v>10</v>
      </c>
      <c r="L298" t="s">
        <v>10</v>
      </c>
      <c r="M298" t="s">
        <v>10</v>
      </c>
      <c r="N298" t="s">
        <v>10</v>
      </c>
      <c r="O298" t="str">
        <f>INDEX(CoverageTable[Deductible Applies],MATCH(Table18[[#This Row],[Coverage]],CoverageTable[Coverage],0))</f>
        <v>Yes</v>
      </c>
      <c r="P298" t="str">
        <f>INDEX(CoverageTable[Coverage Limit Applies],MATCH(Table18[[#This Row],[Coverage]],CoverageTable[Coverage],0))</f>
        <v>No</v>
      </c>
      <c r="Q298" t="s">
        <v>79</v>
      </c>
      <c r="R298" t="s">
        <v>10</v>
      </c>
      <c r="S298" t="s">
        <v>10</v>
      </c>
      <c r="T298" t="s">
        <v>10</v>
      </c>
      <c r="U298" t="s">
        <v>10</v>
      </c>
      <c r="V298" t="s">
        <v>10</v>
      </c>
      <c r="W298" t="s">
        <v>57</v>
      </c>
    </row>
    <row r="299" spans="1:23" x14ac:dyDescent="0.3">
      <c r="A299" t="s">
        <v>390</v>
      </c>
      <c r="B299" s="7">
        <v>46072</v>
      </c>
      <c r="C299" t="s">
        <v>71</v>
      </c>
      <c r="D299" t="s">
        <v>1102</v>
      </c>
      <c r="E299" s="3">
        <v>5</v>
      </c>
      <c r="F299" s="3" t="s">
        <v>7</v>
      </c>
      <c r="G299" t="s">
        <v>10</v>
      </c>
      <c r="H299" t="s">
        <v>1109</v>
      </c>
      <c r="I299" t="s">
        <v>33</v>
      </c>
      <c r="J299" t="s">
        <v>48</v>
      </c>
      <c r="K299" t="s">
        <v>57</v>
      </c>
      <c r="L299" t="s">
        <v>10</v>
      </c>
      <c r="M299" t="s">
        <v>10</v>
      </c>
      <c r="N299" t="s">
        <v>10</v>
      </c>
      <c r="O299" t="str">
        <f>INDEX(CoverageTable[Deductible Applies],MATCH(Table18[[#This Row],[Coverage]],CoverageTable[Coverage],0))</f>
        <v>Yes</v>
      </c>
      <c r="P299" t="str">
        <f>INDEX(CoverageTable[Coverage Limit Applies],MATCH(Table18[[#This Row],[Coverage]],CoverageTable[Coverage],0))</f>
        <v>No</v>
      </c>
      <c r="Q299" t="s">
        <v>80</v>
      </c>
      <c r="R299" t="s">
        <v>10</v>
      </c>
      <c r="S299" t="s">
        <v>10</v>
      </c>
      <c r="T299" t="s">
        <v>10</v>
      </c>
      <c r="U299" t="s">
        <v>10</v>
      </c>
      <c r="V299" t="s">
        <v>10</v>
      </c>
      <c r="W299" t="s">
        <v>10</v>
      </c>
    </row>
    <row r="300" spans="1:23" x14ac:dyDescent="0.3">
      <c r="A300" t="s">
        <v>391</v>
      </c>
      <c r="B300" s="7">
        <v>45994</v>
      </c>
      <c r="C300" t="s">
        <v>70</v>
      </c>
      <c r="D300" t="s">
        <v>1101</v>
      </c>
      <c r="E300" s="3" t="s">
        <v>1103</v>
      </c>
      <c r="F300" s="3">
        <v>0</v>
      </c>
      <c r="G300" t="s">
        <v>13</v>
      </c>
      <c r="H300" t="s">
        <v>1108</v>
      </c>
      <c r="I300" t="s">
        <v>37</v>
      </c>
      <c r="J300" t="s">
        <v>52</v>
      </c>
      <c r="K300" t="s">
        <v>10</v>
      </c>
      <c r="L300" t="s">
        <v>10</v>
      </c>
      <c r="M300" t="s">
        <v>57</v>
      </c>
      <c r="N300" t="s">
        <v>57</v>
      </c>
      <c r="O300" t="str">
        <f>INDEX(CoverageTable[Deductible Applies],MATCH(Table18[[#This Row],[Coverage]],CoverageTable[Coverage],0))</f>
        <v>No</v>
      </c>
      <c r="P300" t="str">
        <f>INDEX(CoverageTable[Coverage Limit Applies],MATCH(Table18[[#This Row],[Coverage]],CoverageTable[Coverage],0))</f>
        <v>Yes</v>
      </c>
      <c r="Q300" t="s">
        <v>10</v>
      </c>
      <c r="R300" t="s">
        <v>79</v>
      </c>
      <c r="S300" t="s">
        <v>10</v>
      </c>
      <c r="T300" t="s">
        <v>10</v>
      </c>
      <c r="U300" t="s">
        <v>57</v>
      </c>
      <c r="V300" t="s">
        <v>10</v>
      </c>
      <c r="W300" t="s">
        <v>10</v>
      </c>
    </row>
    <row r="301" spans="1:23" x14ac:dyDescent="0.3">
      <c r="A301" t="s">
        <v>392</v>
      </c>
      <c r="B301" s="7">
        <v>45825</v>
      </c>
      <c r="C301" t="s">
        <v>70</v>
      </c>
      <c r="D301" t="s">
        <v>1100</v>
      </c>
      <c r="E301" s="3" t="s">
        <v>1103</v>
      </c>
      <c r="F301" s="3">
        <v>2</v>
      </c>
      <c r="G301" t="s">
        <v>11</v>
      </c>
      <c r="H301" t="s">
        <v>1108</v>
      </c>
      <c r="I301" t="s">
        <v>38</v>
      </c>
      <c r="J301" t="s">
        <v>54</v>
      </c>
      <c r="K301" t="s">
        <v>10</v>
      </c>
      <c r="L301" t="s">
        <v>10</v>
      </c>
      <c r="M301" t="s">
        <v>10</v>
      </c>
      <c r="N301" t="s">
        <v>10</v>
      </c>
      <c r="O301" t="str">
        <f>INDEX(CoverageTable[Deductible Applies],MATCH(Table18[[#This Row],[Coverage]],CoverageTable[Coverage],0))</f>
        <v>No</v>
      </c>
      <c r="P301" t="str">
        <f>INDEX(CoverageTable[Coverage Limit Applies],MATCH(Table18[[#This Row],[Coverage]],CoverageTable[Coverage],0))</f>
        <v>Yes</v>
      </c>
      <c r="Q301" t="s">
        <v>10</v>
      </c>
      <c r="R301" t="s">
        <v>79</v>
      </c>
      <c r="S301" t="s">
        <v>10</v>
      </c>
      <c r="T301" t="s">
        <v>10</v>
      </c>
      <c r="U301" t="s">
        <v>10</v>
      </c>
      <c r="V301" t="s">
        <v>10</v>
      </c>
      <c r="W301" t="s">
        <v>10</v>
      </c>
    </row>
    <row r="302" spans="1:23" x14ac:dyDescent="0.3">
      <c r="A302" t="s">
        <v>393</v>
      </c>
      <c r="B302" s="7">
        <v>45877</v>
      </c>
      <c r="C302" t="s">
        <v>71</v>
      </c>
      <c r="D302" t="s">
        <v>1102</v>
      </c>
      <c r="E302" s="3">
        <v>2</v>
      </c>
      <c r="F302" s="3">
        <v>1</v>
      </c>
      <c r="G302" t="s">
        <v>10</v>
      </c>
      <c r="H302" t="s">
        <v>1108</v>
      </c>
      <c r="I302" t="s">
        <v>31</v>
      </c>
      <c r="J302" t="s">
        <v>49</v>
      </c>
      <c r="K302" t="s">
        <v>10</v>
      </c>
      <c r="L302" t="s">
        <v>10</v>
      </c>
      <c r="M302" t="s">
        <v>10</v>
      </c>
      <c r="N302" t="s">
        <v>57</v>
      </c>
      <c r="O302" t="str">
        <f>INDEX(CoverageTable[Deductible Applies],MATCH(Table18[[#This Row],[Coverage]],CoverageTable[Coverage],0))</f>
        <v>Yes</v>
      </c>
      <c r="P302" t="str">
        <f>INDEX(CoverageTable[Coverage Limit Applies],MATCH(Table18[[#This Row],[Coverage]],CoverageTable[Coverage],0))</f>
        <v>No</v>
      </c>
      <c r="Q302" t="s">
        <v>78</v>
      </c>
      <c r="R302" t="s">
        <v>10</v>
      </c>
      <c r="S302" t="s">
        <v>10</v>
      </c>
      <c r="T302" t="s">
        <v>10</v>
      </c>
      <c r="U302" t="s">
        <v>10</v>
      </c>
      <c r="V302" t="s">
        <v>10</v>
      </c>
      <c r="W302" t="s">
        <v>10</v>
      </c>
    </row>
    <row r="303" spans="1:23" x14ac:dyDescent="0.3">
      <c r="A303" t="s">
        <v>394</v>
      </c>
      <c r="B303" s="7">
        <v>46061</v>
      </c>
      <c r="C303" t="s">
        <v>72</v>
      </c>
      <c r="D303" t="s">
        <v>1099</v>
      </c>
      <c r="E303" s="3">
        <v>5</v>
      </c>
      <c r="F303" s="3">
        <v>2</v>
      </c>
      <c r="G303" t="s">
        <v>10</v>
      </c>
      <c r="H303" t="s">
        <v>1107</v>
      </c>
      <c r="I303" t="s">
        <v>35</v>
      </c>
      <c r="J303" t="s">
        <v>49</v>
      </c>
      <c r="K303" t="s">
        <v>10</v>
      </c>
      <c r="L303" t="s">
        <v>57</v>
      </c>
      <c r="M303" t="s">
        <v>10</v>
      </c>
      <c r="N303" t="s">
        <v>10</v>
      </c>
      <c r="O303" t="str">
        <f>INDEX(CoverageTable[Deductible Applies],MATCH(Table18[[#This Row],[Coverage]],CoverageTable[Coverage],0))</f>
        <v>Yes</v>
      </c>
      <c r="P303" t="str">
        <f>INDEX(CoverageTable[Coverage Limit Applies],MATCH(Table18[[#This Row],[Coverage]],CoverageTable[Coverage],0))</f>
        <v>No</v>
      </c>
      <c r="Q303" t="s">
        <v>79</v>
      </c>
      <c r="R303" t="s">
        <v>10</v>
      </c>
      <c r="S303" t="s">
        <v>10</v>
      </c>
      <c r="T303" t="s">
        <v>57</v>
      </c>
      <c r="U303" t="s">
        <v>57</v>
      </c>
      <c r="V303" t="s">
        <v>10</v>
      </c>
      <c r="W303" t="s">
        <v>10</v>
      </c>
    </row>
    <row r="304" spans="1:23" x14ac:dyDescent="0.3">
      <c r="A304" t="s">
        <v>395</v>
      </c>
      <c r="B304" s="7">
        <v>45815</v>
      </c>
      <c r="C304" t="s">
        <v>70</v>
      </c>
      <c r="D304" t="s">
        <v>1097</v>
      </c>
      <c r="E304" s="3">
        <v>7</v>
      </c>
      <c r="F304" s="3" t="s">
        <v>7</v>
      </c>
      <c r="G304" t="s">
        <v>10</v>
      </c>
      <c r="H304" t="s">
        <v>1110</v>
      </c>
      <c r="I304" t="s">
        <v>23</v>
      </c>
      <c r="J304" t="s">
        <v>51</v>
      </c>
      <c r="K304" t="s">
        <v>10</v>
      </c>
      <c r="L304" t="s">
        <v>10</v>
      </c>
      <c r="M304" t="s">
        <v>10</v>
      </c>
      <c r="N304" t="s">
        <v>57</v>
      </c>
      <c r="O304" t="str">
        <f>INDEX(CoverageTable[Deductible Applies],MATCH(Table18[[#This Row],[Coverage]],CoverageTable[Coverage],0))</f>
        <v>No</v>
      </c>
      <c r="P304" t="str">
        <f>INDEX(CoverageTable[Coverage Limit Applies],MATCH(Table18[[#This Row],[Coverage]],CoverageTable[Coverage],0))</f>
        <v>Yes</v>
      </c>
      <c r="Q304" t="s">
        <v>10</v>
      </c>
      <c r="R304" t="s">
        <v>78</v>
      </c>
      <c r="S304" t="s">
        <v>10</v>
      </c>
      <c r="T304" t="s">
        <v>57</v>
      </c>
      <c r="U304" t="s">
        <v>57</v>
      </c>
      <c r="V304" t="s">
        <v>10</v>
      </c>
      <c r="W304" t="s">
        <v>10</v>
      </c>
    </row>
    <row r="305" spans="1:23" x14ac:dyDescent="0.3">
      <c r="A305" t="s">
        <v>396</v>
      </c>
      <c r="B305" s="7">
        <v>45916</v>
      </c>
      <c r="C305" t="s">
        <v>71</v>
      </c>
      <c r="D305" t="s">
        <v>1097</v>
      </c>
      <c r="E305" s="3" t="s">
        <v>1103</v>
      </c>
      <c r="F305" s="3">
        <v>0</v>
      </c>
      <c r="G305" t="s">
        <v>10</v>
      </c>
      <c r="H305" t="s">
        <v>1109</v>
      </c>
      <c r="I305" t="s">
        <v>33</v>
      </c>
      <c r="J305" t="s">
        <v>49</v>
      </c>
      <c r="K305" t="s">
        <v>10</v>
      </c>
      <c r="L305" t="s">
        <v>10</v>
      </c>
      <c r="M305" t="s">
        <v>10</v>
      </c>
      <c r="N305" t="s">
        <v>57</v>
      </c>
      <c r="O305" t="str">
        <f>INDEX(CoverageTable[Deductible Applies],MATCH(Table18[[#This Row],[Coverage]],CoverageTable[Coverage],0))</f>
        <v>Yes</v>
      </c>
      <c r="P305" t="str">
        <f>INDEX(CoverageTable[Coverage Limit Applies],MATCH(Table18[[#This Row],[Coverage]],CoverageTable[Coverage],0))</f>
        <v>No</v>
      </c>
      <c r="Q305" t="s">
        <v>80</v>
      </c>
      <c r="R305" t="s">
        <v>10</v>
      </c>
      <c r="S305" t="s">
        <v>57</v>
      </c>
      <c r="T305" t="s">
        <v>10</v>
      </c>
      <c r="U305" t="s">
        <v>10</v>
      </c>
      <c r="V305" t="s">
        <v>10</v>
      </c>
      <c r="W305" t="s">
        <v>10</v>
      </c>
    </row>
    <row r="306" spans="1:23" x14ac:dyDescent="0.3">
      <c r="A306" t="s">
        <v>397</v>
      </c>
      <c r="B306" s="7">
        <v>45852</v>
      </c>
      <c r="C306" t="s">
        <v>70</v>
      </c>
      <c r="D306" t="s">
        <v>1101</v>
      </c>
      <c r="E306" s="3">
        <v>2</v>
      </c>
      <c r="F306" s="3">
        <v>0</v>
      </c>
      <c r="G306" t="s">
        <v>13</v>
      </c>
      <c r="H306" t="s">
        <v>1109</v>
      </c>
      <c r="I306" t="s">
        <v>26</v>
      </c>
      <c r="J306" t="s">
        <v>52</v>
      </c>
      <c r="K306" t="s">
        <v>10</v>
      </c>
      <c r="L306" t="s">
        <v>10</v>
      </c>
      <c r="M306" t="s">
        <v>10</v>
      </c>
      <c r="N306" t="s">
        <v>57</v>
      </c>
      <c r="O306" t="str">
        <f>INDEX(CoverageTable[Deductible Applies],MATCH(Table18[[#This Row],[Coverage]],CoverageTable[Coverage],0))</f>
        <v>No</v>
      </c>
      <c r="P306" t="str">
        <f>INDEX(CoverageTable[Coverage Limit Applies],MATCH(Table18[[#This Row],[Coverage]],CoverageTable[Coverage],0))</f>
        <v>Yes</v>
      </c>
      <c r="Q306" t="s">
        <v>10</v>
      </c>
      <c r="R306" t="s">
        <v>78</v>
      </c>
      <c r="S306" t="s">
        <v>10</v>
      </c>
      <c r="T306" t="s">
        <v>10</v>
      </c>
      <c r="U306" t="s">
        <v>10</v>
      </c>
      <c r="V306" t="s">
        <v>10</v>
      </c>
      <c r="W306" t="s">
        <v>10</v>
      </c>
    </row>
    <row r="307" spans="1:23" x14ac:dyDescent="0.3">
      <c r="A307" t="s">
        <v>398</v>
      </c>
      <c r="B307" s="7">
        <v>46029</v>
      </c>
      <c r="C307" t="s">
        <v>71</v>
      </c>
      <c r="D307" t="s">
        <v>1097</v>
      </c>
      <c r="E307" s="3">
        <v>5</v>
      </c>
      <c r="F307" s="3">
        <v>0</v>
      </c>
      <c r="G307" t="s">
        <v>12</v>
      </c>
      <c r="H307" t="s">
        <v>1110</v>
      </c>
      <c r="I307" t="s">
        <v>32</v>
      </c>
      <c r="J307" t="s">
        <v>48</v>
      </c>
      <c r="K307" t="s">
        <v>10</v>
      </c>
      <c r="L307" t="s">
        <v>10</v>
      </c>
      <c r="M307" t="s">
        <v>57</v>
      </c>
      <c r="N307" t="s">
        <v>57</v>
      </c>
      <c r="O307" t="str">
        <f>INDEX(CoverageTable[Deductible Applies],MATCH(Table18[[#This Row],[Coverage]],CoverageTable[Coverage],0))</f>
        <v>Yes</v>
      </c>
      <c r="P307" t="str">
        <f>INDEX(CoverageTable[Coverage Limit Applies],MATCH(Table18[[#This Row],[Coverage]],CoverageTable[Coverage],0))</f>
        <v>No</v>
      </c>
      <c r="Q307" t="s">
        <v>80</v>
      </c>
      <c r="R307" t="s">
        <v>10</v>
      </c>
      <c r="S307" t="s">
        <v>10</v>
      </c>
      <c r="T307" t="s">
        <v>57</v>
      </c>
      <c r="U307" t="s">
        <v>57</v>
      </c>
      <c r="V307" t="s">
        <v>10</v>
      </c>
      <c r="W307" t="s">
        <v>57</v>
      </c>
    </row>
    <row r="308" spans="1:23" x14ac:dyDescent="0.3">
      <c r="A308" t="s">
        <v>399</v>
      </c>
      <c r="B308" s="7">
        <v>46120</v>
      </c>
      <c r="C308" t="s">
        <v>71</v>
      </c>
      <c r="D308" t="s">
        <v>1102</v>
      </c>
      <c r="E308" s="3">
        <v>5</v>
      </c>
      <c r="F308" s="3">
        <v>2</v>
      </c>
      <c r="G308" t="s">
        <v>10</v>
      </c>
      <c r="H308" t="s">
        <v>1108</v>
      </c>
      <c r="I308" t="s">
        <v>22</v>
      </c>
      <c r="J308" t="s">
        <v>51</v>
      </c>
      <c r="K308" t="s">
        <v>10</v>
      </c>
      <c r="L308" t="s">
        <v>10</v>
      </c>
      <c r="M308" t="s">
        <v>10</v>
      </c>
      <c r="N308" t="s">
        <v>10</v>
      </c>
      <c r="O308" t="str">
        <f>INDEX(CoverageTable[Deductible Applies],MATCH(Table18[[#This Row],[Coverage]],CoverageTable[Coverage],0))</f>
        <v>Yes</v>
      </c>
      <c r="P308" t="str">
        <f>INDEX(CoverageTable[Coverage Limit Applies],MATCH(Table18[[#This Row],[Coverage]],CoverageTable[Coverage],0))</f>
        <v>No</v>
      </c>
      <c r="Q308" t="s">
        <v>79</v>
      </c>
      <c r="R308" t="s">
        <v>10</v>
      </c>
      <c r="S308" t="s">
        <v>10</v>
      </c>
      <c r="T308" t="s">
        <v>10</v>
      </c>
      <c r="U308" t="s">
        <v>10</v>
      </c>
      <c r="V308" t="s">
        <v>10</v>
      </c>
      <c r="W308" t="s">
        <v>10</v>
      </c>
    </row>
    <row r="309" spans="1:23" x14ac:dyDescent="0.3">
      <c r="A309" t="s">
        <v>400</v>
      </c>
      <c r="B309" s="7">
        <v>46001</v>
      </c>
      <c r="C309" t="s">
        <v>70</v>
      </c>
      <c r="D309" t="s">
        <v>1102</v>
      </c>
      <c r="E309" s="3">
        <v>7</v>
      </c>
      <c r="F309" s="3">
        <v>1</v>
      </c>
      <c r="G309" t="s">
        <v>10</v>
      </c>
      <c r="H309" t="s">
        <v>1109</v>
      </c>
      <c r="I309" t="s">
        <v>38</v>
      </c>
      <c r="J309" t="s">
        <v>52</v>
      </c>
      <c r="K309" t="s">
        <v>57</v>
      </c>
      <c r="L309" t="s">
        <v>10</v>
      </c>
      <c r="M309" t="s">
        <v>10</v>
      </c>
      <c r="N309" t="s">
        <v>57</v>
      </c>
      <c r="O309" t="str">
        <f>INDEX(CoverageTable[Deductible Applies],MATCH(Table18[[#This Row],[Coverage]],CoverageTable[Coverage],0))</f>
        <v>No</v>
      </c>
      <c r="P309" t="str">
        <f>INDEX(CoverageTable[Coverage Limit Applies],MATCH(Table18[[#This Row],[Coverage]],CoverageTable[Coverage],0))</f>
        <v>Yes</v>
      </c>
      <c r="Q309" t="s">
        <v>10</v>
      </c>
      <c r="R309" t="s">
        <v>78</v>
      </c>
      <c r="S309" t="s">
        <v>10</v>
      </c>
      <c r="T309" t="s">
        <v>10</v>
      </c>
      <c r="U309" t="s">
        <v>10</v>
      </c>
      <c r="V309" t="s">
        <v>10</v>
      </c>
      <c r="W309" t="s">
        <v>57</v>
      </c>
    </row>
    <row r="310" spans="1:23" x14ac:dyDescent="0.3">
      <c r="A310" t="s">
        <v>401</v>
      </c>
      <c r="B310" s="7">
        <v>45901</v>
      </c>
      <c r="C310" t="s">
        <v>74</v>
      </c>
      <c r="D310" t="s">
        <v>1100</v>
      </c>
      <c r="E310" s="3">
        <v>4</v>
      </c>
      <c r="F310" s="3">
        <v>1</v>
      </c>
      <c r="G310" t="s">
        <v>13</v>
      </c>
      <c r="H310" t="s">
        <v>1108</v>
      </c>
      <c r="I310" t="s">
        <v>38</v>
      </c>
      <c r="J310" t="s">
        <v>49</v>
      </c>
      <c r="K310" t="s">
        <v>10</v>
      </c>
      <c r="L310" t="s">
        <v>10</v>
      </c>
      <c r="M310" t="s">
        <v>10</v>
      </c>
      <c r="N310" t="s">
        <v>57</v>
      </c>
      <c r="O310" t="str">
        <f>INDEX(CoverageTable[Deductible Applies],MATCH(Table18[[#This Row],[Coverage]],CoverageTable[Coverage],0))</f>
        <v>No</v>
      </c>
      <c r="P310" t="str">
        <f>INDEX(CoverageTable[Coverage Limit Applies],MATCH(Table18[[#This Row],[Coverage]],CoverageTable[Coverage],0))</f>
        <v>Yes</v>
      </c>
      <c r="Q310" t="s">
        <v>10</v>
      </c>
      <c r="R310" t="s">
        <v>78</v>
      </c>
      <c r="S310" t="s">
        <v>10</v>
      </c>
      <c r="T310" t="s">
        <v>10</v>
      </c>
      <c r="U310" t="s">
        <v>10</v>
      </c>
      <c r="V310" t="s">
        <v>10</v>
      </c>
      <c r="W310" t="s">
        <v>10</v>
      </c>
    </row>
    <row r="311" spans="1:23" x14ac:dyDescent="0.3">
      <c r="A311" t="s">
        <v>402</v>
      </c>
      <c r="B311" s="7">
        <v>45951</v>
      </c>
      <c r="C311" t="s">
        <v>74</v>
      </c>
      <c r="D311" t="s">
        <v>1101</v>
      </c>
      <c r="E311" s="3">
        <v>4</v>
      </c>
      <c r="F311" s="3">
        <v>4</v>
      </c>
      <c r="G311" t="s">
        <v>11</v>
      </c>
      <c r="H311" t="s">
        <v>1110</v>
      </c>
      <c r="I311" t="s">
        <v>37</v>
      </c>
      <c r="J311" t="s">
        <v>52</v>
      </c>
      <c r="K311" t="s">
        <v>10</v>
      </c>
      <c r="L311" t="s">
        <v>10</v>
      </c>
      <c r="M311" t="s">
        <v>10</v>
      </c>
      <c r="N311" t="s">
        <v>57</v>
      </c>
      <c r="O311" t="str">
        <f>INDEX(CoverageTable[Deductible Applies],MATCH(Table18[[#This Row],[Coverage]],CoverageTable[Coverage],0))</f>
        <v>No</v>
      </c>
      <c r="P311" t="str">
        <f>INDEX(CoverageTable[Coverage Limit Applies],MATCH(Table18[[#This Row],[Coverage]],CoverageTable[Coverage],0))</f>
        <v>Yes</v>
      </c>
      <c r="Q311" t="s">
        <v>10</v>
      </c>
      <c r="R311" t="s">
        <v>79</v>
      </c>
      <c r="S311" t="s">
        <v>10</v>
      </c>
      <c r="T311" t="s">
        <v>57</v>
      </c>
      <c r="U311" t="s">
        <v>10</v>
      </c>
      <c r="V311" t="s">
        <v>10</v>
      </c>
      <c r="W311" t="s">
        <v>10</v>
      </c>
    </row>
    <row r="312" spans="1:23" x14ac:dyDescent="0.3">
      <c r="A312" t="s">
        <v>403</v>
      </c>
      <c r="B312" s="7">
        <v>46016</v>
      </c>
      <c r="C312" t="s">
        <v>71</v>
      </c>
      <c r="D312" t="s">
        <v>1099</v>
      </c>
      <c r="E312" s="3">
        <v>7</v>
      </c>
      <c r="F312" s="3">
        <v>4</v>
      </c>
      <c r="G312" t="s">
        <v>10</v>
      </c>
      <c r="H312" t="s">
        <v>1109</v>
      </c>
      <c r="I312" t="s">
        <v>27</v>
      </c>
      <c r="J312" t="s">
        <v>54</v>
      </c>
      <c r="K312" t="s">
        <v>10</v>
      </c>
      <c r="L312" t="s">
        <v>10</v>
      </c>
      <c r="M312" t="s">
        <v>10</v>
      </c>
      <c r="N312" t="s">
        <v>10</v>
      </c>
      <c r="O312" t="str">
        <f>INDEX(CoverageTable[Deductible Applies],MATCH(Table18[[#This Row],[Coverage]],CoverageTable[Coverage],0))</f>
        <v>Yes</v>
      </c>
      <c r="P312" t="str">
        <f>INDEX(CoverageTable[Coverage Limit Applies],MATCH(Table18[[#This Row],[Coverage]],CoverageTable[Coverage],0))</f>
        <v>No</v>
      </c>
      <c r="Q312" t="s">
        <v>80</v>
      </c>
      <c r="R312" t="s">
        <v>10</v>
      </c>
      <c r="S312" t="s">
        <v>10</v>
      </c>
      <c r="T312" t="s">
        <v>10</v>
      </c>
      <c r="U312" t="s">
        <v>10</v>
      </c>
      <c r="V312" t="s">
        <v>10</v>
      </c>
      <c r="W312" t="s">
        <v>10</v>
      </c>
    </row>
    <row r="313" spans="1:23" x14ac:dyDescent="0.3">
      <c r="A313" t="s">
        <v>404</v>
      </c>
      <c r="B313" s="7">
        <v>46045</v>
      </c>
      <c r="C313" t="s">
        <v>71</v>
      </c>
      <c r="D313" t="s">
        <v>1099</v>
      </c>
      <c r="E313" s="3">
        <v>7</v>
      </c>
      <c r="F313" s="3">
        <v>1</v>
      </c>
      <c r="G313" t="s">
        <v>10</v>
      </c>
      <c r="H313" t="s">
        <v>1109</v>
      </c>
      <c r="I313" t="s">
        <v>28</v>
      </c>
      <c r="J313" t="s">
        <v>50</v>
      </c>
      <c r="K313" t="s">
        <v>10</v>
      </c>
      <c r="L313" t="s">
        <v>10</v>
      </c>
      <c r="M313" t="s">
        <v>10</v>
      </c>
      <c r="N313" t="s">
        <v>57</v>
      </c>
      <c r="O313" t="str">
        <f>INDEX(CoverageTable[Deductible Applies],MATCH(Table18[[#This Row],[Coverage]],CoverageTable[Coverage],0))</f>
        <v>Yes</v>
      </c>
      <c r="P313" t="str">
        <f>INDEX(CoverageTable[Coverage Limit Applies],MATCH(Table18[[#This Row],[Coverage]],CoverageTable[Coverage],0))</f>
        <v>No</v>
      </c>
      <c r="Q313" t="s">
        <v>79</v>
      </c>
      <c r="R313" t="s">
        <v>10</v>
      </c>
      <c r="S313" t="s">
        <v>10</v>
      </c>
      <c r="T313" t="s">
        <v>10</v>
      </c>
      <c r="U313" t="s">
        <v>10</v>
      </c>
      <c r="V313" t="s">
        <v>10</v>
      </c>
      <c r="W313" t="s">
        <v>10</v>
      </c>
    </row>
    <row r="314" spans="1:23" x14ac:dyDescent="0.3">
      <c r="A314" t="s">
        <v>405</v>
      </c>
      <c r="B314" s="7">
        <v>45834</v>
      </c>
      <c r="C314" t="s">
        <v>70</v>
      </c>
      <c r="D314" t="s">
        <v>1102</v>
      </c>
      <c r="E314" s="3">
        <v>2</v>
      </c>
      <c r="F314" s="3">
        <v>1</v>
      </c>
      <c r="G314" t="s">
        <v>10</v>
      </c>
      <c r="H314" t="s">
        <v>1107</v>
      </c>
      <c r="I314" t="s">
        <v>24</v>
      </c>
      <c r="J314" t="s">
        <v>49</v>
      </c>
      <c r="K314" t="s">
        <v>10</v>
      </c>
      <c r="L314" t="s">
        <v>10</v>
      </c>
      <c r="M314" t="s">
        <v>10</v>
      </c>
      <c r="N314" t="s">
        <v>57</v>
      </c>
      <c r="O314" t="str">
        <f>INDEX(CoverageTable[Deductible Applies],MATCH(Table18[[#This Row],[Coverage]],CoverageTable[Coverage],0))</f>
        <v>No</v>
      </c>
      <c r="P314" t="str">
        <f>INDEX(CoverageTable[Coverage Limit Applies],MATCH(Table18[[#This Row],[Coverage]],CoverageTable[Coverage],0))</f>
        <v>Yes</v>
      </c>
      <c r="Q314" t="s">
        <v>10</v>
      </c>
      <c r="R314" t="s">
        <v>78</v>
      </c>
      <c r="S314" t="s">
        <v>10</v>
      </c>
      <c r="T314" t="s">
        <v>57</v>
      </c>
      <c r="U314" t="s">
        <v>10</v>
      </c>
      <c r="V314" t="s">
        <v>10</v>
      </c>
      <c r="W314" t="s">
        <v>10</v>
      </c>
    </row>
    <row r="315" spans="1:23" x14ac:dyDescent="0.3">
      <c r="A315" t="s">
        <v>406</v>
      </c>
      <c r="B315" s="7">
        <v>45952</v>
      </c>
      <c r="C315" t="s">
        <v>74</v>
      </c>
      <c r="D315" t="s">
        <v>1101</v>
      </c>
      <c r="E315" s="3">
        <v>1</v>
      </c>
      <c r="F315" s="3">
        <v>0</v>
      </c>
      <c r="G315" t="s">
        <v>13</v>
      </c>
      <c r="H315" t="s">
        <v>1108</v>
      </c>
      <c r="I315" t="s">
        <v>44</v>
      </c>
      <c r="J315" t="s">
        <v>53</v>
      </c>
      <c r="K315" t="s">
        <v>10</v>
      </c>
      <c r="L315" t="s">
        <v>10</v>
      </c>
      <c r="M315" t="s">
        <v>10</v>
      </c>
      <c r="N315" t="s">
        <v>10</v>
      </c>
      <c r="O315" t="str">
        <f>INDEX(CoverageTable[Deductible Applies],MATCH(Table18[[#This Row],[Coverage]],CoverageTable[Coverage],0))</f>
        <v>No</v>
      </c>
      <c r="P315" t="str">
        <f>INDEX(CoverageTable[Coverage Limit Applies],MATCH(Table18[[#This Row],[Coverage]],CoverageTable[Coverage],0))</f>
        <v>Yes</v>
      </c>
      <c r="Q315" t="s">
        <v>10</v>
      </c>
      <c r="R315" t="s">
        <v>80</v>
      </c>
      <c r="S315" t="s">
        <v>10</v>
      </c>
      <c r="T315" t="s">
        <v>10</v>
      </c>
      <c r="U315" t="s">
        <v>10</v>
      </c>
      <c r="V315" t="s">
        <v>57</v>
      </c>
      <c r="W315" t="s">
        <v>57</v>
      </c>
    </row>
    <row r="316" spans="1:23" x14ac:dyDescent="0.3">
      <c r="A316" t="s">
        <v>407</v>
      </c>
      <c r="B316" s="7">
        <v>45844</v>
      </c>
      <c r="C316" t="s">
        <v>74</v>
      </c>
      <c r="D316" t="s">
        <v>1098</v>
      </c>
      <c r="E316" s="3">
        <v>4</v>
      </c>
      <c r="F316" s="3">
        <v>3</v>
      </c>
      <c r="G316" t="s">
        <v>11</v>
      </c>
      <c r="H316" t="s">
        <v>1110</v>
      </c>
      <c r="I316" t="s">
        <v>31</v>
      </c>
      <c r="J316" t="s">
        <v>52</v>
      </c>
      <c r="K316" t="s">
        <v>10</v>
      </c>
      <c r="L316" t="s">
        <v>10</v>
      </c>
      <c r="M316" t="s">
        <v>10</v>
      </c>
      <c r="N316" t="s">
        <v>10</v>
      </c>
      <c r="O316" t="str">
        <f>INDEX(CoverageTable[Deductible Applies],MATCH(Table18[[#This Row],[Coverage]],CoverageTable[Coverage],0))</f>
        <v>No</v>
      </c>
      <c r="P316" t="str">
        <f>INDEX(CoverageTable[Coverage Limit Applies],MATCH(Table18[[#This Row],[Coverage]],CoverageTable[Coverage],0))</f>
        <v>Yes</v>
      </c>
      <c r="Q316" t="s">
        <v>10</v>
      </c>
      <c r="R316" t="s">
        <v>79</v>
      </c>
      <c r="S316" t="s">
        <v>10</v>
      </c>
      <c r="T316" t="s">
        <v>57</v>
      </c>
      <c r="U316" t="s">
        <v>10</v>
      </c>
      <c r="V316" t="s">
        <v>57</v>
      </c>
      <c r="W316" t="s">
        <v>10</v>
      </c>
    </row>
    <row r="317" spans="1:23" x14ac:dyDescent="0.3">
      <c r="A317" t="s">
        <v>408</v>
      </c>
      <c r="B317" s="7">
        <v>45980</v>
      </c>
      <c r="C317" t="s">
        <v>70</v>
      </c>
      <c r="D317" t="s">
        <v>1101</v>
      </c>
      <c r="E317" s="3">
        <v>7</v>
      </c>
      <c r="F317" s="3">
        <v>1</v>
      </c>
      <c r="G317" t="s">
        <v>10</v>
      </c>
      <c r="H317" t="s">
        <v>1109</v>
      </c>
      <c r="I317" t="s">
        <v>40</v>
      </c>
      <c r="J317" t="s">
        <v>49</v>
      </c>
      <c r="K317" t="s">
        <v>10</v>
      </c>
      <c r="L317" t="s">
        <v>57</v>
      </c>
      <c r="M317" t="s">
        <v>10</v>
      </c>
      <c r="N317" t="s">
        <v>10</v>
      </c>
      <c r="O317" t="str">
        <f>INDEX(CoverageTable[Deductible Applies],MATCH(Table18[[#This Row],[Coverage]],CoverageTable[Coverage],0))</f>
        <v>No</v>
      </c>
      <c r="P317" t="str">
        <f>INDEX(CoverageTable[Coverage Limit Applies],MATCH(Table18[[#This Row],[Coverage]],CoverageTable[Coverage],0))</f>
        <v>Yes</v>
      </c>
      <c r="Q317" t="s">
        <v>10</v>
      </c>
      <c r="R317" t="s">
        <v>80</v>
      </c>
      <c r="S317" t="s">
        <v>10</v>
      </c>
      <c r="T317" t="s">
        <v>10</v>
      </c>
      <c r="U317" t="s">
        <v>10</v>
      </c>
      <c r="V317" t="s">
        <v>10</v>
      </c>
      <c r="W317" t="s">
        <v>10</v>
      </c>
    </row>
    <row r="318" spans="1:23" x14ac:dyDescent="0.3">
      <c r="A318" t="s">
        <v>409</v>
      </c>
      <c r="B318" s="7">
        <v>46011</v>
      </c>
      <c r="C318" t="s">
        <v>73</v>
      </c>
      <c r="D318" t="s">
        <v>1097</v>
      </c>
      <c r="E318" s="3" t="s">
        <v>1103</v>
      </c>
      <c r="F318" s="3">
        <v>0</v>
      </c>
      <c r="G318" t="s">
        <v>13</v>
      </c>
      <c r="H318" t="s">
        <v>1108</v>
      </c>
      <c r="I318" t="s">
        <v>21</v>
      </c>
      <c r="J318" t="s">
        <v>52</v>
      </c>
      <c r="K318" t="s">
        <v>10</v>
      </c>
      <c r="L318" t="s">
        <v>10</v>
      </c>
      <c r="M318" t="s">
        <v>10</v>
      </c>
      <c r="N318" t="s">
        <v>57</v>
      </c>
      <c r="O318" t="str">
        <f>INDEX(CoverageTable[Deductible Applies],MATCH(Table18[[#This Row],[Coverage]],CoverageTable[Coverage],0))</f>
        <v>No</v>
      </c>
      <c r="P318" t="str">
        <f>INDEX(CoverageTable[Coverage Limit Applies],MATCH(Table18[[#This Row],[Coverage]],CoverageTable[Coverage],0))</f>
        <v>Yes</v>
      </c>
      <c r="Q318" t="s">
        <v>10</v>
      </c>
      <c r="R318" t="s">
        <v>79</v>
      </c>
      <c r="S318" t="s">
        <v>10</v>
      </c>
      <c r="T318" t="s">
        <v>10</v>
      </c>
      <c r="U318" t="s">
        <v>57</v>
      </c>
      <c r="V318" t="s">
        <v>57</v>
      </c>
      <c r="W318" t="s">
        <v>57</v>
      </c>
    </row>
    <row r="319" spans="1:23" x14ac:dyDescent="0.3">
      <c r="A319" t="s">
        <v>410</v>
      </c>
      <c r="B319" s="7">
        <v>45951</v>
      </c>
      <c r="C319" t="s">
        <v>70</v>
      </c>
      <c r="D319" t="s">
        <v>1101</v>
      </c>
      <c r="E319" s="3">
        <v>6</v>
      </c>
      <c r="F319" s="3">
        <v>0</v>
      </c>
      <c r="G319" t="s">
        <v>13</v>
      </c>
      <c r="H319" t="s">
        <v>1107</v>
      </c>
      <c r="I319" t="s">
        <v>22</v>
      </c>
      <c r="J319" t="s">
        <v>51</v>
      </c>
      <c r="K319" t="s">
        <v>10</v>
      </c>
      <c r="L319" t="s">
        <v>10</v>
      </c>
      <c r="M319" t="s">
        <v>57</v>
      </c>
      <c r="N319" t="s">
        <v>10</v>
      </c>
      <c r="O319" t="str">
        <f>INDEX(CoverageTable[Deductible Applies],MATCH(Table18[[#This Row],[Coverage]],CoverageTable[Coverage],0))</f>
        <v>No</v>
      </c>
      <c r="P319" t="str">
        <f>INDEX(CoverageTable[Coverage Limit Applies],MATCH(Table18[[#This Row],[Coverage]],CoverageTable[Coverage],0))</f>
        <v>Yes</v>
      </c>
      <c r="Q319" t="s">
        <v>10</v>
      </c>
      <c r="R319" t="s">
        <v>79</v>
      </c>
      <c r="S319" t="s">
        <v>10</v>
      </c>
      <c r="T319" t="s">
        <v>10</v>
      </c>
      <c r="U319" t="s">
        <v>57</v>
      </c>
      <c r="V319" t="s">
        <v>10</v>
      </c>
      <c r="W319" t="s">
        <v>10</v>
      </c>
    </row>
    <row r="320" spans="1:23" x14ac:dyDescent="0.3">
      <c r="A320" t="s">
        <v>411</v>
      </c>
      <c r="B320" s="7">
        <v>45845</v>
      </c>
      <c r="C320" t="s">
        <v>72</v>
      </c>
      <c r="D320" t="s">
        <v>1097</v>
      </c>
      <c r="E320" s="3">
        <v>6</v>
      </c>
      <c r="F320" s="3">
        <v>4</v>
      </c>
      <c r="G320" t="s">
        <v>10</v>
      </c>
      <c r="H320" t="s">
        <v>1109</v>
      </c>
      <c r="I320" t="s">
        <v>25</v>
      </c>
      <c r="J320" t="s">
        <v>52</v>
      </c>
      <c r="K320" t="s">
        <v>10</v>
      </c>
      <c r="L320" t="s">
        <v>10</v>
      </c>
      <c r="M320" t="s">
        <v>10</v>
      </c>
      <c r="N320" t="s">
        <v>10</v>
      </c>
      <c r="O320" t="str">
        <f>INDEX(CoverageTable[Deductible Applies],MATCH(Table18[[#This Row],[Coverage]],CoverageTable[Coverage],0))</f>
        <v>Yes</v>
      </c>
      <c r="P320" t="str">
        <f>INDEX(CoverageTable[Coverage Limit Applies],MATCH(Table18[[#This Row],[Coverage]],CoverageTable[Coverage],0))</f>
        <v>No</v>
      </c>
      <c r="Q320" t="s">
        <v>78</v>
      </c>
      <c r="R320" t="s">
        <v>10</v>
      </c>
      <c r="S320" t="s">
        <v>10</v>
      </c>
      <c r="T320" t="s">
        <v>10</v>
      </c>
      <c r="U320" t="s">
        <v>10</v>
      </c>
      <c r="V320" t="s">
        <v>10</v>
      </c>
      <c r="W320" t="s">
        <v>10</v>
      </c>
    </row>
    <row r="321" spans="1:23" x14ac:dyDescent="0.3">
      <c r="A321" t="s">
        <v>412</v>
      </c>
      <c r="B321" s="7">
        <v>45946</v>
      </c>
      <c r="C321" t="s">
        <v>70</v>
      </c>
      <c r="D321" t="s">
        <v>1101</v>
      </c>
      <c r="E321" s="3">
        <v>2</v>
      </c>
      <c r="F321" s="3">
        <v>1</v>
      </c>
      <c r="G321" t="s">
        <v>10</v>
      </c>
      <c r="H321" t="s">
        <v>1106</v>
      </c>
      <c r="I321" t="s">
        <v>44</v>
      </c>
      <c r="J321" t="s">
        <v>50</v>
      </c>
      <c r="K321" t="s">
        <v>10</v>
      </c>
      <c r="L321" t="s">
        <v>10</v>
      </c>
      <c r="M321" t="s">
        <v>10</v>
      </c>
      <c r="N321" t="s">
        <v>10</v>
      </c>
      <c r="O321" t="str">
        <f>INDEX(CoverageTable[Deductible Applies],MATCH(Table18[[#This Row],[Coverage]],CoverageTable[Coverage],0))</f>
        <v>No</v>
      </c>
      <c r="P321" t="str">
        <f>INDEX(CoverageTable[Coverage Limit Applies],MATCH(Table18[[#This Row],[Coverage]],CoverageTable[Coverage],0))</f>
        <v>Yes</v>
      </c>
      <c r="Q321" t="s">
        <v>10</v>
      </c>
      <c r="R321" t="s">
        <v>79</v>
      </c>
      <c r="S321" t="s">
        <v>10</v>
      </c>
      <c r="T321" t="s">
        <v>57</v>
      </c>
      <c r="U321" t="s">
        <v>10</v>
      </c>
      <c r="V321" t="s">
        <v>10</v>
      </c>
      <c r="W321" t="s">
        <v>10</v>
      </c>
    </row>
    <row r="322" spans="1:23" x14ac:dyDescent="0.3">
      <c r="A322" t="s">
        <v>413</v>
      </c>
      <c r="B322" s="7">
        <v>45838</v>
      </c>
      <c r="C322" t="s">
        <v>71</v>
      </c>
      <c r="D322" t="s">
        <v>1097</v>
      </c>
      <c r="E322" s="3">
        <v>4</v>
      </c>
      <c r="F322" s="3" t="s">
        <v>7</v>
      </c>
      <c r="G322" t="s">
        <v>11</v>
      </c>
      <c r="H322" t="s">
        <v>1108</v>
      </c>
      <c r="I322" t="s">
        <v>26</v>
      </c>
      <c r="J322" t="s">
        <v>49</v>
      </c>
      <c r="K322" t="s">
        <v>10</v>
      </c>
      <c r="L322" t="s">
        <v>10</v>
      </c>
      <c r="M322" t="s">
        <v>10</v>
      </c>
      <c r="N322" t="s">
        <v>57</v>
      </c>
      <c r="O322" t="str">
        <f>INDEX(CoverageTable[Deductible Applies],MATCH(Table18[[#This Row],[Coverage]],CoverageTable[Coverage],0))</f>
        <v>Yes</v>
      </c>
      <c r="P322" t="str">
        <f>INDEX(CoverageTable[Coverage Limit Applies],MATCH(Table18[[#This Row],[Coverage]],CoverageTable[Coverage],0))</f>
        <v>No</v>
      </c>
      <c r="Q322" t="s">
        <v>79</v>
      </c>
      <c r="R322" t="s">
        <v>10</v>
      </c>
      <c r="S322" t="s">
        <v>10</v>
      </c>
      <c r="T322" t="s">
        <v>57</v>
      </c>
      <c r="U322" t="s">
        <v>10</v>
      </c>
      <c r="V322" t="s">
        <v>10</v>
      </c>
      <c r="W322" t="s">
        <v>10</v>
      </c>
    </row>
    <row r="323" spans="1:23" x14ac:dyDescent="0.3">
      <c r="A323" t="s">
        <v>414</v>
      </c>
      <c r="B323" s="7">
        <v>45902</v>
      </c>
      <c r="C323" t="s">
        <v>70</v>
      </c>
      <c r="D323" t="s">
        <v>1102</v>
      </c>
      <c r="E323" s="3">
        <v>1</v>
      </c>
      <c r="F323" s="3">
        <v>1</v>
      </c>
      <c r="G323" t="s">
        <v>11</v>
      </c>
      <c r="H323" t="s">
        <v>1110</v>
      </c>
      <c r="I323" t="s">
        <v>39</v>
      </c>
      <c r="J323" t="s">
        <v>49</v>
      </c>
      <c r="K323" t="s">
        <v>10</v>
      </c>
      <c r="L323" t="s">
        <v>10</v>
      </c>
      <c r="M323" t="s">
        <v>10</v>
      </c>
      <c r="N323" t="s">
        <v>10</v>
      </c>
      <c r="O323" t="str">
        <f>INDEX(CoverageTable[Deductible Applies],MATCH(Table18[[#This Row],[Coverage]],CoverageTable[Coverage],0))</f>
        <v>No</v>
      </c>
      <c r="P323" t="str">
        <f>INDEX(CoverageTable[Coverage Limit Applies],MATCH(Table18[[#This Row],[Coverage]],CoverageTable[Coverage],0))</f>
        <v>Yes</v>
      </c>
      <c r="Q323" t="s">
        <v>10</v>
      </c>
      <c r="R323" t="s">
        <v>79</v>
      </c>
      <c r="S323" t="s">
        <v>10</v>
      </c>
      <c r="T323" t="s">
        <v>57</v>
      </c>
      <c r="U323" t="s">
        <v>10</v>
      </c>
      <c r="V323" t="s">
        <v>57</v>
      </c>
      <c r="W323" t="s">
        <v>10</v>
      </c>
    </row>
    <row r="324" spans="1:23" x14ac:dyDescent="0.3">
      <c r="A324" t="s">
        <v>415</v>
      </c>
      <c r="B324" s="7">
        <v>46080</v>
      </c>
      <c r="C324" t="s">
        <v>72</v>
      </c>
      <c r="D324" t="s">
        <v>1101</v>
      </c>
      <c r="E324" s="3" t="s">
        <v>1103</v>
      </c>
      <c r="F324" s="3">
        <v>0</v>
      </c>
      <c r="G324" t="s">
        <v>11</v>
      </c>
      <c r="H324" t="s">
        <v>1106</v>
      </c>
      <c r="I324" t="s">
        <v>36</v>
      </c>
      <c r="J324" t="s">
        <v>48</v>
      </c>
      <c r="K324" t="s">
        <v>10</v>
      </c>
      <c r="L324" t="s">
        <v>57</v>
      </c>
      <c r="M324" t="s">
        <v>10</v>
      </c>
      <c r="N324" t="s">
        <v>10</v>
      </c>
      <c r="O324" t="str">
        <f>INDEX(CoverageTable[Deductible Applies],MATCH(Table18[[#This Row],[Coverage]],CoverageTable[Coverage],0))</f>
        <v>Yes</v>
      </c>
      <c r="P324" t="str">
        <f>INDEX(CoverageTable[Coverage Limit Applies],MATCH(Table18[[#This Row],[Coverage]],CoverageTable[Coverage],0))</f>
        <v>No</v>
      </c>
      <c r="Q324" t="s">
        <v>80</v>
      </c>
      <c r="R324" t="s">
        <v>10</v>
      </c>
      <c r="S324" t="s">
        <v>10</v>
      </c>
      <c r="T324" t="s">
        <v>10</v>
      </c>
      <c r="U324" t="s">
        <v>57</v>
      </c>
      <c r="V324" t="s">
        <v>10</v>
      </c>
      <c r="W324" t="s">
        <v>10</v>
      </c>
    </row>
    <row r="325" spans="1:23" x14ac:dyDescent="0.3">
      <c r="A325" t="s">
        <v>416</v>
      </c>
      <c r="B325" s="7">
        <v>46020</v>
      </c>
      <c r="C325" t="s">
        <v>70</v>
      </c>
      <c r="D325" t="s">
        <v>1099</v>
      </c>
      <c r="E325" s="3">
        <v>7</v>
      </c>
      <c r="F325" s="3">
        <v>2</v>
      </c>
      <c r="G325" t="s">
        <v>11</v>
      </c>
      <c r="H325" t="s">
        <v>1110</v>
      </c>
      <c r="I325" t="s">
        <v>43</v>
      </c>
      <c r="J325" t="s">
        <v>53</v>
      </c>
      <c r="K325" t="s">
        <v>10</v>
      </c>
      <c r="L325" t="s">
        <v>10</v>
      </c>
      <c r="M325" t="s">
        <v>57</v>
      </c>
      <c r="N325" t="s">
        <v>57</v>
      </c>
      <c r="O325" t="str">
        <f>INDEX(CoverageTable[Deductible Applies],MATCH(Table18[[#This Row],[Coverage]],CoverageTable[Coverage],0))</f>
        <v>No</v>
      </c>
      <c r="P325" t="str">
        <f>INDEX(CoverageTable[Coverage Limit Applies],MATCH(Table18[[#This Row],[Coverage]],CoverageTable[Coverage],0))</f>
        <v>Yes</v>
      </c>
      <c r="Q325" t="s">
        <v>10</v>
      </c>
      <c r="R325" t="s">
        <v>78</v>
      </c>
      <c r="S325" t="s">
        <v>10</v>
      </c>
      <c r="T325" t="s">
        <v>10</v>
      </c>
      <c r="U325" t="s">
        <v>57</v>
      </c>
      <c r="V325" t="s">
        <v>10</v>
      </c>
      <c r="W325" t="s">
        <v>10</v>
      </c>
    </row>
    <row r="326" spans="1:23" x14ac:dyDescent="0.3">
      <c r="A326" t="s">
        <v>417</v>
      </c>
      <c r="B326" s="7">
        <v>45914</v>
      </c>
      <c r="C326" t="s">
        <v>71</v>
      </c>
      <c r="D326" t="s">
        <v>1099</v>
      </c>
      <c r="E326" s="3">
        <v>4</v>
      </c>
      <c r="F326" s="3">
        <v>4</v>
      </c>
      <c r="G326" t="s">
        <v>10</v>
      </c>
      <c r="H326" t="s">
        <v>1107</v>
      </c>
      <c r="I326" t="s">
        <v>24</v>
      </c>
      <c r="J326" t="s">
        <v>54</v>
      </c>
      <c r="K326" t="s">
        <v>10</v>
      </c>
      <c r="L326" t="s">
        <v>10</v>
      </c>
      <c r="M326" t="s">
        <v>10</v>
      </c>
      <c r="N326" t="s">
        <v>57</v>
      </c>
      <c r="O326" t="str">
        <f>INDEX(CoverageTable[Deductible Applies],MATCH(Table18[[#This Row],[Coverage]],CoverageTable[Coverage],0))</f>
        <v>Yes</v>
      </c>
      <c r="P326" t="str">
        <f>INDEX(CoverageTable[Coverage Limit Applies],MATCH(Table18[[#This Row],[Coverage]],CoverageTable[Coverage],0))</f>
        <v>No</v>
      </c>
      <c r="Q326" t="s">
        <v>80</v>
      </c>
      <c r="R326" t="s">
        <v>10</v>
      </c>
      <c r="S326" t="s">
        <v>10</v>
      </c>
      <c r="T326" t="s">
        <v>10</v>
      </c>
      <c r="U326" t="s">
        <v>10</v>
      </c>
      <c r="V326" t="s">
        <v>10</v>
      </c>
      <c r="W326" t="s">
        <v>10</v>
      </c>
    </row>
    <row r="327" spans="1:23" x14ac:dyDescent="0.3">
      <c r="A327" t="s">
        <v>418</v>
      </c>
      <c r="B327" s="7">
        <v>46042</v>
      </c>
      <c r="C327" t="s">
        <v>71</v>
      </c>
      <c r="D327" t="s">
        <v>1101</v>
      </c>
      <c r="E327" s="3">
        <v>2</v>
      </c>
      <c r="F327" s="3">
        <v>0</v>
      </c>
      <c r="G327" t="s">
        <v>11</v>
      </c>
      <c r="H327" t="s">
        <v>1109</v>
      </c>
      <c r="I327" t="s">
        <v>35</v>
      </c>
      <c r="J327" t="s">
        <v>50</v>
      </c>
      <c r="K327" t="s">
        <v>10</v>
      </c>
      <c r="L327" t="s">
        <v>10</v>
      </c>
      <c r="M327" t="s">
        <v>10</v>
      </c>
      <c r="N327" t="s">
        <v>10</v>
      </c>
      <c r="O327" t="str">
        <f>INDEX(CoverageTable[Deductible Applies],MATCH(Table18[[#This Row],[Coverage]],CoverageTable[Coverage],0))</f>
        <v>Yes</v>
      </c>
      <c r="P327" t="str">
        <f>INDEX(CoverageTable[Coverage Limit Applies],MATCH(Table18[[#This Row],[Coverage]],CoverageTable[Coverage],0))</f>
        <v>No</v>
      </c>
      <c r="Q327" t="s">
        <v>79</v>
      </c>
      <c r="R327" t="s">
        <v>10</v>
      </c>
      <c r="S327" t="s">
        <v>10</v>
      </c>
      <c r="T327" t="s">
        <v>57</v>
      </c>
      <c r="U327" t="s">
        <v>10</v>
      </c>
      <c r="V327" t="s">
        <v>10</v>
      </c>
      <c r="W327" t="s">
        <v>10</v>
      </c>
    </row>
    <row r="328" spans="1:23" x14ac:dyDescent="0.3">
      <c r="A328" t="s">
        <v>419</v>
      </c>
      <c r="B328" s="7">
        <v>45967</v>
      </c>
      <c r="C328" t="s">
        <v>71</v>
      </c>
      <c r="D328" t="s">
        <v>1100</v>
      </c>
      <c r="E328" s="3">
        <v>3</v>
      </c>
      <c r="F328" s="3">
        <v>2</v>
      </c>
      <c r="G328" t="s">
        <v>11</v>
      </c>
      <c r="H328" t="s">
        <v>1110</v>
      </c>
      <c r="I328" t="s">
        <v>37</v>
      </c>
      <c r="J328" t="s">
        <v>48</v>
      </c>
      <c r="K328" t="s">
        <v>10</v>
      </c>
      <c r="L328" t="s">
        <v>10</v>
      </c>
      <c r="M328" t="s">
        <v>10</v>
      </c>
      <c r="N328" t="s">
        <v>57</v>
      </c>
      <c r="O328" t="str">
        <f>INDEX(CoverageTable[Deductible Applies],MATCH(Table18[[#This Row],[Coverage]],CoverageTable[Coverage],0))</f>
        <v>Yes</v>
      </c>
      <c r="P328" t="str">
        <f>INDEX(CoverageTable[Coverage Limit Applies],MATCH(Table18[[#This Row],[Coverage]],CoverageTable[Coverage],0))</f>
        <v>No</v>
      </c>
      <c r="Q328" t="s">
        <v>79</v>
      </c>
      <c r="R328" t="s">
        <v>10</v>
      </c>
      <c r="S328" t="s">
        <v>10</v>
      </c>
      <c r="T328" t="s">
        <v>57</v>
      </c>
      <c r="U328" t="s">
        <v>10</v>
      </c>
      <c r="V328" t="s">
        <v>57</v>
      </c>
      <c r="W328" t="s">
        <v>10</v>
      </c>
    </row>
    <row r="329" spans="1:23" x14ac:dyDescent="0.3">
      <c r="A329" t="s">
        <v>420</v>
      </c>
      <c r="B329" s="7">
        <v>46137</v>
      </c>
      <c r="C329" t="s">
        <v>70</v>
      </c>
      <c r="D329" t="s">
        <v>1100</v>
      </c>
      <c r="E329" s="3">
        <v>1</v>
      </c>
      <c r="F329" s="3">
        <v>0</v>
      </c>
      <c r="G329" t="s">
        <v>12</v>
      </c>
      <c r="H329" t="s">
        <v>1108</v>
      </c>
      <c r="I329" t="s">
        <v>31</v>
      </c>
      <c r="J329" t="s">
        <v>52</v>
      </c>
      <c r="K329" t="s">
        <v>10</v>
      </c>
      <c r="L329" t="s">
        <v>10</v>
      </c>
      <c r="M329" t="s">
        <v>57</v>
      </c>
      <c r="N329" t="s">
        <v>10</v>
      </c>
      <c r="O329" t="str">
        <f>INDEX(CoverageTable[Deductible Applies],MATCH(Table18[[#This Row],[Coverage]],CoverageTable[Coverage],0))</f>
        <v>No</v>
      </c>
      <c r="P329" t="str">
        <f>INDEX(CoverageTable[Coverage Limit Applies],MATCH(Table18[[#This Row],[Coverage]],CoverageTable[Coverage],0))</f>
        <v>Yes</v>
      </c>
      <c r="Q329" t="s">
        <v>10</v>
      </c>
      <c r="R329" t="s">
        <v>78</v>
      </c>
      <c r="S329" t="s">
        <v>10</v>
      </c>
      <c r="T329" t="s">
        <v>57</v>
      </c>
      <c r="U329" t="s">
        <v>10</v>
      </c>
      <c r="V329" t="s">
        <v>57</v>
      </c>
      <c r="W329" t="s">
        <v>10</v>
      </c>
    </row>
    <row r="330" spans="1:23" x14ac:dyDescent="0.3">
      <c r="A330" t="s">
        <v>421</v>
      </c>
      <c r="B330" s="7">
        <v>46007</v>
      </c>
      <c r="C330" t="s">
        <v>73</v>
      </c>
      <c r="D330" t="s">
        <v>1099</v>
      </c>
      <c r="E330" s="3">
        <v>1</v>
      </c>
      <c r="F330" s="3">
        <v>4</v>
      </c>
      <c r="G330" t="s">
        <v>10</v>
      </c>
      <c r="H330" t="s">
        <v>1107</v>
      </c>
      <c r="I330" t="s">
        <v>44</v>
      </c>
      <c r="J330" t="s">
        <v>48</v>
      </c>
      <c r="K330" t="s">
        <v>10</v>
      </c>
      <c r="L330" t="s">
        <v>10</v>
      </c>
      <c r="M330" t="s">
        <v>10</v>
      </c>
      <c r="N330" t="s">
        <v>10</v>
      </c>
      <c r="O330" t="str">
        <f>INDEX(CoverageTable[Deductible Applies],MATCH(Table18[[#This Row],[Coverage]],CoverageTable[Coverage],0))</f>
        <v>No</v>
      </c>
      <c r="P330" t="str">
        <f>INDEX(CoverageTable[Coverage Limit Applies],MATCH(Table18[[#This Row],[Coverage]],CoverageTable[Coverage],0))</f>
        <v>Yes</v>
      </c>
      <c r="Q330" t="s">
        <v>10</v>
      </c>
      <c r="R330" t="s">
        <v>79</v>
      </c>
      <c r="S330" t="s">
        <v>10</v>
      </c>
      <c r="T330" t="s">
        <v>57</v>
      </c>
      <c r="U330" t="s">
        <v>10</v>
      </c>
      <c r="V330" t="s">
        <v>57</v>
      </c>
      <c r="W330" t="s">
        <v>10</v>
      </c>
    </row>
    <row r="331" spans="1:23" x14ac:dyDescent="0.3">
      <c r="A331" t="s">
        <v>422</v>
      </c>
      <c r="B331" s="7">
        <v>45786</v>
      </c>
      <c r="C331" t="s">
        <v>74</v>
      </c>
      <c r="D331" t="s">
        <v>1099</v>
      </c>
      <c r="E331" s="3">
        <v>3</v>
      </c>
      <c r="F331" s="3" t="s">
        <v>7</v>
      </c>
      <c r="G331" t="s">
        <v>13</v>
      </c>
      <c r="H331" t="s">
        <v>1107</v>
      </c>
      <c r="I331" t="s">
        <v>38</v>
      </c>
      <c r="J331" t="s">
        <v>50</v>
      </c>
      <c r="K331" t="s">
        <v>57</v>
      </c>
      <c r="L331" t="s">
        <v>10</v>
      </c>
      <c r="M331" t="s">
        <v>10</v>
      </c>
      <c r="N331" t="s">
        <v>10</v>
      </c>
      <c r="O331" t="str">
        <f>INDEX(CoverageTable[Deductible Applies],MATCH(Table18[[#This Row],[Coverage]],CoverageTable[Coverage],0))</f>
        <v>No</v>
      </c>
      <c r="P331" t="str">
        <f>INDEX(CoverageTable[Coverage Limit Applies],MATCH(Table18[[#This Row],[Coverage]],CoverageTable[Coverage],0))</f>
        <v>Yes</v>
      </c>
      <c r="Q331" t="s">
        <v>10</v>
      </c>
      <c r="R331" t="s">
        <v>79</v>
      </c>
      <c r="S331" t="s">
        <v>10</v>
      </c>
      <c r="T331" t="s">
        <v>10</v>
      </c>
      <c r="U331" t="s">
        <v>57</v>
      </c>
      <c r="V331" t="s">
        <v>10</v>
      </c>
      <c r="W331" t="s">
        <v>10</v>
      </c>
    </row>
    <row r="332" spans="1:23" x14ac:dyDescent="0.3">
      <c r="A332" t="s">
        <v>423</v>
      </c>
      <c r="B332" s="7">
        <v>45986</v>
      </c>
      <c r="C332" t="s">
        <v>70</v>
      </c>
      <c r="D332" t="s">
        <v>1102</v>
      </c>
      <c r="E332" s="3">
        <v>6</v>
      </c>
      <c r="F332" s="3">
        <v>2</v>
      </c>
      <c r="G332" t="s">
        <v>10</v>
      </c>
      <c r="H332" t="s">
        <v>1109</v>
      </c>
      <c r="I332" t="s">
        <v>34</v>
      </c>
      <c r="J332" t="s">
        <v>48</v>
      </c>
      <c r="K332" t="s">
        <v>10</v>
      </c>
      <c r="L332" t="s">
        <v>10</v>
      </c>
      <c r="M332" t="s">
        <v>10</v>
      </c>
      <c r="N332" t="s">
        <v>57</v>
      </c>
      <c r="O332" t="str">
        <f>INDEX(CoverageTable[Deductible Applies],MATCH(Table18[[#This Row],[Coverage]],CoverageTable[Coverage],0))</f>
        <v>No</v>
      </c>
      <c r="P332" t="str">
        <f>INDEX(CoverageTable[Coverage Limit Applies],MATCH(Table18[[#This Row],[Coverage]],CoverageTable[Coverage],0))</f>
        <v>Yes</v>
      </c>
      <c r="Q332" t="s">
        <v>10</v>
      </c>
      <c r="R332" t="s">
        <v>79</v>
      </c>
      <c r="S332" t="s">
        <v>10</v>
      </c>
      <c r="T332" t="s">
        <v>10</v>
      </c>
      <c r="U332" t="s">
        <v>57</v>
      </c>
      <c r="V332" t="s">
        <v>10</v>
      </c>
      <c r="W332" t="s">
        <v>10</v>
      </c>
    </row>
    <row r="333" spans="1:23" x14ac:dyDescent="0.3">
      <c r="A333" t="s">
        <v>424</v>
      </c>
      <c r="B333" s="7">
        <v>45827</v>
      </c>
      <c r="C333" t="s">
        <v>71</v>
      </c>
      <c r="D333" t="s">
        <v>1098</v>
      </c>
      <c r="E333" s="3">
        <v>6</v>
      </c>
      <c r="F333" s="3">
        <v>1</v>
      </c>
      <c r="G333" t="s">
        <v>10</v>
      </c>
      <c r="H333" t="s">
        <v>1108</v>
      </c>
      <c r="I333" t="s">
        <v>33</v>
      </c>
      <c r="J333" t="s">
        <v>49</v>
      </c>
      <c r="K333" t="s">
        <v>10</v>
      </c>
      <c r="L333" t="s">
        <v>10</v>
      </c>
      <c r="M333" t="s">
        <v>10</v>
      </c>
      <c r="N333" t="s">
        <v>10</v>
      </c>
      <c r="O333" t="str">
        <f>INDEX(CoverageTable[Deductible Applies],MATCH(Table18[[#This Row],[Coverage]],CoverageTable[Coverage],0))</f>
        <v>Yes</v>
      </c>
      <c r="P333" t="str">
        <f>INDEX(CoverageTable[Coverage Limit Applies],MATCH(Table18[[#This Row],[Coverage]],CoverageTable[Coverage],0))</f>
        <v>No</v>
      </c>
      <c r="Q333" t="s">
        <v>78</v>
      </c>
      <c r="R333" t="s">
        <v>10</v>
      </c>
      <c r="S333" t="s">
        <v>10</v>
      </c>
      <c r="T333" t="s">
        <v>10</v>
      </c>
      <c r="U333" t="s">
        <v>10</v>
      </c>
      <c r="V333" t="s">
        <v>10</v>
      </c>
      <c r="W333" t="s">
        <v>57</v>
      </c>
    </row>
    <row r="334" spans="1:23" x14ac:dyDescent="0.3">
      <c r="A334" t="s">
        <v>425</v>
      </c>
      <c r="B334" s="7">
        <v>45834</v>
      </c>
      <c r="C334" t="s">
        <v>71</v>
      </c>
      <c r="D334" t="s">
        <v>1097</v>
      </c>
      <c r="E334" s="3">
        <v>7</v>
      </c>
      <c r="F334" s="3">
        <v>1</v>
      </c>
      <c r="G334" t="s">
        <v>10</v>
      </c>
      <c r="H334" t="s">
        <v>1106</v>
      </c>
      <c r="I334" t="s">
        <v>39</v>
      </c>
      <c r="J334" t="s">
        <v>53</v>
      </c>
      <c r="K334" t="s">
        <v>10</v>
      </c>
      <c r="L334" t="s">
        <v>57</v>
      </c>
      <c r="M334" t="s">
        <v>57</v>
      </c>
      <c r="N334" t="s">
        <v>57</v>
      </c>
      <c r="O334" t="str">
        <f>INDEX(CoverageTable[Deductible Applies],MATCH(Table18[[#This Row],[Coverage]],CoverageTable[Coverage],0))</f>
        <v>Yes</v>
      </c>
      <c r="P334" t="str">
        <f>INDEX(CoverageTable[Coverage Limit Applies],MATCH(Table18[[#This Row],[Coverage]],CoverageTable[Coverage],0))</f>
        <v>No</v>
      </c>
      <c r="Q334" t="s">
        <v>79</v>
      </c>
      <c r="R334" t="s">
        <v>10</v>
      </c>
      <c r="S334" t="s">
        <v>57</v>
      </c>
      <c r="T334" t="s">
        <v>10</v>
      </c>
      <c r="U334" t="s">
        <v>10</v>
      </c>
      <c r="V334" t="s">
        <v>10</v>
      </c>
      <c r="W334" t="s">
        <v>10</v>
      </c>
    </row>
    <row r="335" spans="1:23" x14ac:dyDescent="0.3">
      <c r="A335" t="s">
        <v>426</v>
      </c>
      <c r="B335" s="7">
        <v>45849</v>
      </c>
      <c r="C335" t="s">
        <v>74</v>
      </c>
      <c r="D335" t="s">
        <v>1102</v>
      </c>
      <c r="E335" s="3">
        <v>1</v>
      </c>
      <c r="F335" s="3">
        <v>1</v>
      </c>
      <c r="G335" t="s">
        <v>11</v>
      </c>
      <c r="H335" t="s">
        <v>1110</v>
      </c>
      <c r="I335" t="s">
        <v>36</v>
      </c>
      <c r="J335" t="s">
        <v>48</v>
      </c>
      <c r="K335" t="s">
        <v>10</v>
      </c>
      <c r="L335" t="s">
        <v>10</v>
      </c>
      <c r="M335" t="s">
        <v>10</v>
      </c>
      <c r="N335" t="s">
        <v>10</v>
      </c>
      <c r="O335" t="str">
        <f>INDEX(CoverageTable[Deductible Applies],MATCH(Table18[[#This Row],[Coverage]],CoverageTable[Coverage],0))</f>
        <v>No</v>
      </c>
      <c r="P335" t="str">
        <f>INDEX(CoverageTable[Coverage Limit Applies],MATCH(Table18[[#This Row],[Coverage]],CoverageTable[Coverage],0))</f>
        <v>Yes</v>
      </c>
      <c r="Q335" t="s">
        <v>10</v>
      </c>
      <c r="R335" t="s">
        <v>80</v>
      </c>
      <c r="S335" t="s">
        <v>10</v>
      </c>
      <c r="T335" t="s">
        <v>10</v>
      </c>
      <c r="U335" t="s">
        <v>10</v>
      </c>
      <c r="V335" t="s">
        <v>10</v>
      </c>
      <c r="W335" t="s">
        <v>10</v>
      </c>
    </row>
    <row r="336" spans="1:23" x14ac:dyDescent="0.3">
      <c r="A336" t="s">
        <v>427</v>
      </c>
      <c r="B336" s="7">
        <v>46001</v>
      </c>
      <c r="C336" t="s">
        <v>70</v>
      </c>
      <c r="D336" t="s">
        <v>1100</v>
      </c>
      <c r="E336" s="3">
        <v>4</v>
      </c>
      <c r="F336" s="3">
        <v>3</v>
      </c>
      <c r="G336" t="s">
        <v>11</v>
      </c>
      <c r="H336" t="s">
        <v>1107</v>
      </c>
      <c r="I336" t="s">
        <v>31</v>
      </c>
      <c r="J336" t="s">
        <v>51</v>
      </c>
      <c r="K336" t="s">
        <v>10</v>
      </c>
      <c r="L336" t="s">
        <v>10</v>
      </c>
      <c r="M336" t="s">
        <v>10</v>
      </c>
      <c r="N336" t="s">
        <v>57</v>
      </c>
      <c r="O336" t="str">
        <f>INDEX(CoverageTable[Deductible Applies],MATCH(Table18[[#This Row],[Coverage]],CoverageTable[Coverage],0))</f>
        <v>No</v>
      </c>
      <c r="P336" t="str">
        <f>INDEX(CoverageTable[Coverage Limit Applies],MATCH(Table18[[#This Row],[Coverage]],CoverageTable[Coverage],0))</f>
        <v>Yes</v>
      </c>
      <c r="Q336" t="s">
        <v>10</v>
      </c>
      <c r="R336" t="s">
        <v>80</v>
      </c>
      <c r="S336" t="s">
        <v>10</v>
      </c>
      <c r="T336" t="s">
        <v>10</v>
      </c>
      <c r="U336" t="s">
        <v>57</v>
      </c>
      <c r="V336" t="s">
        <v>10</v>
      </c>
      <c r="W336" t="s">
        <v>10</v>
      </c>
    </row>
    <row r="337" spans="1:23" x14ac:dyDescent="0.3">
      <c r="A337" t="s">
        <v>428</v>
      </c>
      <c r="B337" s="7">
        <v>46114</v>
      </c>
      <c r="C337" t="s">
        <v>70</v>
      </c>
      <c r="D337" t="s">
        <v>1102</v>
      </c>
      <c r="E337" s="3">
        <v>4</v>
      </c>
      <c r="F337" s="3">
        <v>1</v>
      </c>
      <c r="G337" t="s">
        <v>12</v>
      </c>
      <c r="H337" t="s">
        <v>1106</v>
      </c>
      <c r="I337" t="s">
        <v>32</v>
      </c>
      <c r="J337" t="s">
        <v>51</v>
      </c>
      <c r="K337" t="s">
        <v>57</v>
      </c>
      <c r="L337" t="s">
        <v>10</v>
      </c>
      <c r="M337" t="s">
        <v>10</v>
      </c>
      <c r="N337" t="s">
        <v>10</v>
      </c>
      <c r="O337" t="str">
        <f>INDEX(CoverageTable[Deductible Applies],MATCH(Table18[[#This Row],[Coverage]],CoverageTable[Coverage],0))</f>
        <v>No</v>
      </c>
      <c r="P337" t="str">
        <f>INDEX(CoverageTable[Coverage Limit Applies],MATCH(Table18[[#This Row],[Coverage]],CoverageTable[Coverage],0))</f>
        <v>Yes</v>
      </c>
      <c r="Q337" t="s">
        <v>10</v>
      </c>
      <c r="R337" t="s">
        <v>78</v>
      </c>
      <c r="S337" t="s">
        <v>10</v>
      </c>
      <c r="T337" t="s">
        <v>10</v>
      </c>
      <c r="U337" t="s">
        <v>10</v>
      </c>
      <c r="V337" t="s">
        <v>10</v>
      </c>
      <c r="W337" t="s">
        <v>10</v>
      </c>
    </row>
    <row r="338" spans="1:23" x14ac:dyDescent="0.3">
      <c r="A338" t="s">
        <v>429</v>
      </c>
      <c r="B338" s="7">
        <v>46067</v>
      </c>
      <c r="C338" t="s">
        <v>70</v>
      </c>
      <c r="D338" t="s">
        <v>1101</v>
      </c>
      <c r="E338" s="3">
        <v>4</v>
      </c>
      <c r="F338" s="3">
        <v>0</v>
      </c>
      <c r="G338" t="s">
        <v>13</v>
      </c>
      <c r="H338" t="s">
        <v>1106</v>
      </c>
      <c r="I338" t="s">
        <v>21</v>
      </c>
      <c r="J338" t="s">
        <v>54</v>
      </c>
      <c r="K338" t="s">
        <v>10</v>
      </c>
      <c r="L338" t="s">
        <v>10</v>
      </c>
      <c r="M338" t="s">
        <v>10</v>
      </c>
      <c r="N338" t="s">
        <v>10</v>
      </c>
      <c r="O338" t="str">
        <f>INDEX(CoverageTable[Deductible Applies],MATCH(Table18[[#This Row],[Coverage]],CoverageTable[Coverage],0))</f>
        <v>No</v>
      </c>
      <c r="P338" t="str">
        <f>INDEX(CoverageTable[Coverage Limit Applies],MATCH(Table18[[#This Row],[Coverage]],CoverageTable[Coverage],0))</f>
        <v>Yes</v>
      </c>
      <c r="Q338" t="s">
        <v>10</v>
      </c>
      <c r="R338" t="s">
        <v>79</v>
      </c>
      <c r="S338" t="s">
        <v>10</v>
      </c>
      <c r="T338" t="s">
        <v>10</v>
      </c>
      <c r="U338" t="s">
        <v>10</v>
      </c>
      <c r="V338" t="s">
        <v>10</v>
      </c>
      <c r="W338" t="s">
        <v>10</v>
      </c>
    </row>
    <row r="339" spans="1:23" x14ac:dyDescent="0.3">
      <c r="A339" t="s">
        <v>430</v>
      </c>
      <c r="B339" s="7">
        <v>45780</v>
      </c>
      <c r="C339" t="s">
        <v>70</v>
      </c>
      <c r="D339" t="s">
        <v>1097</v>
      </c>
      <c r="E339" s="3">
        <v>6</v>
      </c>
      <c r="F339" s="3">
        <v>1</v>
      </c>
      <c r="G339" t="s">
        <v>10</v>
      </c>
      <c r="H339" t="s">
        <v>1110</v>
      </c>
      <c r="I339" t="s">
        <v>26</v>
      </c>
      <c r="J339" t="s">
        <v>51</v>
      </c>
      <c r="K339" t="s">
        <v>10</v>
      </c>
      <c r="L339" t="s">
        <v>57</v>
      </c>
      <c r="M339" t="s">
        <v>10</v>
      </c>
      <c r="N339" t="s">
        <v>57</v>
      </c>
      <c r="O339" t="str">
        <f>INDEX(CoverageTable[Deductible Applies],MATCH(Table18[[#This Row],[Coverage]],CoverageTable[Coverage],0))</f>
        <v>No</v>
      </c>
      <c r="P339" t="str">
        <f>INDEX(CoverageTable[Coverage Limit Applies],MATCH(Table18[[#This Row],[Coverage]],CoverageTable[Coverage],0))</f>
        <v>Yes</v>
      </c>
      <c r="Q339" t="s">
        <v>10</v>
      </c>
      <c r="R339" t="s">
        <v>79</v>
      </c>
      <c r="S339" t="s">
        <v>57</v>
      </c>
      <c r="T339" t="s">
        <v>57</v>
      </c>
      <c r="U339" t="s">
        <v>57</v>
      </c>
      <c r="V339" t="s">
        <v>10</v>
      </c>
      <c r="W339" t="s">
        <v>57</v>
      </c>
    </row>
    <row r="340" spans="1:23" x14ac:dyDescent="0.3">
      <c r="A340" t="s">
        <v>431</v>
      </c>
      <c r="B340" s="7">
        <v>46074</v>
      </c>
      <c r="C340" t="s">
        <v>70</v>
      </c>
      <c r="D340" t="s">
        <v>1102</v>
      </c>
      <c r="E340" s="3">
        <v>3</v>
      </c>
      <c r="F340" s="3">
        <v>4</v>
      </c>
      <c r="G340" t="s">
        <v>12</v>
      </c>
      <c r="H340" t="s">
        <v>1108</v>
      </c>
      <c r="I340" t="s">
        <v>26</v>
      </c>
      <c r="J340" t="s">
        <v>48</v>
      </c>
      <c r="K340" t="s">
        <v>10</v>
      </c>
      <c r="L340" t="s">
        <v>10</v>
      </c>
      <c r="M340" t="s">
        <v>10</v>
      </c>
      <c r="N340" t="s">
        <v>10</v>
      </c>
      <c r="O340" t="str">
        <f>INDEX(CoverageTable[Deductible Applies],MATCH(Table18[[#This Row],[Coverage]],CoverageTable[Coverage],0))</f>
        <v>No</v>
      </c>
      <c r="P340" t="str">
        <f>INDEX(CoverageTable[Coverage Limit Applies],MATCH(Table18[[#This Row],[Coverage]],CoverageTable[Coverage],0))</f>
        <v>Yes</v>
      </c>
      <c r="Q340" t="s">
        <v>10</v>
      </c>
      <c r="R340" t="s">
        <v>79</v>
      </c>
      <c r="S340" t="s">
        <v>10</v>
      </c>
      <c r="T340" t="s">
        <v>57</v>
      </c>
      <c r="U340" t="s">
        <v>10</v>
      </c>
      <c r="V340" t="s">
        <v>10</v>
      </c>
      <c r="W340" t="s">
        <v>10</v>
      </c>
    </row>
    <row r="341" spans="1:23" x14ac:dyDescent="0.3">
      <c r="A341" t="s">
        <v>432</v>
      </c>
      <c r="B341" s="7">
        <v>46091</v>
      </c>
      <c r="C341" t="s">
        <v>71</v>
      </c>
      <c r="D341" t="s">
        <v>1099</v>
      </c>
      <c r="E341" s="3" t="s">
        <v>1103</v>
      </c>
      <c r="F341" s="3">
        <v>1</v>
      </c>
      <c r="G341" t="s">
        <v>10</v>
      </c>
      <c r="H341" t="s">
        <v>1109</v>
      </c>
      <c r="I341" t="s">
        <v>42</v>
      </c>
      <c r="J341" t="s">
        <v>48</v>
      </c>
      <c r="K341" t="s">
        <v>10</v>
      </c>
      <c r="L341" t="s">
        <v>10</v>
      </c>
      <c r="M341" t="s">
        <v>10</v>
      </c>
      <c r="N341" t="s">
        <v>57</v>
      </c>
      <c r="O341" t="str">
        <f>INDEX(CoverageTable[Deductible Applies],MATCH(Table18[[#This Row],[Coverage]],CoverageTable[Coverage],0))</f>
        <v>Yes</v>
      </c>
      <c r="P341" t="str">
        <f>INDEX(CoverageTable[Coverage Limit Applies],MATCH(Table18[[#This Row],[Coverage]],CoverageTable[Coverage],0))</f>
        <v>No</v>
      </c>
      <c r="Q341" t="s">
        <v>80</v>
      </c>
      <c r="R341" t="s">
        <v>10</v>
      </c>
      <c r="S341" t="s">
        <v>10</v>
      </c>
      <c r="T341" t="s">
        <v>10</v>
      </c>
      <c r="U341" t="s">
        <v>57</v>
      </c>
      <c r="V341" t="s">
        <v>10</v>
      </c>
      <c r="W341" t="s">
        <v>10</v>
      </c>
    </row>
    <row r="342" spans="1:23" x14ac:dyDescent="0.3">
      <c r="A342" t="s">
        <v>433</v>
      </c>
      <c r="B342" s="7">
        <v>45998</v>
      </c>
      <c r="C342" t="s">
        <v>74</v>
      </c>
      <c r="D342" t="s">
        <v>1101</v>
      </c>
      <c r="E342" s="3" t="s">
        <v>1103</v>
      </c>
      <c r="F342" s="3">
        <v>0</v>
      </c>
      <c r="G342" t="s">
        <v>10</v>
      </c>
      <c r="H342" t="s">
        <v>1108</v>
      </c>
      <c r="I342" t="s">
        <v>30</v>
      </c>
      <c r="J342" t="s">
        <v>53</v>
      </c>
      <c r="K342" t="s">
        <v>10</v>
      </c>
      <c r="L342" t="s">
        <v>10</v>
      </c>
      <c r="M342" t="s">
        <v>10</v>
      </c>
      <c r="N342" t="s">
        <v>10</v>
      </c>
      <c r="O342" t="str">
        <f>INDEX(CoverageTable[Deductible Applies],MATCH(Table18[[#This Row],[Coverage]],CoverageTable[Coverage],0))</f>
        <v>No</v>
      </c>
      <c r="P342" t="str">
        <f>INDEX(CoverageTable[Coverage Limit Applies],MATCH(Table18[[#This Row],[Coverage]],CoverageTable[Coverage],0))</f>
        <v>Yes</v>
      </c>
      <c r="Q342" t="s">
        <v>10</v>
      </c>
      <c r="R342" t="s">
        <v>78</v>
      </c>
      <c r="S342" t="s">
        <v>57</v>
      </c>
      <c r="T342" t="s">
        <v>10</v>
      </c>
      <c r="U342" t="s">
        <v>10</v>
      </c>
      <c r="V342" t="s">
        <v>57</v>
      </c>
      <c r="W342" t="s">
        <v>10</v>
      </c>
    </row>
    <row r="343" spans="1:23" x14ac:dyDescent="0.3">
      <c r="A343" t="s">
        <v>434</v>
      </c>
      <c r="B343" s="7">
        <v>46135</v>
      </c>
      <c r="C343" t="s">
        <v>70</v>
      </c>
      <c r="D343" t="s">
        <v>1102</v>
      </c>
      <c r="E343" s="3" t="s">
        <v>1103</v>
      </c>
      <c r="F343" s="3">
        <v>0</v>
      </c>
      <c r="G343" t="s">
        <v>11</v>
      </c>
      <c r="H343" t="s">
        <v>1110</v>
      </c>
      <c r="I343" t="s">
        <v>38</v>
      </c>
      <c r="J343" t="s">
        <v>54</v>
      </c>
      <c r="K343" t="s">
        <v>10</v>
      </c>
      <c r="L343" t="s">
        <v>10</v>
      </c>
      <c r="M343" t="s">
        <v>10</v>
      </c>
      <c r="N343" t="s">
        <v>57</v>
      </c>
      <c r="O343" t="str">
        <f>INDEX(CoverageTable[Deductible Applies],MATCH(Table18[[#This Row],[Coverage]],CoverageTable[Coverage],0))</f>
        <v>No</v>
      </c>
      <c r="P343" t="str">
        <f>INDEX(CoverageTable[Coverage Limit Applies],MATCH(Table18[[#This Row],[Coverage]],CoverageTable[Coverage],0))</f>
        <v>Yes</v>
      </c>
      <c r="Q343" t="s">
        <v>10</v>
      </c>
      <c r="R343" t="s">
        <v>80</v>
      </c>
      <c r="S343" t="s">
        <v>10</v>
      </c>
      <c r="T343" t="s">
        <v>10</v>
      </c>
      <c r="U343" t="s">
        <v>10</v>
      </c>
      <c r="V343" t="s">
        <v>10</v>
      </c>
      <c r="W343" t="s">
        <v>10</v>
      </c>
    </row>
    <row r="344" spans="1:23" x14ac:dyDescent="0.3">
      <c r="A344" t="s">
        <v>435</v>
      </c>
      <c r="B344" s="7">
        <v>45812</v>
      </c>
      <c r="C344" t="s">
        <v>71</v>
      </c>
      <c r="D344" t="s">
        <v>1101</v>
      </c>
      <c r="E344" s="3">
        <v>5</v>
      </c>
      <c r="F344" s="3">
        <v>0</v>
      </c>
      <c r="G344" t="s">
        <v>10</v>
      </c>
      <c r="H344" t="s">
        <v>1106</v>
      </c>
      <c r="I344" t="s">
        <v>30</v>
      </c>
      <c r="J344" t="s">
        <v>53</v>
      </c>
      <c r="K344" t="s">
        <v>10</v>
      </c>
      <c r="L344" t="s">
        <v>10</v>
      </c>
      <c r="M344" t="s">
        <v>57</v>
      </c>
      <c r="N344" t="s">
        <v>10</v>
      </c>
      <c r="O344" t="str">
        <f>INDEX(CoverageTable[Deductible Applies],MATCH(Table18[[#This Row],[Coverage]],CoverageTable[Coverage],0))</f>
        <v>Yes</v>
      </c>
      <c r="P344" t="str">
        <f>INDEX(CoverageTable[Coverage Limit Applies],MATCH(Table18[[#This Row],[Coverage]],CoverageTable[Coverage],0))</f>
        <v>No</v>
      </c>
      <c r="Q344" t="s">
        <v>78</v>
      </c>
      <c r="R344" t="s">
        <v>10</v>
      </c>
      <c r="S344" t="s">
        <v>10</v>
      </c>
      <c r="T344" t="s">
        <v>10</v>
      </c>
      <c r="U344" t="s">
        <v>57</v>
      </c>
      <c r="V344" t="s">
        <v>57</v>
      </c>
      <c r="W344" t="s">
        <v>10</v>
      </c>
    </row>
    <row r="345" spans="1:23" x14ac:dyDescent="0.3">
      <c r="A345" t="s">
        <v>436</v>
      </c>
      <c r="B345" s="7">
        <v>45982</v>
      </c>
      <c r="C345" t="s">
        <v>70</v>
      </c>
      <c r="D345" t="s">
        <v>1097</v>
      </c>
      <c r="E345" s="3">
        <v>1</v>
      </c>
      <c r="F345" s="3">
        <v>1</v>
      </c>
      <c r="G345" t="s">
        <v>12</v>
      </c>
      <c r="H345" t="s">
        <v>1106</v>
      </c>
      <c r="I345" t="s">
        <v>30</v>
      </c>
      <c r="J345" t="s">
        <v>48</v>
      </c>
      <c r="K345" t="s">
        <v>10</v>
      </c>
      <c r="L345" t="s">
        <v>57</v>
      </c>
      <c r="M345" t="s">
        <v>10</v>
      </c>
      <c r="N345" t="s">
        <v>10</v>
      </c>
      <c r="O345" t="str">
        <f>INDEX(CoverageTable[Deductible Applies],MATCH(Table18[[#This Row],[Coverage]],CoverageTable[Coverage],0))</f>
        <v>No</v>
      </c>
      <c r="P345" t="str">
        <f>INDEX(CoverageTable[Coverage Limit Applies],MATCH(Table18[[#This Row],[Coverage]],CoverageTable[Coverage],0))</f>
        <v>Yes</v>
      </c>
      <c r="Q345" t="s">
        <v>10</v>
      </c>
      <c r="R345" t="s">
        <v>79</v>
      </c>
      <c r="S345" t="s">
        <v>10</v>
      </c>
      <c r="T345" t="s">
        <v>57</v>
      </c>
      <c r="U345" t="s">
        <v>10</v>
      </c>
      <c r="V345" t="s">
        <v>57</v>
      </c>
      <c r="W345" t="s">
        <v>57</v>
      </c>
    </row>
    <row r="346" spans="1:23" x14ac:dyDescent="0.3">
      <c r="A346" t="s">
        <v>437</v>
      </c>
      <c r="B346" s="7">
        <v>45959</v>
      </c>
      <c r="C346" t="s">
        <v>71</v>
      </c>
      <c r="D346" t="s">
        <v>1100</v>
      </c>
      <c r="E346" s="3">
        <v>1</v>
      </c>
      <c r="F346" s="3">
        <v>0</v>
      </c>
      <c r="G346" t="s">
        <v>10</v>
      </c>
      <c r="H346" t="s">
        <v>1110</v>
      </c>
      <c r="I346" t="s">
        <v>29</v>
      </c>
      <c r="J346" t="s">
        <v>50</v>
      </c>
      <c r="K346" t="s">
        <v>10</v>
      </c>
      <c r="L346" t="s">
        <v>10</v>
      </c>
      <c r="M346" t="s">
        <v>57</v>
      </c>
      <c r="N346" t="s">
        <v>57</v>
      </c>
      <c r="O346" t="str">
        <f>INDEX(CoverageTable[Deductible Applies],MATCH(Table18[[#This Row],[Coverage]],CoverageTable[Coverage],0))</f>
        <v>Yes</v>
      </c>
      <c r="P346" t="str">
        <f>INDEX(CoverageTable[Coverage Limit Applies],MATCH(Table18[[#This Row],[Coverage]],CoverageTable[Coverage],0))</f>
        <v>No</v>
      </c>
      <c r="Q346" t="s">
        <v>80</v>
      </c>
      <c r="R346" t="s">
        <v>10</v>
      </c>
      <c r="S346" t="s">
        <v>10</v>
      </c>
      <c r="T346" t="s">
        <v>10</v>
      </c>
      <c r="U346" t="s">
        <v>57</v>
      </c>
      <c r="V346" t="s">
        <v>10</v>
      </c>
      <c r="W346" t="s">
        <v>10</v>
      </c>
    </row>
    <row r="347" spans="1:23" x14ac:dyDescent="0.3">
      <c r="A347" t="s">
        <v>438</v>
      </c>
      <c r="B347" s="7">
        <v>46095</v>
      </c>
      <c r="C347" t="s">
        <v>70</v>
      </c>
      <c r="D347" t="s">
        <v>1098</v>
      </c>
      <c r="E347" s="3" t="s">
        <v>1103</v>
      </c>
      <c r="F347" s="3">
        <v>1</v>
      </c>
      <c r="G347" t="s">
        <v>11</v>
      </c>
      <c r="H347" t="s">
        <v>1108</v>
      </c>
      <c r="I347" t="s">
        <v>24</v>
      </c>
      <c r="J347" t="s">
        <v>53</v>
      </c>
      <c r="K347" t="s">
        <v>10</v>
      </c>
      <c r="L347" t="s">
        <v>10</v>
      </c>
      <c r="M347" t="s">
        <v>10</v>
      </c>
      <c r="N347" t="s">
        <v>10</v>
      </c>
      <c r="O347" t="str">
        <f>INDEX(CoverageTable[Deductible Applies],MATCH(Table18[[#This Row],[Coverage]],CoverageTable[Coverage],0))</f>
        <v>No</v>
      </c>
      <c r="P347" t="str">
        <f>INDEX(CoverageTable[Coverage Limit Applies],MATCH(Table18[[#This Row],[Coverage]],CoverageTable[Coverage],0))</f>
        <v>Yes</v>
      </c>
      <c r="Q347" t="s">
        <v>10</v>
      </c>
      <c r="R347" t="s">
        <v>78</v>
      </c>
      <c r="S347" t="s">
        <v>10</v>
      </c>
      <c r="T347" t="s">
        <v>10</v>
      </c>
      <c r="U347" t="s">
        <v>57</v>
      </c>
      <c r="V347" t="s">
        <v>57</v>
      </c>
      <c r="W347" t="s">
        <v>10</v>
      </c>
    </row>
    <row r="348" spans="1:23" x14ac:dyDescent="0.3">
      <c r="A348" t="s">
        <v>439</v>
      </c>
      <c r="B348" s="7">
        <v>45981</v>
      </c>
      <c r="C348" t="s">
        <v>70</v>
      </c>
      <c r="D348" t="s">
        <v>1100</v>
      </c>
      <c r="E348" s="3">
        <v>6</v>
      </c>
      <c r="F348" s="3">
        <v>0</v>
      </c>
      <c r="G348" t="s">
        <v>10</v>
      </c>
      <c r="H348" t="s">
        <v>1110</v>
      </c>
      <c r="I348" t="s">
        <v>40</v>
      </c>
      <c r="J348" t="s">
        <v>54</v>
      </c>
      <c r="K348" t="s">
        <v>10</v>
      </c>
      <c r="L348" t="s">
        <v>10</v>
      </c>
      <c r="M348" t="s">
        <v>10</v>
      </c>
      <c r="N348" t="s">
        <v>57</v>
      </c>
      <c r="O348" t="str">
        <f>INDEX(CoverageTable[Deductible Applies],MATCH(Table18[[#This Row],[Coverage]],CoverageTable[Coverage],0))</f>
        <v>No</v>
      </c>
      <c r="P348" t="str">
        <f>INDEX(CoverageTable[Coverage Limit Applies],MATCH(Table18[[#This Row],[Coverage]],CoverageTable[Coverage],0))</f>
        <v>Yes</v>
      </c>
      <c r="Q348" t="s">
        <v>10</v>
      </c>
      <c r="R348" t="s">
        <v>80</v>
      </c>
      <c r="S348" t="s">
        <v>10</v>
      </c>
      <c r="T348" t="s">
        <v>10</v>
      </c>
      <c r="U348" t="s">
        <v>10</v>
      </c>
      <c r="V348" t="s">
        <v>10</v>
      </c>
      <c r="W348" t="s">
        <v>10</v>
      </c>
    </row>
    <row r="349" spans="1:23" x14ac:dyDescent="0.3">
      <c r="A349" t="s">
        <v>440</v>
      </c>
      <c r="B349" s="7">
        <v>45825</v>
      </c>
      <c r="C349" t="s">
        <v>70</v>
      </c>
      <c r="D349" t="s">
        <v>1100</v>
      </c>
      <c r="E349" s="3">
        <v>7</v>
      </c>
      <c r="F349" s="3">
        <v>0</v>
      </c>
      <c r="G349" t="s">
        <v>10</v>
      </c>
      <c r="H349" t="s">
        <v>1109</v>
      </c>
      <c r="I349" t="s">
        <v>22</v>
      </c>
      <c r="J349" t="s">
        <v>50</v>
      </c>
      <c r="K349" t="s">
        <v>10</v>
      </c>
      <c r="L349" t="s">
        <v>57</v>
      </c>
      <c r="M349" t="s">
        <v>10</v>
      </c>
      <c r="N349" t="s">
        <v>57</v>
      </c>
      <c r="O349" t="str">
        <f>INDEX(CoverageTable[Deductible Applies],MATCH(Table18[[#This Row],[Coverage]],CoverageTable[Coverage],0))</f>
        <v>No</v>
      </c>
      <c r="P349" t="str">
        <f>INDEX(CoverageTable[Coverage Limit Applies],MATCH(Table18[[#This Row],[Coverage]],CoverageTable[Coverage],0))</f>
        <v>Yes</v>
      </c>
      <c r="Q349" t="s">
        <v>10</v>
      </c>
      <c r="R349" t="s">
        <v>79</v>
      </c>
      <c r="S349" t="s">
        <v>10</v>
      </c>
      <c r="T349" t="s">
        <v>10</v>
      </c>
      <c r="U349" t="s">
        <v>10</v>
      </c>
      <c r="V349" t="s">
        <v>10</v>
      </c>
      <c r="W349" t="s">
        <v>10</v>
      </c>
    </row>
    <row r="350" spans="1:23" x14ac:dyDescent="0.3">
      <c r="A350" t="s">
        <v>441</v>
      </c>
      <c r="B350" s="7">
        <v>46065</v>
      </c>
      <c r="C350" t="s">
        <v>70</v>
      </c>
      <c r="D350" t="s">
        <v>1097</v>
      </c>
      <c r="E350" s="3">
        <v>2</v>
      </c>
      <c r="F350" s="3">
        <v>1</v>
      </c>
      <c r="G350" t="s">
        <v>10</v>
      </c>
      <c r="H350" t="s">
        <v>1109</v>
      </c>
      <c r="I350" t="s">
        <v>28</v>
      </c>
      <c r="J350" t="s">
        <v>49</v>
      </c>
      <c r="K350" t="s">
        <v>10</v>
      </c>
      <c r="L350" t="s">
        <v>10</v>
      </c>
      <c r="M350" t="s">
        <v>10</v>
      </c>
      <c r="N350" t="s">
        <v>57</v>
      </c>
      <c r="O350" t="str">
        <f>INDEX(CoverageTable[Deductible Applies],MATCH(Table18[[#This Row],[Coverage]],CoverageTable[Coverage],0))</f>
        <v>No</v>
      </c>
      <c r="P350" t="str">
        <f>INDEX(CoverageTable[Coverage Limit Applies],MATCH(Table18[[#This Row],[Coverage]],CoverageTable[Coverage],0))</f>
        <v>Yes</v>
      </c>
      <c r="Q350" t="s">
        <v>10</v>
      </c>
      <c r="R350" t="s">
        <v>79</v>
      </c>
      <c r="S350" t="s">
        <v>10</v>
      </c>
      <c r="T350" t="s">
        <v>10</v>
      </c>
      <c r="U350" t="s">
        <v>57</v>
      </c>
      <c r="V350" t="s">
        <v>10</v>
      </c>
      <c r="W350" t="s">
        <v>10</v>
      </c>
    </row>
    <row r="351" spans="1:23" x14ac:dyDescent="0.3">
      <c r="A351" t="s">
        <v>442</v>
      </c>
      <c r="B351" s="7">
        <v>46136</v>
      </c>
      <c r="C351" t="s">
        <v>73</v>
      </c>
      <c r="D351" t="s">
        <v>1100</v>
      </c>
      <c r="E351" s="3">
        <v>5</v>
      </c>
      <c r="F351" s="3">
        <v>1</v>
      </c>
      <c r="G351" t="s">
        <v>13</v>
      </c>
      <c r="H351" t="s">
        <v>1109</v>
      </c>
      <c r="I351" t="s">
        <v>27</v>
      </c>
      <c r="J351" t="s">
        <v>50</v>
      </c>
      <c r="K351" t="s">
        <v>10</v>
      </c>
      <c r="L351" t="s">
        <v>57</v>
      </c>
      <c r="M351" t="s">
        <v>10</v>
      </c>
      <c r="N351" t="s">
        <v>57</v>
      </c>
      <c r="O351" t="str">
        <f>INDEX(CoverageTable[Deductible Applies],MATCH(Table18[[#This Row],[Coverage]],CoverageTable[Coverage],0))</f>
        <v>No</v>
      </c>
      <c r="P351" t="str">
        <f>INDEX(CoverageTable[Coverage Limit Applies],MATCH(Table18[[#This Row],[Coverage]],CoverageTable[Coverage],0))</f>
        <v>Yes</v>
      </c>
      <c r="Q351" t="s">
        <v>10</v>
      </c>
      <c r="R351" t="s">
        <v>79</v>
      </c>
      <c r="S351" t="s">
        <v>10</v>
      </c>
      <c r="T351" t="s">
        <v>57</v>
      </c>
      <c r="U351" t="s">
        <v>10</v>
      </c>
      <c r="V351" t="s">
        <v>10</v>
      </c>
      <c r="W351" t="s">
        <v>10</v>
      </c>
    </row>
    <row r="352" spans="1:23" x14ac:dyDescent="0.3">
      <c r="A352" t="s">
        <v>443</v>
      </c>
      <c r="B352" s="7">
        <v>46083</v>
      </c>
      <c r="C352" t="s">
        <v>71</v>
      </c>
      <c r="D352" t="s">
        <v>1100</v>
      </c>
      <c r="E352" s="3">
        <v>7</v>
      </c>
      <c r="F352" s="3">
        <v>1</v>
      </c>
      <c r="G352" t="s">
        <v>10</v>
      </c>
      <c r="H352" t="s">
        <v>1109</v>
      </c>
      <c r="I352" t="s">
        <v>40</v>
      </c>
      <c r="J352" t="s">
        <v>52</v>
      </c>
      <c r="K352" t="s">
        <v>10</v>
      </c>
      <c r="L352" t="s">
        <v>10</v>
      </c>
      <c r="M352" t="s">
        <v>10</v>
      </c>
      <c r="N352" t="s">
        <v>57</v>
      </c>
      <c r="O352" t="str">
        <f>INDEX(CoverageTable[Deductible Applies],MATCH(Table18[[#This Row],[Coverage]],CoverageTable[Coverage],0))</f>
        <v>Yes</v>
      </c>
      <c r="P352" t="str">
        <f>INDEX(CoverageTable[Coverage Limit Applies],MATCH(Table18[[#This Row],[Coverage]],CoverageTable[Coverage],0))</f>
        <v>No</v>
      </c>
      <c r="Q352" t="s">
        <v>79</v>
      </c>
      <c r="R352" t="s">
        <v>10</v>
      </c>
      <c r="S352" t="s">
        <v>10</v>
      </c>
      <c r="T352" t="s">
        <v>57</v>
      </c>
      <c r="U352" t="s">
        <v>57</v>
      </c>
      <c r="V352" t="s">
        <v>10</v>
      </c>
      <c r="W352" t="s">
        <v>10</v>
      </c>
    </row>
    <row r="353" spans="1:23" x14ac:dyDescent="0.3">
      <c r="A353" t="s">
        <v>444</v>
      </c>
      <c r="B353" s="7">
        <v>46032</v>
      </c>
      <c r="C353" t="s">
        <v>72</v>
      </c>
      <c r="D353" t="s">
        <v>1099</v>
      </c>
      <c r="E353" s="3">
        <v>4</v>
      </c>
      <c r="F353" s="3">
        <v>1</v>
      </c>
      <c r="G353" t="s">
        <v>13</v>
      </c>
      <c r="H353" t="s">
        <v>1107</v>
      </c>
      <c r="I353" t="s">
        <v>34</v>
      </c>
      <c r="J353" t="s">
        <v>49</v>
      </c>
      <c r="K353" t="s">
        <v>10</v>
      </c>
      <c r="L353" t="s">
        <v>10</v>
      </c>
      <c r="M353" t="s">
        <v>10</v>
      </c>
      <c r="N353" t="s">
        <v>57</v>
      </c>
      <c r="O353" t="str">
        <f>INDEX(CoverageTable[Deductible Applies],MATCH(Table18[[#This Row],[Coverage]],CoverageTable[Coverage],0))</f>
        <v>Yes</v>
      </c>
      <c r="P353" t="str">
        <f>INDEX(CoverageTable[Coverage Limit Applies],MATCH(Table18[[#This Row],[Coverage]],CoverageTable[Coverage],0))</f>
        <v>No</v>
      </c>
      <c r="Q353" t="s">
        <v>80</v>
      </c>
      <c r="R353" t="s">
        <v>10</v>
      </c>
      <c r="S353" t="s">
        <v>57</v>
      </c>
      <c r="T353" t="s">
        <v>10</v>
      </c>
      <c r="U353" t="s">
        <v>10</v>
      </c>
      <c r="V353" t="s">
        <v>10</v>
      </c>
      <c r="W353" t="s">
        <v>10</v>
      </c>
    </row>
    <row r="354" spans="1:23" x14ac:dyDescent="0.3">
      <c r="A354" t="s">
        <v>445</v>
      </c>
      <c r="B354" s="7">
        <v>45897</v>
      </c>
      <c r="C354" t="s">
        <v>74</v>
      </c>
      <c r="D354" t="s">
        <v>1097</v>
      </c>
      <c r="E354" s="3">
        <v>5</v>
      </c>
      <c r="F354" s="3">
        <v>1</v>
      </c>
      <c r="G354" t="s">
        <v>10</v>
      </c>
      <c r="H354" t="s">
        <v>1108</v>
      </c>
      <c r="I354" t="s">
        <v>29</v>
      </c>
      <c r="J354" t="s">
        <v>54</v>
      </c>
      <c r="K354" t="s">
        <v>10</v>
      </c>
      <c r="L354" t="s">
        <v>57</v>
      </c>
      <c r="M354" t="s">
        <v>57</v>
      </c>
      <c r="N354" t="s">
        <v>10</v>
      </c>
      <c r="O354" t="str">
        <f>INDEX(CoverageTable[Deductible Applies],MATCH(Table18[[#This Row],[Coverage]],CoverageTable[Coverage],0))</f>
        <v>No</v>
      </c>
      <c r="P354" t="str">
        <f>INDEX(CoverageTable[Coverage Limit Applies],MATCH(Table18[[#This Row],[Coverage]],CoverageTable[Coverage],0))</f>
        <v>Yes</v>
      </c>
      <c r="Q354" t="s">
        <v>10</v>
      </c>
      <c r="R354" t="s">
        <v>79</v>
      </c>
      <c r="S354" t="s">
        <v>10</v>
      </c>
      <c r="T354" t="s">
        <v>10</v>
      </c>
      <c r="U354" t="s">
        <v>57</v>
      </c>
      <c r="V354" t="s">
        <v>10</v>
      </c>
      <c r="W354" t="s">
        <v>57</v>
      </c>
    </row>
    <row r="355" spans="1:23" x14ac:dyDescent="0.3">
      <c r="A355" t="s">
        <v>446</v>
      </c>
      <c r="B355" s="7">
        <v>46035</v>
      </c>
      <c r="C355" t="s">
        <v>70</v>
      </c>
      <c r="D355" t="s">
        <v>1102</v>
      </c>
      <c r="E355" s="3">
        <v>3</v>
      </c>
      <c r="F355" s="3">
        <v>3</v>
      </c>
      <c r="G355" t="s">
        <v>10</v>
      </c>
      <c r="H355" t="s">
        <v>1107</v>
      </c>
      <c r="I355" t="s">
        <v>40</v>
      </c>
      <c r="J355" t="s">
        <v>49</v>
      </c>
      <c r="K355" t="s">
        <v>10</v>
      </c>
      <c r="L355" t="s">
        <v>10</v>
      </c>
      <c r="M355" t="s">
        <v>10</v>
      </c>
      <c r="N355" t="s">
        <v>10</v>
      </c>
      <c r="O355" t="str">
        <f>INDEX(CoverageTable[Deductible Applies],MATCH(Table18[[#This Row],[Coverage]],CoverageTable[Coverage],0))</f>
        <v>No</v>
      </c>
      <c r="P355" t="str">
        <f>INDEX(CoverageTable[Coverage Limit Applies],MATCH(Table18[[#This Row],[Coverage]],CoverageTable[Coverage],0))</f>
        <v>Yes</v>
      </c>
      <c r="Q355" t="s">
        <v>10</v>
      </c>
      <c r="R355" t="s">
        <v>78</v>
      </c>
      <c r="S355" t="s">
        <v>10</v>
      </c>
      <c r="T355" t="s">
        <v>10</v>
      </c>
      <c r="U355" t="s">
        <v>10</v>
      </c>
      <c r="V355" t="s">
        <v>10</v>
      </c>
      <c r="W355" t="s">
        <v>10</v>
      </c>
    </row>
    <row r="356" spans="1:23" x14ac:dyDescent="0.3">
      <c r="A356" t="s">
        <v>447</v>
      </c>
      <c r="B356" s="7">
        <v>45991</v>
      </c>
      <c r="C356" t="s">
        <v>74</v>
      </c>
      <c r="D356" t="s">
        <v>1102</v>
      </c>
      <c r="E356" s="3">
        <v>2</v>
      </c>
      <c r="F356" s="3">
        <v>1</v>
      </c>
      <c r="G356" t="s">
        <v>12</v>
      </c>
      <c r="H356" t="s">
        <v>1106</v>
      </c>
      <c r="I356" t="s">
        <v>38</v>
      </c>
      <c r="J356" t="s">
        <v>50</v>
      </c>
      <c r="K356" t="s">
        <v>10</v>
      </c>
      <c r="L356" t="s">
        <v>57</v>
      </c>
      <c r="M356" t="s">
        <v>10</v>
      </c>
      <c r="N356" t="s">
        <v>10</v>
      </c>
      <c r="O356" t="str">
        <f>INDEX(CoverageTable[Deductible Applies],MATCH(Table18[[#This Row],[Coverage]],CoverageTable[Coverage],0))</f>
        <v>No</v>
      </c>
      <c r="P356" t="str">
        <f>INDEX(CoverageTable[Coverage Limit Applies],MATCH(Table18[[#This Row],[Coverage]],CoverageTable[Coverage],0))</f>
        <v>Yes</v>
      </c>
      <c r="Q356" t="s">
        <v>10</v>
      </c>
      <c r="R356" t="s">
        <v>80</v>
      </c>
      <c r="S356" t="s">
        <v>57</v>
      </c>
      <c r="T356" t="s">
        <v>57</v>
      </c>
      <c r="U356" t="s">
        <v>10</v>
      </c>
      <c r="V356" t="s">
        <v>10</v>
      </c>
      <c r="W356" t="s">
        <v>10</v>
      </c>
    </row>
    <row r="357" spans="1:23" x14ac:dyDescent="0.3">
      <c r="A357" t="s">
        <v>448</v>
      </c>
      <c r="B357" s="7">
        <v>45850</v>
      </c>
      <c r="C357" t="s">
        <v>73</v>
      </c>
      <c r="D357" t="s">
        <v>1099</v>
      </c>
      <c r="E357" s="3">
        <v>6</v>
      </c>
      <c r="F357" s="3">
        <v>0</v>
      </c>
      <c r="G357" t="s">
        <v>11</v>
      </c>
      <c r="H357" t="s">
        <v>1110</v>
      </c>
      <c r="I357" t="s">
        <v>21</v>
      </c>
      <c r="J357" t="s">
        <v>51</v>
      </c>
      <c r="K357" t="s">
        <v>10</v>
      </c>
      <c r="L357" t="s">
        <v>10</v>
      </c>
      <c r="M357" t="s">
        <v>10</v>
      </c>
      <c r="N357" t="s">
        <v>57</v>
      </c>
      <c r="O357" t="str">
        <f>INDEX(CoverageTable[Deductible Applies],MATCH(Table18[[#This Row],[Coverage]],CoverageTable[Coverage],0))</f>
        <v>No</v>
      </c>
      <c r="P357" t="str">
        <f>INDEX(CoverageTable[Coverage Limit Applies],MATCH(Table18[[#This Row],[Coverage]],CoverageTable[Coverage],0))</f>
        <v>Yes</v>
      </c>
      <c r="Q357" t="s">
        <v>10</v>
      </c>
      <c r="R357" t="s">
        <v>80</v>
      </c>
      <c r="S357" t="s">
        <v>10</v>
      </c>
      <c r="T357" t="s">
        <v>57</v>
      </c>
      <c r="U357" t="s">
        <v>10</v>
      </c>
      <c r="V357" t="s">
        <v>10</v>
      </c>
      <c r="W357" t="s">
        <v>10</v>
      </c>
    </row>
    <row r="358" spans="1:23" x14ac:dyDescent="0.3">
      <c r="A358" t="s">
        <v>449</v>
      </c>
      <c r="B358" s="7">
        <v>45985</v>
      </c>
      <c r="C358" t="s">
        <v>71</v>
      </c>
      <c r="D358" t="s">
        <v>1100</v>
      </c>
      <c r="E358" s="3">
        <v>3</v>
      </c>
      <c r="F358" s="3" t="s">
        <v>7</v>
      </c>
      <c r="G358" t="s">
        <v>10</v>
      </c>
      <c r="H358" t="s">
        <v>1109</v>
      </c>
      <c r="I358" t="s">
        <v>42</v>
      </c>
      <c r="J358" t="s">
        <v>48</v>
      </c>
      <c r="K358" t="s">
        <v>10</v>
      </c>
      <c r="L358" t="s">
        <v>10</v>
      </c>
      <c r="M358" t="s">
        <v>10</v>
      </c>
      <c r="N358" t="s">
        <v>57</v>
      </c>
      <c r="O358" t="str">
        <f>INDEX(CoverageTable[Deductible Applies],MATCH(Table18[[#This Row],[Coverage]],CoverageTable[Coverage],0))</f>
        <v>Yes</v>
      </c>
      <c r="P358" t="str">
        <f>INDEX(CoverageTable[Coverage Limit Applies],MATCH(Table18[[#This Row],[Coverage]],CoverageTable[Coverage],0))</f>
        <v>No</v>
      </c>
      <c r="Q358" t="s">
        <v>79</v>
      </c>
      <c r="R358" t="s">
        <v>10</v>
      </c>
      <c r="S358" t="s">
        <v>57</v>
      </c>
      <c r="T358" t="s">
        <v>57</v>
      </c>
      <c r="U358" t="s">
        <v>10</v>
      </c>
      <c r="V358" t="s">
        <v>10</v>
      </c>
      <c r="W358" t="s">
        <v>10</v>
      </c>
    </row>
    <row r="359" spans="1:23" x14ac:dyDescent="0.3">
      <c r="A359" t="s">
        <v>450</v>
      </c>
      <c r="B359" s="7">
        <v>45848</v>
      </c>
      <c r="C359" t="s">
        <v>71</v>
      </c>
      <c r="D359" t="s">
        <v>1101</v>
      </c>
      <c r="E359" s="3">
        <v>3</v>
      </c>
      <c r="F359" s="3">
        <v>0</v>
      </c>
      <c r="G359" t="s">
        <v>10</v>
      </c>
      <c r="H359" t="s">
        <v>1106</v>
      </c>
      <c r="I359" t="s">
        <v>39</v>
      </c>
      <c r="J359" t="s">
        <v>48</v>
      </c>
      <c r="K359" t="s">
        <v>57</v>
      </c>
      <c r="L359" t="s">
        <v>10</v>
      </c>
      <c r="M359" t="s">
        <v>10</v>
      </c>
      <c r="N359" t="s">
        <v>10</v>
      </c>
      <c r="O359" t="str">
        <f>INDEX(CoverageTable[Deductible Applies],MATCH(Table18[[#This Row],[Coverage]],CoverageTable[Coverage],0))</f>
        <v>Yes</v>
      </c>
      <c r="P359" t="str">
        <f>INDEX(CoverageTable[Coverage Limit Applies],MATCH(Table18[[#This Row],[Coverage]],CoverageTable[Coverage],0))</f>
        <v>No</v>
      </c>
      <c r="Q359" t="s">
        <v>80</v>
      </c>
      <c r="R359" t="s">
        <v>10</v>
      </c>
      <c r="S359" t="s">
        <v>10</v>
      </c>
      <c r="T359" t="s">
        <v>10</v>
      </c>
      <c r="U359" t="s">
        <v>57</v>
      </c>
      <c r="V359" t="s">
        <v>10</v>
      </c>
      <c r="W359" t="s">
        <v>10</v>
      </c>
    </row>
    <row r="360" spans="1:23" x14ac:dyDescent="0.3">
      <c r="A360" t="s">
        <v>451</v>
      </c>
      <c r="B360" s="7">
        <v>46024</v>
      </c>
      <c r="C360" t="s">
        <v>72</v>
      </c>
      <c r="D360" t="s">
        <v>1098</v>
      </c>
      <c r="E360" s="3">
        <v>2</v>
      </c>
      <c r="F360" s="3">
        <v>1</v>
      </c>
      <c r="G360" t="s">
        <v>13</v>
      </c>
      <c r="H360" t="s">
        <v>1108</v>
      </c>
      <c r="I360" t="s">
        <v>29</v>
      </c>
      <c r="J360" t="s">
        <v>54</v>
      </c>
      <c r="K360" t="s">
        <v>10</v>
      </c>
      <c r="L360" t="s">
        <v>10</v>
      </c>
      <c r="M360" t="s">
        <v>10</v>
      </c>
      <c r="N360" t="s">
        <v>57</v>
      </c>
      <c r="O360" t="str">
        <f>INDEX(CoverageTable[Deductible Applies],MATCH(Table18[[#This Row],[Coverage]],CoverageTable[Coverage],0))</f>
        <v>Yes</v>
      </c>
      <c r="P360" t="str">
        <f>INDEX(CoverageTable[Coverage Limit Applies],MATCH(Table18[[#This Row],[Coverage]],CoverageTable[Coverage],0))</f>
        <v>No</v>
      </c>
      <c r="Q360" t="s">
        <v>80</v>
      </c>
      <c r="R360" t="s">
        <v>10</v>
      </c>
      <c r="S360" t="s">
        <v>10</v>
      </c>
      <c r="T360" t="s">
        <v>10</v>
      </c>
      <c r="U360" t="s">
        <v>10</v>
      </c>
      <c r="V360" t="s">
        <v>57</v>
      </c>
      <c r="W360" t="s">
        <v>10</v>
      </c>
    </row>
    <row r="361" spans="1:23" x14ac:dyDescent="0.3">
      <c r="A361" t="s">
        <v>452</v>
      </c>
      <c r="B361" s="7">
        <v>45921</v>
      </c>
      <c r="C361" t="s">
        <v>71</v>
      </c>
      <c r="D361" t="s">
        <v>1097</v>
      </c>
      <c r="E361" s="3">
        <v>4</v>
      </c>
      <c r="F361" s="3">
        <v>0</v>
      </c>
      <c r="G361" t="s">
        <v>10</v>
      </c>
      <c r="H361" t="s">
        <v>1108</v>
      </c>
      <c r="I361" t="s">
        <v>32</v>
      </c>
      <c r="J361" t="s">
        <v>53</v>
      </c>
      <c r="K361" t="s">
        <v>10</v>
      </c>
      <c r="L361" t="s">
        <v>10</v>
      </c>
      <c r="M361" t="s">
        <v>57</v>
      </c>
      <c r="N361" t="s">
        <v>10</v>
      </c>
      <c r="O361" t="str">
        <f>INDEX(CoverageTable[Deductible Applies],MATCH(Table18[[#This Row],[Coverage]],CoverageTable[Coverage],0))</f>
        <v>Yes</v>
      </c>
      <c r="P361" t="str">
        <f>INDEX(CoverageTable[Coverage Limit Applies],MATCH(Table18[[#This Row],[Coverage]],CoverageTable[Coverage],0))</f>
        <v>No</v>
      </c>
      <c r="Q361" t="s">
        <v>79</v>
      </c>
      <c r="R361" t="s">
        <v>10</v>
      </c>
      <c r="S361" t="s">
        <v>10</v>
      </c>
      <c r="T361" t="s">
        <v>57</v>
      </c>
      <c r="U361" t="s">
        <v>10</v>
      </c>
      <c r="V361" t="s">
        <v>10</v>
      </c>
      <c r="W361" t="s">
        <v>10</v>
      </c>
    </row>
    <row r="362" spans="1:23" x14ac:dyDescent="0.3">
      <c r="A362" t="s">
        <v>453</v>
      </c>
      <c r="B362" s="7">
        <v>46014</v>
      </c>
      <c r="C362" t="s">
        <v>70</v>
      </c>
      <c r="D362" t="s">
        <v>1097</v>
      </c>
      <c r="E362" s="3">
        <v>1</v>
      </c>
      <c r="F362" s="3">
        <v>3</v>
      </c>
      <c r="G362" t="s">
        <v>11</v>
      </c>
      <c r="H362" t="s">
        <v>1110</v>
      </c>
      <c r="I362" t="s">
        <v>35</v>
      </c>
      <c r="J362" t="s">
        <v>49</v>
      </c>
      <c r="K362" t="s">
        <v>10</v>
      </c>
      <c r="L362" t="s">
        <v>10</v>
      </c>
      <c r="M362" t="s">
        <v>10</v>
      </c>
      <c r="N362" t="s">
        <v>57</v>
      </c>
      <c r="O362" t="str">
        <f>INDEX(CoverageTable[Deductible Applies],MATCH(Table18[[#This Row],[Coverage]],CoverageTable[Coverage],0))</f>
        <v>No</v>
      </c>
      <c r="P362" t="str">
        <f>INDEX(CoverageTable[Coverage Limit Applies],MATCH(Table18[[#This Row],[Coverage]],CoverageTable[Coverage],0))</f>
        <v>Yes</v>
      </c>
      <c r="Q362" t="s">
        <v>10</v>
      </c>
      <c r="R362" t="s">
        <v>80</v>
      </c>
      <c r="S362" t="s">
        <v>10</v>
      </c>
      <c r="T362" t="s">
        <v>57</v>
      </c>
      <c r="U362" t="s">
        <v>10</v>
      </c>
      <c r="V362" t="s">
        <v>10</v>
      </c>
      <c r="W362" t="s">
        <v>10</v>
      </c>
    </row>
    <row r="363" spans="1:23" x14ac:dyDescent="0.3">
      <c r="A363" t="s">
        <v>454</v>
      </c>
      <c r="B363" s="7">
        <v>45933</v>
      </c>
      <c r="C363" t="s">
        <v>73</v>
      </c>
      <c r="D363" t="s">
        <v>1102</v>
      </c>
      <c r="E363" s="3">
        <v>6</v>
      </c>
      <c r="F363" s="3">
        <v>1</v>
      </c>
      <c r="G363" t="s">
        <v>10</v>
      </c>
      <c r="H363" t="s">
        <v>1110</v>
      </c>
      <c r="I363" t="s">
        <v>31</v>
      </c>
      <c r="J363" t="s">
        <v>51</v>
      </c>
      <c r="K363" t="s">
        <v>10</v>
      </c>
      <c r="L363" t="s">
        <v>10</v>
      </c>
      <c r="M363" t="s">
        <v>10</v>
      </c>
      <c r="N363" t="s">
        <v>10</v>
      </c>
      <c r="O363" t="str">
        <f>INDEX(CoverageTable[Deductible Applies],MATCH(Table18[[#This Row],[Coverage]],CoverageTable[Coverage],0))</f>
        <v>No</v>
      </c>
      <c r="P363" t="str">
        <f>INDEX(CoverageTable[Coverage Limit Applies],MATCH(Table18[[#This Row],[Coverage]],CoverageTable[Coverage],0))</f>
        <v>Yes</v>
      </c>
      <c r="Q363" t="s">
        <v>10</v>
      </c>
      <c r="R363" t="s">
        <v>79</v>
      </c>
      <c r="S363" t="s">
        <v>10</v>
      </c>
      <c r="T363" t="s">
        <v>10</v>
      </c>
      <c r="U363" t="s">
        <v>10</v>
      </c>
      <c r="V363" t="s">
        <v>10</v>
      </c>
      <c r="W363" t="s">
        <v>10</v>
      </c>
    </row>
    <row r="364" spans="1:23" x14ac:dyDescent="0.3">
      <c r="A364" t="s">
        <v>455</v>
      </c>
      <c r="B364" s="7">
        <v>46082</v>
      </c>
      <c r="C364" t="s">
        <v>70</v>
      </c>
      <c r="D364" t="s">
        <v>1101</v>
      </c>
      <c r="E364" s="3">
        <v>3</v>
      </c>
      <c r="F364" s="3">
        <v>1</v>
      </c>
      <c r="G364" t="s">
        <v>10</v>
      </c>
      <c r="H364" t="s">
        <v>1109</v>
      </c>
      <c r="I364" t="s">
        <v>44</v>
      </c>
      <c r="J364" t="s">
        <v>50</v>
      </c>
      <c r="K364" t="s">
        <v>57</v>
      </c>
      <c r="L364" t="s">
        <v>10</v>
      </c>
      <c r="M364" t="s">
        <v>10</v>
      </c>
      <c r="N364" t="s">
        <v>57</v>
      </c>
      <c r="O364" t="str">
        <f>INDEX(CoverageTable[Deductible Applies],MATCH(Table18[[#This Row],[Coverage]],CoverageTable[Coverage],0))</f>
        <v>No</v>
      </c>
      <c r="P364" t="str">
        <f>INDEX(CoverageTable[Coverage Limit Applies],MATCH(Table18[[#This Row],[Coverage]],CoverageTable[Coverage],0))</f>
        <v>Yes</v>
      </c>
      <c r="Q364" t="s">
        <v>10</v>
      </c>
      <c r="R364" t="s">
        <v>78</v>
      </c>
      <c r="S364" t="s">
        <v>10</v>
      </c>
      <c r="T364" t="s">
        <v>10</v>
      </c>
      <c r="U364" t="s">
        <v>10</v>
      </c>
      <c r="V364" t="s">
        <v>10</v>
      </c>
      <c r="W364" t="s">
        <v>10</v>
      </c>
    </row>
    <row r="365" spans="1:23" x14ac:dyDescent="0.3">
      <c r="A365" t="s">
        <v>456</v>
      </c>
      <c r="B365" s="7">
        <v>46000</v>
      </c>
      <c r="C365" t="s">
        <v>71</v>
      </c>
      <c r="D365" t="s">
        <v>1097</v>
      </c>
      <c r="E365" s="3">
        <v>1</v>
      </c>
      <c r="F365" s="3">
        <v>4</v>
      </c>
      <c r="G365" t="s">
        <v>11</v>
      </c>
      <c r="H365" t="s">
        <v>1107</v>
      </c>
      <c r="I365" t="s">
        <v>41</v>
      </c>
      <c r="J365" t="s">
        <v>50</v>
      </c>
      <c r="K365" t="s">
        <v>10</v>
      </c>
      <c r="L365" t="s">
        <v>10</v>
      </c>
      <c r="M365" t="s">
        <v>10</v>
      </c>
      <c r="N365" t="s">
        <v>57</v>
      </c>
      <c r="O365" t="str">
        <f>INDEX(CoverageTable[Deductible Applies],MATCH(Table18[[#This Row],[Coverage]],CoverageTable[Coverage],0))</f>
        <v>Yes</v>
      </c>
      <c r="P365" t="str">
        <f>INDEX(CoverageTable[Coverage Limit Applies],MATCH(Table18[[#This Row],[Coverage]],CoverageTable[Coverage],0))</f>
        <v>No</v>
      </c>
      <c r="Q365" t="s">
        <v>78</v>
      </c>
      <c r="R365" t="s">
        <v>10</v>
      </c>
      <c r="S365" t="s">
        <v>57</v>
      </c>
      <c r="T365" t="s">
        <v>57</v>
      </c>
      <c r="U365" t="s">
        <v>10</v>
      </c>
      <c r="V365" t="s">
        <v>10</v>
      </c>
      <c r="W365" t="s">
        <v>10</v>
      </c>
    </row>
    <row r="366" spans="1:23" x14ac:dyDescent="0.3">
      <c r="A366" t="s">
        <v>457</v>
      </c>
      <c r="B366" s="7">
        <v>46052</v>
      </c>
      <c r="C366" t="s">
        <v>70</v>
      </c>
      <c r="D366" t="s">
        <v>1100</v>
      </c>
      <c r="E366" s="3">
        <v>3</v>
      </c>
      <c r="F366" s="3">
        <v>3</v>
      </c>
      <c r="G366" t="s">
        <v>11</v>
      </c>
      <c r="H366" t="s">
        <v>1109</v>
      </c>
      <c r="I366" t="s">
        <v>37</v>
      </c>
      <c r="J366" t="s">
        <v>48</v>
      </c>
      <c r="K366" t="s">
        <v>10</v>
      </c>
      <c r="L366" t="s">
        <v>10</v>
      </c>
      <c r="M366" t="s">
        <v>10</v>
      </c>
      <c r="N366" t="s">
        <v>57</v>
      </c>
      <c r="O366" t="str">
        <f>INDEX(CoverageTable[Deductible Applies],MATCH(Table18[[#This Row],[Coverage]],CoverageTable[Coverage],0))</f>
        <v>No</v>
      </c>
      <c r="P366" t="str">
        <f>INDEX(CoverageTable[Coverage Limit Applies],MATCH(Table18[[#This Row],[Coverage]],CoverageTable[Coverage],0))</f>
        <v>Yes</v>
      </c>
      <c r="Q366" t="s">
        <v>10</v>
      </c>
      <c r="R366" t="s">
        <v>78</v>
      </c>
      <c r="S366" t="s">
        <v>10</v>
      </c>
      <c r="T366" t="s">
        <v>10</v>
      </c>
      <c r="U366" t="s">
        <v>57</v>
      </c>
      <c r="V366" t="s">
        <v>10</v>
      </c>
      <c r="W366" t="s">
        <v>57</v>
      </c>
    </row>
    <row r="367" spans="1:23" x14ac:dyDescent="0.3">
      <c r="A367" t="s">
        <v>458</v>
      </c>
      <c r="B367" s="7">
        <v>45856</v>
      </c>
      <c r="C367" t="s">
        <v>73</v>
      </c>
      <c r="D367" t="s">
        <v>1097</v>
      </c>
      <c r="E367" s="3">
        <v>7</v>
      </c>
      <c r="F367" s="3">
        <v>0</v>
      </c>
      <c r="G367" t="s">
        <v>11</v>
      </c>
      <c r="H367" t="s">
        <v>1107</v>
      </c>
      <c r="I367" t="s">
        <v>22</v>
      </c>
      <c r="J367" t="s">
        <v>52</v>
      </c>
      <c r="K367" t="s">
        <v>10</v>
      </c>
      <c r="L367" t="s">
        <v>57</v>
      </c>
      <c r="M367" t="s">
        <v>10</v>
      </c>
      <c r="N367" t="s">
        <v>57</v>
      </c>
      <c r="O367" t="str">
        <f>INDEX(CoverageTable[Deductible Applies],MATCH(Table18[[#This Row],[Coverage]],CoverageTable[Coverage],0))</f>
        <v>No</v>
      </c>
      <c r="P367" t="str">
        <f>INDEX(CoverageTable[Coverage Limit Applies],MATCH(Table18[[#This Row],[Coverage]],CoverageTable[Coverage],0))</f>
        <v>Yes</v>
      </c>
      <c r="Q367" t="s">
        <v>10</v>
      </c>
      <c r="R367" t="s">
        <v>80</v>
      </c>
      <c r="S367" t="s">
        <v>10</v>
      </c>
      <c r="T367" t="s">
        <v>10</v>
      </c>
      <c r="U367" t="s">
        <v>10</v>
      </c>
      <c r="V367" t="s">
        <v>10</v>
      </c>
      <c r="W367" t="s">
        <v>10</v>
      </c>
    </row>
    <row r="368" spans="1:23" x14ac:dyDescent="0.3">
      <c r="A368" t="s">
        <v>459</v>
      </c>
      <c r="B368" s="7">
        <v>46128</v>
      </c>
      <c r="C368" t="s">
        <v>70</v>
      </c>
      <c r="D368" t="s">
        <v>1102</v>
      </c>
      <c r="E368" s="3">
        <v>7</v>
      </c>
      <c r="F368" s="3">
        <v>1</v>
      </c>
      <c r="G368" t="s">
        <v>10</v>
      </c>
      <c r="H368" t="s">
        <v>1110</v>
      </c>
      <c r="I368" t="s">
        <v>43</v>
      </c>
      <c r="J368" t="s">
        <v>54</v>
      </c>
      <c r="K368" t="s">
        <v>10</v>
      </c>
      <c r="L368" t="s">
        <v>10</v>
      </c>
      <c r="M368" t="s">
        <v>10</v>
      </c>
      <c r="N368" t="s">
        <v>10</v>
      </c>
      <c r="O368" t="str">
        <f>INDEX(CoverageTable[Deductible Applies],MATCH(Table18[[#This Row],[Coverage]],CoverageTable[Coverage],0))</f>
        <v>No</v>
      </c>
      <c r="P368" t="str">
        <f>INDEX(CoverageTable[Coverage Limit Applies],MATCH(Table18[[#This Row],[Coverage]],CoverageTable[Coverage],0))</f>
        <v>Yes</v>
      </c>
      <c r="Q368" t="s">
        <v>10</v>
      </c>
      <c r="R368" t="s">
        <v>80</v>
      </c>
      <c r="S368" t="s">
        <v>10</v>
      </c>
      <c r="T368" t="s">
        <v>10</v>
      </c>
      <c r="U368" t="s">
        <v>10</v>
      </c>
      <c r="V368" t="s">
        <v>57</v>
      </c>
      <c r="W368" t="s">
        <v>57</v>
      </c>
    </row>
    <row r="369" spans="1:23" x14ac:dyDescent="0.3">
      <c r="A369" t="s">
        <v>460</v>
      </c>
      <c r="B369" s="7">
        <v>45896</v>
      </c>
      <c r="C369" t="s">
        <v>73</v>
      </c>
      <c r="D369" t="s">
        <v>1100</v>
      </c>
      <c r="E369" s="3">
        <v>4</v>
      </c>
      <c r="F369" s="3">
        <v>0</v>
      </c>
      <c r="G369" t="s">
        <v>10</v>
      </c>
      <c r="H369" t="s">
        <v>1106</v>
      </c>
      <c r="I369" t="s">
        <v>39</v>
      </c>
      <c r="J369" t="s">
        <v>53</v>
      </c>
      <c r="K369" t="s">
        <v>10</v>
      </c>
      <c r="L369" t="s">
        <v>10</v>
      </c>
      <c r="M369" t="s">
        <v>57</v>
      </c>
      <c r="N369" t="s">
        <v>10</v>
      </c>
      <c r="O369" t="str">
        <f>INDEX(CoverageTable[Deductible Applies],MATCH(Table18[[#This Row],[Coverage]],CoverageTable[Coverage],0))</f>
        <v>No</v>
      </c>
      <c r="P369" t="str">
        <f>INDEX(CoverageTable[Coverage Limit Applies],MATCH(Table18[[#This Row],[Coverage]],CoverageTable[Coverage],0))</f>
        <v>Yes</v>
      </c>
      <c r="Q369" t="s">
        <v>10</v>
      </c>
      <c r="R369" t="s">
        <v>79</v>
      </c>
      <c r="S369" t="s">
        <v>10</v>
      </c>
      <c r="T369" t="s">
        <v>10</v>
      </c>
      <c r="U369" t="s">
        <v>10</v>
      </c>
      <c r="V369" t="s">
        <v>10</v>
      </c>
      <c r="W369" t="s">
        <v>10</v>
      </c>
    </row>
    <row r="370" spans="1:23" x14ac:dyDescent="0.3">
      <c r="A370" t="s">
        <v>461</v>
      </c>
      <c r="B370" s="7">
        <v>46089</v>
      </c>
      <c r="C370" t="s">
        <v>73</v>
      </c>
      <c r="D370" t="s">
        <v>1098</v>
      </c>
      <c r="E370" s="3">
        <v>7</v>
      </c>
      <c r="F370" s="3" t="s">
        <v>7</v>
      </c>
      <c r="G370" t="s">
        <v>11</v>
      </c>
      <c r="H370" t="s">
        <v>1110</v>
      </c>
      <c r="I370" t="s">
        <v>38</v>
      </c>
      <c r="J370" t="s">
        <v>51</v>
      </c>
      <c r="K370" t="s">
        <v>57</v>
      </c>
      <c r="L370" t="s">
        <v>10</v>
      </c>
      <c r="M370" t="s">
        <v>10</v>
      </c>
      <c r="N370" t="s">
        <v>10</v>
      </c>
      <c r="O370" t="str">
        <f>INDEX(CoverageTable[Deductible Applies],MATCH(Table18[[#This Row],[Coverage]],CoverageTable[Coverage],0))</f>
        <v>No</v>
      </c>
      <c r="P370" t="str">
        <f>INDEX(CoverageTable[Coverage Limit Applies],MATCH(Table18[[#This Row],[Coverage]],CoverageTable[Coverage],0))</f>
        <v>Yes</v>
      </c>
      <c r="Q370" t="s">
        <v>10</v>
      </c>
      <c r="R370" t="s">
        <v>80</v>
      </c>
      <c r="S370" t="s">
        <v>10</v>
      </c>
      <c r="T370" t="s">
        <v>57</v>
      </c>
      <c r="U370" t="s">
        <v>57</v>
      </c>
      <c r="V370" t="s">
        <v>10</v>
      </c>
      <c r="W370" t="s">
        <v>10</v>
      </c>
    </row>
    <row r="371" spans="1:23" x14ac:dyDescent="0.3">
      <c r="A371" t="s">
        <v>462</v>
      </c>
      <c r="B371" s="7">
        <v>45891</v>
      </c>
      <c r="C371" t="s">
        <v>72</v>
      </c>
      <c r="D371" t="s">
        <v>1097</v>
      </c>
      <c r="E371" s="3">
        <v>3</v>
      </c>
      <c r="F371" s="3">
        <v>1</v>
      </c>
      <c r="G371" t="s">
        <v>13</v>
      </c>
      <c r="H371" t="s">
        <v>1107</v>
      </c>
      <c r="I371" t="s">
        <v>26</v>
      </c>
      <c r="J371" t="s">
        <v>53</v>
      </c>
      <c r="K371" t="s">
        <v>10</v>
      </c>
      <c r="L371" t="s">
        <v>10</v>
      </c>
      <c r="M371" t="s">
        <v>10</v>
      </c>
      <c r="N371" t="s">
        <v>57</v>
      </c>
      <c r="O371" t="str">
        <f>INDEX(CoverageTable[Deductible Applies],MATCH(Table18[[#This Row],[Coverage]],CoverageTable[Coverage],0))</f>
        <v>Yes</v>
      </c>
      <c r="P371" t="str">
        <f>INDEX(CoverageTable[Coverage Limit Applies],MATCH(Table18[[#This Row],[Coverage]],CoverageTable[Coverage],0))</f>
        <v>No</v>
      </c>
      <c r="Q371" t="s">
        <v>78</v>
      </c>
      <c r="R371" t="s">
        <v>10</v>
      </c>
      <c r="S371" t="s">
        <v>10</v>
      </c>
      <c r="T371" t="s">
        <v>10</v>
      </c>
      <c r="U371" t="s">
        <v>10</v>
      </c>
      <c r="V371" t="s">
        <v>57</v>
      </c>
      <c r="W371" t="s">
        <v>10</v>
      </c>
    </row>
    <row r="372" spans="1:23" x14ac:dyDescent="0.3">
      <c r="A372" t="s">
        <v>463</v>
      </c>
      <c r="B372" s="7">
        <v>46046</v>
      </c>
      <c r="C372" t="s">
        <v>74</v>
      </c>
      <c r="D372" t="s">
        <v>1097</v>
      </c>
      <c r="E372" s="3">
        <v>1</v>
      </c>
      <c r="F372" s="3">
        <v>2</v>
      </c>
      <c r="G372" t="s">
        <v>10</v>
      </c>
      <c r="H372" t="s">
        <v>1109</v>
      </c>
      <c r="I372" t="s">
        <v>27</v>
      </c>
      <c r="J372" t="s">
        <v>53</v>
      </c>
      <c r="K372" t="s">
        <v>10</v>
      </c>
      <c r="L372" t="s">
        <v>10</v>
      </c>
      <c r="M372" t="s">
        <v>10</v>
      </c>
      <c r="N372" t="s">
        <v>10</v>
      </c>
      <c r="O372" t="str">
        <f>INDEX(CoverageTable[Deductible Applies],MATCH(Table18[[#This Row],[Coverage]],CoverageTable[Coverage],0))</f>
        <v>No</v>
      </c>
      <c r="P372" t="str">
        <f>INDEX(CoverageTable[Coverage Limit Applies],MATCH(Table18[[#This Row],[Coverage]],CoverageTable[Coverage],0))</f>
        <v>Yes</v>
      </c>
      <c r="Q372" t="s">
        <v>10</v>
      </c>
      <c r="R372" t="s">
        <v>79</v>
      </c>
      <c r="S372" t="s">
        <v>10</v>
      </c>
      <c r="T372" t="s">
        <v>10</v>
      </c>
      <c r="U372" t="s">
        <v>57</v>
      </c>
      <c r="V372" t="s">
        <v>10</v>
      </c>
      <c r="W372" t="s">
        <v>10</v>
      </c>
    </row>
    <row r="373" spans="1:23" x14ac:dyDescent="0.3">
      <c r="A373" t="s">
        <v>464</v>
      </c>
      <c r="B373" s="7">
        <v>45931</v>
      </c>
      <c r="C373" t="s">
        <v>72</v>
      </c>
      <c r="D373" t="s">
        <v>1101</v>
      </c>
      <c r="E373" s="3">
        <v>7</v>
      </c>
      <c r="F373" s="3" t="s">
        <v>7</v>
      </c>
      <c r="G373" t="s">
        <v>13</v>
      </c>
      <c r="H373" t="s">
        <v>1110</v>
      </c>
      <c r="I373" t="s">
        <v>31</v>
      </c>
      <c r="J373" t="s">
        <v>49</v>
      </c>
      <c r="K373" t="s">
        <v>10</v>
      </c>
      <c r="L373" t="s">
        <v>10</v>
      </c>
      <c r="M373" t="s">
        <v>10</v>
      </c>
      <c r="N373" t="s">
        <v>10</v>
      </c>
      <c r="O373" t="str">
        <f>INDEX(CoverageTable[Deductible Applies],MATCH(Table18[[#This Row],[Coverage]],CoverageTable[Coverage],0))</f>
        <v>Yes</v>
      </c>
      <c r="P373" t="str">
        <f>INDEX(CoverageTable[Coverage Limit Applies],MATCH(Table18[[#This Row],[Coverage]],CoverageTable[Coverage],0))</f>
        <v>No</v>
      </c>
      <c r="Q373" t="s">
        <v>80</v>
      </c>
      <c r="R373" t="s">
        <v>10</v>
      </c>
      <c r="S373" t="s">
        <v>10</v>
      </c>
      <c r="T373" t="s">
        <v>10</v>
      </c>
      <c r="U373" t="s">
        <v>10</v>
      </c>
      <c r="V373" t="s">
        <v>10</v>
      </c>
      <c r="W373" t="s">
        <v>10</v>
      </c>
    </row>
    <row r="374" spans="1:23" x14ac:dyDescent="0.3">
      <c r="A374" t="s">
        <v>465</v>
      </c>
      <c r="B374" s="7">
        <v>45916</v>
      </c>
      <c r="C374" t="s">
        <v>70</v>
      </c>
      <c r="D374" t="s">
        <v>1100</v>
      </c>
      <c r="E374" s="3">
        <v>5</v>
      </c>
      <c r="F374" s="3">
        <v>2</v>
      </c>
      <c r="G374" t="s">
        <v>13</v>
      </c>
      <c r="H374" t="s">
        <v>1108</v>
      </c>
      <c r="I374" t="s">
        <v>44</v>
      </c>
      <c r="J374" t="s">
        <v>49</v>
      </c>
      <c r="K374" t="s">
        <v>10</v>
      </c>
      <c r="L374" t="s">
        <v>10</v>
      </c>
      <c r="M374" t="s">
        <v>10</v>
      </c>
      <c r="N374" t="s">
        <v>10</v>
      </c>
      <c r="O374" t="str">
        <f>INDEX(CoverageTable[Deductible Applies],MATCH(Table18[[#This Row],[Coverage]],CoverageTable[Coverage],0))</f>
        <v>No</v>
      </c>
      <c r="P374" t="str">
        <f>INDEX(CoverageTable[Coverage Limit Applies],MATCH(Table18[[#This Row],[Coverage]],CoverageTable[Coverage],0))</f>
        <v>Yes</v>
      </c>
      <c r="Q374" t="s">
        <v>10</v>
      </c>
      <c r="R374" t="s">
        <v>78</v>
      </c>
      <c r="S374" t="s">
        <v>10</v>
      </c>
      <c r="T374" t="s">
        <v>57</v>
      </c>
      <c r="U374" t="s">
        <v>10</v>
      </c>
      <c r="V374" t="s">
        <v>10</v>
      </c>
      <c r="W374" t="s">
        <v>10</v>
      </c>
    </row>
    <row r="375" spans="1:23" x14ac:dyDescent="0.3">
      <c r="A375" t="s">
        <v>466</v>
      </c>
      <c r="B375" s="7">
        <v>46132</v>
      </c>
      <c r="C375" t="s">
        <v>70</v>
      </c>
      <c r="D375" t="s">
        <v>1097</v>
      </c>
      <c r="E375" s="3">
        <v>4</v>
      </c>
      <c r="F375" s="3">
        <v>2</v>
      </c>
      <c r="G375" t="s">
        <v>12</v>
      </c>
      <c r="H375" t="s">
        <v>1106</v>
      </c>
      <c r="I375" t="s">
        <v>32</v>
      </c>
      <c r="J375" t="s">
        <v>51</v>
      </c>
      <c r="K375" t="s">
        <v>57</v>
      </c>
      <c r="L375" t="s">
        <v>10</v>
      </c>
      <c r="M375" t="s">
        <v>10</v>
      </c>
      <c r="N375" t="s">
        <v>10</v>
      </c>
      <c r="O375" t="str">
        <f>INDEX(CoverageTable[Deductible Applies],MATCH(Table18[[#This Row],[Coverage]],CoverageTable[Coverage],0))</f>
        <v>No</v>
      </c>
      <c r="P375" t="str">
        <f>INDEX(CoverageTable[Coverage Limit Applies],MATCH(Table18[[#This Row],[Coverage]],CoverageTable[Coverage],0))</f>
        <v>Yes</v>
      </c>
      <c r="Q375" t="s">
        <v>10</v>
      </c>
      <c r="R375" t="s">
        <v>80</v>
      </c>
      <c r="S375" t="s">
        <v>57</v>
      </c>
      <c r="T375" t="s">
        <v>10</v>
      </c>
      <c r="U375" t="s">
        <v>57</v>
      </c>
      <c r="V375" t="s">
        <v>10</v>
      </c>
      <c r="W375" t="s">
        <v>10</v>
      </c>
    </row>
    <row r="376" spans="1:23" x14ac:dyDescent="0.3">
      <c r="A376" t="s">
        <v>467</v>
      </c>
      <c r="B376" s="7">
        <v>45850</v>
      </c>
      <c r="C376" t="s">
        <v>71</v>
      </c>
      <c r="D376" t="s">
        <v>1102</v>
      </c>
      <c r="E376" s="3">
        <v>5</v>
      </c>
      <c r="F376" s="3">
        <v>3</v>
      </c>
      <c r="G376" t="s">
        <v>12</v>
      </c>
      <c r="H376" t="s">
        <v>1106</v>
      </c>
      <c r="I376" t="s">
        <v>21</v>
      </c>
      <c r="J376" t="s">
        <v>52</v>
      </c>
      <c r="K376" t="s">
        <v>10</v>
      </c>
      <c r="L376" t="s">
        <v>10</v>
      </c>
      <c r="M376" t="s">
        <v>10</v>
      </c>
      <c r="N376" t="s">
        <v>10</v>
      </c>
      <c r="O376" t="str">
        <f>INDEX(CoverageTable[Deductible Applies],MATCH(Table18[[#This Row],[Coverage]],CoverageTable[Coverage],0))</f>
        <v>Yes</v>
      </c>
      <c r="P376" t="str">
        <f>INDEX(CoverageTable[Coverage Limit Applies],MATCH(Table18[[#This Row],[Coverage]],CoverageTable[Coverage],0))</f>
        <v>No</v>
      </c>
      <c r="Q376" t="s">
        <v>80</v>
      </c>
      <c r="R376" t="s">
        <v>10</v>
      </c>
      <c r="S376" t="s">
        <v>10</v>
      </c>
      <c r="T376" t="s">
        <v>10</v>
      </c>
      <c r="U376" t="s">
        <v>10</v>
      </c>
      <c r="V376" t="s">
        <v>10</v>
      </c>
      <c r="W376" t="s">
        <v>10</v>
      </c>
    </row>
    <row r="377" spans="1:23" x14ac:dyDescent="0.3">
      <c r="A377" t="s">
        <v>468</v>
      </c>
      <c r="B377" s="7">
        <v>46076</v>
      </c>
      <c r="C377" t="s">
        <v>70</v>
      </c>
      <c r="D377" t="s">
        <v>1098</v>
      </c>
      <c r="E377" s="3">
        <v>6</v>
      </c>
      <c r="F377" s="3">
        <v>2</v>
      </c>
      <c r="G377" t="s">
        <v>12</v>
      </c>
      <c r="H377" t="s">
        <v>1107</v>
      </c>
      <c r="I377" t="s">
        <v>35</v>
      </c>
      <c r="J377" t="s">
        <v>54</v>
      </c>
      <c r="K377" t="s">
        <v>10</v>
      </c>
      <c r="L377" t="s">
        <v>10</v>
      </c>
      <c r="M377" t="s">
        <v>10</v>
      </c>
      <c r="N377" t="s">
        <v>10</v>
      </c>
      <c r="O377" t="str">
        <f>INDEX(CoverageTable[Deductible Applies],MATCH(Table18[[#This Row],[Coverage]],CoverageTable[Coverage],0))</f>
        <v>No</v>
      </c>
      <c r="P377" t="str">
        <f>INDEX(CoverageTable[Coverage Limit Applies],MATCH(Table18[[#This Row],[Coverage]],CoverageTable[Coverage],0))</f>
        <v>Yes</v>
      </c>
      <c r="Q377" t="s">
        <v>10</v>
      </c>
      <c r="R377" t="s">
        <v>78</v>
      </c>
      <c r="S377" t="s">
        <v>10</v>
      </c>
      <c r="T377" t="s">
        <v>10</v>
      </c>
      <c r="U377" t="s">
        <v>10</v>
      </c>
      <c r="V377" t="s">
        <v>10</v>
      </c>
      <c r="W377" t="s">
        <v>10</v>
      </c>
    </row>
    <row r="378" spans="1:23" x14ac:dyDescent="0.3">
      <c r="A378" t="s">
        <v>469</v>
      </c>
      <c r="B378" s="7">
        <v>46049</v>
      </c>
      <c r="C378" t="s">
        <v>71</v>
      </c>
      <c r="D378" t="s">
        <v>1099</v>
      </c>
      <c r="E378" s="3">
        <v>3</v>
      </c>
      <c r="F378" s="3">
        <v>4</v>
      </c>
      <c r="G378" t="s">
        <v>12</v>
      </c>
      <c r="H378" t="s">
        <v>1110</v>
      </c>
      <c r="I378" t="s">
        <v>33</v>
      </c>
      <c r="J378" t="s">
        <v>50</v>
      </c>
      <c r="K378" t="s">
        <v>10</v>
      </c>
      <c r="L378" t="s">
        <v>10</v>
      </c>
      <c r="M378" t="s">
        <v>10</v>
      </c>
      <c r="N378" t="s">
        <v>57</v>
      </c>
      <c r="O378" t="str">
        <f>INDEX(CoverageTable[Deductible Applies],MATCH(Table18[[#This Row],[Coverage]],CoverageTable[Coverage],0))</f>
        <v>Yes</v>
      </c>
      <c r="P378" t="str">
        <f>INDEX(CoverageTable[Coverage Limit Applies],MATCH(Table18[[#This Row],[Coverage]],CoverageTable[Coverage],0))</f>
        <v>No</v>
      </c>
      <c r="Q378" t="s">
        <v>79</v>
      </c>
      <c r="R378" t="s">
        <v>10</v>
      </c>
      <c r="S378" t="s">
        <v>10</v>
      </c>
      <c r="T378" t="s">
        <v>10</v>
      </c>
      <c r="U378" t="s">
        <v>10</v>
      </c>
      <c r="V378" t="s">
        <v>10</v>
      </c>
      <c r="W378" t="s">
        <v>10</v>
      </c>
    </row>
    <row r="379" spans="1:23" x14ac:dyDescent="0.3">
      <c r="A379" t="s">
        <v>470</v>
      </c>
      <c r="B379" s="7">
        <v>46100</v>
      </c>
      <c r="C379" t="s">
        <v>71</v>
      </c>
      <c r="D379" t="s">
        <v>1099</v>
      </c>
      <c r="E379" s="3">
        <v>7</v>
      </c>
      <c r="F379" s="3" t="s">
        <v>7</v>
      </c>
      <c r="G379" t="s">
        <v>10</v>
      </c>
      <c r="H379" t="s">
        <v>1108</v>
      </c>
      <c r="I379" t="s">
        <v>22</v>
      </c>
      <c r="J379" t="s">
        <v>54</v>
      </c>
      <c r="K379" t="s">
        <v>10</v>
      </c>
      <c r="L379" t="s">
        <v>57</v>
      </c>
      <c r="M379" t="s">
        <v>10</v>
      </c>
      <c r="N379" t="s">
        <v>10</v>
      </c>
      <c r="O379" t="str">
        <f>INDEX(CoverageTable[Deductible Applies],MATCH(Table18[[#This Row],[Coverage]],CoverageTable[Coverage],0))</f>
        <v>Yes</v>
      </c>
      <c r="P379" t="str">
        <f>INDEX(CoverageTable[Coverage Limit Applies],MATCH(Table18[[#This Row],[Coverage]],CoverageTable[Coverage],0))</f>
        <v>No</v>
      </c>
      <c r="Q379" t="s">
        <v>79</v>
      </c>
      <c r="R379" t="s">
        <v>10</v>
      </c>
      <c r="S379" t="s">
        <v>10</v>
      </c>
      <c r="T379" t="s">
        <v>10</v>
      </c>
      <c r="U379" t="s">
        <v>10</v>
      </c>
      <c r="V379" t="s">
        <v>10</v>
      </c>
      <c r="W379" t="s">
        <v>10</v>
      </c>
    </row>
    <row r="380" spans="1:23" x14ac:dyDescent="0.3">
      <c r="A380" t="s">
        <v>471</v>
      </c>
      <c r="B380" s="7">
        <v>46118</v>
      </c>
      <c r="C380" t="s">
        <v>70</v>
      </c>
      <c r="D380" t="s">
        <v>1098</v>
      </c>
      <c r="E380" s="3">
        <v>6</v>
      </c>
      <c r="F380" s="3">
        <v>0</v>
      </c>
      <c r="G380" t="s">
        <v>10</v>
      </c>
      <c r="H380" t="s">
        <v>1106</v>
      </c>
      <c r="I380" t="s">
        <v>22</v>
      </c>
      <c r="J380" t="s">
        <v>50</v>
      </c>
      <c r="K380" t="s">
        <v>10</v>
      </c>
      <c r="L380" t="s">
        <v>57</v>
      </c>
      <c r="M380" t="s">
        <v>10</v>
      </c>
      <c r="N380" t="s">
        <v>57</v>
      </c>
      <c r="O380" t="str">
        <f>INDEX(CoverageTable[Deductible Applies],MATCH(Table18[[#This Row],[Coverage]],CoverageTable[Coverage],0))</f>
        <v>No</v>
      </c>
      <c r="P380" t="str">
        <f>INDEX(CoverageTable[Coverage Limit Applies],MATCH(Table18[[#This Row],[Coverage]],CoverageTable[Coverage],0))</f>
        <v>Yes</v>
      </c>
      <c r="Q380" t="s">
        <v>10</v>
      </c>
      <c r="R380" t="s">
        <v>78</v>
      </c>
      <c r="S380" t="s">
        <v>57</v>
      </c>
      <c r="T380" t="s">
        <v>10</v>
      </c>
      <c r="U380" t="s">
        <v>10</v>
      </c>
      <c r="V380" t="s">
        <v>10</v>
      </c>
      <c r="W380" t="s">
        <v>10</v>
      </c>
    </row>
    <row r="381" spans="1:23" x14ac:dyDescent="0.3">
      <c r="A381" t="s">
        <v>472</v>
      </c>
      <c r="B381" s="7">
        <v>45967</v>
      </c>
      <c r="C381" t="s">
        <v>70</v>
      </c>
      <c r="D381" t="s">
        <v>1100</v>
      </c>
      <c r="E381" s="3">
        <v>7</v>
      </c>
      <c r="F381" s="3">
        <v>0</v>
      </c>
      <c r="G381" t="s">
        <v>10</v>
      </c>
      <c r="H381" t="s">
        <v>1110</v>
      </c>
      <c r="I381" t="s">
        <v>38</v>
      </c>
      <c r="J381" t="s">
        <v>54</v>
      </c>
      <c r="K381" t="s">
        <v>10</v>
      </c>
      <c r="L381" t="s">
        <v>57</v>
      </c>
      <c r="M381" t="s">
        <v>10</v>
      </c>
      <c r="N381" t="s">
        <v>10</v>
      </c>
      <c r="O381" t="str">
        <f>INDEX(CoverageTable[Deductible Applies],MATCH(Table18[[#This Row],[Coverage]],CoverageTable[Coverage],0))</f>
        <v>No</v>
      </c>
      <c r="P381" t="str">
        <f>INDEX(CoverageTable[Coverage Limit Applies],MATCH(Table18[[#This Row],[Coverage]],CoverageTable[Coverage],0))</f>
        <v>Yes</v>
      </c>
      <c r="Q381" t="s">
        <v>10</v>
      </c>
      <c r="R381" t="s">
        <v>79</v>
      </c>
      <c r="S381" t="s">
        <v>57</v>
      </c>
      <c r="T381" t="s">
        <v>10</v>
      </c>
      <c r="U381" t="s">
        <v>10</v>
      </c>
      <c r="V381" t="s">
        <v>10</v>
      </c>
      <c r="W381" t="s">
        <v>10</v>
      </c>
    </row>
    <row r="382" spans="1:23" x14ac:dyDescent="0.3">
      <c r="A382" t="s">
        <v>473</v>
      </c>
      <c r="B382" s="7">
        <v>45817</v>
      </c>
      <c r="C382" t="s">
        <v>71</v>
      </c>
      <c r="D382" t="s">
        <v>1098</v>
      </c>
      <c r="E382" s="3">
        <v>4</v>
      </c>
      <c r="F382" s="3">
        <v>0</v>
      </c>
      <c r="G382" t="s">
        <v>11</v>
      </c>
      <c r="H382" t="s">
        <v>1108</v>
      </c>
      <c r="I382" t="s">
        <v>43</v>
      </c>
      <c r="J382" t="s">
        <v>48</v>
      </c>
      <c r="K382" t="s">
        <v>57</v>
      </c>
      <c r="L382" t="s">
        <v>10</v>
      </c>
      <c r="M382" t="s">
        <v>10</v>
      </c>
      <c r="N382" t="s">
        <v>57</v>
      </c>
      <c r="O382" t="str">
        <f>INDEX(CoverageTable[Deductible Applies],MATCH(Table18[[#This Row],[Coverage]],CoverageTable[Coverage],0))</f>
        <v>Yes</v>
      </c>
      <c r="P382" t="str">
        <f>INDEX(CoverageTable[Coverage Limit Applies],MATCH(Table18[[#This Row],[Coverage]],CoverageTable[Coverage],0))</f>
        <v>No</v>
      </c>
      <c r="Q382" t="s">
        <v>80</v>
      </c>
      <c r="R382" t="s">
        <v>10</v>
      </c>
      <c r="S382" t="s">
        <v>10</v>
      </c>
      <c r="T382" t="s">
        <v>10</v>
      </c>
      <c r="U382" t="s">
        <v>10</v>
      </c>
      <c r="V382" t="s">
        <v>10</v>
      </c>
      <c r="W382" t="s">
        <v>57</v>
      </c>
    </row>
    <row r="383" spans="1:23" x14ac:dyDescent="0.3">
      <c r="A383" t="s">
        <v>474</v>
      </c>
      <c r="B383" s="7">
        <v>45968</v>
      </c>
      <c r="C383" t="s">
        <v>70</v>
      </c>
      <c r="D383" t="s">
        <v>1099</v>
      </c>
      <c r="E383" s="3">
        <v>7</v>
      </c>
      <c r="F383" s="3">
        <v>0</v>
      </c>
      <c r="G383" t="s">
        <v>11</v>
      </c>
      <c r="H383" t="s">
        <v>1107</v>
      </c>
      <c r="I383" t="s">
        <v>21</v>
      </c>
      <c r="J383" t="s">
        <v>54</v>
      </c>
      <c r="K383" t="s">
        <v>10</v>
      </c>
      <c r="L383" t="s">
        <v>10</v>
      </c>
      <c r="M383" t="s">
        <v>10</v>
      </c>
      <c r="N383" t="s">
        <v>10</v>
      </c>
      <c r="O383" t="str">
        <f>INDEX(CoverageTable[Deductible Applies],MATCH(Table18[[#This Row],[Coverage]],CoverageTable[Coverage],0))</f>
        <v>No</v>
      </c>
      <c r="P383" t="str">
        <f>INDEX(CoverageTable[Coverage Limit Applies],MATCH(Table18[[#This Row],[Coverage]],CoverageTable[Coverage],0))</f>
        <v>Yes</v>
      </c>
      <c r="Q383" t="s">
        <v>10</v>
      </c>
      <c r="R383" t="s">
        <v>78</v>
      </c>
      <c r="S383" t="s">
        <v>10</v>
      </c>
      <c r="T383" t="s">
        <v>57</v>
      </c>
      <c r="U383" t="s">
        <v>57</v>
      </c>
      <c r="V383" t="s">
        <v>10</v>
      </c>
      <c r="W383" t="s">
        <v>10</v>
      </c>
    </row>
    <row r="384" spans="1:23" x14ac:dyDescent="0.3">
      <c r="A384" t="s">
        <v>475</v>
      </c>
      <c r="B384" s="7">
        <v>46089</v>
      </c>
      <c r="C384" t="s">
        <v>71</v>
      </c>
      <c r="D384" t="s">
        <v>1099</v>
      </c>
      <c r="E384" s="3">
        <v>2</v>
      </c>
      <c r="F384" s="3">
        <v>0</v>
      </c>
      <c r="G384" t="s">
        <v>10</v>
      </c>
      <c r="H384" t="s">
        <v>1106</v>
      </c>
      <c r="I384" t="s">
        <v>24</v>
      </c>
      <c r="J384" t="s">
        <v>49</v>
      </c>
      <c r="K384" t="s">
        <v>10</v>
      </c>
      <c r="L384" t="s">
        <v>57</v>
      </c>
      <c r="M384" t="s">
        <v>10</v>
      </c>
      <c r="N384" t="s">
        <v>57</v>
      </c>
      <c r="O384" t="str">
        <f>INDEX(CoverageTable[Deductible Applies],MATCH(Table18[[#This Row],[Coverage]],CoverageTable[Coverage],0))</f>
        <v>Yes</v>
      </c>
      <c r="P384" t="str">
        <f>INDEX(CoverageTable[Coverage Limit Applies],MATCH(Table18[[#This Row],[Coverage]],CoverageTable[Coverage],0))</f>
        <v>No</v>
      </c>
      <c r="Q384" t="s">
        <v>79</v>
      </c>
      <c r="R384" t="s">
        <v>10</v>
      </c>
      <c r="S384" t="s">
        <v>10</v>
      </c>
      <c r="T384" t="s">
        <v>57</v>
      </c>
      <c r="U384" t="s">
        <v>10</v>
      </c>
      <c r="V384" t="s">
        <v>10</v>
      </c>
      <c r="W384" t="s">
        <v>10</v>
      </c>
    </row>
    <row r="385" spans="1:23" x14ac:dyDescent="0.3">
      <c r="A385" t="s">
        <v>476</v>
      </c>
      <c r="B385" s="7">
        <v>45953</v>
      </c>
      <c r="C385" t="s">
        <v>71</v>
      </c>
      <c r="D385" t="s">
        <v>1099</v>
      </c>
      <c r="E385" s="3">
        <v>6</v>
      </c>
      <c r="F385" s="3">
        <v>1</v>
      </c>
      <c r="G385" t="s">
        <v>13</v>
      </c>
      <c r="H385" t="s">
        <v>1109</v>
      </c>
      <c r="I385" t="s">
        <v>22</v>
      </c>
      <c r="J385" t="s">
        <v>54</v>
      </c>
      <c r="K385" t="s">
        <v>10</v>
      </c>
      <c r="L385" t="s">
        <v>10</v>
      </c>
      <c r="M385" t="s">
        <v>10</v>
      </c>
      <c r="N385" t="s">
        <v>10</v>
      </c>
      <c r="O385" t="str">
        <f>INDEX(CoverageTable[Deductible Applies],MATCH(Table18[[#This Row],[Coverage]],CoverageTable[Coverage],0))</f>
        <v>Yes</v>
      </c>
      <c r="P385" t="str">
        <f>INDEX(CoverageTable[Coverage Limit Applies],MATCH(Table18[[#This Row],[Coverage]],CoverageTable[Coverage],0))</f>
        <v>No</v>
      </c>
      <c r="Q385" t="s">
        <v>78</v>
      </c>
      <c r="R385" t="s">
        <v>10</v>
      </c>
      <c r="S385" t="s">
        <v>10</v>
      </c>
      <c r="T385" t="s">
        <v>57</v>
      </c>
      <c r="U385" t="s">
        <v>10</v>
      </c>
      <c r="V385" t="s">
        <v>10</v>
      </c>
      <c r="W385" t="s">
        <v>10</v>
      </c>
    </row>
    <row r="386" spans="1:23" x14ac:dyDescent="0.3">
      <c r="A386" t="s">
        <v>477</v>
      </c>
      <c r="B386" s="7">
        <v>46028</v>
      </c>
      <c r="C386" t="s">
        <v>70</v>
      </c>
      <c r="D386" t="s">
        <v>1097</v>
      </c>
      <c r="E386" s="3">
        <v>4</v>
      </c>
      <c r="F386" s="3" t="s">
        <v>7</v>
      </c>
      <c r="G386" t="s">
        <v>11</v>
      </c>
      <c r="H386" t="s">
        <v>1106</v>
      </c>
      <c r="I386" t="s">
        <v>41</v>
      </c>
      <c r="J386" t="s">
        <v>54</v>
      </c>
      <c r="K386" t="s">
        <v>10</v>
      </c>
      <c r="L386" t="s">
        <v>10</v>
      </c>
      <c r="M386" t="s">
        <v>57</v>
      </c>
      <c r="N386" t="s">
        <v>10</v>
      </c>
      <c r="O386" t="str">
        <f>INDEX(CoverageTable[Deductible Applies],MATCH(Table18[[#This Row],[Coverage]],CoverageTable[Coverage],0))</f>
        <v>No</v>
      </c>
      <c r="P386" t="str">
        <f>INDEX(CoverageTable[Coverage Limit Applies],MATCH(Table18[[#This Row],[Coverage]],CoverageTable[Coverage],0))</f>
        <v>Yes</v>
      </c>
      <c r="Q386" t="s">
        <v>10</v>
      </c>
      <c r="R386" t="s">
        <v>79</v>
      </c>
      <c r="S386" t="s">
        <v>10</v>
      </c>
      <c r="T386" t="s">
        <v>57</v>
      </c>
      <c r="U386" t="s">
        <v>57</v>
      </c>
      <c r="V386" t="s">
        <v>10</v>
      </c>
      <c r="W386" t="s">
        <v>10</v>
      </c>
    </row>
    <row r="387" spans="1:23" x14ac:dyDescent="0.3">
      <c r="A387" t="s">
        <v>478</v>
      </c>
      <c r="B387" s="7">
        <v>45893</v>
      </c>
      <c r="C387" t="s">
        <v>70</v>
      </c>
      <c r="D387" t="s">
        <v>1100</v>
      </c>
      <c r="E387" s="3">
        <v>6</v>
      </c>
      <c r="F387" s="3">
        <v>1</v>
      </c>
      <c r="G387" t="s">
        <v>10</v>
      </c>
      <c r="H387" t="s">
        <v>1108</v>
      </c>
      <c r="I387" t="s">
        <v>32</v>
      </c>
      <c r="J387" t="s">
        <v>51</v>
      </c>
      <c r="K387" t="s">
        <v>10</v>
      </c>
      <c r="L387" t="s">
        <v>10</v>
      </c>
      <c r="M387" t="s">
        <v>10</v>
      </c>
      <c r="N387" t="s">
        <v>57</v>
      </c>
      <c r="O387" t="str">
        <f>INDEX(CoverageTable[Deductible Applies],MATCH(Table18[[#This Row],[Coverage]],CoverageTable[Coverage],0))</f>
        <v>No</v>
      </c>
      <c r="P387" t="str">
        <f>INDEX(CoverageTable[Coverage Limit Applies],MATCH(Table18[[#This Row],[Coverage]],CoverageTable[Coverage],0))</f>
        <v>Yes</v>
      </c>
      <c r="Q387" t="s">
        <v>10</v>
      </c>
      <c r="R387" t="s">
        <v>80</v>
      </c>
      <c r="S387" t="s">
        <v>10</v>
      </c>
      <c r="T387" t="s">
        <v>10</v>
      </c>
      <c r="U387" t="s">
        <v>10</v>
      </c>
      <c r="V387" t="s">
        <v>10</v>
      </c>
      <c r="W387" t="s">
        <v>10</v>
      </c>
    </row>
    <row r="388" spans="1:23" x14ac:dyDescent="0.3">
      <c r="A388" t="s">
        <v>479</v>
      </c>
      <c r="B388" s="7">
        <v>46127</v>
      </c>
      <c r="C388" t="s">
        <v>71</v>
      </c>
      <c r="D388" t="s">
        <v>1100</v>
      </c>
      <c r="E388" s="3">
        <v>7</v>
      </c>
      <c r="F388" s="3">
        <v>0</v>
      </c>
      <c r="G388" t="s">
        <v>12</v>
      </c>
      <c r="H388" t="s">
        <v>1110</v>
      </c>
      <c r="I388" t="s">
        <v>32</v>
      </c>
      <c r="J388" t="s">
        <v>54</v>
      </c>
      <c r="K388" t="s">
        <v>10</v>
      </c>
      <c r="L388" t="s">
        <v>10</v>
      </c>
      <c r="M388" t="s">
        <v>57</v>
      </c>
      <c r="N388" t="s">
        <v>10</v>
      </c>
      <c r="O388" t="str">
        <f>INDEX(CoverageTable[Deductible Applies],MATCH(Table18[[#This Row],[Coverage]],CoverageTable[Coverage],0))</f>
        <v>Yes</v>
      </c>
      <c r="P388" t="str">
        <f>INDEX(CoverageTable[Coverage Limit Applies],MATCH(Table18[[#This Row],[Coverage]],CoverageTable[Coverage],0))</f>
        <v>No</v>
      </c>
      <c r="Q388" t="s">
        <v>78</v>
      </c>
      <c r="R388" t="s">
        <v>10</v>
      </c>
      <c r="S388" t="s">
        <v>10</v>
      </c>
      <c r="T388" t="s">
        <v>10</v>
      </c>
      <c r="U388" t="s">
        <v>57</v>
      </c>
      <c r="V388" t="s">
        <v>57</v>
      </c>
      <c r="W388" t="s">
        <v>57</v>
      </c>
    </row>
    <row r="389" spans="1:23" x14ac:dyDescent="0.3">
      <c r="A389" t="s">
        <v>480</v>
      </c>
      <c r="B389" s="7">
        <v>45870</v>
      </c>
      <c r="C389" t="s">
        <v>70</v>
      </c>
      <c r="D389" t="s">
        <v>1100</v>
      </c>
      <c r="E389" s="3">
        <v>7</v>
      </c>
      <c r="F389" s="3" t="s">
        <v>7</v>
      </c>
      <c r="G389" t="s">
        <v>10</v>
      </c>
      <c r="H389" t="s">
        <v>1108</v>
      </c>
      <c r="I389" t="s">
        <v>22</v>
      </c>
      <c r="J389" t="s">
        <v>48</v>
      </c>
      <c r="K389" t="s">
        <v>10</v>
      </c>
      <c r="L389" t="s">
        <v>10</v>
      </c>
      <c r="M389" t="s">
        <v>10</v>
      </c>
      <c r="N389" t="s">
        <v>10</v>
      </c>
      <c r="O389" t="str">
        <f>INDEX(CoverageTable[Deductible Applies],MATCH(Table18[[#This Row],[Coverage]],CoverageTable[Coverage],0))</f>
        <v>No</v>
      </c>
      <c r="P389" t="str">
        <f>INDEX(CoverageTable[Coverage Limit Applies],MATCH(Table18[[#This Row],[Coverage]],CoverageTable[Coverage],0))</f>
        <v>Yes</v>
      </c>
      <c r="Q389" t="s">
        <v>10</v>
      </c>
      <c r="R389" t="s">
        <v>80</v>
      </c>
      <c r="S389" t="s">
        <v>10</v>
      </c>
      <c r="T389" t="s">
        <v>57</v>
      </c>
      <c r="U389" t="s">
        <v>10</v>
      </c>
      <c r="V389" t="s">
        <v>57</v>
      </c>
      <c r="W389" t="s">
        <v>10</v>
      </c>
    </row>
    <row r="390" spans="1:23" x14ac:dyDescent="0.3">
      <c r="A390" t="s">
        <v>481</v>
      </c>
      <c r="B390" s="7">
        <v>46070</v>
      </c>
      <c r="C390" t="s">
        <v>74</v>
      </c>
      <c r="D390" t="s">
        <v>1098</v>
      </c>
      <c r="E390" s="3">
        <v>7</v>
      </c>
      <c r="F390" s="3">
        <v>1</v>
      </c>
      <c r="G390" t="s">
        <v>10</v>
      </c>
      <c r="H390" t="s">
        <v>1110</v>
      </c>
      <c r="I390" t="s">
        <v>25</v>
      </c>
      <c r="J390" t="s">
        <v>50</v>
      </c>
      <c r="K390" t="s">
        <v>10</v>
      </c>
      <c r="L390" t="s">
        <v>10</v>
      </c>
      <c r="M390" t="s">
        <v>10</v>
      </c>
      <c r="N390" t="s">
        <v>57</v>
      </c>
      <c r="O390" t="str">
        <f>INDEX(CoverageTable[Deductible Applies],MATCH(Table18[[#This Row],[Coverage]],CoverageTable[Coverage],0))</f>
        <v>No</v>
      </c>
      <c r="P390" t="str">
        <f>INDEX(CoverageTable[Coverage Limit Applies],MATCH(Table18[[#This Row],[Coverage]],CoverageTable[Coverage],0))</f>
        <v>Yes</v>
      </c>
      <c r="Q390" t="s">
        <v>10</v>
      </c>
      <c r="R390" t="s">
        <v>78</v>
      </c>
      <c r="S390" t="s">
        <v>10</v>
      </c>
      <c r="T390" t="s">
        <v>10</v>
      </c>
      <c r="U390" t="s">
        <v>10</v>
      </c>
      <c r="V390" t="s">
        <v>10</v>
      </c>
      <c r="W390" t="s">
        <v>57</v>
      </c>
    </row>
    <row r="391" spans="1:23" x14ac:dyDescent="0.3">
      <c r="A391" t="s">
        <v>482</v>
      </c>
      <c r="B391" s="7">
        <v>45897</v>
      </c>
      <c r="C391" t="s">
        <v>70</v>
      </c>
      <c r="D391" t="s">
        <v>1099</v>
      </c>
      <c r="E391" s="3">
        <v>4</v>
      </c>
      <c r="F391" s="3">
        <v>1</v>
      </c>
      <c r="G391" t="s">
        <v>11</v>
      </c>
      <c r="H391" t="s">
        <v>1110</v>
      </c>
      <c r="I391" t="s">
        <v>23</v>
      </c>
      <c r="J391" t="s">
        <v>51</v>
      </c>
      <c r="K391" t="s">
        <v>10</v>
      </c>
      <c r="L391" t="s">
        <v>10</v>
      </c>
      <c r="M391" t="s">
        <v>10</v>
      </c>
      <c r="N391" t="s">
        <v>10</v>
      </c>
      <c r="O391" t="str">
        <f>INDEX(CoverageTable[Deductible Applies],MATCH(Table18[[#This Row],[Coverage]],CoverageTable[Coverage],0))</f>
        <v>No</v>
      </c>
      <c r="P391" t="str">
        <f>INDEX(CoverageTable[Coverage Limit Applies],MATCH(Table18[[#This Row],[Coverage]],CoverageTable[Coverage],0))</f>
        <v>Yes</v>
      </c>
      <c r="Q391" t="s">
        <v>10</v>
      </c>
      <c r="R391" t="s">
        <v>79</v>
      </c>
      <c r="S391" t="s">
        <v>57</v>
      </c>
      <c r="T391" t="s">
        <v>57</v>
      </c>
      <c r="U391" t="s">
        <v>10</v>
      </c>
      <c r="V391" t="s">
        <v>10</v>
      </c>
      <c r="W391" t="s">
        <v>10</v>
      </c>
    </row>
    <row r="392" spans="1:23" x14ac:dyDescent="0.3">
      <c r="A392" t="s">
        <v>483</v>
      </c>
      <c r="B392" s="7">
        <v>45895</v>
      </c>
      <c r="C392" t="s">
        <v>71</v>
      </c>
      <c r="D392" t="s">
        <v>1098</v>
      </c>
      <c r="E392" s="3" t="s">
        <v>1103</v>
      </c>
      <c r="F392" s="3">
        <v>1</v>
      </c>
      <c r="G392" t="s">
        <v>12</v>
      </c>
      <c r="H392" t="s">
        <v>1110</v>
      </c>
      <c r="I392" t="s">
        <v>21</v>
      </c>
      <c r="J392" t="s">
        <v>53</v>
      </c>
      <c r="K392" t="s">
        <v>10</v>
      </c>
      <c r="L392" t="s">
        <v>57</v>
      </c>
      <c r="M392" t="s">
        <v>10</v>
      </c>
      <c r="N392" t="s">
        <v>10</v>
      </c>
      <c r="O392" t="str">
        <f>INDEX(CoverageTable[Deductible Applies],MATCH(Table18[[#This Row],[Coverage]],CoverageTable[Coverage],0))</f>
        <v>Yes</v>
      </c>
      <c r="P392" t="str">
        <f>INDEX(CoverageTable[Coverage Limit Applies],MATCH(Table18[[#This Row],[Coverage]],CoverageTable[Coverage],0))</f>
        <v>No</v>
      </c>
      <c r="Q392" t="s">
        <v>80</v>
      </c>
      <c r="R392" t="s">
        <v>10</v>
      </c>
      <c r="S392" t="s">
        <v>10</v>
      </c>
      <c r="T392" t="s">
        <v>57</v>
      </c>
      <c r="U392" t="s">
        <v>10</v>
      </c>
      <c r="V392" t="s">
        <v>10</v>
      </c>
      <c r="W392" t="s">
        <v>10</v>
      </c>
    </row>
    <row r="393" spans="1:23" x14ac:dyDescent="0.3">
      <c r="A393" t="s">
        <v>484</v>
      </c>
      <c r="B393" s="7">
        <v>45875</v>
      </c>
      <c r="C393" t="s">
        <v>74</v>
      </c>
      <c r="D393" t="s">
        <v>1101</v>
      </c>
      <c r="E393" s="3">
        <v>5</v>
      </c>
      <c r="F393" s="3">
        <v>4</v>
      </c>
      <c r="G393" t="s">
        <v>13</v>
      </c>
      <c r="H393" t="s">
        <v>1106</v>
      </c>
      <c r="I393" t="s">
        <v>23</v>
      </c>
      <c r="J393" t="s">
        <v>54</v>
      </c>
      <c r="K393" t="s">
        <v>10</v>
      </c>
      <c r="L393" t="s">
        <v>10</v>
      </c>
      <c r="M393" t="s">
        <v>57</v>
      </c>
      <c r="N393" t="s">
        <v>57</v>
      </c>
      <c r="O393" t="str">
        <f>INDEX(CoverageTable[Deductible Applies],MATCH(Table18[[#This Row],[Coverage]],CoverageTable[Coverage],0))</f>
        <v>No</v>
      </c>
      <c r="P393" t="str">
        <f>INDEX(CoverageTable[Coverage Limit Applies],MATCH(Table18[[#This Row],[Coverage]],CoverageTable[Coverage],0))</f>
        <v>Yes</v>
      </c>
      <c r="Q393" t="s">
        <v>10</v>
      </c>
      <c r="R393" t="s">
        <v>80</v>
      </c>
      <c r="S393" t="s">
        <v>10</v>
      </c>
      <c r="T393" t="s">
        <v>10</v>
      </c>
      <c r="U393" t="s">
        <v>57</v>
      </c>
      <c r="V393" t="s">
        <v>57</v>
      </c>
      <c r="W393" t="s">
        <v>10</v>
      </c>
    </row>
    <row r="394" spans="1:23" x14ac:dyDescent="0.3">
      <c r="A394" t="s">
        <v>485</v>
      </c>
      <c r="B394" s="7">
        <v>45817</v>
      </c>
      <c r="C394" t="s">
        <v>71</v>
      </c>
      <c r="D394" t="s">
        <v>1098</v>
      </c>
      <c r="E394" s="3">
        <v>2</v>
      </c>
      <c r="F394" s="3">
        <v>3</v>
      </c>
      <c r="G394" t="s">
        <v>10</v>
      </c>
      <c r="H394" t="s">
        <v>1107</v>
      </c>
      <c r="I394" t="s">
        <v>40</v>
      </c>
      <c r="J394" t="s">
        <v>51</v>
      </c>
      <c r="K394" t="s">
        <v>10</v>
      </c>
      <c r="L394" t="s">
        <v>10</v>
      </c>
      <c r="M394" t="s">
        <v>10</v>
      </c>
      <c r="N394" t="s">
        <v>57</v>
      </c>
      <c r="O394" t="str">
        <f>INDEX(CoverageTable[Deductible Applies],MATCH(Table18[[#This Row],[Coverage]],CoverageTable[Coverage],0))</f>
        <v>Yes</v>
      </c>
      <c r="P394" t="str">
        <f>INDEX(CoverageTable[Coverage Limit Applies],MATCH(Table18[[#This Row],[Coverage]],CoverageTable[Coverage],0))</f>
        <v>No</v>
      </c>
      <c r="Q394" t="s">
        <v>78</v>
      </c>
      <c r="R394" t="s">
        <v>10</v>
      </c>
      <c r="S394" t="s">
        <v>10</v>
      </c>
      <c r="T394" t="s">
        <v>57</v>
      </c>
      <c r="U394" t="s">
        <v>10</v>
      </c>
      <c r="V394" t="s">
        <v>10</v>
      </c>
      <c r="W394" t="s">
        <v>57</v>
      </c>
    </row>
    <row r="395" spans="1:23" x14ac:dyDescent="0.3">
      <c r="A395" t="s">
        <v>486</v>
      </c>
      <c r="B395" s="7">
        <v>46087</v>
      </c>
      <c r="C395" t="s">
        <v>71</v>
      </c>
      <c r="D395" t="s">
        <v>1099</v>
      </c>
      <c r="E395" s="3">
        <v>4</v>
      </c>
      <c r="F395" s="3">
        <v>4</v>
      </c>
      <c r="G395" t="s">
        <v>11</v>
      </c>
      <c r="H395" t="s">
        <v>1106</v>
      </c>
      <c r="I395" t="s">
        <v>22</v>
      </c>
      <c r="J395" t="s">
        <v>50</v>
      </c>
      <c r="K395" t="s">
        <v>10</v>
      </c>
      <c r="L395" t="s">
        <v>10</v>
      </c>
      <c r="M395" t="s">
        <v>57</v>
      </c>
      <c r="N395" t="s">
        <v>10</v>
      </c>
      <c r="O395" t="str">
        <f>INDEX(CoverageTable[Deductible Applies],MATCH(Table18[[#This Row],[Coverage]],CoverageTable[Coverage],0))</f>
        <v>Yes</v>
      </c>
      <c r="P395" t="str">
        <f>INDEX(CoverageTable[Coverage Limit Applies],MATCH(Table18[[#This Row],[Coverage]],CoverageTable[Coverage],0))</f>
        <v>No</v>
      </c>
      <c r="Q395" t="s">
        <v>79</v>
      </c>
      <c r="R395" t="s">
        <v>10</v>
      </c>
      <c r="S395" t="s">
        <v>57</v>
      </c>
      <c r="T395" t="s">
        <v>57</v>
      </c>
      <c r="U395" t="s">
        <v>57</v>
      </c>
      <c r="V395" t="s">
        <v>57</v>
      </c>
      <c r="W395" t="s">
        <v>10</v>
      </c>
    </row>
    <row r="396" spans="1:23" x14ac:dyDescent="0.3">
      <c r="A396" t="s">
        <v>487</v>
      </c>
      <c r="B396" s="7">
        <v>46089</v>
      </c>
      <c r="C396" t="s">
        <v>70</v>
      </c>
      <c r="D396" t="s">
        <v>1101</v>
      </c>
      <c r="E396" s="3">
        <v>1</v>
      </c>
      <c r="F396" s="3" t="s">
        <v>7</v>
      </c>
      <c r="G396" t="s">
        <v>13</v>
      </c>
      <c r="H396" t="s">
        <v>1107</v>
      </c>
      <c r="I396" t="s">
        <v>29</v>
      </c>
      <c r="J396" t="s">
        <v>48</v>
      </c>
      <c r="K396" t="s">
        <v>10</v>
      </c>
      <c r="L396" t="s">
        <v>10</v>
      </c>
      <c r="M396" t="s">
        <v>10</v>
      </c>
      <c r="N396" t="s">
        <v>57</v>
      </c>
      <c r="O396" t="str">
        <f>INDEX(CoverageTable[Deductible Applies],MATCH(Table18[[#This Row],[Coverage]],CoverageTable[Coverage],0))</f>
        <v>No</v>
      </c>
      <c r="P396" t="str">
        <f>INDEX(CoverageTable[Coverage Limit Applies],MATCH(Table18[[#This Row],[Coverage]],CoverageTable[Coverage],0))</f>
        <v>Yes</v>
      </c>
      <c r="Q396" t="s">
        <v>10</v>
      </c>
      <c r="R396" t="s">
        <v>78</v>
      </c>
      <c r="S396" t="s">
        <v>10</v>
      </c>
      <c r="T396" t="s">
        <v>10</v>
      </c>
      <c r="U396" t="s">
        <v>10</v>
      </c>
      <c r="V396" t="s">
        <v>10</v>
      </c>
      <c r="W396" t="s">
        <v>10</v>
      </c>
    </row>
    <row r="397" spans="1:23" x14ac:dyDescent="0.3">
      <c r="A397" t="s">
        <v>488</v>
      </c>
      <c r="B397" s="7">
        <v>45940</v>
      </c>
      <c r="C397" t="s">
        <v>71</v>
      </c>
      <c r="D397" t="s">
        <v>1099</v>
      </c>
      <c r="E397" s="3" t="s">
        <v>1103</v>
      </c>
      <c r="F397" s="3">
        <v>4</v>
      </c>
      <c r="G397" t="s">
        <v>13</v>
      </c>
      <c r="H397" t="s">
        <v>1109</v>
      </c>
      <c r="I397" t="s">
        <v>42</v>
      </c>
      <c r="J397" t="s">
        <v>52</v>
      </c>
      <c r="K397" t="s">
        <v>10</v>
      </c>
      <c r="L397" t="s">
        <v>57</v>
      </c>
      <c r="M397" t="s">
        <v>57</v>
      </c>
      <c r="N397" t="s">
        <v>57</v>
      </c>
      <c r="O397" t="str">
        <f>INDEX(CoverageTable[Deductible Applies],MATCH(Table18[[#This Row],[Coverage]],CoverageTable[Coverage],0))</f>
        <v>Yes</v>
      </c>
      <c r="P397" t="str">
        <f>INDEX(CoverageTable[Coverage Limit Applies],MATCH(Table18[[#This Row],[Coverage]],CoverageTable[Coverage],0))</f>
        <v>No</v>
      </c>
      <c r="Q397" t="s">
        <v>78</v>
      </c>
      <c r="R397" t="s">
        <v>10</v>
      </c>
      <c r="S397" t="s">
        <v>10</v>
      </c>
      <c r="T397" t="s">
        <v>10</v>
      </c>
      <c r="U397" t="s">
        <v>57</v>
      </c>
      <c r="V397" t="s">
        <v>10</v>
      </c>
      <c r="W397" t="s">
        <v>10</v>
      </c>
    </row>
    <row r="398" spans="1:23" x14ac:dyDescent="0.3">
      <c r="A398" t="s">
        <v>489</v>
      </c>
      <c r="B398" s="7">
        <v>45891</v>
      </c>
      <c r="C398" t="s">
        <v>74</v>
      </c>
      <c r="D398" t="s">
        <v>1102</v>
      </c>
      <c r="E398" s="3">
        <v>1</v>
      </c>
      <c r="F398" s="3">
        <v>0</v>
      </c>
      <c r="G398" t="s">
        <v>10</v>
      </c>
      <c r="H398" t="s">
        <v>1109</v>
      </c>
      <c r="I398" t="s">
        <v>22</v>
      </c>
      <c r="J398" t="s">
        <v>51</v>
      </c>
      <c r="K398" t="s">
        <v>10</v>
      </c>
      <c r="L398" t="s">
        <v>10</v>
      </c>
      <c r="M398" t="s">
        <v>10</v>
      </c>
      <c r="N398" t="s">
        <v>57</v>
      </c>
      <c r="O398" t="str">
        <f>INDEX(CoverageTable[Deductible Applies],MATCH(Table18[[#This Row],[Coverage]],CoverageTable[Coverage],0))</f>
        <v>No</v>
      </c>
      <c r="P398" t="str">
        <f>INDEX(CoverageTable[Coverage Limit Applies],MATCH(Table18[[#This Row],[Coverage]],CoverageTable[Coverage],0))</f>
        <v>Yes</v>
      </c>
      <c r="Q398" t="s">
        <v>10</v>
      </c>
      <c r="R398" t="s">
        <v>79</v>
      </c>
      <c r="S398" t="s">
        <v>10</v>
      </c>
      <c r="T398" t="s">
        <v>57</v>
      </c>
      <c r="U398" t="s">
        <v>10</v>
      </c>
      <c r="V398" t="s">
        <v>10</v>
      </c>
      <c r="W398" t="s">
        <v>10</v>
      </c>
    </row>
    <row r="399" spans="1:23" x14ac:dyDescent="0.3">
      <c r="A399" t="s">
        <v>490</v>
      </c>
      <c r="B399" s="7">
        <v>46108</v>
      </c>
      <c r="C399" t="s">
        <v>70</v>
      </c>
      <c r="D399" t="s">
        <v>1098</v>
      </c>
      <c r="E399" s="3">
        <v>5</v>
      </c>
      <c r="F399" s="3">
        <v>3</v>
      </c>
      <c r="G399" t="s">
        <v>12</v>
      </c>
      <c r="H399" t="s">
        <v>1107</v>
      </c>
      <c r="I399" t="s">
        <v>34</v>
      </c>
      <c r="J399" t="s">
        <v>50</v>
      </c>
      <c r="K399" t="s">
        <v>10</v>
      </c>
      <c r="L399" t="s">
        <v>10</v>
      </c>
      <c r="M399" t="s">
        <v>10</v>
      </c>
      <c r="N399" t="s">
        <v>57</v>
      </c>
      <c r="O399" t="str">
        <f>INDEX(CoverageTable[Deductible Applies],MATCH(Table18[[#This Row],[Coverage]],CoverageTable[Coverage],0))</f>
        <v>No</v>
      </c>
      <c r="P399" t="str">
        <f>INDEX(CoverageTable[Coverage Limit Applies],MATCH(Table18[[#This Row],[Coverage]],CoverageTable[Coverage],0))</f>
        <v>Yes</v>
      </c>
      <c r="Q399" t="s">
        <v>10</v>
      </c>
      <c r="R399" t="s">
        <v>80</v>
      </c>
      <c r="S399" t="s">
        <v>10</v>
      </c>
      <c r="T399" t="s">
        <v>10</v>
      </c>
      <c r="U399" t="s">
        <v>10</v>
      </c>
      <c r="V399" t="s">
        <v>10</v>
      </c>
      <c r="W399" t="s">
        <v>10</v>
      </c>
    </row>
    <row r="400" spans="1:23" x14ac:dyDescent="0.3">
      <c r="A400" t="s">
        <v>491</v>
      </c>
      <c r="B400" s="7">
        <v>45999</v>
      </c>
      <c r="C400" t="s">
        <v>72</v>
      </c>
      <c r="D400" t="s">
        <v>1098</v>
      </c>
      <c r="E400" s="3" t="s">
        <v>1103</v>
      </c>
      <c r="F400" s="3">
        <v>4</v>
      </c>
      <c r="G400" t="s">
        <v>13</v>
      </c>
      <c r="H400" t="s">
        <v>1108</v>
      </c>
      <c r="I400" t="s">
        <v>38</v>
      </c>
      <c r="J400" t="s">
        <v>49</v>
      </c>
      <c r="K400" t="s">
        <v>10</v>
      </c>
      <c r="L400" t="s">
        <v>10</v>
      </c>
      <c r="M400" t="s">
        <v>57</v>
      </c>
      <c r="N400" t="s">
        <v>10</v>
      </c>
      <c r="O400" t="str">
        <f>INDEX(CoverageTable[Deductible Applies],MATCH(Table18[[#This Row],[Coverage]],CoverageTable[Coverage],0))</f>
        <v>Yes</v>
      </c>
      <c r="P400" t="str">
        <f>INDEX(CoverageTable[Coverage Limit Applies],MATCH(Table18[[#This Row],[Coverage]],CoverageTable[Coverage],0))</f>
        <v>No</v>
      </c>
      <c r="Q400" t="s">
        <v>78</v>
      </c>
      <c r="R400" t="s">
        <v>10</v>
      </c>
      <c r="S400" t="s">
        <v>57</v>
      </c>
      <c r="T400" t="s">
        <v>57</v>
      </c>
      <c r="U400" t="s">
        <v>57</v>
      </c>
      <c r="V400" t="s">
        <v>10</v>
      </c>
      <c r="W400" t="s">
        <v>10</v>
      </c>
    </row>
    <row r="401" spans="1:23" x14ac:dyDescent="0.3">
      <c r="A401" t="s">
        <v>492</v>
      </c>
      <c r="B401" s="7">
        <v>45917</v>
      </c>
      <c r="C401" t="s">
        <v>71</v>
      </c>
      <c r="D401" t="s">
        <v>1102</v>
      </c>
      <c r="E401" s="3">
        <v>7</v>
      </c>
      <c r="F401" s="3">
        <v>1</v>
      </c>
      <c r="G401" t="s">
        <v>12</v>
      </c>
      <c r="H401" t="s">
        <v>1109</v>
      </c>
      <c r="I401" t="s">
        <v>27</v>
      </c>
      <c r="J401" t="s">
        <v>52</v>
      </c>
      <c r="K401" t="s">
        <v>10</v>
      </c>
      <c r="L401" t="s">
        <v>10</v>
      </c>
      <c r="M401" t="s">
        <v>10</v>
      </c>
      <c r="N401" t="s">
        <v>57</v>
      </c>
      <c r="O401" t="str">
        <f>INDEX(CoverageTable[Deductible Applies],MATCH(Table18[[#This Row],[Coverage]],CoverageTable[Coverage],0))</f>
        <v>Yes</v>
      </c>
      <c r="P401" t="str">
        <f>INDEX(CoverageTable[Coverage Limit Applies],MATCH(Table18[[#This Row],[Coverage]],CoverageTable[Coverage],0))</f>
        <v>No</v>
      </c>
      <c r="Q401" t="s">
        <v>79</v>
      </c>
      <c r="R401" t="s">
        <v>10</v>
      </c>
      <c r="S401" t="s">
        <v>10</v>
      </c>
      <c r="T401" t="s">
        <v>10</v>
      </c>
      <c r="U401" t="s">
        <v>10</v>
      </c>
      <c r="V401" t="s">
        <v>10</v>
      </c>
      <c r="W401" t="s">
        <v>57</v>
      </c>
    </row>
    <row r="402" spans="1:23" x14ac:dyDescent="0.3">
      <c r="A402" t="s">
        <v>493</v>
      </c>
      <c r="B402" s="7">
        <v>46122</v>
      </c>
      <c r="C402" t="s">
        <v>71</v>
      </c>
      <c r="D402" t="s">
        <v>1101</v>
      </c>
      <c r="E402" s="3">
        <v>5</v>
      </c>
      <c r="F402" s="3">
        <v>1</v>
      </c>
      <c r="G402" t="s">
        <v>10</v>
      </c>
      <c r="H402" t="s">
        <v>1109</v>
      </c>
      <c r="I402" t="s">
        <v>31</v>
      </c>
      <c r="J402" t="s">
        <v>49</v>
      </c>
      <c r="K402" t="s">
        <v>10</v>
      </c>
      <c r="L402" t="s">
        <v>10</v>
      </c>
      <c r="M402" t="s">
        <v>10</v>
      </c>
      <c r="N402" t="s">
        <v>57</v>
      </c>
      <c r="O402" t="str">
        <f>INDEX(CoverageTable[Deductible Applies],MATCH(Table18[[#This Row],[Coverage]],CoverageTable[Coverage],0))</f>
        <v>Yes</v>
      </c>
      <c r="P402" t="str">
        <f>INDEX(CoverageTable[Coverage Limit Applies],MATCH(Table18[[#This Row],[Coverage]],CoverageTable[Coverage],0))</f>
        <v>No</v>
      </c>
      <c r="Q402" t="s">
        <v>78</v>
      </c>
      <c r="R402" t="s">
        <v>10</v>
      </c>
      <c r="S402" t="s">
        <v>10</v>
      </c>
      <c r="T402" t="s">
        <v>10</v>
      </c>
      <c r="U402" t="s">
        <v>10</v>
      </c>
      <c r="V402" t="s">
        <v>10</v>
      </c>
      <c r="W402" t="s">
        <v>10</v>
      </c>
    </row>
    <row r="403" spans="1:23" x14ac:dyDescent="0.3">
      <c r="A403" t="s">
        <v>494</v>
      </c>
      <c r="B403" s="7">
        <v>46104</v>
      </c>
      <c r="C403" t="s">
        <v>70</v>
      </c>
      <c r="D403" t="s">
        <v>1100</v>
      </c>
      <c r="E403" s="3">
        <v>2</v>
      </c>
      <c r="F403" s="3">
        <v>1</v>
      </c>
      <c r="G403" t="s">
        <v>12</v>
      </c>
      <c r="H403" t="s">
        <v>1107</v>
      </c>
      <c r="I403" t="s">
        <v>28</v>
      </c>
      <c r="J403" t="s">
        <v>53</v>
      </c>
      <c r="K403" t="s">
        <v>10</v>
      </c>
      <c r="L403" t="s">
        <v>10</v>
      </c>
      <c r="M403" t="s">
        <v>10</v>
      </c>
      <c r="N403" t="s">
        <v>57</v>
      </c>
      <c r="O403" t="str">
        <f>INDEX(CoverageTable[Deductible Applies],MATCH(Table18[[#This Row],[Coverage]],CoverageTable[Coverage],0))</f>
        <v>No</v>
      </c>
      <c r="P403" t="str">
        <f>INDEX(CoverageTable[Coverage Limit Applies],MATCH(Table18[[#This Row],[Coverage]],CoverageTable[Coverage],0))</f>
        <v>Yes</v>
      </c>
      <c r="Q403" t="s">
        <v>10</v>
      </c>
      <c r="R403" t="s">
        <v>79</v>
      </c>
      <c r="S403" t="s">
        <v>10</v>
      </c>
      <c r="T403" t="s">
        <v>10</v>
      </c>
      <c r="U403" t="s">
        <v>57</v>
      </c>
      <c r="V403" t="s">
        <v>10</v>
      </c>
      <c r="W403" t="s">
        <v>10</v>
      </c>
    </row>
    <row r="404" spans="1:23" x14ac:dyDescent="0.3">
      <c r="A404" t="s">
        <v>495</v>
      </c>
      <c r="B404" s="7">
        <v>45953</v>
      </c>
      <c r="C404" t="s">
        <v>70</v>
      </c>
      <c r="D404" t="s">
        <v>1100</v>
      </c>
      <c r="E404" s="3">
        <v>5</v>
      </c>
      <c r="F404" s="3">
        <v>4</v>
      </c>
      <c r="G404" t="s">
        <v>13</v>
      </c>
      <c r="H404" t="s">
        <v>1110</v>
      </c>
      <c r="I404" t="s">
        <v>23</v>
      </c>
      <c r="J404" t="s">
        <v>50</v>
      </c>
      <c r="K404" t="s">
        <v>10</v>
      </c>
      <c r="L404" t="s">
        <v>10</v>
      </c>
      <c r="M404" t="s">
        <v>10</v>
      </c>
      <c r="N404" t="s">
        <v>57</v>
      </c>
      <c r="O404" t="str">
        <f>INDEX(CoverageTable[Deductible Applies],MATCH(Table18[[#This Row],[Coverage]],CoverageTable[Coverage],0))</f>
        <v>No</v>
      </c>
      <c r="P404" t="str">
        <f>INDEX(CoverageTable[Coverage Limit Applies],MATCH(Table18[[#This Row],[Coverage]],CoverageTable[Coverage],0))</f>
        <v>Yes</v>
      </c>
      <c r="Q404" t="s">
        <v>10</v>
      </c>
      <c r="R404" t="s">
        <v>79</v>
      </c>
      <c r="S404" t="s">
        <v>10</v>
      </c>
      <c r="T404" t="s">
        <v>10</v>
      </c>
      <c r="U404" t="s">
        <v>10</v>
      </c>
      <c r="V404" t="s">
        <v>10</v>
      </c>
      <c r="W404" t="s">
        <v>10</v>
      </c>
    </row>
    <row r="405" spans="1:23" x14ac:dyDescent="0.3">
      <c r="A405" t="s">
        <v>496</v>
      </c>
      <c r="B405" s="7">
        <v>46085</v>
      </c>
      <c r="C405" t="s">
        <v>70</v>
      </c>
      <c r="D405" t="s">
        <v>1099</v>
      </c>
      <c r="E405" s="3">
        <v>1</v>
      </c>
      <c r="F405" s="3">
        <v>2</v>
      </c>
      <c r="G405" t="s">
        <v>10</v>
      </c>
      <c r="H405" t="s">
        <v>1107</v>
      </c>
      <c r="I405" t="s">
        <v>40</v>
      </c>
      <c r="J405" t="s">
        <v>53</v>
      </c>
      <c r="K405" t="s">
        <v>10</v>
      </c>
      <c r="L405" t="s">
        <v>57</v>
      </c>
      <c r="M405" t="s">
        <v>10</v>
      </c>
      <c r="N405" t="s">
        <v>10</v>
      </c>
      <c r="O405" t="str">
        <f>INDEX(CoverageTable[Deductible Applies],MATCH(Table18[[#This Row],[Coverage]],CoverageTable[Coverage],0))</f>
        <v>No</v>
      </c>
      <c r="P405" t="str">
        <f>INDEX(CoverageTable[Coverage Limit Applies],MATCH(Table18[[#This Row],[Coverage]],CoverageTable[Coverage],0))</f>
        <v>Yes</v>
      </c>
      <c r="Q405" t="s">
        <v>10</v>
      </c>
      <c r="R405" t="s">
        <v>78</v>
      </c>
      <c r="S405" t="s">
        <v>10</v>
      </c>
      <c r="T405" t="s">
        <v>57</v>
      </c>
      <c r="U405" t="s">
        <v>10</v>
      </c>
      <c r="V405" t="s">
        <v>57</v>
      </c>
      <c r="W405" t="s">
        <v>10</v>
      </c>
    </row>
    <row r="406" spans="1:23" x14ac:dyDescent="0.3">
      <c r="A406" t="s">
        <v>497</v>
      </c>
      <c r="B406" s="7">
        <v>46098</v>
      </c>
      <c r="C406" t="s">
        <v>72</v>
      </c>
      <c r="D406" t="s">
        <v>1101</v>
      </c>
      <c r="E406" s="3">
        <v>5</v>
      </c>
      <c r="F406" s="3">
        <v>4</v>
      </c>
      <c r="G406" t="s">
        <v>11</v>
      </c>
      <c r="H406" t="s">
        <v>1107</v>
      </c>
      <c r="I406" t="s">
        <v>34</v>
      </c>
      <c r="J406" t="s">
        <v>51</v>
      </c>
      <c r="K406" t="s">
        <v>10</v>
      </c>
      <c r="L406" t="s">
        <v>10</v>
      </c>
      <c r="M406" t="s">
        <v>57</v>
      </c>
      <c r="N406" t="s">
        <v>57</v>
      </c>
      <c r="O406" t="str">
        <f>INDEX(CoverageTable[Deductible Applies],MATCH(Table18[[#This Row],[Coverage]],CoverageTable[Coverage],0))</f>
        <v>Yes</v>
      </c>
      <c r="P406" t="str">
        <f>INDEX(CoverageTable[Coverage Limit Applies],MATCH(Table18[[#This Row],[Coverage]],CoverageTable[Coverage],0))</f>
        <v>No</v>
      </c>
      <c r="Q406" t="s">
        <v>80</v>
      </c>
      <c r="R406" t="s">
        <v>10</v>
      </c>
      <c r="S406" t="s">
        <v>10</v>
      </c>
      <c r="T406" t="s">
        <v>10</v>
      </c>
      <c r="U406" t="s">
        <v>10</v>
      </c>
      <c r="V406" t="s">
        <v>10</v>
      </c>
      <c r="W406" t="s">
        <v>10</v>
      </c>
    </row>
    <row r="407" spans="1:23" x14ac:dyDescent="0.3">
      <c r="A407" t="s">
        <v>498</v>
      </c>
      <c r="B407" s="7">
        <v>45976</v>
      </c>
      <c r="C407" t="s">
        <v>71</v>
      </c>
      <c r="D407" t="s">
        <v>1101</v>
      </c>
      <c r="E407" s="3">
        <v>6</v>
      </c>
      <c r="F407" s="3">
        <v>0</v>
      </c>
      <c r="G407" t="s">
        <v>13</v>
      </c>
      <c r="H407" t="s">
        <v>1109</v>
      </c>
      <c r="I407" t="s">
        <v>44</v>
      </c>
      <c r="J407" t="s">
        <v>54</v>
      </c>
      <c r="K407" t="s">
        <v>10</v>
      </c>
      <c r="L407" t="s">
        <v>10</v>
      </c>
      <c r="M407" t="s">
        <v>10</v>
      </c>
      <c r="N407" t="s">
        <v>10</v>
      </c>
      <c r="O407" t="str">
        <f>INDEX(CoverageTable[Deductible Applies],MATCH(Table18[[#This Row],[Coverage]],CoverageTable[Coverage],0))</f>
        <v>Yes</v>
      </c>
      <c r="P407" t="str">
        <f>INDEX(CoverageTable[Coverage Limit Applies],MATCH(Table18[[#This Row],[Coverage]],CoverageTable[Coverage],0))</f>
        <v>No</v>
      </c>
      <c r="Q407" t="s">
        <v>79</v>
      </c>
      <c r="R407" t="s">
        <v>10</v>
      </c>
      <c r="S407" t="s">
        <v>10</v>
      </c>
      <c r="T407" t="s">
        <v>57</v>
      </c>
      <c r="U407" t="s">
        <v>10</v>
      </c>
      <c r="V407" t="s">
        <v>10</v>
      </c>
      <c r="W407" t="s">
        <v>10</v>
      </c>
    </row>
    <row r="408" spans="1:23" x14ac:dyDescent="0.3">
      <c r="A408" t="s">
        <v>499</v>
      </c>
      <c r="B408" s="7">
        <v>45904</v>
      </c>
      <c r="C408" t="s">
        <v>71</v>
      </c>
      <c r="D408" t="s">
        <v>1102</v>
      </c>
      <c r="E408" s="3">
        <v>4</v>
      </c>
      <c r="F408" s="3">
        <v>1</v>
      </c>
      <c r="G408" t="s">
        <v>10</v>
      </c>
      <c r="H408" t="s">
        <v>1106</v>
      </c>
      <c r="I408" t="s">
        <v>43</v>
      </c>
      <c r="J408" t="s">
        <v>48</v>
      </c>
      <c r="K408" t="s">
        <v>10</v>
      </c>
      <c r="L408" t="s">
        <v>10</v>
      </c>
      <c r="M408" t="s">
        <v>10</v>
      </c>
      <c r="N408" t="s">
        <v>10</v>
      </c>
      <c r="O408" t="str">
        <f>INDEX(CoverageTable[Deductible Applies],MATCH(Table18[[#This Row],[Coverage]],CoverageTable[Coverage],0))</f>
        <v>Yes</v>
      </c>
      <c r="P408" t="str">
        <f>INDEX(CoverageTable[Coverage Limit Applies],MATCH(Table18[[#This Row],[Coverage]],CoverageTable[Coverage],0))</f>
        <v>No</v>
      </c>
      <c r="Q408" t="s">
        <v>78</v>
      </c>
      <c r="R408" t="s">
        <v>10</v>
      </c>
      <c r="S408" t="s">
        <v>57</v>
      </c>
      <c r="T408" t="s">
        <v>57</v>
      </c>
      <c r="U408" t="s">
        <v>10</v>
      </c>
      <c r="V408" t="s">
        <v>57</v>
      </c>
      <c r="W408" t="s">
        <v>57</v>
      </c>
    </row>
    <row r="409" spans="1:23" x14ac:dyDescent="0.3">
      <c r="A409" t="s">
        <v>500</v>
      </c>
      <c r="B409" s="7">
        <v>45883</v>
      </c>
      <c r="C409" t="s">
        <v>71</v>
      </c>
      <c r="D409" t="s">
        <v>1101</v>
      </c>
      <c r="E409" s="3">
        <v>2</v>
      </c>
      <c r="F409" s="3">
        <v>3</v>
      </c>
      <c r="G409" t="s">
        <v>10</v>
      </c>
      <c r="H409" t="s">
        <v>1106</v>
      </c>
      <c r="I409" t="s">
        <v>22</v>
      </c>
      <c r="J409" t="s">
        <v>49</v>
      </c>
      <c r="K409" t="s">
        <v>10</v>
      </c>
      <c r="L409" t="s">
        <v>10</v>
      </c>
      <c r="M409" t="s">
        <v>10</v>
      </c>
      <c r="N409" t="s">
        <v>57</v>
      </c>
      <c r="O409" t="str">
        <f>INDEX(CoverageTable[Deductible Applies],MATCH(Table18[[#This Row],[Coverage]],CoverageTable[Coverage],0))</f>
        <v>Yes</v>
      </c>
      <c r="P409" t="str">
        <f>INDEX(CoverageTable[Coverage Limit Applies],MATCH(Table18[[#This Row],[Coverage]],CoverageTable[Coverage],0))</f>
        <v>No</v>
      </c>
      <c r="Q409" t="s">
        <v>79</v>
      </c>
      <c r="R409" t="s">
        <v>10</v>
      </c>
      <c r="S409" t="s">
        <v>57</v>
      </c>
      <c r="T409" t="s">
        <v>10</v>
      </c>
      <c r="U409" t="s">
        <v>10</v>
      </c>
      <c r="V409" t="s">
        <v>57</v>
      </c>
      <c r="W409" t="s">
        <v>57</v>
      </c>
    </row>
    <row r="410" spans="1:23" x14ac:dyDescent="0.3">
      <c r="A410" t="s">
        <v>501</v>
      </c>
      <c r="B410" s="7">
        <v>45978</v>
      </c>
      <c r="C410" t="s">
        <v>71</v>
      </c>
      <c r="D410" t="s">
        <v>1100</v>
      </c>
      <c r="E410" s="3">
        <v>1</v>
      </c>
      <c r="F410" s="3">
        <v>3</v>
      </c>
      <c r="G410" t="s">
        <v>10</v>
      </c>
      <c r="H410" t="s">
        <v>1106</v>
      </c>
      <c r="I410" t="s">
        <v>26</v>
      </c>
      <c r="J410" t="s">
        <v>51</v>
      </c>
      <c r="K410" t="s">
        <v>10</v>
      </c>
      <c r="L410" t="s">
        <v>10</v>
      </c>
      <c r="M410" t="s">
        <v>10</v>
      </c>
      <c r="N410" t="s">
        <v>57</v>
      </c>
      <c r="O410" t="str">
        <f>INDEX(CoverageTable[Deductible Applies],MATCH(Table18[[#This Row],[Coverage]],CoverageTable[Coverage],0))</f>
        <v>Yes</v>
      </c>
      <c r="P410" t="str">
        <f>INDEX(CoverageTable[Coverage Limit Applies],MATCH(Table18[[#This Row],[Coverage]],CoverageTable[Coverage],0))</f>
        <v>No</v>
      </c>
      <c r="Q410" t="s">
        <v>78</v>
      </c>
      <c r="R410" t="s">
        <v>10</v>
      </c>
      <c r="S410" t="s">
        <v>10</v>
      </c>
      <c r="T410" t="s">
        <v>10</v>
      </c>
      <c r="U410" t="s">
        <v>10</v>
      </c>
      <c r="V410" t="s">
        <v>57</v>
      </c>
      <c r="W410" t="s">
        <v>10</v>
      </c>
    </row>
    <row r="411" spans="1:23" x14ac:dyDescent="0.3">
      <c r="A411" t="s">
        <v>502</v>
      </c>
      <c r="B411" s="7">
        <v>45783</v>
      </c>
      <c r="C411" t="s">
        <v>73</v>
      </c>
      <c r="D411" t="s">
        <v>1100</v>
      </c>
      <c r="E411" s="3" t="s">
        <v>1103</v>
      </c>
      <c r="F411" s="3">
        <v>0</v>
      </c>
      <c r="G411" t="s">
        <v>10</v>
      </c>
      <c r="H411" t="s">
        <v>1109</v>
      </c>
      <c r="I411" t="s">
        <v>36</v>
      </c>
      <c r="J411" t="s">
        <v>52</v>
      </c>
      <c r="K411" t="s">
        <v>10</v>
      </c>
      <c r="L411" t="s">
        <v>10</v>
      </c>
      <c r="M411" t="s">
        <v>10</v>
      </c>
      <c r="N411" t="s">
        <v>57</v>
      </c>
      <c r="O411" t="str">
        <f>INDEX(CoverageTable[Deductible Applies],MATCH(Table18[[#This Row],[Coverage]],CoverageTable[Coverage],0))</f>
        <v>No</v>
      </c>
      <c r="P411" t="str">
        <f>INDEX(CoverageTable[Coverage Limit Applies],MATCH(Table18[[#This Row],[Coverage]],CoverageTable[Coverage],0))</f>
        <v>Yes</v>
      </c>
      <c r="Q411" t="s">
        <v>10</v>
      </c>
      <c r="R411" t="s">
        <v>78</v>
      </c>
      <c r="S411" t="s">
        <v>10</v>
      </c>
      <c r="T411" t="s">
        <v>10</v>
      </c>
      <c r="U411" t="s">
        <v>57</v>
      </c>
      <c r="V411" t="s">
        <v>10</v>
      </c>
      <c r="W411" t="s">
        <v>10</v>
      </c>
    </row>
    <row r="412" spans="1:23" x14ac:dyDescent="0.3">
      <c r="A412" t="s">
        <v>503</v>
      </c>
      <c r="B412" s="7">
        <v>45868</v>
      </c>
      <c r="C412" t="s">
        <v>71</v>
      </c>
      <c r="D412" t="s">
        <v>1097</v>
      </c>
      <c r="E412" s="3" t="s">
        <v>1103</v>
      </c>
      <c r="F412" s="3">
        <v>3</v>
      </c>
      <c r="G412" t="s">
        <v>10</v>
      </c>
      <c r="H412" t="s">
        <v>1110</v>
      </c>
      <c r="I412" t="s">
        <v>22</v>
      </c>
      <c r="J412" t="s">
        <v>50</v>
      </c>
      <c r="K412" t="s">
        <v>10</v>
      </c>
      <c r="L412" t="s">
        <v>10</v>
      </c>
      <c r="M412" t="s">
        <v>10</v>
      </c>
      <c r="N412" t="s">
        <v>57</v>
      </c>
      <c r="O412" t="str">
        <f>INDEX(CoverageTable[Deductible Applies],MATCH(Table18[[#This Row],[Coverage]],CoverageTable[Coverage],0))</f>
        <v>Yes</v>
      </c>
      <c r="P412" t="str">
        <f>INDEX(CoverageTable[Coverage Limit Applies],MATCH(Table18[[#This Row],[Coverage]],CoverageTable[Coverage],0))</f>
        <v>No</v>
      </c>
      <c r="Q412" t="s">
        <v>80</v>
      </c>
      <c r="R412" t="s">
        <v>10</v>
      </c>
      <c r="S412" t="s">
        <v>57</v>
      </c>
      <c r="T412" t="s">
        <v>57</v>
      </c>
      <c r="U412" t="s">
        <v>10</v>
      </c>
      <c r="V412" t="s">
        <v>10</v>
      </c>
      <c r="W412" t="s">
        <v>10</v>
      </c>
    </row>
    <row r="413" spans="1:23" x14ac:dyDescent="0.3">
      <c r="A413" t="s">
        <v>504</v>
      </c>
      <c r="B413" s="7">
        <v>46137</v>
      </c>
      <c r="C413" t="s">
        <v>73</v>
      </c>
      <c r="D413" t="s">
        <v>1101</v>
      </c>
      <c r="E413" s="3">
        <v>2</v>
      </c>
      <c r="F413" s="3">
        <v>2</v>
      </c>
      <c r="G413" t="s">
        <v>13</v>
      </c>
      <c r="H413" t="s">
        <v>1107</v>
      </c>
      <c r="I413" t="s">
        <v>22</v>
      </c>
      <c r="J413" t="s">
        <v>50</v>
      </c>
      <c r="K413" t="s">
        <v>10</v>
      </c>
      <c r="L413" t="s">
        <v>10</v>
      </c>
      <c r="M413" t="s">
        <v>10</v>
      </c>
      <c r="N413" t="s">
        <v>57</v>
      </c>
      <c r="O413" t="str">
        <f>INDEX(CoverageTable[Deductible Applies],MATCH(Table18[[#This Row],[Coverage]],CoverageTable[Coverage],0))</f>
        <v>No</v>
      </c>
      <c r="P413" t="str">
        <f>INDEX(CoverageTable[Coverage Limit Applies],MATCH(Table18[[#This Row],[Coverage]],CoverageTable[Coverage],0))</f>
        <v>Yes</v>
      </c>
      <c r="Q413" t="s">
        <v>10</v>
      </c>
      <c r="R413" t="s">
        <v>79</v>
      </c>
      <c r="S413" t="s">
        <v>10</v>
      </c>
      <c r="T413" t="s">
        <v>10</v>
      </c>
      <c r="U413" t="s">
        <v>57</v>
      </c>
      <c r="V413" t="s">
        <v>57</v>
      </c>
      <c r="W413" t="s">
        <v>10</v>
      </c>
    </row>
    <row r="414" spans="1:23" x14ac:dyDescent="0.3">
      <c r="A414" t="s">
        <v>505</v>
      </c>
      <c r="B414" s="7">
        <v>46046</v>
      </c>
      <c r="C414" t="s">
        <v>70</v>
      </c>
      <c r="D414" t="s">
        <v>1100</v>
      </c>
      <c r="E414" s="3">
        <v>4</v>
      </c>
      <c r="F414" s="3">
        <v>0</v>
      </c>
      <c r="G414" t="s">
        <v>13</v>
      </c>
      <c r="H414" t="s">
        <v>1107</v>
      </c>
      <c r="I414" t="s">
        <v>44</v>
      </c>
      <c r="J414" t="s">
        <v>49</v>
      </c>
      <c r="K414" t="s">
        <v>10</v>
      </c>
      <c r="L414" t="s">
        <v>10</v>
      </c>
      <c r="M414" t="s">
        <v>10</v>
      </c>
      <c r="N414" t="s">
        <v>57</v>
      </c>
      <c r="O414" t="str">
        <f>INDEX(CoverageTable[Deductible Applies],MATCH(Table18[[#This Row],[Coverage]],CoverageTable[Coverage],0))</f>
        <v>No</v>
      </c>
      <c r="P414" t="str">
        <f>INDEX(CoverageTable[Coverage Limit Applies],MATCH(Table18[[#This Row],[Coverage]],CoverageTable[Coverage],0))</f>
        <v>Yes</v>
      </c>
      <c r="Q414" t="s">
        <v>10</v>
      </c>
      <c r="R414" t="s">
        <v>79</v>
      </c>
      <c r="S414" t="s">
        <v>10</v>
      </c>
      <c r="T414" t="s">
        <v>10</v>
      </c>
      <c r="U414" t="s">
        <v>10</v>
      </c>
      <c r="V414" t="s">
        <v>10</v>
      </c>
      <c r="W414" t="s">
        <v>10</v>
      </c>
    </row>
    <row r="415" spans="1:23" x14ac:dyDescent="0.3">
      <c r="A415" t="s">
        <v>506</v>
      </c>
      <c r="B415" s="7">
        <v>45778</v>
      </c>
      <c r="C415" t="s">
        <v>70</v>
      </c>
      <c r="D415" t="s">
        <v>1099</v>
      </c>
      <c r="E415" s="3">
        <v>3</v>
      </c>
      <c r="F415" s="3">
        <v>4</v>
      </c>
      <c r="G415" t="s">
        <v>10</v>
      </c>
      <c r="H415" t="s">
        <v>1107</v>
      </c>
      <c r="I415" t="s">
        <v>34</v>
      </c>
      <c r="J415" t="s">
        <v>51</v>
      </c>
      <c r="K415" t="s">
        <v>10</v>
      </c>
      <c r="L415" t="s">
        <v>10</v>
      </c>
      <c r="M415" t="s">
        <v>10</v>
      </c>
      <c r="N415" t="s">
        <v>57</v>
      </c>
      <c r="O415" t="str">
        <f>INDEX(CoverageTable[Deductible Applies],MATCH(Table18[[#This Row],[Coverage]],CoverageTable[Coverage],0))</f>
        <v>No</v>
      </c>
      <c r="P415" t="str">
        <f>INDEX(CoverageTable[Coverage Limit Applies],MATCH(Table18[[#This Row],[Coverage]],CoverageTable[Coverage],0))</f>
        <v>Yes</v>
      </c>
      <c r="Q415" t="s">
        <v>10</v>
      </c>
      <c r="R415" t="s">
        <v>78</v>
      </c>
      <c r="S415" t="s">
        <v>10</v>
      </c>
      <c r="T415" t="s">
        <v>10</v>
      </c>
      <c r="U415" t="s">
        <v>10</v>
      </c>
      <c r="V415" t="s">
        <v>10</v>
      </c>
      <c r="W415" t="s">
        <v>10</v>
      </c>
    </row>
    <row r="416" spans="1:23" x14ac:dyDescent="0.3">
      <c r="A416" t="s">
        <v>507</v>
      </c>
      <c r="B416" s="7">
        <v>45998</v>
      </c>
      <c r="C416" t="s">
        <v>70</v>
      </c>
      <c r="D416" t="s">
        <v>1098</v>
      </c>
      <c r="E416" s="3">
        <v>2</v>
      </c>
      <c r="F416" s="3">
        <v>1</v>
      </c>
      <c r="G416" t="s">
        <v>10</v>
      </c>
      <c r="H416" t="s">
        <v>1108</v>
      </c>
      <c r="I416" t="s">
        <v>35</v>
      </c>
      <c r="J416" t="s">
        <v>48</v>
      </c>
      <c r="K416" t="s">
        <v>10</v>
      </c>
      <c r="L416" t="s">
        <v>57</v>
      </c>
      <c r="M416" t="s">
        <v>57</v>
      </c>
      <c r="N416" t="s">
        <v>10</v>
      </c>
      <c r="O416" t="str">
        <f>INDEX(CoverageTable[Deductible Applies],MATCH(Table18[[#This Row],[Coverage]],CoverageTable[Coverage],0))</f>
        <v>No</v>
      </c>
      <c r="P416" t="str">
        <f>INDEX(CoverageTable[Coverage Limit Applies],MATCH(Table18[[#This Row],[Coverage]],CoverageTable[Coverage],0))</f>
        <v>Yes</v>
      </c>
      <c r="Q416" t="s">
        <v>10</v>
      </c>
      <c r="R416" t="s">
        <v>79</v>
      </c>
      <c r="S416" t="s">
        <v>10</v>
      </c>
      <c r="T416" t="s">
        <v>10</v>
      </c>
      <c r="U416" t="s">
        <v>10</v>
      </c>
      <c r="V416" t="s">
        <v>57</v>
      </c>
      <c r="W416" t="s">
        <v>10</v>
      </c>
    </row>
    <row r="417" spans="1:23" x14ac:dyDescent="0.3">
      <c r="A417" t="s">
        <v>508</v>
      </c>
      <c r="B417" s="7">
        <v>45932</v>
      </c>
      <c r="C417" t="s">
        <v>70</v>
      </c>
      <c r="D417" t="s">
        <v>1099</v>
      </c>
      <c r="E417" s="3">
        <v>7</v>
      </c>
      <c r="F417" s="3" t="s">
        <v>7</v>
      </c>
      <c r="G417" t="s">
        <v>10</v>
      </c>
      <c r="H417" t="s">
        <v>1106</v>
      </c>
      <c r="I417" t="s">
        <v>26</v>
      </c>
      <c r="J417" t="s">
        <v>48</v>
      </c>
      <c r="K417" t="s">
        <v>10</v>
      </c>
      <c r="L417" t="s">
        <v>10</v>
      </c>
      <c r="M417" t="s">
        <v>10</v>
      </c>
      <c r="N417" t="s">
        <v>10</v>
      </c>
      <c r="O417" t="str">
        <f>INDEX(CoverageTable[Deductible Applies],MATCH(Table18[[#This Row],[Coverage]],CoverageTable[Coverage],0))</f>
        <v>No</v>
      </c>
      <c r="P417" t="str">
        <f>INDEX(CoverageTable[Coverage Limit Applies],MATCH(Table18[[#This Row],[Coverage]],CoverageTable[Coverage],0))</f>
        <v>Yes</v>
      </c>
      <c r="Q417" t="s">
        <v>10</v>
      </c>
      <c r="R417" t="s">
        <v>79</v>
      </c>
      <c r="S417" t="s">
        <v>10</v>
      </c>
      <c r="T417" t="s">
        <v>57</v>
      </c>
      <c r="U417" t="s">
        <v>10</v>
      </c>
      <c r="V417" t="s">
        <v>10</v>
      </c>
      <c r="W417" t="s">
        <v>57</v>
      </c>
    </row>
    <row r="418" spans="1:23" x14ac:dyDescent="0.3">
      <c r="A418" t="s">
        <v>509</v>
      </c>
      <c r="B418" s="7">
        <v>46037</v>
      </c>
      <c r="C418" t="s">
        <v>70</v>
      </c>
      <c r="D418" t="s">
        <v>1098</v>
      </c>
      <c r="E418" s="3">
        <v>7</v>
      </c>
      <c r="F418" s="3">
        <v>1</v>
      </c>
      <c r="G418" t="s">
        <v>10</v>
      </c>
      <c r="H418" t="s">
        <v>1107</v>
      </c>
      <c r="I418" t="s">
        <v>32</v>
      </c>
      <c r="J418" t="s">
        <v>51</v>
      </c>
      <c r="K418" t="s">
        <v>10</v>
      </c>
      <c r="L418" t="s">
        <v>10</v>
      </c>
      <c r="M418" t="s">
        <v>10</v>
      </c>
      <c r="N418" t="s">
        <v>57</v>
      </c>
      <c r="O418" t="str">
        <f>INDEX(CoverageTable[Deductible Applies],MATCH(Table18[[#This Row],[Coverage]],CoverageTable[Coverage],0))</f>
        <v>No</v>
      </c>
      <c r="P418" t="str">
        <f>INDEX(CoverageTable[Coverage Limit Applies],MATCH(Table18[[#This Row],[Coverage]],CoverageTable[Coverage],0))</f>
        <v>Yes</v>
      </c>
      <c r="Q418" t="s">
        <v>10</v>
      </c>
      <c r="R418" t="s">
        <v>78</v>
      </c>
      <c r="S418" t="s">
        <v>10</v>
      </c>
      <c r="T418" t="s">
        <v>10</v>
      </c>
      <c r="U418" t="s">
        <v>57</v>
      </c>
      <c r="V418" t="s">
        <v>10</v>
      </c>
      <c r="W418" t="s">
        <v>10</v>
      </c>
    </row>
    <row r="419" spans="1:23" x14ac:dyDescent="0.3">
      <c r="A419" t="s">
        <v>510</v>
      </c>
      <c r="B419" s="7">
        <v>46068</v>
      </c>
      <c r="C419" t="s">
        <v>70</v>
      </c>
      <c r="D419" t="s">
        <v>1101</v>
      </c>
      <c r="E419" s="3">
        <v>7</v>
      </c>
      <c r="F419" s="3">
        <v>0</v>
      </c>
      <c r="G419" t="s">
        <v>13</v>
      </c>
      <c r="H419" t="s">
        <v>1107</v>
      </c>
      <c r="I419" t="s">
        <v>21</v>
      </c>
      <c r="J419" t="s">
        <v>49</v>
      </c>
      <c r="K419" t="s">
        <v>10</v>
      </c>
      <c r="L419" t="s">
        <v>10</v>
      </c>
      <c r="M419" t="s">
        <v>10</v>
      </c>
      <c r="N419" t="s">
        <v>57</v>
      </c>
      <c r="O419" t="str">
        <f>INDEX(CoverageTable[Deductible Applies],MATCH(Table18[[#This Row],[Coverage]],CoverageTable[Coverage],0))</f>
        <v>No</v>
      </c>
      <c r="P419" t="str">
        <f>INDEX(CoverageTable[Coverage Limit Applies],MATCH(Table18[[#This Row],[Coverage]],CoverageTable[Coverage],0))</f>
        <v>Yes</v>
      </c>
      <c r="Q419" t="s">
        <v>10</v>
      </c>
      <c r="R419" t="s">
        <v>79</v>
      </c>
      <c r="S419" t="s">
        <v>10</v>
      </c>
      <c r="T419" t="s">
        <v>10</v>
      </c>
      <c r="U419" t="s">
        <v>10</v>
      </c>
      <c r="V419" t="s">
        <v>57</v>
      </c>
      <c r="W419" t="s">
        <v>57</v>
      </c>
    </row>
    <row r="420" spans="1:23" x14ac:dyDescent="0.3">
      <c r="A420" t="s">
        <v>511</v>
      </c>
      <c r="B420" s="7">
        <v>45806</v>
      </c>
      <c r="C420" t="s">
        <v>70</v>
      </c>
      <c r="D420" t="s">
        <v>1097</v>
      </c>
      <c r="E420" s="3">
        <v>6</v>
      </c>
      <c r="F420" s="3">
        <v>1</v>
      </c>
      <c r="G420" t="s">
        <v>12</v>
      </c>
      <c r="H420" t="s">
        <v>1106</v>
      </c>
      <c r="I420" t="s">
        <v>25</v>
      </c>
      <c r="J420" t="s">
        <v>53</v>
      </c>
      <c r="K420" t="s">
        <v>10</v>
      </c>
      <c r="L420" t="s">
        <v>10</v>
      </c>
      <c r="M420" t="s">
        <v>10</v>
      </c>
      <c r="N420" t="s">
        <v>57</v>
      </c>
      <c r="O420" t="str">
        <f>INDEX(CoverageTable[Deductible Applies],MATCH(Table18[[#This Row],[Coverage]],CoverageTable[Coverage],0))</f>
        <v>No</v>
      </c>
      <c r="P420" t="str">
        <f>INDEX(CoverageTable[Coverage Limit Applies],MATCH(Table18[[#This Row],[Coverage]],CoverageTable[Coverage],0))</f>
        <v>Yes</v>
      </c>
      <c r="Q420" t="s">
        <v>10</v>
      </c>
      <c r="R420" t="s">
        <v>79</v>
      </c>
      <c r="S420" t="s">
        <v>57</v>
      </c>
      <c r="T420" t="s">
        <v>10</v>
      </c>
      <c r="U420" t="s">
        <v>57</v>
      </c>
      <c r="V420" t="s">
        <v>10</v>
      </c>
      <c r="W420" t="s">
        <v>10</v>
      </c>
    </row>
    <row r="421" spans="1:23" x14ac:dyDescent="0.3">
      <c r="A421" t="s">
        <v>512</v>
      </c>
      <c r="B421" s="7">
        <v>46020</v>
      </c>
      <c r="C421" t="s">
        <v>73</v>
      </c>
      <c r="D421" t="s">
        <v>1102</v>
      </c>
      <c r="E421" s="3">
        <v>3</v>
      </c>
      <c r="F421" s="3">
        <v>0</v>
      </c>
      <c r="G421" t="s">
        <v>12</v>
      </c>
      <c r="H421" t="s">
        <v>1108</v>
      </c>
      <c r="I421" t="s">
        <v>30</v>
      </c>
      <c r="J421" t="s">
        <v>51</v>
      </c>
      <c r="K421" t="s">
        <v>10</v>
      </c>
      <c r="L421" t="s">
        <v>10</v>
      </c>
      <c r="M421" t="s">
        <v>10</v>
      </c>
      <c r="N421" t="s">
        <v>10</v>
      </c>
      <c r="O421" t="str">
        <f>INDEX(CoverageTable[Deductible Applies],MATCH(Table18[[#This Row],[Coverage]],CoverageTable[Coverage],0))</f>
        <v>No</v>
      </c>
      <c r="P421" t="str">
        <f>INDEX(CoverageTable[Coverage Limit Applies],MATCH(Table18[[#This Row],[Coverage]],CoverageTable[Coverage],0))</f>
        <v>Yes</v>
      </c>
      <c r="Q421" t="s">
        <v>10</v>
      </c>
      <c r="R421" t="s">
        <v>78</v>
      </c>
      <c r="S421" t="s">
        <v>10</v>
      </c>
      <c r="T421" t="s">
        <v>10</v>
      </c>
      <c r="U421" t="s">
        <v>57</v>
      </c>
      <c r="V421" t="s">
        <v>10</v>
      </c>
      <c r="W421" t="s">
        <v>10</v>
      </c>
    </row>
    <row r="422" spans="1:23" x14ac:dyDescent="0.3">
      <c r="A422" t="s">
        <v>513</v>
      </c>
      <c r="B422" s="7">
        <v>45995</v>
      </c>
      <c r="C422" t="s">
        <v>74</v>
      </c>
      <c r="D422" t="s">
        <v>1099</v>
      </c>
      <c r="E422" s="3">
        <v>6</v>
      </c>
      <c r="F422" s="3">
        <v>1</v>
      </c>
      <c r="G422" t="s">
        <v>10</v>
      </c>
      <c r="H422" t="s">
        <v>1106</v>
      </c>
      <c r="I422" t="s">
        <v>32</v>
      </c>
      <c r="J422" t="s">
        <v>48</v>
      </c>
      <c r="K422" t="s">
        <v>10</v>
      </c>
      <c r="L422" t="s">
        <v>10</v>
      </c>
      <c r="M422" t="s">
        <v>10</v>
      </c>
      <c r="N422" t="s">
        <v>10</v>
      </c>
      <c r="O422" t="str">
        <f>INDEX(CoverageTable[Deductible Applies],MATCH(Table18[[#This Row],[Coverage]],CoverageTable[Coverage],0))</f>
        <v>No</v>
      </c>
      <c r="P422" t="str">
        <f>INDEX(CoverageTable[Coverage Limit Applies],MATCH(Table18[[#This Row],[Coverage]],CoverageTable[Coverage],0))</f>
        <v>Yes</v>
      </c>
      <c r="Q422" t="s">
        <v>10</v>
      </c>
      <c r="R422" t="s">
        <v>79</v>
      </c>
      <c r="S422" t="s">
        <v>10</v>
      </c>
      <c r="T422" t="s">
        <v>10</v>
      </c>
      <c r="U422" t="s">
        <v>57</v>
      </c>
      <c r="V422" t="s">
        <v>10</v>
      </c>
      <c r="W422" t="s">
        <v>10</v>
      </c>
    </row>
    <row r="423" spans="1:23" x14ac:dyDescent="0.3">
      <c r="A423" t="s">
        <v>514</v>
      </c>
      <c r="B423" s="7">
        <v>45799</v>
      </c>
      <c r="C423" t="s">
        <v>74</v>
      </c>
      <c r="D423" t="s">
        <v>1098</v>
      </c>
      <c r="E423" s="3" t="s">
        <v>1103</v>
      </c>
      <c r="F423" s="3">
        <v>0</v>
      </c>
      <c r="G423" t="s">
        <v>12</v>
      </c>
      <c r="H423" t="s">
        <v>1109</v>
      </c>
      <c r="I423" t="s">
        <v>33</v>
      </c>
      <c r="J423" t="s">
        <v>49</v>
      </c>
      <c r="K423" t="s">
        <v>10</v>
      </c>
      <c r="L423" t="s">
        <v>10</v>
      </c>
      <c r="M423" t="s">
        <v>10</v>
      </c>
      <c r="N423" t="s">
        <v>57</v>
      </c>
      <c r="O423" t="str">
        <f>INDEX(CoverageTable[Deductible Applies],MATCH(Table18[[#This Row],[Coverage]],CoverageTable[Coverage],0))</f>
        <v>No</v>
      </c>
      <c r="P423" t="str">
        <f>INDEX(CoverageTable[Coverage Limit Applies],MATCH(Table18[[#This Row],[Coverage]],CoverageTable[Coverage],0))</f>
        <v>Yes</v>
      </c>
      <c r="Q423" t="s">
        <v>10</v>
      </c>
      <c r="R423" t="s">
        <v>78</v>
      </c>
      <c r="S423" t="s">
        <v>10</v>
      </c>
      <c r="T423" t="s">
        <v>57</v>
      </c>
      <c r="U423" t="s">
        <v>10</v>
      </c>
      <c r="V423" t="s">
        <v>10</v>
      </c>
      <c r="W423" t="s">
        <v>10</v>
      </c>
    </row>
    <row r="424" spans="1:23" x14ac:dyDescent="0.3">
      <c r="A424" t="s">
        <v>515</v>
      </c>
      <c r="B424" s="7">
        <v>46048</v>
      </c>
      <c r="C424" t="s">
        <v>70</v>
      </c>
      <c r="D424" t="s">
        <v>1097</v>
      </c>
      <c r="E424" s="3">
        <v>6</v>
      </c>
      <c r="F424" s="3" t="s">
        <v>7</v>
      </c>
      <c r="G424" t="s">
        <v>13</v>
      </c>
      <c r="H424" t="s">
        <v>1110</v>
      </c>
      <c r="I424" t="s">
        <v>21</v>
      </c>
      <c r="J424" t="s">
        <v>48</v>
      </c>
      <c r="K424" t="s">
        <v>57</v>
      </c>
      <c r="L424" t="s">
        <v>10</v>
      </c>
      <c r="M424" t="s">
        <v>10</v>
      </c>
      <c r="N424" t="s">
        <v>10</v>
      </c>
      <c r="O424" t="str">
        <f>INDEX(CoverageTable[Deductible Applies],MATCH(Table18[[#This Row],[Coverage]],CoverageTable[Coverage],0))</f>
        <v>No</v>
      </c>
      <c r="P424" t="str">
        <f>INDEX(CoverageTable[Coverage Limit Applies],MATCH(Table18[[#This Row],[Coverage]],CoverageTable[Coverage],0))</f>
        <v>Yes</v>
      </c>
      <c r="Q424" t="s">
        <v>10</v>
      </c>
      <c r="R424" t="s">
        <v>79</v>
      </c>
      <c r="S424" t="s">
        <v>10</v>
      </c>
      <c r="T424" t="s">
        <v>10</v>
      </c>
      <c r="U424" t="s">
        <v>10</v>
      </c>
      <c r="V424" t="s">
        <v>10</v>
      </c>
      <c r="W424" t="s">
        <v>10</v>
      </c>
    </row>
    <row r="425" spans="1:23" x14ac:dyDescent="0.3">
      <c r="A425" t="s">
        <v>516</v>
      </c>
      <c r="B425" s="7">
        <v>45848</v>
      </c>
      <c r="C425" t="s">
        <v>70</v>
      </c>
      <c r="D425" t="s">
        <v>1100</v>
      </c>
      <c r="E425" s="3">
        <v>5</v>
      </c>
      <c r="F425" s="3" t="s">
        <v>7</v>
      </c>
      <c r="G425" t="s">
        <v>11</v>
      </c>
      <c r="H425" t="s">
        <v>1110</v>
      </c>
      <c r="I425" t="s">
        <v>27</v>
      </c>
      <c r="J425" t="s">
        <v>52</v>
      </c>
      <c r="K425" t="s">
        <v>10</v>
      </c>
      <c r="L425" t="s">
        <v>10</v>
      </c>
      <c r="M425" t="s">
        <v>57</v>
      </c>
      <c r="N425" t="s">
        <v>10</v>
      </c>
      <c r="O425" t="str">
        <f>INDEX(CoverageTable[Deductible Applies],MATCH(Table18[[#This Row],[Coverage]],CoverageTable[Coverage],0))</f>
        <v>No</v>
      </c>
      <c r="P425" t="str">
        <f>INDEX(CoverageTable[Coverage Limit Applies],MATCH(Table18[[#This Row],[Coverage]],CoverageTable[Coverage],0))</f>
        <v>Yes</v>
      </c>
      <c r="Q425" t="s">
        <v>10</v>
      </c>
      <c r="R425" t="s">
        <v>78</v>
      </c>
      <c r="S425" t="s">
        <v>10</v>
      </c>
      <c r="T425" t="s">
        <v>57</v>
      </c>
      <c r="U425" t="s">
        <v>10</v>
      </c>
      <c r="V425" t="s">
        <v>10</v>
      </c>
      <c r="W425" t="s">
        <v>10</v>
      </c>
    </row>
    <row r="426" spans="1:23" x14ac:dyDescent="0.3">
      <c r="A426" t="s">
        <v>517</v>
      </c>
      <c r="B426" s="7">
        <v>45942</v>
      </c>
      <c r="C426" t="s">
        <v>71</v>
      </c>
      <c r="D426" t="s">
        <v>1099</v>
      </c>
      <c r="E426" s="3" t="s">
        <v>1103</v>
      </c>
      <c r="F426" s="3">
        <v>4</v>
      </c>
      <c r="G426" t="s">
        <v>10</v>
      </c>
      <c r="H426" t="s">
        <v>1106</v>
      </c>
      <c r="I426" t="s">
        <v>34</v>
      </c>
      <c r="J426" t="s">
        <v>49</v>
      </c>
      <c r="K426" t="s">
        <v>10</v>
      </c>
      <c r="L426" t="s">
        <v>57</v>
      </c>
      <c r="M426" t="s">
        <v>10</v>
      </c>
      <c r="N426" t="s">
        <v>57</v>
      </c>
      <c r="O426" t="str">
        <f>INDEX(CoverageTable[Deductible Applies],MATCH(Table18[[#This Row],[Coverage]],CoverageTable[Coverage],0))</f>
        <v>Yes</v>
      </c>
      <c r="P426" t="str">
        <f>INDEX(CoverageTable[Coverage Limit Applies],MATCH(Table18[[#This Row],[Coverage]],CoverageTable[Coverage],0))</f>
        <v>No</v>
      </c>
      <c r="Q426" t="s">
        <v>79</v>
      </c>
      <c r="R426" t="s">
        <v>10</v>
      </c>
      <c r="S426" t="s">
        <v>10</v>
      </c>
      <c r="T426" t="s">
        <v>57</v>
      </c>
      <c r="U426" t="s">
        <v>10</v>
      </c>
      <c r="V426" t="s">
        <v>10</v>
      </c>
      <c r="W426" t="s">
        <v>57</v>
      </c>
    </row>
    <row r="427" spans="1:23" x14ac:dyDescent="0.3">
      <c r="A427" t="s">
        <v>518</v>
      </c>
      <c r="B427" s="7">
        <v>46001</v>
      </c>
      <c r="C427" t="s">
        <v>70</v>
      </c>
      <c r="D427" t="s">
        <v>1102</v>
      </c>
      <c r="E427" s="3">
        <v>7</v>
      </c>
      <c r="F427" s="3">
        <v>0</v>
      </c>
      <c r="G427" t="s">
        <v>12</v>
      </c>
      <c r="H427" t="s">
        <v>1110</v>
      </c>
      <c r="I427" t="s">
        <v>28</v>
      </c>
      <c r="J427" t="s">
        <v>53</v>
      </c>
      <c r="K427" t="s">
        <v>10</v>
      </c>
      <c r="L427" t="s">
        <v>10</v>
      </c>
      <c r="M427" t="s">
        <v>10</v>
      </c>
      <c r="N427" t="s">
        <v>57</v>
      </c>
      <c r="O427" t="str">
        <f>INDEX(CoverageTable[Deductible Applies],MATCH(Table18[[#This Row],[Coverage]],CoverageTable[Coverage],0))</f>
        <v>No</v>
      </c>
      <c r="P427" t="str">
        <f>INDEX(CoverageTable[Coverage Limit Applies],MATCH(Table18[[#This Row],[Coverage]],CoverageTable[Coverage],0))</f>
        <v>Yes</v>
      </c>
      <c r="Q427" t="s">
        <v>10</v>
      </c>
      <c r="R427" t="s">
        <v>80</v>
      </c>
      <c r="S427" t="s">
        <v>10</v>
      </c>
      <c r="T427" t="s">
        <v>57</v>
      </c>
      <c r="U427" t="s">
        <v>10</v>
      </c>
      <c r="V427" t="s">
        <v>10</v>
      </c>
      <c r="W427" t="s">
        <v>10</v>
      </c>
    </row>
    <row r="428" spans="1:23" x14ac:dyDescent="0.3">
      <c r="A428" t="s">
        <v>519</v>
      </c>
      <c r="B428" s="7">
        <v>45888</v>
      </c>
      <c r="C428" t="s">
        <v>73</v>
      </c>
      <c r="D428" t="s">
        <v>1099</v>
      </c>
      <c r="E428" s="3" t="s">
        <v>1103</v>
      </c>
      <c r="F428" s="3">
        <v>2</v>
      </c>
      <c r="G428" t="s">
        <v>10</v>
      </c>
      <c r="H428" t="s">
        <v>1106</v>
      </c>
      <c r="I428" t="s">
        <v>24</v>
      </c>
      <c r="J428" t="s">
        <v>53</v>
      </c>
      <c r="K428" t="s">
        <v>10</v>
      </c>
      <c r="L428" t="s">
        <v>10</v>
      </c>
      <c r="M428" t="s">
        <v>10</v>
      </c>
      <c r="N428" t="s">
        <v>57</v>
      </c>
      <c r="O428" t="str">
        <f>INDEX(CoverageTable[Deductible Applies],MATCH(Table18[[#This Row],[Coverage]],CoverageTable[Coverage],0))</f>
        <v>No</v>
      </c>
      <c r="P428" t="str">
        <f>INDEX(CoverageTable[Coverage Limit Applies],MATCH(Table18[[#This Row],[Coverage]],CoverageTable[Coverage],0))</f>
        <v>Yes</v>
      </c>
      <c r="Q428" t="s">
        <v>10</v>
      </c>
      <c r="R428" t="s">
        <v>78</v>
      </c>
      <c r="S428" t="s">
        <v>10</v>
      </c>
      <c r="T428" t="s">
        <v>10</v>
      </c>
      <c r="U428" t="s">
        <v>10</v>
      </c>
      <c r="V428" t="s">
        <v>10</v>
      </c>
      <c r="W428" t="s">
        <v>57</v>
      </c>
    </row>
    <row r="429" spans="1:23" x14ac:dyDescent="0.3">
      <c r="A429" t="s">
        <v>520</v>
      </c>
      <c r="B429" s="7">
        <v>45799</v>
      </c>
      <c r="C429" t="s">
        <v>71</v>
      </c>
      <c r="D429" t="s">
        <v>1099</v>
      </c>
      <c r="E429" s="3" t="s">
        <v>1103</v>
      </c>
      <c r="F429" s="3">
        <v>3</v>
      </c>
      <c r="G429" t="s">
        <v>12</v>
      </c>
      <c r="H429" t="s">
        <v>1109</v>
      </c>
      <c r="I429" t="s">
        <v>32</v>
      </c>
      <c r="J429" t="s">
        <v>54</v>
      </c>
      <c r="K429" t="s">
        <v>10</v>
      </c>
      <c r="L429" t="s">
        <v>10</v>
      </c>
      <c r="M429" t="s">
        <v>10</v>
      </c>
      <c r="N429" t="s">
        <v>10</v>
      </c>
      <c r="O429" t="str">
        <f>INDEX(CoverageTable[Deductible Applies],MATCH(Table18[[#This Row],[Coverage]],CoverageTable[Coverage],0))</f>
        <v>Yes</v>
      </c>
      <c r="P429" t="str">
        <f>INDEX(CoverageTable[Coverage Limit Applies],MATCH(Table18[[#This Row],[Coverage]],CoverageTable[Coverage],0))</f>
        <v>No</v>
      </c>
      <c r="Q429" t="s">
        <v>80</v>
      </c>
      <c r="R429" t="s">
        <v>10</v>
      </c>
      <c r="S429" t="s">
        <v>10</v>
      </c>
      <c r="T429" t="s">
        <v>57</v>
      </c>
      <c r="U429" t="s">
        <v>10</v>
      </c>
      <c r="V429" t="s">
        <v>10</v>
      </c>
      <c r="W429" t="s">
        <v>10</v>
      </c>
    </row>
    <row r="430" spans="1:23" x14ac:dyDescent="0.3">
      <c r="A430" t="s">
        <v>521</v>
      </c>
      <c r="B430" s="7">
        <v>46102</v>
      </c>
      <c r="C430" t="s">
        <v>70</v>
      </c>
      <c r="D430" t="s">
        <v>1099</v>
      </c>
      <c r="E430" s="3">
        <v>4</v>
      </c>
      <c r="F430" s="3">
        <v>0</v>
      </c>
      <c r="G430" t="s">
        <v>10</v>
      </c>
      <c r="H430" t="s">
        <v>1110</v>
      </c>
      <c r="I430" t="s">
        <v>43</v>
      </c>
      <c r="J430" t="s">
        <v>51</v>
      </c>
      <c r="K430" t="s">
        <v>10</v>
      </c>
      <c r="L430" t="s">
        <v>10</v>
      </c>
      <c r="M430" t="s">
        <v>57</v>
      </c>
      <c r="N430" t="s">
        <v>57</v>
      </c>
      <c r="O430" t="str">
        <f>INDEX(CoverageTable[Deductible Applies],MATCH(Table18[[#This Row],[Coverage]],CoverageTable[Coverage],0))</f>
        <v>No</v>
      </c>
      <c r="P430" t="str">
        <f>INDEX(CoverageTable[Coverage Limit Applies],MATCH(Table18[[#This Row],[Coverage]],CoverageTable[Coverage],0))</f>
        <v>Yes</v>
      </c>
      <c r="Q430" t="s">
        <v>10</v>
      </c>
      <c r="R430" t="s">
        <v>80</v>
      </c>
      <c r="S430" t="s">
        <v>10</v>
      </c>
      <c r="T430" t="s">
        <v>10</v>
      </c>
      <c r="U430" t="s">
        <v>10</v>
      </c>
      <c r="V430" t="s">
        <v>10</v>
      </c>
      <c r="W430" t="s">
        <v>10</v>
      </c>
    </row>
    <row r="431" spans="1:23" x14ac:dyDescent="0.3">
      <c r="A431" t="s">
        <v>522</v>
      </c>
      <c r="B431" s="7">
        <v>45868</v>
      </c>
      <c r="C431" t="s">
        <v>71</v>
      </c>
      <c r="D431" t="s">
        <v>1100</v>
      </c>
      <c r="E431" s="3">
        <v>3</v>
      </c>
      <c r="F431" s="3">
        <v>4</v>
      </c>
      <c r="G431" t="s">
        <v>10</v>
      </c>
      <c r="H431" t="s">
        <v>1106</v>
      </c>
      <c r="I431" t="s">
        <v>42</v>
      </c>
      <c r="J431" t="s">
        <v>48</v>
      </c>
      <c r="K431" t="s">
        <v>10</v>
      </c>
      <c r="L431" t="s">
        <v>57</v>
      </c>
      <c r="M431" t="s">
        <v>10</v>
      </c>
      <c r="N431" t="s">
        <v>10</v>
      </c>
      <c r="O431" t="str">
        <f>INDEX(CoverageTable[Deductible Applies],MATCH(Table18[[#This Row],[Coverage]],CoverageTable[Coverage],0))</f>
        <v>Yes</v>
      </c>
      <c r="P431" t="str">
        <f>INDEX(CoverageTable[Coverage Limit Applies],MATCH(Table18[[#This Row],[Coverage]],CoverageTable[Coverage],0))</f>
        <v>No</v>
      </c>
      <c r="Q431" t="s">
        <v>78</v>
      </c>
      <c r="R431" t="s">
        <v>10</v>
      </c>
      <c r="S431" t="s">
        <v>10</v>
      </c>
      <c r="T431" t="s">
        <v>10</v>
      </c>
      <c r="U431" t="s">
        <v>10</v>
      </c>
      <c r="V431" t="s">
        <v>57</v>
      </c>
      <c r="W431" t="s">
        <v>10</v>
      </c>
    </row>
    <row r="432" spans="1:23" x14ac:dyDescent="0.3">
      <c r="A432" t="s">
        <v>523</v>
      </c>
      <c r="B432" s="7">
        <v>46029</v>
      </c>
      <c r="C432" t="s">
        <v>71</v>
      </c>
      <c r="D432" t="s">
        <v>1102</v>
      </c>
      <c r="E432" s="3" t="s">
        <v>1103</v>
      </c>
      <c r="F432" s="3">
        <v>1</v>
      </c>
      <c r="G432" t="s">
        <v>11</v>
      </c>
      <c r="H432" t="s">
        <v>1106</v>
      </c>
      <c r="I432" t="s">
        <v>25</v>
      </c>
      <c r="J432" t="s">
        <v>52</v>
      </c>
      <c r="K432" t="s">
        <v>10</v>
      </c>
      <c r="L432" t="s">
        <v>10</v>
      </c>
      <c r="M432" t="s">
        <v>57</v>
      </c>
      <c r="N432" t="s">
        <v>57</v>
      </c>
      <c r="O432" t="str">
        <f>INDEX(CoverageTable[Deductible Applies],MATCH(Table18[[#This Row],[Coverage]],CoverageTable[Coverage],0))</f>
        <v>Yes</v>
      </c>
      <c r="P432" t="str">
        <f>INDEX(CoverageTable[Coverage Limit Applies],MATCH(Table18[[#This Row],[Coverage]],CoverageTable[Coverage],0))</f>
        <v>No</v>
      </c>
      <c r="Q432" t="s">
        <v>80</v>
      </c>
      <c r="R432" t="s">
        <v>10</v>
      </c>
      <c r="S432" t="s">
        <v>57</v>
      </c>
      <c r="T432" t="s">
        <v>10</v>
      </c>
      <c r="U432" t="s">
        <v>10</v>
      </c>
      <c r="V432" t="s">
        <v>10</v>
      </c>
      <c r="W432" t="s">
        <v>10</v>
      </c>
    </row>
    <row r="433" spans="1:23" x14ac:dyDescent="0.3">
      <c r="A433" t="s">
        <v>524</v>
      </c>
      <c r="B433" s="7">
        <v>46104</v>
      </c>
      <c r="C433" t="s">
        <v>71</v>
      </c>
      <c r="D433" t="s">
        <v>1100</v>
      </c>
      <c r="E433" s="3">
        <v>7</v>
      </c>
      <c r="F433" s="3">
        <v>0</v>
      </c>
      <c r="G433" t="s">
        <v>12</v>
      </c>
      <c r="H433" t="s">
        <v>1106</v>
      </c>
      <c r="I433" t="s">
        <v>28</v>
      </c>
      <c r="J433" t="s">
        <v>50</v>
      </c>
      <c r="K433" t="s">
        <v>10</v>
      </c>
      <c r="L433" t="s">
        <v>10</v>
      </c>
      <c r="M433" t="s">
        <v>10</v>
      </c>
      <c r="N433" t="s">
        <v>57</v>
      </c>
      <c r="O433" t="str">
        <f>INDEX(CoverageTable[Deductible Applies],MATCH(Table18[[#This Row],[Coverage]],CoverageTable[Coverage],0))</f>
        <v>Yes</v>
      </c>
      <c r="P433" t="str">
        <f>INDEX(CoverageTable[Coverage Limit Applies],MATCH(Table18[[#This Row],[Coverage]],CoverageTable[Coverage],0))</f>
        <v>No</v>
      </c>
      <c r="Q433" t="s">
        <v>79</v>
      </c>
      <c r="R433" t="s">
        <v>10</v>
      </c>
      <c r="S433" t="s">
        <v>10</v>
      </c>
      <c r="T433" t="s">
        <v>57</v>
      </c>
      <c r="U433" t="s">
        <v>10</v>
      </c>
      <c r="V433" t="s">
        <v>10</v>
      </c>
      <c r="W433" t="s">
        <v>10</v>
      </c>
    </row>
    <row r="434" spans="1:23" x14ac:dyDescent="0.3">
      <c r="A434" t="s">
        <v>525</v>
      </c>
      <c r="B434" s="7">
        <v>45988</v>
      </c>
      <c r="C434" t="s">
        <v>70</v>
      </c>
      <c r="D434" t="s">
        <v>1102</v>
      </c>
      <c r="E434" s="3">
        <v>5</v>
      </c>
      <c r="F434" s="3" t="s">
        <v>7</v>
      </c>
      <c r="G434" t="s">
        <v>13</v>
      </c>
      <c r="H434" t="s">
        <v>1107</v>
      </c>
      <c r="I434" t="s">
        <v>33</v>
      </c>
      <c r="J434" t="s">
        <v>48</v>
      </c>
      <c r="K434" t="s">
        <v>10</v>
      </c>
      <c r="L434" t="s">
        <v>10</v>
      </c>
      <c r="M434" t="s">
        <v>10</v>
      </c>
      <c r="N434" t="s">
        <v>57</v>
      </c>
      <c r="O434" t="str">
        <f>INDEX(CoverageTable[Deductible Applies],MATCH(Table18[[#This Row],[Coverage]],CoverageTable[Coverage],0))</f>
        <v>No</v>
      </c>
      <c r="P434" t="str">
        <f>INDEX(CoverageTable[Coverage Limit Applies],MATCH(Table18[[#This Row],[Coverage]],CoverageTable[Coverage],0))</f>
        <v>Yes</v>
      </c>
      <c r="Q434" t="s">
        <v>10</v>
      </c>
      <c r="R434" t="s">
        <v>79</v>
      </c>
      <c r="S434" t="s">
        <v>10</v>
      </c>
      <c r="T434" t="s">
        <v>57</v>
      </c>
      <c r="U434" t="s">
        <v>57</v>
      </c>
      <c r="V434" t="s">
        <v>10</v>
      </c>
      <c r="W434" t="s">
        <v>10</v>
      </c>
    </row>
    <row r="435" spans="1:23" x14ac:dyDescent="0.3">
      <c r="A435" t="s">
        <v>526</v>
      </c>
      <c r="B435" s="7">
        <v>46117</v>
      </c>
      <c r="C435" t="s">
        <v>70</v>
      </c>
      <c r="D435" t="s">
        <v>1099</v>
      </c>
      <c r="E435" s="3">
        <v>5</v>
      </c>
      <c r="F435" s="3">
        <v>1</v>
      </c>
      <c r="G435" t="s">
        <v>12</v>
      </c>
      <c r="H435" t="s">
        <v>1108</v>
      </c>
      <c r="I435" t="s">
        <v>35</v>
      </c>
      <c r="J435" t="s">
        <v>53</v>
      </c>
      <c r="K435" t="s">
        <v>10</v>
      </c>
      <c r="L435" t="s">
        <v>10</v>
      </c>
      <c r="M435" t="s">
        <v>10</v>
      </c>
      <c r="N435" t="s">
        <v>10</v>
      </c>
      <c r="O435" t="str">
        <f>INDEX(CoverageTable[Deductible Applies],MATCH(Table18[[#This Row],[Coverage]],CoverageTable[Coverage],0))</f>
        <v>No</v>
      </c>
      <c r="P435" t="str">
        <f>INDEX(CoverageTable[Coverage Limit Applies],MATCH(Table18[[#This Row],[Coverage]],CoverageTable[Coverage],0))</f>
        <v>Yes</v>
      </c>
      <c r="Q435" t="s">
        <v>10</v>
      </c>
      <c r="R435" t="s">
        <v>79</v>
      </c>
      <c r="S435" t="s">
        <v>10</v>
      </c>
      <c r="T435" t="s">
        <v>10</v>
      </c>
      <c r="U435" t="s">
        <v>10</v>
      </c>
      <c r="V435" t="s">
        <v>57</v>
      </c>
      <c r="W435" t="s">
        <v>10</v>
      </c>
    </row>
    <row r="436" spans="1:23" x14ac:dyDescent="0.3">
      <c r="A436" t="s">
        <v>527</v>
      </c>
      <c r="B436" s="7">
        <v>45889</v>
      </c>
      <c r="C436" t="s">
        <v>71</v>
      </c>
      <c r="D436" t="s">
        <v>1101</v>
      </c>
      <c r="E436" s="3">
        <v>5</v>
      </c>
      <c r="F436" s="3">
        <v>0</v>
      </c>
      <c r="G436" t="s">
        <v>10</v>
      </c>
      <c r="H436" t="s">
        <v>1110</v>
      </c>
      <c r="I436" t="s">
        <v>25</v>
      </c>
      <c r="J436" t="s">
        <v>48</v>
      </c>
      <c r="K436" t="s">
        <v>10</v>
      </c>
      <c r="L436" t="s">
        <v>57</v>
      </c>
      <c r="M436" t="s">
        <v>10</v>
      </c>
      <c r="N436" t="s">
        <v>57</v>
      </c>
      <c r="O436" t="str">
        <f>INDEX(CoverageTable[Deductible Applies],MATCH(Table18[[#This Row],[Coverage]],CoverageTable[Coverage],0))</f>
        <v>Yes</v>
      </c>
      <c r="P436" t="str">
        <f>INDEX(CoverageTable[Coverage Limit Applies],MATCH(Table18[[#This Row],[Coverage]],CoverageTable[Coverage],0))</f>
        <v>No</v>
      </c>
      <c r="Q436" t="s">
        <v>79</v>
      </c>
      <c r="R436" t="s">
        <v>10</v>
      </c>
      <c r="S436" t="s">
        <v>10</v>
      </c>
      <c r="T436" t="s">
        <v>57</v>
      </c>
      <c r="U436" t="s">
        <v>10</v>
      </c>
      <c r="V436" t="s">
        <v>10</v>
      </c>
      <c r="W436" t="s">
        <v>10</v>
      </c>
    </row>
    <row r="437" spans="1:23" x14ac:dyDescent="0.3">
      <c r="A437" t="s">
        <v>528</v>
      </c>
      <c r="B437" s="7">
        <v>45913</v>
      </c>
      <c r="C437" t="s">
        <v>71</v>
      </c>
      <c r="D437" t="s">
        <v>1100</v>
      </c>
      <c r="E437" s="3">
        <v>6</v>
      </c>
      <c r="F437" s="3">
        <v>1</v>
      </c>
      <c r="G437" t="s">
        <v>10</v>
      </c>
      <c r="H437" t="s">
        <v>1106</v>
      </c>
      <c r="I437" t="s">
        <v>35</v>
      </c>
      <c r="J437" t="s">
        <v>54</v>
      </c>
      <c r="K437" t="s">
        <v>10</v>
      </c>
      <c r="L437" t="s">
        <v>10</v>
      </c>
      <c r="M437" t="s">
        <v>10</v>
      </c>
      <c r="N437" t="s">
        <v>57</v>
      </c>
      <c r="O437" t="str">
        <f>INDEX(CoverageTable[Deductible Applies],MATCH(Table18[[#This Row],[Coverage]],CoverageTable[Coverage],0))</f>
        <v>Yes</v>
      </c>
      <c r="P437" t="str">
        <f>INDEX(CoverageTable[Coverage Limit Applies],MATCH(Table18[[#This Row],[Coverage]],CoverageTable[Coverage],0))</f>
        <v>No</v>
      </c>
      <c r="Q437" t="s">
        <v>78</v>
      </c>
      <c r="R437" t="s">
        <v>10</v>
      </c>
      <c r="S437" t="s">
        <v>10</v>
      </c>
      <c r="T437" t="s">
        <v>57</v>
      </c>
      <c r="U437" t="s">
        <v>10</v>
      </c>
      <c r="V437" t="s">
        <v>10</v>
      </c>
      <c r="W437" t="s">
        <v>10</v>
      </c>
    </row>
    <row r="438" spans="1:23" x14ac:dyDescent="0.3">
      <c r="A438" t="s">
        <v>529</v>
      </c>
      <c r="B438" s="7">
        <v>45968</v>
      </c>
      <c r="C438" t="s">
        <v>70</v>
      </c>
      <c r="D438" t="s">
        <v>1099</v>
      </c>
      <c r="E438" s="3">
        <v>2</v>
      </c>
      <c r="F438" s="3">
        <v>1</v>
      </c>
      <c r="G438" t="s">
        <v>13</v>
      </c>
      <c r="H438" t="s">
        <v>1109</v>
      </c>
      <c r="I438" t="s">
        <v>28</v>
      </c>
      <c r="J438" t="s">
        <v>54</v>
      </c>
      <c r="K438" t="s">
        <v>10</v>
      </c>
      <c r="L438" t="s">
        <v>10</v>
      </c>
      <c r="M438" t="s">
        <v>57</v>
      </c>
      <c r="N438" t="s">
        <v>57</v>
      </c>
      <c r="O438" t="str">
        <f>INDEX(CoverageTable[Deductible Applies],MATCH(Table18[[#This Row],[Coverage]],CoverageTable[Coverage],0))</f>
        <v>No</v>
      </c>
      <c r="P438" t="str">
        <f>INDEX(CoverageTable[Coverage Limit Applies],MATCH(Table18[[#This Row],[Coverage]],CoverageTable[Coverage],0))</f>
        <v>Yes</v>
      </c>
      <c r="Q438" t="s">
        <v>10</v>
      </c>
      <c r="R438" t="s">
        <v>79</v>
      </c>
      <c r="S438" t="s">
        <v>10</v>
      </c>
      <c r="T438" t="s">
        <v>10</v>
      </c>
      <c r="U438" t="s">
        <v>10</v>
      </c>
      <c r="V438" t="s">
        <v>10</v>
      </c>
      <c r="W438" t="s">
        <v>57</v>
      </c>
    </row>
    <row r="439" spans="1:23" x14ac:dyDescent="0.3">
      <c r="A439" t="s">
        <v>530</v>
      </c>
      <c r="B439" s="7">
        <v>46005</v>
      </c>
      <c r="C439" t="s">
        <v>71</v>
      </c>
      <c r="D439" t="s">
        <v>1097</v>
      </c>
      <c r="E439" s="3">
        <v>1</v>
      </c>
      <c r="F439" s="3">
        <v>0</v>
      </c>
      <c r="G439" t="s">
        <v>10</v>
      </c>
      <c r="H439" t="s">
        <v>1107</v>
      </c>
      <c r="I439" t="s">
        <v>26</v>
      </c>
      <c r="J439" t="s">
        <v>51</v>
      </c>
      <c r="K439" t="s">
        <v>10</v>
      </c>
      <c r="L439" t="s">
        <v>57</v>
      </c>
      <c r="M439" t="s">
        <v>10</v>
      </c>
      <c r="N439" t="s">
        <v>10</v>
      </c>
      <c r="O439" t="str">
        <f>INDEX(CoverageTable[Deductible Applies],MATCH(Table18[[#This Row],[Coverage]],CoverageTable[Coverage],0))</f>
        <v>Yes</v>
      </c>
      <c r="P439" t="str">
        <f>INDEX(CoverageTable[Coverage Limit Applies],MATCH(Table18[[#This Row],[Coverage]],CoverageTable[Coverage],0))</f>
        <v>No</v>
      </c>
      <c r="Q439" t="s">
        <v>79</v>
      </c>
      <c r="R439" t="s">
        <v>10</v>
      </c>
      <c r="S439" t="s">
        <v>10</v>
      </c>
      <c r="T439" t="s">
        <v>10</v>
      </c>
      <c r="U439" t="s">
        <v>10</v>
      </c>
      <c r="V439" t="s">
        <v>10</v>
      </c>
      <c r="W439" t="s">
        <v>10</v>
      </c>
    </row>
    <row r="440" spans="1:23" x14ac:dyDescent="0.3">
      <c r="A440" t="s">
        <v>531</v>
      </c>
      <c r="B440" s="7">
        <v>45796</v>
      </c>
      <c r="C440" t="s">
        <v>70</v>
      </c>
      <c r="D440" t="s">
        <v>1100</v>
      </c>
      <c r="E440" s="3">
        <v>1</v>
      </c>
      <c r="F440" s="3">
        <v>0</v>
      </c>
      <c r="G440" t="s">
        <v>10</v>
      </c>
      <c r="H440" t="s">
        <v>1109</v>
      </c>
      <c r="I440" t="s">
        <v>42</v>
      </c>
      <c r="J440" t="s">
        <v>49</v>
      </c>
      <c r="K440" t="s">
        <v>10</v>
      </c>
      <c r="L440" t="s">
        <v>10</v>
      </c>
      <c r="M440" t="s">
        <v>10</v>
      </c>
      <c r="N440" t="s">
        <v>57</v>
      </c>
      <c r="O440" t="str">
        <f>INDEX(CoverageTable[Deductible Applies],MATCH(Table18[[#This Row],[Coverage]],CoverageTable[Coverage],0))</f>
        <v>No</v>
      </c>
      <c r="P440" t="str">
        <f>INDEX(CoverageTable[Coverage Limit Applies],MATCH(Table18[[#This Row],[Coverage]],CoverageTable[Coverage],0))</f>
        <v>Yes</v>
      </c>
      <c r="Q440" t="s">
        <v>10</v>
      </c>
      <c r="R440" t="s">
        <v>79</v>
      </c>
      <c r="S440" t="s">
        <v>10</v>
      </c>
      <c r="T440" t="s">
        <v>57</v>
      </c>
      <c r="U440" t="s">
        <v>10</v>
      </c>
      <c r="V440" t="s">
        <v>10</v>
      </c>
      <c r="W440" t="s">
        <v>10</v>
      </c>
    </row>
    <row r="441" spans="1:23" x14ac:dyDescent="0.3">
      <c r="A441" t="s">
        <v>532</v>
      </c>
      <c r="B441" s="7">
        <v>45790</v>
      </c>
      <c r="C441" t="s">
        <v>70</v>
      </c>
      <c r="D441" t="s">
        <v>1097</v>
      </c>
      <c r="E441" s="3">
        <v>7</v>
      </c>
      <c r="F441" s="3">
        <v>3</v>
      </c>
      <c r="G441" t="s">
        <v>12</v>
      </c>
      <c r="H441" t="s">
        <v>1108</v>
      </c>
      <c r="I441" t="s">
        <v>28</v>
      </c>
      <c r="J441" t="s">
        <v>52</v>
      </c>
      <c r="K441" t="s">
        <v>10</v>
      </c>
      <c r="L441" t="s">
        <v>10</v>
      </c>
      <c r="M441" t="s">
        <v>10</v>
      </c>
      <c r="N441" t="s">
        <v>57</v>
      </c>
      <c r="O441" t="str">
        <f>INDEX(CoverageTable[Deductible Applies],MATCH(Table18[[#This Row],[Coverage]],CoverageTable[Coverage],0))</f>
        <v>No</v>
      </c>
      <c r="P441" t="str">
        <f>INDEX(CoverageTable[Coverage Limit Applies],MATCH(Table18[[#This Row],[Coverage]],CoverageTable[Coverage],0))</f>
        <v>Yes</v>
      </c>
      <c r="Q441" t="s">
        <v>10</v>
      </c>
      <c r="R441" t="s">
        <v>79</v>
      </c>
      <c r="S441" t="s">
        <v>10</v>
      </c>
      <c r="T441" t="s">
        <v>10</v>
      </c>
      <c r="U441" t="s">
        <v>10</v>
      </c>
      <c r="V441" t="s">
        <v>10</v>
      </c>
      <c r="W441" t="s">
        <v>10</v>
      </c>
    </row>
    <row r="442" spans="1:23" x14ac:dyDescent="0.3">
      <c r="A442" t="s">
        <v>533</v>
      </c>
      <c r="B442" s="7">
        <v>45984</v>
      </c>
      <c r="C442" t="s">
        <v>72</v>
      </c>
      <c r="D442" t="s">
        <v>1099</v>
      </c>
      <c r="E442" s="3">
        <v>1</v>
      </c>
      <c r="F442" s="3">
        <v>0</v>
      </c>
      <c r="G442" t="s">
        <v>10</v>
      </c>
      <c r="H442" t="s">
        <v>1109</v>
      </c>
      <c r="I442" t="s">
        <v>23</v>
      </c>
      <c r="J442" t="s">
        <v>48</v>
      </c>
      <c r="K442" t="s">
        <v>10</v>
      </c>
      <c r="L442" t="s">
        <v>10</v>
      </c>
      <c r="M442" t="s">
        <v>10</v>
      </c>
      <c r="N442" t="s">
        <v>10</v>
      </c>
      <c r="O442" t="str">
        <f>INDEX(CoverageTable[Deductible Applies],MATCH(Table18[[#This Row],[Coverage]],CoverageTable[Coverage],0))</f>
        <v>Yes</v>
      </c>
      <c r="P442" t="str">
        <f>INDEX(CoverageTable[Coverage Limit Applies],MATCH(Table18[[#This Row],[Coverage]],CoverageTable[Coverage],0))</f>
        <v>No</v>
      </c>
      <c r="Q442" t="s">
        <v>78</v>
      </c>
      <c r="R442" t="s">
        <v>10</v>
      </c>
      <c r="S442" t="s">
        <v>10</v>
      </c>
      <c r="T442" t="s">
        <v>10</v>
      </c>
      <c r="U442" t="s">
        <v>10</v>
      </c>
      <c r="V442" t="s">
        <v>10</v>
      </c>
      <c r="W442" t="s">
        <v>10</v>
      </c>
    </row>
    <row r="443" spans="1:23" x14ac:dyDescent="0.3">
      <c r="A443" t="s">
        <v>534</v>
      </c>
      <c r="B443" s="7">
        <v>45904</v>
      </c>
      <c r="C443" t="s">
        <v>72</v>
      </c>
      <c r="D443" t="s">
        <v>1097</v>
      </c>
      <c r="E443" s="3">
        <v>7</v>
      </c>
      <c r="F443" s="3">
        <v>0</v>
      </c>
      <c r="G443" t="s">
        <v>12</v>
      </c>
      <c r="H443" t="s">
        <v>1108</v>
      </c>
      <c r="I443" t="s">
        <v>28</v>
      </c>
      <c r="J443" t="s">
        <v>49</v>
      </c>
      <c r="K443" t="s">
        <v>10</v>
      </c>
      <c r="L443" t="s">
        <v>10</v>
      </c>
      <c r="M443" t="s">
        <v>10</v>
      </c>
      <c r="N443" t="s">
        <v>57</v>
      </c>
      <c r="O443" t="str">
        <f>INDEX(CoverageTable[Deductible Applies],MATCH(Table18[[#This Row],[Coverage]],CoverageTable[Coverage],0))</f>
        <v>Yes</v>
      </c>
      <c r="P443" t="str">
        <f>INDEX(CoverageTable[Coverage Limit Applies],MATCH(Table18[[#This Row],[Coverage]],CoverageTable[Coverage],0))</f>
        <v>No</v>
      </c>
      <c r="Q443" t="s">
        <v>78</v>
      </c>
      <c r="R443" t="s">
        <v>10</v>
      </c>
      <c r="S443" t="s">
        <v>57</v>
      </c>
      <c r="T443" t="s">
        <v>10</v>
      </c>
      <c r="U443" t="s">
        <v>10</v>
      </c>
      <c r="V443" t="s">
        <v>10</v>
      </c>
      <c r="W443" t="s">
        <v>10</v>
      </c>
    </row>
    <row r="444" spans="1:23" x14ac:dyDescent="0.3">
      <c r="A444" t="s">
        <v>535</v>
      </c>
      <c r="B444" s="7">
        <v>45815</v>
      </c>
      <c r="C444" t="s">
        <v>70</v>
      </c>
      <c r="D444" t="s">
        <v>1097</v>
      </c>
      <c r="E444" s="3">
        <v>2</v>
      </c>
      <c r="F444" s="3">
        <v>1</v>
      </c>
      <c r="G444" t="s">
        <v>10</v>
      </c>
      <c r="H444" t="s">
        <v>1107</v>
      </c>
      <c r="I444" t="s">
        <v>27</v>
      </c>
      <c r="J444" t="s">
        <v>51</v>
      </c>
      <c r="K444" t="s">
        <v>10</v>
      </c>
      <c r="L444" t="s">
        <v>10</v>
      </c>
      <c r="M444" t="s">
        <v>10</v>
      </c>
      <c r="N444" t="s">
        <v>57</v>
      </c>
      <c r="O444" t="str">
        <f>INDEX(CoverageTable[Deductible Applies],MATCH(Table18[[#This Row],[Coverage]],CoverageTable[Coverage],0))</f>
        <v>No</v>
      </c>
      <c r="P444" t="str">
        <f>INDEX(CoverageTable[Coverage Limit Applies],MATCH(Table18[[#This Row],[Coverage]],CoverageTable[Coverage],0))</f>
        <v>Yes</v>
      </c>
      <c r="Q444" t="s">
        <v>10</v>
      </c>
      <c r="R444" t="s">
        <v>79</v>
      </c>
      <c r="S444" t="s">
        <v>57</v>
      </c>
      <c r="T444" t="s">
        <v>57</v>
      </c>
      <c r="U444" t="s">
        <v>57</v>
      </c>
      <c r="V444" t="s">
        <v>10</v>
      </c>
      <c r="W444" t="s">
        <v>57</v>
      </c>
    </row>
    <row r="445" spans="1:23" x14ac:dyDescent="0.3">
      <c r="A445" t="s">
        <v>536</v>
      </c>
      <c r="B445" s="7">
        <v>45784</v>
      </c>
      <c r="C445" t="s">
        <v>70</v>
      </c>
      <c r="D445" t="s">
        <v>1098</v>
      </c>
      <c r="E445" s="3">
        <v>1</v>
      </c>
      <c r="F445" s="3">
        <v>1</v>
      </c>
      <c r="G445" t="s">
        <v>12</v>
      </c>
      <c r="H445" t="s">
        <v>1110</v>
      </c>
      <c r="I445" t="s">
        <v>35</v>
      </c>
      <c r="J445" t="s">
        <v>49</v>
      </c>
      <c r="K445" t="s">
        <v>10</v>
      </c>
      <c r="L445" t="s">
        <v>10</v>
      </c>
      <c r="M445" t="s">
        <v>10</v>
      </c>
      <c r="N445" t="s">
        <v>10</v>
      </c>
      <c r="O445" t="str">
        <f>INDEX(CoverageTable[Deductible Applies],MATCH(Table18[[#This Row],[Coverage]],CoverageTable[Coverage],0))</f>
        <v>No</v>
      </c>
      <c r="P445" t="str">
        <f>INDEX(CoverageTable[Coverage Limit Applies],MATCH(Table18[[#This Row],[Coverage]],CoverageTable[Coverage],0))</f>
        <v>Yes</v>
      </c>
      <c r="Q445" t="s">
        <v>10</v>
      </c>
      <c r="R445" t="s">
        <v>80</v>
      </c>
      <c r="S445" t="s">
        <v>10</v>
      </c>
      <c r="T445" t="s">
        <v>57</v>
      </c>
      <c r="U445" t="s">
        <v>10</v>
      </c>
      <c r="V445" t="s">
        <v>57</v>
      </c>
      <c r="W445" t="s">
        <v>10</v>
      </c>
    </row>
    <row r="446" spans="1:23" x14ac:dyDescent="0.3">
      <c r="A446" t="s">
        <v>537</v>
      </c>
      <c r="B446" s="7">
        <v>45838</v>
      </c>
      <c r="C446" t="s">
        <v>70</v>
      </c>
      <c r="D446" t="s">
        <v>1098</v>
      </c>
      <c r="E446" s="3">
        <v>4</v>
      </c>
      <c r="F446" s="3">
        <v>4</v>
      </c>
      <c r="G446" t="s">
        <v>13</v>
      </c>
      <c r="H446" t="s">
        <v>1107</v>
      </c>
      <c r="I446" t="s">
        <v>22</v>
      </c>
      <c r="J446" t="s">
        <v>51</v>
      </c>
      <c r="K446" t="s">
        <v>10</v>
      </c>
      <c r="L446" t="s">
        <v>10</v>
      </c>
      <c r="M446" t="s">
        <v>10</v>
      </c>
      <c r="N446" t="s">
        <v>57</v>
      </c>
      <c r="O446" t="str">
        <f>INDEX(CoverageTable[Deductible Applies],MATCH(Table18[[#This Row],[Coverage]],CoverageTable[Coverage],0))</f>
        <v>No</v>
      </c>
      <c r="P446" t="str">
        <f>INDEX(CoverageTable[Coverage Limit Applies],MATCH(Table18[[#This Row],[Coverage]],CoverageTable[Coverage],0))</f>
        <v>Yes</v>
      </c>
      <c r="Q446" t="s">
        <v>10</v>
      </c>
      <c r="R446" t="s">
        <v>78</v>
      </c>
      <c r="S446" t="s">
        <v>10</v>
      </c>
      <c r="T446" t="s">
        <v>10</v>
      </c>
      <c r="U446" t="s">
        <v>10</v>
      </c>
      <c r="V446" t="s">
        <v>10</v>
      </c>
      <c r="W446" t="s">
        <v>57</v>
      </c>
    </row>
    <row r="447" spans="1:23" x14ac:dyDescent="0.3">
      <c r="A447" t="s">
        <v>538</v>
      </c>
      <c r="B447" s="7">
        <v>45983</v>
      </c>
      <c r="C447" t="s">
        <v>70</v>
      </c>
      <c r="D447" t="s">
        <v>1102</v>
      </c>
      <c r="E447" s="3">
        <v>1</v>
      </c>
      <c r="F447" s="3">
        <v>3</v>
      </c>
      <c r="G447" t="s">
        <v>13</v>
      </c>
      <c r="H447" t="s">
        <v>1109</v>
      </c>
      <c r="I447" t="s">
        <v>28</v>
      </c>
      <c r="J447" t="s">
        <v>51</v>
      </c>
      <c r="K447" t="s">
        <v>10</v>
      </c>
      <c r="L447" t="s">
        <v>10</v>
      </c>
      <c r="M447" t="s">
        <v>10</v>
      </c>
      <c r="N447" t="s">
        <v>57</v>
      </c>
      <c r="O447" t="str">
        <f>INDEX(CoverageTable[Deductible Applies],MATCH(Table18[[#This Row],[Coverage]],CoverageTable[Coverage],0))</f>
        <v>No</v>
      </c>
      <c r="P447" t="str">
        <f>INDEX(CoverageTable[Coverage Limit Applies],MATCH(Table18[[#This Row],[Coverage]],CoverageTable[Coverage],0))</f>
        <v>Yes</v>
      </c>
      <c r="Q447" t="s">
        <v>10</v>
      </c>
      <c r="R447" t="s">
        <v>79</v>
      </c>
      <c r="S447" t="s">
        <v>10</v>
      </c>
      <c r="T447" t="s">
        <v>10</v>
      </c>
      <c r="U447" t="s">
        <v>10</v>
      </c>
      <c r="V447" t="s">
        <v>10</v>
      </c>
      <c r="W447" t="s">
        <v>10</v>
      </c>
    </row>
    <row r="448" spans="1:23" x14ac:dyDescent="0.3">
      <c r="A448" t="s">
        <v>539</v>
      </c>
      <c r="B448" s="7">
        <v>46142</v>
      </c>
      <c r="C448" t="s">
        <v>70</v>
      </c>
      <c r="D448" t="s">
        <v>1098</v>
      </c>
      <c r="E448" s="3" t="s">
        <v>1103</v>
      </c>
      <c r="F448" s="3" t="s">
        <v>7</v>
      </c>
      <c r="G448" t="s">
        <v>10</v>
      </c>
      <c r="H448" t="s">
        <v>1106</v>
      </c>
      <c r="I448" t="s">
        <v>33</v>
      </c>
      <c r="J448" t="s">
        <v>51</v>
      </c>
      <c r="K448" t="s">
        <v>10</v>
      </c>
      <c r="L448" t="s">
        <v>10</v>
      </c>
      <c r="M448" t="s">
        <v>10</v>
      </c>
      <c r="N448" t="s">
        <v>57</v>
      </c>
      <c r="O448" t="str">
        <f>INDEX(CoverageTable[Deductible Applies],MATCH(Table18[[#This Row],[Coverage]],CoverageTable[Coverage],0))</f>
        <v>No</v>
      </c>
      <c r="P448" t="str">
        <f>INDEX(CoverageTable[Coverage Limit Applies],MATCH(Table18[[#This Row],[Coverage]],CoverageTable[Coverage],0))</f>
        <v>Yes</v>
      </c>
      <c r="Q448" t="s">
        <v>10</v>
      </c>
      <c r="R448" t="s">
        <v>80</v>
      </c>
      <c r="S448" t="s">
        <v>10</v>
      </c>
      <c r="T448" t="s">
        <v>57</v>
      </c>
      <c r="U448" t="s">
        <v>10</v>
      </c>
      <c r="V448" t="s">
        <v>10</v>
      </c>
      <c r="W448" t="s">
        <v>10</v>
      </c>
    </row>
    <row r="449" spans="1:23" x14ac:dyDescent="0.3">
      <c r="A449" t="s">
        <v>540</v>
      </c>
      <c r="B449" s="7">
        <v>46026</v>
      </c>
      <c r="C449" t="s">
        <v>71</v>
      </c>
      <c r="D449" t="s">
        <v>1102</v>
      </c>
      <c r="E449" s="3">
        <v>2</v>
      </c>
      <c r="F449" s="3" t="s">
        <v>7</v>
      </c>
      <c r="G449" t="s">
        <v>10</v>
      </c>
      <c r="H449" t="s">
        <v>1108</v>
      </c>
      <c r="I449" t="s">
        <v>22</v>
      </c>
      <c r="J449" t="s">
        <v>48</v>
      </c>
      <c r="K449" t="s">
        <v>10</v>
      </c>
      <c r="L449" t="s">
        <v>10</v>
      </c>
      <c r="M449" t="s">
        <v>57</v>
      </c>
      <c r="N449" t="s">
        <v>57</v>
      </c>
      <c r="O449" t="str">
        <f>INDEX(CoverageTable[Deductible Applies],MATCH(Table18[[#This Row],[Coverage]],CoverageTable[Coverage],0))</f>
        <v>Yes</v>
      </c>
      <c r="P449" t="str">
        <f>INDEX(CoverageTable[Coverage Limit Applies],MATCH(Table18[[#This Row],[Coverage]],CoverageTable[Coverage],0))</f>
        <v>No</v>
      </c>
      <c r="Q449" t="s">
        <v>80</v>
      </c>
      <c r="R449" t="s">
        <v>10</v>
      </c>
      <c r="S449" t="s">
        <v>10</v>
      </c>
      <c r="T449" t="s">
        <v>10</v>
      </c>
      <c r="U449" t="s">
        <v>10</v>
      </c>
      <c r="V449" t="s">
        <v>10</v>
      </c>
      <c r="W449" t="s">
        <v>10</v>
      </c>
    </row>
    <row r="450" spans="1:23" x14ac:dyDescent="0.3">
      <c r="A450" t="s">
        <v>541</v>
      </c>
      <c r="B450" s="7">
        <v>45866</v>
      </c>
      <c r="C450" t="s">
        <v>72</v>
      </c>
      <c r="D450" t="s">
        <v>1102</v>
      </c>
      <c r="E450" s="3">
        <v>7</v>
      </c>
      <c r="F450" s="3">
        <v>4</v>
      </c>
      <c r="G450" t="s">
        <v>10</v>
      </c>
      <c r="H450" t="s">
        <v>1110</v>
      </c>
      <c r="I450" t="s">
        <v>43</v>
      </c>
      <c r="J450" t="s">
        <v>54</v>
      </c>
      <c r="K450" t="s">
        <v>10</v>
      </c>
      <c r="L450" t="s">
        <v>10</v>
      </c>
      <c r="M450" t="s">
        <v>10</v>
      </c>
      <c r="N450" t="s">
        <v>10</v>
      </c>
      <c r="O450" t="str">
        <f>INDEX(CoverageTable[Deductible Applies],MATCH(Table18[[#This Row],[Coverage]],CoverageTable[Coverage],0))</f>
        <v>Yes</v>
      </c>
      <c r="P450" t="str">
        <f>INDEX(CoverageTable[Coverage Limit Applies],MATCH(Table18[[#This Row],[Coverage]],CoverageTable[Coverage],0))</f>
        <v>No</v>
      </c>
      <c r="Q450" t="s">
        <v>79</v>
      </c>
      <c r="R450" t="s">
        <v>10</v>
      </c>
      <c r="S450" t="s">
        <v>10</v>
      </c>
      <c r="T450" t="s">
        <v>57</v>
      </c>
      <c r="U450" t="s">
        <v>10</v>
      </c>
      <c r="V450" t="s">
        <v>10</v>
      </c>
      <c r="W450" t="s">
        <v>10</v>
      </c>
    </row>
    <row r="451" spans="1:23" x14ac:dyDescent="0.3">
      <c r="A451" t="s">
        <v>542</v>
      </c>
      <c r="B451" s="7">
        <v>45821</v>
      </c>
      <c r="C451" t="s">
        <v>70</v>
      </c>
      <c r="D451" t="s">
        <v>1099</v>
      </c>
      <c r="E451" s="3">
        <v>2</v>
      </c>
      <c r="F451" s="3">
        <v>4</v>
      </c>
      <c r="G451" t="s">
        <v>13</v>
      </c>
      <c r="H451" t="s">
        <v>1106</v>
      </c>
      <c r="I451" t="s">
        <v>22</v>
      </c>
      <c r="J451" t="s">
        <v>48</v>
      </c>
      <c r="K451" t="s">
        <v>10</v>
      </c>
      <c r="L451" t="s">
        <v>10</v>
      </c>
      <c r="M451" t="s">
        <v>10</v>
      </c>
      <c r="N451" t="s">
        <v>10</v>
      </c>
      <c r="O451" t="str">
        <f>INDEX(CoverageTable[Deductible Applies],MATCH(Table18[[#This Row],[Coverage]],CoverageTable[Coverage],0))</f>
        <v>No</v>
      </c>
      <c r="P451" t="str">
        <f>INDEX(CoverageTable[Coverage Limit Applies],MATCH(Table18[[#This Row],[Coverage]],CoverageTable[Coverage],0))</f>
        <v>Yes</v>
      </c>
      <c r="Q451" t="s">
        <v>10</v>
      </c>
      <c r="R451" t="s">
        <v>79</v>
      </c>
      <c r="S451" t="s">
        <v>10</v>
      </c>
      <c r="T451" t="s">
        <v>57</v>
      </c>
      <c r="U451" t="s">
        <v>10</v>
      </c>
      <c r="V451" t="s">
        <v>10</v>
      </c>
      <c r="W451" t="s">
        <v>10</v>
      </c>
    </row>
    <row r="452" spans="1:23" x14ac:dyDescent="0.3">
      <c r="A452" t="s">
        <v>543</v>
      </c>
      <c r="B452" s="7">
        <v>45988</v>
      </c>
      <c r="C452" t="s">
        <v>70</v>
      </c>
      <c r="D452" t="s">
        <v>1101</v>
      </c>
      <c r="E452" s="3">
        <v>3</v>
      </c>
      <c r="F452" s="3">
        <v>0</v>
      </c>
      <c r="G452" t="s">
        <v>10</v>
      </c>
      <c r="H452" t="s">
        <v>1110</v>
      </c>
      <c r="I452" t="s">
        <v>35</v>
      </c>
      <c r="J452" t="s">
        <v>50</v>
      </c>
      <c r="K452" t="s">
        <v>10</v>
      </c>
      <c r="L452" t="s">
        <v>10</v>
      </c>
      <c r="M452" t="s">
        <v>57</v>
      </c>
      <c r="N452" t="s">
        <v>10</v>
      </c>
      <c r="O452" t="str">
        <f>INDEX(CoverageTable[Deductible Applies],MATCH(Table18[[#This Row],[Coverage]],CoverageTable[Coverage],0))</f>
        <v>No</v>
      </c>
      <c r="P452" t="str">
        <f>INDEX(CoverageTable[Coverage Limit Applies],MATCH(Table18[[#This Row],[Coverage]],CoverageTable[Coverage],0))</f>
        <v>Yes</v>
      </c>
      <c r="Q452" t="s">
        <v>10</v>
      </c>
      <c r="R452" t="s">
        <v>80</v>
      </c>
      <c r="S452" t="s">
        <v>10</v>
      </c>
      <c r="T452" t="s">
        <v>10</v>
      </c>
      <c r="U452" t="s">
        <v>57</v>
      </c>
      <c r="V452" t="s">
        <v>10</v>
      </c>
      <c r="W452" t="s">
        <v>10</v>
      </c>
    </row>
    <row r="453" spans="1:23" x14ac:dyDescent="0.3">
      <c r="A453" t="s">
        <v>544</v>
      </c>
      <c r="B453" s="7">
        <v>46027</v>
      </c>
      <c r="C453" t="s">
        <v>71</v>
      </c>
      <c r="D453" t="s">
        <v>1097</v>
      </c>
      <c r="E453" s="3" t="s">
        <v>1103</v>
      </c>
      <c r="F453" s="3">
        <v>1</v>
      </c>
      <c r="G453" t="s">
        <v>12</v>
      </c>
      <c r="H453" t="s">
        <v>1110</v>
      </c>
      <c r="I453" t="s">
        <v>39</v>
      </c>
      <c r="J453" t="s">
        <v>51</v>
      </c>
      <c r="K453" t="s">
        <v>10</v>
      </c>
      <c r="L453" t="s">
        <v>10</v>
      </c>
      <c r="M453" t="s">
        <v>10</v>
      </c>
      <c r="N453" t="s">
        <v>57</v>
      </c>
      <c r="O453" t="str">
        <f>INDEX(CoverageTable[Deductible Applies],MATCH(Table18[[#This Row],[Coverage]],CoverageTable[Coverage],0))</f>
        <v>Yes</v>
      </c>
      <c r="P453" t="str">
        <f>INDEX(CoverageTable[Coverage Limit Applies],MATCH(Table18[[#This Row],[Coverage]],CoverageTable[Coverage],0))</f>
        <v>No</v>
      </c>
      <c r="Q453" t="s">
        <v>79</v>
      </c>
      <c r="R453" t="s">
        <v>10</v>
      </c>
      <c r="S453" t="s">
        <v>10</v>
      </c>
      <c r="T453" t="s">
        <v>10</v>
      </c>
      <c r="U453" t="s">
        <v>10</v>
      </c>
      <c r="V453" t="s">
        <v>10</v>
      </c>
      <c r="W453" t="s">
        <v>10</v>
      </c>
    </row>
    <row r="454" spans="1:23" x14ac:dyDescent="0.3">
      <c r="A454" t="s">
        <v>545</v>
      </c>
      <c r="B454" s="7">
        <v>46134</v>
      </c>
      <c r="C454" t="s">
        <v>71</v>
      </c>
      <c r="D454" t="s">
        <v>1102</v>
      </c>
      <c r="E454" s="3">
        <v>4</v>
      </c>
      <c r="F454" s="3">
        <v>4</v>
      </c>
      <c r="G454" t="s">
        <v>12</v>
      </c>
      <c r="H454" t="s">
        <v>1108</v>
      </c>
      <c r="I454" t="s">
        <v>30</v>
      </c>
      <c r="J454" t="s">
        <v>50</v>
      </c>
      <c r="K454" t="s">
        <v>10</v>
      </c>
      <c r="L454" t="s">
        <v>10</v>
      </c>
      <c r="M454" t="s">
        <v>57</v>
      </c>
      <c r="N454" t="s">
        <v>57</v>
      </c>
      <c r="O454" t="str">
        <f>INDEX(CoverageTable[Deductible Applies],MATCH(Table18[[#This Row],[Coverage]],CoverageTable[Coverage],0))</f>
        <v>Yes</v>
      </c>
      <c r="P454" t="str">
        <f>INDEX(CoverageTable[Coverage Limit Applies],MATCH(Table18[[#This Row],[Coverage]],CoverageTable[Coverage],0))</f>
        <v>No</v>
      </c>
      <c r="Q454" t="s">
        <v>79</v>
      </c>
      <c r="R454" t="s">
        <v>10</v>
      </c>
      <c r="S454" t="s">
        <v>10</v>
      </c>
      <c r="T454" t="s">
        <v>10</v>
      </c>
      <c r="U454" t="s">
        <v>10</v>
      </c>
      <c r="V454" t="s">
        <v>57</v>
      </c>
      <c r="W454" t="s">
        <v>10</v>
      </c>
    </row>
    <row r="455" spans="1:23" x14ac:dyDescent="0.3">
      <c r="A455" t="s">
        <v>546</v>
      </c>
      <c r="B455" s="7">
        <v>45827</v>
      </c>
      <c r="C455" t="s">
        <v>70</v>
      </c>
      <c r="D455" t="s">
        <v>1099</v>
      </c>
      <c r="E455" s="3">
        <v>4</v>
      </c>
      <c r="F455" s="3">
        <v>1</v>
      </c>
      <c r="G455" t="s">
        <v>12</v>
      </c>
      <c r="H455" t="s">
        <v>1108</v>
      </c>
      <c r="I455" t="s">
        <v>21</v>
      </c>
      <c r="J455" t="s">
        <v>53</v>
      </c>
      <c r="K455" t="s">
        <v>10</v>
      </c>
      <c r="L455" t="s">
        <v>10</v>
      </c>
      <c r="M455" t="s">
        <v>10</v>
      </c>
      <c r="N455" t="s">
        <v>57</v>
      </c>
      <c r="O455" t="str">
        <f>INDEX(CoverageTable[Deductible Applies],MATCH(Table18[[#This Row],[Coverage]],CoverageTable[Coverage],0))</f>
        <v>No</v>
      </c>
      <c r="P455" t="str">
        <f>INDEX(CoverageTable[Coverage Limit Applies],MATCH(Table18[[#This Row],[Coverage]],CoverageTable[Coverage],0))</f>
        <v>Yes</v>
      </c>
      <c r="Q455" t="s">
        <v>10</v>
      </c>
      <c r="R455" t="s">
        <v>79</v>
      </c>
      <c r="S455" t="s">
        <v>10</v>
      </c>
      <c r="T455" t="s">
        <v>57</v>
      </c>
      <c r="U455" t="s">
        <v>57</v>
      </c>
      <c r="V455" t="s">
        <v>10</v>
      </c>
      <c r="W455" t="s">
        <v>10</v>
      </c>
    </row>
    <row r="456" spans="1:23" x14ac:dyDescent="0.3">
      <c r="A456" t="s">
        <v>547</v>
      </c>
      <c r="B456" s="7">
        <v>45889</v>
      </c>
      <c r="C456" t="s">
        <v>72</v>
      </c>
      <c r="D456" t="s">
        <v>1101</v>
      </c>
      <c r="E456" s="3">
        <v>6</v>
      </c>
      <c r="F456" s="3">
        <v>1</v>
      </c>
      <c r="G456" t="s">
        <v>12</v>
      </c>
      <c r="H456" t="s">
        <v>1107</v>
      </c>
      <c r="I456" t="s">
        <v>23</v>
      </c>
      <c r="J456" t="s">
        <v>51</v>
      </c>
      <c r="K456" t="s">
        <v>10</v>
      </c>
      <c r="L456" t="s">
        <v>57</v>
      </c>
      <c r="M456" t="s">
        <v>57</v>
      </c>
      <c r="N456" t="s">
        <v>57</v>
      </c>
      <c r="O456" t="str">
        <f>INDEX(CoverageTable[Deductible Applies],MATCH(Table18[[#This Row],[Coverage]],CoverageTable[Coverage],0))</f>
        <v>Yes</v>
      </c>
      <c r="P456" t="str">
        <f>INDEX(CoverageTable[Coverage Limit Applies],MATCH(Table18[[#This Row],[Coverage]],CoverageTable[Coverage],0))</f>
        <v>No</v>
      </c>
      <c r="Q456" t="s">
        <v>78</v>
      </c>
      <c r="R456" t="s">
        <v>10</v>
      </c>
      <c r="S456" t="s">
        <v>10</v>
      </c>
      <c r="T456" t="s">
        <v>10</v>
      </c>
      <c r="U456" t="s">
        <v>10</v>
      </c>
      <c r="V456" t="s">
        <v>10</v>
      </c>
      <c r="W456" t="s">
        <v>10</v>
      </c>
    </row>
    <row r="457" spans="1:23" x14ac:dyDescent="0.3">
      <c r="A457" t="s">
        <v>548</v>
      </c>
      <c r="B457" s="7">
        <v>46103</v>
      </c>
      <c r="C457" t="s">
        <v>71</v>
      </c>
      <c r="D457" t="s">
        <v>1097</v>
      </c>
      <c r="E457" s="3">
        <v>1</v>
      </c>
      <c r="F457" s="3">
        <v>3</v>
      </c>
      <c r="G457" t="s">
        <v>11</v>
      </c>
      <c r="H457" t="s">
        <v>1106</v>
      </c>
      <c r="I457" t="s">
        <v>34</v>
      </c>
      <c r="J457" t="s">
        <v>53</v>
      </c>
      <c r="K457" t="s">
        <v>10</v>
      </c>
      <c r="L457" t="s">
        <v>10</v>
      </c>
      <c r="M457" t="s">
        <v>10</v>
      </c>
      <c r="N457" t="s">
        <v>10</v>
      </c>
      <c r="O457" t="str">
        <f>INDEX(CoverageTable[Deductible Applies],MATCH(Table18[[#This Row],[Coverage]],CoverageTable[Coverage],0))</f>
        <v>Yes</v>
      </c>
      <c r="P457" t="str">
        <f>INDEX(CoverageTable[Coverage Limit Applies],MATCH(Table18[[#This Row],[Coverage]],CoverageTable[Coverage],0))</f>
        <v>No</v>
      </c>
      <c r="Q457" t="s">
        <v>80</v>
      </c>
      <c r="R457" t="s">
        <v>10</v>
      </c>
      <c r="S457" t="s">
        <v>10</v>
      </c>
      <c r="T457" t="s">
        <v>57</v>
      </c>
      <c r="U457" t="s">
        <v>57</v>
      </c>
      <c r="V457" t="s">
        <v>57</v>
      </c>
      <c r="W457" t="s">
        <v>10</v>
      </c>
    </row>
    <row r="458" spans="1:23" x14ac:dyDescent="0.3">
      <c r="A458" t="s">
        <v>549</v>
      </c>
      <c r="B458" s="7">
        <v>45850</v>
      </c>
      <c r="C458" t="s">
        <v>74</v>
      </c>
      <c r="D458" t="s">
        <v>1101</v>
      </c>
      <c r="E458" s="3">
        <v>7</v>
      </c>
      <c r="F458" s="3" t="s">
        <v>7</v>
      </c>
      <c r="G458" t="s">
        <v>10</v>
      </c>
      <c r="H458" t="s">
        <v>1107</v>
      </c>
      <c r="I458" t="s">
        <v>44</v>
      </c>
      <c r="J458" t="s">
        <v>50</v>
      </c>
      <c r="K458" t="s">
        <v>10</v>
      </c>
      <c r="L458" t="s">
        <v>10</v>
      </c>
      <c r="M458" t="s">
        <v>57</v>
      </c>
      <c r="N458" t="s">
        <v>10</v>
      </c>
      <c r="O458" t="str">
        <f>INDEX(CoverageTable[Deductible Applies],MATCH(Table18[[#This Row],[Coverage]],CoverageTable[Coverage],0))</f>
        <v>No</v>
      </c>
      <c r="P458" t="str">
        <f>INDEX(CoverageTable[Coverage Limit Applies],MATCH(Table18[[#This Row],[Coverage]],CoverageTable[Coverage],0))</f>
        <v>Yes</v>
      </c>
      <c r="Q458" t="s">
        <v>10</v>
      </c>
      <c r="R458" t="s">
        <v>78</v>
      </c>
      <c r="S458" t="s">
        <v>10</v>
      </c>
      <c r="T458" t="s">
        <v>10</v>
      </c>
      <c r="U458" t="s">
        <v>10</v>
      </c>
      <c r="V458" t="s">
        <v>10</v>
      </c>
      <c r="W458" t="s">
        <v>10</v>
      </c>
    </row>
    <row r="459" spans="1:23" x14ac:dyDescent="0.3">
      <c r="A459" t="s">
        <v>550</v>
      </c>
      <c r="B459" s="7">
        <v>46075</v>
      </c>
      <c r="C459" t="s">
        <v>70</v>
      </c>
      <c r="D459" t="s">
        <v>1097</v>
      </c>
      <c r="E459" s="3" t="s">
        <v>1103</v>
      </c>
      <c r="F459" s="3">
        <v>4</v>
      </c>
      <c r="G459" t="s">
        <v>12</v>
      </c>
      <c r="H459" t="s">
        <v>1108</v>
      </c>
      <c r="I459" t="s">
        <v>32</v>
      </c>
      <c r="J459" t="s">
        <v>51</v>
      </c>
      <c r="K459" t="s">
        <v>10</v>
      </c>
      <c r="L459" t="s">
        <v>10</v>
      </c>
      <c r="M459" t="s">
        <v>57</v>
      </c>
      <c r="N459" t="s">
        <v>10</v>
      </c>
      <c r="O459" t="str">
        <f>INDEX(CoverageTable[Deductible Applies],MATCH(Table18[[#This Row],[Coverage]],CoverageTable[Coverage],0))</f>
        <v>No</v>
      </c>
      <c r="P459" t="str">
        <f>INDEX(CoverageTable[Coverage Limit Applies],MATCH(Table18[[#This Row],[Coverage]],CoverageTable[Coverage],0))</f>
        <v>Yes</v>
      </c>
      <c r="Q459" t="s">
        <v>10</v>
      </c>
      <c r="R459" t="s">
        <v>79</v>
      </c>
      <c r="S459" t="s">
        <v>57</v>
      </c>
      <c r="T459" t="s">
        <v>57</v>
      </c>
      <c r="U459" t="s">
        <v>10</v>
      </c>
      <c r="V459" t="s">
        <v>10</v>
      </c>
      <c r="W459" t="s">
        <v>10</v>
      </c>
    </row>
    <row r="460" spans="1:23" x14ac:dyDescent="0.3">
      <c r="A460" t="s">
        <v>551</v>
      </c>
      <c r="B460" s="7">
        <v>46089</v>
      </c>
      <c r="C460" t="s">
        <v>70</v>
      </c>
      <c r="D460" t="s">
        <v>1099</v>
      </c>
      <c r="E460" s="3">
        <v>7</v>
      </c>
      <c r="F460" s="3">
        <v>1</v>
      </c>
      <c r="G460" t="s">
        <v>13</v>
      </c>
      <c r="H460" t="s">
        <v>1107</v>
      </c>
      <c r="I460" t="s">
        <v>41</v>
      </c>
      <c r="J460" t="s">
        <v>48</v>
      </c>
      <c r="K460" t="s">
        <v>10</v>
      </c>
      <c r="L460" t="s">
        <v>10</v>
      </c>
      <c r="M460" t="s">
        <v>10</v>
      </c>
      <c r="N460" t="s">
        <v>57</v>
      </c>
      <c r="O460" t="str">
        <f>INDEX(CoverageTable[Deductible Applies],MATCH(Table18[[#This Row],[Coverage]],CoverageTable[Coverage],0))</f>
        <v>No</v>
      </c>
      <c r="P460" t="str">
        <f>INDEX(CoverageTable[Coverage Limit Applies],MATCH(Table18[[#This Row],[Coverage]],CoverageTable[Coverage],0))</f>
        <v>Yes</v>
      </c>
      <c r="Q460" t="s">
        <v>10</v>
      </c>
      <c r="R460" t="s">
        <v>79</v>
      </c>
      <c r="S460" t="s">
        <v>10</v>
      </c>
      <c r="T460" t="s">
        <v>10</v>
      </c>
      <c r="U460" t="s">
        <v>10</v>
      </c>
      <c r="V460" t="s">
        <v>10</v>
      </c>
      <c r="W460" t="s">
        <v>10</v>
      </c>
    </row>
    <row r="461" spans="1:23" x14ac:dyDescent="0.3">
      <c r="A461" t="s">
        <v>552</v>
      </c>
      <c r="B461" s="7">
        <v>45938</v>
      </c>
      <c r="C461" t="s">
        <v>70</v>
      </c>
      <c r="D461" t="s">
        <v>1099</v>
      </c>
      <c r="E461" s="3">
        <v>2</v>
      </c>
      <c r="F461" s="3">
        <v>4</v>
      </c>
      <c r="G461" t="s">
        <v>10</v>
      </c>
      <c r="H461" t="s">
        <v>1109</v>
      </c>
      <c r="I461" t="s">
        <v>44</v>
      </c>
      <c r="J461" t="s">
        <v>50</v>
      </c>
      <c r="K461" t="s">
        <v>10</v>
      </c>
      <c r="L461" t="s">
        <v>10</v>
      </c>
      <c r="M461" t="s">
        <v>10</v>
      </c>
      <c r="N461" t="s">
        <v>10</v>
      </c>
      <c r="O461" t="str">
        <f>INDEX(CoverageTable[Deductible Applies],MATCH(Table18[[#This Row],[Coverage]],CoverageTable[Coverage],0))</f>
        <v>No</v>
      </c>
      <c r="P461" t="str">
        <f>INDEX(CoverageTable[Coverage Limit Applies],MATCH(Table18[[#This Row],[Coverage]],CoverageTable[Coverage],0))</f>
        <v>Yes</v>
      </c>
      <c r="Q461" t="s">
        <v>10</v>
      </c>
      <c r="R461" t="s">
        <v>78</v>
      </c>
      <c r="S461" t="s">
        <v>10</v>
      </c>
      <c r="T461" t="s">
        <v>10</v>
      </c>
      <c r="U461" t="s">
        <v>57</v>
      </c>
      <c r="V461" t="s">
        <v>10</v>
      </c>
      <c r="W461" t="s">
        <v>10</v>
      </c>
    </row>
    <row r="462" spans="1:23" x14ac:dyDescent="0.3">
      <c r="A462" t="s">
        <v>553</v>
      </c>
      <c r="B462" s="7">
        <v>45806</v>
      </c>
      <c r="C462" t="s">
        <v>72</v>
      </c>
      <c r="D462" t="s">
        <v>1098</v>
      </c>
      <c r="E462" s="3">
        <v>6</v>
      </c>
      <c r="F462" s="3">
        <v>2</v>
      </c>
      <c r="G462" t="s">
        <v>13</v>
      </c>
      <c r="H462" t="s">
        <v>1109</v>
      </c>
      <c r="I462" t="s">
        <v>41</v>
      </c>
      <c r="J462" t="s">
        <v>49</v>
      </c>
      <c r="K462" t="s">
        <v>10</v>
      </c>
      <c r="L462" t="s">
        <v>10</v>
      </c>
      <c r="M462" t="s">
        <v>10</v>
      </c>
      <c r="N462" t="s">
        <v>10</v>
      </c>
      <c r="O462" t="str">
        <f>INDEX(CoverageTable[Deductible Applies],MATCH(Table18[[#This Row],[Coverage]],CoverageTable[Coverage],0))</f>
        <v>Yes</v>
      </c>
      <c r="P462" t="str">
        <f>INDEX(CoverageTable[Coverage Limit Applies],MATCH(Table18[[#This Row],[Coverage]],CoverageTable[Coverage],0))</f>
        <v>No</v>
      </c>
      <c r="Q462" t="s">
        <v>80</v>
      </c>
      <c r="R462" t="s">
        <v>10</v>
      </c>
      <c r="S462" t="s">
        <v>10</v>
      </c>
      <c r="T462" t="s">
        <v>10</v>
      </c>
      <c r="U462" t="s">
        <v>57</v>
      </c>
      <c r="V462" t="s">
        <v>10</v>
      </c>
      <c r="W462" t="s">
        <v>10</v>
      </c>
    </row>
    <row r="463" spans="1:23" x14ac:dyDescent="0.3">
      <c r="A463" t="s">
        <v>554</v>
      </c>
      <c r="B463" s="7">
        <v>46141</v>
      </c>
      <c r="C463" t="s">
        <v>70</v>
      </c>
      <c r="D463" t="s">
        <v>1097</v>
      </c>
      <c r="E463" s="3">
        <v>4</v>
      </c>
      <c r="F463" s="3">
        <v>1</v>
      </c>
      <c r="G463" t="s">
        <v>13</v>
      </c>
      <c r="H463" t="s">
        <v>1106</v>
      </c>
      <c r="I463" t="s">
        <v>38</v>
      </c>
      <c r="J463" t="s">
        <v>50</v>
      </c>
      <c r="K463" t="s">
        <v>10</v>
      </c>
      <c r="L463" t="s">
        <v>10</v>
      </c>
      <c r="M463" t="s">
        <v>10</v>
      </c>
      <c r="N463" t="s">
        <v>10</v>
      </c>
      <c r="O463" t="str">
        <f>INDEX(CoverageTable[Deductible Applies],MATCH(Table18[[#This Row],[Coverage]],CoverageTable[Coverage],0))</f>
        <v>No</v>
      </c>
      <c r="P463" t="str">
        <f>INDEX(CoverageTable[Coverage Limit Applies],MATCH(Table18[[#This Row],[Coverage]],CoverageTable[Coverage],0))</f>
        <v>Yes</v>
      </c>
      <c r="Q463" t="s">
        <v>10</v>
      </c>
      <c r="R463" t="s">
        <v>80</v>
      </c>
      <c r="S463" t="s">
        <v>10</v>
      </c>
      <c r="T463" t="s">
        <v>10</v>
      </c>
      <c r="U463" t="s">
        <v>57</v>
      </c>
      <c r="V463" t="s">
        <v>57</v>
      </c>
      <c r="W463" t="s">
        <v>10</v>
      </c>
    </row>
    <row r="464" spans="1:23" x14ac:dyDescent="0.3">
      <c r="A464" t="s">
        <v>555</v>
      </c>
      <c r="B464" s="7">
        <v>45782</v>
      </c>
      <c r="C464" t="s">
        <v>70</v>
      </c>
      <c r="D464" t="s">
        <v>1097</v>
      </c>
      <c r="E464" s="3">
        <v>1</v>
      </c>
      <c r="F464" s="3">
        <v>1</v>
      </c>
      <c r="G464" t="s">
        <v>10</v>
      </c>
      <c r="H464" t="s">
        <v>1106</v>
      </c>
      <c r="I464" t="s">
        <v>28</v>
      </c>
      <c r="J464" t="s">
        <v>54</v>
      </c>
      <c r="K464" t="s">
        <v>10</v>
      </c>
      <c r="L464" t="s">
        <v>10</v>
      </c>
      <c r="M464" t="s">
        <v>57</v>
      </c>
      <c r="N464" t="s">
        <v>10</v>
      </c>
      <c r="O464" t="str">
        <f>INDEX(CoverageTable[Deductible Applies],MATCH(Table18[[#This Row],[Coverage]],CoverageTable[Coverage],0))</f>
        <v>No</v>
      </c>
      <c r="P464" t="str">
        <f>INDEX(CoverageTable[Coverage Limit Applies],MATCH(Table18[[#This Row],[Coverage]],CoverageTable[Coverage],0))</f>
        <v>Yes</v>
      </c>
      <c r="Q464" t="s">
        <v>10</v>
      </c>
      <c r="R464" t="s">
        <v>78</v>
      </c>
      <c r="S464" t="s">
        <v>57</v>
      </c>
      <c r="T464" t="s">
        <v>10</v>
      </c>
      <c r="U464" t="s">
        <v>10</v>
      </c>
      <c r="V464" t="s">
        <v>10</v>
      </c>
      <c r="W464" t="s">
        <v>57</v>
      </c>
    </row>
    <row r="465" spans="1:23" x14ac:dyDescent="0.3">
      <c r="A465" t="s">
        <v>556</v>
      </c>
      <c r="B465" s="7">
        <v>46045</v>
      </c>
      <c r="C465" t="s">
        <v>70</v>
      </c>
      <c r="D465" t="s">
        <v>1098</v>
      </c>
      <c r="E465" s="3">
        <v>6</v>
      </c>
      <c r="F465" s="3">
        <v>0</v>
      </c>
      <c r="G465" t="s">
        <v>13</v>
      </c>
      <c r="H465" t="s">
        <v>1110</v>
      </c>
      <c r="I465" t="s">
        <v>26</v>
      </c>
      <c r="J465" t="s">
        <v>54</v>
      </c>
      <c r="K465" t="s">
        <v>57</v>
      </c>
      <c r="L465" t="s">
        <v>10</v>
      </c>
      <c r="M465" t="s">
        <v>57</v>
      </c>
      <c r="N465" t="s">
        <v>57</v>
      </c>
      <c r="O465" t="str">
        <f>INDEX(CoverageTable[Deductible Applies],MATCH(Table18[[#This Row],[Coverage]],CoverageTable[Coverage],0))</f>
        <v>No</v>
      </c>
      <c r="P465" t="str">
        <f>INDEX(CoverageTable[Coverage Limit Applies],MATCH(Table18[[#This Row],[Coverage]],CoverageTable[Coverage],0))</f>
        <v>Yes</v>
      </c>
      <c r="Q465" t="s">
        <v>10</v>
      </c>
      <c r="R465" t="s">
        <v>78</v>
      </c>
      <c r="S465" t="s">
        <v>10</v>
      </c>
      <c r="T465" t="s">
        <v>10</v>
      </c>
      <c r="U465" t="s">
        <v>10</v>
      </c>
      <c r="V465" t="s">
        <v>10</v>
      </c>
      <c r="W465" t="s">
        <v>10</v>
      </c>
    </row>
    <row r="466" spans="1:23" x14ac:dyDescent="0.3">
      <c r="A466" t="s">
        <v>557</v>
      </c>
      <c r="B466" s="7">
        <v>45868</v>
      </c>
      <c r="C466" t="s">
        <v>71</v>
      </c>
      <c r="D466" t="s">
        <v>1099</v>
      </c>
      <c r="E466" s="3">
        <v>2</v>
      </c>
      <c r="F466" s="3">
        <v>4</v>
      </c>
      <c r="G466" t="s">
        <v>10</v>
      </c>
      <c r="H466" t="s">
        <v>1108</v>
      </c>
      <c r="I466" t="s">
        <v>43</v>
      </c>
      <c r="J466" t="s">
        <v>49</v>
      </c>
      <c r="K466" t="s">
        <v>10</v>
      </c>
      <c r="L466" t="s">
        <v>10</v>
      </c>
      <c r="M466" t="s">
        <v>10</v>
      </c>
      <c r="N466" t="s">
        <v>57</v>
      </c>
      <c r="O466" t="str">
        <f>INDEX(CoverageTable[Deductible Applies],MATCH(Table18[[#This Row],[Coverage]],CoverageTable[Coverage],0))</f>
        <v>Yes</v>
      </c>
      <c r="P466" t="str">
        <f>INDEX(CoverageTable[Coverage Limit Applies],MATCH(Table18[[#This Row],[Coverage]],CoverageTable[Coverage],0))</f>
        <v>No</v>
      </c>
      <c r="Q466" t="s">
        <v>79</v>
      </c>
      <c r="R466" t="s">
        <v>10</v>
      </c>
      <c r="S466" t="s">
        <v>10</v>
      </c>
      <c r="T466" t="s">
        <v>10</v>
      </c>
      <c r="U466" t="s">
        <v>10</v>
      </c>
      <c r="V466" t="s">
        <v>10</v>
      </c>
      <c r="W466" t="s">
        <v>57</v>
      </c>
    </row>
    <row r="467" spans="1:23" x14ac:dyDescent="0.3">
      <c r="A467" t="s">
        <v>558</v>
      </c>
      <c r="B467" s="7">
        <v>46008</v>
      </c>
      <c r="C467" t="s">
        <v>71</v>
      </c>
      <c r="D467" t="s">
        <v>1101</v>
      </c>
      <c r="E467" s="3">
        <v>3</v>
      </c>
      <c r="F467" s="3">
        <v>4</v>
      </c>
      <c r="G467" t="s">
        <v>13</v>
      </c>
      <c r="H467" t="s">
        <v>1106</v>
      </c>
      <c r="I467" t="s">
        <v>23</v>
      </c>
      <c r="J467" t="s">
        <v>51</v>
      </c>
      <c r="K467" t="s">
        <v>10</v>
      </c>
      <c r="L467" t="s">
        <v>10</v>
      </c>
      <c r="M467" t="s">
        <v>10</v>
      </c>
      <c r="N467" t="s">
        <v>10</v>
      </c>
      <c r="O467" t="str">
        <f>INDEX(CoverageTable[Deductible Applies],MATCH(Table18[[#This Row],[Coverage]],CoverageTable[Coverage],0))</f>
        <v>Yes</v>
      </c>
      <c r="P467" t="str">
        <f>INDEX(CoverageTable[Coverage Limit Applies],MATCH(Table18[[#This Row],[Coverage]],CoverageTable[Coverage],0))</f>
        <v>No</v>
      </c>
      <c r="Q467" t="s">
        <v>78</v>
      </c>
      <c r="R467" t="s">
        <v>10</v>
      </c>
      <c r="S467" t="s">
        <v>10</v>
      </c>
      <c r="T467" t="s">
        <v>10</v>
      </c>
      <c r="U467" t="s">
        <v>10</v>
      </c>
      <c r="V467" t="s">
        <v>10</v>
      </c>
      <c r="W467" t="s">
        <v>10</v>
      </c>
    </row>
    <row r="468" spans="1:23" x14ac:dyDescent="0.3">
      <c r="A468" t="s">
        <v>559</v>
      </c>
      <c r="B468" s="7">
        <v>46056</v>
      </c>
      <c r="C468" t="s">
        <v>70</v>
      </c>
      <c r="D468" t="s">
        <v>1101</v>
      </c>
      <c r="E468" s="3">
        <v>5</v>
      </c>
      <c r="F468" s="3">
        <v>4</v>
      </c>
      <c r="G468" t="s">
        <v>12</v>
      </c>
      <c r="H468" t="s">
        <v>1109</v>
      </c>
      <c r="I468" t="s">
        <v>31</v>
      </c>
      <c r="J468" t="s">
        <v>49</v>
      </c>
      <c r="K468" t="s">
        <v>10</v>
      </c>
      <c r="L468" t="s">
        <v>10</v>
      </c>
      <c r="M468" t="s">
        <v>10</v>
      </c>
      <c r="N468" t="s">
        <v>10</v>
      </c>
      <c r="O468" t="str">
        <f>INDEX(CoverageTable[Deductible Applies],MATCH(Table18[[#This Row],[Coverage]],CoverageTable[Coverage],0))</f>
        <v>No</v>
      </c>
      <c r="P468" t="str">
        <f>INDEX(CoverageTable[Coverage Limit Applies],MATCH(Table18[[#This Row],[Coverage]],CoverageTable[Coverage],0))</f>
        <v>Yes</v>
      </c>
      <c r="Q468" t="s">
        <v>10</v>
      </c>
      <c r="R468" t="s">
        <v>78</v>
      </c>
      <c r="S468" t="s">
        <v>10</v>
      </c>
      <c r="T468" t="s">
        <v>10</v>
      </c>
      <c r="U468" t="s">
        <v>10</v>
      </c>
      <c r="V468" t="s">
        <v>10</v>
      </c>
      <c r="W468" t="s">
        <v>10</v>
      </c>
    </row>
    <row r="469" spans="1:23" x14ac:dyDescent="0.3">
      <c r="A469" t="s">
        <v>560</v>
      </c>
      <c r="B469" s="7">
        <v>45945</v>
      </c>
      <c r="C469" t="s">
        <v>72</v>
      </c>
      <c r="D469" t="s">
        <v>1102</v>
      </c>
      <c r="E469" s="3">
        <v>3</v>
      </c>
      <c r="F469" s="3">
        <v>1</v>
      </c>
      <c r="G469" t="s">
        <v>10</v>
      </c>
      <c r="H469" t="s">
        <v>1107</v>
      </c>
      <c r="I469" t="s">
        <v>40</v>
      </c>
      <c r="J469" t="s">
        <v>50</v>
      </c>
      <c r="K469" t="s">
        <v>10</v>
      </c>
      <c r="L469" t="s">
        <v>10</v>
      </c>
      <c r="M469" t="s">
        <v>10</v>
      </c>
      <c r="N469" t="s">
        <v>10</v>
      </c>
      <c r="O469" t="str">
        <f>INDEX(CoverageTable[Deductible Applies],MATCH(Table18[[#This Row],[Coverage]],CoverageTable[Coverage],0))</f>
        <v>Yes</v>
      </c>
      <c r="P469" t="str">
        <f>INDEX(CoverageTable[Coverage Limit Applies],MATCH(Table18[[#This Row],[Coverage]],CoverageTable[Coverage],0))</f>
        <v>No</v>
      </c>
      <c r="Q469" t="s">
        <v>79</v>
      </c>
      <c r="R469" t="s">
        <v>10</v>
      </c>
      <c r="S469" t="s">
        <v>10</v>
      </c>
      <c r="T469" t="s">
        <v>57</v>
      </c>
      <c r="U469" t="s">
        <v>57</v>
      </c>
      <c r="V469" t="s">
        <v>57</v>
      </c>
      <c r="W469" t="s">
        <v>10</v>
      </c>
    </row>
    <row r="470" spans="1:23" x14ac:dyDescent="0.3">
      <c r="A470" t="s">
        <v>561</v>
      </c>
      <c r="B470" s="7">
        <v>45844</v>
      </c>
      <c r="C470" t="s">
        <v>71</v>
      </c>
      <c r="D470" t="s">
        <v>1099</v>
      </c>
      <c r="E470" s="3">
        <v>7</v>
      </c>
      <c r="F470" s="3">
        <v>1</v>
      </c>
      <c r="G470" t="s">
        <v>13</v>
      </c>
      <c r="H470" t="s">
        <v>1109</v>
      </c>
      <c r="I470" t="s">
        <v>40</v>
      </c>
      <c r="J470" t="s">
        <v>53</v>
      </c>
      <c r="K470" t="s">
        <v>10</v>
      </c>
      <c r="L470" t="s">
        <v>10</v>
      </c>
      <c r="M470" t="s">
        <v>10</v>
      </c>
      <c r="N470" t="s">
        <v>57</v>
      </c>
      <c r="O470" t="str">
        <f>INDEX(CoverageTable[Deductible Applies],MATCH(Table18[[#This Row],[Coverage]],CoverageTable[Coverage],0))</f>
        <v>Yes</v>
      </c>
      <c r="P470" t="str">
        <f>INDEX(CoverageTable[Coverage Limit Applies],MATCH(Table18[[#This Row],[Coverage]],CoverageTable[Coverage],0))</f>
        <v>No</v>
      </c>
      <c r="Q470" t="s">
        <v>79</v>
      </c>
      <c r="R470" t="s">
        <v>10</v>
      </c>
      <c r="S470" t="s">
        <v>10</v>
      </c>
      <c r="T470" t="s">
        <v>10</v>
      </c>
      <c r="U470" t="s">
        <v>10</v>
      </c>
      <c r="V470" t="s">
        <v>10</v>
      </c>
      <c r="W470" t="s">
        <v>10</v>
      </c>
    </row>
    <row r="471" spans="1:23" x14ac:dyDescent="0.3">
      <c r="A471" t="s">
        <v>562</v>
      </c>
      <c r="B471" s="7">
        <v>45902</v>
      </c>
      <c r="C471" t="s">
        <v>70</v>
      </c>
      <c r="D471" t="s">
        <v>1099</v>
      </c>
      <c r="E471" s="3">
        <v>7</v>
      </c>
      <c r="F471" s="3">
        <v>1</v>
      </c>
      <c r="G471" t="s">
        <v>10</v>
      </c>
      <c r="H471" t="s">
        <v>1106</v>
      </c>
      <c r="I471" t="s">
        <v>43</v>
      </c>
      <c r="J471" t="s">
        <v>48</v>
      </c>
      <c r="K471" t="s">
        <v>10</v>
      </c>
      <c r="L471" t="s">
        <v>10</v>
      </c>
      <c r="M471" t="s">
        <v>57</v>
      </c>
      <c r="N471" t="s">
        <v>10</v>
      </c>
      <c r="O471" t="str">
        <f>INDEX(CoverageTable[Deductible Applies],MATCH(Table18[[#This Row],[Coverage]],CoverageTable[Coverage],0))</f>
        <v>No</v>
      </c>
      <c r="P471" t="str">
        <f>INDEX(CoverageTable[Coverage Limit Applies],MATCH(Table18[[#This Row],[Coverage]],CoverageTable[Coverage],0))</f>
        <v>Yes</v>
      </c>
      <c r="Q471" t="s">
        <v>10</v>
      </c>
      <c r="R471" t="s">
        <v>80</v>
      </c>
      <c r="S471" t="s">
        <v>10</v>
      </c>
      <c r="T471" t="s">
        <v>10</v>
      </c>
      <c r="U471" t="s">
        <v>10</v>
      </c>
      <c r="V471" t="s">
        <v>10</v>
      </c>
      <c r="W471" t="s">
        <v>10</v>
      </c>
    </row>
    <row r="472" spans="1:23" x14ac:dyDescent="0.3">
      <c r="A472" t="s">
        <v>563</v>
      </c>
      <c r="B472" s="7">
        <v>45951</v>
      </c>
      <c r="C472" t="s">
        <v>74</v>
      </c>
      <c r="D472" t="s">
        <v>1097</v>
      </c>
      <c r="E472" s="3">
        <v>4</v>
      </c>
      <c r="F472" s="3">
        <v>0</v>
      </c>
      <c r="G472" t="s">
        <v>10</v>
      </c>
      <c r="H472" t="s">
        <v>1110</v>
      </c>
      <c r="I472" t="s">
        <v>28</v>
      </c>
      <c r="J472" t="s">
        <v>49</v>
      </c>
      <c r="K472" t="s">
        <v>10</v>
      </c>
      <c r="L472" t="s">
        <v>10</v>
      </c>
      <c r="M472" t="s">
        <v>10</v>
      </c>
      <c r="N472" t="s">
        <v>57</v>
      </c>
      <c r="O472" t="str">
        <f>INDEX(CoverageTable[Deductible Applies],MATCH(Table18[[#This Row],[Coverage]],CoverageTable[Coverage],0))</f>
        <v>No</v>
      </c>
      <c r="P472" t="str">
        <f>INDEX(CoverageTable[Coverage Limit Applies],MATCH(Table18[[#This Row],[Coverage]],CoverageTable[Coverage],0))</f>
        <v>Yes</v>
      </c>
      <c r="Q472" t="s">
        <v>10</v>
      </c>
      <c r="R472" t="s">
        <v>80</v>
      </c>
      <c r="S472" t="s">
        <v>10</v>
      </c>
      <c r="T472" t="s">
        <v>10</v>
      </c>
      <c r="U472" t="s">
        <v>57</v>
      </c>
      <c r="V472" t="s">
        <v>10</v>
      </c>
      <c r="W472" t="s">
        <v>10</v>
      </c>
    </row>
    <row r="473" spans="1:23" x14ac:dyDescent="0.3">
      <c r="A473" t="s">
        <v>564</v>
      </c>
      <c r="B473" s="7">
        <v>46046</v>
      </c>
      <c r="C473" t="s">
        <v>74</v>
      </c>
      <c r="D473" t="s">
        <v>1098</v>
      </c>
      <c r="E473" s="3">
        <v>6</v>
      </c>
      <c r="F473" s="3" t="s">
        <v>7</v>
      </c>
      <c r="G473" t="s">
        <v>10</v>
      </c>
      <c r="H473" t="s">
        <v>1106</v>
      </c>
      <c r="I473" t="s">
        <v>40</v>
      </c>
      <c r="J473" t="s">
        <v>54</v>
      </c>
      <c r="K473" t="s">
        <v>10</v>
      </c>
      <c r="L473" t="s">
        <v>10</v>
      </c>
      <c r="M473" t="s">
        <v>10</v>
      </c>
      <c r="N473" t="s">
        <v>10</v>
      </c>
      <c r="O473" t="str">
        <f>INDEX(CoverageTable[Deductible Applies],MATCH(Table18[[#This Row],[Coverage]],CoverageTable[Coverage],0))</f>
        <v>No</v>
      </c>
      <c r="P473" t="str">
        <f>INDEX(CoverageTable[Coverage Limit Applies],MATCH(Table18[[#This Row],[Coverage]],CoverageTable[Coverage],0))</f>
        <v>Yes</v>
      </c>
      <c r="Q473" t="s">
        <v>10</v>
      </c>
      <c r="R473" t="s">
        <v>78</v>
      </c>
      <c r="S473" t="s">
        <v>10</v>
      </c>
      <c r="T473" t="s">
        <v>57</v>
      </c>
      <c r="U473" t="s">
        <v>57</v>
      </c>
      <c r="V473" t="s">
        <v>10</v>
      </c>
      <c r="W473" t="s">
        <v>10</v>
      </c>
    </row>
    <row r="474" spans="1:23" x14ac:dyDescent="0.3">
      <c r="A474" t="s">
        <v>565</v>
      </c>
      <c r="B474" s="7">
        <v>45951</v>
      </c>
      <c r="C474" t="s">
        <v>70</v>
      </c>
      <c r="D474" t="s">
        <v>1101</v>
      </c>
      <c r="E474" s="3">
        <v>6</v>
      </c>
      <c r="F474" s="3" t="s">
        <v>7</v>
      </c>
      <c r="G474" t="s">
        <v>10</v>
      </c>
      <c r="H474" t="s">
        <v>1108</v>
      </c>
      <c r="I474" t="s">
        <v>31</v>
      </c>
      <c r="J474" t="s">
        <v>51</v>
      </c>
      <c r="K474" t="s">
        <v>10</v>
      </c>
      <c r="L474" t="s">
        <v>10</v>
      </c>
      <c r="M474" t="s">
        <v>10</v>
      </c>
      <c r="N474" t="s">
        <v>10</v>
      </c>
      <c r="O474" t="str">
        <f>INDEX(CoverageTable[Deductible Applies],MATCH(Table18[[#This Row],[Coverage]],CoverageTable[Coverage],0))</f>
        <v>No</v>
      </c>
      <c r="P474" t="str">
        <f>INDEX(CoverageTable[Coverage Limit Applies],MATCH(Table18[[#This Row],[Coverage]],CoverageTable[Coverage],0))</f>
        <v>Yes</v>
      </c>
      <c r="Q474" t="s">
        <v>10</v>
      </c>
      <c r="R474" t="s">
        <v>78</v>
      </c>
      <c r="S474" t="s">
        <v>10</v>
      </c>
      <c r="T474" t="s">
        <v>10</v>
      </c>
      <c r="U474" t="s">
        <v>10</v>
      </c>
      <c r="V474" t="s">
        <v>57</v>
      </c>
      <c r="W474" t="s">
        <v>57</v>
      </c>
    </row>
    <row r="475" spans="1:23" x14ac:dyDescent="0.3">
      <c r="A475" t="s">
        <v>566</v>
      </c>
      <c r="B475" s="7">
        <v>45784</v>
      </c>
      <c r="C475" t="s">
        <v>70</v>
      </c>
      <c r="D475" t="s">
        <v>1101</v>
      </c>
      <c r="E475" s="3">
        <v>4</v>
      </c>
      <c r="F475" s="3">
        <v>1</v>
      </c>
      <c r="G475" t="s">
        <v>13</v>
      </c>
      <c r="H475" t="s">
        <v>1107</v>
      </c>
      <c r="I475" t="s">
        <v>37</v>
      </c>
      <c r="J475" t="s">
        <v>49</v>
      </c>
      <c r="K475" t="s">
        <v>57</v>
      </c>
      <c r="L475" t="s">
        <v>10</v>
      </c>
      <c r="M475" t="s">
        <v>10</v>
      </c>
      <c r="N475" t="s">
        <v>57</v>
      </c>
      <c r="O475" t="str">
        <f>INDEX(CoverageTable[Deductible Applies],MATCH(Table18[[#This Row],[Coverage]],CoverageTable[Coverage],0))</f>
        <v>No</v>
      </c>
      <c r="P475" t="str">
        <f>INDEX(CoverageTable[Coverage Limit Applies],MATCH(Table18[[#This Row],[Coverage]],CoverageTable[Coverage],0))</f>
        <v>Yes</v>
      </c>
      <c r="Q475" t="s">
        <v>10</v>
      </c>
      <c r="R475" t="s">
        <v>80</v>
      </c>
      <c r="S475" t="s">
        <v>10</v>
      </c>
      <c r="T475" t="s">
        <v>10</v>
      </c>
      <c r="U475" t="s">
        <v>57</v>
      </c>
      <c r="V475" t="s">
        <v>10</v>
      </c>
      <c r="W475" t="s">
        <v>10</v>
      </c>
    </row>
    <row r="476" spans="1:23" x14ac:dyDescent="0.3">
      <c r="A476" t="s">
        <v>567</v>
      </c>
      <c r="B476" s="7">
        <v>45933</v>
      </c>
      <c r="C476" t="s">
        <v>70</v>
      </c>
      <c r="D476" t="s">
        <v>1098</v>
      </c>
      <c r="E476" s="3">
        <v>1</v>
      </c>
      <c r="F476" s="3">
        <v>4</v>
      </c>
      <c r="G476" t="s">
        <v>10</v>
      </c>
      <c r="H476" t="s">
        <v>1107</v>
      </c>
      <c r="I476" t="s">
        <v>44</v>
      </c>
      <c r="J476" t="s">
        <v>53</v>
      </c>
      <c r="K476" t="s">
        <v>10</v>
      </c>
      <c r="L476" t="s">
        <v>10</v>
      </c>
      <c r="M476" t="s">
        <v>10</v>
      </c>
      <c r="N476" t="s">
        <v>57</v>
      </c>
      <c r="O476" t="str">
        <f>INDEX(CoverageTable[Deductible Applies],MATCH(Table18[[#This Row],[Coverage]],CoverageTable[Coverage],0))</f>
        <v>No</v>
      </c>
      <c r="P476" t="str">
        <f>INDEX(CoverageTable[Coverage Limit Applies],MATCH(Table18[[#This Row],[Coverage]],CoverageTable[Coverage],0))</f>
        <v>Yes</v>
      </c>
      <c r="Q476" t="s">
        <v>10</v>
      </c>
      <c r="R476" t="s">
        <v>79</v>
      </c>
      <c r="S476" t="s">
        <v>10</v>
      </c>
      <c r="T476" t="s">
        <v>57</v>
      </c>
      <c r="U476" t="s">
        <v>57</v>
      </c>
      <c r="V476" t="s">
        <v>10</v>
      </c>
      <c r="W476" t="s">
        <v>10</v>
      </c>
    </row>
    <row r="477" spans="1:23" x14ac:dyDescent="0.3">
      <c r="A477" t="s">
        <v>568</v>
      </c>
      <c r="B477" s="7">
        <v>45805</v>
      </c>
      <c r="C477" t="s">
        <v>70</v>
      </c>
      <c r="D477" t="s">
        <v>1099</v>
      </c>
      <c r="E477" s="3">
        <v>7</v>
      </c>
      <c r="F477" s="3">
        <v>1</v>
      </c>
      <c r="G477" t="s">
        <v>11</v>
      </c>
      <c r="H477" t="s">
        <v>1106</v>
      </c>
      <c r="I477" t="s">
        <v>34</v>
      </c>
      <c r="J477" t="s">
        <v>53</v>
      </c>
      <c r="K477" t="s">
        <v>10</v>
      </c>
      <c r="L477" t="s">
        <v>10</v>
      </c>
      <c r="M477" t="s">
        <v>10</v>
      </c>
      <c r="N477" t="s">
        <v>10</v>
      </c>
      <c r="O477" t="str">
        <f>INDEX(CoverageTable[Deductible Applies],MATCH(Table18[[#This Row],[Coverage]],CoverageTable[Coverage],0))</f>
        <v>No</v>
      </c>
      <c r="P477" t="str">
        <f>INDEX(CoverageTable[Coverage Limit Applies],MATCH(Table18[[#This Row],[Coverage]],CoverageTable[Coverage],0))</f>
        <v>Yes</v>
      </c>
      <c r="Q477" t="s">
        <v>10</v>
      </c>
      <c r="R477" t="s">
        <v>79</v>
      </c>
      <c r="S477" t="s">
        <v>10</v>
      </c>
      <c r="T477" t="s">
        <v>10</v>
      </c>
      <c r="U477" t="s">
        <v>10</v>
      </c>
      <c r="V477" t="s">
        <v>10</v>
      </c>
      <c r="W477" t="s">
        <v>10</v>
      </c>
    </row>
    <row r="478" spans="1:23" x14ac:dyDescent="0.3">
      <c r="A478" t="s">
        <v>569</v>
      </c>
      <c r="B478" s="7">
        <v>46086</v>
      </c>
      <c r="C478" t="s">
        <v>70</v>
      </c>
      <c r="D478" t="s">
        <v>1098</v>
      </c>
      <c r="E478" s="3">
        <v>5</v>
      </c>
      <c r="F478" s="3">
        <v>0</v>
      </c>
      <c r="G478" t="s">
        <v>11</v>
      </c>
      <c r="H478" t="s">
        <v>1109</v>
      </c>
      <c r="I478" t="s">
        <v>23</v>
      </c>
      <c r="J478" t="s">
        <v>50</v>
      </c>
      <c r="K478" t="s">
        <v>10</v>
      </c>
      <c r="L478" t="s">
        <v>10</v>
      </c>
      <c r="M478" t="s">
        <v>10</v>
      </c>
      <c r="N478" t="s">
        <v>57</v>
      </c>
      <c r="O478" t="str">
        <f>INDEX(CoverageTable[Deductible Applies],MATCH(Table18[[#This Row],[Coverage]],CoverageTable[Coverage],0))</f>
        <v>No</v>
      </c>
      <c r="P478" t="str">
        <f>INDEX(CoverageTable[Coverage Limit Applies],MATCH(Table18[[#This Row],[Coverage]],CoverageTable[Coverage],0))</f>
        <v>Yes</v>
      </c>
      <c r="Q478" t="s">
        <v>10</v>
      </c>
      <c r="R478" t="s">
        <v>80</v>
      </c>
      <c r="S478" t="s">
        <v>10</v>
      </c>
      <c r="T478" t="s">
        <v>10</v>
      </c>
      <c r="U478" t="s">
        <v>10</v>
      </c>
      <c r="V478" t="s">
        <v>10</v>
      </c>
      <c r="W478" t="s">
        <v>57</v>
      </c>
    </row>
    <row r="479" spans="1:23" x14ac:dyDescent="0.3">
      <c r="A479" t="s">
        <v>570</v>
      </c>
      <c r="B479" s="7">
        <v>46100</v>
      </c>
      <c r="C479" t="s">
        <v>72</v>
      </c>
      <c r="D479" t="s">
        <v>1098</v>
      </c>
      <c r="E479" s="3">
        <v>4</v>
      </c>
      <c r="F479" s="3">
        <v>1</v>
      </c>
      <c r="G479" t="s">
        <v>13</v>
      </c>
      <c r="H479" t="s">
        <v>1108</v>
      </c>
      <c r="I479" t="s">
        <v>25</v>
      </c>
      <c r="J479" t="s">
        <v>50</v>
      </c>
      <c r="K479" t="s">
        <v>10</v>
      </c>
      <c r="L479" t="s">
        <v>10</v>
      </c>
      <c r="M479" t="s">
        <v>10</v>
      </c>
      <c r="N479" t="s">
        <v>10</v>
      </c>
      <c r="O479" t="str">
        <f>INDEX(CoverageTable[Deductible Applies],MATCH(Table18[[#This Row],[Coverage]],CoverageTable[Coverage],0))</f>
        <v>Yes</v>
      </c>
      <c r="P479" t="str">
        <f>INDEX(CoverageTable[Coverage Limit Applies],MATCH(Table18[[#This Row],[Coverage]],CoverageTable[Coverage],0))</f>
        <v>No</v>
      </c>
      <c r="Q479" t="s">
        <v>78</v>
      </c>
      <c r="R479" t="s">
        <v>10</v>
      </c>
      <c r="S479" t="s">
        <v>10</v>
      </c>
      <c r="T479" t="s">
        <v>10</v>
      </c>
      <c r="U479" t="s">
        <v>10</v>
      </c>
      <c r="V479" t="s">
        <v>57</v>
      </c>
      <c r="W479" t="s">
        <v>10</v>
      </c>
    </row>
    <row r="480" spans="1:23" x14ac:dyDescent="0.3">
      <c r="A480" t="s">
        <v>571</v>
      </c>
      <c r="B480" s="7">
        <v>45936</v>
      </c>
      <c r="C480" t="s">
        <v>74</v>
      </c>
      <c r="D480" t="s">
        <v>1099</v>
      </c>
      <c r="E480" s="3">
        <v>7</v>
      </c>
      <c r="F480" s="3">
        <v>0</v>
      </c>
      <c r="G480" t="s">
        <v>13</v>
      </c>
      <c r="H480" t="s">
        <v>1109</v>
      </c>
      <c r="I480" t="s">
        <v>40</v>
      </c>
      <c r="J480" t="s">
        <v>51</v>
      </c>
      <c r="K480" t="s">
        <v>10</v>
      </c>
      <c r="L480" t="s">
        <v>10</v>
      </c>
      <c r="M480" t="s">
        <v>10</v>
      </c>
      <c r="N480" t="s">
        <v>57</v>
      </c>
      <c r="O480" t="str">
        <f>INDEX(CoverageTable[Deductible Applies],MATCH(Table18[[#This Row],[Coverage]],CoverageTable[Coverage],0))</f>
        <v>No</v>
      </c>
      <c r="P480" t="str">
        <f>INDEX(CoverageTable[Coverage Limit Applies],MATCH(Table18[[#This Row],[Coverage]],CoverageTable[Coverage],0))</f>
        <v>Yes</v>
      </c>
      <c r="Q480" t="s">
        <v>10</v>
      </c>
      <c r="R480" t="s">
        <v>80</v>
      </c>
      <c r="S480" t="s">
        <v>10</v>
      </c>
      <c r="T480" t="s">
        <v>10</v>
      </c>
      <c r="U480" t="s">
        <v>10</v>
      </c>
      <c r="V480" t="s">
        <v>10</v>
      </c>
      <c r="W480" t="s">
        <v>10</v>
      </c>
    </row>
    <row r="481" spans="1:23" x14ac:dyDescent="0.3">
      <c r="A481" t="s">
        <v>572</v>
      </c>
      <c r="B481" s="7">
        <v>46049</v>
      </c>
      <c r="C481" t="s">
        <v>73</v>
      </c>
      <c r="D481" t="s">
        <v>1099</v>
      </c>
      <c r="E481" s="3">
        <v>5</v>
      </c>
      <c r="F481" s="3">
        <v>1</v>
      </c>
      <c r="G481" t="s">
        <v>13</v>
      </c>
      <c r="H481" t="s">
        <v>1110</v>
      </c>
      <c r="I481" t="s">
        <v>39</v>
      </c>
      <c r="J481" t="s">
        <v>48</v>
      </c>
      <c r="K481" t="s">
        <v>10</v>
      </c>
      <c r="L481" t="s">
        <v>10</v>
      </c>
      <c r="M481" t="s">
        <v>10</v>
      </c>
      <c r="N481" t="s">
        <v>10</v>
      </c>
      <c r="O481" t="str">
        <f>INDEX(CoverageTable[Deductible Applies],MATCH(Table18[[#This Row],[Coverage]],CoverageTable[Coverage],0))</f>
        <v>No</v>
      </c>
      <c r="P481" t="str">
        <f>INDEX(CoverageTable[Coverage Limit Applies],MATCH(Table18[[#This Row],[Coverage]],CoverageTable[Coverage],0))</f>
        <v>Yes</v>
      </c>
      <c r="Q481" t="s">
        <v>10</v>
      </c>
      <c r="R481" t="s">
        <v>78</v>
      </c>
      <c r="S481" t="s">
        <v>10</v>
      </c>
      <c r="T481" t="s">
        <v>10</v>
      </c>
      <c r="U481" t="s">
        <v>57</v>
      </c>
      <c r="V481" t="s">
        <v>57</v>
      </c>
      <c r="W481" t="s">
        <v>10</v>
      </c>
    </row>
    <row r="482" spans="1:23" x14ac:dyDescent="0.3">
      <c r="A482" t="s">
        <v>573</v>
      </c>
      <c r="B482" s="7">
        <v>45867</v>
      </c>
      <c r="C482" t="s">
        <v>70</v>
      </c>
      <c r="D482" t="s">
        <v>1101</v>
      </c>
      <c r="E482" s="3">
        <v>4</v>
      </c>
      <c r="F482" s="3">
        <v>1</v>
      </c>
      <c r="G482" t="s">
        <v>11</v>
      </c>
      <c r="H482" t="s">
        <v>1108</v>
      </c>
      <c r="I482" t="s">
        <v>24</v>
      </c>
      <c r="J482" t="s">
        <v>52</v>
      </c>
      <c r="K482" t="s">
        <v>10</v>
      </c>
      <c r="L482" t="s">
        <v>10</v>
      </c>
      <c r="M482" t="s">
        <v>10</v>
      </c>
      <c r="N482" t="s">
        <v>57</v>
      </c>
      <c r="O482" t="str">
        <f>INDEX(CoverageTable[Deductible Applies],MATCH(Table18[[#This Row],[Coverage]],CoverageTable[Coverage],0))</f>
        <v>No</v>
      </c>
      <c r="P482" t="str">
        <f>INDEX(CoverageTable[Coverage Limit Applies],MATCH(Table18[[#This Row],[Coverage]],CoverageTable[Coverage],0))</f>
        <v>Yes</v>
      </c>
      <c r="Q482" t="s">
        <v>10</v>
      </c>
      <c r="R482" t="s">
        <v>78</v>
      </c>
      <c r="S482" t="s">
        <v>57</v>
      </c>
      <c r="T482" t="s">
        <v>10</v>
      </c>
      <c r="U482" t="s">
        <v>10</v>
      </c>
      <c r="V482" t="s">
        <v>10</v>
      </c>
      <c r="W482" t="s">
        <v>10</v>
      </c>
    </row>
    <row r="483" spans="1:23" x14ac:dyDescent="0.3">
      <c r="A483" t="s">
        <v>574</v>
      </c>
      <c r="B483" s="7">
        <v>46047</v>
      </c>
      <c r="C483" t="s">
        <v>70</v>
      </c>
      <c r="D483" t="s">
        <v>1102</v>
      </c>
      <c r="E483" s="3">
        <v>6</v>
      </c>
      <c r="F483" s="3" t="s">
        <v>7</v>
      </c>
      <c r="G483" t="s">
        <v>13</v>
      </c>
      <c r="H483" t="s">
        <v>1106</v>
      </c>
      <c r="I483" t="s">
        <v>34</v>
      </c>
      <c r="J483" t="s">
        <v>48</v>
      </c>
      <c r="K483" t="s">
        <v>10</v>
      </c>
      <c r="L483" t="s">
        <v>10</v>
      </c>
      <c r="M483" t="s">
        <v>10</v>
      </c>
      <c r="N483" t="s">
        <v>10</v>
      </c>
      <c r="O483" t="str">
        <f>INDEX(CoverageTable[Deductible Applies],MATCH(Table18[[#This Row],[Coverage]],CoverageTable[Coverage],0))</f>
        <v>No</v>
      </c>
      <c r="P483" t="str">
        <f>INDEX(CoverageTable[Coverage Limit Applies],MATCH(Table18[[#This Row],[Coverage]],CoverageTable[Coverage],0))</f>
        <v>Yes</v>
      </c>
      <c r="Q483" t="s">
        <v>10</v>
      </c>
      <c r="R483" t="s">
        <v>78</v>
      </c>
      <c r="S483" t="s">
        <v>10</v>
      </c>
      <c r="T483" t="s">
        <v>10</v>
      </c>
      <c r="U483" t="s">
        <v>10</v>
      </c>
      <c r="V483" t="s">
        <v>10</v>
      </c>
      <c r="W483" t="s">
        <v>10</v>
      </c>
    </row>
    <row r="484" spans="1:23" x14ac:dyDescent="0.3">
      <c r="A484" t="s">
        <v>575</v>
      </c>
      <c r="B484" s="7">
        <v>46004</v>
      </c>
      <c r="C484" t="s">
        <v>70</v>
      </c>
      <c r="D484" t="s">
        <v>1099</v>
      </c>
      <c r="E484" s="3" t="s">
        <v>1103</v>
      </c>
      <c r="F484" s="3">
        <v>4</v>
      </c>
      <c r="G484" t="s">
        <v>13</v>
      </c>
      <c r="H484" t="s">
        <v>1106</v>
      </c>
      <c r="I484" t="s">
        <v>28</v>
      </c>
      <c r="J484" t="s">
        <v>53</v>
      </c>
      <c r="K484" t="s">
        <v>10</v>
      </c>
      <c r="L484" t="s">
        <v>10</v>
      </c>
      <c r="M484" t="s">
        <v>57</v>
      </c>
      <c r="N484" t="s">
        <v>57</v>
      </c>
      <c r="O484" t="str">
        <f>INDEX(CoverageTable[Deductible Applies],MATCH(Table18[[#This Row],[Coverage]],CoverageTable[Coverage],0))</f>
        <v>No</v>
      </c>
      <c r="P484" t="str">
        <f>INDEX(CoverageTable[Coverage Limit Applies],MATCH(Table18[[#This Row],[Coverage]],CoverageTable[Coverage],0))</f>
        <v>Yes</v>
      </c>
      <c r="Q484" t="s">
        <v>10</v>
      </c>
      <c r="R484" t="s">
        <v>79</v>
      </c>
      <c r="S484" t="s">
        <v>10</v>
      </c>
      <c r="T484" t="s">
        <v>57</v>
      </c>
      <c r="U484" t="s">
        <v>10</v>
      </c>
      <c r="V484" t="s">
        <v>10</v>
      </c>
      <c r="W484" t="s">
        <v>57</v>
      </c>
    </row>
    <row r="485" spans="1:23" x14ac:dyDescent="0.3">
      <c r="A485" t="s">
        <v>576</v>
      </c>
      <c r="B485" s="7">
        <v>45946</v>
      </c>
      <c r="C485" t="s">
        <v>70</v>
      </c>
      <c r="D485" t="s">
        <v>1101</v>
      </c>
      <c r="E485" s="3">
        <v>7</v>
      </c>
      <c r="F485" s="3">
        <v>4</v>
      </c>
      <c r="G485" t="s">
        <v>10</v>
      </c>
      <c r="H485" t="s">
        <v>1108</v>
      </c>
      <c r="I485" t="s">
        <v>42</v>
      </c>
      <c r="J485" t="s">
        <v>54</v>
      </c>
      <c r="K485" t="s">
        <v>10</v>
      </c>
      <c r="L485" t="s">
        <v>10</v>
      </c>
      <c r="M485" t="s">
        <v>10</v>
      </c>
      <c r="N485" t="s">
        <v>10</v>
      </c>
      <c r="O485" t="str">
        <f>INDEX(CoverageTable[Deductible Applies],MATCH(Table18[[#This Row],[Coverage]],CoverageTable[Coverage],0))</f>
        <v>No</v>
      </c>
      <c r="P485" t="str">
        <f>INDEX(CoverageTable[Coverage Limit Applies],MATCH(Table18[[#This Row],[Coverage]],CoverageTable[Coverage],0))</f>
        <v>Yes</v>
      </c>
      <c r="Q485" t="s">
        <v>10</v>
      </c>
      <c r="R485" t="s">
        <v>80</v>
      </c>
      <c r="S485" t="s">
        <v>10</v>
      </c>
      <c r="T485" t="s">
        <v>10</v>
      </c>
      <c r="U485" t="s">
        <v>10</v>
      </c>
      <c r="V485" t="s">
        <v>57</v>
      </c>
      <c r="W485" t="s">
        <v>10</v>
      </c>
    </row>
    <row r="486" spans="1:23" x14ac:dyDescent="0.3">
      <c r="A486" t="s">
        <v>577</v>
      </c>
      <c r="B486" s="7">
        <v>46015</v>
      </c>
      <c r="C486" t="s">
        <v>70</v>
      </c>
      <c r="D486" t="s">
        <v>1099</v>
      </c>
      <c r="E486" s="3">
        <v>4</v>
      </c>
      <c r="F486" s="3">
        <v>4</v>
      </c>
      <c r="G486" t="s">
        <v>12</v>
      </c>
      <c r="H486" t="s">
        <v>1106</v>
      </c>
      <c r="I486" t="s">
        <v>39</v>
      </c>
      <c r="J486" t="s">
        <v>53</v>
      </c>
      <c r="K486" t="s">
        <v>10</v>
      </c>
      <c r="L486" t="s">
        <v>10</v>
      </c>
      <c r="M486" t="s">
        <v>10</v>
      </c>
      <c r="N486" t="s">
        <v>10</v>
      </c>
      <c r="O486" t="str">
        <f>INDEX(CoverageTable[Deductible Applies],MATCH(Table18[[#This Row],[Coverage]],CoverageTable[Coverage],0))</f>
        <v>No</v>
      </c>
      <c r="P486" t="str">
        <f>INDEX(CoverageTable[Coverage Limit Applies],MATCH(Table18[[#This Row],[Coverage]],CoverageTable[Coverage],0))</f>
        <v>Yes</v>
      </c>
      <c r="Q486" t="s">
        <v>10</v>
      </c>
      <c r="R486" t="s">
        <v>80</v>
      </c>
      <c r="S486" t="s">
        <v>10</v>
      </c>
      <c r="T486" t="s">
        <v>10</v>
      </c>
      <c r="U486" t="s">
        <v>10</v>
      </c>
      <c r="V486" t="s">
        <v>10</v>
      </c>
      <c r="W486" t="s">
        <v>10</v>
      </c>
    </row>
    <row r="487" spans="1:23" x14ac:dyDescent="0.3">
      <c r="A487" t="s">
        <v>578</v>
      </c>
      <c r="B487" s="7">
        <v>45891</v>
      </c>
      <c r="C487" t="s">
        <v>70</v>
      </c>
      <c r="D487" t="s">
        <v>1098</v>
      </c>
      <c r="E487" s="3">
        <v>4</v>
      </c>
      <c r="F487" s="3">
        <v>1</v>
      </c>
      <c r="G487" t="s">
        <v>11</v>
      </c>
      <c r="H487" t="s">
        <v>1109</v>
      </c>
      <c r="I487" t="s">
        <v>41</v>
      </c>
      <c r="J487" t="s">
        <v>48</v>
      </c>
      <c r="K487" t="s">
        <v>10</v>
      </c>
      <c r="L487" t="s">
        <v>57</v>
      </c>
      <c r="M487" t="s">
        <v>57</v>
      </c>
      <c r="N487" t="s">
        <v>10</v>
      </c>
      <c r="O487" t="str">
        <f>INDEX(CoverageTable[Deductible Applies],MATCH(Table18[[#This Row],[Coverage]],CoverageTable[Coverage],0))</f>
        <v>No</v>
      </c>
      <c r="P487" t="str">
        <f>INDEX(CoverageTable[Coverage Limit Applies],MATCH(Table18[[#This Row],[Coverage]],CoverageTable[Coverage],0))</f>
        <v>Yes</v>
      </c>
      <c r="Q487" t="s">
        <v>10</v>
      </c>
      <c r="R487" t="s">
        <v>79</v>
      </c>
      <c r="S487" t="s">
        <v>10</v>
      </c>
      <c r="T487" t="s">
        <v>57</v>
      </c>
      <c r="U487" t="s">
        <v>57</v>
      </c>
      <c r="V487" t="s">
        <v>10</v>
      </c>
      <c r="W487" t="s">
        <v>10</v>
      </c>
    </row>
    <row r="488" spans="1:23" x14ac:dyDescent="0.3">
      <c r="A488" t="s">
        <v>579</v>
      </c>
      <c r="B488" s="7">
        <v>45893</v>
      </c>
      <c r="C488" t="s">
        <v>70</v>
      </c>
      <c r="D488" t="s">
        <v>1100</v>
      </c>
      <c r="E488" s="3">
        <v>6</v>
      </c>
      <c r="F488" s="3">
        <v>3</v>
      </c>
      <c r="G488" t="s">
        <v>10</v>
      </c>
      <c r="H488" t="s">
        <v>1110</v>
      </c>
      <c r="I488" t="s">
        <v>21</v>
      </c>
      <c r="J488" t="s">
        <v>48</v>
      </c>
      <c r="K488" t="s">
        <v>10</v>
      </c>
      <c r="L488" t="s">
        <v>10</v>
      </c>
      <c r="M488" t="s">
        <v>10</v>
      </c>
      <c r="N488" t="s">
        <v>10</v>
      </c>
      <c r="O488" t="str">
        <f>INDEX(CoverageTable[Deductible Applies],MATCH(Table18[[#This Row],[Coverage]],CoverageTable[Coverage],0))</f>
        <v>No</v>
      </c>
      <c r="P488" t="str">
        <f>INDEX(CoverageTable[Coverage Limit Applies],MATCH(Table18[[#This Row],[Coverage]],CoverageTable[Coverage],0))</f>
        <v>Yes</v>
      </c>
      <c r="Q488" t="s">
        <v>10</v>
      </c>
      <c r="R488" t="s">
        <v>78</v>
      </c>
      <c r="S488" t="s">
        <v>10</v>
      </c>
      <c r="T488" t="s">
        <v>57</v>
      </c>
      <c r="U488" t="s">
        <v>10</v>
      </c>
      <c r="V488" t="s">
        <v>10</v>
      </c>
      <c r="W488" t="s">
        <v>57</v>
      </c>
    </row>
    <row r="489" spans="1:23" x14ac:dyDescent="0.3">
      <c r="A489" t="s">
        <v>580</v>
      </c>
      <c r="B489" s="7">
        <v>45906</v>
      </c>
      <c r="C489" t="s">
        <v>71</v>
      </c>
      <c r="D489" t="s">
        <v>1102</v>
      </c>
      <c r="E489" s="3" t="s">
        <v>1103</v>
      </c>
      <c r="F489" s="3">
        <v>0</v>
      </c>
      <c r="G489" t="s">
        <v>11</v>
      </c>
      <c r="H489" t="s">
        <v>1107</v>
      </c>
      <c r="I489" t="s">
        <v>31</v>
      </c>
      <c r="J489" t="s">
        <v>53</v>
      </c>
      <c r="K489" t="s">
        <v>57</v>
      </c>
      <c r="L489" t="s">
        <v>10</v>
      </c>
      <c r="M489" t="s">
        <v>57</v>
      </c>
      <c r="N489" t="s">
        <v>57</v>
      </c>
      <c r="O489" t="str">
        <f>INDEX(CoverageTable[Deductible Applies],MATCH(Table18[[#This Row],[Coverage]],CoverageTable[Coverage],0))</f>
        <v>Yes</v>
      </c>
      <c r="P489" t="str">
        <f>INDEX(CoverageTable[Coverage Limit Applies],MATCH(Table18[[#This Row],[Coverage]],CoverageTable[Coverage],0))</f>
        <v>No</v>
      </c>
      <c r="Q489" t="s">
        <v>79</v>
      </c>
      <c r="R489" t="s">
        <v>10</v>
      </c>
      <c r="S489" t="s">
        <v>57</v>
      </c>
      <c r="T489" t="s">
        <v>10</v>
      </c>
      <c r="U489" t="s">
        <v>57</v>
      </c>
      <c r="V489" t="s">
        <v>10</v>
      </c>
      <c r="W489" t="s">
        <v>10</v>
      </c>
    </row>
    <row r="490" spans="1:23" x14ac:dyDescent="0.3">
      <c r="A490" t="s">
        <v>581</v>
      </c>
      <c r="B490" s="7">
        <v>45793</v>
      </c>
      <c r="C490" t="s">
        <v>70</v>
      </c>
      <c r="D490" t="s">
        <v>1099</v>
      </c>
      <c r="E490" s="3" t="s">
        <v>1103</v>
      </c>
      <c r="F490" s="3" t="s">
        <v>7</v>
      </c>
      <c r="G490" t="s">
        <v>10</v>
      </c>
      <c r="H490" t="s">
        <v>1106</v>
      </c>
      <c r="I490" t="s">
        <v>32</v>
      </c>
      <c r="J490" t="s">
        <v>51</v>
      </c>
      <c r="K490" t="s">
        <v>57</v>
      </c>
      <c r="L490" t="s">
        <v>10</v>
      </c>
      <c r="M490" t="s">
        <v>57</v>
      </c>
      <c r="N490" t="s">
        <v>10</v>
      </c>
      <c r="O490" t="str">
        <f>INDEX(CoverageTable[Deductible Applies],MATCH(Table18[[#This Row],[Coverage]],CoverageTable[Coverage],0))</f>
        <v>No</v>
      </c>
      <c r="P490" t="str">
        <f>INDEX(CoverageTable[Coverage Limit Applies],MATCH(Table18[[#This Row],[Coverage]],CoverageTable[Coverage],0))</f>
        <v>Yes</v>
      </c>
      <c r="Q490" t="s">
        <v>10</v>
      </c>
      <c r="R490" t="s">
        <v>79</v>
      </c>
      <c r="S490" t="s">
        <v>10</v>
      </c>
      <c r="T490" t="s">
        <v>10</v>
      </c>
      <c r="U490" t="s">
        <v>10</v>
      </c>
      <c r="V490" t="s">
        <v>10</v>
      </c>
      <c r="W490" t="s">
        <v>10</v>
      </c>
    </row>
    <row r="491" spans="1:23" x14ac:dyDescent="0.3">
      <c r="A491" t="s">
        <v>582</v>
      </c>
      <c r="B491" s="7">
        <v>46051</v>
      </c>
      <c r="C491" t="s">
        <v>71</v>
      </c>
      <c r="D491" t="s">
        <v>1102</v>
      </c>
      <c r="E491" s="3">
        <v>5</v>
      </c>
      <c r="F491" s="3">
        <v>1</v>
      </c>
      <c r="G491" t="s">
        <v>13</v>
      </c>
      <c r="H491" t="s">
        <v>1106</v>
      </c>
      <c r="I491" t="s">
        <v>23</v>
      </c>
      <c r="J491" t="s">
        <v>52</v>
      </c>
      <c r="K491" t="s">
        <v>10</v>
      </c>
      <c r="L491" t="s">
        <v>10</v>
      </c>
      <c r="M491" t="s">
        <v>10</v>
      </c>
      <c r="N491" t="s">
        <v>57</v>
      </c>
      <c r="O491" t="str">
        <f>INDEX(CoverageTable[Deductible Applies],MATCH(Table18[[#This Row],[Coverage]],CoverageTable[Coverage],0))</f>
        <v>Yes</v>
      </c>
      <c r="P491" t="str">
        <f>INDEX(CoverageTable[Coverage Limit Applies],MATCH(Table18[[#This Row],[Coverage]],CoverageTable[Coverage],0))</f>
        <v>No</v>
      </c>
      <c r="Q491" t="s">
        <v>79</v>
      </c>
      <c r="R491" t="s">
        <v>10</v>
      </c>
      <c r="S491" t="s">
        <v>10</v>
      </c>
      <c r="T491" t="s">
        <v>10</v>
      </c>
      <c r="U491" t="s">
        <v>10</v>
      </c>
      <c r="V491" t="s">
        <v>10</v>
      </c>
      <c r="W491" t="s">
        <v>10</v>
      </c>
    </row>
    <row r="492" spans="1:23" x14ac:dyDescent="0.3">
      <c r="A492" t="s">
        <v>583</v>
      </c>
      <c r="B492" s="7">
        <v>45994</v>
      </c>
      <c r="C492" t="s">
        <v>71</v>
      </c>
      <c r="D492" t="s">
        <v>1101</v>
      </c>
      <c r="E492" s="3">
        <v>1</v>
      </c>
      <c r="F492" s="3">
        <v>0</v>
      </c>
      <c r="G492" t="s">
        <v>10</v>
      </c>
      <c r="H492" t="s">
        <v>1109</v>
      </c>
      <c r="I492" t="s">
        <v>34</v>
      </c>
      <c r="J492" t="s">
        <v>50</v>
      </c>
      <c r="K492" t="s">
        <v>10</v>
      </c>
      <c r="L492" t="s">
        <v>10</v>
      </c>
      <c r="M492" t="s">
        <v>10</v>
      </c>
      <c r="N492" t="s">
        <v>57</v>
      </c>
      <c r="O492" t="str">
        <f>INDEX(CoverageTable[Deductible Applies],MATCH(Table18[[#This Row],[Coverage]],CoverageTable[Coverage],0))</f>
        <v>Yes</v>
      </c>
      <c r="P492" t="str">
        <f>INDEX(CoverageTable[Coverage Limit Applies],MATCH(Table18[[#This Row],[Coverage]],CoverageTable[Coverage],0))</f>
        <v>No</v>
      </c>
      <c r="Q492" t="s">
        <v>78</v>
      </c>
      <c r="R492" t="s">
        <v>10</v>
      </c>
      <c r="S492" t="s">
        <v>10</v>
      </c>
      <c r="T492" t="s">
        <v>10</v>
      </c>
      <c r="U492" t="s">
        <v>10</v>
      </c>
      <c r="V492" t="s">
        <v>57</v>
      </c>
      <c r="W492" t="s">
        <v>10</v>
      </c>
    </row>
    <row r="493" spans="1:23" x14ac:dyDescent="0.3">
      <c r="A493" t="s">
        <v>584</v>
      </c>
      <c r="B493" s="7">
        <v>46009</v>
      </c>
      <c r="C493" t="s">
        <v>71</v>
      </c>
      <c r="D493" t="s">
        <v>1101</v>
      </c>
      <c r="E493" s="3">
        <v>2</v>
      </c>
      <c r="F493" s="3">
        <v>4</v>
      </c>
      <c r="G493" t="s">
        <v>11</v>
      </c>
      <c r="H493" t="s">
        <v>1109</v>
      </c>
      <c r="I493" t="s">
        <v>26</v>
      </c>
      <c r="J493" t="s">
        <v>54</v>
      </c>
      <c r="K493" t="s">
        <v>10</v>
      </c>
      <c r="L493" t="s">
        <v>10</v>
      </c>
      <c r="M493" t="s">
        <v>10</v>
      </c>
      <c r="N493" t="s">
        <v>10</v>
      </c>
      <c r="O493" t="str">
        <f>INDEX(CoverageTable[Deductible Applies],MATCH(Table18[[#This Row],[Coverage]],CoverageTable[Coverage],0))</f>
        <v>Yes</v>
      </c>
      <c r="P493" t="str">
        <f>INDEX(CoverageTable[Coverage Limit Applies],MATCH(Table18[[#This Row],[Coverage]],CoverageTable[Coverage],0))</f>
        <v>No</v>
      </c>
      <c r="Q493" t="s">
        <v>80</v>
      </c>
      <c r="R493" t="s">
        <v>10</v>
      </c>
      <c r="S493" t="s">
        <v>10</v>
      </c>
      <c r="T493" t="s">
        <v>10</v>
      </c>
      <c r="U493" t="s">
        <v>57</v>
      </c>
      <c r="V493" t="s">
        <v>10</v>
      </c>
      <c r="W493" t="s">
        <v>10</v>
      </c>
    </row>
    <row r="494" spans="1:23" x14ac:dyDescent="0.3">
      <c r="A494" t="s">
        <v>585</v>
      </c>
      <c r="B494" s="7">
        <v>45786</v>
      </c>
      <c r="C494" t="s">
        <v>70</v>
      </c>
      <c r="D494" t="s">
        <v>1098</v>
      </c>
      <c r="E494" s="3">
        <v>3</v>
      </c>
      <c r="F494" s="3">
        <v>2</v>
      </c>
      <c r="G494" t="s">
        <v>10</v>
      </c>
      <c r="H494" t="s">
        <v>1110</v>
      </c>
      <c r="I494" t="s">
        <v>33</v>
      </c>
      <c r="J494" t="s">
        <v>54</v>
      </c>
      <c r="K494" t="s">
        <v>10</v>
      </c>
      <c r="L494" t="s">
        <v>10</v>
      </c>
      <c r="M494" t="s">
        <v>10</v>
      </c>
      <c r="N494" t="s">
        <v>10</v>
      </c>
      <c r="O494" t="str">
        <f>INDEX(CoverageTable[Deductible Applies],MATCH(Table18[[#This Row],[Coverage]],CoverageTable[Coverage],0))</f>
        <v>No</v>
      </c>
      <c r="P494" t="str">
        <f>INDEX(CoverageTable[Coverage Limit Applies],MATCH(Table18[[#This Row],[Coverage]],CoverageTable[Coverage],0))</f>
        <v>Yes</v>
      </c>
      <c r="Q494" t="s">
        <v>10</v>
      </c>
      <c r="R494" t="s">
        <v>79</v>
      </c>
      <c r="S494" t="s">
        <v>10</v>
      </c>
      <c r="T494" t="s">
        <v>57</v>
      </c>
      <c r="U494" t="s">
        <v>10</v>
      </c>
      <c r="V494" t="s">
        <v>10</v>
      </c>
      <c r="W494" t="s">
        <v>10</v>
      </c>
    </row>
    <row r="495" spans="1:23" x14ac:dyDescent="0.3">
      <c r="A495" t="s">
        <v>586</v>
      </c>
      <c r="B495" s="7">
        <v>45875</v>
      </c>
      <c r="C495" t="s">
        <v>73</v>
      </c>
      <c r="D495" t="s">
        <v>1098</v>
      </c>
      <c r="E495" s="3">
        <v>7</v>
      </c>
      <c r="F495" s="3" t="s">
        <v>7</v>
      </c>
      <c r="G495" t="s">
        <v>10</v>
      </c>
      <c r="H495" t="s">
        <v>1108</v>
      </c>
      <c r="I495" t="s">
        <v>40</v>
      </c>
      <c r="J495" t="s">
        <v>49</v>
      </c>
      <c r="K495" t="s">
        <v>10</v>
      </c>
      <c r="L495" t="s">
        <v>57</v>
      </c>
      <c r="M495" t="s">
        <v>10</v>
      </c>
      <c r="N495" t="s">
        <v>10</v>
      </c>
      <c r="O495" t="str">
        <f>INDEX(CoverageTable[Deductible Applies],MATCH(Table18[[#This Row],[Coverage]],CoverageTable[Coverage],0))</f>
        <v>No</v>
      </c>
      <c r="P495" t="str">
        <f>INDEX(CoverageTable[Coverage Limit Applies],MATCH(Table18[[#This Row],[Coverage]],CoverageTable[Coverage],0))</f>
        <v>Yes</v>
      </c>
      <c r="Q495" t="s">
        <v>10</v>
      </c>
      <c r="R495" t="s">
        <v>79</v>
      </c>
      <c r="S495" t="s">
        <v>10</v>
      </c>
      <c r="T495" t="s">
        <v>10</v>
      </c>
      <c r="U495" t="s">
        <v>10</v>
      </c>
      <c r="V495" t="s">
        <v>10</v>
      </c>
      <c r="W495" t="s">
        <v>10</v>
      </c>
    </row>
    <row r="496" spans="1:23" x14ac:dyDescent="0.3">
      <c r="A496" t="s">
        <v>587</v>
      </c>
      <c r="B496" s="7">
        <v>45980</v>
      </c>
      <c r="C496" t="s">
        <v>72</v>
      </c>
      <c r="D496" t="s">
        <v>1097</v>
      </c>
      <c r="E496" s="3">
        <v>3</v>
      </c>
      <c r="F496" s="3">
        <v>0</v>
      </c>
      <c r="G496" t="s">
        <v>11</v>
      </c>
      <c r="H496" t="s">
        <v>1108</v>
      </c>
      <c r="I496" t="s">
        <v>33</v>
      </c>
      <c r="J496" t="s">
        <v>48</v>
      </c>
      <c r="K496" t="s">
        <v>10</v>
      </c>
      <c r="L496" t="s">
        <v>10</v>
      </c>
      <c r="M496" t="s">
        <v>10</v>
      </c>
      <c r="N496" t="s">
        <v>10</v>
      </c>
      <c r="O496" t="str">
        <f>INDEX(CoverageTable[Deductible Applies],MATCH(Table18[[#This Row],[Coverage]],CoverageTable[Coverage],0))</f>
        <v>Yes</v>
      </c>
      <c r="P496" t="str">
        <f>INDEX(CoverageTable[Coverage Limit Applies],MATCH(Table18[[#This Row],[Coverage]],CoverageTable[Coverage],0))</f>
        <v>No</v>
      </c>
      <c r="Q496" t="s">
        <v>80</v>
      </c>
      <c r="R496" t="s">
        <v>10</v>
      </c>
      <c r="S496" t="s">
        <v>10</v>
      </c>
      <c r="T496" t="s">
        <v>57</v>
      </c>
      <c r="U496" t="s">
        <v>10</v>
      </c>
      <c r="V496" t="s">
        <v>57</v>
      </c>
      <c r="W496" t="s">
        <v>10</v>
      </c>
    </row>
    <row r="497" spans="1:23" x14ac:dyDescent="0.3">
      <c r="A497" t="s">
        <v>588</v>
      </c>
      <c r="B497" s="7">
        <v>46056</v>
      </c>
      <c r="C497" t="s">
        <v>70</v>
      </c>
      <c r="D497" t="s">
        <v>1098</v>
      </c>
      <c r="E497" s="3">
        <v>2</v>
      </c>
      <c r="F497" s="3">
        <v>4</v>
      </c>
      <c r="G497" t="s">
        <v>10</v>
      </c>
      <c r="H497" t="s">
        <v>1107</v>
      </c>
      <c r="I497" t="s">
        <v>31</v>
      </c>
      <c r="J497" t="s">
        <v>50</v>
      </c>
      <c r="K497" t="s">
        <v>10</v>
      </c>
      <c r="L497" t="s">
        <v>10</v>
      </c>
      <c r="M497" t="s">
        <v>10</v>
      </c>
      <c r="N497" t="s">
        <v>10</v>
      </c>
      <c r="O497" t="str">
        <f>INDEX(CoverageTable[Deductible Applies],MATCH(Table18[[#This Row],[Coverage]],CoverageTable[Coverage],0))</f>
        <v>No</v>
      </c>
      <c r="P497" t="str">
        <f>INDEX(CoverageTable[Coverage Limit Applies],MATCH(Table18[[#This Row],[Coverage]],CoverageTable[Coverage],0))</f>
        <v>Yes</v>
      </c>
      <c r="Q497" t="s">
        <v>10</v>
      </c>
      <c r="R497" t="s">
        <v>79</v>
      </c>
      <c r="S497" t="s">
        <v>10</v>
      </c>
      <c r="T497" t="s">
        <v>57</v>
      </c>
      <c r="U497" t="s">
        <v>57</v>
      </c>
      <c r="V497" t="s">
        <v>10</v>
      </c>
      <c r="W497" t="s">
        <v>10</v>
      </c>
    </row>
    <row r="498" spans="1:23" x14ac:dyDescent="0.3">
      <c r="A498" t="s">
        <v>589</v>
      </c>
      <c r="B498" s="7">
        <v>45791</v>
      </c>
      <c r="C498" t="s">
        <v>74</v>
      </c>
      <c r="D498" t="s">
        <v>1101</v>
      </c>
      <c r="E498" s="3">
        <v>3</v>
      </c>
      <c r="F498" s="3">
        <v>0</v>
      </c>
      <c r="G498" t="s">
        <v>10</v>
      </c>
      <c r="H498" t="s">
        <v>1110</v>
      </c>
      <c r="I498" t="s">
        <v>39</v>
      </c>
      <c r="J498" t="s">
        <v>49</v>
      </c>
      <c r="K498" t="s">
        <v>10</v>
      </c>
      <c r="L498" t="s">
        <v>10</v>
      </c>
      <c r="M498" t="s">
        <v>10</v>
      </c>
      <c r="N498" t="s">
        <v>57</v>
      </c>
      <c r="O498" t="str">
        <f>INDEX(CoverageTable[Deductible Applies],MATCH(Table18[[#This Row],[Coverage]],CoverageTable[Coverage],0))</f>
        <v>No</v>
      </c>
      <c r="P498" t="str">
        <f>INDEX(CoverageTable[Coverage Limit Applies],MATCH(Table18[[#This Row],[Coverage]],CoverageTable[Coverage],0))</f>
        <v>Yes</v>
      </c>
      <c r="Q498" t="s">
        <v>10</v>
      </c>
      <c r="R498" t="s">
        <v>79</v>
      </c>
      <c r="S498" t="s">
        <v>10</v>
      </c>
      <c r="T498" t="s">
        <v>10</v>
      </c>
      <c r="U498" t="s">
        <v>10</v>
      </c>
      <c r="V498" t="s">
        <v>10</v>
      </c>
      <c r="W498" t="s">
        <v>10</v>
      </c>
    </row>
    <row r="499" spans="1:23" x14ac:dyDescent="0.3">
      <c r="A499" t="s">
        <v>590</v>
      </c>
      <c r="B499" s="7">
        <v>45859</v>
      </c>
      <c r="C499" t="s">
        <v>71</v>
      </c>
      <c r="D499" t="s">
        <v>1100</v>
      </c>
      <c r="E499" s="3">
        <v>4</v>
      </c>
      <c r="F499" s="3">
        <v>0</v>
      </c>
      <c r="G499" t="s">
        <v>11</v>
      </c>
      <c r="H499" t="s">
        <v>1109</v>
      </c>
      <c r="I499" t="s">
        <v>36</v>
      </c>
      <c r="J499" t="s">
        <v>51</v>
      </c>
      <c r="K499" t="s">
        <v>10</v>
      </c>
      <c r="L499" t="s">
        <v>10</v>
      </c>
      <c r="M499" t="s">
        <v>10</v>
      </c>
      <c r="N499" t="s">
        <v>10</v>
      </c>
      <c r="O499" t="str">
        <f>INDEX(CoverageTable[Deductible Applies],MATCH(Table18[[#This Row],[Coverage]],CoverageTable[Coverage],0))</f>
        <v>Yes</v>
      </c>
      <c r="P499" t="str">
        <f>INDEX(CoverageTable[Coverage Limit Applies],MATCH(Table18[[#This Row],[Coverage]],CoverageTable[Coverage],0))</f>
        <v>No</v>
      </c>
      <c r="Q499" t="s">
        <v>80</v>
      </c>
      <c r="R499" t="s">
        <v>10</v>
      </c>
      <c r="S499" t="s">
        <v>10</v>
      </c>
      <c r="T499" t="s">
        <v>10</v>
      </c>
      <c r="U499" t="s">
        <v>10</v>
      </c>
      <c r="V499" t="s">
        <v>10</v>
      </c>
      <c r="W499" t="s">
        <v>57</v>
      </c>
    </row>
    <row r="500" spans="1:23" x14ac:dyDescent="0.3">
      <c r="A500" t="s">
        <v>591</v>
      </c>
      <c r="B500" s="7">
        <v>45803</v>
      </c>
      <c r="C500" t="s">
        <v>74</v>
      </c>
      <c r="D500" t="s">
        <v>1102</v>
      </c>
      <c r="E500" s="3">
        <v>1</v>
      </c>
      <c r="F500" s="3" t="s">
        <v>7</v>
      </c>
      <c r="G500" t="s">
        <v>11</v>
      </c>
      <c r="H500" t="s">
        <v>1109</v>
      </c>
      <c r="I500" t="s">
        <v>41</v>
      </c>
      <c r="J500" t="s">
        <v>50</v>
      </c>
      <c r="K500" t="s">
        <v>10</v>
      </c>
      <c r="L500" t="s">
        <v>10</v>
      </c>
      <c r="M500" t="s">
        <v>10</v>
      </c>
      <c r="N500" t="s">
        <v>57</v>
      </c>
      <c r="O500" t="str">
        <f>INDEX(CoverageTable[Deductible Applies],MATCH(Table18[[#This Row],[Coverage]],CoverageTable[Coverage],0))</f>
        <v>No</v>
      </c>
      <c r="P500" t="str">
        <f>INDEX(CoverageTable[Coverage Limit Applies],MATCH(Table18[[#This Row],[Coverage]],CoverageTable[Coverage],0))</f>
        <v>Yes</v>
      </c>
      <c r="Q500" t="s">
        <v>10</v>
      </c>
      <c r="R500" t="s">
        <v>80</v>
      </c>
      <c r="S500" t="s">
        <v>57</v>
      </c>
      <c r="T500" t="s">
        <v>10</v>
      </c>
      <c r="U500" t="s">
        <v>10</v>
      </c>
      <c r="V500" t="s">
        <v>10</v>
      </c>
      <c r="W500" t="s">
        <v>10</v>
      </c>
    </row>
    <row r="501" spans="1:23" x14ac:dyDescent="0.3">
      <c r="A501" t="s">
        <v>592</v>
      </c>
      <c r="B501" s="7">
        <v>45857</v>
      </c>
      <c r="C501" t="s">
        <v>72</v>
      </c>
      <c r="D501" t="s">
        <v>1102</v>
      </c>
      <c r="E501" s="3">
        <v>2</v>
      </c>
      <c r="F501" s="3">
        <v>3</v>
      </c>
      <c r="G501" t="s">
        <v>12</v>
      </c>
      <c r="H501" t="s">
        <v>1108</v>
      </c>
      <c r="I501" t="s">
        <v>25</v>
      </c>
      <c r="J501" t="s">
        <v>53</v>
      </c>
      <c r="K501" t="s">
        <v>10</v>
      </c>
      <c r="L501" t="s">
        <v>10</v>
      </c>
      <c r="M501" t="s">
        <v>10</v>
      </c>
      <c r="N501" t="s">
        <v>57</v>
      </c>
      <c r="O501" t="str">
        <f>INDEX(CoverageTable[Deductible Applies],MATCH(Table18[[#This Row],[Coverage]],CoverageTable[Coverage],0))</f>
        <v>Yes</v>
      </c>
      <c r="P501" t="str">
        <f>INDEX(CoverageTable[Coverage Limit Applies],MATCH(Table18[[#This Row],[Coverage]],CoverageTable[Coverage],0))</f>
        <v>No</v>
      </c>
      <c r="Q501" t="s">
        <v>79</v>
      </c>
      <c r="R501" t="s">
        <v>10</v>
      </c>
      <c r="S501" t="s">
        <v>57</v>
      </c>
      <c r="T501" t="s">
        <v>10</v>
      </c>
      <c r="U501" t="s">
        <v>10</v>
      </c>
      <c r="V501" t="s">
        <v>10</v>
      </c>
      <c r="W501" t="s">
        <v>10</v>
      </c>
    </row>
    <row r="502" spans="1:23" x14ac:dyDescent="0.3">
      <c r="A502" t="s">
        <v>593</v>
      </c>
      <c r="B502" s="7">
        <v>46112</v>
      </c>
      <c r="C502" t="s">
        <v>70</v>
      </c>
      <c r="D502" t="s">
        <v>1100</v>
      </c>
      <c r="E502" s="3">
        <v>5</v>
      </c>
      <c r="F502" s="3">
        <v>0</v>
      </c>
      <c r="G502" t="s">
        <v>13</v>
      </c>
      <c r="H502" t="s">
        <v>1109</v>
      </c>
      <c r="I502" t="s">
        <v>43</v>
      </c>
      <c r="J502" t="s">
        <v>54</v>
      </c>
      <c r="K502" t="s">
        <v>10</v>
      </c>
      <c r="L502" t="s">
        <v>10</v>
      </c>
      <c r="M502" t="s">
        <v>10</v>
      </c>
      <c r="N502" t="s">
        <v>10</v>
      </c>
      <c r="O502" t="str">
        <f>INDEX(CoverageTable[Deductible Applies],MATCH(Table18[[#This Row],[Coverage]],CoverageTable[Coverage],0))</f>
        <v>No</v>
      </c>
      <c r="P502" t="str">
        <f>INDEX(CoverageTable[Coverage Limit Applies],MATCH(Table18[[#This Row],[Coverage]],CoverageTable[Coverage],0))</f>
        <v>Yes</v>
      </c>
      <c r="Q502" t="s">
        <v>10</v>
      </c>
      <c r="R502" t="s">
        <v>78</v>
      </c>
      <c r="S502" t="s">
        <v>10</v>
      </c>
      <c r="T502" t="s">
        <v>57</v>
      </c>
      <c r="U502" t="s">
        <v>10</v>
      </c>
      <c r="V502" t="s">
        <v>57</v>
      </c>
      <c r="W502" t="s">
        <v>10</v>
      </c>
    </row>
    <row r="503" spans="1:23" x14ac:dyDescent="0.3">
      <c r="A503" t="s">
        <v>594</v>
      </c>
      <c r="B503" s="7">
        <v>45979</v>
      </c>
      <c r="C503" t="s">
        <v>71</v>
      </c>
      <c r="D503" t="s">
        <v>1099</v>
      </c>
      <c r="E503" s="3">
        <v>2</v>
      </c>
      <c r="F503" s="3">
        <v>2</v>
      </c>
      <c r="G503" t="s">
        <v>10</v>
      </c>
      <c r="H503" t="s">
        <v>1106</v>
      </c>
      <c r="I503" t="s">
        <v>31</v>
      </c>
      <c r="J503" t="s">
        <v>54</v>
      </c>
      <c r="K503" t="s">
        <v>10</v>
      </c>
      <c r="L503" t="s">
        <v>10</v>
      </c>
      <c r="M503" t="s">
        <v>10</v>
      </c>
      <c r="N503" t="s">
        <v>10</v>
      </c>
      <c r="O503" t="str">
        <f>INDEX(CoverageTable[Deductible Applies],MATCH(Table18[[#This Row],[Coverage]],CoverageTable[Coverage],0))</f>
        <v>Yes</v>
      </c>
      <c r="P503" t="str">
        <f>INDEX(CoverageTable[Coverage Limit Applies],MATCH(Table18[[#This Row],[Coverage]],CoverageTable[Coverage],0))</f>
        <v>No</v>
      </c>
      <c r="Q503" t="s">
        <v>79</v>
      </c>
      <c r="R503" t="s">
        <v>10</v>
      </c>
      <c r="S503" t="s">
        <v>10</v>
      </c>
      <c r="T503" t="s">
        <v>57</v>
      </c>
      <c r="U503" t="s">
        <v>10</v>
      </c>
      <c r="V503" t="s">
        <v>10</v>
      </c>
      <c r="W503" t="s">
        <v>10</v>
      </c>
    </row>
    <row r="504" spans="1:23" x14ac:dyDescent="0.3">
      <c r="A504" t="s">
        <v>595</v>
      </c>
      <c r="B504" s="7">
        <v>45928</v>
      </c>
      <c r="C504" t="s">
        <v>70</v>
      </c>
      <c r="D504" t="s">
        <v>1102</v>
      </c>
      <c r="E504" s="3">
        <v>3</v>
      </c>
      <c r="F504" s="3">
        <v>0</v>
      </c>
      <c r="G504" t="s">
        <v>12</v>
      </c>
      <c r="H504" t="s">
        <v>1106</v>
      </c>
      <c r="I504" t="s">
        <v>44</v>
      </c>
      <c r="J504" t="s">
        <v>49</v>
      </c>
      <c r="K504" t="s">
        <v>10</v>
      </c>
      <c r="L504" t="s">
        <v>10</v>
      </c>
      <c r="M504" t="s">
        <v>10</v>
      </c>
      <c r="N504" t="s">
        <v>10</v>
      </c>
      <c r="O504" t="str">
        <f>INDEX(CoverageTable[Deductible Applies],MATCH(Table18[[#This Row],[Coverage]],CoverageTable[Coverage],0))</f>
        <v>No</v>
      </c>
      <c r="P504" t="str">
        <f>INDEX(CoverageTable[Coverage Limit Applies],MATCH(Table18[[#This Row],[Coverage]],CoverageTable[Coverage],0))</f>
        <v>Yes</v>
      </c>
      <c r="Q504" t="s">
        <v>10</v>
      </c>
      <c r="R504" t="s">
        <v>78</v>
      </c>
      <c r="S504" t="s">
        <v>10</v>
      </c>
      <c r="T504" t="s">
        <v>10</v>
      </c>
      <c r="U504" t="s">
        <v>10</v>
      </c>
      <c r="V504" t="s">
        <v>10</v>
      </c>
      <c r="W504" t="s">
        <v>10</v>
      </c>
    </row>
    <row r="505" spans="1:23" x14ac:dyDescent="0.3">
      <c r="A505" t="s">
        <v>596</v>
      </c>
      <c r="B505" s="7">
        <v>45887</v>
      </c>
      <c r="C505" t="s">
        <v>70</v>
      </c>
      <c r="D505" t="s">
        <v>1101</v>
      </c>
      <c r="E505" s="3">
        <v>3</v>
      </c>
      <c r="F505" s="3">
        <v>2</v>
      </c>
      <c r="G505" t="s">
        <v>10</v>
      </c>
      <c r="H505" t="s">
        <v>1108</v>
      </c>
      <c r="I505" t="s">
        <v>31</v>
      </c>
      <c r="J505" t="s">
        <v>50</v>
      </c>
      <c r="K505" t="s">
        <v>10</v>
      </c>
      <c r="L505" t="s">
        <v>57</v>
      </c>
      <c r="M505" t="s">
        <v>10</v>
      </c>
      <c r="N505" t="s">
        <v>10</v>
      </c>
      <c r="O505" t="str">
        <f>INDEX(CoverageTable[Deductible Applies],MATCH(Table18[[#This Row],[Coverage]],CoverageTable[Coverage],0))</f>
        <v>No</v>
      </c>
      <c r="P505" t="str">
        <f>INDEX(CoverageTable[Coverage Limit Applies],MATCH(Table18[[#This Row],[Coverage]],CoverageTable[Coverage],0))</f>
        <v>Yes</v>
      </c>
      <c r="Q505" t="s">
        <v>10</v>
      </c>
      <c r="R505" t="s">
        <v>79</v>
      </c>
      <c r="S505" t="s">
        <v>10</v>
      </c>
      <c r="T505" t="s">
        <v>10</v>
      </c>
      <c r="U505" t="s">
        <v>10</v>
      </c>
      <c r="V505" t="s">
        <v>10</v>
      </c>
      <c r="W505" t="s">
        <v>10</v>
      </c>
    </row>
    <row r="506" spans="1:23" x14ac:dyDescent="0.3">
      <c r="A506" t="s">
        <v>597</v>
      </c>
      <c r="B506" s="7">
        <v>46061</v>
      </c>
      <c r="C506" t="s">
        <v>71</v>
      </c>
      <c r="D506" t="s">
        <v>1100</v>
      </c>
      <c r="E506" s="3">
        <v>2</v>
      </c>
      <c r="F506" s="3">
        <v>1</v>
      </c>
      <c r="G506" t="s">
        <v>12</v>
      </c>
      <c r="H506" t="s">
        <v>1110</v>
      </c>
      <c r="I506" t="s">
        <v>42</v>
      </c>
      <c r="J506" t="s">
        <v>48</v>
      </c>
      <c r="K506" t="s">
        <v>10</v>
      </c>
      <c r="L506" t="s">
        <v>10</v>
      </c>
      <c r="M506" t="s">
        <v>57</v>
      </c>
      <c r="N506" t="s">
        <v>57</v>
      </c>
      <c r="O506" t="str">
        <f>INDEX(CoverageTable[Deductible Applies],MATCH(Table18[[#This Row],[Coverage]],CoverageTable[Coverage],0))</f>
        <v>Yes</v>
      </c>
      <c r="P506" t="str">
        <f>INDEX(CoverageTable[Coverage Limit Applies],MATCH(Table18[[#This Row],[Coverage]],CoverageTable[Coverage],0))</f>
        <v>No</v>
      </c>
      <c r="Q506" t="s">
        <v>78</v>
      </c>
      <c r="R506" t="s">
        <v>10</v>
      </c>
      <c r="S506" t="s">
        <v>10</v>
      </c>
      <c r="T506" t="s">
        <v>57</v>
      </c>
      <c r="U506" t="s">
        <v>10</v>
      </c>
      <c r="V506" t="s">
        <v>10</v>
      </c>
      <c r="W506" t="s">
        <v>10</v>
      </c>
    </row>
    <row r="507" spans="1:23" x14ac:dyDescent="0.3">
      <c r="A507" t="s">
        <v>598</v>
      </c>
      <c r="B507" s="7">
        <v>45897</v>
      </c>
      <c r="C507" t="s">
        <v>73</v>
      </c>
      <c r="D507" t="s">
        <v>1100</v>
      </c>
      <c r="E507" s="3">
        <v>6</v>
      </c>
      <c r="F507" s="3">
        <v>3</v>
      </c>
      <c r="G507" t="s">
        <v>10</v>
      </c>
      <c r="H507" t="s">
        <v>1110</v>
      </c>
      <c r="I507" t="s">
        <v>25</v>
      </c>
      <c r="J507" t="s">
        <v>49</v>
      </c>
      <c r="K507" t="s">
        <v>10</v>
      </c>
      <c r="L507" t="s">
        <v>10</v>
      </c>
      <c r="M507" t="s">
        <v>10</v>
      </c>
      <c r="N507" t="s">
        <v>57</v>
      </c>
      <c r="O507" t="str">
        <f>INDEX(CoverageTable[Deductible Applies],MATCH(Table18[[#This Row],[Coverage]],CoverageTable[Coverage],0))</f>
        <v>No</v>
      </c>
      <c r="P507" t="str">
        <f>INDEX(CoverageTable[Coverage Limit Applies],MATCH(Table18[[#This Row],[Coverage]],CoverageTable[Coverage],0))</f>
        <v>Yes</v>
      </c>
      <c r="Q507" t="s">
        <v>10</v>
      </c>
      <c r="R507" t="s">
        <v>78</v>
      </c>
      <c r="S507" t="s">
        <v>10</v>
      </c>
      <c r="T507" t="s">
        <v>10</v>
      </c>
      <c r="U507" t="s">
        <v>10</v>
      </c>
      <c r="V507" t="s">
        <v>10</v>
      </c>
      <c r="W507" t="s">
        <v>10</v>
      </c>
    </row>
    <row r="508" spans="1:23" x14ac:dyDescent="0.3">
      <c r="A508" t="s">
        <v>599</v>
      </c>
      <c r="B508" s="7">
        <v>46130</v>
      </c>
      <c r="C508" t="s">
        <v>71</v>
      </c>
      <c r="D508" t="s">
        <v>1099</v>
      </c>
      <c r="E508" s="3">
        <v>6</v>
      </c>
      <c r="F508" s="3">
        <v>2</v>
      </c>
      <c r="G508" t="s">
        <v>12</v>
      </c>
      <c r="H508" t="s">
        <v>1110</v>
      </c>
      <c r="I508" t="s">
        <v>42</v>
      </c>
      <c r="J508" t="s">
        <v>53</v>
      </c>
      <c r="K508" t="s">
        <v>10</v>
      </c>
      <c r="L508" t="s">
        <v>10</v>
      </c>
      <c r="M508" t="s">
        <v>57</v>
      </c>
      <c r="N508" t="s">
        <v>10</v>
      </c>
      <c r="O508" t="str">
        <f>INDEX(CoverageTable[Deductible Applies],MATCH(Table18[[#This Row],[Coverage]],CoverageTable[Coverage],0))</f>
        <v>Yes</v>
      </c>
      <c r="P508" t="str">
        <f>INDEX(CoverageTable[Coverage Limit Applies],MATCH(Table18[[#This Row],[Coverage]],CoverageTable[Coverage],0))</f>
        <v>No</v>
      </c>
      <c r="Q508" t="s">
        <v>78</v>
      </c>
      <c r="R508" t="s">
        <v>10</v>
      </c>
      <c r="S508" t="s">
        <v>10</v>
      </c>
      <c r="T508" t="s">
        <v>10</v>
      </c>
      <c r="U508" t="s">
        <v>10</v>
      </c>
      <c r="V508" t="s">
        <v>57</v>
      </c>
      <c r="W508" t="s">
        <v>10</v>
      </c>
    </row>
    <row r="509" spans="1:23" x14ac:dyDescent="0.3">
      <c r="A509" t="s">
        <v>600</v>
      </c>
      <c r="B509" s="7">
        <v>45973</v>
      </c>
      <c r="C509" t="s">
        <v>70</v>
      </c>
      <c r="D509" t="s">
        <v>1098</v>
      </c>
      <c r="E509" s="3">
        <v>2</v>
      </c>
      <c r="F509" s="3" t="s">
        <v>7</v>
      </c>
      <c r="G509" t="s">
        <v>10</v>
      </c>
      <c r="H509" t="s">
        <v>1108</v>
      </c>
      <c r="I509" t="s">
        <v>43</v>
      </c>
      <c r="J509" t="s">
        <v>51</v>
      </c>
      <c r="K509" t="s">
        <v>10</v>
      </c>
      <c r="L509" t="s">
        <v>10</v>
      </c>
      <c r="M509" t="s">
        <v>10</v>
      </c>
      <c r="N509" t="s">
        <v>57</v>
      </c>
      <c r="O509" t="str">
        <f>INDEX(CoverageTable[Deductible Applies],MATCH(Table18[[#This Row],[Coverage]],CoverageTable[Coverage],0))</f>
        <v>No</v>
      </c>
      <c r="P509" t="str">
        <f>INDEX(CoverageTable[Coverage Limit Applies],MATCH(Table18[[#This Row],[Coverage]],CoverageTable[Coverage],0))</f>
        <v>Yes</v>
      </c>
      <c r="Q509" t="s">
        <v>10</v>
      </c>
      <c r="R509" t="s">
        <v>80</v>
      </c>
      <c r="S509" t="s">
        <v>10</v>
      </c>
      <c r="T509" t="s">
        <v>57</v>
      </c>
      <c r="U509" t="s">
        <v>10</v>
      </c>
      <c r="V509" t="s">
        <v>10</v>
      </c>
      <c r="W509" t="s">
        <v>10</v>
      </c>
    </row>
    <row r="510" spans="1:23" x14ac:dyDescent="0.3">
      <c r="A510" t="s">
        <v>601</v>
      </c>
      <c r="B510" s="7">
        <v>45793</v>
      </c>
      <c r="C510" t="s">
        <v>74</v>
      </c>
      <c r="D510" t="s">
        <v>1098</v>
      </c>
      <c r="E510" s="3" t="s">
        <v>1103</v>
      </c>
      <c r="F510" s="3">
        <v>0</v>
      </c>
      <c r="G510" t="s">
        <v>12</v>
      </c>
      <c r="H510" t="s">
        <v>1110</v>
      </c>
      <c r="I510" t="s">
        <v>32</v>
      </c>
      <c r="J510" t="s">
        <v>52</v>
      </c>
      <c r="K510" t="s">
        <v>10</v>
      </c>
      <c r="L510" t="s">
        <v>10</v>
      </c>
      <c r="M510" t="s">
        <v>10</v>
      </c>
      <c r="N510" t="s">
        <v>10</v>
      </c>
      <c r="O510" t="str">
        <f>INDEX(CoverageTable[Deductible Applies],MATCH(Table18[[#This Row],[Coverage]],CoverageTable[Coverage],0))</f>
        <v>No</v>
      </c>
      <c r="P510" t="str">
        <f>INDEX(CoverageTable[Coverage Limit Applies],MATCH(Table18[[#This Row],[Coverage]],CoverageTable[Coverage],0))</f>
        <v>Yes</v>
      </c>
      <c r="Q510" t="s">
        <v>10</v>
      </c>
      <c r="R510" t="s">
        <v>80</v>
      </c>
      <c r="S510" t="s">
        <v>10</v>
      </c>
      <c r="T510" t="s">
        <v>57</v>
      </c>
      <c r="U510" t="s">
        <v>10</v>
      </c>
      <c r="V510" t="s">
        <v>10</v>
      </c>
      <c r="W510" t="s">
        <v>10</v>
      </c>
    </row>
    <row r="511" spans="1:23" x14ac:dyDescent="0.3">
      <c r="A511" t="s">
        <v>602</v>
      </c>
      <c r="B511" s="7">
        <v>46043</v>
      </c>
      <c r="C511" t="s">
        <v>71</v>
      </c>
      <c r="D511" t="s">
        <v>1097</v>
      </c>
      <c r="E511" s="3">
        <v>4</v>
      </c>
      <c r="F511" s="3" t="s">
        <v>7</v>
      </c>
      <c r="G511" t="s">
        <v>12</v>
      </c>
      <c r="H511" t="s">
        <v>1108</v>
      </c>
      <c r="I511" t="s">
        <v>26</v>
      </c>
      <c r="J511" t="s">
        <v>52</v>
      </c>
      <c r="K511" t="s">
        <v>10</v>
      </c>
      <c r="L511" t="s">
        <v>57</v>
      </c>
      <c r="M511" t="s">
        <v>57</v>
      </c>
      <c r="N511" t="s">
        <v>57</v>
      </c>
      <c r="O511" t="str">
        <f>INDEX(CoverageTable[Deductible Applies],MATCH(Table18[[#This Row],[Coverage]],CoverageTable[Coverage],0))</f>
        <v>Yes</v>
      </c>
      <c r="P511" t="str">
        <f>INDEX(CoverageTable[Coverage Limit Applies],MATCH(Table18[[#This Row],[Coverage]],CoverageTable[Coverage],0))</f>
        <v>No</v>
      </c>
      <c r="Q511" t="s">
        <v>78</v>
      </c>
      <c r="R511" t="s">
        <v>10</v>
      </c>
      <c r="S511" t="s">
        <v>10</v>
      </c>
      <c r="T511" t="s">
        <v>10</v>
      </c>
      <c r="U511" t="s">
        <v>10</v>
      </c>
      <c r="V511" t="s">
        <v>10</v>
      </c>
      <c r="W511" t="s">
        <v>10</v>
      </c>
    </row>
    <row r="512" spans="1:23" x14ac:dyDescent="0.3">
      <c r="A512" t="s">
        <v>603</v>
      </c>
      <c r="B512" s="7">
        <v>46003</v>
      </c>
      <c r="C512" t="s">
        <v>70</v>
      </c>
      <c r="D512" t="s">
        <v>1101</v>
      </c>
      <c r="E512" s="3">
        <v>2</v>
      </c>
      <c r="F512" s="3">
        <v>0</v>
      </c>
      <c r="G512" t="s">
        <v>10</v>
      </c>
      <c r="H512" t="s">
        <v>1110</v>
      </c>
      <c r="I512" t="s">
        <v>38</v>
      </c>
      <c r="J512" t="s">
        <v>48</v>
      </c>
      <c r="K512" t="s">
        <v>10</v>
      </c>
      <c r="L512" t="s">
        <v>10</v>
      </c>
      <c r="M512" t="s">
        <v>10</v>
      </c>
      <c r="N512" t="s">
        <v>10</v>
      </c>
      <c r="O512" t="str">
        <f>INDEX(CoverageTable[Deductible Applies],MATCH(Table18[[#This Row],[Coverage]],CoverageTable[Coverage],0))</f>
        <v>No</v>
      </c>
      <c r="P512" t="str">
        <f>INDEX(CoverageTable[Coverage Limit Applies],MATCH(Table18[[#This Row],[Coverage]],CoverageTable[Coverage],0))</f>
        <v>Yes</v>
      </c>
      <c r="Q512" t="s">
        <v>10</v>
      </c>
      <c r="R512" t="s">
        <v>79</v>
      </c>
      <c r="S512" t="s">
        <v>10</v>
      </c>
      <c r="T512" t="s">
        <v>10</v>
      </c>
      <c r="U512" t="s">
        <v>57</v>
      </c>
      <c r="V512" t="s">
        <v>10</v>
      </c>
      <c r="W512" t="s">
        <v>10</v>
      </c>
    </row>
    <row r="513" spans="1:23" x14ac:dyDescent="0.3">
      <c r="A513" t="s">
        <v>604</v>
      </c>
      <c r="B513" s="7">
        <v>45871</v>
      </c>
      <c r="C513" t="s">
        <v>71</v>
      </c>
      <c r="D513" t="s">
        <v>1098</v>
      </c>
      <c r="E513" s="3">
        <v>7</v>
      </c>
      <c r="F513" s="3">
        <v>0</v>
      </c>
      <c r="G513" t="s">
        <v>13</v>
      </c>
      <c r="H513" t="s">
        <v>1106</v>
      </c>
      <c r="I513" t="s">
        <v>29</v>
      </c>
      <c r="J513" t="s">
        <v>54</v>
      </c>
      <c r="K513" t="s">
        <v>10</v>
      </c>
      <c r="L513" t="s">
        <v>10</v>
      </c>
      <c r="M513" t="s">
        <v>10</v>
      </c>
      <c r="N513" t="s">
        <v>10</v>
      </c>
      <c r="O513" t="str">
        <f>INDEX(CoverageTable[Deductible Applies],MATCH(Table18[[#This Row],[Coverage]],CoverageTable[Coverage],0))</f>
        <v>Yes</v>
      </c>
      <c r="P513" t="str">
        <f>INDEX(CoverageTable[Coverage Limit Applies],MATCH(Table18[[#This Row],[Coverage]],CoverageTable[Coverage],0))</f>
        <v>No</v>
      </c>
      <c r="Q513" t="s">
        <v>80</v>
      </c>
      <c r="R513" t="s">
        <v>10</v>
      </c>
      <c r="S513" t="s">
        <v>10</v>
      </c>
      <c r="T513" t="s">
        <v>10</v>
      </c>
      <c r="U513" t="s">
        <v>10</v>
      </c>
      <c r="V513" t="s">
        <v>10</v>
      </c>
      <c r="W513" t="s">
        <v>10</v>
      </c>
    </row>
    <row r="514" spans="1:23" x14ac:dyDescent="0.3">
      <c r="A514" t="s">
        <v>605</v>
      </c>
      <c r="B514" s="7">
        <v>45848</v>
      </c>
      <c r="C514" t="s">
        <v>71</v>
      </c>
      <c r="D514" t="s">
        <v>1099</v>
      </c>
      <c r="E514" s="3">
        <v>6</v>
      </c>
      <c r="F514" s="3">
        <v>4</v>
      </c>
      <c r="G514" t="s">
        <v>10</v>
      </c>
      <c r="H514" t="s">
        <v>1109</v>
      </c>
      <c r="I514" t="s">
        <v>33</v>
      </c>
      <c r="J514" t="s">
        <v>50</v>
      </c>
      <c r="K514" t="s">
        <v>10</v>
      </c>
      <c r="L514" t="s">
        <v>57</v>
      </c>
      <c r="M514" t="s">
        <v>10</v>
      </c>
      <c r="N514" t="s">
        <v>57</v>
      </c>
      <c r="O514" t="str">
        <f>INDEX(CoverageTable[Deductible Applies],MATCH(Table18[[#This Row],[Coverage]],CoverageTable[Coverage],0))</f>
        <v>Yes</v>
      </c>
      <c r="P514" t="str">
        <f>INDEX(CoverageTable[Coverage Limit Applies],MATCH(Table18[[#This Row],[Coverage]],CoverageTable[Coverage],0))</f>
        <v>No</v>
      </c>
      <c r="Q514" t="s">
        <v>78</v>
      </c>
      <c r="R514" t="s">
        <v>10</v>
      </c>
      <c r="S514" t="s">
        <v>10</v>
      </c>
      <c r="T514" t="s">
        <v>57</v>
      </c>
      <c r="U514" t="s">
        <v>57</v>
      </c>
      <c r="V514" t="s">
        <v>10</v>
      </c>
      <c r="W514" t="s">
        <v>10</v>
      </c>
    </row>
    <row r="515" spans="1:23" x14ac:dyDescent="0.3">
      <c r="A515" t="s">
        <v>606</v>
      </c>
      <c r="B515" s="7">
        <v>45917</v>
      </c>
      <c r="C515" t="s">
        <v>73</v>
      </c>
      <c r="D515" t="s">
        <v>1099</v>
      </c>
      <c r="E515" s="3">
        <v>1</v>
      </c>
      <c r="F515" s="3">
        <v>4</v>
      </c>
      <c r="G515" t="s">
        <v>10</v>
      </c>
      <c r="H515" t="s">
        <v>1107</v>
      </c>
      <c r="I515" t="s">
        <v>24</v>
      </c>
      <c r="J515" t="s">
        <v>53</v>
      </c>
      <c r="K515" t="s">
        <v>10</v>
      </c>
      <c r="L515" t="s">
        <v>10</v>
      </c>
      <c r="M515" t="s">
        <v>57</v>
      </c>
      <c r="N515" t="s">
        <v>57</v>
      </c>
      <c r="O515" t="str">
        <f>INDEX(CoverageTable[Deductible Applies],MATCH(Table18[[#This Row],[Coverage]],CoverageTable[Coverage],0))</f>
        <v>No</v>
      </c>
      <c r="P515" t="str">
        <f>INDEX(CoverageTable[Coverage Limit Applies],MATCH(Table18[[#This Row],[Coverage]],CoverageTable[Coverage],0))</f>
        <v>Yes</v>
      </c>
      <c r="Q515" t="s">
        <v>10</v>
      </c>
      <c r="R515" t="s">
        <v>79</v>
      </c>
      <c r="S515" t="s">
        <v>10</v>
      </c>
      <c r="T515" t="s">
        <v>10</v>
      </c>
      <c r="U515" t="s">
        <v>10</v>
      </c>
      <c r="V515" t="s">
        <v>10</v>
      </c>
      <c r="W515" t="s">
        <v>10</v>
      </c>
    </row>
    <row r="516" spans="1:23" x14ac:dyDescent="0.3">
      <c r="A516" t="s">
        <v>607</v>
      </c>
      <c r="B516" s="7">
        <v>45858</v>
      </c>
      <c r="C516" t="s">
        <v>70</v>
      </c>
      <c r="D516" t="s">
        <v>1098</v>
      </c>
      <c r="E516" s="3">
        <v>6</v>
      </c>
      <c r="F516" s="3">
        <v>2</v>
      </c>
      <c r="G516" t="s">
        <v>10</v>
      </c>
      <c r="H516" t="s">
        <v>1106</v>
      </c>
      <c r="I516" t="s">
        <v>43</v>
      </c>
      <c r="J516" t="s">
        <v>53</v>
      </c>
      <c r="K516" t="s">
        <v>10</v>
      </c>
      <c r="L516" t="s">
        <v>10</v>
      </c>
      <c r="M516" t="s">
        <v>10</v>
      </c>
      <c r="N516" t="s">
        <v>10</v>
      </c>
      <c r="O516" t="str">
        <f>INDEX(CoverageTable[Deductible Applies],MATCH(Table18[[#This Row],[Coverage]],CoverageTable[Coverage],0))</f>
        <v>No</v>
      </c>
      <c r="P516" t="str">
        <f>INDEX(CoverageTable[Coverage Limit Applies],MATCH(Table18[[#This Row],[Coverage]],CoverageTable[Coverage],0))</f>
        <v>Yes</v>
      </c>
      <c r="Q516" t="s">
        <v>10</v>
      </c>
      <c r="R516" t="s">
        <v>78</v>
      </c>
      <c r="S516" t="s">
        <v>10</v>
      </c>
      <c r="T516" t="s">
        <v>57</v>
      </c>
      <c r="U516" t="s">
        <v>10</v>
      </c>
      <c r="V516" t="s">
        <v>10</v>
      </c>
      <c r="W516" t="s">
        <v>10</v>
      </c>
    </row>
    <row r="517" spans="1:23" x14ac:dyDescent="0.3">
      <c r="A517" t="s">
        <v>608</v>
      </c>
      <c r="B517" s="7">
        <v>45779</v>
      </c>
      <c r="C517" t="s">
        <v>70</v>
      </c>
      <c r="D517" t="s">
        <v>1099</v>
      </c>
      <c r="E517" s="3" t="s">
        <v>1103</v>
      </c>
      <c r="F517" s="3">
        <v>3</v>
      </c>
      <c r="G517" t="s">
        <v>10</v>
      </c>
      <c r="H517" t="s">
        <v>1110</v>
      </c>
      <c r="I517" t="s">
        <v>44</v>
      </c>
      <c r="J517" t="s">
        <v>52</v>
      </c>
      <c r="K517" t="s">
        <v>10</v>
      </c>
      <c r="L517" t="s">
        <v>57</v>
      </c>
      <c r="M517" t="s">
        <v>10</v>
      </c>
      <c r="N517" t="s">
        <v>10</v>
      </c>
      <c r="O517" t="str">
        <f>INDEX(CoverageTable[Deductible Applies],MATCH(Table18[[#This Row],[Coverage]],CoverageTable[Coverage],0))</f>
        <v>No</v>
      </c>
      <c r="P517" t="str">
        <f>INDEX(CoverageTable[Coverage Limit Applies],MATCH(Table18[[#This Row],[Coverage]],CoverageTable[Coverage],0))</f>
        <v>Yes</v>
      </c>
      <c r="Q517" t="s">
        <v>10</v>
      </c>
      <c r="R517" t="s">
        <v>80</v>
      </c>
      <c r="S517" t="s">
        <v>10</v>
      </c>
      <c r="T517" t="s">
        <v>10</v>
      </c>
      <c r="U517" t="s">
        <v>10</v>
      </c>
      <c r="V517" t="s">
        <v>10</v>
      </c>
      <c r="W517" t="s">
        <v>10</v>
      </c>
    </row>
    <row r="518" spans="1:23" x14ac:dyDescent="0.3">
      <c r="A518" t="s">
        <v>609</v>
      </c>
      <c r="B518" s="7">
        <v>45993</v>
      </c>
      <c r="C518" t="s">
        <v>74</v>
      </c>
      <c r="D518" t="s">
        <v>1101</v>
      </c>
      <c r="E518" s="3">
        <v>5</v>
      </c>
      <c r="F518" s="3">
        <v>0</v>
      </c>
      <c r="G518" t="s">
        <v>11</v>
      </c>
      <c r="H518" t="s">
        <v>1108</v>
      </c>
      <c r="I518" t="s">
        <v>33</v>
      </c>
      <c r="J518" t="s">
        <v>54</v>
      </c>
      <c r="K518" t="s">
        <v>10</v>
      </c>
      <c r="L518" t="s">
        <v>10</v>
      </c>
      <c r="M518" t="s">
        <v>10</v>
      </c>
      <c r="N518" t="s">
        <v>10</v>
      </c>
      <c r="O518" t="str">
        <f>INDEX(CoverageTable[Deductible Applies],MATCH(Table18[[#This Row],[Coverage]],CoverageTable[Coverage],0))</f>
        <v>No</v>
      </c>
      <c r="P518" t="str">
        <f>INDEX(CoverageTable[Coverage Limit Applies],MATCH(Table18[[#This Row],[Coverage]],CoverageTable[Coverage],0))</f>
        <v>Yes</v>
      </c>
      <c r="Q518" t="s">
        <v>10</v>
      </c>
      <c r="R518" t="s">
        <v>79</v>
      </c>
      <c r="S518" t="s">
        <v>10</v>
      </c>
      <c r="T518" t="s">
        <v>10</v>
      </c>
      <c r="U518" t="s">
        <v>10</v>
      </c>
      <c r="V518" t="s">
        <v>10</v>
      </c>
      <c r="W518" t="s">
        <v>10</v>
      </c>
    </row>
    <row r="519" spans="1:23" x14ac:dyDescent="0.3">
      <c r="A519" t="s">
        <v>610</v>
      </c>
      <c r="B519" s="7">
        <v>45811</v>
      </c>
      <c r="C519" t="s">
        <v>70</v>
      </c>
      <c r="D519" t="s">
        <v>1097</v>
      </c>
      <c r="E519" s="3">
        <v>2</v>
      </c>
      <c r="F519" s="3">
        <v>1</v>
      </c>
      <c r="G519" t="s">
        <v>13</v>
      </c>
      <c r="H519" t="s">
        <v>1108</v>
      </c>
      <c r="I519" t="s">
        <v>43</v>
      </c>
      <c r="J519" t="s">
        <v>48</v>
      </c>
      <c r="K519" t="s">
        <v>10</v>
      </c>
      <c r="L519" t="s">
        <v>10</v>
      </c>
      <c r="M519" t="s">
        <v>10</v>
      </c>
      <c r="N519" t="s">
        <v>57</v>
      </c>
      <c r="O519" t="str">
        <f>INDEX(CoverageTable[Deductible Applies],MATCH(Table18[[#This Row],[Coverage]],CoverageTable[Coverage],0))</f>
        <v>No</v>
      </c>
      <c r="P519" t="str">
        <f>INDEX(CoverageTable[Coverage Limit Applies],MATCH(Table18[[#This Row],[Coverage]],CoverageTable[Coverage],0))</f>
        <v>Yes</v>
      </c>
      <c r="Q519" t="s">
        <v>10</v>
      </c>
      <c r="R519" t="s">
        <v>79</v>
      </c>
      <c r="S519" t="s">
        <v>10</v>
      </c>
      <c r="T519" t="s">
        <v>57</v>
      </c>
      <c r="U519" t="s">
        <v>57</v>
      </c>
      <c r="V519" t="s">
        <v>10</v>
      </c>
      <c r="W519" t="s">
        <v>10</v>
      </c>
    </row>
    <row r="520" spans="1:23" x14ac:dyDescent="0.3">
      <c r="A520" t="s">
        <v>611</v>
      </c>
      <c r="B520" s="7">
        <v>46142</v>
      </c>
      <c r="C520" t="s">
        <v>70</v>
      </c>
      <c r="D520" t="s">
        <v>1100</v>
      </c>
      <c r="E520" s="3">
        <v>7</v>
      </c>
      <c r="F520" s="3" t="s">
        <v>7</v>
      </c>
      <c r="G520" t="s">
        <v>11</v>
      </c>
      <c r="H520" t="s">
        <v>1106</v>
      </c>
      <c r="I520" t="s">
        <v>41</v>
      </c>
      <c r="J520" t="s">
        <v>54</v>
      </c>
      <c r="K520" t="s">
        <v>10</v>
      </c>
      <c r="L520" t="s">
        <v>10</v>
      </c>
      <c r="M520" t="s">
        <v>10</v>
      </c>
      <c r="N520" t="s">
        <v>57</v>
      </c>
      <c r="O520" t="str">
        <f>INDEX(CoverageTable[Deductible Applies],MATCH(Table18[[#This Row],[Coverage]],CoverageTable[Coverage],0))</f>
        <v>No</v>
      </c>
      <c r="P520" t="str">
        <f>INDEX(CoverageTable[Coverage Limit Applies],MATCH(Table18[[#This Row],[Coverage]],CoverageTable[Coverage],0))</f>
        <v>Yes</v>
      </c>
      <c r="Q520" t="s">
        <v>10</v>
      </c>
      <c r="R520" t="s">
        <v>78</v>
      </c>
      <c r="S520" t="s">
        <v>10</v>
      </c>
      <c r="T520" t="s">
        <v>57</v>
      </c>
      <c r="U520" t="s">
        <v>10</v>
      </c>
      <c r="V520" t="s">
        <v>57</v>
      </c>
      <c r="W520" t="s">
        <v>10</v>
      </c>
    </row>
    <row r="521" spans="1:23" x14ac:dyDescent="0.3">
      <c r="A521" t="s">
        <v>612</v>
      </c>
      <c r="B521" s="7">
        <v>45982</v>
      </c>
      <c r="C521" t="s">
        <v>72</v>
      </c>
      <c r="D521" t="s">
        <v>1098</v>
      </c>
      <c r="E521" s="3">
        <v>3</v>
      </c>
      <c r="F521" s="3">
        <v>3</v>
      </c>
      <c r="G521" t="s">
        <v>10</v>
      </c>
      <c r="H521" t="s">
        <v>1109</v>
      </c>
      <c r="I521" t="s">
        <v>26</v>
      </c>
      <c r="J521" t="s">
        <v>49</v>
      </c>
      <c r="K521" t="s">
        <v>57</v>
      </c>
      <c r="L521" t="s">
        <v>10</v>
      </c>
      <c r="M521" t="s">
        <v>10</v>
      </c>
      <c r="N521" t="s">
        <v>10</v>
      </c>
      <c r="O521" t="str">
        <f>INDEX(CoverageTable[Deductible Applies],MATCH(Table18[[#This Row],[Coverage]],CoverageTable[Coverage],0))</f>
        <v>Yes</v>
      </c>
      <c r="P521" t="str">
        <f>INDEX(CoverageTable[Coverage Limit Applies],MATCH(Table18[[#This Row],[Coverage]],CoverageTable[Coverage],0))</f>
        <v>No</v>
      </c>
      <c r="Q521" t="s">
        <v>78</v>
      </c>
      <c r="R521" t="s">
        <v>10</v>
      </c>
      <c r="S521" t="s">
        <v>10</v>
      </c>
      <c r="T521" t="s">
        <v>10</v>
      </c>
      <c r="U521" t="s">
        <v>10</v>
      </c>
      <c r="V521" t="s">
        <v>57</v>
      </c>
      <c r="W521" t="s">
        <v>10</v>
      </c>
    </row>
    <row r="522" spans="1:23" x14ac:dyDescent="0.3">
      <c r="A522" t="s">
        <v>613</v>
      </c>
      <c r="B522" s="7">
        <v>46129</v>
      </c>
      <c r="C522" t="s">
        <v>73</v>
      </c>
      <c r="D522" t="s">
        <v>1099</v>
      </c>
      <c r="E522" s="3" t="s">
        <v>1103</v>
      </c>
      <c r="F522" s="3">
        <v>2</v>
      </c>
      <c r="G522" t="s">
        <v>12</v>
      </c>
      <c r="H522" t="s">
        <v>1110</v>
      </c>
      <c r="I522" t="s">
        <v>29</v>
      </c>
      <c r="J522" t="s">
        <v>50</v>
      </c>
      <c r="K522" t="s">
        <v>10</v>
      </c>
      <c r="L522" t="s">
        <v>10</v>
      </c>
      <c r="M522" t="s">
        <v>10</v>
      </c>
      <c r="N522" t="s">
        <v>57</v>
      </c>
      <c r="O522" t="str">
        <f>INDEX(CoverageTable[Deductible Applies],MATCH(Table18[[#This Row],[Coverage]],CoverageTable[Coverage],0))</f>
        <v>No</v>
      </c>
      <c r="P522" t="str">
        <f>INDEX(CoverageTable[Coverage Limit Applies],MATCH(Table18[[#This Row],[Coverage]],CoverageTable[Coverage],0))</f>
        <v>Yes</v>
      </c>
      <c r="Q522" t="s">
        <v>10</v>
      </c>
      <c r="R522" t="s">
        <v>78</v>
      </c>
      <c r="S522" t="s">
        <v>10</v>
      </c>
      <c r="T522" t="s">
        <v>10</v>
      </c>
      <c r="U522" t="s">
        <v>10</v>
      </c>
      <c r="V522" t="s">
        <v>10</v>
      </c>
      <c r="W522" t="s">
        <v>57</v>
      </c>
    </row>
    <row r="523" spans="1:23" x14ac:dyDescent="0.3">
      <c r="A523" t="s">
        <v>614</v>
      </c>
      <c r="B523" s="7">
        <v>45995</v>
      </c>
      <c r="C523" t="s">
        <v>70</v>
      </c>
      <c r="D523" t="s">
        <v>1098</v>
      </c>
      <c r="E523" s="3">
        <v>4</v>
      </c>
      <c r="F523" s="3">
        <v>1</v>
      </c>
      <c r="G523" t="s">
        <v>10</v>
      </c>
      <c r="H523" t="s">
        <v>1107</v>
      </c>
      <c r="I523" t="s">
        <v>29</v>
      </c>
      <c r="J523" t="s">
        <v>54</v>
      </c>
      <c r="K523" t="s">
        <v>10</v>
      </c>
      <c r="L523" t="s">
        <v>57</v>
      </c>
      <c r="M523" t="s">
        <v>10</v>
      </c>
      <c r="N523" t="s">
        <v>57</v>
      </c>
      <c r="O523" t="str">
        <f>INDEX(CoverageTable[Deductible Applies],MATCH(Table18[[#This Row],[Coverage]],CoverageTable[Coverage],0))</f>
        <v>No</v>
      </c>
      <c r="P523" t="str">
        <f>INDEX(CoverageTable[Coverage Limit Applies],MATCH(Table18[[#This Row],[Coverage]],CoverageTable[Coverage],0))</f>
        <v>Yes</v>
      </c>
      <c r="Q523" t="s">
        <v>10</v>
      </c>
      <c r="R523" t="s">
        <v>79</v>
      </c>
      <c r="S523" t="s">
        <v>10</v>
      </c>
      <c r="T523" t="s">
        <v>10</v>
      </c>
      <c r="U523" t="s">
        <v>57</v>
      </c>
      <c r="V523" t="s">
        <v>57</v>
      </c>
      <c r="W523" t="s">
        <v>10</v>
      </c>
    </row>
    <row r="524" spans="1:23" x14ac:dyDescent="0.3">
      <c r="A524" t="s">
        <v>615</v>
      </c>
      <c r="B524" s="7">
        <v>46068</v>
      </c>
      <c r="C524" t="s">
        <v>70</v>
      </c>
      <c r="D524" t="s">
        <v>1102</v>
      </c>
      <c r="E524" s="3">
        <v>3</v>
      </c>
      <c r="F524" s="3">
        <v>2</v>
      </c>
      <c r="G524" t="s">
        <v>10</v>
      </c>
      <c r="H524" t="s">
        <v>1110</v>
      </c>
      <c r="I524" t="s">
        <v>21</v>
      </c>
      <c r="J524" t="s">
        <v>53</v>
      </c>
      <c r="K524" t="s">
        <v>10</v>
      </c>
      <c r="L524" t="s">
        <v>10</v>
      </c>
      <c r="M524" t="s">
        <v>10</v>
      </c>
      <c r="N524" t="s">
        <v>57</v>
      </c>
      <c r="O524" t="str">
        <f>INDEX(CoverageTable[Deductible Applies],MATCH(Table18[[#This Row],[Coverage]],CoverageTable[Coverage],0))</f>
        <v>No</v>
      </c>
      <c r="P524" t="str">
        <f>INDEX(CoverageTable[Coverage Limit Applies],MATCH(Table18[[#This Row],[Coverage]],CoverageTable[Coverage],0))</f>
        <v>Yes</v>
      </c>
      <c r="Q524" t="s">
        <v>10</v>
      </c>
      <c r="R524" t="s">
        <v>80</v>
      </c>
      <c r="S524" t="s">
        <v>10</v>
      </c>
      <c r="T524" t="s">
        <v>10</v>
      </c>
      <c r="U524" t="s">
        <v>10</v>
      </c>
      <c r="V524" t="s">
        <v>10</v>
      </c>
      <c r="W524" t="s">
        <v>10</v>
      </c>
    </row>
    <row r="525" spans="1:23" x14ac:dyDescent="0.3">
      <c r="A525" t="s">
        <v>616</v>
      </c>
      <c r="B525" s="7">
        <v>46033</v>
      </c>
      <c r="C525" t="s">
        <v>72</v>
      </c>
      <c r="D525" t="s">
        <v>1100</v>
      </c>
      <c r="E525" s="3">
        <v>2</v>
      </c>
      <c r="F525" s="3">
        <v>0</v>
      </c>
      <c r="G525" t="s">
        <v>13</v>
      </c>
      <c r="H525" t="s">
        <v>1108</v>
      </c>
      <c r="I525" t="s">
        <v>23</v>
      </c>
      <c r="J525" t="s">
        <v>50</v>
      </c>
      <c r="K525" t="s">
        <v>57</v>
      </c>
      <c r="L525" t="s">
        <v>10</v>
      </c>
      <c r="M525" t="s">
        <v>10</v>
      </c>
      <c r="N525" t="s">
        <v>57</v>
      </c>
      <c r="O525" t="str">
        <f>INDEX(CoverageTable[Deductible Applies],MATCH(Table18[[#This Row],[Coverage]],CoverageTable[Coverage],0))</f>
        <v>Yes</v>
      </c>
      <c r="P525" t="str">
        <f>INDEX(CoverageTable[Coverage Limit Applies],MATCH(Table18[[#This Row],[Coverage]],CoverageTable[Coverage],0))</f>
        <v>No</v>
      </c>
      <c r="Q525" t="s">
        <v>78</v>
      </c>
      <c r="R525" t="s">
        <v>10</v>
      </c>
      <c r="S525" t="s">
        <v>57</v>
      </c>
      <c r="T525" t="s">
        <v>57</v>
      </c>
      <c r="U525" t="s">
        <v>10</v>
      </c>
      <c r="V525" t="s">
        <v>10</v>
      </c>
      <c r="W525" t="s">
        <v>10</v>
      </c>
    </row>
    <row r="526" spans="1:23" x14ac:dyDescent="0.3">
      <c r="A526" t="s">
        <v>617</v>
      </c>
      <c r="B526" s="7">
        <v>45965</v>
      </c>
      <c r="C526" t="s">
        <v>73</v>
      </c>
      <c r="D526" t="s">
        <v>1100</v>
      </c>
      <c r="E526" s="3">
        <v>5</v>
      </c>
      <c r="F526" s="3">
        <v>0</v>
      </c>
      <c r="G526" t="s">
        <v>10</v>
      </c>
      <c r="H526" t="s">
        <v>1106</v>
      </c>
      <c r="I526" t="s">
        <v>25</v>
      </c>
      <c r="J526" t="s">
        <v>49</v>
      </c>
      <c r="K526" t="s">
        <v>10</v>
      </c>
      <c r="L526" t="s">
        <v>10</v>
      </c>
      <c r="M526" t="s">
        <v>10</v>
      </c>
      <c r="N526" t="s">
        <v>10</v>
      </c>
      <c r="O526" t="str">
        <f>INDEX(CoverageTable[Deductible Applies],MATCH(Table18[[#This Row],[Coverage]],CoverageTable[Coverage],0))</f>
        <v>No</v>
      </c>
      <c r="P526" t="str">
        <f>INDEX(CoverageTable[Coverage Limit Applies],MATCH(Table18[[#This Row],[Coverage]],CoverageTable[Coverage],0))</f>
        <v>Yes</v>
      </c>
      <c r="Q526" t="s">
        <v>10</v>
      </c>
      <c r="R526" t="s">
        <v>78</v>
      </c>
      <c r="S526" t="s">
        <v>10</v>
      </c>
      <c r="T526" t="s">
        <v>10</v>
      </c>
      <c r="U526" t="s">
        <v>10</v>
      </c>
      <c r="V526" t="s">
        <v>10</v>
      </c>
      <c r="W526" t="s">
        <v>10</v>
      </c>
    </row>
    <row r="527" spans="1:23" x14ac:dyDescent="0.3">
      <c r="A527" t="s">
        <v>618</v>
      </c>
      <c r="B527" s="7">
        <v>45985</v>
      </c>
      <c r="C527" t="s">
        <v>71</v>
      </c>
      <c r="D527" t="s">
        <v>1099</v>
      </c>
      <c r="E527" s="3">
        <v>7</v>
      </c>
      <c r="F527" s="3" t="s">
        <v>7</v>
      </c>
      <c r="G527" t="s">
        <v>10</v>
      </c>
      <c r="H527" t="s">
        <v>1107</v>
      </c>
      <c r="I527" t="s">
        <v>29</v>
      </c>
      <c r="J527" t="s">
        <v>53</v>
      </c>
      <c r="K527" t="s">
        <v>10</v>
      </c>
      <c r="L527" t="s">
        <v>10</v>
      </c>
      <c r="M527" t="s">
        <v>10</v>
      </c>
      <c r="N527" t="s">
        <v>10</v>
      </c>
      <c r="O527" t="str">
        <f>INDEX(CoverageTable[Deductible Applies],MATCH(Table18[[#This Row],[Coverage]],CoverageTable[Coverage],0))</f>
        <v>Yes</v>
      </c>
      <c r="P527" t="str">
        <f>INDEX(CoverageTable[Coverage Limit Applies],MATCH(Table18[[#This Row],[Coverage]],CoverageTable[Coverage],0))</f>
        <v>No</v>
      </c>
      <c r="Q527" t="s">
        <v>79</v>
      </c>
      <c r="R527" t="s">
        <v>10</v>
      </c>
      <c r="S527" t="s">
        <v>10</v>
      </c>
      <c r="T527" t="s">
        <v>57</v>
      </c>
      <c r="U527" t="s">
        <v>57</v>
      </c>
      <c r="V527" t="s">
        <v>10</v>
      </c>
      <c r="W527" t="s">
        <v>10</v>
      </c>
    </row>
    <row r="528" spans="1:23" x14ac:dyDescent="0.3">
      <c r="A528" t="s">
        <v>619</v>
      </c>
      <c r="B528" s="7">
        <v>45820</v>
      </c>
      <c r="C528" t="s">
        <v>70</v>
      </c>
      <c r="D528" t="s">
        <v>1102</v>
      </c>
      <c r="E528" s="3" t="s">
        <v>1103</v>
      </c>
      <c r="F528" s="3">
        <v>1</v>
      </c>
      <c r="G528" t="s">
        <v>10</v>
      </c>
      <c r="H528" t="s">
        <v>1109</v>
      </c>
      <c r="I528" t="s">
        <v>34</v>
      </c>
      <c r="J528" t="s">
        <v>52</v>
      </c>
      <c r="K528" t="s">
        <v>10</v>
      </c>
      <c r="L528" t="s">
        <v>10</v>
      </c>
      <c r="M528" t="s">
        <v>57</v>
      </c>
      <c r="N528" t="s">
        <v>57</v>
      </c>
      <c r="O528" t="str">
        <f>INDEX(CoverageTable[Deductible Applies],MATCH(Table18[[#This Row],[Coverage]],CoverageTable[Coverage],0))</f>
        <v>No</v>
      </c>
      <c r="P528" t="str">
        <f>INDEX(CoverageTable[Coverage Limit Applies],MATCH(Table18[[#This Row],[Coverage]],CoverageTable[Coverage],0))</f>
        <v>Yes</v>
      </c>
      <c r="Q528" t="s">
        <v>10</v>
      </c>
      <c r="R528" t="s">
        <v>80</v>
      </c>
      <c r="S528" t="s">
        <v>10</v>
      </c>
      <c r="T528" t="s">
        <v>10</v>
      </c>
      <c r="U528" t="s">
        <v>10</v>
      </c>
      <c r="V528" t="s">
        <v>10</v>
      </c>
      <c r="W528" t="s">
        <v>10</v>
      </c>
    </row>
    <row r="529" spans="1:23" x14ac:dyDescent="0.3">
      <c r="A529" t="s">
        <v>620</v>
      </c>
      <c r="B529" s="7">
        <v>45962</v>
      </c>
      <c r="C529" t="s">
        <v>71</v>
      </c>
      <c r="D529" t="s">
        <v>1097</v>
      </c>
      <c r="E529" s="3">
        <v>3</v>
      </c>
      <c r="F529" s="3">
        <v>0</v>
      </c>
      <c r="G529" t="s">
        <v>13</v>
      </c>
      <c r="H529" t="s">
        <v>1110</v>
      </c>
      <c r="I529" t="s">
        <v>25</v>
      </c>
      <c r="J529" t="s">
        <v>53</v>
      </c>
      <c r="K529" t="s">
        <v>10</v>
      </c>
      <c r="L529" t="s">
        <v>10</v>
      </c>
      <c r="M529" t="s">
        <v>10</v>
      </c>
      <c r="N529" t="s">
        <v>10</v>
      </c>
      <c r="O529" t="str">
        <f>INDEX(CoverageTable[Deductible Applies],MATCH(Table18[[#This Row],[Coverage]],CoverageTable[Coverage],0))</f>
        <v>Yes</v>
      </c>
      <c r="P529" t="str">
        <f>INDEX(CoverageTable[Coverage Limit Applies],MATCH(Table18[[#This Row],[Coverage]],CoverageTable[Coverage],0))</f>
        <v>No</v>
      </c>
      <c r="Q529" t="s">
        <v>79</v>
      </c>
      <c r="R529" t="s">
        <v>10</v>
      </c>
      <c r="S529" t="s">
        <v>10</v>
      </c>
      <c r="T529" t="s">
        <v>10</v>
      </c>
      <c r="U529" t="s">
        <v>10</v>
      </c>
      <c r="V529" t="s">
        <v>57</v>
      </c>
      <c r="W529" t="s">
        <v>57</v>
      </c>
    </row>
    <row r="530" spans="1:23" x14ac:dyDescent="0.3">
      <c r="A530" t="s">
        <v>621</v>
      </c>
      <c r="B530" s="7">
        <v>45867</v>
      </c>
      <c r="C530" t="s">
        <v>70</v>
      </c>
      <c r="D530" t="s">
        <v>1102</v>
      </c>
      <c r="E530" s="3">
        <v>2</v>
      </c>
      <c r="F530" s="3">
        <v>0</v>
      </c>
      <c r="G530" t="s">
        <v>11</v>
      </c>
      <c r="H530" t="s">
        <v>1106</v>
      </c>
      <c r="I530" t="s">
        <v>26</v>
      </c>
      <c r="J530" t="s">
        <v>51</v>
      </c>
      <c r="K530" t="s">
        <v>10</v>
      </c>
      <c r="L530" t="s">
        <v>10</v>
      </c>
      <c r="M530" t="s">
        <v>57</v>
      </c>
      <c r="N530" t="s">
        <v>10</v>
      </c>
      <c r="O530" t="str">
        <f>INDEX(CoverageTable[Deductible Applies],MATCH(Table18[[#This Row],[Coverage]],CoverageTable[Coverage],0))</f>
        <v>No</v>
      </c>
      <c r="P530" t="str">
        <f>INDEX(CoverageTable[Coverage Limit Applies],MATCH(Table18[[#This Row],[Coverage]],CoverageTable[Coverage],0))</f>
        <v>Yes</v>
      </c>
      <c r="Q530" t="s">
        <v>10</v>
      </c>
      <c r="R530" t="s">
        <v>80</v>
      </c>
      <c r="S530" t="s">
        <v>10</v>
      </c>
      <c r="T530" t="s">
        <v>10</v>
      </c>
      <c r="U530" t="s">
        <v>57</v>
      </c>
      <c r="V530" t="s">
        <v>10</v>
      </c>
      <c r="W530" t="s">
        <v>10</v>
      </c>
    </row>
    <row r="531" spans="1:23" x14ac:dyDescent="0.3">
      <c r="A531" t="s">
        <v>622</v>
      </c>
      <c r="B531" s="7">
        <v>45884</v>
      </c>
      <c r="C531" t="s">
        <v>70</v>
      </c>
      <c r="D531" t="s">
        <v>1101</v>
      </c>
      <c r="E531" s="3">
        <v>1</v>
      </c>
      <c r="F531" s="3">
        <v>2</v>
      </c>
      <c r="G531" t="s">
        <v>10</v>
      </c>
      <c r="H531" t="s">
        <v>1110</v>
      </c>
      <c r="I531" t="s">
        <v>42</v>
      </c>
      <c r="J531" t="s">
        <v>53</v>
      </c>
      <c r="K531" t="s">
        <v>10</v>
      </c>
      <c r="L531" t="s">
        <v>57</v>
      </c>
      <c r="M531" t="s">
        <v>10</v>
      </c>
      <c r="N531" t="s">
        <v>57</v>
      </c>
      <c r="O531" t="str">
        <f>INDEX(CoverageTable[Deductible Applies],MATCH(Table18[[#This Row],[Coverage]],CoverageTable[Coverage],0))</f>
        <v>No</v>
      </c>
      <c r="P531" t="str">
        <f>INDEX(CoverageTable[Coverage Limit Applies],MATCH(Table18[[#This Row],[Coverage]],CoverageTable[Coverage],0))</f>
        <v>Yes</v>
      </c>
      <c r="Q531" t="s">
        <v>10</v>
      </c>
      <c r="R531" t="s">
        <v>79</v>
      </c>
      <c r="S531" t="s">
        <v>10</v>
      </c>
      <c r="T531" t="s">
        <v>10</v>
      </c>
      <c r="U531" t="s">
        <v>57</v>
      </c>
      <c r="V531" t="s">
        <v>10</v>
      </c>
      <c r="W531" t="s">
        <v>10</v>
      </c>
    </row>
    <row r="532" spans="1:23" x14ac:dyDescent="0.3">
      <c r="A532" t="s">
        <v>623</v>
      </c>
      <c r="B532" s="7">
        <v>46010</v>
      </c>
      <c r="C532" t="s">
        <v>71</v>
      </c>
      <c r="D532" t="s">
        <v>1101</v>
      </c>
      <c r="E532" s="3">
        <v>2</v>
      </c>
      <c r="F532" s="3">
        <v>1</v>
      </c>
      <c r="G532" t="s">
        <v>10</v>
      </c>
      <c r="H532" t="s">
        <v>1110</v>
      </c>
      <c r="I532" t="s">
        <v>24</v>
      </c>
      <c r="J532" t="s">
        <v>50</v>
      </c>
      <c r="K532" t="s">
        <v>10</v>
      </c>
      <c r="L532" t="s">
        <v>10</v>
      </c>
      <c r="M532" t="s">
        <v>10</v>
      </c>
      <c r="N532" t="s">
        <v>10</v>
      </c>
      <c r="O532" t="str">
        <f>INDEX(CoverageTable[Deductible Applies],MATCH(Table18[[#This Row],[Coverage]],CoverageTable[Coverage],0))</f>
        <v>Yes</v>
      </c>
      <c r="P532" t="str">
        <f>INDEX(CoverageTable[Coverage Limit Applies],MATCH(Table18[[#This Row],[Coverage]],CoverageTable[Coverage],0))</f>
        <v>No</v>
      </c>
      <c r="Q532" t="s">
        <v>78</v>
      </c>
      <c r="R532" t="s">
        <v>10</v>
      </c>
      <c r="S532" t="s">
        <v>10</v>
      </c>
      <c r="T532" t="s">
        <v>57</v>
      </c>
      <c r="U532" t="s">
        <v>10</v>
      </c>
      <c r="V532" t="s">
        <v>10</v>
      </c>
      <c r="W532" t="s">
        <v>10</v>
      </c>
    </row>
    <row r="533" spans="1:23" x14ac:dyDescent="0.3">
      <c r="A533" t="s">
        <v>624</v>
      </c>
      <c r="B533" s="7">
        <v>45937</v>
      </c>
      <c r="C533" t="s">
        <v>70</v>
      </c>
      <c r="D533" t="s">
        <v>1099</v>
      </c>
      <c r="E533" s="3">
        <v>3</v>
      </c>
      <c r="F533" s="3">
        <v>0</v>
      </c>
      <c r="G533" t="s">
        <v>10</v>
      </c>
      <c r="H533" t="s">
        <v>1106</v>
      </c>
      <c r="I533" t="s">
        <v>22</v>
      </c>
      <c r="J533" t="s">
        <v>54</v>
      </c>
      <c r="K533" t="s">
        <v>10</v>
      </c>
      <c r="L533" t="s">
        <v>10</v>
      </c>
      <c r="M533" t="s">
        <v>10</v>
      </c>
      <c r="N533" t="s">
        <v>57</v>
      </c>
      <c r="O533" t="str">
        <f>INDEX(CoverageTable[Deductible Applies],MATCH(Table18[[#This Row],[Coverage]],CoverageTable[Coverage],0))</f>
        <v>No</v>
      </c>
      <c r="P533" t="str">
        <f>INDEX(CoverageTable[Coverage Limit Applies],MATCH(Table18[[#This Row],[Coverage]],CoverageTable[Coverage],0))</f>
        <v>Yes</v>
      </c>
      <c r="Q533" t="s">
        <v>10</v>
      </c>
      <c r="R533" t="s">
        <v>78</v>
      </c>
      <c r="S533" t="s">
        <v>10</v>
      </c>
      <c r="T533" t="s">
        <v>10</v>
      </c>
      <c r="U533" t="s">
        <v>10</v>
      </c>
      <c r="V533" t="s">
        <v>57</v>
      </c>
      <c r="W533" t="s">
        <v>10</v>
      </c>
    </row>
    <row r="534" spans="1:23" x14ac:dyDescent="0.3">
      <c r="A534" t="s">
        <v>625</v>
      </c>
      <c r="B534" s="7">
        <v>45863</v>
      </c>
      <c r="C534" t="s">
        <v>73</v>
      </c>
      <c r="D534" t="s">
        <v>1100</v>
      </c>
      <c r="E534" s="3">
        <v>5</v>
      </c>
      <c r="F534" s="3">
        <v>4</v>
      </c>
      <c r="G534" t="s">
        <v>10</v>
      </c>
      <c r="H534" t="s">
        <v>1110</v>
      </c>
      <c r="I534" t="s">
        <v>28</v>
      </c>
      <c r="J534" t="s">
        <v>50</v>
      </c>
      <c r="K534" t="s">
        <v>10</v>
      </c>
      <c r="L534" t="s">
        <v>10</v>
      </c>
      <c r="M534" t="s">
        <v>10</v>
      </c>
      <c r="N534" t="s">
        <v>10</v>
      </c>
      <c r="O534" t="str">
        <f>INDEX(CoverageTable[Deductible Applies],MATCH(Table18[[#This Row],[Coverage]],CoverageTable[Coverage],0))</f>
        <v>No</v>
      </c>
      <c r="P534" t="str">
        <f>INDEX(CoverageTable[Coverage Limit Applies],MATCH(Table18[[#This Row],[Coverage]],CoverageTable[Coverage],0))</f>
        <v>Yes</v>
      </c>
      <c r="Q534" t="s">
        <v>10</v>
      </c>
      <c r="R534" t="s">
        <v>80</v>
      </c>
      <c r="S534" t="s">
        <v>10</v>
      </c>
      <c r="T534" t="s">
        <v>57</v>
      </c>
      <c r="U534" t="s">
        <v>10</v>
      </c>
      <c r="V534" t="s">
        <v>10</v>
      </c>
      <c r="W534" t="s">
        <v>10</v>
      </c>
    </row>
    <row r="535" spans="1:23" x14ac:dyDescent="0.3">
      <c r="A535" t="s">
        <v>626</v>
      </c>
      <c r="B535" s="7">
        <v>46059</v>
      </c>
      <c r="C535" t="s">
        <v>70</v>
      </c>
      <c r="D535" t="s">
        <v>1099</v>
      </c>
      <c r="E535" s="3">
        <v>1</v>
      </c>
      <c r="F535" s="3">
        <v>0</v>
      </c>
      <c r="G535" t="s">
        <v>10</v>
      </c>
      <c r="H535" t="s">
        <v>1106</v>
      </c>
      <c r="I535" t="s">
        <v>39</v>
      </c>
      <c r="J535" t="s">
        <v>49</v>
      </c>
      <c r="K535" t="s">
        <v>10</v>
      </c>
      <c r="L535" t="s">
        <v>10</v>
      </c>
      <c r="M535" t="s">
        <v>10</v>
      </c>
      <c r="N535" t="s">
        <v>57</v>
      </c>
      <c r="O535" t="str">
        <f>INDEX(CoverageTable[Deductible Applies],MATCH(Table18[[#This Row],[Coverage]],CoverageTable[Coverage],0))</f>
        <v>No</v>
      </c>
      <c r="P535" t="str">
        <f>INDEX(CoverageTable[Coverage Limit Applies],MATCH(Table18[[#This Row],[Coverage]],CoverageTable[Coverage],0))</f>
        <v>Yes</v>
      </c>
      <c r="Q535" t="s">
        <v>10</v>
      </c>
      <c r="R535" t="s">
        <v>79</v>
      </c>
      <c r="S535" t="s">
        <v>10</v>
      </c>
      <c r="T535" t="s">
        <v>57</v>
      </c>
      <c r="U535" t="s">
        <v>57</v>
      </c>
      <c r="V535" t="s">
        <v>57</v>
      </c>
      <c r="W535" t="s">
        <v>57</v>
      </c>
    </row>
    <row r="536" spans="1:23" x14ac:dyDescent="0.3">
      <c r="A536" t="s">
        <v>627</v>
      </c>
      <c r="B536" s="7">
        <v>46081</v>
      </c>
      <c r="C536" t="s">
        <v>71</v>
      </c>
      <c r="D536" t="s">
        <v>1102</v>
      </c>
      <c r="E536" s="3" t="s">
        <v>1103</v>
      </c>
      <c r="F536" s="3">
        <v>0</v>
      </c>
      <c r="G536" t="s">
        <v>12</v>
      </c>
      <c r="H536" t="s">
        <v>1107</v>
      </c>
      <c r="I536" t="s">
        <v>34</v>
      </c>
      <c r="J536" t="s">
        <v>48</v>
      </c>
      <c r="K536" t="s">
        <v>10</v>
      </c>
      <c r="L536" t="s">
        <v>10</v>
      </c>
      <c r="M536" t="s">
        <v>10</v>
      </c>
      <c r="N536" t="s">
        <v>10</v>
      </c>
      <c r="O536" t="str">
        <f>INDEX(CoverageTable[Deductible Applies],MATCH(Table18[[#This Row],[Coverage]],CoverageTable[Coverage],0))</f>
        <v>Yes</v>
      </c>
      <c r="P536" t="str">
        <f>INDEX(CoverageTable[Coverage Limit Applies],MATCH(Table18[[#This Row],[Coverage]],CoverageTable[Coverage],0))</f>
        <v>No</v>
      </c>
      <c r="Q536" t="s">
        <v>79</v>
      </c>
      <c r="R536" t="s">
        <v>10</v>
      </c>
      <c r="S536" t="s">
        <v>10</v>
      </c>
      <c r="T536" t="s">
        <v>57</v>
      </c>
      <c r="U536" t="s">
        <v>57</v>
      </c>
      <c r="V536" t="s">
        <v>10</v>
      </c>
      <c r="W536" t="s">
        <v>10</v>
      </c>
    </row>
    <row r="537" spans="1:23" x14ac:dyDescent="0.3">
      <c r="A537" t="s">
        <v>628</v>
      </c>
      <c r="B537" s="7">
        <v>45902</v>
      </c>
      <c r="C537" t="s">
        <v>74</v>
      </c>
      <c r="D537" t="s">
        <v>1102</v>
      </c>
      <c r="E537" s="3">
        <v>4</v>
      </c>
      <c r="F537" s="3">
        <v>1</v>
      </c>
      <c r="G537" t="s">
        <v>10</v>
      </c>
      <c r="H537" t="s">
        <v>1109</v>
      </c>
      <c r="I537" t="s">
        <v>31</v>
      </c>
      <c r="J537" t="s">
        <v>52</v>
      </c>
      <c r="K537" t="s">
        <v>10</v>
      </c>
      <c r="L537" t="s">
        <v>10</v>
      </c>
      <c r="M537" t="s">
        <v>57</v>
      </c>
      <c r="N537" t="s">
        <v>10</v>
      </c>
      <c r="O537" t="str">
        <f>INDEX(CoverageTable[Deductible Applies],MATCH(Table18[[#This Row],[Coverage]],CoverageTable[Coverage],0))</f>
        <v>No</v>
      </c>
      <c r="P537" t="str">
        <f>INDEX(CoverageTable[Coverage Limit Applies],MATCH(Table18[[#This Row],[Coverage]],CoverageTable[Coverage],0))</f>
        <v>Yes</v>
      </c>
      <c r="Q537" t="s">
        <v>10</v>
      </c>
      <c r="R537" t="s">
        <v>80</v>
      </c>
      <c r="S537" t="s">
        <v>10</v>
      </c>
      <c r="T537" t="s">
        <v>10</v>
      </c>
      <c r="U537" t="s">
        <v>10</v>
      </c>
      <c r="V537" t="s">
        <v>10</v>
      </c>
      <c r="W537" t="s">
        <v>10</v>
      </c>
    </row>
    <row r="538" spans="1:23" x14ac:dyDescent="0.3">
      <c r="A538" t="s">
        <v>629</v>
      </c>
      <c r="B538" s="7">
        <v>45863</v>
      </c>
      <c r="C538" t="s">
        <v>71</v>
      </c>
      <c r="D538" t="s">
        <v>1098</v>
      </c>
      <c r="E538" s="3">
        <v>5</v>
      </c>
      <c r="F538" s="3">
        <v>0</v>
      </c>
      <c r="G538" t="s">
        <v>11</v>
      </c>
      <c r="H538" t="s">
        <v>1106</v>
      </c>
      <c r="I538" t="s">
        <v>43</v>
      </c>
      <c r="J538" t="s">
        <v>52</v>
      </c>
      <c r="K538" t="s">
        <v>10</v>
      </c>
      <c r="L538" t="s">
        <v>10</v>
      </c>
      <c r="M538" t="s">
        <v>10</v>
      </c>
      <c r="N538" t="s">
        <v>57</v>
      </c>
      <c r="O538" t="str">
        <f>INDEX(CoverageTable[Deductible Applies],MATCH(Table18[[#This Row],[Coverage]],CoverageTable[Coverage],0))</f>
        <v>Yes</v>
      </c>
      <c r="P538" t="str">
        <f>INDEX(CoverageTable[Coverage Limit Applies],MATCH(Table18[[#This Row],[Coverage]],CoverageTable[Coverage],0))</f>
        <v>No</v>
      </c>
      <c r="Q538" t="s">
        <v>79</v>
      </c>
      <c r="R538" t="s">
        <v>10</v>
      </c>
      <c r="S538" t="s">
        <v>10</v>
      </c>
      <c r="T538" t="s">
        <v>10</v>
      </c>
      <c r="U538" t="s">
        <v>10</v>
      </c>
      <c r="V538" t="s">
        <v>10</v>
      </c>
      <c r="W538" t="s">
        <v>10</v>
      </c>
    </row>
    <row r="539" spans="1:23" x14ac:dyDescent="0.3">
      <c r="A539" t="s">
        <v>630</v>
      </c>
      <c r="B539" s="7">
        <v>46021</v>
      </c>
      <c r="C539" t="s">
        <v>71</v>
      </c>
      <c r="D539" t="s">
        <v>1099</v>
      </c>
      <c r="E539" s="3">
        <v>2</v>
      </c>
      <c r="F539" s="3">
        <v>4</v>
      </c>
      <c r="G539" t="s">
        <v>12</v>
      </c>
      <c r="H539" t="s">
        <v>1108</v>
      </c>
      <c r="I539" t="s">
        <v>37</v>
      </c>
      <c r="J539" t="s">
        <v>48</v>
      </c>
      <c r="K539" t="s">
        <v>10</v>
      </c>
      <c r="L539" t="s">
        <v>10</v>
      </c>
      <c r="M539" t="s">
        <v>57</v>
      </c>
      <c r="N539" t="s">
        <v>57</v>
      </c>
      <c r="O539" t="str">
        <f>INDEX(CoverageTable[Deductible Applies],MATCH(Table18[[#This Row],[Coverage]],CoverageTable[Coverage],0))</f>
        <v>Yes</v>
      </c>
      <c r="P539" t="str">
        <f>INDEX(CoverageTable[Coverage Limit Applies],MATCH(Table18[[#This Row],[Coverage]],CoverageTable[Coverage],0))</f>
        <v>No</v>
      </c>
      <c r="Q539" t="s">
        <v>79</v>
      </c>
      <c r="R539" t="s">
        <v>10</v>
      </c>
      <c r="S539" t="s">
        <v>10</v>
      </c>
      <c r="T539" t="s">
        <v>57</v>
      </c>
      <c r="U539" t="s">
        <v>10</v>
      </c>
      <c r="V539" t="s">
        <v>10</v>
      </c>
      <c r="W539" t="s">
        <v>10</v>
      </c>
    </row>
    <row r="540" spans="1:23" x14ac:dyDescent="0.3">
      <c r="A540" t="s">
        <v>631</v>
      </c>
      <c r="B540" s="7">
        <v>45842</v>
      </c>
      <c r="C540" t="s">
        <v>70</v>
      </c>
      <c r="D540" t="s">
        <v>1097</v>
      </c>
      <c r="E540" s="3">
        <v>7</v>
      </c>
      <c r="F540" s="3">
        <v>4</v>
      </c>
      <c r="G540" t="s">
        <v>10</v>
      </c>
      <c r="H540" t="s">
        <v>1108</v>
      </c>
      <c r="I540" t="s">
        <v>23</v>
      </c>
      <c r="J540" t="s">
        <v>51</v>
      </c>
      <c r="K540" t="s">
        <v>10</v>
      </c>
      <c r="L540" t="s">
        <v>10</v>
      </c>
      <c r="M540" t="s">
        <v>57</v>
      </c>
      <c r="N540" t="s">
        <v>10</v>
      </c>
      <c r="O540" t="str">
        <f>INDEX(CoverageTable[Deductible Applies],MATCH(Table18[[#This Row],[Coverage]],CoverageTable[Coverage],0))</f>
        <v>No</v>
      </c>
      <c r="P540" t="str">
        <f>INDEX(CoverageTable[Coverage Limit Applies],MATCH(Table18[[#This Row],[Coverage]],CoverageTable[Coverage],0))</f>
        <v>Yes</v>
      </c>
      <c r="Q540" t="s">
        <v>10</v>
      </c>
      <c r="R540" t="s">
        <v>79</v>
      </c>
      <c r="S540" t="s">
        <v>10</v>
      </c>
      <c r="T540" t="s">
        <v>57</v>
      </c>
      <c r="U540" t="s">
        <v>10</v>
      </c>
      <c r="V540" t="s">
        <v>10</v>
      </c>
      <c r="W540" t="s">
        <v>10</v>
      </c>
    </row>
    <row r="541" spans="1:23" x14ac:dyDescent="0.3">
      <c r="A541" t="s">
        <v>632</v>
      </c>
      <c r="B541" s="7">
        <v>46054</v>
      </c>
      <c r="C541" t="s">
        <v>74</v>
      </c>
      <c r="D541" t="s">
        <v>1101</v>
      </c>
      <c r="E541" s="3">
        <v>1</v>
      </c>
      <c r="F541" s="3">
        <v>1</v>
      </c>
      <c r="G541" t="s">
        <v>10</v>
      </c>
      <c r="H541" t="s">
        <v>1109</v>
      </c>
      <c r="I541" t="s">
        <v>28</v>
      </c>
      <c r="J541" t="s">
        <v>53</v>
      </c>
      <c r="K541" t="s">
        <v>10</v>
      </c>
      <c r="L541" t="s">
        <v>10</v>
      </c>
      <c r="M541" t="s">
        <v>10</v>
      </c>
      <c r="N541" t="s">
        <v>57</v>
      </c>
      <c r="O541" t="str">
        <f>INDEX(CoverageTable[Deductible Applies],MATCH(Table18[[#This Row],[Coverage]],CoverageTable[Coverage],0))</f>
        <v>No</v>
      </c>
      <c r="P541" t="str">
        <f>INDEX(CoverageTable[Coverage Limit Applies],MATCH(Table18[[#This Row],[Coverage]],CoverageTable[Coverage],0))</f>
        <v>Yes</v>
      </c>
      <c r="Q541" t="s">
        <v>10</v>
      </c>
      <c r="R541" t="s">
        <v>78</v>
      </c>
      <c r="S541" t="s">
        <v>10</v>
      </c>
      <c r="T541" t="s">
        <v>10</v>
      </c>
      <c r="U541" t="s">
        <v>57</v>
      </c>
      <c r="V541" t="s">
        <v>10</v>
      </c>
      <c r="W541" t="s">
        <v>10</v>
      </c>
    </row>
    <row r="542" spans="1:23" x14ac:dyDescent="0.3">
      <c r="A542" t="s">
        <v>633</v>
      </c>
      <c r="B542" s="7">
        <v>46000</v>
      </c>
      <c r="C542" t="s">
        <v>70</v>
      </c>
      <c r="D542" t="s">
        <v>1102</v>
      </c>
      <c r="E542" s="3">
        <v>2</v>
      </c>
      <c r="F542" s="3">
        <v>2</v>
      </c>
      <c r="G542" t="s">
        <v>10</v>
      </c>
      <c r="H542" t="s">
        <v>1109</v>
      </c>
      <c r="I542" t="s">
        <v>34</v>
      </c>
      <c r="J542" t="s">
        <v>48</v>
      </c>
      <c r="K542" t="s">
        <v>10</v>
      </c>
      <c r="L542" t="s">
        <v>10</v>
      </c>
      <c r="M542" t="s">
        <v>57</v>
      </c>
      <c r="N542" t="s">
        <v>10</v>
      </c>
      <c r="O542" t="str">
        <f>INDEX(CoverageTable[Deductible Applies],MATCH(Table18[[#This Row],[Coverage]],CoverageTable[Coverage],0))</f>
        <v>No</v>
      </c>
      <c r="P542" t="str">
        <f>INDEX(CoverageTable[Coverage Limit Applies],MATCH(Table18[[#This Row],[Coverage]],CoverageTable[Coverage],0))</f>
        <v>Yes</v>
      </c>
      <c r="Q542" t="s">
        <v>10</v>
      </c>
      <c r="R542" t="s">
        <v>79</v>
      </c>
      <c r="S542" t="s">
        <v>10</v>
      </c>
      <c r="T542" t="s">
        <v>10</v>
      </c>
      <c r="U542" t="s">
        <v>10</v>
      </c>
      <c r="V542" t="s">
        <v>10</v>
      </c>
      <c r="W542" t="s">
        <v>57</v>
      </c>
    </row>
    <row r="543" spans="1:23" x14ac:dyDescent="0.3">
      <c r="A543" t="s">
        <v>634</v>
      </c>
      <c r="B543" s="7">
        <v>46051</v>
      </c>
      <c r="C543" t="s">
        <v>74</v>
      </c>
      <c r="D543" t="s">
        <v>1100</v>
      </c>
      <c r="E543" s="3">
        <v>7</v>
      </c>
      <c r="F543" s="3">
        <v>2</v>
      </c>
      <c r="G543" t="s">
        <v>10</v>
      </c>
      <c r="H543" t="s">
        <v>1108</v>
      </c>
      <c r="I543" t="s">
        <v>44</v>
      </c>
      <c r="J543" t="s">
        <v>48</v>
      </c>
      <c r="K543" t="s">
        <v>10</v>
      </c>
      <c r="L543" t="s">
        <v>10</v>
      </c>
      <c r="M543" t="s">
        <v>57</v>
      </c>
      <c r="N543" t="s">
        <v>10</v>
      </c>
      <c r="O543" t="str">
        <f>INDEX(CoverageTable[Deductible Applies],MATCH(Table18[[#This Row],[Coverage]],CoverageTable[Coverage],0))</f>
        <v>No</v>
      </c>
      <c r="P543" t="str">
        <f>INDEX(CoverageTable[Coverage Limit Applies],MATCH(Table18[[#This Row],[Coverage]],CoverageTable[Coverage],0))</f>
        <v>Yes</v>
      </c>
      <c r="Q543" t="s">
        <v>10</v>
      </c>
      <c r="R543" t="s">
        <v>80</v>
      </c>
      <c r="S543" t="s">
        <v>57</v>
      </c>
      <c r="T543" t="s">
        <v>10</v>
      </c>
      <c r="U543" t="s">
        <v>10</v>
      </c>
      <c r="V543" t="s">
        <v>10</v>
      </c>
      <c r="W543" t="s">
        <v>10</v>
      </c>
    </row>
    <row r="544" spans="1:23" x14ac:dyDescent="0.3">
      <c r="A544" t="s">
        <v>635</v>
      </c>
      <c r="B544" s="7">
        <v>46095</v>
      </c>
      <c r="C544" t="s">
        <v>71</v>
      </c>
      <c r="D544" t="s">
        <v>1098</v>
      </c>
      <c r="E544" s="3">
        <v>2</v>
      </c>
      <c r="F544" s="3">
        <v>2</v>
      </c>
      <c r="G544" t="s">
        <v>11</v>
      </c>
      <c r="H544" t="s">
        <v>1107</v>
      </c>
      <c r="I544" t="s">
        <v>21</v>
      </c>
      <c r="J544" t="s">
        <v>49</v>
      </c>
      <c r="K544" t="s">
        <v>10</v>
      </c>
      <c r="L544" t="s">
        <v>10</v>
      </c>
      <c r="M544" t="s">
        <v>57</v>
      </c>
      <c r="N544" t="s">
        <v>10</v>
      </c>
      <c r="O544" t="str">
        <f>INDEX(CoverageTable[Deductible Applies],MATCH(Table18[[#This Row],[Coverage]],CoverageTable[Coverage],0))</f>
        <v>Yes</v>
      </c>
      <c r="P544" t="str">
        <f>INDEX(CoverageTable[Coverage Limit Applies],MATCH(Table18[[#This Row],[Coverage]],CoverageTable[Coverage],0))</f>
        <v>No</v>
      </c>
      <c r="Q544" t="s">
        <v>78</v>
      </c>
      <c r="R544" t="s">
        <v>10</v>
      </c>
      <c r="S544" t="s">
        <v>10</v>
      </c>
      <c r="T544" t="s">
        <v>10</v>
      </c>
      <c r="U544" t="s">
        <v>10</v>
      </c>
      <c r="V544" t="s">
        <v>10</v>
      </c>
      <c r="W544" t="s">
        <v>57</v>
      </c>
    </row>
    <row r="545" spans="1:23" x14ac:dyDescent="0.3">
      <c r="A545" t="s">
        <v>636</v>
      </c>
      <c r="B545" s="7">
        <v>46104</v>
      </c>
      <c r="C545" t="s">
        <v>71</v>
      </c>
      <c r="D545" t="s">
        <v>1100</v>
      </c>
      <c r="E545" s="3">
        <v>6</v>
      </c>
      <c r="F545" s="3">
        <v>0</v>
      </c>
      <c r="G545" t="s">
        <v>10</v>
      </c>
      <c r="H545" t="s">
        <v>1108</v>
      </c>
      <c r="I545" t="s">
        <v>33</v>
      </c>
      <c r="J545" t="s">
        <v>48</v>
      </c>
      <c r="K545" t="s">
        <v>57</v>
      </c>
      <c r="L545" t="s">
        <v>10</v>
      </c>
      <c r="M545" t="s">
        <v>10</v>
      </c>
      <c r="N545" t="s">
        <v>10</v>
      </c>
      <c r="O545" t="str">
        <f>INDEX(CoverageTable[Deductible Applies],MATCH(Table18[[#This Row],[Coverage]],CoverageTable[Coverage],0))</f>
        <v>Yes</v>
      </c>
      <c r="P545" t="str">
        <f>INDEX(CoverageTable[Coverage Limit Applies],MATCH(Table18[[#This Row],[Coverage]],CoverageTable[Coverage],0))</f>
        <v>No</v>
      </c>
      <c r="Q545" t="s">
        <v>78</v>
      </c>
      <c r="R545" t="s">
        <v>10</v>
      </c>
      <c r="S545" t="s">
        <v>10</v>
      </c>
      <c r="T545" t="s">
        <v>10</v>
      </c>
      <c r="U545" t="s">
        <v>57</v>
      </c>
      <c r="V545" t="s">
        <v>10</v>
      </c>
      <c r="W545" t="s">
        <v>10</v>
      </c>
    </row>
    <row r="546" spans="1:23" x14ac:dyDescent="0.3">
      <c r="A546" t="s">
        <v>637</v>
      </c>
      <c r="B546" s="7">
        <v>45842</v>
      </c>
      <c r="C546" t="s">
        <v>70</v>
      </c>
      <c r="D546" t="s">
        <v>1098</v>
      </c>
      <c r="E546" s="3">
        <v>1</v>
      </c>
      <c r="F546" s="3">
        <v>0</v>
      </c>
      <c r="G546" t="s">
        <v>10</v>
      </c>
      <c r="H546" t="s">
        <v>1110</v>
      </c>
      <c r="I546" t="s">
        <v>43</v>
      </c>
      <c r="J546" t="s">
        <v>54</v>
      </c>
      <c r="K546" t="s">
        <v>10</v>
      </c>
      <c r="L546" t="s">
        <v>10</v>
      </c>
      <c r="M546" t="s">
        <v>10</v>
      </c>
      <c r="N546" t="s">
        <v>57</v>
      </c>
      <c r="O546" t="str">
        <f>INDEX(CoverageTable[Deductible Applies],MATCH(Table18[[#This Row],[Coverage]],CoverageTable[Coverage],0))</f>
        <v>No</v>
      </c>
      <c r="P546" t="str">
        <f>INDEX(CoverageTable[Coverage Limit Applies],MATCH(Table18[[#This Row],[Coverage]],CoverageTable[Coverage],0))</f>
        <v>Yes</v>
      </c>
      <c r="Q546" t="s">
        <v>10</v>
      </c>
      <c r="R546" t="s">
        <v>78</v>
      </c>
      <c r="S546" t="s">
        <v>10</v>
      </c>
      <c r="T546" t="s">
        <v>10</v>
      </c>
      <c r="U546" t="s">
        <v>10</v>
      </c>
      <c r="V546" t="s">
        <v>10</v>
      </c>
      <c r="W546" t="s">
        <v>10</v>
      </c>
    </row>
    <row r="547" spans="1:23" x14ac:dyDescent="0.3">
      <c r="A547" t="s">
        <v>638</v>
      </c>
      <c r="B547" s="7">
        <v>46133</v>
      </c>
      <c r="C547" t="s">
        <v>71</v>
      </c>
      <c r="D547" t="s">
        <v>1100</v>
      </c>
      <c r="E547" s="3">
        <v>1</v>
      </c>
      <c r="F547" s="3">
        <v>0</v>
      </c>
      <c r="G547" t="s">
        <v>10</v>
      </c>
      <c r="H547" t="s">
        <v>1108</v>
      </c>
      <c r="I547" t="s">
        <v>43</v>
      </c>
      <c r="J547" t="s">
        <v>53</v>
      </c>
      <c r="K547" t="s">
        <v>10</v>
      </c>
      <c r="L547" t="s">
        <v>10</v>
      </c>
      <c r="M547" t="s">
        <v>57</v>
      </c>
      <c r="N547" t="s">
        <v>57</v>
      </c>
      <c r="O547" t="str">
        <f>INDEX(CoverageTable[Deductible Applies],MATCH(Table18[[#This Row],[Coverage]],CoverageTable[Coverage],0))</f>
        <v>Yes</v>
      </c>
      <c r="P547" t="str">
        <f>INDEX(CoverageTable[Coverage Limit Applies],MATCH(Table18[[#This Row],[Coverage]],CoverageTable[Coverage],0))</f>
        <v>No</v>
      </c>
      <c r="Q547" t="s">
        <v>78</v>
      </c>
      <c r="R547" t="s">
        <v>10</v>
      </c>
      <c r="S547" t="s">
        <v>10</v>
      </c>
      <c r="T547" t="s">
        <v>10</v>
      </c>
      <c r="U547" t="s">
        <v>10</v>
      </c>
      <c r="V547" t="s">
        <v>10</v>
      </c>
      <c r="W547" t="s">
        <v>10</v>
      </c>
    </row>
    <row r="548" spans="1:23" x14ac:dyDescent="0.3">
      <c r="A548" t="s">
        <v>639</v>
      </c>
      <c r="B548" s="7">
        <v>45974</v>
      </c>
      <c r="C548" t="s">
        <v>70</v>
      </c>
      <c r="D548" t="s">
        <v>1100</v>
      </c>
      <c r="E548" s="3" t="s">
        <v>1103</v>
      </c>
      <c r="F548" s="3">
        <v>1</v>
      </c>
      <c r="G548" t="s">
        <v>13</v>
      </c>
      <c r="H548" t="s">
        <v>1109</v>
      </c>
      <c r="I548" t="s">
        <v>43</v>
      </c>
      <c r="J548" t="s">
        <v>51</v>
      </c>
      <c r="K548" t="s">
        <v>10</v>
      </c>
      <c r="L548" t="s">
        <v>10</v>
      </c>
      <c r="M548" t="s">
        <v>10</v>
      </c>
      <c r="N548" t="s">
        <v>10</v>
      </c>
      <c r="O548" t="str">
        <f>INDEX(CoverageTable[Deductible Applies],MATCH(Table18[[#This Row],[Coverage]],CoverageTable[Coverage],0))</f>
        <v>No</v>
      </c>
      <c r="P548" t="str">
        <f>INDEX(CoverageTable[Coverage Limit Applies],MATCH(Table18[[#This Row],[Coverage]],CoverageTable[Coverage],0))</f>
        <v>Yes</v>
      </c>
      <c r="Q548" t="s">
        <v>10</v>
      </c>
      <c r="R548" t="s">
        <v>78</v>
      </c>
      <c r="S548" t="s">
        <v>10</v>
      </c>
      <c r="T548" t="s">
        <v>57</v>
      </c>
      <c r="U548" t="s">
        <v>57</v>
      </c>
      <c r="V548" t="s">
        <v>10</v>
      </c>
      <c r="W548" t="s">
        <v>10</v>
      </c>
    </row>
    <row r="549" spans="1:23" x14ac:dyDescent="0.3">
      <c r="A549" t="s">
        <v>640</v>
      </c>
      <c r="B549" s="7">
        <v>45957</v>
      </c>
      <c r="C549" t="s">
        <v>70</v>
      </c>
      <c r="D549" t="s">
        <v>1098</v>
      </c>
      <c r="E549" s="3" t="s">
        <v>1103</v>
      </c>
      <c r="F549" s="3">
        <v>0</v>
      </c>
      <c r="G549" t="s">
        <v>11</v>
      </c>
      <c r="H549" t="s">
        <v>1110</v>
      </c>
      <c r="I549" t="s">
        <v>31</v>
      </c>
      <c r="J549" t="s">
        <v>48</v>
      </c>
      <c r="K549" t="s">
        <v>10</v>
      </c>
      <c r="L549" t="s">
        <v>10</v>
      </c>
      <c r="M549" t="s">
        <v>57</v>
      </c>
      <c r="N549" t="s">
        <v>57</v>
      </c>
      <c r="O549" t="str">
        <f>INDEX(CoverageTable[Deductible Applies],MATCH(Table18[[#This Row],[Coverage]],CoverageTable[Coverage],0))</f>
        <v>No</v>
      </c>
      <c r="P549" t="str">
        <f>INDEX(CoverageTable[Coverage Limit Applies],MATCH(Table18[[#This Row],[Coverage]],CoverageTable[Coverage],0))</f>
        <v>Yes</v>
      </c>
      <c r="Q549" t="s">
        <v>10</v>
      </c>
      <c r="R549" t="s">
        <v>79</v>
      </c>
      <c r="S549" t="s">
        <v>10</v>
      </c>
      <c r="T549" t="s">
        <v>10</v>
      </c>
      <c r="U549" t="s">
        <v>57</v>
      </c>
      <c r="V549" t="s">
        <v>10</v>
      </c>
      <c r="W549" t="s">
        <v>10</v>
      </c>
    </row>
    <row r="550" spans="1:23" x14ac:dyDescent="0.3">
      <c r="A550" t="s">
        <v>641</v>
      </c>
      <c r="B550" s="7">
        <v>46125</v>
      </c>
      <c r="C550" t="s">
        <v>72</v>
      </c>
      <c r="D550" t="s">
        <v>1097</v>
      </c>
      <c r="E550" s="3">
        <v>6</v>
      </c>
      <c r="F550" s="3">
        <v>1</v>
      </c>
      <c r="G550" t="s">
        <v>10</v>
      </c>
      <c r="H550" t="s">
        <v>1107</v>
      </c>
      <c r="I550" t="s">
        <v>23</v>
      </c>
      <c r="J550" t="s">
        <v>52</v>
      </c>
      <c r="K550" t="s">
        <v>10</v>
      </c>
      <c r="L550" t="s">
        <v>10</v>
      </c>
      <c r="M550" t="s">
        <v>10</v>
      </c>
      <c r="N550" t="s">
        <v>57</v>
      </c>
      <c r="O550" t="str">
        <f>INDEX(CoverageTable[Deductible Applies],MATCH(Table18[[#This Row],[Coverage]],CoverageTable[Coverage],0))</f>
        <v>Yes</v>
      </c>
      <c r="P550" t="str">
        <f>INDEX(CoverageTable[Coverage Limit Applies],MATCH(Table18[[#This Row],[Coverage]],CoverageTable[Coverage],0))</f>
        <v>No</v>
      </c>
      <c r="Q550" t="s">
        <v>80</v>
      </c>
      <c r="R550" t="s">
        <v>10</v>
      </c>
      <c r="S550" t="s">
        <v>10</v>
      </c>
      <c r="T550" t="s">
        <v>57</v>
      </c>
      <c r="U550" t="s">
        <v>10</v>
      </c>
      <c r="V550" t="s">
        <v>10</v>
      </c>
      <c r="W550" t="s">
        <v>57</v>
      </c>
    </row>
    <row r="551" spans="1:23" x14ac:dyDescent="0.3">
      <c r="A551" t="s">
        <v>642</v>
      </c>
      <c r="B551" s="7">
        <v>46054</v>
      </c>
      <c r="C551" t="s">
        <v>71</v>
      </c>
      <c r="D551" t="s">
        <v>1101</v>
      </c>
      <c r="E551" s="3">
        <v>1</v>
      </c>
      <c r="F551" s="3">
        <v>4</v>
      </c>
      <c r="G551" t="s">
        <v>10</v>
      </c>
      <c r="H551" t="s">
        <v>1106</v>
      </c>
      <c r="I551" t="s">
        <v>23</v>
      </c>
      <c r="J551" t="s">
        <v>52</v>
      </c>
      <c r="K551" t="s">
        <v>10</v>
      </c>
      <c r="L551" t="s">
        <v>10</v>
      </c>
      <c r="M551" t="s">
        <v>10</v>
      </c>
      <c r="N551" t="s">
        <v>10</v>
      </c>
      <c r="O551" t="str">
        <f>INDEX(CoverageTable[Deductible Applies],MATCH(Table18[[#This Row],[Coverage]],CoverageTable[Coverage],0))</f>
        <v>Yes</v>
      </c>
      <c r="P551" t="str">
        <f>INDEX(CoverageTable[Coverage Limit Applies],MATCH(Table18[[#This Row],[Coverage]],CoverageTable[Coverage],0))</f>
        <v>No</v>
      </c>
      <c r="Q551" t="s">
        <v>78</v>
      </c>
      <c r="R551" t="s">
        <v>10</v>
      </c>
      <c r="S551" t="s">
        <v>57</v>
      </c>
      <c r="T551" t="s">
        <v>57</v>
      </c>
      <c r="U551" t="s">
        <v>10</v>
      </c>
      <c r="V551" t="s">
        <v>57</v>
      </c>
      <c r="W551" t="s">
        <v>57</v>
      </c>
    </row>
    <row r="552" spans="1:23" x14ac:dyDescent="0.3">
      <c r="A552" t="s">
        <v>643</v>
      </c>
      <c r="B552" s="7">
        <v>45891</v>
      </c>
      <c r="C552" t="s">
        <v>70</v>
      </c>
      <c r="D552" t="s">
        <v>1097</v>
      </c>
      <c r="E552" s="3">
        <v>4</v>
      </c>
      <c r="F552" s="3">
        <v>0</v>
      </c>
      <c r="G552" t="s">
        <v>13</v>
      </c>
      <c r="H552" t="s">
        <v>1110</v>
      </c>
      <c r="I552" t="s">
        <v>23</v>
      </c>
      <c r="J552" t="s">
        <v>52</v>
      </c>
      <c r="K552" t="s">
        <v>10</v>
      </c>
      <c r="L552" t="s">
        <v>57</v>
      </c>
      <c r="M552" t="s">
        <v>10</v>
      </c>
      <c r="N552" t="s">
        <v>57</v>
      </c>
      <c r="O552" t="str">
        <f>INDEX(CoverageTable[Deductible Applies],MATCH(Table18[[#This Row],[Coverage]],CoverageTable[Coverage],0))</f>
        <v>No</v>
      </c>
      <c r="P552" t="str">
        <f>INDEX(CoverageTable[Coverage Limit Applies],MATCH(Table18[[#This Row],[Coverage]],CoverageTable[Coverage],0))</f>
        <v>Yes</v>
      </c>
      <c r="Q552" t="s">
        <v>10</v>
      </c>
      <c r="R552" t="s">
        <v>78</v>
      </c>
      <c r="S552" t="s">
        <v>10</v>
      </c>
      <c r="T552" t="s">
        <v>10</v>
      </c>
      <c r="U552" t="s">
        <v>10</v>
      </c>
      <c r="V552" t="s">
        <v>10</v>
      </c>
      <c r="W552" t="s">
        <v>10</v>
      </c>
    </row>
    <row r="553" spans="1:23" x14ac:dyDescent="0.3">
      <c r="A553" t="s">
        <v>644</v>
      </c>
      <c r="B553" s="7">
        <v>46102</v>
      </c>
      <c r="C553" t="s">
        <v>71</v>
      </c>
      <c r="D553" t="s">
        <v>1098</v>
      </c>
      <c r="E553" s="3" t="s">
        <v>1103</v>
      </c>
      <c r="F553" s="3">
        <v>1</v>
      </c>
      <c r="G553" t="s">
        <v>13</v>
      </c>
      <c r="H553" t="s">
        <v>1109</v>
      </c>
      <c r="I553" t="s">
        <v>43</v>
      </c>
      <c r="J553" t="s">
        <v>53</v>
      </c>
      <c r="K553" t="s">
        <v>10</v>
      </c>
      <c r="L553" t="s">
        <v>10</v>
      </c>
      <c r="M553" t="s">
        <v>10</v>
      </c>
      <c r="N553" t="s">
        <v>57</v>
      </c>
      <c r="O553" t="str">
        <f>INDEX(CoverageTable[Deductible Applies],MATCH(Table18[[#This Row],[Coverage]],CoverageTable[Coverage],0))</f>
        <v>Yes</v>
      </c>
      <c r="P553" t="str">
        <f>INDEX(CoverageTable[Coverage Limit Applies],MATCH(Table18[[#This Row],[Coverage]],CoverageTable[Coverage],0))</f>
        <v>No</v>
      </c>
      <c r="Q553" t="s">
        <v>78</v>
      </c>
      <c r="R553" t="s">
        <v>10</v>
      </c>
      <c r="S553" t="s">
        <v>10</v>
      </c>
      <c r="T553" t="s">
        <v>10</v>
      </c>
      <c r="U553" t="s">
        <v>57</v>
      </c>
      <c r="V553" t="s">
        <v>10</v>
      </c>
      <c r="W553" t="s">
        <v>10</v>
      </c>
    </row>
    <row r="554" spans="1:23" x14ac:dyDescent="0.3">
      <c r="A554" t="s">
        <v>645</v>
      </c>
      <c r="B554" s="7">
        <v>45835</v>
      </c>
      <c r="C554" t="s">
        <v>70</v>
      </c>
      <c r="D554" t="s">
        <v>1102</v>
      </c>
      <c r="E554" s="3">
        <v>2</v>
      </c>
      <c r="F554" s="3">
        <v>3</v>
      </c>
      <c r="G554" t="s">
        <v>12</v>
      </c>
      <c r="H554" t="s">
        <v>1108</v>
      </c>
      <c r="I554" t="s">
        <v>23</v>
      </c>
      <c r="J554" t="s">
        <v>52</v>
      </c>
      <c r="K554" t="s">
        <v>10</v>
      </c>
      <c r="L554" t="s">
        <v>10</v>
      </c>
      <c r="M554" t="s">
        <v>10</v>
      </c>
      <c r="N554" t="s">
        <v>57</v>
      </c>
      <c r="O554" t="str">
        <f>INDEX(CoverageTable[Deductible Applies],MATCH(Table18[[#This Row],[Coverage]],CoverageTable[Coverage],0))</f>
        <v>No</v>
      </c>
      <c r="P554" t="str">
        <f>INDEX(CoverageTable[Coverage Limit Applies],MATCH(Table18[[#This Row],[Coverage]],CoverageTable[Coverage],0))</f>
        <v>Yes</v>
      </c>
      <c r="Q554" t="s">
        <v>10</v>
      </c>
      <c r="R554" t="s">
        <v>80</v>
      </c>
      <c r="S554" t="s">
        <v>57</v>
      </c>
      <c r="T554" t="s">
        <v>10</v>
      </c>
      <c r="U554" t="s">
        <v>10</v>
      </c>
      <c r="V554" t="s">
        <v>57</v>
      </c>
      <c r="W554" t="s">
        <v>10</v>
      </c>
    </row>
    <row r="555" spans="1:23" x14ac:dyDescent="0.3">
      <c r="A555" t="s">
        <v>646</v>
      </c>
      <c r="B555" s="7">
        <v>46132</v>
      </c>
      <c r="C555" t="s">
        <v>74</v>
      </c>
      <c r="D555" t="s">
        <v>1102</v>
      </c>
      <c r="E555" s="3">
        <v>2</v>
      </c>
      <c r="F555" s="3">
        <v>0</v>
      </c>
      <c r="G555" t="s">
        <v>12</v>
      </c>
      <c r="H555" t="s">
        <v>1108</v>
      </c>
      <c r="I555" t="s">
        <v>25</v>
      </c>
      <c r="J555" t="s">
        <v>51</v>
      </c>
      <c r="K555" t="s">
        <v>10</v>
      </c>
      <c r="L555" t="s">
        <v>10</v>
      </c>
      <c r="M555" t="s">
        <v>10</v>
      </c>
      <c r="N555" t="s">
        <v>10</v>
      </c>
      <c r="O555" t="str">
        <f>INDEX(CoverageTable[Deductible Applies],MATCH(Table18[[#This Row],[Coverage]],CoverageTable[Coverage],0))</f>
        <v>No</v>
      </c>
      <c r="P555" t="str">
        <f>INDEX(CoverageTable[Coverage Limit Applies],MATCH(Table18[[#This Row],[Coverage]],CoverageTable[Coverage],0))</f>
        <v>Yes</v>
      </c>
      <c r="Q555" t="s">
        <v>10</v>
      </c>
      <c r="R555" t="s">
        <v>78</v>
      </c>
      <c r="S555" t="s">
        <v>10</v>
      </c>
      <c r="T555" t="s">
        <v>10</v>
      </c>
      <c r="U555" t="s">
        <v>10</v>
      </c>
      <c r="V555" t="s">
        <v>10</v>
      </c>
      <c r="W555" t="s">
        <v>10</v>
      </c>
    </row>
    <row r="556" spans="1:23" x14ac:dyDescent="0.3">
      <c r="A556" t="s">
        <v>647</v>
      </c>
      <c r="B556" s="7">
        <v>45797</v>
      </c>
      <c r="C556" t="s">
        <v>70</v>
      </c>
      <c r="D556" t="s">
        <v>1097</v>
      </c>
      <c r="E556" s="3">
        <v>1</v>
      </c>
      <c r="F556" s="3">
        <v>0</v>
      </c>
      <c r="G556" t="s">
        <v>11</v>
      </c>
      <c r="H556" t="s">
        <v>1107</v>
      </c>
      <c r="I556" t="s">
        <v>42</v>
      </c>
      <c r="J556" t="s">
        <v>54</v>
      </c>
      <c r="K556" t="s">
        <v>10</v>
      </c>
      <c r="L556" t="s">
        <v>57</v>
      </c>
      <c r="M556" t="s">
        <v>10</v>
      </c>
      <c r="N556" t="s">
        <v>10</v>
      </c>
      <c r="O556" t="str">
        <f>INDEX(CoverageTable[Deductible Applies],MATCH(Table18[[#This Row],[Coverage]],CoverageTable[Coverage],0))</f>
        <v>No</v>
      </c>
      <c r="P556" t="str">
        <f>INDEX(CoverageTable[Coverage Limit Applies],MATCH(Table18[[#This Row],[Coverage]],CoverageTable[Coverage],0))</f>
        <v>Yes</v>
      </c>
      <c r="Q556" t="s">
        <v>10</v>
      </c>
      <c r="R556" t="s">
        <v>80</v>
      </c>
      <c r="S556" t="s">
        <v>10</v>
      </c>
      <c r="T556" t="s">
        <v>10</v>
      </c>
      <c r="U556" t="s">
        <v>10</v>
      </c>
      <c r="V556" t="s">
        <v>10</v>
      </c>
      <c r="W556" t="s">
        <v>57</v>
      </c>
    </row>
    <row r="557" spans="1:23" x14ac:dyDescent="0.3">
      <c r="A557" t="s">
        <v>648</v>
      </c>
      <c r="B557" s="7">
        <v>45871</v>
      </c>
      <c r="C557" t="s">
        <v>70</v>
      </c>
      <c r="D557" t="s">
        <v>1100</v>
      </c>
      <c r="E557" s="3" t="s">
        <v>1103</v>
      </c>
      <c r="F557" s="3">
        <v>0</v>
      </c>
      <c r="G557" t="s">
        <v>12</v>
      </c>
      <c r="H557" t="s">
        <v>1109</v>
      </c>
      <c r="I557" t="s">
        <v>35</v>
      </c>
      <c r="J557" t="s">
        <v>52</v>
      </c>
      <c r="K557" t="s">
        <v>10</v>
      </c>
      <c r="L557" t="s">
        <v>10</v>
      </c>
      <c r="M557" t="s">
        <v>10</v>
      </c>
      <c r="N557" t="s">
        <v>57</v>
      </c>
      <c r="O557" t="str">
        <f>INDEX(CoverageTable[Deductible Applies],MATCH(Table18[[#This Row],[Coverage]],CoverageTable[Coverage],0))</f>
        <v>No</v>
      </c>
      <c r="P557" t="str">
        <f>INDEX(CoverageTable[Coverage Limit Applies],MATCH(Table18[[#This Row],[Coverage]],CoverageTable[Coverage],0))</f>
        <v>Yes</v>
      </c>
      <c r="Q557" t="s">
        <v>10</v>
      </c>
      <c r="R557" t="s">
        <v>79</v>
      </c>
      <c r="S557" t="s">
        <v>10</v>
      </c>
      <c r="T557" t="s">
        <v>10</v>
      </c>
      <c r="U557" t="s">
        <v>10</v>
      </c>
      <c r="V557" t="s">
        <v>57</v>
      </c>
      <c r="W557" t="s">
        <v>10</v>
      </c>
    </row>
    <row r="558" spans="1:23" x14ac:dyDescent="0.3">
      <c r="A558" t="s">
        <v>649</v>
      </c>
      <c r="B558" s="7">
        <v>45935</v>
      </c>
      <c r="C558" t="s">
        <v>71</v>
      </c>
      <c r="D558" t="s">
        <v>1101</v>
      </c>
      <c r="E558" s="3">
        <v>3</v>
      </c>
      <c r="F558" s="3">
        <v>0</v>
      </c>
      <c r="G558" t="s">
        <v>13</v>
      </c>
      <c r="H558" t="s">
        <v>1106</v>
      </c>
      <c r="I558" t="s">
        <v>40</v>
      </c>
      <c r="J558" t="s">
        <v>50</v>
      </c>
      <c r="K558" t="s">
        <v>10</v>
      </c>
      <c r="L558" t="s">
        <v>10</v>
      </c>
      <c r="M558" t="s">
        <v>10</v>
      </c>
      <c r="N558" t="s">
        <v>10</v>
      </c>
      <c r="O558" t="str">
        <f>INDEX(CoverageTable[Deductible Applies],MATCH(Table18[[#This Row],[Coverage]],CoverageTable[Coverage],0))</f>
        <v>Yes</v>
      </c>
      <c r="P558" t="str">
        <f>INDEX(CoverageTable[Coverage Limit Applies],MATCH(Table18[[#This Row],[Coverage]],CoverageTable[Coverage],0))</f>
        <v>No</v>
      </c>
      <c r="Q558" t="s">
        <v>80</v>
      </c>
      <c r="R558" t="s">
        <v>10</v>
      </c>
      <c r="S558" t="s">
        <v>10</v>
      </c>
      <c r="T558" t="s">
        <v>57</v>
      </c>
      <c r="U558" t="s">
        <v>10</v>
      </c>
      <c r="V558" t="s">
        <v>10</v>
      </c>
      <c r="W558" t="s">
        <v>57</v>
      </c>
    </row>
    <row r="559" spans="1:23" x14ac:dyDescent="0.3">
      <c r="A559" t="s">
        <v>650</v>
      </c>
      <c r="B559" s="7">
        <v>46097</v>
      </c>
      <c r="C559" t="s">
        <v>71</v>
      </c>
      <c r="D559" t="s">
        <v>1100</v>
      </c>
      <c r="E559" s="3" t="s">
        <v>1103</v>
      </c>
      <c r="F559" s="3">
        <v>0</v>
      </c>
      <c r="G559" t="s">
        <v>10</v>
      </c>
      <c r="H559" t="s">
        <v>1107</v>
      </c>
      <c r="I559" t="s">
        <v>27</v>
      </c>
      <c r="J559" t="s">
        <v>53</v>
      </c>
      <c r="K559" t="s">
        <v>10</v>
      </c>
      <c r="L559" t="s">
        <v>10</v>
      </c>
      <c r="M559" t="s">
        <v>10</v>
      </c>
      <c r="N559" t="s">
        <v>57</v>
      </c>
      <c r="O559" t="str">
        <f>INDEX(CoverageTable[Deductible Applies],MATCH(Table18[[#This Row],[Coverage]],CoverageTable[Coverage],0))</f>
        <v>Yes</v>
      </c>
      <c r="P559" t="str">
        <f>INDEX(CoverageTable[Coverage Limit Applies],MATCH(Table18[[#This Row],[Coverage]],CoverageTable[Coverage],0))</f>
        <v>No</v>
      </c>
      <c r="Q559" t="s">
        <v>79</v>
      </c>
      <c r="R559" t="s">
        <v>10</v>
      </c>
      <c r="S559" t="s">
        <v>57</v>
      </c>
      <c r="T559" t="s">
        <v>10</v>
      </c>
      <c r="U559" t="s">
        <v>10</v>
      </c>
      <c r="V559" t="s">
        <v>10</v>
      </c>
      <c r="W559" t="s">
        <v>10</v>
      </c>
    </row>
    <row r="560" spans="1:23" x14ac:dyDescent="0.3">
      <c r="A560" t="s">
        <v>651</v>
      </c>
      <c r="B560" s="7">
        <v>46136</v>
      </c>
      <c r="C560" t="s">
        <v>70</v>
      </c>
      <c r="D560" t="s">
        <v>1098</v>
      </c>
      <c r="E560" s="3">
        <v>1</v>
      </c>
      <c r="F560" s="3">
        <v>0</v>
      </c>
      <c r="G560" t="s">
        <v>12</v>
      </c>
      <c r="H560" t="s">
        <v>1107</v>
      </c>
      <c r="I560" t="s">
        <v>33</v>
      </c>
      <c r="J560" t="s">
        <v>50</v>
      </c>
      <c r="K560" t="s">
        <v>10</v>
      </c>
      <c r="L560" t="s">
        <v>10</v>
      </c>
      <c r="M560" t="s">
        <v>57</v>
      </c>
      <c r="N560" t="s">
        <v>10</v>
      </c>
      <c r="O560" t="str">
        <f>INDEX(CoverageTable[Deductible Applies],MATCH(Table18[[#This Row],[Coverage]],CoverageTable[Coverage],0))</f>
        <v>No</v>
      </c>
      <c r="P560" t="str">
        <f>INDEX(CoverageTable[Coverage Limit Applies],MATCH(Table18[[#This Row],[Coverage]],CoverageTable[Coverage],0))</f>
        <v>Yes</v>
      </c>
      <c r="Q560" t="s">
        <v>10</v>
      </c>
      <c r="R560" t="s">
        <v>78</v>
      </c>
      <c r="S560" t="s">
        <v>10</v>
      </c>
      <c r="T560" t="s">
        <v>57</v>
      </c>
      <c r="U560" t="s">
        <v>10</v>
      </c>
      <c r="V560" t="s">
        <v>10</v>
      </c>
      <c r="W560" t="s">
        <v>10</v>
      </c>
    </row>
    <row r="561" spans="1:23" x14ac:dyDescent="0.3">
      <c r="A561" t="s">
        <v>652</v>
      </c>
      <c r="B561" s="7">
        <v>45863</v>
      </c>
      <c r="C561" t="s">
        <v>72</v>
      </c>
      <c r="D561" t="s">
        <v>1097</v>
      </c>
      <c r="E561" s="3" t="s">
        <v>1103</v>
      </c>
      <c r="F561" s="3">
        <v>4</v>
      </c>
      <c r="G561" t="s">
        <v>10</v>
      </c>
      <c r="H561" t="s">
        <v>1106</v>
      </c>
      <c r="I561" t="s">
        <v>26</v>
      </c>
      <c r="J561" t="s">
        <v>48</v>
      </c>
      <c r="K561" t="s">
        <v>10</v>
      </c>
      <c r="L561" t="s">
        <v>10</v>
      </c>
      <c r="M561" t="s">
        <v>10</v>
      </c>
      <c r="N561" t="s">
        <v>57</v>
      </c>
      <c r="O561" t="str">
        <f>INDEX(CoverageTable[Deductible Applies],MATCH(Table18[[#This Row],[Coverage]],CoverageTable[Coverage],0))</f>
        <v>Yes</v>
      </c>
      <c r="P561" t="str">
        <f>INDEX(CoverageTable[Coverage Limit Applies],MATCH(Table18[[#This Row],[Coverage]],CoverageTable[Coverage],0))</f>
        <v>No</v>
      </c>
      <c r="Q561" t="s">
        <v>80</v>
      </c>
      <c r="R561" t="s">
        <v>10</v>
      </c>
      <c r="S561" t="s">
        <v>10</v>
      </c>
      <c r="T561" t="s">
        <v>10</v>
      </c>
      <c r="U561" t="s">
        <v>10</v>
      </c>
      <c r="V561" t="s">
        <v>10</v>
      </c>
      <c r="W561" t="s">
        <v>57</v>
      </c>
    </row>
    <row r="562" spans="1:23" x14ac:dyDescent="0.3">
      <c r="A562" t="s">
        <v>653</v>
      </c>
      <c r="B562" s="7">
        <v>46033</v>
      </c>
      <c r="C562" t="s">
        <v>71</v>
      </c>
      <c r="D562" t="s">
        <v>1097</v>
      </c>
      <c r="E562" s="3" t="s">
        <v>1103</v>
      </c>
      <c r="F562" s="3">
        <v>1</v>
      </c>
      <c r="G562" t="s">
        <v>10</v>
      </c>
      <c r="H562" t="s">
        <v>1110</v>
      </c>
      <c r="I562" t="s">
        <v>42</v>
      </c>
      <c r="J562" t="s">
        <v>53</v>
      </c>
      <c r="K562" t="s">
        <v>10</v>
      </c>
      <c r="L562" t="s">
        <v>10</v>
      </c>
      <c r="M562" t="s">
        <v>10</v>
      </c>
      <c r="N562" t="s">
        <v>10</v>
      </c>
      <c r="O562" t="str">
        <f>INDEX(CoverageTable[Deductible Applies],MATCH(Table18[[#This Row],[Coverage]],CoverageTable[Coverage],0))</f>
        <v>Yes</v>
      </c>
      <c r="P562" t="str">
        <f>INDEX(CoverageTable[Coverage Limit Applies],MATCH(Table18[[#This Row],[Coverage]],CoverageTable[Coverage],0))</f>
        <v>No</v>
      </c>
      <c r="Q562" t="s">
        <v>80</v>
      </c>
      <c r="R562" t="s">
        <v>10</v>
      </c>
      <c r="S562" t="s">
        <v>10</v>
      </c>
      <c r="T562" t="s">
        <v>10</v>
      </c>
      <c r="U562" t="s">
        <v>10</v>
      </c>
      <c r="V562" t="s">
        <v>10</v>
      </c>
      <c r="W562" t="s">
        <v>10</v>
      </c>
    </row>
    <row r="563" spans="1:23" x14ac:dyDescent="0.3">
      <c r="A563" t="s">
        <v>654</v>
      </c>
      <c r="B563" s="7">
        <v>46053</v>
      </c>
      <c r="C563" t="s">
        <v>71</v>
      </c>
      <c r="D563" t="s">
        <v>1100</v>
      </c>
      <c r="E563" s="3">
        <v>7</v>
      </c>
      <c r="F563" s="3">
        <v>1</v>
      </c>
      <c r="G563" t="s">
        <v>10</v>
      </c>
      <c r="H563" t="s">
        <v>1110</v>
      </c>
      <c r="I563" t="s">
        <v>38</v>
      </c>
      <c r="J563" t="s">
        <v>50</v>
      </c>
      <c r="K563" t="s">
        <v>10</v>
      </c>
      <c r="L563" t="s">
        <v>10</v>
      </c>
      <c r="M563" t="s">
        <v>10</v>
      </c>
      <c r="N563" t="s">
        <v>57</v>
      </c>
      <c r="O563" t="str">
        <f>INDEX(CoverageTable[Deductible Applies],MATCH(Table18[[#This Row],[Coverage]],CoverageTable[Coverage],0))</f>
        <v>Yes</v>
      </c>
      <c r="P563" t="str">
        <f>INDEX(CoverageTable[Coverage Limit Applies],MATCH(Table18[[#This Row],[Coverage]],CoverageTable[Coverage],0))</f>
        <v>No</v>
      </c>
      <c r="Q563" t="s">
        <v>79</v>
      </c>
      <c r="R563" t="s">
        <v>10</v>
      </c>
      <c r="S563" t="s">
        <v>57</v>
      </c>
      <c r="T563" t="s">
        <v>10</v>
      </c>
      <c r="U563" t="s">
        <v>10</v>
      </c>
      <c r="V563" t="s">
        <v>10</v>
      </c>
      <c r="W563" t="s">
        <v>10</v>
      </c>
    </row>
    <row r="564" spans="1:23" x14ac:dyDescent="0.3">
      <c r="A564" t="s">
        <v>655</v>
      </c>
      <c r="B564" s="7">
        <v>46115</v>
      </c>
      <c r="C564" t="s">
        <v>70</v>
      </c>
      <c r="D564" t="s">
        <v>1100</v>
      </c>
      <c r="E564" s="3" t="s">
        <v>1103</v>
      </c>
      <c r="F564" s="3">
        <v>1</v>
      </c>
      <c r="G564" t="s">
        <v>11</v>
      </c>
      <c r="H564" t="s">
        <v>1109</v>
      </c>
      <c r="I564" t="s">
        <v>31</v>
      </c>
      <c r="J564" t="s">
        <v>52</v>
      </c>
      <c r="K564" t="s">
        <v>10</v>
      </c>
      <c r="L564" t="s">
        <v>10</v>
      </c>
      <c r="M564" t="s">
        <v>57</v>
      </c>
      <c r="N564" t="s">
        <v>10</v>
      </c>
      <c r="O564" t="str">
        <f>INDEX(CoverageTable[Deductible Applies],MATCH(Table18[[#This Row],[Coverage]],CoverageTable[Coverage],0))</f>
        <v>No</v>
      </c>
      <c r="P564" t="str">
        <f>INDEX(CoverageTable[Coverage Limit Applies],MATCH(Table18[[#This Row],[Coverage]],CoverageTable[Coverage],0))</f>
        <v>Yes</v>
      </c>
      <c r="Q564" t="s">
        <v>10</v>
      </c>
      <c r="R564" t="s">
        <v>78</v>
      </c>
      <c r="S564" t="s">
        <v>10</v>
      </c>
      <c r="T564" t="s">
        <v>10</v>
      </c>
      <c r="U564" t="s">
        <v>57</v>
      </c>
      <c r="V564" t="s">
        <v>10</v>
      </c>
      <c r="W564" t="s">
        <v>57</v>
      </c>
    </row>
    <row r="565" spans="1:23" x14ac:dyDescent="0.3">
      <c r="A565" t="s">
        <v>656</v>
      </c>
      <c r="B565" s="7">
        <v>45782</v>
      </c>
      <c r="C565" t="s">
        <v>70</v>
      </c>
      <c r="D565" t="s">
        <v>1099</v>
      </c>
      <c r="E565" s="3" t="s">
        <v>1103</v>
      </c>
      <c r="F565" s="3">
        <v>4</v>
      </c>
      <c r="G565" t="s">
        <v>13</v>
      </c>
      <c r="H565" t="s">
        <v>1106</v>
      </c>
      <c r="I565" t="s">
        <v>44</v>
      </c>
      <c r="J565" t="s">
        <v>50</v>
      </c>
      <c r="K565" t="s">
        <v>10</v>
      </c>
      <c r="L565" t="s">
        <v>10</v>
      </c>
      <c r="M565" t="s">
        <v>10</v>
      </c>
      <c r="N565" t="s">
        <v>57</v>
      </c>
      <c r="O565" t="str">
        <f>INDEX(CoverageTable[Deductible Applies],MATCH(Table18[[#This Row],[Coverage]],CoverageTable[Coverage],0))</f>
        <v>No</v>
      </c>
      <c r="P565" t="str">
        <f>INDEX(CoverageTable[Coverage Limit Applies],MATCH(Table18[[#This Row],[Coverage]],CoverageTable[Coverage],0))</f>
        <v>Yes</v>
      </c>
      <c r="Q565" t="s">
        <v>10</v>
      </c>
      <c r="R565" t="s">
        <v>78</v>
      </c>
      <c r="S565" t="s">
        <v>10</v>
      </c>
      <c r="T565" t="s">
        <v>10</v>
      </c>
      <c r="U565" t="s">
        <v>10</v>
      </c>
      <c r="V565" t="s">
        <v>10</v>
      </c>
      <c r="W565" t="s">
        <v>10</v>
      </c>
    </row>
    <row r="566" spans="1:23" x14ac:dyDescent="0.3">
      <c r="A566" t="s">
        <v>657</v>
      </c>
      <c r="B566" s="7">
        <v>46105</v>
      </c>
      <c r="C566" t="s">
        <v>72</v>
      </c>
      <c r="D566" t="s">
        <v>1099</v>
      </c>
      <c r="E566" s="3" t="s">
        <v>1103</v>
      </c>
      <c r="F566" s="3">
        <v>4</v>
      </c>
      <c r="G566" t="s">
        <v>10</v>
      </c>
      <c r="H566" t="s">
        <v>1107</v>
      </c>
      <c r="I566" t="s">
        <v>31</v>
      </c>
      <c r="J566" t="s">
        <v>48</v>
      </c>
      <c r="K566" t="s">
        <v>57</v>
      </c>
      <c r="L566" t="s">
        <v>10</v>
      </c>
      <c r="M566" t="s">
        <v>10</v>
      </c>
      <c r="N566" t="s">
        <v>10</v>
      </c>
      <c r="O566" t="str">
        <f>INDEX(CoverageTable[Deductible Applies],MATCH(Table18[[#This Row],[Coverage]],CoverageTable[Coverage],0))</f>
        <v>Yes</v>
      </c>
      <c r="P566" t="str">
        <f>INDEX(CoverageTable[Coverage Limit Applies],MATCH(Table18[[#This Row],[Coverage]],CoverageTable[Coverage],0))</f>
        <v>No</v>
      </c>
      <c r="Q566" t="s">
        <v>79</v>
      </c>
      <c r="R566" t="s">
        <v>10</v>
      </c>
      <c r="S566" t="s">
        <v>10</v>
      </c>
      <c r="T566" t="s">
        <v>57</v>
      </c>
      <c r="U566" t="s">
        <v>10</v>
      </c>
      <c r="V566" t="s">
        <v>10</v>
      </c>
      <c r="W566" t="s">
        <v>57</v>
      </c>
    </row>
    <row r="567" spans="1:23" x14ac:dyDescent="0.3">
      <c r="A567" t="s">
        <v>658</v>
      </c>
      <c r="B567" s="7">
        <v>46013</v>
      </c>
      <c r="C567" t="s">
        <v>71</v>
      </c>
      <c r="D567" t="s">
        <v>1099</v>
      </c>
      <c r="E567" s="3">
        <v>3</v>
      </c>
      <c r="F567" s="3">
        <v>1</v>
      </c>
      <c r="G567" t="s">
        <v>10</v>
      </c>
      <c r="H567" t="s">
        <v>1109</v>
      </c>
      <c r="I567" t="s">
        <v>31</v>
      </c>
      <c r="J567" t="s">
        <v>51</v>
      </c>
      <c r="K567" t="s">
        <v>10</v>
      </c>
      <c r="L567" t="s">
        <v>10</v>
      </c>
      <c r="M567" t="s">
        <v>10</v>
      </c>
      <c r="N567" t="s">
        <v>57</v>
      </c>
      <c r="O567" t="str">
        <f>INDEX(CoverageTable[Deductible Applies],MATCH(Table18[[#This Row],[Coverage]],CoverageTable[Coverage],0))</f>
        <v>Yes</v>
      </c>
      <c r="P567" t="str">
        <f>INDEX(CoverageTable[Coverage Limit Applies],MATCH(Table18[[#This Row],[Coverage]],CoverageTable[Coverage],0))</f>
        <v>No</v>
      </c>
      <c r="Q567" t="s">
        <v>80</v>
      </c>
      <c r="R567" t="s">
        <v>10</v>
      </c>
      <c r="S567" t="s">
        <v>10</v>
      </c>
      <c r="T567" t="s">
        <v>57</v>
      </c>
      <c r="U567" t="s">
        <v>10</v>
      </c>
      <c r="V567" t="s">
        <v>10</v>
      </c>
      <c r="W567" t="s">
        <v>10</v>
      </c>
    </row>
    <row r="568" spans="1:23" x14ac:dyDescent="0.3">
      <c r="A568" t="s">
        <v>659</v>
      </c>
      <c r="B568" s="7">
        <v>45857</v>
      </c>
      <c r="C568" t="s">
        <v>71</v>
      </c>
      <c r="D568" t="s">
        <v>1098</v>
      </c>
      <c r="E568" s="3" t="s">
        <v>1103</v>
      </c>
      <c r="F568" s="3" t="s">
        <v>7</v>
      </c>
      <c r="G568" t="s">
        <v>11</v>
      </c>
      <c r="H568" t="s">
        <v>1110</v>
      </c>
      <c r="I568" t="s">
        <v>41</v>
      </c>
      <c r="J568" t="s">
        <v>49</v>
      </c>
      <c r="K568" t="s">
        <v>10</v>
      </c>
      <c r="L568" t="s">
        <v>10</v>
      </c>
      <c r="M568" t="s">
        <v>10</v>
      </c>
      <c r="N568" t="s">
        <v>57</v>
      </c>
      <c r="O568" t="str">
        <f>INDEX(CoverageTable[Deductible Applies],MATCH(Table18[[#This Row],[Coverage]],CoverageTable[Coverage],0))</f>
        <v>Yes</v>
      </c>
      <c r="P568" t="str">
        <f>INDEX(CoverageTable[Coverage Limit Applies],MATCH(Table18[[#This Row],[Coverage]],CoverageTable[Coverage],0))</f>
        <v>No</v>
      </c>
      <c r="Q568" t="s">
        <v>80</v>
      </c>
      <c r="R568" t="s">
        <v>10</v>
      </c>
      <c r="S568" t="s">
        <v>10</v>
      </c>
      <c r="T568" t="s">
        <v>10</v>
      </c>
      <c r="U568" t="s">
        <v>10</v>
      </c>
      <c r="V568" t="s">
        <v>57</v>
      </c>
      <c r="W568" t="s">
        <v>10</v>
      </c>
    </row>
    <row r="569" spans="1:23" x14ac:dyDescent="0.3">
      <c r="A569" t="s">
        <v>660</v>
      </c>
      <c r="B569" s="7">
        <v>45982</v>
      </c>
      <c r="C569" t="s">
        <v>71</v>
      </c>
      <c r="D569" t="s">
        <v>1099</v>
      </c>
      <c r="E569" s="3">
        <v>4</v>
      </c>
      <c r="F569" s="3">
        <v>1</v>
      </c>
      <c r="G569" t="s">
        <v>10</v>
      </c>
      <c r="H569" t="s">
        <v>1110</v>
      </c>
      <c r="I569" t="s">
        <v>36</v>
      </c>
      <c r="J569" t="s">
        <v>49</v>
      </c>
      <c r="K569" t="s">
        <v>10</v>
      </c>
      <c r="L569" t="s">
        <v>10</v>
      </c>
      <c r="M569" t="s">
        <v>10</v>
      </c>
      <c r="N569" t="s">
        <v>57</v>
      </c>
      <c r="O569" t="str">
        <f>INDEX(CoverageTable[Deductible Applies],MATCH(Table18[[#This Row],[Coverage]],CoverageTable[Coverage],0))</f>
        <v>Yes</v>
      </c>
      <c r="P569" t="str">
        <f>INDEX(CoverageTable[Coverage Limit Applies],MATCH(Table18[[#This Row],[Coverage]],CoverageTable[Coverage],0))</f>
        <v>No</v>
      </c>
      <c r="Q569" t="s">
        <v>78</v>
      </c>
      <c r="R569" t="s">
        <v>10</v>
      </c>
      <c r="S569" t="s">
        <v>10</v>
      </c>
      <c r="T569" t="s">
        <v>10</v>
      </c>
      <c r="U569" t="s">
        <v>57</v>
      </c>
      <c r="V569" t="s">
        <v>10</v>
      </c>
      <c r="W569" t="s">
        <v>10</v>
      </c>
    </row>
    <row r="570" spans="1:23" x14ac:dyDescent="0.3">
      <c r="A570" t="s">
        <v>661</v>
      </c>
      <c r="B570" s="7">
        <v>45854</v>
      </c>
      <c r="C570" t="s">
        <v>73</v>
      </c>
      <c r="D570" t="s">
        <v>1102</v>
      </c>
      <c r="E570" s="3">
        <v>7</v>
      </c>
      <c r="F570" s="3">
        <v>3</v>
      </c>
      <c r="G570" t="s">
        <v>11</v>
      </c>
      <c r="H570" t="s">
        <v>1106</v>
      </c>
      <c r="I570" t="s">
        <v>21</v>
      </c>
      <c r="J570" t="s">
        <v>50</v>
      </c>
      <c r="K570" t="s">
        <v>10</v>
      </c>
      <c r="L570" t="s">
        <v>57</v>
      </c>
      <c r="M570" t="s">
        <v>10</v>
      </c>
      <c r="N570" t="s">
        <v>10</v>
      </c>
      <c r="O570" t="str">
        <f>INDEX(CoverageTable[Deductible Applies],MATCH(Table18[[#This Row],[Coverage]],CoverageTable[Coverage],0))</f>
        <v>No</v>
      </c>
      <c r="P570" t="str">
        <f>INDEX(CoverageTable[Coverage Limit Applies],MATCH(Table18[[#This Row],[Coverage]],CoverageTable[Coverage],0))</f>
        <v>Yes</v>
      </c>
      <c r="Q570" t="s">
        <v>10</v>
      </c>
      <c r="R570" t="s">
        <v>80</v>
      </c>
      <c r="S570" t="s">
        <v>57</v>
      </c>
      <c r="T570" t="s">
        <v>10</v>
      </c>
      <c r="U570" t="s">
        <v>10</v>
      </c>
      <c r="V570" t="s">
        <v>10</v>
      </c>
      <c r="W570" t="s">
        <v>10</v>
      </c>
    </row>
    <row r="571" spans="1:23" x14ac:dyDescent="0.3">
      <c r="A571" t="s">
        <v>662</v>
      </c>
      <c r="B571" s="7">
        <v>46005</v>
      </c>
      <c r="C571" t="s">
        <v>73</v>
      </c>
      <c r="D571" t="s">
        <v>1098</v>
      </c>
      <c r="E571" s="3">
        <v>2</v>
      </c>
      <c r="F571" s="3" t="s">
        <v>7</v>
      </c>
      <c r="G571" t="s">
        <v>13</v>
      </c>
      <c r="H571" t="s">
        <v>1106</v>
      </c>
      <c r="I571" t="s">
        <v>31</v>
      </c>
      <c r="J571" t="s">
        <v>49</v>
      </c>
      <c r="K571" t="s">
        <v>10</v>
      </c>
      <c r="L571" t="s">
        <v>10</v>
      </c>
      <c r="M571" t="s">
        <v>10</v>
      </c>
      <c r="N571" t="s">
        <v>10</v>
      </c>
      <c r="O571" t="str">
        <f>INDEX(CoverageTable[Deductible Applies],MATCH(Table18[[#This Row],[Coverage]],CoverageTable[Coverage],0))</f>
        <v>No</v>
      </c>
      <c r="P571" t="str">
        <f>INDEX(CoverageTable[Coverage Limit Applies],MATCH(Table18[[#This Row],[Coverage]],CoverageTable[Coverage],0))</f>
        <v>Yes</v>
      </c>
      <c r="Q571" t="s">
        <v>10</v>
      </c>
      <c r="R571" t="s">
        <v>80</v>
      </c>
      <c r="S571" t="s">
        <v>10</v>
      </c>
      <c r="T571" t="s">
        <v>57</v>
      </c>
      <c r="U571" t="s">
        <v>10</v>
      </c>
      <c r="V571" t="s">
        <v>57</v>
      </c>
      <c r="W571" t="s">
        <v>57</v>
      </c>
    </row>
    <row r="572" spans="1:23" x14ac:dyDescent="0.3">
      <c r="A572" t="s">
        <v>663</v>
      </c>
      <c r="B572" s="7">
        <v>45902</v>
      </c>
      <c r="C572" t="s">
        <v>70</v>
      </c>
      <c r="D572" t="s">
        <v>1099</v>
      </c>
      <c r="E572" s="3">
        <v>1</v>
      </c>
      <c r="F572" s="3" t="s">
        <v>7</v>
      </c>
      <c r="G572" t="s">
        <v>12</v>
      </c>
      <c r="H572" t="s">
        <v>1109</v>
      </c>
      <c r="I572" t="s">
        <v>41</v>
      </c>
      <c r="J572" t="s">
        <v>52</v>
      </c>
      <c r="K572" t="s">
        <v>10</v>
      </c>
      <c r="L572" t="s">
        <v>10</v>
      </c>
      <c r="M572" t="s">
        <v>10</v>
      </c>
      <c r="N572" t="s">
        <v>10</v>
      </c>
      <c r="O572" t="str">
        <f>INDEX(CoverageTable[Deductible Applies],MATCH(Table18[[#This Row],[Coverage]],CoverageTable[Coverage],0))</f>
        <v>No</v>
      </c>
      <c r="P572" t="str">
        <f>INDEX(CoverageTable[Coverage Limit Applies],MATCH(Table18[[#This Row],[Coverage]],CoverageTable[Coverage],0))</f>
        <v>Yes</v>
      </c>
      <c r="Q572" t="s">
        <v>10</v>
      </c>
      <c r="R572" t="s">
        <v>79</v>
      </c>
      <c r="S572" t="s">
        <v>10</v>
      </c>
      <c r="T572" t="s">
        <v>57</v>
      </c>
      <c r="U572" t="s">
        <v>10</v>
      </c>
      <c r="V572" t="s">
        <v>10</v>
      </c>
      <c r="W572" t="s">
        <v>57</v>
      </c>
    </row>
    <row r="573" spans="1:23" x14ac:dyDescent="0.3">
      <c r="A573" t="s">
        <v>664</v>
      </c>
      <c r="B573" s="7">
        <v>45859</v>
      </c>
      <c r="C573" t="s">
        <v>71</v>
      </c>
      <c r="D573" t="s">
        <v>1097</v>
      </c>
      <c r="E573" s="3">
        <v>4</v>
      </c>
      <c r="F573" s="3">
        <v>1</v>
      </c>
      <c r="G573" t="s">
        <v>10</v>
      </c>
      <c r="H573" t="s">
        <v>1107</v>
      </c>
      <c r="I573" t="s">
        <v>44</v>
      </c>
      <c r="J573" t="s">
        <v>50</v>
      </c>
      <c r="K573" t="s">
        <v>57</v>
      </c>
      <c r="L573" t="s">
        <v>10</v>
      </c>
      <c r="M573" t="s">
        <v>57</v>
      </c>
      <c r="N573" t="s">
        <v>57</v>
      </c>
      <c r="O573" t="str">
        <f>INDEX(CoverageTable[Deductible Applies],MATCH(Table18[[#This Row],[Coverage]],CoverageTable[Coverage],0))</f>
        <v>Yes</v>
      </c>
      <c r="P573" t="str">
        <f>INDEX(CoverageTable[Coverage Limit Applies],MATCH(Table18[[#This Row],[Coverage]],CoverageTable[Coverage],0))</f>
        <v>No</v>
      </c>
      <c r="Q573" t="s">
        <v>79</v>
      </c>
      <c r="R573" t="s">
        <v>10</v>
      </c>
      <c r="S573" t="s">
        <v>10</v>
      </c>
      <c r="T573" t="s">
        <v>10</v>
      </c>
      <c r="U573" t="s">
        <v>10</v>
      </c>
      <c r="V573" t="s">
        <v>10</v>
      </c>
      <c r="W573" t="s">
        <v>10</v>
      </c>
    </row>
    <row r="574" spans="1:23" x14ac:dyDescent="0.3">
      <c r="A574" t="s">
        <v>665</v>
      </c>
      <c r="B574" s="7">
        <v>45860</v>
      </c>
      <c r="C574" t="s">
        <v>70</v>
      </c>
      <c r="D574" t="s">
        <v>1099</v>
      </c>
      <c r="E574" s="3">
        <v>3</v>
      </c>
      <c r="F574" s="3">
        <v>0</v>
      </c>
      <c r="G574" t="s">
        <v>11</v>
      </c>
      <c r="H574" t="s">
        <v>1108</v>
      </c>
      <c r="I574" t="s">
        <v>33</v>
      </c>
      <c r="J574" t="s">
        <v>48</v>
      </c>
      <c r="K574" t="s">
        <v>10</v>
      </c>
      <c r="L574" t="s">
        <v>10</v>
      </c>
      <c r="M574" t="s">
        <v>10</v>
      </c>
      <c r="N574" t="s">
        <v>57</v>
      </c>
      <c r="O574" t="str">
        <f>INDEX(CoverageTable[Deductible Applies],MATCH(Table18[[#This Row],[Coverage]],CoverageTable[Coverage],0))</f>
        <v>No</v>
      </c>
      <c r="P574" t="str">
        <f>INDEX(CoverageTable[Coverage Limit Applies],MATCH(Table18[[#This Row],[Coverage]],CoverageTable[Coverage],0))</f>
        <v>Yes</v>
      </c>
      <c r="Q574" t="s">
        <v>10</v>
      </c>
      <c r="R574" t="s">
        <v>79</v>
      </c>
      <c r="S574" t="s">
        <v>10</v>
      </c>
      <c r="T574" t="s">
        <v>10</v>
      </c>
      <c r="U574" t="s">
        <v>57</v>
      </c>
      <c r="V574" t="s">
        <v>10</v>
      </c>
      <c r="W574" t="s">
        <v>10</v>
      </c>
    </row>
    <row r="575" spans="1:23" x14ac:dyDescent="0.3">
      <c r="A575" t="s">
        <v>666</v>
      </c>
      <c r="B575" s="7">
        <v>45786</v>
      </c>
      <c r="C575" t="s">
        <v>71</v>
      </c>
      <c r="D575" t="s">
        <v>1100</v>
      </c>
      <c r="E575" s="3">
        <v>2</v>
      </c>
      <c r="F575" s="3">
        <v>1</v>
      </c>
      <c r="G575" t="s">
        <v>10</v>
      </c>
      <c r="H575" t="s">
        <v>1109</v>
      </c>
      <c r="I575" t="s">
        <v>40</v>
      </c>
      <c r="J575" t="s">
        <v>52</v>
      </c>
      <c r="K575" t="s">
        <v>10</v>
      </c>
      <c r="L575" t="s">
        <v>10</v>
      </c>
      <c r="M575" t="s">
        <v>10</v>
      </c>
      <c r="N575" t="s">
        <v>10</v>
      </c>
      <c r="O575" t="str">
        <f>INDEX(CoverageTable[Deductible Applies],MATCH(Table18[[#This Row],[Coverage]],CoverageTable[Coverage],0))</f>
        <v>Yes</v>
      </c>
      <c r="P575" t="str">
        <f>INDEX(CoverageTable[Coverage Limit Applies],MATCH(Table18[[#This Row],[Coverage]],CoverageTable[Coverage],0))</f>
        <v>No</v>
      </c>
      <c r="Q575" t="s">
        <v>79</v>
      </c>
      <c r="R575" t="s">
        <v>10</v>
      </c>
      <c r="S575" t="s">
        <v>10</v>
      </c>
      <c r="T575" t="s">
        <v>57</v>
      </c>
      <c r="U575" t="s">
        <v>10</v>
      </c>
      <c r="V575" t="s">
        <v>10</v>
      </c>
      <c r="W575" t="s">
        <v>10</v>
      </c>
    </row>
    <row r="576" spans="1:23" x14ac:dyDescent="0.3">
      <c r="A576" t="s">
        <v>667</v>
      </c>
      <c r="B576" s="7">
        <v>45860</v>
      </c>
      <c r="C576" t="s">
        <v>72</v>
      </c>
      <c r="D576" t="s">
        <v>1100</v>
      </c>
      <c r="E576" s="3">
        <v>1</v>
      </c>
      <c r="F576" s="3">
        <v>0</v>
      </c>
      <c r="G576" t="s">
        <v>10</v>
      </c>
      <c r="H576" t="s">
        <v>1107</v>
      </c>
      <c r="I576" t="s">
        <v>23</v>
      </c>
      <c r="J576" t="s">
        <v>49</v>
      </c>
      <c r="K576" t="s">
        <v>10</v>
      </c>
      <c r="L576" t="s">
        <v>10</v>
      </c>
      <c r="M576" t="s">
        <v>10</v>
      </c>
      <c r="N576" t="s">
        <v>57</v>
      </c>
      <c r="O576" t="str">
        <f>INDEX(CoverageTable[Deductible Applies],MATCH(Table18[[#This Row],[Coverage]],CoverageTable[Coverage],0))</f>
        <v>Yes</v>
      </c>
      <c r="P576" t="str">
        <f>INDEX(CoverageTable[Coverage Limit Applies],MATCH(Table18[[#This Row],[Coverage]],CoverageTable[Coverage],0))</f>
        <v>No</v>
      </c>
      <c r="Q576" t="s">
        <v>80</v>
      </c>
      <c r="R576" t="s">
        <v>10</v>
      </c>
      <c r="S576" t="s">
        <v>10</v>
      </c>
      <c r="T576" t="s">
        <v>10</v>
      </c>
      <c r="U576" t="s">
        <v>10</v>
      </c>
      <c r="V576" t="s">
        <v>10</v>
      </c>
      <c r="W576" t="s">
        <v>10</v>
      </c>
    </row>
    <row r="577" spans="1:23" x14ac:dyDescent="0.3">
      <c r="A577" t="s">
        <v>668</v>
      </c>
      <c r="B577" s="7">
        <v>45820</v>
      </c>
      <c r="C577" t="s">
        <v>71</v>
      </c>
      <c r="D577" t="s">
        <v>1098</v>
      </c>
      <c r="E577" s="3">
        <v>7</v>
      </c>
      <c r="F577" s="3">
        <v>3</v>
      </c>
      <c r="G577" t="s">
        <v>11</v>
      </c>
      <c r="H577" t="s">
        <v>1107</v>
      </c>
      <c r="I577" t="s">
        <v>34</v>
      </c>
      <c r="J577" t="s">
        <v>52</v>
      </c>
      <c r="K577" t="s">
        <v>10</v>
      </c>
      <c r="L577" t="s">
        <v>10</v>
      </c>
      <c r="M577" t="s">
        <v>10</v>
      </c>
      <c r="N577" t="s">
        <v>57</v>
      </c>
      <c r="O577" t="str">
        <f>INDEX(CoverageTable[Deductible Applies],MATCH(Table18[[#This Row],[Coverage]],CoverageTable[Coverage],0))</f>
        <v>Yes</v>
      </c>
      <c r="P577" t="str">
        <f>INDEX(CoverageTable[Coverage Limit Applies],MATCH(Table18[[#This Row],[Coverage]],CoverageTable[Coverage],0))</f>
        <v>No</v>
      </c>
      <c r="Q577" t="s">
        <v>79</v>
      </c>
      <c r="R577" t="s">
        <v>10</v>
      </c>
      <c r="S577" t="s">
        <v>10</v>
      </c>
      <c r="T577" t="s">
        <v>57</v>
      </c>
      <c r="U577" t="s">
        <v>10</v>
      </c>
      <c r="V577" t="s">
        <v>10</v>
      </c>
      <c r="W577" t="s">
        <v>57</v>
      </c>
    </row>
    <row r="578" spans="1:23" x14ac:dyDescent="0.3">
      <c r="A578" t="s">
        <v>669</v>
      </c>
      <c r="B578" s="7">
        <v>45910</v>
      </c>
      <c r="C578" t="s">
        <v>70</v>
      </c>
      <c r="D578" t="s">
        <v>1098</v>
      </c>
      <c r="E578" s="3">
        <v>3</v>
      </c>
      <c r="F578" s="3">
        <v>0</v>
      </c>
      <c r="G578" t="s">
        <v>10</v>
      </c>
      <c r="H578" t="s">
        <v>1107</v>
      </c>
      <c r="I578" t="s">
        <v>28</v>
      </c>
      <c r="J578" t="s">
        <v>53</v>
      </c>
      <c r="K578" t="s">
        <v>10</v>
      </c>
      <c r="L578" t="s">
        <v>10</v>
      </c>
      <c r="M578" t="s">
        <v>57</v>
      </c>
      <c r="N578" t="s">
        <v>10</v>
      </c>
      <c r="O578" t="str">
        <f>INDEX(CoverageTable[Deductible Applies],MATCH(Table18[[#This Row],[Coverage]],CoverageTable[Coverage],0))</f>
        <v>No</v>
      </c>
      <c r="P578" t="str">
        <f>INDEX(CoverageTable[Coverage Limit Applies],MATCH(Table18[[#This Row],[Coverage]],CoverageTable[Coverage],0))</f>
        <v>Yes</v>
      </c>
      <c r="Q578" t="s">
        <v>10</v>
      </c>
      <c r="R578" t="s">
        <v>79</v>
      </c>
      <c r="S578" t="s">
        <v>10</v>
      </c>
      <c r="T578" t="s">
        <v>57</v>
      </c>
      <c r="U578" t="s">
        <v>10</v>
      </c>
      <c r="V578" t="s">
        <v>10</v>
      </c>
      <c r="W578" t="s">
        <v>10</v>
      </c>
    </row>
    <row r="579" spans="1:23" x14ac:dyDescent="0.3">
      <c r="A579" t="s">
        <v>670</v>
      </c>
      <c r="B579" s="7">
        <v>45809</v>
      </c>
      <c r="C579" t="s">
        <v>72</v>
      </c>
      <c r="D579" t="s">
        <v>1101</v>
      </c>
      <c r="E579" s="3">
        <v>3</v>
      </c>
      <c r="F579" s="3">
        <v>2</v>
      </c>
      <c r="G579" t="s">
        <v>10</v>
      </c>
      <c r="H579" t="s">
        <v>1108</v>
      </c>
      <c r="I579" t="s">
        <v>25</v>
      </c>
      <c r="J579" t="s">
        <v>54</v>
      </c>
      <c r="K579" t="s">
        <v>10</v>
      </c>
      <c r="L579" t="s">
        <v>57</v>
      </c>
      <c r="M579" t="s">
        <v>57</v>
      </c>
      <c r="N579" t="s">
        <v>57</v>
      </c>
      <c r="O579" t="str">
        <f>INDEX(CoverageTable[Deductible Applies],MATCH(Table18[[#This Row],[Coverage]],CoverageTable[Coverage],0))</f>
        <v>Yes</v>
      </c>
      <c r="P579" t="str">
        <f>INDEX(CoverageTable[Coverage Limit Applies],MATCH(Table18[[#This Row],[Coverage]],CoverageTable[Coverage],0))</f>
        <v>No</v>
      </c>
      <c r="Q579" t="s">
        <v>78</v>
      </c>
      <c r="R579" t="s">
        <v>10</v>
      </c>
      <c r="S579" t="s">
        <v>57</v>
      </c>
      <c r="T579" t="s">
        <v>57</v>
      </c>
      <c r="U579" t="s">
        <v>57</v>
      </c>
      <c r="V579" t="s">
        <v>10</v>
      </c>
      <c r="W579" t="s">
        <v>10</v>
      </c>
    </row>
    <row r="580" spans="1:23" x14ac:dyDescent="0.3">
      <c r="A580" t="s">
        <v>671</v>
      </c>
      <c r="B580" s="7">
        <v>45997</v>
      </c>
      <c r="C580" t="s">
        <v>70</v>
      </c>
      <c r="D580" t="s">
        <v>1100</v>
      </c>
      <c r="E580" s="3">
        <v>2</v>
      </c>
      <c r="F580" s="3">
        <v>2</v>
      </c>
      <c r="G580" t="s">
        <v>11</v>
      </c>
      <c r="H580" t="s">
        <v>1107</v>
      </c>
      <c r="I580" t="s">
        <v>29</v>
      </c>
      <c r="J580" t="s">
        <v>50</v>
      </c>
      <c r="K580" t="s">
        <v>10</v>
      </c>
      <c r="L580" t="s">
        <v>10</v>
      </c>
      <c r="M580" t="s">
        <v>10</v>
      </c>
      <c r="N580" t="s">
        <v>57</v>
      </c>
      <c r="O580" t="str">
        <f>INDEX(CoverageTable[Deductible Applies],MATCH(Table18[[#This Row],[Coverage]],CoverageTable[Coverage],0))</f>
        <v>No</v>
      </c>
      <c r="P580" t="str">
        <f>INDEX(CoverageTable[Coverage Limit Applies],MATCH(Table18[[#This Row],[Coverage]],CoverageTable[Coverage],0))</f>
        <v>Yes</v>
      </c>
      <c r="Q580" t="s">
        <v>10</v>
      </c>
      <c r="R580" t="s">
        <v>78</v>
      </c>
      <c r="S580" t="s">
        <v>10</v>
      </c>
      <c r="T580" t="s">
        <v>10</v>
      </c>
      <c r="U580" t="s">
        <v>10</v>
      </c>
      <c r="V580" t="s">
        <v>10</v>
      </c>
      <c r="W580" t="s">
        <v>10</v>
      </c>
    </row>
    <row r="581" spans="1:23" x14ac:dyDescent="0.3">
      <c r="A581" t="s">
        <v>672</v>
      </c>
      <c r="B581" s="7">
        <v>45807</v>
      </c>
      <c r="C581" t="s">
        <v>70</v>
      </c>
      <c r="D581" t="s">
        <v>1100</v>
      </c>
      <c r="E581" s="3" t="s">
        <v>1103</v>
      </c>
      <c r="F581" s="3">
        <v>1</v>
      </c>
      <c r="G581" t="s">
        <v>12</v>
      </c>
      <c r="H581" t="s">
        <v>1107</v>
      </c>
      <c r="I581" t="s">
        <v>26</v>
      </c>
      <c r="J581" t="s">
        <v>50</v>
      </c>
      <c r="K581" t="s">
        <v>10</v>
      </c>
      <c r="L581" t="s">
        <v>10</v>
      </c>
      <c r="M581" t="s">
        <v>10</v>
      </c>
      <c r="N581" t="s">
        <v>10</v>
      </c>
      <c r="O581" t="str">
        <f>INDEX(CoverageTable[Deductible Applies],MATCH(Table18[[#This Row],[Coverage]],CoverageTable[Coverage],0))</f>
        <v>No</v>
      </c>
      <c r="P581" t="str">
        <f>INDEX(CoverageTable[Coverage Limit Applies],MATCH(Table18[[#This Row],[Coverage]],CoverageTable[Coverage],0))</f>
        <v>Yes</v>
      </c>
      <c r="Q581" t="s">
        <v>10</v>
      </c>
      <c r="R581" t="s">
        <v>80</v>
      </c>
      <c r="S581" t="s">
        <v>57</v>
      </c>
      <c r="T581" t="s">
        <v>57</v>
      </c>
      <c r="U581" t="s">
        <v>10</v>
      </c>
      <c r="V581" t="s">
        <v>10</v>
      </c>
      <c r="W581" t="s">
        <v>57</v>
      </c>
    </row>
    <row r="582" spans="1:23" x14ac:dyDescent="0.3">
      <c r="A582" t="s">
        <v>673</v>
      </c>
      <c r="B582" s="7">
        <v>46136</v>
      </c>
      <c r="C582" t="s">
        <v>70</v>
      </c>
      <c r="D582" t="s">
        <v>1100</v>
      </c>
      <c r="E582" s="3" t="s">
        <v>1103</v>
      </c>
      <c r="F582" s="3">
        <v>2</v>
      </c>
      <c r="G582" t="s">
        <v>12</v>
      </c>
      <c r="H582" t="s">
        <v>1108</v>
      </c>
      <c r="I582" t="s">
        <v>23</v>
      </c>
      <c r="J582" t="s">
        <v>52</v>
      </c>
      <c r="K582" t="s">
        <v>57</v>
      </c>
      <c r="L582" t="s">
        <v>10</v>
      </c>
      <c r="M582" t="s">
        <v>10</v>
      </c>
      <c r="N582" t="s">
        <v>57</v>
      </c>
      <c r="O582" t="str">
        <f>INDEX(CoverageTable[Deductible Applies],MATCH(Table18[[#This Row],[Coverage]],CoverageTable[Coverage],0))</f>
        <v>No</v>
      </c>
      <c r="P582" t="str">
        <f>INDEX(CoverageTable[Coverage Limit Applies],MATCH(Table18[[#This Row],[Coverage]],CoverageTable[Coverage],0))</f>
        <v>Yes</v>
      </c>
      <c r="Q582" t="s">
        <v>10</v>
      </c>
      <c r="R582" t="s">
        <v>79</v>
      </c>
      <c r="S582" t="s">
        <v>10</v>
      </c>
      <c r="T582" t="s">
        <v>10</v>
      </c>
      <c r="U582" t="s">
        <v>10</v>
      </c>
      <c r="V582" t="s">
        <v>10</v>
      </c>
      <c r="W582" t="s">
        <v>10</v>
      </c>
    </row>
    <row r="583" spans="1:23" x14ac:dyDescent="0.3">
      <c r="A583" t="s">
        <v>674</v>
      </c>
      <c r="B583" s="7">
        <v>45886</v>
      </c>
      <c r="C583" t="s">
        <v>70</v>
      </c>
      <c r="D583" t="s">
        <v>1100</v>
      </c>
      <c r="E583" s="3">
        <v>4</v>
      </c>
      <c r="F583" s="3">
        <v>4</v>
      </c>
      <c r="G583" t="s">
        <v>10</v>
      </c>
      <c r="H583" t="s">
        <v>1108</v>
      </c>
      <c r="I583" t="s">
        <v>38</v>
      </c>
      <c r="J583" t="s">
        <v>50</v>
      </c>
      <c r="K583" t="s">
        <v>57</v>
      </c>
      <c r="L583" t="s">
        <v>10</v>
      </c>
      <c r="M583" t="s">
        <v>10</v>
      </c>
      <c r="N583" t="s">
        <v>10</v>
      </c>
      <c r="O583" t="str">
        <f>INDEX(CoverageTable[Deductible Applies],MATCH(Table18[[#This Row],[Coverage]],CoverageTable[Coverage],0))</f>
        <v>No</v>
      </c>
      <c r="P583" t="str">
        <f>INDEX(CoverageTable[Coverage Limit Applies],MATCH(Table18[[#This Row],[Coverage]],CoverageTable[Coverage],0))</f>
        <v>Yes</v>
      </c>
      <c r="Q583" t="s">
        <v>10</v>
      </c>
      <c r="R583" t="s">
        <v>80</v>
      </c>
      <c r="S583" t="s">
        <v>57</v>
      </c>
      <c r="T583" t="s">
        <v>57</v>
      </c>
      <c r="U583" t="s">
        <v>57</v>
      </c>
      <c r="V583" t="s">
        <v>10</v>
      </c>
      <c r="W583" t="s">
        <v>10</v>
      </c>
    </row>
    <row r="584" spans="1:23" x14ac:dyDescent="0.3">
      <c r="A584" t="s">
        <v>675</v>
      </c>
      <c r="B584" s="7">
        <v>45849</v>
      </c>
      <c r="C584" t="s">
        <v>74</v>
      </c>
      <c r="D584" t="s">
        <v>1100</v>
      </c>
      <c r="E584" s="3">
        <v>1</v>
      </c>
      <c r="F584" s="3">
        <v>2</v>
      </c>
      <c r="G584" t="s">
        <v>11</v>
      </c>
      <c r="H584" t="s">
        <v>1106</v>
      </c>
      <c r="I584" t="s">
        <v>44</v>
      </c>
      <c r="J584" t="s">
        <v>49</v>
      </c>
      <c r="K584" t="s">
        <v>57</v>
      </c>
      <c r="L584" t="s">
        <v>10</v>
      </c>
      <c r="M584" t="s">
        <v>10</v>
      </c>
      <c r="N584" t="s">
        <v>10</v>
      </c>
      <c r="O584" t="str">
        <f>INDEX(CoverageTable[Deductible Applies],MATCH(Table18[[#This Row],[Coverage]],CoverageTable[Coverage],0))</f>
        <v>No</v>
      </c>
      <c r="P584" t="str">
        <f>INDEX(CoverageTable[Coverage Limit Applies],MATCH(Table18[[#This Row],[Coverage]],CoverageTable[Coverage],0))</f>
        <v>Yes</v>
      </c>
      <c r="Q584" t="s">
        <v>10</v>
      </c>
      <c r="R584" t="s">
        <v>78</v>
      </c>
      <c r="S584" t="s">
        <v>10</v>
      </c>
      <c r="T584" t="s">
        <v>10</v>
      </c>
      <c r="U584" t="s">
        <v>10</v>
      </c>
      <c r="V584" t="s">
        <v>57</v>
      </c>
      <c r="W584" t="s">
        <v>57</v>
      </c>
    </row>
    <row r="585" spans="1:23" x14ac:dyDescent="0.3">
      <c r="A585" t="s">
        <v>676</v>
      </c>
      <c r="B585" s="7">
        <v>45852</v>
      </c>
      <c r="C585" t="s">
        <v>74</v>
      </c>
      <c r="D585" t="s">
        <v>1098</v>
      </c>
      <c r="E585" s="3">
        <v>6</v>
      </c>
      <c r="F585" s="3">
        <v>0</v>
      </c>
      <c r="G585" t="s">
        <v>13</v>
      </c>
      <c r="H585" t="s">
        <v>1108</v>
      </c>
      <c r="I585" t="s">
        <v>42</v>
      </c>
      <c r="J585" t="s">
        <v>49</v>
      </c>
      <c r="K585" t="s">
        <v>10</v>
      </c>
      <c r="L585" t="s">
        <v>10</v>
      </c>
      <c r="M585" t="s">
        <v>10</v>
      </c>
      <c r="N585" t="s">
        <v>10</v>
      </c>
      <c r="O585" t="str">
        <f>INDEX(CoverageTable[Deductible Applies],MATCH(Table18[[#This Row],[Coverage]],CoverageTable[Coverage],0))</f>
        <v>No</v>
      </c>
      <c r="P585" t="str">
        <f>INDEX(CoverageTable[Coverage Limit Applies],MATCH(Table18[[#This Row],[Coverage]],CoverageTable[Coverage],0))</f>
        <v>Yes</v>
      </c>
      <c r="Q585" t="s">
        <v>10</v>
      </c>
      <c r="R585" t="s">
        <v>79</v>
      </c>
      <c r="S585" t="s">
        <v>57</v>
      </c>
      <c r="T585" t="s">
        <v>10</v>
      </c>
      <c r="U585" t="s">
        <v>10</v>
      </c>
      <c r="V585" t="s">
        <v>10</v>
      </c>
      <c r="W585" t="s">
        <v>10</v>
      </c>
    </row>
    <row r="586" spans="1:23" x14ac:dyDescent="0.3">
      <c r="A586" t="s">
        <v>677</v>
      </c>
      <c r="B586" s="7">
        <v>45871</v>
      </c>
      <c r="C586" t="s">
        <v>70</v>
      </c>
      <c r="D586" t="s">
        <v>1100</v>
      </c>
      <c r="E586" s="3">
        <v>6</v>
      </c>
      <c r="F586" s="3">
        <v>0</v>
      </c>
      <c r="G586" t="s">
        <v>12</v>
      </c>
      <c r="H586" t="s">
        <v>1109</v>
      </c>
      <c r="I586" t="s">
        <v>32</v>
      </c>
      <c r="J586" t="s">
        <v>48</v>
      </c>
      <c r="K586" t="s">
        <v>10</v>
      </c>
      <c r="L586" t="s">
        <v>10</v>
      </c>
      <c r="M586" t="s">
        <v>10</v>
      </c>
      <c r="N586" t="s">
        <v>57</v>
      </c>
      <c r="O586" t="str">
        <f>INDEX(CoverageTable[Deductible Applies],MATCH(Table18[[#This Row],[Coverage]],CoverageTable[Coverage],0))</f>
        <v>No</v>
      </c>
      <c r="P586" t="str">
        <f>INDEX(CoverageTable[Coverage Limit Applies],MATCH(Table18[[#This Row],[Coverage]],CoverageTable[Coverage],0))</f>
        <v>Yes</v>
      </c>
      <c r="Q586" t="s">
        <v>10</v>
      </c>
      <c r="R586" t="s">
        <v>79</v>
      </c>
      <c r="S586" t="s">
        <v>10</v>
      </c>
      <c r="T586" t="s">
        <v>57</v>
      </c>
      <c r="U586" t="s">
        <v>57</v>
      </c>
      <c r="V586" t="s">
        <v>57</v>
      </c>
      <c r="W586" t="s">
        <v>10</v>
      </c>
    </row>
    <row r="587" spans="1:23" x14ac:dyDescent="0.3">
      <c r="A587" t="s">
        <v>678</v>
      </c>
      <c r="B587" s="7">
        <v>45797</v>
      </c>
      <c r="C587" t="s">
        <v>70</v>
      </c>
      <c r="D587" t="s">
        <v>1100</v>
      </c>
      <c r="E587" s="3">
        <v>1</v>
      </c>
      <c r="F587" s="3">
        <v>1</v>
      </c>
      <c r="G587" t="s">
        <v>10</v>
      </c>
      <c r="H587" t="s">
        <v>1110</v>
      </c>
      <c r="I587" t="s">
        <v>27</v>
      </c>
      <c r="J587" t="s">
        <v>51</v>
      </c>
      <c r="K587" t="s">
        <v>10</v>
      </c>
      <c r="L587" t="s">
        <v>57</v>
      </c>
      <c r="M587" t="s">
        <v>10</v>
      </c>
      <c r="N587" t="s">
        <v>10</v>
      </c>
      <c r="O587" t="str">
        <f>INDEX(CoverageTable[Deductible Applies],MATCH(Table18[[#This Row],[Coverage]],CoverageTable[Coverage],0))</f>
        <v>No</v>
      </c>
      <c r="P587" t="str">
        <f>INDEX(CoverageTable[Coverage Limit Applies],MATCH(Table18[[#This Row],[Coverage]],CoverageTable[Coverage],0))</f>
        <v>Yes</v>
      </c>
      <c r="Q587" t="s">
        <v>10</v>
      </c>
      <c r="R587" t="s">
        <v>78</v>
      </c>
      <c r="S587" t="s">
        <v>10</v>
      </c>
      <c r="T587" t="s">
        <v>10</v>
      </c>
      <c r="U587" t="s">
        <v>10</v>
      </c>
      <c r="V587" t="s">
        <v>57</v>
      </c>
      <c r="W587" t="s">
        <v>57</v>
      </c>
    </row>
    <row r="588" spans="1:23" x14ac:dyDescent="0.3">
      <c r="A588" t="s">
        <v>679</v>
      </c>
      <c r="B588" s="7">
        <v>46047</v>
      </c>
      <c r="C588" t="s">
        <v>70</v>
      </c>
      <c r="D588" t="s">
        <v>1098</v>
      </c>
      <c r="E588" s="3">
        <v>3</v>
      </c>
      <c r="F588" s="3">
        <v>4</v>
      </c>
      <c r="G588" t="s">
        <v>10</v>
      </c>
      <c r="H588" t="s">
        <v>1108</v>
      </c>
      <c r="I588" t="s">
        <v>27</v>
      </c>
      <c r="J588" t="s">
        <v>48</v>
      </c>
      <c r="K588" t="s">
        <v>10</v>
      </c>
      <c r="L588" t="s">
        <v>10</v>
      </c>
      <c r="M588" t="s">
        <v>10</v>
      </c>
      <c r="N588" t="s">
        <v>10</v>
      </c>
      <c r="O588" t="str">
        <f>INDEX(CoverageTable[Deductible Applies],MATCH(Table18[[#This Row],[Coverage]],CoverageTable[Coverage],0))</f>
        <v>No</v>
      </c>
      <c r="P588" t="str">
        <f>INDEX(CoverageTable[Coverage Limit Applies],MATCH(Table18[[#This Row],[Coverage]],CoverageTable[Coverage],0))</f>
        <v>Yes</v>
      </c>
      <c r="Q588" t="s">
        <v>10</v>
      </c>
      <c r="R588" t="s">
        <v>79</v>
      </c>
      <c r="S588" t="s">
        <v>57</v>
      </c>
      <c r="T588" t="s">
        <v>57</v>
      </c>
      <c r="U588" t="s">
        <v>10</v>
      </c>
      <c r="V588" t="s">
        <v>10</v>
      </c>
      <c r="W588" t="s">
        <v>57</v>
      </c>
    </row>
    <row r="589" spans="1:23" x14ac:dyDescent="0.3">
      <c r="A589" t="s">
        <v>680</v>
      </c>
      <c r="B589" s="7">
        <v>46010</v>
      </c>
      <c r="C589" t="s">
        <v>73</v>
      </c>
      <c r="D589" t="s">
        <v>1097</v>
      </c>
      <c r="E589" s="3">
        <v>7</v>
      </c>
      <c r="F589" s="3">
        <v>2</v>
      </c>
      <c r="G589" t="s">
        <v>13</v>
      </c>
      <c r="H589" t="s">
        <v>1110</v>
      </c>
      <c r="I589" t="s">
        <v>31</v>
      </c>
      <c r="J589" t="s">
        <v>48</v>
      </c>
      <c r="K589" t="s">
        <v>10</v>
      </c>
      <c r="L589" t="s">
        <v>10</v>
      </c>
      <c r="M589" t="s">
        <v>57</v>
      </c>
      <c r="N589" t="s">
        <v>10</v>
      </c>
      <c r="O589" t="str">
        <f>INDEX(CoverageTable[Deductible Applies],MATCH(Table18[[#This Row],[Coverage]],CoverageTable[Coverage],0))</f>
        <v>No</v>
      </c>
      <c r="P589" t="str">
        <f>INDEX(CoverageTable[Coverage Limit Applies],MATCH(Table18[[#This Row],[Coverage]],CoverageTable[Coverage],0))</f>
        <v>Yes</v>
      </c>
      <c r="Q589" t="s">
        <v>10</v>
      </c>
      <c r="R589" t="s">
        <v>79</v>
      </c>
      <c r="S589" t="s">
        <v>10</v>
      </c>
      <c r="T589" t="s">
        <v>10</v>
      </c>
      <c r="U589" t="s">
        <v>57</v>
      </c>
      <c r="V589" t="s">
        <v>10</v>
      </c>
      <c r="W589" t="s">
        <v>10</v>
      </c>
    </row>
    <row r="590" spans="1:23" x14ac:dyDescent="0.3">
      <c r="A590" t="s">
        <v>681</v>
      </c>
      <c r="B590" s="7">
        <v>45932</v>
      </c>
      <c r="C590" t="s">
        <v>74</v>
      </c>
      <c r="D590" t="s">
        <v>1102</v>
      </c>
      <c r="E590" s="3">
        <v>1</v>
      </c>
      <c r="F590" s="3" t="s">
        <v>7</v>
      </c>
      <c r="G590" t="s">
        <v>12</v>
      </c>
      <c r="H590" t="s">
        <v>1107</v>
      </c>
      <c r="I590" t="s">
        <v>26</v>
      </c>
      <c r="J590" t="s">
        <v>52</v>
      </c>
      <c r="K590" t="s">
        <v>10</v>
      </c>
      <c r="L590" t="s">
        <v>10</v>
      </c>
      <c r="M590" t="s">
        <v>10</v>
      </c>
      <c r="N590" t="s">
        <v>10</v>
      </c>
      <c r="O590" t="str">
        <f>INDEX(CoverageTable[Deductible Applies],MATCH(Table18[[#This Row],[Coverage]],CoverageTable[Coverage],0))</f>
        <v>No</v>
      </c>
      <c r="P590" t="str">
        <f>INDEX(CoverageTable[Coverage Limit Applies],MATCH(Table18[[#This Row],[Coverage]],CoverageTable[Coverage],0))</f>
        <v>Yes</v>
      </c>
      <c r="Q590" t="s">
        <v>10</v>
      </c>
      <c r="R590" t="s">
        <v>80</v>
      </c>
      <c r="S590" t="s">
        <v>10</v>
      </c>
      <c r="T590" t="s">
        <v>57</v>
      </c>
      <c r="U590" t="s">
        <v>57</v>
      </c>
      <c r="V590" t="s">
        <v>57</v>
      </c>
      <c r="W590" t="s">
        <v>10</v>
      </c>
    </row>
    <row r="591" spans="1:23" x14ac:dyDescent="0.3">
      <c r="A591" t="s">
        <v>682</v>
      </c>
      <c r="B591" s="7">
        <v>45945</v>
      </c>
      <c r="C591" t="s">
        <v>74</v>
      </c>
      <c r="D591" t="s">
        <v>1097</v>
      </c>
      <c r="E591" s="3">
        <v>5</v>
      </c>
      <c r="F591" s="3">
        <v>2</v>
      </c>
      <c r="G591" t="s">
        <v>10</v>
      </c>
      <c r="H591" t="s">
        <v>1109</v>
      </c>
      <c r="I591" t="s">
        <v>26</v>
      </c>
      <c r="J591" t="s">
        <v>49</v>
      </c>
      <c r="K591" t="s">
        <v>10</v>
      </c>
      <c r="L591" t="s">
        <v>10</v>
      </c>
      <c r="M591" t="s">
        <v>10</v>
      </c>
      <c r="N591" t="s">
        <v>10</v>
      </c>
      <c r="O591" t="str">
        <f>INDEX(CoverageTable[Deductible Applies],MATCH(Table18[[#This Row],[Coverage]],CoverageTable[Coverage],0))</f>
        <v>No</v>
      </c>
      <c r="P591" t="str">
        <f>INDEX(CoverageTable[Coverage Limit Applies],MATCH(Table18[[#This Row],[Coverage]],CoverageTable[Coverage],0))</f>
        <v>Yes</v>
      </c>
      <c r="Q591" t="s">
        <v>10</v>
      </c>
      <c r="R591" t="s">
        <v>79</v>
      </c>
      <c r="S591" t="s">
        <v>10</v>
      </c>
      <c r="T591" t="s">
        <v>10</v>
      </c>
      <c r="U591" t="s">
        <v>10</v>
      </c>
      <c r="V591" t="s">
        <v>10</v>
      </c>
      <c r="W591" t="s">
        <v>10</v>
      </c>
    </row>
    <row r="592" spans="1:23" x14ac:dyDescent="0.3">
      <c r="A592" t="s">
        <v>683</v>
      </c>
      <c r="B592" s="7">
        <v>45976</v>
      </c>
      <c r="C592" t="s">
        <v>70</v>
      </c>
      <c r="D592" t="s">
        <v>1100</v>
      </c>
      <c r="E592" s="3">
        <v>5</v>
      </c>
      <c r="F592" s="3">
        <v>0</v>
      </c>
      <c r="G592" t="s">
        <v>10</v>
      </c>
      <c r="H592" t="s">
        <v>1106</v>
      </c>
      <c r="I592" t="s">
        <v>40</v>
      </c>
      <c r="J592" t="s">
        <v>52</v>
      </c>
      <c r="K592" t="s">
        <v>10</v>
      </c>
      <c r="L592" t="s">
        <v>10</v>
      </c>
      <c r="M592" t="s">
        <v>10</v>
      </c>
      <c r="N592" t="s">
        <v>57</v>
      </c>
      <c r="O592" t="str">
        <f>INDEX(CoverageTable[Deductible Applies],MATCH(Table18[[#This Row],[Coverage]],CoverageTable[Coverage],0))</f>
        <v>No</v>
      </c>
      <c r="P592" t="str">
        <f>INDEX(CoverageTable[Coverage Limit Applies],MATCH(Table18[[#This Row],[Coverage]],CoverageTable[Coverage],0))</f>
        <v>Yes</v>
      </c>
      <c r="Q592" t="s">
        <v>10</v>
      </c>
      <c r="R592" t="s">
        <v>78</v>
      </c>
      <c r="S592" t="s">
        <v>57</v>
      </c>
      <c r="T592" t="s">
        <v>10</v>
      </c>
      <c r="U592" t="s">
        <v>10</v>
      </c>
      <c r="V592" t="s">
        <v>10</v>
      </c>
      <c r="W592" t="s">
        <v>57</v>
      </c>
    </row>
    <row r="593" spans="1:23" x14ac:dyDescent="0.3">
      <c r="A593" t="s">
        <v>684</v>
      </c>
      <c r="B593" s="7">
        <v>45933</v>
      </c>
      <c r="C593" t="s">
        <v>71</v>
      </c>
      <c r="D593" t="s">
        <v>1097</v>
      </c>
      <c r="E593" s="3">
        <v>1</v>
      </c>
      <c r="F593" s="3">
        <v>1</v>
      </c>
      <c r="G593" t="s">
        <v>11</v>
      </c>
      <c r="H593" t="s">
        <v>1106</v>
      </c>
      <c r="I593" t="s">
        <v>37</v>
      </c>
      <c r="J593" t="s">
        <v>49</v>
      </c>
      <c r="K593" t="s">
        <v>10</v>
      </c>
      <c r="L593" t="s">
        <v>10</v>
      </c>
      <c r="M593" t="s">
        <v>10</v>
      </c>
      <c r="N593" t="s">
        <v>57</v>
      </c>
      <c r="O593" t="str">
        <f>INDEX(CoverageTable[Deductible Applies],MATCH(Table18[[#This Row],[Coverage]],CoverageTable[Coverage],0))</f>
        <v>Yes</v>
      </c>
      <c r="P593" t="str">
        <f>INDEX(CoverageTable[Coverage Limit Applies],MATCH(Table18[[#This Row],[Coverage]],CoverageTable[Coverage],0))</f>
        <v>No</v>
      </c>
      <c r="Q593" t="s">
        <v>80</v>
      </c>
      <c r="R593" t="s">
        <v>10</v>
      </c>
      <c r="S593" t="s">
        <v>10</v>
      </c>
      <c r="T593" t="s">
        <v>10</v>
      </c>
      <c r="U593" t="s">
        <v>57</v>
      </c>
      <c r="V593" t="s">
        <v>10</v>
      </c>
      <c r="W593" t="s">
        <v>10</v>
      </c>
    </row>
    <row r="594" spans="1:23" x14ac:dyDescent="0.3">
      <c r="A594" t="s">
        <v>685</v>
      </c>
      <c r="B594" s="7">
        <v>45874</v>
      </c>
      <c r="C594" t="s">
        <v>70</v>
      </c>
      <c r="D594" t="s">
        <v>1102</v>
      </c>
      <c r="E594" s="3">
        <v>6</v>
      </c>
      <c r="F594" s="3">
        <v>0</v>
      </c>
      <c r="G594" t="s">
        <v>10</v>
      </c>
      <c r="H594" t="s">
        <v>1110</v>
      </c>
      <c r="I594" t="s">
        <v>40</v>
      </c>
      <c r="J594" t="s">
        <v>54</v>
      </c>
      <c r="K594" t="s">
        <v>10</v>
      </c>
      <c r="L594" t="s">
        <v>10</v>
      </c>
      <c r="M594" t="s">
        <v>57</v>
      </c>
      <c r="N594" t="s">
        <v>57</v>
      </c>
      <c r="O594" t="str">
        <f>INDEX(CoverageTable[Deductible Applies],MATCH(Table18[[#This Row],[Coverage]],CoverageTable[Coverage],0))</f>
        <v>No</v>
      </c>
      <c r="P594" t="str">
        <f>INDEX(CoverageTable[Coverage Limit Applies],MATCH(Table18[[#This Row],[Coverage]],CoverageTable[Coverage],0))</f>
        <v>Yes</v>
      </c>
      <c r="Q594" t="s">
        <v>10</v>
      </c>
      <c r="R594" t="s">
        <v>78</v>
      </c>
      <c r="S594" t="s">
        <v>10</v>
      </c>
      <c r="T594" t="s">
        <v>10</v>
      </c>
      <c r="U594" t="s">
        <v>10</v>
      </c>
      <c r="V594" t="s">
        <v>57</v>
      </c>
      <c r="W594" t="s">
        <v>10</v>
      </c>
    </row>
    <row r="595" spans="1:23" x14ac:dyDescent="0.3">
      <c r="A595" t="s">
        <v>686</v>
      </c>
      <c r="B595" s="7">
        <v>45828</v>
      </c>
      <c r="C595" t="s">
        <v>73</v>
      </c>
      <c r="D595" t="s">
        <v>1100</v>
      </c>
      <c r="E595" s="3">
        <v>3</v>
      </c>
      <c r="F595" s="3">
        <v>2</v>
      </c>
      <c r="G595" t="s">
        <v>10</v>
      </c>
      <c r="H595" t="s">
        <v>1107</v>
      </c>
      <c r="I595" t="s">
        <v>42</v>
      </c>
      <c r="J595" t="s">
        <v>51</v>
      </c>
      <c r="K595" t="s">
        <v>57</v>
      </c>
      <c r="L595" t="s">
        <v>10</v>
      </c>
      <c r="M595" t="s">
        <v>10</v>
      </c>
      <c r="N595" t="s">
        <v>57</v>
      </c>
      <c r="O595" t="str">
        <f>INDEX(CoverageTable[Deductible Applies],MATCH(Table18[[#This Row],[Coverage]],CoverageTable[Coverage],0))</f>
        <v>No</v>
      </c>
      <c r="P595" t="str">
        <f>INDEX(CoverageTable[Coverage Limit Applies],MATCH(Table18[[#This Row],[Coverage]],CoverageTable[Coverage],0))</f>
        <v>Yes</v>
      </c>
      <c r="Q595" t="s">
        <v>10</v>
      </c>
      <c r="R595" t="s">
        <v>80</v>
      </c>
      <c r="S595" t="s">
        <v>10</v>
      </c>
      <c r="T595" t="s">
        <v>10</v>
      </c>
      <c r="U595" t="s">
        <v>10</v>
      </c>
      <c r="V595" t="s">
        <v>10</v>
      </c>
      <c r="W595" t="s">
        <v>10</v>
      </c>
    </row>
    <row r="596" spans="1:23" x14ac:dyDescent="0.3">
      <c r="A596" t="s">
        <v>687</v>
      </c>
      <c r="B596" s="7">
        <v>46031</v>
      </c>
      <c r="C596" t="s">
        <v>74</v>
      </c>
      <c r="D596" t="s">
        <v>1097</v>
      </c>
      <c r="E596" s="3">
        <v>3</v>
      </c>
      <c r="F596" s="3">
        <v>1</v>
      </c>
      <c r="G596" t="s">
        <v>10</v>
      </c>
      <c r="H596" t="s">
        <v>1106</v>
      </c>
      <c r="I596" t="s">
        <v>23</v>
      </c>
      <c r="J596" t="s">
        <v>50</v>
      </c>
      <c r="K596" t="s">
        <v>10</v>
      </c>
      <c r="L596" t="s">
        <v>10</v>
      </c>
      <c r="M596" t="s">
        <v>10</v>
      </c>
      <c r="N596" t="s">
        <v>10</v>
      </c>
      <c r="O596" t="str">
        <f>INDEX(CoverageTable[Deductible Applies],MATCH(Table18[[#This Row],[Coverage]],CoverageTable[Coverage],0))</f>
        <v>No</v>
      </c>
      <c r="P596" t="str">
        <f>INDEX(CoverageTable[Coverage Limit Applies],MATCH(Table18[[#This Row],[Coverage]],CoverageTable[Coverage],0))</f>
        <v>Yes</v>
      </c>
      <c r="Q596" t="s">
        <v>10</v>
      </c>
      <c r="R596" t="s">
        <v>80</v>
      </c>
      <c r="S596" t="s">
        <v>10</v>
      </c>
      <c r="T596" t="s">
        <v>57</v>
      </c>
      <c r="U596" t="s">
        <v>57</v>
      </c>
      <c r="V596" t="s">
        <v>10</v>
      </c>
      <c r="W596" t="s">
        <v>10</v>
      </c>
    </row>
    <row r="597" spans="1:23" x14ac:dyDescent="0.3">
      <c r="A597" t="s">
        <v>688</v>
      </c>
      <c r="B597" s="7">
        <v>45779</v>
      </c>
      <c r="C597" t="s">
        <v>71</v>
      </c>
      <c r="D597" t="s">
        <v>1097</v>
      </c>
      <c r="E597" s="3">
        <v>1</v>
      </c>
      <c r="F597" s="3">
        <v>4</v>
      </c>
      <c r="G597" t="s">
        <v>10</v>
      </c>
      <c r="H597" t="s">
        <v>1107</v>
      </c>
      <c r="I597" t="s">
        <v>21</v>
      </c>
      <c r="J597" t="s">
        <v>50</v>
      </c>
      <c r="K597" t="s">
        <v>10</v>
      </c>
      <c r="L597" t="s">
        <v>10</v>
      </c>
      <c r="M597" t="s">
        <v>10</v>
      </c>
      <c r="N597" t="s">
        <v>57</v>
      </c>
      <c r="O597" t="str">
        <f>INDEX(CoverageTable[Deductible Applies],MATCH(Table18[[#This Row],[Coverage]],CoverageTable[Coverage],0))</f>
        <v>Yes</v>
      </c>
      <c r="P597" t="str">
        <f>INDEX(CoverageTable[Coverage Limit Applies],MATCH(Table18[[#This Row],[Coverage]],CoverageTable[Coverage],0))</f>
        <v>No</v>
      </c>
      <c r="Q597" t="s">
        <v>79</v>
      </c>
      <c r="R597" t="s">
        <v>10</v>
      </c>
      <c r="S597" t="s">
        <v>10</v>
      </c>
      <c r="T597" t="s">
        <v>10</v>
      </c>
      <c r="U597" t="s">
        <v>10</v>
      </c>
      <c r="V597" t="s">
        <v>57</v>
      </c>
      <c r="W597" t="s">
        <v>10</v>
      </c>
    </row>
    <row r="598" spans="1:23" x14ac:dyDescent="0.3">
      <c r="A598" t="s">
        <v>689</v>
      </c>
      <c r="B598" s="7">
        <v>45896</v>
      </c>
      <c r="C598" t="s">
        <v>74</v>
      </c>
      <c r="D598" t="s">
        <v>1100</v>
      </c>
      <c r="E598" s="3">
        <v>6</v>
      </c>
      <c r="F598" s="3">
        <v>1</v>
      </c>
      <c r="G598" t="s">
        <v>13</v>
      </c>
      <c r="H598" t="s">
        <v>1110</v>
      </c>
      <c r="I598" t="s">
        <v>22</v>
      </c>
      <c r="J598" t="s">
        <v>54</v>
      </c>
      <c r="K598" t="s">
        <v>10</v>
      </c>
      <c r="L598" t="s">
        <v>10</v>
      </c>
      <c r="M598" t="s">
        <v>10</v>
      </c>
      <c r="N598" t="s">
        <v>57</v>
      </c>
      <c r="O598" t="str">
        <f>INDEX(CoverageTable[Deductible Applies],MATCH(Table18[[#This Row],[Coverage]],CoverageTable[Coverage],0))</f>
        <v>No</v>
      </c>
      <c r="P598" t="str">
        <f>INDEX(CoverageTable[Coverage Limit Applies],MATCH(Table18[[#This Row],[Coverage]],CoverageTable[Coverage],0))</f>
        <v>Yes</v>
      </c>
      <c r="Q598" t="s">
        <v>10</v>
      </c>
      <c r="R598" t="s">
        <v>79</v>
      </c>
      <c r="S598" t="s">
        <v>10</v>
      </c>
      <c r="T598" t="s">
        <v>10</v>
      </c>
      <c r="U598" t="s">
        <v>57</v>
      </c>
      <c r="V598" t="s">
        <v>57</v>
      </c>
      <c r="W598" t="s">
        <v>10</v>
      </c>
    </row>
    <row r="599" spans="1:23" x14ac:dyDescent="0.3">
      <c r="A599" t="s">
        <v>690</v>
      </c>
      <c r="B599" s="7">
        <v>45906</v>
      </c>
      <c r="C599" t="s">
        <v>71</v>
      </c>
      <c r="D599" t="s">
        <v>1099</v>
      </c>
      <c r="E599" s="3">
        <v>3</v>
      </c>
      <c r="F599" s="3">
        <v>2</v>
      </c>
      <c r="G599" t="s">
        <v>10</v>
      </c>
      <c r="H599" t="s">
        <v>1110</v>
      </c>
      <c r="I599" t="s">
        <v>32</v>
      </c>
      <c r="J599" t="s">
        <v>51</v>
      </c>
      <c r="K599" t="s">
        <v>10</v>
      </c>
      <c r="L599" t="s">
        <v>10</v>
      </c>
      <c r="M599" t="s">
        <v>10</v>
      </c>
      <c r="N599" t="s">
        <v>10</v>
      </c>
      <c r="O599" t="str">
        <f>INDEX(CoverageTable[Deductible Applies],MATCH(Table18[[#This Row],[Coverage]],CoverageTable[Coverage],0))</f>
        <v>Yes</v>
      </c>
      <c r="P599" t="str">
        <f>INDEX(CoverageTable[Coverage Limit Applies],MATCH(Table18[[#This Row],[Coverage]],CoverageTable[Coverage],0))</f>
        <v>No</v>
      </c>
      <c r="Q599" t="s">
        <v>79</v>
      </c>
      <c r="R599" t="s">
        <v>10</v>
      </c>
      <c r="S599" t="s">
        <v>10</v>
      </c>
      <c r="T599" t="s">
        <v>10</v>
      </c>
      <c r="U599" t="s">
        <v>10</v>
      </c>
      <c r="V599" t="s">
        <v>10</v>
      </c>
      <c r="W599" t="s">
        <v>10</v>
      </c>
    </row>
    <row r="600" spans="1:23" x14ac:dyDescent="0.3">
      <c r="A600" t="s">
        <v>691</v>
      </c>
      <c r="B600" s="7">
        <v>45794</v>
      </c>
      <c r="C600" t="s">
        <v>73</v>
      </c>
      <c r="D600" t="s">
        <v>1099</v>
      </c>
      <c r="E600" s="3">
        <v>4</v>
      </c>
      <c r="F600" s="3">
        <v>3</v>
      </c>
      <c r="G600" t="s">
        <v>12</v>
      </c>
      <c r="H600" t="s">
        <v>1108</v>
      </c>
      <c r="I600" t="s">
        <v>33</v>
      </c>
      <c r="J600" t="s">
        <v>52</v>
      </c>
      <c r="K600" t="s">
        <v>10</v>
      </c>
      <c r="L600" t="s">
        <v>57</v>
      </c>
      <c r="M600" t="s">
        <v>10</v>
      </c>
      <c r="N600" t="s">
        <v>57</v>
      </c>
      <c r="O600" t="str">
        <f>INDEX(CoverageTable[Deductible Applies],MATCH(Table18[[#This Row],[Coverage]],CoverageTable[Coverage],0))</f>
        <v>No</v>
      </c>
      <c r="P600" t="str">
        <f>INDEX(CoverageTable[Coverage Limit Applies],MATCH(Table18[[#This Row],[Coverage]],CoverageTable[Coverage],0))</f>
        <v>Yes</v>
      </c>
      <c r="Q600" t="s">
        <v>10</v>
      </c>
      <c r="R600" t="s">
        <v>80</v>
      </c>
      <c r="S600" t="s">
        <v>10</v>
      </c>
      <c r="T600" t="s">
        <v>10</v>
      </c>
      <c r="U600" t="s">
        <v>10</v>
      </c>
      <c r="V600" t="s">
        <v>10</v>
      </c>
      <c r="W600" t="s">
        <v>57</v>
      </c>
    </row>
    <row r="601" spans="1:23" x14ac:dyDescent="0.3">
      <c r="A601" t="s">
        <v>692</v>
      </c>
      <c r="B601" s="7">
        <v>46065</v>
      </c>
      <c r="C601" t="s">
        <v>71</v>
      </c>
      <c r="D601" t="s">
        <v>1101</v>
      </c>
      <c r="E601" s="3">
        <v>2</v>
      </c>
      <c r="F601" s="3">
        <v>0</v>
      </c>
      <c r="G601" t="s">
        <v>10</v>
      </c>
      <c r="H601" t="s">
        <v>1109</v>
      </c>
      <c r="I601" t="s">
        <v>33</v>
      </c>
      <c r="J601" t="s">
        <v>49</v>
      </c>
      <c r="K601" t="s">
        <v>10</v>
      </c>
      <c r="L601" t="s">
        <v>10</v>
      </c>
      <c r="M601" t="s">
        <v>10</v>
      </c>
      <c r="N601" t="s">
        <v>10</v>
      </c>
      <c r="O601" t="str">
        <f>INDEX(CoverageTable[Deductible Applies],MATCH(Table18[[#This Row],[Coverage]],CoverageTable[Coverage],0))</f>
        <v>Yes</v>
      </c>
      <c r="P601" t="str">
        <f>INDEX(CoverageTable[Coverage Limit Applies],MATCH(Table18[[#This Row],[Coverage]],CoverageTable[Coverage],0))</f>
        <v>No</v>
      </c>
      <c r="Q601" t="s">
        <v>78</v>
      </c>
      <c r="R601" t="s">
        <v>10</v>
      </c>
      <c r="S601" t="s">
        <v>10</v>
      </c>
      <c r="T601" t="s">
        <v>10</v>
      </c>
      <c r="U601" t="s">
        <v>10</v>
      </c>
      <c r="V601" t="s">
        <v>10</v>
      </c>
      <c r="W601" t="s">
        <v>10</v>
      </c>
    </row>
    <row r="602" spans="1:23" x14ac:dyDescent="0.3">
      <c r="A602" t="s">
        <v>693</v>
      </c>
      <c r="B602" s="7">
        <v>46026</v>
      </c>
      <c r="C602" t="s">
        <v>74</v>
      </c>
      <c r="D602" t="s">
        <v>1101</v>
      </c>
      <c r="E602" s="3">
        <v>6</v>
      </c>
      <c r="F602" s="3" t="s">
        <v>7</v>
      </c>
      <c r="G602" t="s">
        <v>12</v>
      </c>
      <c r="H602" t="s">
        <v>1108</v>
      </c>
      <c r="I602" t="s">
        <v>28</v>
      </c>
      <c r="J602" t="s">
        <v>51</v>
      </c>
      <c r="K602" t="s">
        <v>10</v>
      </c>
      <c r="L602" t="s">
        <v>10</v>
      </c>
      <c r="M602" t="s">
        <v>10</v>
      </c>
      <c r="N602" t="s">
        <v>57</v>
      </c>
      <c r="O602" t="str">
        <f>INDEX(CoverageTable[Deductible Applies],MATCH(Table18[[#This Row],[Coverage]],CoverageTable[Coverage],0))</f>
        <v>No</v>
      </c>
      <c r="P602" t="str">
        <f>INDEX(CoverageTable[Coverage Limit Applies],MATCH(Table18[[#This Row],[Coverage]],CoverageTable[Coverage],0))</f>
        <v>Yes</v>
      </c>
      <c r="Q602" t="s">
        <v>10</v>
      </c>
      <c r="R602" t="s">
        <v>79</v>
      </c>
      <c r="S602" t="s">
        <v>57</v>
      </c>
      <c r="T602" t="s">
        <v>10</v>
      </c>
      <c r="U602" t="s">
        <v>10</v>
      </c>
      <c r="V602" t="s">
        <v>10</v>
      </c>
      <c r="W602" t="s">
        <v>57</v>
      </c>
    </row>
    <row r="603" spans="1:23" x14ac:dyDescent="0.3">
      <c r="A603" t="s">
        <v>694</v>
      </c>
      <c r="B603" s="7">
        <v>46084</v>
      </c>
      <c r="C603" t="s">
        <v>71</v>
      </c>
      <c r="D603" t="s">
        <v>1097</v>
      </c>
      <c r="E603" s="3" t="s">
        <v>1103</v>
      </c>
      <c r="F603" s="3">
        <v>4</v>
      </c>
      <c r="G603" t="s">
        <v>10</v>
      </c>
      <c r="H603" t="s">
        <v>1108</v>
      </c>
      <c r="I603" t="s">
        <v>42</v>
      </c>
      <c r="J603" t="s">
        <v>54</v>
      </c>
      <c r="K603" t="s">
        <v>10</v>
      </c>
      <c r="L603" t="s">
        <v>10</v>
      </c>
      <c r="M603" t="s">
        <v>10</v>
      </c>
      <c r="N603" t="s">
        <v>10</v>
      </c>
      <c r="O603" t="str">
        <f>INDEX(CoverageTable[Deductible Applies],MATCH(Table18[[#This Row],[Coverage]],CoverageTable[Coverage],0))</f>
        <v>Yes</v>
      </c>
      <c r="P603" t="str">
        <f>INDEX(CoverageTable[Coverage Limit Applies],MATCH(Table18[[#This Row],[Coverage]],CoverageTable[Coverage],0))</f>
        <v>No</v>
      </c>
      <c r="Q603" t="s">
        <v>80</v>
      </c>
      <c r="R603" t="s">
        <v>10</v>
      </c>
      <c r="S603" t="s">
        <v>10</v>
      </c>
      <c r="T603" t="s">
        <v>10</v>
      </c>
      <c r="U603" t="s">
        <v>10</v>
      </c>
      <c r="V603" t="s">
        <v>10</v>
      </c>
      <c r="W603" t="s">
        <v>10</v>
      </c>
    </row>
    <row r="604" spans="1:23" x14ac:dyDescent="0.3">
      <c r="A604" t="s">
        <v>695</v>
      </c>
      <c r="B604" s="7">
        <v>45825</v>
      </c>
      <c r="C604" t="s">
        <v>73</v>
      </c>
      <c r="D604" t="s">
        <v>1099</v>
      </c>
      <c r="E604" s="3" t="s">
        <v>1103</v>
      </c>
      <c r="F604" s="3" t="s">
        <v>7</v>
      </c>
      <c r="G604" t="s">
        <v>11</v>
      </c>
      <c r="H604" t="s">
        <v>1107</v>
      </c>
      <c r="I604" t="s">
        <v>38</v>
      </c>
      <c r="J604" t="s">
        <v>52</v>
      </c>
      <c r="K604" t="s">
        <v>10</v>
      </c>
      <c r="L604" t="s">
        <v>10</v>
      </c>
      <c r="M604" t="s">
        <v>10</v>
      </c>
      <c r="N604" t="s">
        <v>10</v>
      </c>
      <c r="O604" t="str">
        <f>INDEX(CoverageTable[Deductible Applies],MATCH(Table18[[#This Row],[Coverage]],CoverageTable[Coverage],0))</f>
        <v>No</v>
      </c>
      <c r="P604" t="str">
        <f>INDEX(CoverageTable[Coverage Limit Applies],MATCH(Table18[[#This Row],[Coverage]],CoverageTable[Coverage],0))</f>
        <v>Yes</v>
      </c>
      <c r="Q604" t="s">
        <v>10</v>
      </c>
      <c r="R604" t="s">
        <v>79</v>
      </c>
      <c r="S604" t="s">
        <v>10</v>
      </c>
      <c r="T604" t="s">
        <v>10</v>
      </c>
      <c r="U604" t="s">
        <v>57</v>
      </c>
      <c r="V604" t="s">
        <v>10</v>
      </c>
      <c r="W604" t="s">
        <v>10</v>
      </c>
    </row>
    <row r="605" spans="1:23" x14ac:dyDescent="0.3">
      <c r="A605" t="s">
        <v>696</v>
      </c>
      <c r="B605" s="7">
        <v>45807</v>
      </c>
      <c r="C605" t="s">
        <v>70</v>
      </c>
      <c r="D605" t="s">
        <v>1098</v>
      </c>
      <c r="E605" s="3">
        <v>2</v>
      </c>
      <c r="F605" s="3">
        <v>0</v>
      </c>
      <c r="G605" t="s">
        <v>11</v>
      </c>
      <c r="H605" t="s">
        <v>1109</v>
      </c>
      <c r="I605" t="s">
        <v>44</v>
      </c>
      <c r="J605" t="s">
        <v>51</v>
      </c>
      <c r="K605" t="s">
        <v>10</v>
      </c>
      <c r="L605" t="s">
        <v>10</v>
      </c>
      <c r="M605" t="s">
        <v>10</v>
      </c>
      <c r="N605" t="s">
        <v>57</v>
      </c>
      <c r="O605" t="str">
        <f>INDEX(CoverageTable[Deductible Applies],MATCH(Table18[[#This Row],[Coverage]],CoverageTable[Coverage],0))</f>
        <v>No</v>
      </c>
      <c r="P605" t="str">
        <f>INDEX(CoverageTable[Coverage Limit Applies],MATCH(Table18[[#This Row],[Coverage]],CoverageTable[Coverage],0))</f>
        <v>Yes</v>
      </c>
      <c r="Q605" t="s">
        <v>10</v>
      </c>
      <c r="R605" t="s">
        <v>79</v>
      </c>
      <c r="S605" t="s">
        <v>10</v>
      </c>
      <c r="T605" t="s">
        <v>10</v>
      </c>
      <c r="U605" t="s">
        <v>10</v>
      </c>
      <c r="V605" t="s">
        <v>10</v>
      </c>
      <c r="W605" t="s">
        <v>10</v>
      </c>
    </row>
    <row r="606" spans="1:23" x14ac:dyDescent="0.3">
      <c r="A606" t="s">
        <v>697</v>
      </c>
      <c r="B606" s="7">
        <v>45999</v>
      </c>
      <c r="C606" t="s">
        <v>72</v>
      </c>
      <c r="D606" t="s">
        <v>1097</v>
      </c>
      <c r="E606" s="3">
        <v>5</v>
      </c>
      <c r="F606" s="3">
        <v>3</v>
      </c>
      <c r="G606" t="s">
        <v>11</v>
      </c>
      <c r="H606" t="s">
        <v>1110</v>
      </c>
      <c r="I606" t="s">
        <v>41</v>
      </c>
      <c r="J606" t="s">
        <v>49</v>
      </c>
      <c r="K606" t="s">
        <v>10</v>
      </c>
      <c r="L606" t="s">
        <v>10</v>
      </c>
      <c r="M606" t="s">
        <v>57</v>
      </c>
      <c r="N606" t="s">
        <v>10</v>
      </c>
      <c r="O606" t="str">
        <f>INDEX(CoverageTable[Deductible Applies],MATCH(Table18[[#This Row],[Coverage]],CoverageTable[Coverage],0))</f>
        <v>Yes</v>
      </c>
      <c r="P606" t="str">
        <f>INDEX(CoverageTable[Coverage Limit Applies],MATCH(Table18[[#This Row],[Coverage]],CoverageTable[Coverage],0))</f>
        <v>No</v>
      </c>
      <c r="Q606" t="s">
        <v>80</v>
      </c>
      <c r="R606" t="s">
        <v>10</v>
      </c>
      <c r="S606" t="s">
        <v>57</v>
      </c>
      <c r="T606" t="s">
        <v>10</v>
      </c>
      <c r="U606" t="s">
        <v>10</v>
      </c>
      <c r="V606" t="s">
        <v>57</v>
      </c>
      <c r="W606" t="s">
        <v>10</v>
      </c>
    </row>
    <row r="607" spans="1:23" x14ac:dyDescent="0.3">
      <c r="A607" t="s">
        <v>698</v>
      </c>
      <c r="B607" s="7">
        <v>45791</v>
      </c>
      <c r="C607" t="s">
        <v>70</v>
      </c>
      <c r="D607" t="s">
        <v>1101</v>
      </c>
      <c r="E607" s="3">
        <v>4</v>
      </c>
      <c r="F607" s="3">
        <v>1</v>
      </c>
      <c r="G607" t="s">
        <v>13</v>
      </c>
      <c r="H607" t="s">
        <v>1108</v>
      </c>
      <c r="I607" t="s">
        <v>40</v>
      </c>
      <c r="J607" t="s">
        <v>49</v>
      </c>
      <c r="K607" t="s">
        <v>10</v>
      </c>
      <c r="L607" t="s">
        <v>10</v>
      </c>
      <c r="M607" t="s">
        <v>57</v>
      </c>
      <c r="N607" t="s">
        <v>57</v>
      </c>
      <c r="O607" t="str">
        <f>INDEX(CoverageTable[Deductible Applies],MATCH(Table18[[#This Row],[Coverage]],CoverageTable[Coverage],0))</f>
        <v>No</v>
      </c>
      <c r="P607" t="str">
        <f>INDEX(CoverageTable[Coverage Limit Applies],MATCH(Table18[[#This Row],[Coverage]],CoverageTable[Coverage],0))</f>
        <v>Yes</v>
      </c>
      <c r="Q607" t="s">
        <v>10</v>
      </c>
      <c r="R607" t="s">
        <v>80</v>
      </c>
      <c r="S607" t="s">
        <v>10</v>
      </c>
      <c r="T607" t="s">
        <v>57</v>
      </c>
      <c r="U607" t="s">
        <v>10</v>
      </c>
      <c r="V607" t="s">
        <v>10</v>
      </c>
      <c r="W607" t="s">
        <v>10</v>
      </c>
    </row>
    <row r="608" spans="1:23" x14ac:dyDescent="0.3">
      <c r="A608" t="s">
        <v>699</v>
      </c>
      <c r="B608" s="7">
        <v>45813</v>
      </c>
      <c r="C608" t="s">
        <v>70</v>
      </c>
      <c r="D608" t="s">
        <v>1098</v>
      </c>
      <c r="E608" s="3">
        <v>6</v>
      </c>
      <c r="F608" s="3" t="s">
        <v>7</v>
      </c>
      <c r="G608" t="s">
        <v>10</v>
      </c>
      <c r="H608" t="s">
        <v>1106</v>
      </c>
      <c r="I608" t="s">
        <v>27</v>
      </c>
      <c r="J608" t="s">
        <v>50</v>
      </c>
      <c r="K608" t="s">
        <v>10</v>
      </c>
      <c r="L608" t="s">
        <v>10</v>
      </c>
      <c r="M608" t="s">
        <v>10</v>
      </c>
      <c r="N608" t="s">
        <v>10</v>
      </c>
      <c r="O608" t="str">
        <f>INDEX(CoverageTable[Deductible Applies],MATCH(Table18[[#This Row],[Coverage]],CoverageTable[Coverage],0))</f>
        <v>No</v>
      </c>
      <c r="P608" t="str">
        <f>INDEX(CoverageTable[Coverage Limit Applies],MATCH(Table18[[#This Row],[Coverage]],CoverageTable[Coverage],0))</f>
        <v>Yes</v>
      </c>
      <c r="Q608" t="s">
        <v>10</v>
      </c>
      <c r="R608" t="s">
        <v>79</v>
      </c>
      <c r="S608" t="s">
        <v>57</v>
      </c>
      <c r="T608" t="s">
        <v>57</v>
      </c>
      <c r="U608" t="s">
        <v>10</v>
      </c>
      <c r="V608" t="s">
        <v>10</v>
      </c>
      <c r="W608" t="s">
        <v>10</v>
      </c>
    </row>
    <row r="609" spans="1:23" x14ac:dyDescent="0.3">
      <c r="A609" t="s">
        <v>700</v>
      </c>
      <c r="B609" s="7">
        <v>45974</v>
      </c>
      <c r="C609" t="s">
        <v>70</v>
      </c>
      <c r="D609" t="s">
        <v>1098</v>
      </c>
      <c r="E609" s="3">
        <v>1</v>
      </c>
      <c r="F609" s="3">
        <v>1</v>
      </c>
      <c r="G609" t="s">
        <v>10</v>
      </c>
      <c r="H609" t="s">
        <v>1110</v>
      </c>
      <c r="I609" t="s">
        <v>30</v>
      </c>
      <c r="J609" t="s">
        <v>49</v>
      </c>
      <c r="K609" t="s">
        <v>10</v>
      </c>
      <c r="L609" t="s">
        <v>10</v>
      </c>
      <c r="M609" t="s">
        <v>10</v>
      </c>
      <c r="N609" t="s">
        <v>57</v>
      </c>
      <c r="O609" t="str">
        <f>INDEX(CoverageTable[Deductible Applies],MATCH(Table18[[#This Row],[Coverage]],CoverageTable[Coverage],0))</f>
        <v>No</v>
      </c>
      <c r="P609" t="str">
        <f>INDEX(CoverageTable[Coverage Limit Applies],MATCH(Table18[[#This Row],[Coverage]],CoverageTable[Coverage],0))</f>
        <v>Yes</v>
      </c>
      <c r="Q609" t="s">
        <v>10</v>
      </c>
      <c r="R609" t="s">
        <v>78</v>
      </c>
      <c r="S609" t="s">
        <v>10</v>
      </c>
      <c r="T609" t="s">
        <v>10</v>
      </c>
      <c r="U609" t="s">
        <v>57</v>
      </c>
      <c r="V609" t="s">
        <v>10</v>
      </c>
      <c r="W609" t="s">
        <v>10</v>
      </c>
    </row>
    <row r="610" spans="1:23" x14ac:dyDescent="0.3">
      <c r="A610" t="s">
        <v>701</v>
      </c>
      <c r="B610" s="7">
        <v>45992</v>
      </c>
      <c r="C610" t="s">
        <v>70</v>
      </c>
      <c r="D610" t="s">
        <v>1102</v>
      </c>
      <c r="E610" s="3">
        <v>2</v>
      </c>
      <c r="F610" s="3">
        <v>0</v>
      </c>
      <c r="G610" t="s">
        <v>10</v>
      </c>
      <c r="H610" t="s">
        <v>1106</v>
      </c>
      <c r="I610" t="s">
        <v>31</v>
      </c>
      <c r="J610" t="s">
        <v>54</v>
      </c>
      <c r="K610" t="s">
        <v>10</v>
      </c>
      <c r="L610" t="s">
        <v>10</v>
      </c>
      <c r="M610" t="s">
        <v>10</v>
      </c>
      <c r="N610" t="s">
        <v>10</v>
      </c>
      <c r="O610" t="str">
        <f>INDEX(CoverageTable[Deductible Applies],MATCH(Table18[[#This Row],[Coverage]],CoverageTable[Coverage],0))</f>
        <v>No</v>
      </c>
      <c r="P610" t="str">
        <f>INDEX(CoverageTable[Coverage Limit Applies],MATCH(Table18[[#This Row],[Coverage]],CoverageTable[Coverage],0))</f>
        <v>Yes</v>
      </c>
      <c r="Q610" t="s">
        <v>10</v>
      </c>
      <c r="R610" t="s">
        <v>78</v>
      </c>
      <c r="S610" t="s">
        <v>10</v>
      </c>
      <c r="T610" t="s">
        <v>57</v>
      </c>
      <c r="U610" t="s">
        <v>10</v>
      </c>
      <c r="V610" t="s">
        <v>10</v>
      </c>
      <c r="W610" t="s">
        <v>10</v>
      </c>
    </row>
    <row r="611" spans="1:23" x14ac:dyDescent="0.3">
      <c r="A611" t="s">
        <v>702</v>
      </c>
      <c r="B611" s="7">
        <v>46096</v>
      </c>
      <c r="C611" t="s">
        <v>73</v>
      </c>
      <c r="D611" t="s">
        <v>1102</v>
      </c>
      <c r="E611" s="3">
        <v>5</v>
      </c>
      <c r="F611" s="3">
        <v>0</v>
      </c>
      <c r="G611" t="s">
        <v>12</v>
      </c>
      <c r="H611" t="s">
        <v>1108</v>
      </c>
      <c r="I611" t="s">
        <v>33</v>
      </c>
      <c r="J611" t="s">
        <v>52</v>
      </c>
      <c r="K611" t="s">
        <v>10</v>
      </c>
      <c r="L611" t="s">
        <v>10</v>
      </c>
      <c r="M611" t="s">
        <v>10</v>
      </c>
      <c r="N611" t="s">
        <v>57</v>
      </c>
      <c r="O611" t="str">
        <f>INDEX(CoverageTable[Deductible Applies],MATCH(Table18[[#This Row],[Coverage]],CoverageTable[Coverage],0))</f>
        <v>No</v>
      </c>
      <c r="P611" t="str">
        <f>INDEX(CoverageTable[Coverage Limit Applies],MATCH(Table18[[#This Row],[Coverage]],CoverageTable[Coverage],0))</f>
        <v>Yes</v>
      </c>
      <c r="Q611" t="s">
        <v>10</v>
      </c>
      <c r="R611" t="s">
        <v>80</v>
      </c>
      <c r="S611" t="s">
        <v>10</v>
      </c>
      <c r="T611" t="s">
        <v>57</v>
      </c>
      <c r="U611" t="s">
        <v>57</v>
      </c>
      <c r="V611" t="s">
        <v>10</v>
      </c>
      <c r="W611" t="s">
        <v>10</v>
      </c>
    </row>
    <row r="612" spans="1:23" x14ac:dyDescent="0.3">
      <c r="A612" t="s">
        <v>703</v>
      </c>
      <c r="B612" s="7">
        <v>46119</v>
      </c>
      <c r="C612" t="s">
        <v>70</v>
      </c>
      <c r="D612" t="s">
        <v>1098</v>
      </c>
      <c r="E612" s="3">
        <v>5</v>
      </c>
      <c r="F612" s="3">
        <v>1</v>
      </c>
      <c r="G612" t="s">
        <v>10</v>
      </c>
      <c r="H612" t="s">
        <v>1108</v>
      </c>
      <c r="I612" t="s">
        <v>34</v>
      </c>
      <c r="J612" t="s">
        <v>49</v>
      </c>
      <c r="K612" t="s">
        <v>10</v>
      </c>
      <c r="L612" t="s">
        <v>57</v>
      </c>
      <c r="M612" t="s">
        <v>57</v>
      </c>
      <c r="N612" t="s">
        <v>57</v>
      </c>
      <c r="O612" t="str">
        <f>INDEX(CoverageTable[Deductible Applies],MATCH(Table18[[#This Row],[Coverage]],CoverageTable[Coverage],0))</f>
        <v>No</v>
      </c>
      <c r="P612" t="str">
        <f>INDEX(CoverageTable[Coverage Limit Applies],MATCH(Table18[[#This Row],[Coverage]],CoverageTable[Coverage],0))</f>
        <v>Yes</v>
      </c>
      <c r="Q612" t="s">
        <v>10</v>
      </c>
      <c r="R612" t="s">
        <v>80</v>
      </c>
      <c r="S612" t="s">
        <v>57</v>
      </c>
      <c r="T612" t="s">
        <v>10</v>
      </c>
      <c r="U612" t="s">
        <v>57</v>
      </c>
      <c r="V612" t="s">
        <v>10</v>
      </c>
      <c r="W612" t="s">
        <v>10</v>
      </c>
    </row>
    <row r="613" spans="1:23" x14ac:dyDescent="0.3">
      <c r="A613" t="s">
        <v>704</v>
      </c>
      <c r="B613" s="7">
        <v>46076</v>
      </c>
      <c r="C613" t="s">
        <v>74</v>
      </c>
      <c r="D613" t="s">
        <v>1100</v>
      </c>
      <c r="E613" s="3">
        <v>4</v>
      </c>
      <c r="F613" s="3">
        <v>4</v>
      </c>
      <c r="G613" t="s">
        <v>10</v>
      </c>
      <c r="H613" t="s">
        <v>1108</v>
      </c>
      <c r="I613" t="s">
        <v>44</v>
      </c>
      <c r="J613" t="s">
        <v>52</v>
      </c>
      <c r="K613" t="s">
        <v>10</v>
      </c>
      <c r="L613" t="s">
        <v>57</v>
      </c>
      <c r="M613" t="s">
        <v>10</v>
      </c>
      <c r="N613" t="s">
        <v>10</v>
      </c>
      <c r="O613" t="str">
        <f>INDEX(CoverageTable[Deductible Applies],MATCH(Table18[[#This Row],[Coverage]],CoverageTable[Coverage],0))</f>
        <v>No</v>
      </c>
      <c r="P613" t="str">
        <f>INDEX(CoverageTable[Coverage Limit Applies],MATCH(Table18[[#This Row],[Coverage]],CoverageTable[Coverage],0))</f>
        <v>Yes</v>
      </c>
      <c r="Q613" t="s">
        <v>10</v>
      </c>
      <c r="R613" t="s">
        <v>80</v>
      </c>
      <c r="S613" t="s">
        <v>10</v>
      </c>
      <c r="T613" t="s">
        <v>10</v>
      </c>
      <c r="U613" t="s">
        <v>10</v>
      </c>
      <c r="V613" t="s">
        <v>10</v>
      </c>
      <c r="W613" t="s">
        <v>10</v>
      </c>
    </row>
    <row r="614" spans="1:23" x14ac:dyDescent="0.3">
      <c r="A614" t="s">
        <v>705</v>
      </c>
      <c r="B614" s="7">
        <v>46035</v>
      </c>
      <c r="C614" t="s">
        <v>74</v>
      </c>
      <c r="D614" t="s">
        <v>1098</v>
      </c>
      <c r="E614" s="3">
        <v>7</v>
      </c>
      <c r="F614" s="3">
        <v>1</v>
      </c>
      <c r="G614" t="s">
        <v>10</v>
      </c>
      <c r="H614" t="s">
        <v>1106</v>
      </c>
      <c r="I614" t="s">
        <v>33</v>
      </c>
      <c r="J614" t="s">
        <v>52</v>
      </c>
      <c r="K614" t="s">
        <v>10</v>
      </c>
      <c r="L614" t="s">
        <v>10</v>
      </c>
      <c r="M614" t="s">
        <v>10</v>
      </c>
      <c r="N614" t="s">
        <v>10</v>
      </c>
      <c r="O614" t="str">
        <f>INDEX(CoverageTable[Deductible Applies],MATCH(Table18[[#This Row],[Coverage]],CoverageTable[Coverage],0))</f>
        <v>No</v>
      </c>
      <c r="P614" t="str">
        <f>INDEX(CoverageTable[Coverage Limit Applies],MATCH(Table18[[#This Row],[Coverage]],CoverageTable[Coverage],0))</f>
        <v>Yes</v>
      </c>
      <c r="Q614" t="s">
        <v>10</v>
      </c>
      <c r="R614" t="s">
        <v>78</v>
      </c>
      <c r="S614" t="s">
        <v>10</v>
      </c>
      <c r="T614" t="s">
        <v>10</v>
      </c>
      <c r="U614" t="s">
        <v>10</v>
      </c>
      <c r="V614" t="s">
        <v>10</v>
      </c>
      <c r="W614" t="s">
        <v>10</v>
      </c>
    </row>
    <row r="615" spans="1:23" x14ac:dyDescent="0.3">
      <c r="A615" t="s">
        <v>706</v>
      </c>
      <c r="B615" s="7">
        <v>46002</v>
      </c>
      <c r="C615" t="s">
        <v>70</v>
      </c>
      <c r="D615" t="s">
        <v>1098</v>
      </c>
      <c r="E615" s="3">
        <v>4</v>
      </c>
      <c r="F615" s="3">
        <v>1</v>
      </c>
      <c r="G615" t="s">
        <v>12</v>
      </c>
      <c r="H615" t="s">
        <v>1109</v>
      </c>
      <c r="I615" t="s">
        <v>33</v>
      </c>
      <c r="J615" t="s">
        <v>52</v>
      </c>
      <c r="K615" t="s">
        <v>57</v>
      </c>
      <c r="L615" t="s">
        <v>57</v>
      </c>
      <c r="M615" t="s">
        <v>10</v>
      </c>
      <c r="N615" t="s">
        <v>10</v>
      </c>
      <c r="O615" t="str">
        <f>INDEX(CoverageTable[Deductible Applies],MATCH(Table18[[#This Row],[Coverage]],CoverageTable[Coverage],0))</f>
        <v>No</v>
      </c>
      <c r="P615" t="str">
        <f>INDEX(CoverageTable[Coverage Limit Applies],MATCH(Table18[[#This Row],[Coverage]],CoverageTable[Coverage],0))</f>
        <v>Yes</v>
      </c>
      <c r="Q615" t="s">
        <v>10</v>
      </c>
      <c r="R615" t="s">
        <v>79</v>
      </c>
      <c r="S615" t="s">
        <v>10</v>
      </c>
      <c r="T615" t="s">
        <v>10</v>
      </c>
      <c r="U615" t="s">
        <v>10</v>
      </c>
      <c r="V615" t="s">
        <v>10</v>
      </c>
      <c r="W615" t="s">
        <v>10</v>
      </c>
    </row>
    <row r="616" spans="1:23" x14ac:dyDescent="0.3">
      <c r="A616" t="s">
        <v>707</v>
      </c>
      <c r="B616" s="7">
        <v>46122</v>
      </c>
      <c r="C616" t="s">
        <v>71</v>
      </c>
      <c r="D616" t="s">
        <v>1100</v>
      </c>
      <c r="E616" s="3">
        <v>7</v>
      </c>
      <c r="F616" s="3">
        <v>1</v>
      </c>
      <c r="G616" t="s">
        <v>10</v>
      </c>
      <c r="H616" t="s">
        <v>1110</v>
      </c>
      <c r="I616" t="s">
        <v>27</v>
      </c>
      <c r="J616" t="s">
        <v>50</v>
      </c>
      <c r="K616" t="s">
        <v>10</v>
      </c>
      <c r="L616" t="s">
        <v>10</v>
      </c>
      <c r="M616" t="s">
        <v>10</v>
      </c>
      <c r="N616" t="s">
        <v>57</v>
      </c>
      <c r="O616" t="str">
        <f>INDEX(CoverageTable[Deductible Applies],MATCH(Table18[[#This Row],[Coverage]],CoverageTable[Coverage],0))</f>
        <v>Yes</v>
      </c>
      <c r="P616" t="str">
        <f>INDEX(CoverageTable[Coverage Limit Applies],MATCH(Table18[[#This Row],[Coverage]],CoverageTable[Coverage],0))</f>
        <v>No</v>
      </c>
      <c r="Q616" t="s">
        <v>80</v>
      </c>
      <c r="R616" t="s">
        <v>10</v>
      </c>
      <c r="S616" t="s">
        <v>10</v>
      </c>
      <c r="T616" t="s">
        <v>10</v>
      </c>
      <c r="U616" t="s">
        <v>10</v>
      </c>
      <c r="V616" t="s">
        <v>10</v>
      </c>
      <c r="W616" t="s">
        <v>10</v>
      </c>
    </row>
    <row r="617" spans="1:23" x14ac:dyDescent="0.3">
      <c r="A617" t="s">
        <v>708</v>
      </c>
      <c r="B617" s="7">
        <v>46020</v>
      </c>
      <c r="C617" t="s">
        <v>71</v>
      </c>
      <c r="D617" t="s">
        <v>1098</v>
      </c>
      <c r="E617" s="3" t="s">
        <v>1103</v>
      </c>
      <c r="F617" s="3">
        <v>0</v>
      </c>
      <c r="G617" t="s">
        <v>13</v>
      </c>
      <c r="H617" t="s">
        <v>1108</v>
      </c>
      <c r="I617" t="s">
        <v>42</v>
      </c>
      <c r="J617" t="s">
        <v>53</v>
      </c>
      <c r="K617" t="s">
        <v>57</v>
      </c>
      <c r="L617" t="s">
        <v>57</v>
      </c>
      <c r="M617" t="s">
        <v>57</v>
      </c>
      <c r="N617" t="s">
        <v>57</v>
      </c>
      <c r="O617" t="str">
        <f>INDEX(CoverageTable[Deductible Applies],MATCH(Table18[[#This Row],[Coverage]],CoverageTable[Coverage],0))</f>
        <v>Yes</v>
      </c>
      <c r="P617" t="str">
        <f>INDEX(CoverageTable[Coverage Limit Applies],MATCH(Table18[[#This Row],[Coverage]],CoverageTable[Coverage],0))</f>
        <v>No</v>
      </c>
      <c r="Q617" t="s">
        <v>78</v>
      </c>
      <c r="R617" t="s">
        <v>10</v>
      </c>
      <c r="S617" t="s">
        <v>10</v>
      </c>
      <c r="T617" t="s">
        <v>10</v>
      </c>
      <c r="U617" t="s">
        <v>10</v>
      </c>
      <c r="V617" t="s">
        <v>10</v>
      </c>
      <c r="W617" t="s">
        <v>10</v>
      </c>
    </row>
    <row r="618" spans="1:23" x14ac:dyDescent="0.3">
      <c r="A618" t="s">
        <v>709</v>
      </c>
      <c r="B618" s="7">
        <v>45866</v>
      </c>
      <c r="C618" t="s">
        <v>72</v>
      </c>
      <c r="D618" t="s">
        <v>1097</v>
      </c>
      <c r="E618" s="3">
        <v>1</v>
      </c>
      <c r="F618" s="3">
        <v>3</v>
      </c>
      <c r="G618" t="s">
        <v>10</v>
      </c>
      <c r="H618" t="s">
        <v>1106</v>
      </c>
      <c r="I618" t="s">
        <v>41</v>
      </c>
      <c r="J618" t="s">
        <v>53</v>
      </c>
      <c r="K618" t="s">
        <v>10</v>
      </c>
      <c r="L618" t="s">
        <v>10</v>
      </c>
      <c r="M618" t="s">
        <v>10</v>
      </c>
      <c r="N618" t="s">
        <v>10</v>
      </c>
      <c r="O618" t="str">
        <f>INDEX(CoverageTable[Deductible Applies],MATCH(Table18[[#This Row],[Coverage]],CoverageTable[Coverage],0))</f>
        <v>Yes</v>
      </c>
      <c r="P618" t="str">
        <f>INDEX(CoverageTable[Coverage Limit Applies],MATCH(Table18[[#This Row],[Coverage]],CoverageTable[Coverage],0))</f>
        <v>No</v>
      </c>
      <c r="Q618" t="s">
        <v>79</v>
      </c>
      <c r="R618" t="s">
        <v>10</v>
      </c>
      <c r="S618" t="s">
        <v>10</v>
      </c>
      <c r="T618" t="s">
        <v>57</v>
      </c>
      <c r="U618" t="s">
        <v>10</v>
      </c>
      <c r="V618" t="s">
        <v>10</v>
      </c>
      <c r="W618" t="s">
        <v>10</v>
      </c>
    </row>
    <row r="619" spans="1:23" x14ac:dyDescent="0.3">
      <c r="A619" t="s">
        <v>710</v>
      </c>
      <c r="B619" s="7">
        <v>45820</v>
      </c>
      <c r="C619" t="s">
        <v>71</v>
      </c>
      <c r="D619" t="s">
        <v>1101</v>
      </c>
      <c r="E619" s="3">
        <v>5</v>
      </c>
      <c r="F619" s="3">
        <v>4</v>
      </c>
      <c r="G619" t="s">
        <v>10</v>
      </c>
      <c r="H619" t="s">
        <v>1108</v>
      </c>
      <c r="I619" t="s">
        <v>34</v>
      </c>
      <c r="J619" t="s">
        <v>51</v>
      </c>
      <c r="K619" t="s">
        <v>10</v>
      </c>
      <c r="L619" t="s">
        <v>10</v>
      </c>
      <c r="M619" t="s">
        <v>10</v>
      </c>
      <c r="N619" t="s">
        <v>10</v>
      </c>
      <c r="O619" t="str">
        <f>INDEX(CoverageTable[Deductible Applies],MATCH(Table18[[#This Row],[Coverage]],CoverageTable[Coverage],0))</f>
        <v>Yes</v>
      </c>
      <c r="P619" t="str">
        <f>INDEX(CoverageTable[Coverage Limit Applies],MATCH(Table18[[#This Row],[Coverage]],CoverageTable[Coverage],0))</f>
        <v>No</v>
      </c>
      <c r="Q619" t="s">
        <v>80</v>
      </c>
      <c r="R619" t="s">
        <v>10</v>
      </c>
      <c r="S619" t="s">
        <v>10</v>
      </c>
      <c r="T619" t="s">
        <v>10</v>
      </c>
      <c r="U619" t="s">
        <v>57</v>
      </c>
      <c r="V619" t="s">
        <v>10</v>
      </c>
      <c r="W619" t="s">
        <v>10</v>
      </c>
    </row>
    <row r="620" spans="1:23" x14ac:dyDescent="0.3">
      <c r="A620" t="s">
        <v>711</v>
      </c>
      <c r="B620" s="7">
        <v>46067</v>
      </c>
      <c r="C620" t="s">
        <v>71</v>
      </c>
      <c r="D620" t="s">
        <v>1100</v>
      </c>
      <c r="E620" s="3">
        <v>2</v>
      </c>
      <c r="F620" s="3">
        <v>0</v>
      </c>
      <c r="G620" t="s">
        <v>11</v>
      </c>
      <c r="H620" t="s">
        <v>1106</v>
      </c>
      <c r="I620" t="s">
        <v>32</v>
      </c>
      <c r="J620" t="s">
        <v>53</v>
      </c>
      <c r="K620" t="s">
        <v>10</v>
      </c>
      <c r="L620" t="s">
        <v>10</v>
      </c>
      <c r="M620" t="s">
        <v>10</v>
      </c>
      <c r="N620" t="s">
        <v>57</v>
      </c>
      <c r="O620" t="str">
        <f>INDEX(CoverageTable[Deductible Applies],MATCH(Table18[[#This Row],[Coverage]],CoverageTable[Coverage],0))</f>
        <v>Yes</v>
      </c>
      <c r="P620" t="str">
        <f>INDEX(CoverageTable[Coverage Limit Applies],MATCH(Table18[[#This Row],[Coverage]],CoverageTable[Coverage],0))</f>
        <v>No</v>
      </c>
      <c r="Q620" t="s">
        <v>79</v>
      </c>
      <c r="R620" t="s">
        <v>10</v>
      </c>
      <c r="S620" t="s">
        <v>10</v>
      </c>
      <c r="T620" t="s">
        <v>10</v>
      </c>
      <c r="U620" t="s">
        <v>57</v>
      </c>
      <c r="V620" t="s">
        <v>10</v>
      </c>
      <c r="W620" t="s">
        <v>10</v>
      </c>
    </row>
    <row r="621" spans="1:23" x14ac:dyDescent="0.3">
      <c r="A621" t="s">
        <v>712</v>
      </c>
      <c r="B621" s="7">
        <v>45912</v>
      </c>
      <c r="C621" t="s">
        <v>73</v>
      </c>
      <c r="D621" t="s">
        <v>1100</v>
      </c>
      <c r="E621" s="3">
        <v>1</v>
      </c>
      <c r="F621" s="3">
        <v>1</v>
      </c>
      <c r="G621" t="s">
        <v>13</v>
      </c>
      <c r="H621" t="s">
        <v>1106</v>
      </c>
      <c r="I621" t="s">
        <v>25</v>
      </c>
      <c r="J621" t="s">
        <v>48</v>
      </c>
      <c r="K621" t="s">
        <v>10</v>
      </c>
      <c r="L621" t="s">
        <v>57</v>
      </c>
      <c r="M621" t="s">
        <v>10</v>
      </c>
      <c r="N621" t="s">
        <v>57</v>
      </c>
      <c r="O621" t="str">
        <f>INDEX(CoverageTable[Deductible Applies],MATCH(Table18[[#This Row],[Coverage]],CoverageTable[Coverage],0))</f>
        <v>No</v>
      </c>
      <c r="P621" t="str">
        <f>INDEX(CoverageTable[Coverage Limit Applies],MATCH(Table18[[#This Row],[Coverage]],CoverageTable[Coverage],0))</f>
        <v>Yes</v>
      </c>
      <c r="Q621" t="s">
        <v>10</v>
      </c>
      <c r="R621" t="s">
        <v>79</v>
      </c>
      <c r="S621" t="s">
        <v>10</v>
      </c>
      <c r="T621" t="s">
        <v>10</v>
      </c>
      <c r="U621" t="s">
        <v>57</v>
      </c>
      <c r="V621" t="s">
        <v>10</v>
      </c>
      <c r="W621" t="s">
        <v>10</v>
      </c>
    </row>
    <row r="622" spans="1:23" x14ac:dyDescent="0.3">
      <c r="A622" t="s">
        <v>713</v>
      </c>
      <c r="B622" s="7">
        <v>45914</v>
      </c>
      <c r="C622" t="s">
        <v>72</v>
      </c>
      <c r="D622" t="s">
        <v>1097</v>
      </c>
      <c r="E622" s="3">
        <v>4</v>
      </c>
      <c r="F622" s="3" t="s">
        <v>7</v>
      </c>
      <c r="G622" t="s">
        <v>13</v>
      </c>
      <c r="H622" t="s">
        <v>1110</v>
      </c>
      <c r="I622" t="s">
        <v>28</v>
      </c>
      <c r="J622" t="s">
        <v>51</v>
      </c>
      <c r="K622" t="s">
        <v>10</v>
      </c>
      <c r="L622" t="s">
        <v>57</v>
      </c>
      <c r="M622" t="s">
        <v>10</v>
      </c>
      <c r="N622" t="s">
        <v>10</v>
      </c>
      <c r="O622" t="str">
        <f>INDEX(CoverageTable[Deductible Applies],MATCH(Table18[[#This Row],[Coverage]],CoverageTable[Coverage],0))</f>
        <v>Yes</v>
      </c>
      <c r="P622" t="str">
        <f>INDEX(CoverageTable[Coverage Limit Applies],MATCH(Table18[[#This Row],[Coverage]],CoverageTable[Coverage],0))</f>
        <v>No</v>
      </c>
      <c r="Q622" t="s">
        <v>78</v>
      </c>
      <c r="R622" t="s">
        <v>10</v>
      </c>
      <c r="S622" t="s">
        <v>10</v>
      </c>
      <c r="T622" t="s">
        <v>10</v>
      </c>
      <c r="U622" t="s">
        <v>57</v>
      </c>
      <c r="V622" t="s">
        <v>10</v>
      </c>
      <c r="W622" t="s">
        <v>10</v>
      </c>
    </row>
    <row r="623" spans="1:23" x14ac:dyDescent="0.3">
      <c r="A623" t="s">
        <v>714</v>
      </c>
      <c r="B623" s="7">
        <v>45993</v>
      </c>
      <c r="C623" t="s">
        <v>70</v>
      </c>
      <c r="D623" t="s">
        <v>1102</v>
      </c>
      <c r="E623" s="3">
        <v>1</v>
      </c>
      <c r="F623" s="3">
        <v>0</v>
      </c>
      <c r="G623" t="s">
        <v>11</v>
      </c>
      <c r="H623" t="s">
        <v>1110</v>
      </c>
      <c r="I623" t="s">
        <v>27</v>
      </c>
      <c r="J623" t="s">
        <v>49</v>
      </c>
      <c r="K623" t="s">
        <v>10</v>
      </c>
      <c r="L623" t="s">
        <v>10</v>
      </c>
      <c r="M623" t="s">
        <v>10</v>
      </c>
      <c r="N623" t="s">
        <v>10</v>
      </c>
      <c r="O623" t="str">
        <f>INDEX(CoverageTable[Deductible Applies],MATCH(Table18[[#This Row],[Coverage]],CoverageTable[Coverage],0))</f>
        <v>No</v>
      </c>
      <c r="P623" t="str">
        <f>INDEX(CoverageTable[Coverage Limit Applies],MATCH(Table18[[#This Row],[Coverage]],CoverageTable[Coverage],0))</f>
        <v>Yes</v>
      </c>
      <c r="Q623" t="s">
        <v>10</v>
      </c>
      <c r="R623" t="s">
        <v>79</v>
      </c>
      <c r="S623" t="s">
        <v>10</v>
      </c>
      <c r="T623" t="s">
        <v>10</v>
      </c>
      <c r="U623" t="s">
        <v>10</v>
      </c>
      <c r="V623" t="s">
        <v>10</v>
      </c>
      <c r="W623" t="s">
        <v>10</v>
      </c>
    </row>
    <row r="624" spans="1:23" x14ac:dyDescent="0.3">
      <c r="A624" t="s">
        <v>715</v>
      </c>
      <c r="B624" s="7">
        <v>45791</v>
      </c>
      <c r="C624" t="s">
        <v>72</v>
      </c>
      <c r="D624" t="s">
        <v>1098</v>
      </c>
      <c r="E624" s="3">
        <v>6</v>
      </c>
      <c r="F624" s="3">
        <v>0</v>
      </c>
      <c r="G624" t="s">
        <v>10</v>
      </c>
      <c r="H624" t="s">
        <v>1109</v>
      </c>
      <c r="I624" t="s">
        <v>35</v>
      </c>
      <c r="J624" t="s">
        <v>53</v>
      </c>
      <c r="K624" t="s">
        <v>10</v>
      </c>
      <c r="L624" t="s">
        <v>10</v>
      </c>
      <c r="M624" t="s">
        <v>10</v>
      </c>
      <c r="N624" t="s">
        <v>10</v>
      </c>
      <c r="O624" t="str">
        <f>INDEX(CoverageTable[Deductible Applies],MATCH(Table18[[#This Row],[Coverage]],CoverageTable[Coverage],0))</f>
        <v>Yes</v>
      </c>
      <c r="P624" t="str">
        <f>INDEX(CoverageTable[Coverage Limit Applies],MATCH(Table18[[#This Row],[Coverage]],CoverageTable[Coverage],0))</f>
        <v>No</v>
      </c>
      <c r="Q624" t="s">
        <v>79</v>
      </c>
      <c r="R624" t="s">
        <v>10</v>
      </c>
      <c r="S624" t="s">
        <v>57</v>
      </c>
      <c r="T624" t="s">
        <v>10</v>
      </c>
      <c r="U624" t="s">
        <v>10</v>
      </c>
      <c r="V624" t="s">
        <v>57</v>
      </c>
      <c r="W624" t="s">
        <v>57</v>
      </c>
    </row>
    <row r="625" spans="1:23" x14ac:dyDescent="0.3">
      <c r="A625" t="s">
        <v>716</v>
      </c>
      <c r="B625" s="7">
        <v>46069</v>
      </c>
      <c r="C625" t="s">
        <v>73</v>
      </c>
      <c r="D625" t="s">
        <v>1101</v>
      </c>
      <c r="E625" s="3">
        <v>6</v>
      </c>
      <c r="F625" s="3" t="s">
        <v>7</v>
      </c>
      <c r="G625" t="s">
        <v>11</v>
      </c>
      <c r="H625" t="s">
        <v>1109</v>
      </c>
      <c r="I625" t="s">
        <v>23</v>
      </c>
      <c r="J625" t="s">
        <v>51</v>
      </c>
      <c r="K625" t="s">
        <v>10</v>
      </c>
      <c r="L625" t="s">
        <v>10</v>
      </c>
      <c r="M625" t="s">
        <v>10</v>
      </c>
      <c r="N625" t="s">
        <v>57</v>
      </c>
      <c r="O625" t="str">
        <f>INDEX(CoverageTable[Deductible Applies],MATCH(Table18[[#This Row],[Coverage]],CoverageTable[Coverage],0))</f>
        <v>No</v>
      </c>
      <c r="P625" t="str">
        <f>INDEX(CoverageTable[Coverage Limit Applies],MATCH(Table18[[#This Row],[Coverage]],CoverageTable[Coverage],0))</f>
        <v>Yes</v>
      </c>
      <c r="Q625" t="s">
        <v>10</v>
      </c>
      <c r="R625" t="s">
        <v>80</v>
      </c>
      <c r="S625" t="s">
        <v>10</v>
      </c>
      <c r="T625" t="s">
        <v>10</v>
      </c>
      <c r="U625" t="s">
        <v>57</v>
      </c>
      <c r="V625" t="s">
        <v>10</v>
      </c>
      <c r="W625" t="s">
        <v>10</v>
      </c>
    </row>
    <row r="626" spans="1:23" x14ac:dyDescent="0.3">
      <c r="A626" t="s">
        <v>717</v>
      </c>
      <c r="B626" s="7">
        <v>45830</v>
      </c>
      <c r="C626" t="s">
        <v>71</v>
      </c>
      <c r="D626" t="s">
        <v>1100</v>
      </c>
      <c r="E626" s="3">
        <v>6</v>
      </c>
      <c r="F626" s="3">
        <v>0</v>
      </c>
      <c r="G626" t="s">
        <v>10</v>
      </c>
      <c r="H626" t="s">
        <v>1110</v>
      </c>
      <c r="I626" t="s">
        <v>22</v>
      </c>
      <c r="J626" t="s">
        <v>50</v>
      </c>
      <c r="K626" t="s">
        <v>57</v>
      </c>
      <c r="L626" t="s">
        <v>57</v>
      </c>
      <c r="M626" t="s">
        <v>10</v>
      </c>
      <c r="N626" t="s">
        <v>10</v>
      </c>
      <c r="O626" t="str">
        <f>INDEX(CoverageTable[Deductible Applies],MATCH(Table18[[#This Row],[Coverage]],CoverageTable[Coverage],0))</f>
        <v>Yes</v>
      </c>
      <c r="P626" t="str">
        <f>INDEX(CoverageTable[Coverage Limit Applies],MATCH(Table18[[#This Row],[Coverage]],CoverageTable[Coverage],0))</f>
        <v>No</v>
      </c>
      <c r="Q626" t="s">
        <v>78</v>
      </c>
      <c r="R626" t="s">
        <v>10</v>
      </c>
      <c r="S626" t="s">
        <v>10</v>
      </c>
      <c r="T626" t="s">
        <v>10</v>
      </c>
      <c r="U626" t="s">
        <v>10</v>
      </c>
      <c r="V626" t="s">
        <v>10</v>
      </c>
      <c r="W626" t="s">
        <v>10</v>
      </c>
    </row>
    <row r="627" spans="1:23" x14ac:dyDescent="0.3">
      <c r="A627" t="s">
        <v>718</v>
      </c>
      <c r="B627" s="7">
        <v>45996</v>
      </c>
      <c r="C627" t="s">
        <v>71</v>
      </c>
      <c r="D627" t="s">
        <v>1102</v>
      </c>
      <c r="E627" s="3">
        <v>3</v>
      </c>
      <c r="F627" s="3">
        <v>1</v>
      </c>
      <c r="G627" t="s">
        <v>11</v>
      </c>
      <c r="H627" t="s">
        <v>1109</v>
      </c>
      <c r="I627" t="s">
        <v>24</v>
      </c>
      <c r="J627" t="s">
        <v>51</v>
      </c>
      <c r="K627" t="s">
        <v>10</v>
      </c>
      <c r="L627" t="s">
        <v>57</v>
      </c>
      <c r="M627" t="s">
        <v>10</v>
      </c>
      <c r="N627" t="s">
        <v>10</v>
      </c>
      <c r="O627" t="str">
        <f>INDEX(CoverageTable[Deductible Applies],MATCH(Table18[[#This Row],[Coverage]],CoverageTable[Coverage],0))</f>
        <v>Yes</v>
      </c>
      <c r="P627" t="str">
        <f>INDEX(CoverageTable[Coverage Limit Applies],MATCH(Table18[[#This Row],[Coverage]],CoverageTable[Coverage],0))</f>
        <v>No</v>
      </c>
      <c r="Q627" t="s">
        <v>79</v>
      </c>
      <c r="R627" t="s">
        <v>10</v>
      </c>
      <c r="S627" t="s">
        <v>10</v>
      </c>
      <c r="T627" t="s">
        <v>10</v>
      </c>
      <c r="U627" t="s">
        <v>57</v>
      </c>
      <c r="V627" t="s">
        <v>10</v>
      </c>
      <c r="W627" t="s">
        <v>10</v>
      </c>
    </row>
    <row r="628" spans="1:23" x14ac:dyDescent="0.3">
      <c r="A628" t="s">
        <v>719</v>
      </c>
      <c r="B628" s="7">
        <v>45860</v>
      </c>
      <c r="C628" t="s">
        <v>71</v>
      </c>
      <c r="D628" t="s">
        <v>1102</v>
      </c>
      <c r="E628" s="3">
        <v>6</v>
      </c>
      <c r="F628" s="3" t="s">
        <v>7</v>
      </c>
      <c r="G628" t="s">
        <v>10</v>
      </c>
      <c r="H628" t="s">
        <v>1109</v>
      </c>
      <c r="I628" t="s">
        <v>24</v>
      </c>
      <c r="J628" t="s">
        <v>50</v>
      </c>
      <c r="K628" t="s">
        <v>10</v>
      </c>
      <c r="L628" t="s">
        <v>10</v>
      </c>
      <c r="M628" t="s">
        <v>10</v>
      </c>
      <c r="N628" t="s">
        <v>10</v>
      </c>
      <c r="O628" t="str">
        <f>INDEX(CoverageTable[Deductible Applies],MATCH(Table18[[#This Row],[Coverage]],CoverageTable[Coverage],0))</f>
        <v>Yes</v>
      </c>
      <c r="P628" t="str">
        <f>INDEX(CoverageTable[Coverage Limit Applies],MATCH(Table18[[#This Row],[Coverage]],CoverageTable[Coverage],0))</f>
        <v>No</v>
      </c>
      <c r="Q628" t="s">
        <v>80</v>
      </c>
      <c r="R628" t="s">
        <v>10</v>
      </c>
      <c r="S628" t="s">
        <v>10</v>
      </c>
      <c r="T628" t="s">
        <v>10</v>
      </c>
      <c r="U628" t="s">
        <v>10</v>
      </c>
      <c r="V628" t="s">
        <v>10</v>
      </c>
      <c r="W628" t="s">
        <v>10</v>
      </c>
    </row>
    <row r="629" spans="1:23" x14ac:dyDescent="0.3">
      <c r="A629" t="s">
        <v>720</v>
      </c>
      <c r="B629" s="7">
        <v>46047</v>
      </c>
      <c r="C629" t="s">
        <v>74</v>
      </c>
      <c r="D629" t="s">
        <v>1102</v>
      </c>
      <c r="E629" s="3">
        <v>7</v>
      </c>
      <c r="F629" s="3" t="s">
        <v>7</v>
      </c>
      <c r="G629" t="s">
        <v>12</v>
      </c>
      <c r="H629" t="s">
        <v>1110</v>
      </c>
      <c r="I629" t="s">
        <v>35</v>
      </c>
      <c r="J629" t="s">
        <v>48</v>
      </c>
      <c r="K629" t="s">
        <v>10</v>
      </c>
      <c r="L629" t="s">
        <v>10</v>
      </c>
      <c r="M629" t="s">
        <v>57</v>
      </c>
      <c r="N629" t="s">
        <v>10</v>
      </c>
      <c r="O629" t="str">
        <f>INDEX(CoverageTable[Deductible Applies],MATCH(Table18[[#This Row],[Coverage]],CoverageTable[Coverage],0))</f>
        <v>No</v>
      </c>
      <c r="P629" t="str">
        <f>INDEX(CoverageTable[Coverage Limit Applies],MATCH(Table18[[#This Row],[Coverage]],CoverageTable[Coverage],0))</f>
        <v>Yes</v>
      </c>
      <c r="Q629" t="s">
        <v>10</v>
      </c>
      <c r="R629" t="s">
        <v>78</v>
      </c>
      <c r="S629" t="s">
        <v>10</v>
      </c>
      <c r="T629" t="s">
        <v>57</v>
      </c>
      <c r="U629" t="s">
        <v>10</v>
      </c>
      <c r="V629" t="s">
        <v>10</v>
      </c>
      <c r="W629" t="s">
        <v>10</v>
      </c>
    </row>
    <row r="630" spans="1:23" x14ac:dyDescent="0.3">
      <c r="A630" t="s">
        <v>721</v>
      </c>
      <c r="B630" s="7">
        <v>45994</v>
      </c>
      <c r="C630" t="s">
        <v>70</v>
      </c>
      <c r="D630" t="s">
        <v>1101</v>
      </c>
      <c r="E630" s="3">
        <v>5</v>
      </c>
      <c r="F630" s="3">
        <v>1</v>
      </c>
      <c r="G630" t="s">
        <v>11</v>
      </c>
      <c r="H630" t="s">
        <v>1108</v>
      </c>
      <c r="I630" t="s">
        <v>32</v>
      </c>
      <c r="J630" t="s">
        <v>49</v>
      </c>
      <c r="K630" t="s">
        <v>10</v>
      </c>
      <c r="L630" t="s">
        <v>57</v>
      </c>
      <c r="M630" t="s">
        <v>10</v>
      </c>
      <c r="N630" t="s">
        <v>57</v>
      </c>
      <c r="O630" t="str">
        <f>INDEX(CoverageTable[Deductible Applies],MATCH(Table18[[#This Row],[Coverage]],CoverageTable[Coverage],0))</f>
        <v>No</v>
      </c>
      <c r="P630" t="str">
        <f>INDEX(CoverageTable[Coverage Limit Applies],MATCH(Table18[[#This Row],[Coverage]],CoverageTable[Coverage],0))</f>
        <v>Yes</v>
      </c>
      <c r="Q630" t="s">
        <v>10</v>
      </c>
      <c r="R630" t="s">
        <v>80</v>
      </c>
      <c r="S630" t="s">
        <v>10</v>
      </c>
      <c r="T630" t="s">
        <v>10</v>
      </c>
      <c r="U630" t="s">
        <v>10</v>
      </c>
      <c r="V630" t="s">
        <v>10</v>
      </c>
      <c r="W630" t="s">
        <v>10</v>
      </c>
    </row>
    <row r="631" spans="1:23" x14ac:dyDescent="0.3">
      <c r="A631" t="s">
        <v>722</v>
      </c>
      <c r="B631" s="7">
        <v>46067</v>
      </c>
      <c r="C631" t="s">
        <v>71</v>
      </c>
      <c r="D631" t="s">
        <v>1097</v>
      </c>
      <c r="E631" s="3">
        <v>6</v>
      </c>
      <c r="F631" s="3">
        <v>1</v>
      </c>
      <c r="G631" t="s">
        <v>10</v>
      </c>
      <c r="H631" t="s">
        <v>1110</v>
      </c>
      <c r="I631" t="s">
        <v>24</v>
      </c>
      <c r="J631" t="s">
        <v>53</v>
      </c>
      <c r="K631" t="s">
        <v>10</v>
      </c>
      <c r="L631" t="s">
        <v>10</v>
      </c>
      <c r="M631" t="s">
        <v>10</v>
      </c>
      <c r="N631" t="s">
        <v>10</v>
      </c>
      <c r="O631" t="str">
        <f>INDEX(CoverageTable[Deductible Applies],MATCH(Table18[[#This Row],[Coverage]],CoverageTable[Coverage],0))</f>
        <v>Yes</v>
      </c>
      <c r="P631" t="str">
        <f>INDEX(CoverageTable[Coverage Limit Applies],MATCH(Table18[[#This Row],[Coverage]],CoverageTable[Coverage],0))</f>
        <v>No</v>
      </c>
      <c r="Q631" t="s">
        <v>78</v>
      </c>
      <c r="R631" t="s">
        <v>10</v>
      </c>
      <c r="S631" t="s">
        <v>10</v>
      </c>
      <c r="T631" t="s">
        <v>10</v>
      </c>
      <c r="U631" t="s">
        <v>10</v>
      </c>
      <c r="V631" t="s">
        <v>10</v>
      </c>
      <c r="W631" t="s">
        <v>10</v>
      </c>
    </row>
    <row r="632" spans="1:23" x14ac:dyDescent="0.3">
      <c r="A632" t="s">
        <v>723</v>
      </c>
      <c r="B632" s="7">
        <v>46020</v>
      </c>
      <c r="C632" t="s">
        <v>70</v>
      </c>
      <c r="D632" t="s">
        <v>1099</v>
      </c>
      <c r="E632" s="3">
        <v>6</v>
      </c>
      <c r="F632" s="3" t="s">
        <v>7</v>
      </c>
      <c r="G632" t="s">
        <v>12</v>
      </c>
      <c r="H632" t="s">
        <v>1109</v>
      </c>
      <c r="I632" t="s">
        <v>26</v>
      </c>
      <c r="J632" t="s">
        <v>52</v>
      </c>
      <c r="K632" t="s">
        <v>10</v>
      </c>
      <c r="L632" t="s">
        <v>10</v>
      </c>
      <c r="M632" t="s">
        <v>10</v>
      </c>
      <c r="N632" t="s">
        <v>57</v>
      </c>
      <c r="O632" t="str">
        <f>INDEX(CoverageTable[Deductible Applies],MATCH(Table18[[#This Row],[Coverage]],CoverageTable[Coverage],0))</f>
        <v>No</v>
      </c>
      <c r="P632" t="str">
        <f>INDEX(CoverageTable[Coverage Limit Applies],MATCH(Table18[[#This Row],[Coverage]],CoverageTable[Coverage],0))</f>
        <v>Yes</v>
      </c>
      <c r="Q632" t="s">
        <v>10</v>
      </c>
      <c r="R632" t="s">
        <v>78</v>
      </c>
      <c r="S632" t="s">
        <v>10</v>
      </c>
      <c r="T632" t="s">
        <v>57</v>
      </c>
      <c r="U632" t="s">
        <v>10</v>
      </c>
      <c r="V632" t="s">
        <v>10</v>
      </c>
      <c r="W632" t="s">
        <v>10</v>
      </c>
    </row>
    <row r="633" spans="1:23" x14ac:dyDescent="0.3">
      <c r="A633" t="s">
        <v>724</v>
      </c>
      <c r="B633" s="7">
        <v>45809</v>
      </c>
      <c r="C633" t="s">
        <v>74</v>
      </c>
      <c r="D633" t="s">
        <v>1099</v>
      </c>
      <c r="E633" s="3">
        <v>3</v>
      </c>
      <c r="F633" s="3">
        <v>3</v>
      </c>
      <c r="G633" t="s">
        <v>10</v>
      </c>
      <c r="H633" t="s">
        <v>1109</v>
      </c>
      <c r="I633" t="s">
        <v>42</v>
      </c>
      <c r="J633" t="s">
        <v>50</v>
      </c>
      <c r="K633" t="s">
        <v>10</v>
      </c>
      <c r="L633" t="s">
        <v>10</v>
      </c>
      <c r="M633" t="s">
        <v>10</v>
      </c>
      <c r="N633" t="s">
        <v>10</v>
      </c>
      <c r="O633" t="str">
        <f>INDEX(CoverageTable[Deductible Applies],MATCH(Table18[[#This Row],[Coverage]],CoverageTable[Coverage],0))</f>
        <v>No</v>
      </c>
      <c r="P633" t="str">
        <f>INDEX(CoverageTable[Coverage Limit Applies],MATCH(Table18[[#This Row],[Coverage]],CoverageTable[Coverage],0))</f>
        <v>Yes</v>
      </c>
      <c r="Q633" t="s">
        <v>10</v>
      </c>
      <c r="R633" t="s">
        <v>78</v>
      </c>
      <c r="S633" t="s">
        <v>10</v>
      </c>
      <c r="T633" t="s">
        <v>57</v>
      </c>
      <c r="U633" t="s">
        <v>10</v>
      </c>
      <c r="V633" t="s">
        <v>57</v>
      </c>
      <c r="W633" t="s">
        <v>10</v>
      </c>
    </row>
    <row r="634" spans="1:23" x14ac:dyDescent="0.3">
      <c r="A634" t="s">
        <v>725</v>
      </c>
      <c r="B634" s="7">
        <v>45790</v>
      </c>
      <c r="C634" t="s">
        <v>72</v>
      </c>
      <c r="D634" t="s">
        <v>1102</v>
      </c>
      <c r="E634" s="3">
        <v>1</v>
      </c>
      <c r="F634" s="3">
        <v>0</v>
      </c>
      <c r="G634" t="s">
        <v>13</v>
      </c>
      <c r="H634" t="s">
        <v>1108</v>
      </c>
      <c r="I634" t="s">
        <v>26</v>
      </c>
      <c r="J634" t="s">
        <v>49</v>
      </c>
      <c r="K634" t="s">
        <v>10</v>
      </c>
      <c r="L634" t="s">
        <v>10</v>
      </c>
      <c r="M634" t="s">
        <v>10</v>
      </c>
      <c r="N634" t="s">
        <v>10</v>
      </c>
      <c r="O634" t="str">
        <f>INDEX(CoverageTable[Deductible Applies],MATCH(Table18[[#This Row],[Coverage]],CoverageTable[Coverage],0))</f>
        <v>Yes</v>
      </c>
      <c r="P634" t="str">
        <f>INDEX(CoverageTable[Coverage Limit Applies],MATCH(Table18[[#This Row],[Coverage]],CoverageTable[Coverage],0))</f>
        <v>No</v>
      </c>
      <c r="Q634" t="s">
        <v>79</v>
      </c>
      <c r="R634" t="s">
        <v>10</v>
      </c>
      <c r="S634" t="s">
        <v>57</v>
      </c>
      <c r="T634" t="s">
        <v>10</v>
      </c>
      <c r="U634" t="s">
        <v>10</v>
      </c>
      <c r="V634" t="s">
        <v>10</v>
      </c>
      <c r="W634" t="s">
        <v>57</v>
      </c>
    </row>
    <row r="635" spans="1:23" x14ac:dyDescent="0.3">
      <c r="A635" t="s">
        <v>726</v>
      </c>
      <c r="B635" s="7">
        <v>45913</v>
      </c>
      <c r="C635" t="s">
        <v>72</v>
      </c>
      <c r="D635" t="s">
        <v>1099</v>
      </c>
      <c r="E635" s="3">
        <v>6</v>
      </c>
      <c r="F635" s="3">
        <v>0</v>
      </c>
      <c r="G635" t="s">
        <v>10</v>
      </c>
      <c r="H635" t="s">
        <v>1106</v>
      </c>
      <c r="I635" t="s">
        <v>39</v>
      </c>
      <c r="J635" t="s">
        <v>54</v>
      </c>
      <c r="K635" t="s">
        <v>57</v>
      </c>
      <c r="L635" t="s">
        <v>10</v>
      </c>
      <c r="M635" t="s">
        <v>57</v>
      </c>
      <c r="N635" t="s">
        <v>10</v>
      </c>
      <c r="O635" t="str">
        <f>INDEX(CoverageTable[Deductible Applies],MATCH(Table18[[#This Row],[Coverage]],CoverageTable[Coverage],0))</f>
        <v>Yes</v>
      </c>
      <c r="P635" t="str">
        <f>INDEX(CoverageTable[Coverage Limit Applies],MATCH(Table18[[#This Row],[Coverage]],CoverageTable[Coverage],0))</f>
        <v>No</v>
      </c>
      <c r="Q635" t="s">
        <v>78</v>
      </c>
      <c r="R635" t="s">
        <v>10</v>
      </c>
      <c r="S635" t="s">
        <v>10</v>
      </c>
      <c r="T635" t="s">
        <v>10</v>
      </c>
      <c r="U635" t="s">
        <v>10</v>
      </c>
      <c r="V635" t="s">
        <v>10</v>
      </c>
      <c r="W635" t="s">
        <v>10</v>
      </c>
    </row>
    <row r="636" spans="1:23" x14ac:dyDescent="0.3">
      <c r="A636" t="s">
        <v>727</v>
      </c>
      <c r="B636" s="7">
        <v>46126</v>
      </c>
      <c r="C636" t="s">
        <v>70</v>
      </c>
      <c r="D636" t="s">
        <v>1099</v>
      </c>
      <c r="E636" s="3" t="s">
        <v>1103</v>
      </c>
      <c r="F636" s="3">
        <v>2</v>
      </c>
      <c r="G636" t="s">
        <v>12</v>
      </c>
      <c r="H636" t="s">
        <v>1110</v>
      </c>
      <c r="I636" t="s">
        <v>34</v>
      </c>
      <c r="J636" t="s">
        <v>53</v>
      </c>
      <c r="K636" t="s">
        <v>10</v>
      </c>
      <c r="L636" t="s">
        <v>10</v>
      </c>
      <c r="M636" t="s">
        <v>10</v>
      </c>
      <c r="N636" t="s">
        <v>57</v>
      </c>
      <c r="O636" t="str">
        <f>INDEX(CoverageTable[Deductible Applies],MATCH(Table18[[#This Row],[Coverage]],CoverageTable[Coverage],0))</f>
        <v>No</v>
      </c>
      <c r="P636" t="str">
        <f>INDEX(CoverageTable[Coverage Limit Applies],MATCH(Table18[[#This Row],[Coverage]],CoverageTable[Coverage],0))</f>
        <v>Yes</v>
      </c>
      <c r="Q636" t="s">
        <v>10</v>
      </c>
      <c r="R636" t="s">
        <v>80</v>
      </c>
      <c r="S636" t="s">
        <v>10</v>
      </c>
      <c r="T636" t="s">
        <v>10</v>
      </c>
      <c r="U636" t="s">
        <v>57</v>
      </c>
      <c r="V636" t="s">
        <v>10</v>
      </c>
      <c r="W636" t="s">
        <v>10</v>
      </c>
    </row>
    <row r="637" spans="1:23" x14ac:dyDescent="0.3">
      <c r="A637" t="s">
        <v>728</v>
      </c>
      <c r="B637" s="7">
        <v>46124</v>
      </c>
      <c r="C637" t="s">
        <v>71</v>
      </c>
      <c r="D637" t="s">
        <v>1098</v>
      </c>
      <c r="E637" s="3">
        <v>5</v>
      </c>
      <c r="F637" s="3">
        <v>3</v>
      </c>
      <c r="G637" t="s">
        <v>10</v>
      </c>
      <c r="H637" t="s">
        <v>1110</v>
      </c>
      <c r="I637" t="s">
        <v>41</v>
      </c>
      <c r="J637" t="s">
        <v>54</v>
      </c>
      <c r="K637" t="s">
        <v>10</v>
      </c>
      <c r="L637" t="s">
        <v>10</v>
      </c>
      <c r="M637" t="s">
        <v>10</v>
      </c>
      <c r="N637" t="s">
        <v>57</v>
      </c>
      <c r="O637" t="str">
        <f>INDEX(CoverageTable[Deductible Applies],MATCH(Table18[[#This Row],[Coverage]],CoverageTable[Coverage],0))</f>
        <v>Yes</v>
      </c>
      <c r="P637" t="str">
        <f>INDEX(CoverageTable[Coverage Limit Applies],MATCH(Table18[[#This Row],[Coverage]],CoverageTable[Coverage],0))</f>
        <v>No</v>
      </c>
      <c r="Q637" t="s">
        <v>79</v>
      </c>
      <c r="R637" t="s">
        <v>10</v>
      </c>
      <c r="S637" t="s">
        <v>10</v>
      </c>
      <c r="T637" t="s">
        <v>10</v>
      </c>
      <c r="U637" t="s">
        <v>10</v>
      </c>
      <c r="V637" t="s">
        <v>10</v>
      </c>
      <c r="W637" t="s">
        <v>10</v>
      </c>
    </row>
    <row r="638" spans="1:23" x14ac:dyDescent="0.3">
      <c r="A638" t="s">
        <v>729</v>
      </c>
      <c r="B638" s="7">
        <v>45812</v>
      </c>
      <c r="C638" t="s">
        <v>73</v>
      </c>
      <c r="D638" t="s">
        <v>1101</v>
      </c>
      <c r="E638" s="3">
        <v>1</v>
      </c>
      <c r="F638" s="3">
        <v>4</v>
      </c>
      <c r="G638" t="s">
        <v>10</v>
      </c>
      <c r="H638" t="s">
        <v>1107</v>
      </c>
      <c r="I638" t="s">
        <v>44</v>
      </c>
      <c r="J638" t="s">
        <v>52</v>
      </c>
      <c r="K638" t="s">
        <v>10</v>
      </c>
      <c r="L638" t="s">
        <v>10</v>
      </c>
      <c r="M638" t="s">
        <v>10</v>
      </c>
      <c r="N638" t="s">
        <v>57</v>
      </c>
      <c r="O638" t="str">
        <f>INDEX(CoverageTable[Deductible Applies],MATCH(Table18[[#This Row],[Coverage]],CoverageTable[Coverage],0))</f>
        <v>No</v>
      </c>
      <c r="P638" t="str">
        <f>INDEX(CoverageTable[Coverage Limit Applies],MATCH(Table18[[#This Row],[Coverage]],CoverageTable[Coverage],0))</f>
        <v>Yes</v>
      </c>
      <c r="Q638" t="s">
        <v>10</v>
      </c>
      <c r="R638" t="s">
        <v>79</v>
      </c>
      <c r="S638" t="s">
        <v>10</v>
      </c>
      <c r="T638" t="s">
        <v>10</v>
      </c>
      <c r="U638" t="s">
        <v>10</v>
      </c>
      <c r="V638" t="s">
        <v>57</v>
      </c>
      <c r="W638" t="s">
        <v>10</v>
      </c>
    </row>
    <row r="639" spans="1:23" x14ac:dyDescent="0.3">
      <c r="A639" t="s">
        <v>730</v>
      </c>
      <c r="B639" s="7">
        <v>46091</v>
      </c>
      <c r="C639" t="s">
        <v>71</v>
      </c>
      <c r="D639" t="s">
        <v>1099</v>
      </c>
      <c r="E639" s="3">
        <v>6</v>
      </c>
      <c r="F639" s="3">
        <v>2</v>
      </c>
      <c r="G639" t="s">
        <v>13</v>
      </c>
      <c r="H639" t="s">
        <v>1108</v>
      </c>
      <c r="I639" t="s">
        <v>22</v>
      </c>
      <c r="J639" t="s">
        <v>54</v>
      </c>
      <c r="K639" t="s">
        <v>10</v>
      </c>
      <c r="L639" t="s">
        <v>57</v>
      </c>
      <c r="M639" t="s">
        <v>10</v>
      </c>
      <c r="N639" t="s">
        <v>57</v>
      </c>
      <c r="O639" t="str">
        <f>INDEX(CoverageTable[Deductible Applies],MATCH(Table18[[#This Row],[Coverage]],CoverageTable[Coverage],0))</f>
        <v>Yes</v>
      </c>
      <c r="P639" t="str">
        <f>INDEX(CoverageTable[Coverage Limit Applies],MATCH(Table18[[#This Row],[Coverage]],CoverageTable[Coverage],0))</f>
        <v>No</v>
      </c>
      <c r="Q639" t="s">
        <v>79</v>
      </c>
      <c r="R639" t="s">
        <v>10</v>
      </c>
      <c r="S639" t="s">
        <v>10</v>
      </c>
      <c r="T639" t="s">
        <v>10</v>
      </c>
      <c r="U639" t="s">
        <v>57</v>
      </c>
      <c r="V639" t="s">
        <v>10</v>
      </c>
      <c r="W639" t="s">
        <v>10</v>
      </c>
    </row>
    <row r="640" spans="1:23" x14ac:dyDescent="0.3">
      <c r="A640" t="s">
        <v>731</v>
      </c>
      <c r="B640" s="7">
        <v>45795</v>
      </c>
      <c r="C640" t="s">
        <v>70</v>
      </c>
      <c r="D640" t="s">
        <v>1099</v>
      </c>
      <c r="E640" s="3" t="s">
        <v>1103</v>
      </c>
      <c r="F640" s="3">
        <v>0</v>
      </c>
      <c r="G640" t="s">
        <v>12</v>
      </c>
      <c r="H640" t="s">
        <v>1110</v>
      </c>
      <c r="I640" t="s">
        <v>22</v>
      </c>
      <c r="J640" t="s">
        <v>52</v>
      </c>
      <c r="K640" t="s">
        <v>57</v>
      </c>
      <c r="L640" t="s">
        <v>57</v>
      </c>
      <c r="M640" t="s">
        <v>10</v>
      </c>
      <c r="N640" t="s">
        <v>10</v>
      </c>
      <c r="O640" t="str">
        <f>INDEX(CoverageTable[Deductible Applies],MATCH(Table18[[#This Row],[Coverage]],CoverageTable[Coverage],0))</f>
        <v>No</v>
      </c>
      <c r="P640" t="str">
        <f>INDEX(CoverageTable[Coverage Limit Applies],MATCH(Table18[[#This Row],[Coverage]],CoverageTable[Coverage],0))</f>
        <v>Yes</v>
      </c>
      <c r="Q640" t="s">
        <v>10</v>
      </c>
      <c r="R640" t="s">
        <v>78</v>
      </c>
      <c r="S640" t="s">
        <v>10</v>
      </c>
      <c r="T640" t="s">
        <v>57</v>
      </c>
      <c r="U640" t="s">
        <v>57</v>
      </c>
      <c r="V640" t="s">
        <v>10</v>
      </c>
      <c r="W640" t="s">
        <v>10</v>
      </c>
    </row>
    <row r="641" spans="1:23" x14ac:dyDescent="0.3">
      <c r="A641" t="s">
        <v>732</v>
      </c>
      <c r="B641" s="7">
        <v>46092</v>
      </c>
      <c r="C641" t="s">
        <v>72</v>
      </c>
      <c r="D641" t="s">
        <v>1102</v>
      </c>
      <c r="E641" s="3" t="s">
        <v>1103</v>
      </c>
      <c r="F641" s="3">
        <v>1</v>
      </c>
      <c r="G641" t="s">
        <v>13</v>
      </c>
      <c r="H641" t="s">
        <v>1107</v>
      </c>
      <c r="I641" t="s">
        <v>31</v>
      </c>
      <c r="J641" t="s">
        <v>50</v>
      </c>
      <c r="K641" t="s">
        <v>10</v>
      </c>
      <c r="L641" t="s">
        <v>10</v>
      </c>
      <c r="M641" t="s">
        <v>10</v>
      </c>
      <c r="N641" t="s">
        <v>10</v>
      </c>
      <c r="O641" t="str">
        <f>INDEX(CoverageTable[Deductible Applies],MATCH(Table18[[#This Row],[Coverage]],CoverageTable[Coverage],0))</f>
        <v>Yes</v>
      </c>
      <c r="P641" t="str">
        <f>INDEX(CoverageTable[Coverage Limit Applies],MATCH(Table18[[#This Row],[Coverage]],CoverageTable[Coverage],0))</f>
        <v>No</v>
      </c>
      <c r="Q641" t="s">
        <v>78</v>
      </c>
      <c r="R641" t="s">
        <v>10</v>
      </c>
      <c r="S641" t="s">
        <v>10</v>
      </c>
      <c r="T641" t="s">
        <v>10</v>
      </c>
      <c r="U641" t="s">
        <v>10</v>
      </c>
      <c r="V641" t="s">
        <v>57</v>
      </c>
      <c r="W641" t="s">
        <v>57</v>
      </c>
    </row>
    <row r="642" spans="1:23" x14ac:dyDescent="0.3">
      <c r="A642" t="s">
        <v>733</v>
      </c>
      <c r="B642" s="7">
        <v>46005</v>
      </c>
      <c r="C642" t="s">
        <v>70</v>
      </c>
      <c r="D642" t="s">
        <v>1102</v>
      </c>
      <c r="E642" s="3">
        <v>7</v>
      </c>
      <c r="F642" s="3">
        <v>0</v>
      </c>
      <c r="G642" t="s">
        <v>12</v>
      </c>
      <c r="H642" t="s">
        <v>1107</v>
      </c>
      <c r="I642" t="s">
        <v>37</v>
      </c>
      <c r="J642" t="s">
        <v>50</v>
      </c>
      <c r="K642" t="s">
        <v>10</v>
      </c>
      <c r="L642" t="s">
        <v>10</v>
      </c>
      <c r="M642" t="s">
        <v>10</v>
      </c>
      <c r="N642" t="s">
        <v>10</v>
      </c>
      <c r="O642" t="str">
        <f>INDEX(CoverageTable[Deductible Applies],MATCH(Table18[[#This Row],[Coverage]],CoverageTable[Coverage],0))</f>
        <v>No</v>
      </c>
      <c r="P642" t="str">
        <f>INDEX(CoverageTable[Coverage Limit Applies],MATCH(Table18[[#This Row],[Coverage]],CoverageTable[Coverage],0))</f>
        <v>Yes</v>
      </c>
      <c r="Q642" t="s">
        <v>10</v>
      </c>
      <c r="R642" t="s">
        <v>79</v>
      </c>
      <c r="S642" t="s">
        <v>10</v>
      </c>
      <c r="T642" t="s">
        <v>10</v>
      </c>
      <c r="U642" t="s">
        <v>10</v>
      </c>
      <c r="V642" t="s">
        <v>10</v>
      </c>
      <c r="W642" t="s">
        <v>10</v>
      </c>
    </row>
    <row r="643" spans="1:23" x14ac:dyDescent="0.3">
      <c r="A643" t="s">
        <v>734</v>
      </c>
      <c r="B643" s="7">
        <v>46092</v>
      </c>
      <c r="C643" t="s">
        <v>70</v>
      </c>
      <c r="D643" t="s">
        <v>1097</v>
      </c>
      <c r="E643" s="3" t="s">
        <v>1103</v>
      </c>
      <c r="F643" s="3">
        <v>1</v>
      </c>
      <c r="G643" t="s">
        <v>10</v>
      </c>
      <c r="H643" t="s">
        <v>1108</v>
      </c>
      <c r="I643" t="s">
        <v>32</v>
      </c>
      <c r="J643" t="s">
        <v>50</v>
      </c>
      <c r="K643" t="s">
        <v>10</v>
      </c>
      <c r="L643" t="s">
        <v>10</v>
      </c>
      <c r="M643" t="s">
        <v>10</v>
      </c>
      <c r="N643" t="s">
        <v>57</v>
      </c>
      <c r="O643" t="str">
        <f>INDEX(CoverageTable[Deductible Applies],MATCH(Table18[[#This Row],[Coverage]],CoverageTable[Coverage],0))</f>
        <v>No</v>
      </c>
      <c r="P643" t="str">
        <f>INDEX(CoverageTable[Coverage Limit Applies],MATCH(Table18[[#This Row],[Coverage]],CoverageTable[Coverage],0))</f>
        <v>Yes</v>
      </c>
      <c r="Q643" t="s">
        <v>10</v>
      </c>
      <c r="R643" t="s">
        <v>80</v>
      </c>
      <c r="S643" t="s">
        <v>10</v>
      </c>
      <c r="T643" t="s">
        <v>57</v>
      </c>
      <c r="U643" t="s">
        <v>10</v>
      </c>
      <c r="V643" t="s">
        <v>10</v>
      </c>
      <c r="W643" t="s">
        <v>10</v>
      </c>
    </row>
    <row r="644" spans="1:23" x14ac:dyDescent="0.3">
      <c r="A644" t="s">
        <v>735</v>
      </c>
      <c r="B644" s="7">
        <v>46098</v>
      </c>
      <c r="C644" t="s">
        <v>70</v>
      </c>
      <c r="D644" t="s">
        <v>1102</v>
      </c>
      <c r="E644" s="3">
        <v>1</v>
      </c>
      <c r="F644" s="3">
        <v>4</v>
      </c>
      <c r="G644" t="s">
        <v>10</v>
      </c>
      <c r="H644" t="s">
        <v>1107</v>
      </c>
      <c r="I644" t="s">
        <v>38</v>
      </c>
      <c r="J644" t="s">
        <v>49</v>
      </c>
      <c r="K644" t="s">
        <v>10</v>
      </c>
      <c r="L644" t="s">
        <v>10</v>
      </c>
      <c r="M644" t="s">
        <v>10</v>
      </c>
      <c r="N644" t="s">
        <v>10</v>
      </c>
      <c r="O644" t="str">
        <f>INDEX(CoverageTable[Deductible Applies],MATCH(Table18[[#This Row],[Coverage]],CoverageTable[Coverage],0))</f>
        <v>No</v>
      </c>
      <c r="P644" t="str">
        <f>INDEX(CoverageTable[Coverage Limit Applies],MATCH(Table18[[#This Row],[Coverage]],CoverageTable[Coverage],0))</f>
        <v>Yes</v>
      </c>
      <c r="Q644" t="s">
        <v>10</v>
      </c>
      <c r="R644" t="s">
        <v>79</v>
      </c>
      <c r="S644" t="s">
        <v>10</v>
      </c>
      <c r="T644" t="s">
        <v>57</v>
      </c>
      <c r="U644" t="s">
        <v>10</v>
      </c>
      <c r="V644" t="s">
        <v>10</v>
      </c>
      <c r="W644" t="s">
        <v>10</v>
      </c>
    </row>
    <row r="645" spans="1:23" x14ac:dyDescent="0.3">
      <c r="A645" t="s">
        <v>736</v>
      </c>
      <c r="B645" s="7">
        <v>45822</v>
      </c>
      <c r="C645" t="s">
        <v>70</v>
      </c>
      <c r="D645" t="s">
        <v>1101</v>
      </c>
      <c r="E645" s="3" t="s">
        <v>1103</v>
      </c>
      <c r="F645" s="3">
        <v>0</v>
      </c>
      <c r="G645" t="s">
        <v>10</v>
      </c>
      <c r="H645" t="s">
        <v>1110</v>
      </c>
      <c r="I645" t="s">
        <v>29</v>
      </c>
      <c r="J645" t="s">
        <v>51</v>
      </c>
      <c r="K645" t="s">
        <v>10</v>
      </c>
      <c r="L645" t="s">
        <v>10</v>
      </c>
      <c r="M645" t="s">
        <v>10</v>
      </c>
      <c r="N645" t="s">
        <v>57</v>
      </c>
      <c r="O645" t="str">
        <f>INDEX(CoverageTable[Deductible Applies],MATCH(Table18[[#This Row],[Coverage]],CoverageTable[Coverage],0))</f>
        <v>No</v>
      </c>
      <c r="P645" t="str">
        <f>INDEX(CoverageTable[Coverage Limit Applies],MATCH(Table18[[#This Row],[Coverage]],CoverageTable[Coverage],0))</f>
        <v>Yes</v>
      </c>
      <c r="Q645" t="s">
        <v>10</v>
      </c>
      <c r="R645" t="s">
        <v>78</v>
      </c>
      <c r="S645" t="s">
        <v>10</v>
      </c>
      <c r="T645" t="s">
        <v>57</v>
      </c>
      <c r="U645" t="s">
        <v>57</v>
      </c>
      <c r="V645" t="s">
        <v>10</v>
      </c>
      <c r="W645" t="s">
        <v>57</v>
      </c>
    </row>
    <row r="646" spans="1:23" x14ac:dyDescent="0.3">
      <c r="A646" t="s">
        <v>737</v>
      </c>
      <c r="B646" s="7">
        <v>46124</v>
      </c>
      <c r="C646" t="s">
        <v>71</v>
      </c>
      <c r="D646" t="s">
        <v>1099</v>
      </c>
      <c r="E646" s="3" t="s">
        <v>1103</v>
      </c>
      <c r="F646" s="3">
        <v>4</v>
      </c>
      <c r="G646" t="s">
        <v>11</v>
      </c>
      <c r="H646" t="s">
        <v>1106</v>
      </c>
      <c r="I646" t="s">
        <v>39</v>
      </c>
      <c r="J646" t="s">
        <v>53</v>
      </c>
      <c r="K646" t="s">
        <v>10</v>
      </c>
      <c r="L646" t="s">
        <v>10</v>
      </c>
      <c r="M646" t="s">
        <v>10</v>
      </c>
      <c r="N646" t="s">
        <v>10</v>
      </c>
      <c r="O646" t="str">
        <f>INDEX(CoverageTable[Deductible Applies],MATCH(Table18[[#This Row],[Coverage]],CoverageTable[Coverage],0))</f>
        <v>Yes</v>
      </c>
      <c r="P646" t="str">
        <f>INDEX(CoverageTable[Coverage Limit Applies],MATCH(Table18[[#This Row],[Coverage]],CoverageTable[Coverage],0))</f>
        <v>No</v>
      </c>
      <c r="Q646" t="s">
        <v>78</v>
      </c>
      <c r="R646" t="s">
        <v>10</v>
      </c>
      <c r="S646" t="s">
        <v>10</v>
      </c>
      <c r="T646" t="s">
        <v>57</v>
      </c>
      <c r="U646" t="s">
        <v>57</v>
      </c>
      <c r="V646" t="s">
        <v>10</v>
      </c>
      <c r="W646" t="s">
        <v>10</v>
      </c>
    </row>
    <row r="647" spans="1:23" x14ac:dyDescent="0.3">
      <c r="A647" t="s">
        <v>738</v>
      </c>
      <c r="B647" s="7">
        <v>45912</v>
      </c>
      <c r="C647" t="s">
        <v>70</v>
      </c>
      <c r="D647" t="s">
        <v>1102</v>
      </c>
      <c r="E647" s="3" t="s">
        <v>1103</v>
      </c>
      <c r="F647" s="3">
        <v>0</v>
      </c>
      <c r="G647" t="s">
        <v>12</v>
      </c>
      <c r="H647" t="s">
        <v>1110</v>
      </c>
      <c r="I647" t="s">
        <v>26</v>
      </c>
      <c r="J647" t="s">
        <v>50</v>
      </c>
      <c r="K647" t="s">
        <v>10</v>
      </c>
      <c r="L647" t="s">
        <v>10</v>
      </c>
      <c r="M647" t="s">
        <v>10</v>
      </c>
      <c r="N647" t="s">
        <v>10</v>
      </c>
      <c r="O647" t="str">
        <f>INDEX(CoverageTable[Deductible Applies],MATCH(Table18[[#This Row],[Coverage]],CoverageTable[Coverage],0))</f>
        <v>No</v>
      </c>
      <c r="P647" t="str">
        <f>INDEX(CoverageTable[Coverage Limit Applies],MATCH(Table18[[#This Row],[Coverage]],CoverageTable[Coverage],0))</f>
        <v>Yes</v>
      </c>
      <c r="Q647" t="s">
        <v>10</v>
      </c>
      <c r="R647" t="s">
        <v>80</v>
      </c>
      <c r="S647" t="s">
        <v>57</v>
      </c>
      <c r="T647" t="s">
        <v>57</v>
      </c>
      <c r="U647" t="s">
        <v>10</v>
      </c>
      <c r="V647" t="s">
        <v>10</v>
      </c>
      <c r="W647" t="s">
        <v>57</v>
      </c>
    </row>
    <row r="648" spans="1:23" x14ac:dyDescent="0.3">
      <c r="A648" t="s">
        <v>739</v>
      </c>
      <c r="B648" s="7">
        <v>46041</v>
      </c>
      <c r="C648" t="s">
        <v>71</v>
      </c>
      <c r="D648" t="s">
        <v>1100</v>
      </c>
      <c r="E648" s="3">
        <v>2</v>
      </c>
      <c r="F648" s="3">
        <v>2</v>
      </c>
      <c r="G648" t="s">
        <v>10</v>
      </c>
      <c r="H648" t="s">
        <v>1107</v>
      </c>
      <c r="I648" t="s">
        <v>34</v>
      </c>
      <c r="J648" t="s">
        <v>48</v>
      </c>
      <c r="K648" t="s">
        <v>57</v>
      </c>
      <c r="L648" t="s">
        <v>10</v>
      </c>
      <c r="M648" t="s">
        <v>57</v>
      </c>
      <c r="N648" t="s">
        <v>57</v>
      </c>
      <c r="O648" t="str">
        <f>INDEX(CoverageTable[Deductible Applies],MATCH(Table18[[#This Row],[Coverage]],CoverageTable[Coverage],0))</f>
        <v>Yes</v>
      </c>
      <c r="P648" t="str">
        <f>INDEX(CoverageTable[Coverage Limit Applies],MATCH(Table18[[#This Row],[Coverage]],CoverageTable[Coverage],0))</f>
        <v>No</v>
      </c>
      <c r="Q648" t="s">
        <v>78</v>
      </c>
      <c r="R648" t="s">
        <v>10</v>
      </c>
      <c r="S648" t="s">
        <v>10</v>
      </c>
      <c r="T648" t="s">
        <v>57</v>
      </c>
      <c r="U648" t="s">
        <v>10</v>
      </c>
      <c r="V648" t="s">
        <v>10</v>
      </c>
      <c r="W648" t="s">
        <v>10</v>
      </c>
    </row>
    <row r="649" spans="1:23" x14ac:dyDescent="0.3">
      <c r="A649" t="s">
        <v>740</v>
      </c>
      <c r="B649" s="7">
        <v>46065</v>
      </c>
      <c r="C649" t="s">
        <v>73</v>
      </c>
      <c r="D649" t="s">
        <v>1102</v>
      </c>
      <c r="E649" s="3" t="s">
        <v>1103</v>
      </c>
      <c r="F649" s="3">
        <v>4</v>
      </c>
      <c r="G649" t="s">
        <v>11</v>
      </c>
      <c r="H649" t="s">
        <v>1106</v>
      </c>
      <c r="I649" t="s">
        <v>38</v>
      </c>
      <c r="J649" t="s">
        <v>48</v>
      </c>
      <c r="K649" t="s">
        <v>10</v>
      </c>
      <c r="L649" t="s">
        <v>10</v>
      </c>
      <c r="M649" t="s">
        <v>10</v>
      </c>
      <c r="N649" t="s">
        <v>10</v>
      </c>
      <c r="O649" t="str">
        <f>INDEX(CoverageTable[Deductible Applies],MATCH(Table18[[#This Row],[Coverage]],CoverageTable[Coverage],0))</f>
        <v>No</v>
      </c>
      <c r="P649" t="str">
        <f>INDEX(CoverageTable[Coverage Limit Applies],MATCH(Table18[[#This Row],[Coverage]],CoverageTable[Coverage],0))</f>
        <v>Yes</v>
      </c>
      <c r="Q649" t="s">
        <v>10</v>
      </c>
      <c r="R649" t="s">
        <v>79</v>
      </c>
      <c r="S649" t="s">
        <v>10</v>
      </c>
      <c r="T649" t="s">
        <v>10</v>
      </c>
      <c r="U649" t="s">
        <v>10</v>
      </c>
      <c r="V649" t="s">
        <v>57</v>
      </c>
      <c r="W649" t="s">
        <v>57</v>
      </c>
    </row>
    <row r="650" spans="1:23" x14ac:dyDescent="0.3">
      <c r="A650" t="s">
        <v>741</v>
      </c>
      <c r="B650" s="7">
        <v>45921</v>
      </c>
      <c r="C650" t="s">
        <v>71</v>
      </c>
      <c r="D650" t="s">
        <v>1099</v>
      </c>
      <c r="E650" s="3">
        <v>5</v>
      </c>
      <c r="F650" s="3">
        <v>1</v>
      </c>
      <c r="G650" t="s">
        <v>10</v>
      </c>
      <c r="H650" t="s">
        <v>1110</v>
      </c>
      <c r="I650" t="s">
        <v>41</v>
      </c>
      <c r="J650" t="s">
        <v>52</v>
      </c>
      <c r="K650" t="s">
        <v>10</v>
      </c>
      <c r="L650" t="s">
        <v>10</v>
      </c>
      <c r="M650" t="s">
        <v>10</v>
      </c>
      <c r="N650" t="s">
        <v>10</v>
      </c>
      <c r="O650" t="str">
        <f>INDEX(CoverageTable[Deductible Applies],MATCH(Table18[[#This Row],[Coverage]],CoverageTable[Coverage],0))</f>
        <v>Yes</v>
      </c>
      <c r="P650" t="str">
        <f>INDEX(CoverageTable[Coverage Limit Applies],MATCH(Table18[[#This Row],[Coverage]],CoverageTable[Coverage],0))</f>
        <v>No</v>
      </c>
      <c r="Q650" t="s">
        <v>80</v>
      </c>
      <c r="R650" t="s">
        <v>10</v>
      </c>
      <c r="S650" t="s">
        <v>10</v>
      </c>
      <c r="T650" t="s">
        <v>10</v>
      </c>
      <c r="U650" t="s">
        <v>57</v>
      </c>
      <c r="V650" t="s">
        <v>57</v>
      </c>
      <c r="W650" t="s">
        <v>10</v>
      </c>
    </row>
    <row r="651" spans="1:23" x14ac:dyDescent="0.3">
      <c r="A651" t="s">
        <v>742</v>
      </c>
      <c r="B651" s="7">
        <v>46135</v>
      </c>
      <c r="C651" t="s">
        <v>71</v>
      </c>
      <c r="D651" t="s">
        <v>1101</v>
      </c>
      <c r="E651" s="3">
        <v>1</v>
      </c>
      <c r="F651" s="3">
        <v>4</v>
      </c>
      <c r="G651" t="s">
        <v>10</v>
      </c>
      <c r="H651" t="s">
        <v>1110</v>
      </c>
      <c r="I651" t="s">
        <v>27</v>
      </c>
      <c r="J651" t="s">
        <v>51</v>
      </c>
      <c r="K651" t="s">
        <v>10</v>
      </c>
      <c r="L651" t="s">
        <v>57</v>
      </c>
      <c r="M651" t="s">
        <v>10</v>
      </c>
      <c r="N651" t="s">
        <v>57</v>
      </c>
      <c r="O651" t="str">
        <f>INDEX(CoverageTable[Deductible Applies],MATCH(Table18[[#This Row],[Coverage]],CoverageTable[Coverage],0))</f>
        <v>Yes</v>
      </c>
      <c r="P651" t="str">
        <f>INDEX(CoverageTable[Coverage Limit Applies],MATCH(Table18[[#This Row],[Coverage]],CoverageTable[Coverage],0))</f>
        <v>No</v>
      </c>
      <c r="Q651" t="s">
        <v>78</v>
      </c>
      <c r="R651" t="s">
        <v>10</v>
      </c>
      <c r="S651" t="s">
        <v>10</v>
      </c>
      <c r="T651" t="s">
        <v>57</v>
      </c>
      <c r="U651" t="s">
        <v>10</v>
      </c>
      <c r="V651" t="s">
        <v>10</v>
      </c>
      <c r="W651" t="s">
        <v>10</v>
      </c>
    </row>
    <row r="652" spans="1:23" x14ac:dyDescent="0.3">
      <c r="A652" t="s">
        <v>743</v>
      </c>
      <c r="B652" s="7">
        <v>45971</v>
      </c>
      <c r="C652" t="s">
        <v>70</v>
      </c>
      <c r="D652" t="s">
        <v>1101</v>
      </c>
      <c r="E652" s="3">
        <v>6</v>
      </c>
      <c r="F652" s="3">
        <v>1</v>
      </c>
      <c r="G652" t="s">
        <v>12</v>
      </c>
      <c r="H652" t="s">
        <v>1107</v>
      </c>
      <c r="I652" t="s">
        <v>29</v>
      </c>
      <c r="J652" t="s">
        <v>52</v>
      </c>
      <c r="K652" t="s">
        <v>10</v>
      </c>
      <c r="L652" t="s">
        <v>10</v>
      </c>
      <c r="M652" t="s">
        <v>10</v>
      </c>
      <c r="N652" t="s">
        <v>10</v>
      </c>
      <c r="O652" t="str">
        <f>INDEX(CoverageTable[Deductible Applies],MATCH(Table18[[#This Row],[Coverage]],CoverageTable[Coverage],0))</f>
        <v>No</v>
      </c>
      <c r="P652" t="str">
        <f>INDEX(CoverageTable[Coverage Limit Applies],MATCH(Table18[[#This Row],[Coverage]],CoverageTable[Coverage],0))</f>
        <v>Yes</v>
      </c>
      <c r="Q652" t="s">
        <v>10</v>
      </c>
      <c r="R652" t="s">
        <v>79</v>
      </c>
      <c r="S652" t="s">
        <v>10</v>
      </c>
      <c r="T652" t="s">
        <v>10</v>
      </c>
      <c r="U652" t="s">
        <v>57</v>
      </c>
      <c r="V652" t="s">
        <v>10</v>
      </c>
      <c r="W652" t="s">
        <v>10</v>
      </c>
    </row>
    <row r="653" spans="1:23" x14ac:dyDescent="0.3">
      <c r="A653" t="s">
        <v>744</v>
      </c>
      <c r="B653" s="7">
        <v>45897</v>
      </c>
      <c r="C653" t="s">
        <v>73</v>
      </c>
      <c r="D653" t="s">
        <v>1100</v>
      </c>
      <c r="E653" s="3">
        <v>2</v>
      </c>
      <c r="F653" s="3">
        <v>2</v>
      </c>
      <c r="G653" t="s">
        <v>10</v>
      </c>
      <c r="H653" t="s">
        <v>1108</v>
      </c>
      <c r="I653" t="s">
        <v>43</v>
      </c>
      <c r="J653" t="s">
        <v>49</v>
      </c>
      <c r="K653" t="s">
        <v>10</v>
      </c>
      <c r="L653" t="s">
        <v>10</v>
      </c>
      <c r="M653" t="s">
        <v>10</v>
      </c>
      <c r="N653" t="s">
        <v>57</v>
      </c>
      <c r="O653" t="str">
        <f>INDEX(CoverageTable[Deductible Applies],MATCH(Table18[[#This Row],[Coverage]],CoverageTable[Coverage],0))</f>
        <v>No</v>
      </c>
      <c r="P653" t="str">
        <f>INDEX(CoverageTable[Coverage Limit Applies],MATCH(Table18[[#This Row],[Coverage]],CoverageTable[Coverage],0))</f>
        <v>Yes</v>
      </c>
      <c r="Q653" t="s">
        <v>10</v>
      </c>
      <c r="R653" t="s">
        <v>79</v>
      </c>
      <c r="S653" t="s">
        <v>10</v>
      </c>
      <c r="T653" t="s">
        <v>57</v>
      </c>
      <c r="U653" t="s">
        <v>10</v>
      </c>
      <c r="V653" t="s">
        <v>10</v>
      </c>
      <c r="W653" t="s">
        <v>10</v>
      </c>
    </row>
    <row r="654" spans="1:23" x14ac:dyDescent="0.3">
      <c r="A654" t="s">
        <v>745</v>
      </c>
      <c r="B654" s="7">
        <v>45781</v>
      </c>
      <c r="C654" t="s">
        <v>70</v>
      </c>
      <c r="D654" t="s">
        <v>1098</v>
      </c>
      <c r="E654" s="3">
        <v>2</v>
      </c>
      <c r="F654" s="3">
        <v>1</v>
      </c>
      <c r="G654" t="s">
        <v>12</v>
      </c>
      <c r="H654" t="s">
        <v>1109</v>
      </c>
      <c r="I654" t="s">
        <v>31</v>
      </c>
      <c r="J654" t="s">
        <v>51</v>
      </c>
      <c r="K654" t="s">
        <v>10</v>
      </c>
      <c r="L654" t="s">
        <v>10</v>
      </c>
      <c r="M654" t="s">
        <v>10</v>
      </c>
      <c r="N654" t="s">
        <v>57</v>
      </c>
      <c r="O654" t="str">
        <f>INDEX(CoverageTable[Deductible Applies],MATCH(Table18[[#This Row],[Coverage]],CoverageTable[Coverage],0))</f>
        <v>No</v>
      </c>
      <c r="P654" t="str">
        <f>INDEX(CoverageTable[Coverage Limit Applies],MATCH(Table18[[#This Row],[Coverage]],CoverageTable[Coverage],0))</f>
        <v>Yes</v>
      </c>
      <c r="Q654" t="s">
        <v>10</v>
      </c>
      <c r="R654" t="s">
        <v>79</v>
      </c>
      <c r="S654" t="s">
        <v>10</v>
      </c>
      <c r="T654" t="s">
        <v>10</v>
      </c>
      <c r="U654" t="s">
        <v>10</v>
      </c>
      <c r="V654" t="s">
        <v>10</v>
      </c>
      <c r="W654" t="s">
        <v>10</v>
      </c>
    </row>
    <row r="655" spans="1:23" x14ac:dyDescent="0.3">
      <c r="A655" t="s">
        <v>746</v>
      </c>
      <c r="B655" s="7">
        <v>45863</v>
      </c>
      <c r="C655" t="s">
        <v>71</v>
      </c>
      <c r="D655" t="s">
        <v>1098</v>
      </c>
      <c r="E655" s="3">
        <v>1</v>
      </c>
      <c r="F655" s="3">
        <v>0</v>
      </c>
      <c r="G655" t="s">
        <v>11</v>
      </c>
      <c r="H655" t="s">
        <v>1107</v>
      </c>
      <c r="I655" t="s">
        <v>42</v>
      </c>
      <c r="J655" t="s">
        <v>54</v>
      </c>
      <c r="K655" t="s">
        <v>10</v>
      </c>
      <c r="L655" t="s">
        <v>10</v>
      </c>
      <c r="M655" t="s">
        <v>10</v>
      </c>
      <c r="N655" t="s">
        <v>10</v>
      </c>
      <c r="O655" t="str">
        <f>INDEX(CoverageTable[Deductible Applies],MATCH(Table18[[#This Row],[Coverage]],CoverageTable[Coverage],0))</f>
        <v>Yes</v>
      </c>
      <c r="P655" t="str">
        <f>INDEX(CoverageTable[Coverage Limit Applies],MATCH(Table18[[#This Row],[Coverage]],CoverageTable[Coverage],0))</f>
        <v>No</v>
      </c>
      <c r="Q655" t="s">
        <v>78</v>
      </c>
      <c r="R655" t="s">
        <v>10</v>
      </c>
      <c r="S655" t="s">
        <v>10</v>
      </c>
      <c r="T655" t="s">
        <v>57</v>
      </c>
      <c r="U655" t="s">
        <v>57</v>
      </c>
      <c r="V655" t="s">
        <v>10</v>
      </c>
      <c r="W655" t="s">
        <v>10</v>
      </c>
    </row>
    <row r="656" spans="1:23" x14ac:dyDescent="0.3">
      <c r="A656" t="s">
        <v>747</v>
      </c>
      <c r="B656" s="7">
        <v>46060</v>
      </c>
      <c r="C656" t="s">
        <v>70</v>
      </c>
      <c r="D656" t="s">
        <v>1101</v>
      </c>
      <c r="E656" s="3" t="s">
        <v>1103</v>
      </c>
      <c r="F656" s="3">
        <v>3</v>
      </c>
      <c r="G656" t="s">
        <v>10</v>
      </c>
      <c r="H656" t="s">
        <v>1108</v>
      </c>
      <c r="I656" t="s">
        <v>37</v>
      </c>
      <c r="J656" t="s">
        <v>54</v>
      </c>
      <c r="K656" t="s">
        <v>10</v>
      </c>
      <c r="L656" t="s">
        <v>10</v>
      </c>
      <c r="M656" t="s">
        <v>57</v>
      </c>
      <c r="N656" t="s">
        <v>10</v>
      </c>
      <c r="O656" t="str">
        <f>INDEX(CoverageTable[Deductible Applies],MATCH(Table18[[#This Row],[Coverage]],CoverageTable[Coverage],0))</f>
        <v>No</v>
      </c>
      <c r="P656" t="str">
        <f>INDEX(CoverageTable[Coverage Limit Applies],MATCH(Table18[[#This Row],[Coverage]],CoverageTable[Coverage],0))</f>
        <v>Yes</v>
      </c>
      <c r="Q656" t="s">
        <v>10</v>
      </c>
      <c r="R656" t="s">
        <v>80</v>
      </c>
      <c r="S656" t="s">
        <v>10</v>
      </c>
      <c r="T656" t="s">
        <v>10</v>
      </c>
      <c r="U656" t="s">
        <v>10</v>
      </c>
      <c r="V656" t="s">
        <v>57</v>
      </c>
      <c r="W656" t="s">
        <v>10</v>
      </c>
    </row>
    <row r="657" spans="1:23" x14ac:dyDescent="0.3">
      <c r="A657" t="s">
        <v>748</v>
      </c>
      <c r="B657" s="7">
        <v>46096</v>
      </c>
      <c r="C657" t="s">
        <v>71</v>
      </c>
      <c r="D657" t="s">
        <v>1100</v>
      </c>
      <c r="E657" s="3">
        <v>3</v>
      </c>
      <c r="F657" s="3">
        <v>2</v>
      </c>
      <c r="G657" t="s">
        <v>10</v>
      </c>
      <c r="H657" t="s">
        <v>1110</v>
      </c>
      <c r="I657" t="s">
        <v>35</v>
      </c>
      <c r="J657" t="s">
        <v>51</v>
      </c>
      <c r="K657" t="s">
        <v>10</v>
      </c>
      <c r="L657" t="s">
        <v>10</v>
      </c>
      <c r="M657" t="s">
        <v>10</v>
      </c>
      <c r="N657" t="s">
        <v>57</v>
      </c>
      <c r="O657" t="str">
        <f>INDEX(CoverageTable[Deductible Applies],MATCH(Table18[[#This Row],[Coverage]],CoverageTable[Coverage],0))</f>
        <v>Yes</v>
      </c>
      <c r="P657" t="str">
        <f>INDEX(CoverageTable[Coverage Limit Applies],MATCH(Table18[[#This Row],[Coverage]],CoverageTable[Coverage],0))</f>
        <v>No</v>
      </c>
      <c r="Q657" t="s">
        <v>79</v>
      </c>
      <c r="R657" t="s">
        <v>10</v>
      </c>
      <c r="S657" t="s">
        <v>10</v>
      </c>
      <c r="T657" t="s">
        <v>10</v>
      </c>
      <c r="U657" t="s">
        <v>10</v>
      </c>
      <c r="V657" t="s">
        <v>10</v>
      </c>
      <c r="W657" t="s">
        <v>10</v>
      </c>
    </row>
    <row r="658" spans="1:23" x14ac:dyDescent="0.3">
      <c r="A658" t="s">
        <v>749</v>
      </c>
      <c r="B658" s="7">
        <v>45907</v>
      </c>
      <c r="C658" t="s">
        <v>72</v>
      </c>
      <c r="D658" t="s">
        <v>1100</v>
      </c>
      <c r="E658" s="3">
        <v>6</v>
      </c>
      <c r="F658" s="3">
        <v>3</v>
      </c>
      <c r="G658" t="s">
        <v>13</v>
      </c>
      <c r="H658" t="s">
        <v>1106</v>
      </c>
      <c r="I658" t="s">
        <v>35</v>
      </c>
      <c r="J658" t="s">
        <v>49</v>
      </c>
      <c r="K658" t="s">
        <v>10</v>
      </c>
      <c r="L658" t="s">
        <v>57</v>
      </c>
      <c r="M658" t="s">
        <v>10</v>
      </c>
      <c r="N658" t="s">
        <v>57</v>
      </c>
      <c r="O658" t="str">
        <f>INDEX(CoverageTable[Deductible Applies],MATCH(Table18[[#This Row],[Coverage]],CoverageTable[Coverage],0))</f>
        <v>Yes</v>
      </c>
      <c r="P658" t="str">
        <f>INDEX(CoverageTable[Coverage Limit Applies],MATCH(Table18[[#This Row],[Coverage]],CoverageTable[Coverage],0))</f>
        <v>No</v>
      </c>
      <c r="Q658" t="s">
        <v>80</v>
      </c>
      <c r="R658" t="s">
        <v>10</v>
      </c>
      <c r="S658" t="s">
        <v>10</v>
      </c>
      <c r="T658" t="s">
        <v>57</v>
      </c>
      <c r="U658" t="s">
        <v>10</v>
      </c>
      <c r="V658" t="s">
        <v>57</v>
      </c>
      <c r="W658" t="s">
        <v>10</v>
      </c>
    </row>
    <row r="659" spans="1:23" x14ac:dyDescent="0.3">
      <c r="A659" t="s">
        <v>750</v>
      </c>
      <c r="B659" s="7">
        <v>45876</v>
      </c>
      <c r="C659" t="s">
        <v>71</v>
      </c>
      <c r="D659" t="s">
        <v>1100</v>
      </c>
      <c r="E659" s="3">
        <v>3</v>
      </c>
      <c r="F659" s="3">
        <v>0</v>
      </c>
      <c r="G659" t="s">
        <v>13</v>
      </c>
      <c r="H659" t="s">
        <v>1110</v>
      </c>
      <c r="I659" t="s">
        <v>37</v>
      </c>
      <c r="J659" t="s">
        <v>54</v>
      </c>
      <c r="K659" t="s">
        <v>10</v>
      </c>
      <c r="L659" t="s">
        <v>10</v>
      </c>
      <c r="M659" t="s">
        <v>57</v>
      </c>
      <c r="N659" t="s">
        <v>57</v>
      </c>
      <c r="O659" t="str">
        <f>INDEX(CoverageTable[Deductible Applies],MATCH(Table18[[#This Row],[Coverage]],CoverageTable[Coverage],0))</f>
        <v>Yes</v>
      </c>
      <c r="P659" t="str">
        <f>INDEX(CoverageTable[Coverage Limit Applies],MATCH(Table18[[#This Row],[Coverage]],CoverageTable[Coverage],0))</f>
        <v>No</v>
      </c>
      <c r="Q659" t="s">
        <v>80</v>
      </c>
      <c r="R659" t="s">
        <v>10</v>
      </c>
      <c r="S659" t="s">
        <v>10</v>
      </c>
      <c r="T659" t="s">
        <v>10</v>
      </c>
      <c r="U659" t="s">
        <v>10</v>
      </c>
      <c r="V659" t="s">
        <v>10</v>
      </c>
      <c r="W659" t="s">
        <v>10</v>
      </c>
    </row>
    <row r="660" spans="1:23" x14ac:dyDescent="0.3">
      <c r="A660" t="s">
        <v>751</v>
      </c>
      <c r="B660" s="7">
        <v>45983</v>
      </c>
      <c r="C660" t="s">
        <v>72</v>
      </c>
      <c r="D660" t="s">
        <v>1101</v>
      </c>
      <c r="E660" s="3">
        <v>7</v>
      </c>
      <c r="F660" s="3">
        <v>3</v>
      </c>
      <c r="G660" t="s">
        <v>10</v>
      </c>
      <c r="H660" t="s">
        <v>1106</v>
      </c>
      <c r="I660" t="s">
        <v>27</v>
      </c>
      <c r="J660" t="s">
        <v>48</v>
      </c>
      <c r="K660" t="s">
        <v>10</v>
      </c>
      <c r="L660" t="s">
        <v>10</v>
      </c>
      <c r="M660" t="s">
        <v>10</v>
      </c>
      <c r="N660" t="s">
        <v>57</v>
      </c>
      <c r="O660" t="str">
        <f>INDEX(CoverageTable[Deductible Applies],MATCH(Table18[[#This Row],[Coverage]],CoverageTable[Coverage],0))</f>
        <v>Yes</v>
      </c>
      <c r="P660" t="str">
        <f>INDEX(CoverageTable[Coverage Limit Applies],MATCH(Table18[[#This Row],[Coverage]],CoverageTable[Coverage],0))</f>
        <v>No</v>
      </c>
      <c r="Q660" t="s">
        <v>78</v>
      </c>
      <c r="R660" t="s">
        <v>10</v>
      </c>
      <c r="S660" t="s">
        <v>10</v>
      </c>
      <c r="T660" t="s">
        <v>57</v>
      </c>
      <c r="U660" t="s">
        <v>10</v>
      </c>
      <c r="V660" t="s">
        <v>10</v>
      </c>
      <c r="W660" t="s">
        <v>57</v>
      </c>
    </row>
    <row r="661" spans="1:23" x14ac:dyDescent="0.3">
      <c r="A661" t="s">
        <v>752</v>
      </c>
      <c r="B661" s="7">
        <v>45959</v>
      </c>
      <c r="C661" t="s">
        <v>71</v>
      </c>
      <c r="D661" t="s">
        <v>1100</v>
      </c>
      <c r="E661" s="3">
        <v>4</v>
      </c>
      <c r="F661" s="3">
        <v>3</v>
      </c>
      <c r="G661" t="s">
        <v>12</v>
      </c>
      <c r="H661" t="s">
        <v>1109</v>
      </c>
      <c r="I661" t="s">
        <v>36</v>
      </c>
      <c r="J661" t="s">
        <v>48</v>
      </c>
      <c r="K661" t="s">
        <v>10</v>
      </c>
      <c r="L661" t="s">
        <v>10</v>
      </c>
      <c r="M661" t="s">
        <v>10</v>
      </c>
      <c r="N661" t="s">
        <v>57</v>
      </c>
      <c r="O661" t="str">
        <f>INDEX(CoverageTable[Deductible Applies],MATCH(Table18[[#This Row],[Coverage]],CoverageTable[Coverage],0))</f>
        <v>Yes</v>
      </c>
      <c r="P661" t="str">
        <f>INDEX(CoverageTable[Coverage Limit Applies],MATCH(Table18[[#This Row],[Coverage]],CoverageTable[Coverage],0))</f>
        <v>No</v>
      </c>
      <c r="Q661" t="s">
        <v>79</v>
      </c>
      <c r="R661" t="s">
        <v>10</v>
      </c>
      <c r="S661" t="s">
        <v>10</v>
      </c>
      <c r="T661" t="s">
        <v>57</v>
      </c>
      <c r="U661" t="s">
        <v>57</v>
      </c>
      <c r="V661" t="s">
        <v>10</v>
      </c>
      <c r="W661" t="s">
        <v>10</v>
      </c>
    </row>
    <row r="662" spans="1:23" x14ac:dyDescent="0.3">
      <c r="A662" t="s">
        <v>753</v>
      </c>
      <c r="B662" s="7">
        <v>45932</v>
      </c>
      <c r="C662" t="s">
        <v>71</v>
      </c>
      <c r="D662" t="s">
        <v>1097</v>
      </c>
      <c r="E662" s="3">
        <v>5</v>
      </c>
      <c r="F662" s="3" t="s">
        <v>7</v>
      </c>
      <c r="G662" t="s">
        <v>12</v>
      </c>
      <c r="H662" t="s">
        <v>1109</v>
      </c>
      <c r="I662" t="s">
        <v>39</v>
      </c>
      <c r="J662" t="s">
        <v>52</v>
      </c>
      <c r="K662" t="s">
        <v>10</v>
      </c>
      <c r="L662" t="s">
        <v>10</v>
      </c>
      <c r="M662" t="s">
        <v>10</v>
      </c>
      <c r="N662" t="s">
        <v>10</v>
      </c>
      <c r="O662" t="str">
        <f>INDEX(CoverageTable[Deductible Applies],MATCH(Table18[[#This Row],[Coverage]],CoverageTable[Coverage],0))</f>
        <v>Yes</v>
      </c>
      <c r="P662" t="str">
        <f>INDEX(CoverageTable[Coverage Limit Applies],MATCH(Table18[[#This Row],[Coverage]],CoverageTable[Coverage],0))</f>
        <v>No</v>
      </c>
      <c r="Q662" t="s">
        <v>79</v>
      </c>
      <c r="R662" t="s">
        <v>10</v>
      </c>
      <c r="S662" t="s">
        <v>10</v>
      </c>
      <c r="T662" t="s">
        <v>10</v>
      </c>
      <c r="U662" t="s">
        <v>10</v>
      </c>
      <c r="V662" t="s">
        <v>57</v>
      </c>
      <c r="W662" t="s">
        <v>10</v>
      </c>
    </row>
    <row r="663" spans="1:23" x14ac:dyDescent="0.3">
      <c r="A663" t="s">
        <v>754</v>
      </c>
      <c r="B663" s="7">
        <v>46073</v>
      </c>
      <c r="C663" t="s">
        <v>71</v>
      </c>
      <c r="D663" t="s">
        <v>1099</v>
      </c>
      <c r="E663" s="3" t="s">
        <v>1103</v>
      </c>
      <c r="F663" s="3">
        <v>1</v>
      </c>
      <c r="G663" t="s">
        <v>10</v>
      </c>
      <c r="H663" t="s">
        <v>1109</v>
      </c>
      <c r="I663" t="s">
        <v>25</v>
      </c>
      <c r="J663" t="s">
        <v>52</v>
      </c>
      <c r="K663" t="s">
        <v>10</v>
      </c>
      <c r="L663" t="s">
        <v>10</v>
      </c>
      <c r="M663" t="s">
        <v>10</v>
      </c>
      <c r="N663" t="s">
        <v>10</v>
      </c>
      <c r="O663" t="str">
        <f>INDEX(CoverageTable[Deductible Applies],MATCH(Table18[[#This Row],[Coverage]],CoverageTable[Coverage],0))</f>
        <v>Yes</v>
      </c>
      <c r="P663" t="str">
        <f>INDEX(CoverageTable[Coverage Limit Applies],MATCH(Table18[[#This Row],[Coverage]],CoverageTable[Coverage],0))</f>
        <v>No</v>
      </c>
      <c r="Q663" t="s">
        <v>78</v>
      </c>
      <c r="R663" t="s">
        <v>10</v>
      </c>
      <c r="S663" t="s">
        <v>57</v>
      </c>
      <c r="T663" t="s">
        <v>10</v>
      </c>
      <c r="U663" t="s">
        <v>10</v>
      </c>
      <c r="V663" t="s">
        <v>10</v>
      </c>
      <c r="W663" t="s">
        <v>10</v>
      </c>
    </row>
    <row r="664" spans="1:23" x14ac:dyDescent="0.3">
      <c r="A664" t="s">
        <v>755</v>
      </c>
      <c r="B664" s="7">
        <v>46073</v>
      </c>
      <c r="C664" t="s">
        <v>73</v>
      </c>
      <c r="D664" t="s">
        <v>1101</v>
      </c>
      <c r="E664" s="3">
        <v>3</v>
      </c>
      <c r="F664" s="3">
        <v>0</v>
      </c>
      <c r="G664" t="s">
        <v>10</v>
      </c>
      <c r="H664" t="s">
        <v>1107</v>
      </c>
      <c r="I664" t="s">
        <v>30</v>
      </c>
      <c r="J664" t="s">
        <v>54</v>
      </c>
      <c r="K664" t="s">
        <v>10</v>
      </c>
      <c r="L664" t="s">
        <v>10</v>
      </c>
      <c r="M664" t="s">
        <v>10</v>
      </c>
      <c r="N664" t="s">
        <v>57</v>
      </c>
      <c r="O664" t="str">
        <f>INDEX(CoverageTable[Deductible Applies],MATCH(Table18[[#This Row],[Coverage]],CoverageTable[Coverage],0))</f>
        <v>No</v>
      </c>
      <c r="P664" t="str">
        <f>INDEX(CoverageTable[Coverage Limit Applies],MATCH(Table18[[#This Row],[Coverage]],CoverageTable[Coverage],0))</f>
        <v>Yes</v>
      </c>
      <c r="Q664" t="s">
        <v>10</v>
      </c>
      <c r="R664" t="s">
        <v>80</v>
      </c>
      <c r="S664" t="s">
        <v>10</v>
      </c>
      <c r="T664" t="s">
        <v>57</v>
      </c>
      <c r="U664" t="s">
        <v>57</v>
      </c>
      <c r="V664" t="s">
        <v>10</v>
      </c>
      <c r="W664" t="s">
        <v>10</v>
      </c>
    </row>
    <row r="665" spans="1:23" x14ac:dyDescent="0.3">
      <c r="A665" t="s">
        <v>756</v>
      </c>
      <c r="B665" s="7">
        <v>45846</v>
      </c>
      <c r="C665" t="s">
        <v>74</v>
      </c>
      <c r="D665" t="s">
        <v>1102</v>
      </c>
      <c r="E665" s="3">
        <v>6</v>
      </c>
      <c r="F665" s="3">
        <v>0</v>
      </c>
      <c r="G665" t="s">
        <v>12</v>
      </c>
      <c r="H665" t="s">
        <v>1107</v>
      </c>
      <c r="I665" t="s">
        <v>42</v>
      </c>
      <c r="J665" t="s">
        <v>50</v>
      </c>
      <c r="K665" t="s">
        <v>10</v>
      </c>
      <c r="L665" t="s">
        <v>10</v>
      </c>
      <c r="M665" t="s">
        <v>10</v>
      </c>
      <c r="N665" t="s">
        <v>57</v>
      </c>
      <c r="O665" t="str">
        <f>INDEX(CoverageTable[Deductible Applies],MATCH(Table18[[#This Row],[Coverage]],CoverageTable[Coverage],0))</f>
        <v>No</v>
      </c>
      <c r="P665" t="str">
        <f>INDEX(CoverageTable[Coverage Limit Applies],MATCH(Table18[[#This Row],[Coverage]],CoverageTable[Coverage],0))</f>
        <v>Yes</v>
      </c>
      <c r="Q665" t="s">
        <v>10</v>
      </c>
      <c r="R665" t="s">
        <v>80</v>
      </c>
      <c r="S665" t="s">
        <v>57</v>
      </c>
      <c r="T665" t="s">
        <v>10</v>
      </c>
      <c r="U665" t="s">
        <v>57</v>
      </c>
      <c r="V665" t="s">
        <v>10</v>
      </c>
      <c r="W665" t="s">
        <v>10</v>
      </c>
    </row>
    <row r="666" spans="1:23" x14ac:dyDescent="0.3">
      <c r="A666" t="s">
        <v>757</v>
      </c>
      <c r="B666" s="7">
        <v>46119</v>
      </c>
      <c r="C666" t="s">
        <v>72</v>
      </c>
      <c r="D666" t="s">
        <v>1101</v>
      </c>
      <c r="E666" s="3">
        <v>2</v>
      </c>
      <c r="F666" s="3">
        <v>0</v>
      </c>
      <c r="G666" t="s">
        <v>12</v>
      </c>
      <c r="H666" t="s">
        <v>1106</v>
      </c>
      <c r="I666" t="s">
        <v>43</v>
      </c>
      <c r="J666" t="s">
        <v>51</v>
      </c>
      <c r="K666" t="s">
        <v>10</v>
      </c>
      <c r="L666" t="s">
        <v>10</v>
      </c>
      <c r="M666" t="s">
        <v>57</v>
      </c>
      <c r="N666" t="s">
        <v>10</v>
      </c>
      <c r="O666" t="str">
        <f>INDEX(CoverageTable[Deductible Applies],MATCH(Table18[[#This Row],[Coverage]],CoverageTable[Coverage],0))</f>
        <v>Yes</v>
      </c>
      <c r="P666" t="str">
        <f>INDEX(CoverageTable[Coverage Limit Applies],MATCH(Table18[[#This Row],[Coverage]],CoverageTable[Coverage],0))</f>
        <v>No</v>
      </c>
      <c r="Q666" t="s">
        <v>78</v>
      </c>
      <c r="R666" t="s">
        <v>10</v>
      </c>
      <c r="S666" t="s">
        <v>57</v>
      </c>
      <c r="T666" t="s">
        <v>10</v>
      </c>
      <c r="U666" t="s">
        <v>10</v>
      </c>
      <c r="V666" t="s">
        <v>57</v>
      </c>
      <c r="W666" t="s">
        <v>10</v>
      </c>
    </row>
    <row r="667" spans="1:23" x14ac:dyDescent="0.3">
      <c r="A667" t="s">
        <v>758</v>
      </c>
      <c r="B667" s="7">
        <v>45821</v>
      </c>
      <c r="C667" t="s">
        <v>71</v>
      </c>
      <c r="D667" t="s">
        <v>1099</v>
      </c>
      <c r="E667" s="3">
        <v>7</v>
      </c>
      <c r="F667" s="3">
        <v>0</v>
      </c>
      <c r="G667" t="s">
        <v>10</v>
      </c>
      <c r="H667" t="s">
        <v>1108</v>
      </c>
      <c r="I667" t="s">
        <v>43</v>
      </c>
      <c r="J667" t="s">
        <v>52</v>
      </c>
      <c r="K667" t="s">
        <v>10</v>
      </c>
      <c r="L667" t="s">
        <v>10</v>
      </c>
      <c r="M667" t="s">
        <v>10</v>
      </c>
      <c r="N667" t="s">
        <v>57</v>
      </c>
      <c r="O667" t="str">
        <f>INDEX(CoverageTable[Deductible Applies],MATCH(Table18[[#This Row],[Coverage]],CoverageTable[Coverage],0))</f>
        <v>Yes</v>
      </c>
      <c r="P667" t="str">
        <f>INDEX(CoverageTable[Coverage Limit Applies],MATCH(Table18[[#This Row],[Coverage]],CoverageTable[Coverage],0))</f>
        <v>No</v>
      </c>
      <c r="Q667" t="s">
        <v>78</v>
      </c>
      <c r="R667" t="s">
        <v>10</v>
      </c>
      <c r="S667" t="s">
        <v>10</v>
      </c>
      <c r="T667" t="s">
        <v>10</v>
      </c>
      <c r="U667" t="s">
        <v>10</v>
      </c>
      <c r="V667" t="s">
        <v>10</v>
      </c>
      <c r="W667" t="s">
        <v>10</v>
      </c>
    </row>
    <row r="668" spans="1:23" x14ac:dyDescent="0.3">
      <c r="A668" t="s">
        <v>759</v>
      </c>
      <c r="B668" s="7">
        <v>45966</v>
      </c>
      <c r="C668" t="s">
        <v>71</v>
      </c>
      <c r="D668" t="s">
        <v>1098</v>
      </c>
      <c r="E668" s="3">
        <v>6</v>
      </c>
      <c r="F668" s="3">
        <v>1</v>
      </c>
      <c r="G668" t="s">
        <v>11</v>
      </c>
      <c r="H668" t="s">
        <v>1108</v>
      </c>
      <c r="I668" t="s">
        <v>23</v>
      </c>
      <c r="J668" t="s">
        <v>50</v>
      </c>
      <c r="K668" t="s">
        <v>10</v>
      </c>
      <c r="L668" t="s">
        <v>10</v>
      </c>
      <c r="M668" t="s">
        <v>57</v>
      </c>
      <c r="N668" t="s">
        <v>10</v>
      </c>
      <c r="O668" t="str">
        <f>INDEX(CoverageTable[Deductible Applies],MATCH(Table18[[#This Row],[Coverage]],CoverageTable[Coverage],0))</f>
        <v>Yes</v>
      </c>
      <c r="P668" t="str">
        <f>INDEX(CoverageTable[Coverage Limit Applies],MATCH(Table18[[#This Row],[Coverage]],CoverageTable[Coverage],0))</f>
        <v>No</v>
      </c>
      <c r="Q668" t="s">
        <v>80</v>
      </c>
      <c r="R668" t="s">
        <v>10</v>
      </c>
      <c r="S668" t="s">
        <v>10</v>
      </c>
      <c r="T668" t="s">
        <v>10</v>
      </c>
      <c r="U668" t="s">
        <v>10</v>
      </c>
      <c r="V668" t="s">
        <v>10</v>
      </c>
      <c r="W668" t="s">
        <v>57</v>
      </c>
    </row>
    <row r="669" spans="1:23" x14ac:dyDescent="0.3">
      <c r="A669" t="s">
        <v>760</v>
      </c>
      <c r="B669" s="7">
        <v>45869</v>
      </c>
      <c r="C669" t="s">
        <v>71</v>
      </c>
      <c r="D669" t="s">
        <v>1098</v>
      </c>
      <c r="E669" s="3">
        <v>2</v>
      </c>
      <c r="F669" s="3">
        <v>4</v>
      </c>
      <c r="G669" t="s">
        <v>12</v>
      </c>
      <c r="H669" t="s">
        <v>1108</v>
      </c>
      <c r="I669" t="s">
        <v>30</v>
      </c>
      <c r="J669" t="s">
        <v>50</v>
      </c>
      <c r="K669" t="s">
        <v>10</v>
      </c>
      <c r="L669" t="s">
        <v>10</v>
      </c>
      <c r="M669" t="s">
        <v>10</v>
      </c>
      <c r="N669" t="s">
        <v>57</v>
      </c>
      <c r="O669" t="str">
        <f>INDEX(CoverageTable[Deductible Applies],MATCH(Table18[[#This Row],[Coverage]],CoverageTable[Coverage],0))</f>
        <v>Yes</v>
      </c>
      <c r="P669" t="str">
        <f>INDEX(CoverageTable[Coverage Limit Applies],MATCH(Table18[[#This Row],[Coverage]],CoverageTable[Coverage],0))</f>
        <v>No</v>
      </c>
      <c r="Q669" t="s">
        <v>79</v>
      </c>
      <c r="R669" t="s">
        <v>10</v>
      </c>
      <c r="S669" t="s">
        <v>10</v>
      </c>
      <c r="T669" t="s">
        <v>10</v>
      </c>
      <c r="U669" t="s">
        <v>10</v>
      </c>
      <c r="V669" t="s">
        <v>10</v>
      </c>
      <c r="W669" t="s">
        <v>10</v>
      </c>
    </row>
    <row r="670" spans="1:23" x14ac:dyDescent="0.3">
      <c r="A670" t="s">
        <v>761</v>
      </c>
      <c r="B670" s="7">
        <v>45935</v>
      </c>
      <c r="C670" t="s">
        <v>70</v>
      </c>
      <c r="D670" t="s">
        <v>1102</v>
      </c>
      <c r="E670" s="3" t="s">
        <v>1103</v>
      </c>
      <c r="F670" s="3" t="s">
        <v>7</v>
      </c>
      <c r="G670" t="s">
        <v>12</v>
      </c>
      <c r="H670" t="s">
        <v>1109</v>
      </c>
      <c r="I670" t="s">
        <v>35</v>
      </c>
      <c r="J670" t="s">
        <v>52</v>
      </c>
      <c r="K670" t="s">
        <v>10</v>
      </c>
      <c r="L670" t="s">
        <v>10</v>
      </c>
      <c r="M670" t="s">
        <v>10</v>
      </c>
      <c r="N670" t="s">
        <v>57</v>
      </c>
      <c r="O670" t="str">
        <f>INDEX(CoverageTable[Deductible Applies],MATCH(Table18[[#This Row],[Coverage]],CoverageTable[Coverage],0))</f>
        <v>No</v>
      </c>
      <c r="P670" t="str">
        <f>INDEX(CoverageTable[Coverage Limit Applies],MATCH(Table18[[#This Row],[Coverage]],CoverageTable[Coverage],0))</f>
        <v>Yes</v>
      </c>
      <c r="Q670" t="s">
        <v>10</v>
      </c>
      <c r="R670" t="s">
        <v>79</v>
      </c>
      <c r="S670" t="s">
        <v>10</v>
      </c>
      <c r="T670" t="s">
        <v>57</v>
      </c>
      <c r="U670" t="s">
        <v>10</v>
      </c>
      <c r="V670" t="s">
        <v>10</v>
      </c>
      <c r="W670" t="s">
        <v>10</v>
      </c>
    </row>
    <row r="671" spans="1:23" x14ac:dyDescent="0.3">
      <c r="A671" t="s">
        <v>762</v>
      </c>
      <c r="B671" s="7">
        <v>46074</v>
      </c>
      <c r="C671" t="s">
        <v>71</v>
      </c>
      <c r="D671" t="s">
        <v>1102</v>
      </c>
      <c r="E671" s="3">
        <v>3</v>
      </c>
      <c r="F671" s="3">
        <v>2</v>
      </c>
      <c r="G671" t="s">
        <v>10</v>
      </c>
      <c r="H671" t="s">
        <v>1108</v>
      </c>
      <c r="I671" t="s">
        <v>25</v>
      </c>
      <c r="J671" t="s">
        <v>49</v>
      </c>
      <c r="K671" t="s">
        <v>10</v>
      </c>
      <c r="L671" t="s">
        <v>10</v>
      </c>
      <c r="M671" t="s">
        <v>10</v>
      </c>
      <c r="N671" t="s">
        <v>57</v>
      </c>
      <c r="O671" t="str">
        <f>INDEX(CoverageTable[Deductible Applies],MATCH(Table18[[#This Row],[Coverage]],CoverageTable[Coverage],0))</f>
        <v>Yes</v>
      </c>
      <c r="P671" t="str">
        <f>INDEX(CoverageTable[Coverage Limit Applies],MATCH(Table18[[#This Row],[Coverage]],CoverageTable[Coverage],0))</f>
        <v>No</v>
      </c>
      <c r="Q671" t="s">
        <v>80</v>
      </c>
      <c r="R671" t="s">
        <v>10</v>
      </c>
      <c r="S671" t="s">
        <v>10</v>
      </c>
      <c r="T671" t="s">
        <v>10</v>
      </c>
      <c r="U671" t="s">
        <v>10</v>
      </c>
      <c r="V671" t="s">
        <v>10</v>
      </c>
      <c r="W671" t="s">
        <v>10</v>
      </c>
    </row>
    <row r="672" spans="1:23" x14ac:dyDescent="0.3">
      <c r="A672" t="s">
        <v>763</v>
      </c>
      <c r="B672" s="7">
        <v>45895</v>
      </c>
      <c r="C672" t="s">
        <v>74</v>
      </c>
      <c r="D672" t="s">
        <v>1098</v>
      </c>
      <c r="E672" s="3">
        <v>5</v>
      </c>
      <c r="F672" s="3">
        <v>0</v>
      </c>
      <c r="G672" t="s">
        <v>11</v>
      </c>
      <c r="H672" t="s">
        <v>1106</v>
      </c>
      <c r="I672" t="s">
        <v>27</v>
      </c>
      <c r="J672" t="s">
        <v>49</v>
      </c>
      <c r="K672" t="s">
        <v>10</v>
      </c>
      <c r="L672" t="s">
        <v>10</v>
      </c>
      <c r="M672" t="s">
        <v>10</v>
      </c>
      <c r="N672" t="s">
        <v>57</v>
      </c>
      <c r="O672" t="str">
        <f>INDEX(CoverageTable[Deductible Applies],MATCH(Table18[[#This Row],[Coverage]],CoverageTable[Coverage],0))</f>
        <v>No</v>
      </c>
      <c r="P672" t="str">
        <f>INDEX(CoverageTable[Coverage Limit Applies],MATCH(Table18[[#This Row],[Coverage]],CoverageTable[Coverage],0))</f>
        <v>Yes</v>
      </c>
      <c r="Q672" t="s">
        <v>10</v>
      </c>
      <c r="R672" t="s">
        <v>78</v>
      </c>
      <c r="S672" t="s">
        <v>10</v>
      </c>
      <c r="T672" t="s">
        <v>10</v>
      </c>
      <c r="U672" t="s">
        <v>10</v>
      </c>
      <c r="V672" t="s">
        <v>10</v>
      </c>
      <c r="W672" t="s">
        <v>10</v>
      </c>
    </row>
    <row r="673" spans="1:23" x14ac:dyDescent="0.3">
      <c r="A673" t="s">
        <v>764</v>
      </c>
      <c r="B673" s="7">
        <v>46080</v>
      </c>
      <c r="C673" t="s">
        <v>70</v>
      </c>
      <c r="D673" t="s">
        <v>1099</v>
      </c>
      <c r="E673" s="3">
        <v>6</v>
      </c>
      <c r="F673" s="3">
        <v>4</v>
      </c>
      <c r="G673" t="s">
        <v>11</v>
      </c>
      <c r="H673" t="s">
        <v>1106</v>
      </c>
      <c r="I673" t="s">
        <v>29</v>
      </c>
      <c r="J673" t="s">
        <v>49</v>
      </c>
      <c r="K673" t="s">
        <v>10</v>
      </c>
      <c r="L673" t="s">
        <v>57</v>
      </c>
      <c r="M673" t="s">
        <v>10</v>
      </c>
      <c r="N673" t="s">
        <v>10</v>
      </c>
      <c r="O673" t="str">
        <f>INDEX(CoverageTable[Deductible Applies],MATCH(Table18[[#This Row],[Coverage]],CoverageTable[Coverage],0))</f>
        <v>No</v>
      </c>
      <c r="P673" t="str">
        <f>INDEX(CoverageTable[Coverage Limit Applies],MATCH(Table18[[#This Row],[Coverage]],CoverageTable[Coverage],0))</f>
        <v>Yes</v>
      </c>
      <c r="Q673" t="s">
        <v>10</v>
      </c>
      <c r="R673" t="s">
        <v>78</v>
      </c>
      <c r="S673" t="s">
        <v>10</v>
      </c>
      <c r="T673" t="s">
        <v>10</v>
      </c>
      <c r="U673" t="s">
        <v>10</v>
      </c>
      <c r="V673" t="s">
        <v>10</v>
      </c>
      <c r="W673" t="s">
        <v>10</v>
      </c>
    </row>
    <row r="674" spans="1:23" x14ac:dyDescent="0.3">
      <c r="A674" t="s">
        <v>765</v>
      </c>
      <c r="B674" s="7">
        <v>46028</v>
      </c>
      <c r="C674" t="s">
        <v>71</v>
      </c>
      <c r="D674" t="s">
        <v>1098</v>
      </c>
      <c r="E674" s="3" t="s">
        <v>1103</v>
      </c>
      <c r="F674" s="3">
        <v>0</v>
      </c>
      <c r="G674" t="s">
        <v>10</v>
      </c>
      <c r="H674" t="s">
        <v>1109</v>
      </c>
      <c r="I674" t="s">
        <v>39</v>
      </c>
      <c r="J674" t="s">
        <v>53</v>
      </c>
      <c r="K674" t="s">
        <v>57</v>
      </c>
      <c r="L674" t="s">
        <v>10</v>
      </c>
      <c r="M674" t="s">
        <v>10</v>
      </c>
      <c r="N674" t="s">
        <v>57</v>
      </c>
      <c r="O674" t="str">
        <f>INDEX(CoverageTable[Deductible Applies],MATCH(Table18[[#This Row],[Coverage]],CoverageTable[Coverage],0))</f>
        <v>Yes</v>
      </c>
      <c r="P674" t="str">
        <f>INDEX(CoverageTable[Coverage Limit Applies],MATCH(Table18[[#This Row],[Coverage]],CoverageTable[Coverage],0))</f>
        <v>No</v>
      </c>
      <c r="Q674" t="s">
        <v>79</v>
      </c>
      <c r="R674" t="s">
        <v>10</v>
      </c>
      <c r="S674" t="s">
        <v>10</v>
      </c>
      <c r="T674" t="s">
        <v>10</v>
      </c>
      <c r="U674" t="s">
        <v>57</v>
      </c>
      <c r="V674" t="s">
        <v>10</v>
      </c>
      <c r="W674" t="s">
        <v>10</v>
      </c>
    </row>
    <row r="675" spans="1:23" x14ac:dyDescent="0.3">
      <c r="A675" t="s">
        <v>766</v>
      </c>
      <c r="B675" s="7">
        <v>45790</v>
      </c>
      <c r="C675" t="s">
        <v>70</v>
      </c>
      <c r="D675" t="s">
        <v>1100</v>
      </c>
      <c r="E675" s="3">
        <v>6</v>
      </c>
      <c r="F675" s="3">
        <v>1</v>
      </c>
      <c r="G675" t="s">
        <v>12</v>
      </c>
      <c r="H675" t="s">
        <v>1108</v>
      </c>
      <c r="I675" t="s">
        <v>41</v>
      </c>
      <c r="J675" t="s">
        <v>53</v>
      </c>
      <c r="K675" t="s">
        <v>10</v>
      </c>
      <c r="L675" t="s">
        <v>10</v>
      </c>
      <c r="M675" t="s">
        <v>10</v>
      </c>
      <c r="N675" t="s">
        <v>57</v>
      </c>
      <c r="O675" t="str">
        <f>INDEX(CoverageTable[Deductible Applies],MATCH(Table18[[#This Row],[Coverage]],CoverageTable[Coverage],0))</f>
        <v>No</v>
      </c>
      <c r="P675" t="str">
        <f>INDEX(CoverageTable[Coverage Limit Applies],MATCH(Table18[[#This Row],[Coverage]],CoverageTable[Coverage],0))</f>
        <v>Yes</v>
      </c>
      <c r="Q675" t="s">
        <v>10</v>
      </c>
      <c r="R675" t="s">
        <v>80</v>
      </c>
      <c r="S675" t="s">
        <v>10</v>
      </c>
      <c r="T675" t="s">
        <v>10</v>
      </c>
      <c r="U675" t="s">
        <v>10</v>
      </c>
      <c r="V675" t="s">
        <v>10</v>
      </c>
      <c r="W675" t="s">
        <v>10</v>
      </c>
    </row>
    <row r="676" spans="1:23" x14ac:dyDescent="0.3">
      <c r="A676" t="s">
        <v>767</v>
      </c>
      <c r="B676" s="7">
        <v>45913</v>
      </c>
      <c r="C676" t="s">
        <v>71</v>
      </c>
      <c r="D676" t="s">
        <v>1102</v>
      </c>
      <c r="E676" s="3" t="s">
        <v>1103</v>
      </c>
      <c r="F676" s="3" t="s">
        <v>7</v>
      </c>
      <c r="G676" t="s">
        <v>12</v>
      </c>
      <c r="H676" t="s">
        <v>1109</v>
      </c>
      <c r="I676" t="s">
        <v>34</v>
      </c>
      <c r="J676" t="s">
        <v>53</v>
      </c>
      <c r="K676" t="s">
        <v>10</v>
      </c>
      <c r="L676" t="s">
        <v>10</v>
      </c>
      <c r="M676" t="s">
        <v>10</v>
      </c>
      <c r="N676" t="s">
        <v>10</v>
      </c>
      <c r="O676" t="str">
        <f>INDEX(CoverageTable[Deductible Applies],MATCH(Table18[[#This Row],[Coverage]],CoverageTable[Coverage],0))</f>
        <v>Yes</v>
      </c>
      <c r="P676" t="str">
        <f>INDEX(CoverageTable[Coverage Limit Applies],MATCH(Table18[[#This Row],[Coverage]],CoverageTable[Coverage],0))</f>
        <v>No</v>
      </c>
      <c r="Q676" t="s">
        <v>79</v>
      </c>
      <c r="R676" t="s">
        <v>10</v>
      </c>
      <c r="S676" t="s">
        <v>10</v>
      </c>
      <c r="T676" t="s">
        <v>10</v>
      </c>
      <c r="U676" t="s">
        <v>10</v>
      </c>
      <c r="V676" t="s">
        <v>10</v>
      </c>
      <c r="W676" t="s">
        <v>10</v>
      </c>
    </row>
    <row r="677" spans="1:23" x14ac:dyDescent="0.3">
      <c r="A677" t="s">
        <v>768</v>
      </c>
      <c r="B677" s="7">
        <v>45892</v>
      </c>
      <c r="C677" t="s">
        <v>73</v>
      </c>
      <c r="D677" t="s">
        <v>1097</v>
      </c>
      <c r="E677" s="3">
        <v>1</v>
      </c>
      <c r="F677" s="3">
        <v>3</v>
      </c>
      <c r="G677" t="s">
        <v>13</v>
      </c>
      <c r="H677" t="s">
        <v>1107</v>
      </c>
      <c r="I677" t="s">
        <v>22</v>
      </c>
      <c r="J677" t="s">
        <v>51</v>
      </c>
      <c r="K677" t="s">
        <v>10</v>
      </c>
      <c r="L677" t="s">
        <v>10</v>
      </c>
      <c r="M677" t="s">
        <v>10</v>
      </c>
      <c r="N677" t="s">
        <v>10</v>
      </c>
      <c r="O677" t="str">
        <f>INDEX(CoverageTable[Deductible Applies],MATCH(Table18[[#This Row],[Coverage]],CoverageTable[Coverage],0))</f>
        <v>No</v>
      </c>
      <c r="P677" t="str">
        <f>INDEX(CoverageTable[Coverage Limit Applies],MATCH(Table18[[#This Row],[Coverage]],CoverageTable[Coverage],0))</f>
        <v>Yes</v>
      </c>
      <c r="Q677" t="s">
        <v>10</v>
      </c>
      <c r="R677" t="s">
        <v>78</v>
      </c>
      <c r="S677" t="s">
        <v>10</v>
      </c>
      <c r="T677" t="s">
        <v>10</v>
      </c>
      <c r="U677" t="s">
        <v>10</v>
      </c>
      <c r="V677" t="s">
        <v>10</v>
      </c>
      <c r="W677" t="s">
        <v>10</v>
      </c>
    </row>
    <row r="678" spans="1:23" x14ac:dyDescent="0.3">
      <c r="A678" t="s">
        <v>769</v>
      </c>
      <c r="B678" s="7">
        <v>45809</v>
      </c>
      <c r="C678" t="s">
        <v>74</v>
      </c>
      <c r="D678" t="s">
        <v>1099</v>
      </c>
      <c r="E678" s="3">
        <v>6</v>
      </c>
      <c r="F678" s="3">
        <v>3</v>
      </c>
      <c r="G678" t="s">
        <v>10</v>
      </c>
      <c r="H678" t="s">
        <v>1106</v>
      </c>
      <c r="I678" t="s">
        <v>40</v>
      </c>
      <c r="J678" t="s">
        <v>54</v>
      </c>
      <c r="K678" t="s">
        <v>10</v>
      </c>
      <c r="L678" t="s">
        <v>10</v>
      </c>
      <c r="M678" t="s">
        <v>10</v>
      </c>
      <c r="N678" t="s">
        <v>57</v>
      </c>
      <c r="O678" t="str">
        <f>INDEX(CoverageTable[Deductible Applies],MATCH(Table18[[#This Row],[Coverage]],CoverageTable[Coverage],0))</f>
        <v>No</v>
      </c>
      <c r="P678" t="str">
        <f>INDEX(CoverageTable[Coverage Limit Applies],MATCH(Table18[[#This Row],[Coverage]],CoverageTable[Coverage],0))</f>
        <v>Yes</v>
      </c>
      <c r="Q678" t="s">
        <v>10</v>
      </c>
      <c r="R678" t="s">
        <v>80</v>
      </c>
      <c r="S678" t="s">
        <v>10</v>
      </c>
      <c r="T678" t="s">
        <v>57</v>
      </c>
      <c r="U678" t="s">
        <v>10</v>
      </c>
      <c r="V678" t="s">
        <v>10</v>
      </c>
      <c r="W678" t="s">
        <v>10</v>
      </c>
    </row>
    <row r="679" spans="1:23" x14ac:dyDescent="0.3">
      <c r="A679" t="s">
        <v>770</v>
      </c>
      <c r="B679" s="7">
        <v>45970</v>
      </c>
      <c r="C679" t="s">
        <v>70</v>
      </c>
      <c r="D679" t="s">
        <v>1097</v>
      </c>
      <c r="E679" s="3">
        <v>6</v>
      </c>
      <c r="F679" s="3">
        <v>0</v>
      </c>
      <c r="G679" t="s">
        <v>13</v>
      </c>
      <c r="H679" t="s">
        <v>1106</v>
      </c>
      <c r="I679" t="s">
        <v>34</v>
      </c>
      <c r="J679" t="s">
        <v>49</v>
      </c>
      <c r="K679" t="s">
        <v>10</v>
      </c>
      <c r="L679" t="s">
        <v>10</v>
      </c>
      <c r="M679" t="s">
        <v>10</v>
      </c>
      <c r="N679" t="s">
        <v>57</v>
      </c>
      <c r="O679" t="str">
        <f>INDEX(CoverageTable[Deductible Applies],MATCH(Table18[[#This Row],[Coverage]],CoverageTable[Coverage],0))</f>
        <v>No</v>
      </c>
      <c r="P679" t="str">
        <f>INDEX(CoverageTable[Coverage Limit Applies],MATCH(Table18[[#This Row],[Coverage]],CoverageTable[Coverage],0))</f>
        <v>Yes</v>
      </c>
      <c r="Q679" t="s">
        <v>10</v>
      </c>
      <c r="R679" t="s">
        <v>78</v>
      </c>
      <c r="S679" t="s">
        <v>10</v>
      </c>
      <c r="T679" t="s">
        <v>10</v>
      </c>
      <c r="U679" t="s">
        <v>10</v>
      </c>
      <c r="V679" t="s">
        <v>10</v>
      </c>
      <c r="W679" t="s">
        <v>10</v>
      </c>
    </row>
    <row r="680" spans="1:23" x14ac:dyDescent="0.3">
      <c r="A680" t="s">
        <v>771</v>
      </c>
      <c r="B680" s="7">
        <v>45882</v>
      </c>
      <c r="C680" t="s">
        <v>72</v>
      </c>
      <c r="D680" t="s">
        <v>1098</v>
      </c>
      <c r="E680" s="3" t="s">
        <v>1103</v>
      </c>
      <c r="F680" s="3" t="s">
        <v>7</v>
      </c>
      <c r="G680" t="s">
        <v>10</v>
      </c>
      <c r="H680" t="s">
        <v>1109</v>
      </c>
      <c r="I680" t="s">
        <v>21</v>
      </c>
      <c r="J680" t="s">
        <v>53</v>
      </c>
      <c r="K680" t="s">
        <v>10</v>
      </c>
      <c r="L680" t="s">
        <v>10</v>
      </c>
      <c r="M680" t="s">
        <v>10</v>
      </c>
      <c r="N680" t="s">
        <v>10</v>
      </c>
      <c r="O680" t="str">
        <f>INDEX(CoverageTable[Deductible Applies],MATCH(Table18[[#This Row],[Coverage]],CoverageTable[Coverage],0))</f>
        <v>Yes</v>
      </c>
      <c r="P680" t="str">
        <f>INDEX(CoverageTable[Coverage Limit Applies],MATCH(Table18[[#This Row],[Coverage]],CoverageTable[Coverage],0))</f>
        <v>No</v>
      </c>
      <c r="Q680" t="s">
        <v>80</v>
      </c>
      <c r="R680" t="s">
        <v>10</v>
      </c>
      <c r="S680" t="s">
        <v>10</v>
      </c>
      <c r="T680" t="s">
        <v>57</v>
      </c>
      <c r="U680" t="s">
        <v>10</v>
      </c>
      <c r="V680" t="s">
        <v>10</v>
      </c>
      <c r="W680" t="s">
        <v>10</v>
      </c>
    </row>
    <row r="681" spans="1:23" x14ac:dyDescent="0.3">
      <c r="A681" t="s">
        <v>772</v>
      </c>
      <c r="B681" s="7">
        <v>45865</v>
      </c>
      <c r="C681" t="s">
        <v>70</v>
      </c>
      <c r="D681" t="s">
        <v>1102</v>
      </c>
      <c r="E681" s="3">
        <v>5</v>
      </c>
      <c r="F681" s="3" t="s">
        <v>7</v>
      </c>
      <c r="G681" t="s">
        <v>10</v>
      </c>
      <c r="H681" t="s">
        <v>1106</v>
      </c>
      <c r="I681" t="s">
        <v>29</v>
      </c>
      <c r="J681" t="s">
        <v>48</v>
      </c>
      <c r="K681" t="s">
        <v>57</v>
      </c>
      <c r="L681" t="s">
        <v>10</v>
      </c>
      <c r="M681" t="s">
        <v>10</v>
      </c>
      <c r="N681" t="s">
        <v>57</v>
      </c>
      <c r="O681" t="str">
        <f>INDEX(CoverageTable[Deductible Applies],MATCH(Table18[[#This Row],[Coverage]],CoverageTable[Coverage],0))</f>
        <v>No</v>
      </c>
      <c r="P681" t="str">
        <f>INDEX(CoverageTable[Coverage Limit Applies],MATCH(Table18[[#This Row],[Coverage]],CoverageTable[Coverage],0))</f>
        <v>Yes</v>
      </c>
      <c r="Q681" t="s">
        <v>10</v>
      </c>
      <c r="R681" t="s">
        <v>80</v>
      </c>
      <c r="S681" t="s">
        <v>10</v>
      </c>
      <c r="T681" t="s">
        <v>10</v>
      </c>
      <c r="U681" t="s">
        <v>10</v>
      </c>
      <c r="V681" t="s">
        <v>10</v>
      </c>
      <c r="W681" t="s">
        <v>57</v>
      </c>
    </row>
    <row r="682" spans="1:23" x14ac:dyDescent="0.3">
      <c r="A682" t="s">
        <v>773</v>
      </c>
      <c r="B682" s="7">
        <v>46056</v>
      </c>
      <c r="C682" t="s">
        <v>70</v>
      </c>
      <c r="D682" t="s">
        <v>1101</v>
      </c>
      <c r="E682" s="3" t="s">
        <v>1103</v>
      </c>
      <c r="F682" s="3">
        <v>4</v>
      </c>
      <c r="G682" t="s">
        <v>10</v>
      </c>
      <c r="H682" t="s">
        <v>1107</v>
      </c>
      <c r="I682" t="s">
        <v>39</v>
      </c>
      <c r="J682" t="s">
        <v>48</v>
      </c>
      <c r="K682" t="s">
        <v>10</v>
      </c>
      <c r="L682" t="s">
        <v>57</v>
      </c>
      <c r="M682" t="s">
        <v>10</v>
      </c>
      <c r="N682" t="s">
        <v>57</v>
      </c>
      <c r="O682" t="str">
        <f>INDEX(CoverageTable[Deductible Applies],MATCH(Table18[[#This Row],[Coverage]],CoverageTable[Coverage],0))</f>
        <v>No</v>
      </c>
      <c r="P682" t="str">
        <f>INDEX(CoverageTable[Coverage Limit Applies],MATCH(Table18[[#This Row],[Coverage]],CoverageTable[Coverage],0))</f>
        <v>Yes</v>
      </c>
      <c r="Q682" t="s">
        <v>10</v>
      </c>
      <c r="R682" t="s">
        <v>78</v>
      </c>
      <c r="S682" t="s">
        <v>10</v>
      </c>
      <c r="T682" t="s">
        <v>57</v>
      </c>
      <c r="U682" t="s">
        <v>10</v>
      </c>
      <c r="V682" t="s">
        <v>10</v>
      </c>
      <c r="W682" t="s">
        <v>10</v>
      </c>
    </row>
    <row r="683" spans="1:23" x14ac:dyDescent="0.3">
      <c r="A683" t="s">
        <v>774</v>
      </c>
      <c r="B683" s="7">
        <v>46115</v>
      </c>
      <c r="C683" t="s">
        <v>70</v>
      </c>
      <c r="D683" t="s">
        <v>1100</v>
      </c>
      <c r="E683" s="3" t="s">
        <v>1103</v>
      </c>
      <c r="F683" s="3">
        <v>0</v>
      </c>
      <c r="G683" t="s">
        <v>13</v>
      </c>
      <c r="H683" t="s">
        <v>1106</v>
      </c>
      <c r="I683" t="s">
        <v>25</v>
      </c>
      <c r="J683" t="s">
        <v>54</v>
      </c>
      <c r="K683" t="s">
        <v>10</v>
      </c>
      <c r="L683" t="s">
        <v>10</v>
      </c>
      <c r="M683" t="s">
        <v>10</v>
      </c>
      <c r="N683" t="s">
        <v>57</v>
      </c>
      <c r="O683" t="str">
        <f>INDEX(CoverageTable[Deductible Applies],MATCH(Table18[[#This Row],[Coverage]],CoverageTable[Coverage],0))</f>
        <v>No</v>
      </c>
      <c r="P683" t="str">
        <f>INDEX(CoverageTable[Coverage Limit Applies],MATCH(Table18[[#This Row],[Coverage]],CoverageTable[Coverage],0))</f>
        <v>Yes</v>
      </c>
      <c r="Q683" t="s">
        <v>10</v>
      </c>
      <c r="R683" t="s">
        <v>78</v>
      </c>
      <c r="S683" t="s">
        <v>10</v>
      </c>
      <c r="T683" t="s">
        <v>57</v>
      </c>
      <c r="U683" t="s">
        <v>10</v>
      </c>
      <c r="V683" t="s">
        <v>57</v>
      </c>
      <c r="W683" t="s">
        <v>10</v>
      </c>
    </row>
    <row r="684" spans="1:23" x14ac:dyDescent="0.3">
      <c r="A684" t="s">
        <v>775</v>
      </c>
      <c r="B684" s="7">
        <v>45788</v>
      </c>
      <c r="C684" t="s">
        <v>72</v>
      </c>
      <c r="D684" t="s">
        <v>1102</v>
      </c>
      <c r="E684" s="3">
        <v>5</v>
      </c>
      <c r="F684" s="3">
        <v>1</v>
      </c>
      <c r="G684" t="s">
        <v>13</v>
      </c>
      <c r="H684" t="s">
        <v>1107</v>
      </c>
      <c r="I684" t="s">
        <v>35</v>
      </c>
      <c r="J684" t="s">
        <v>52</v>
      </c>
      <c r="K684" t="s">
        <v>10</v>
      </c>
      <c r="L684" t="s">
        <v>10</v>
      </c>
      <c r="M684" t="s">
        <v>10</v>
      </c>
      <c r="N684" t="s">
        <v>57</v>
      </c>
      <c r="O684" t="str">
        <f>INDEX(CoverageTable[Deductible Applies],MATCH(Table18[[#This Row],[Coverage]],CoverageTable[Coverage],0))</f>
        <v>Yes</v>
      </c>
      <c r="P684" t="str">
        <f>INDEX(CoverageTable[Coverage Limit Applies],MATCH(Table18[[#This Row],[Coverage]],CoverageTable[Coverage],0))</f>
        <v>No</v>
      </c>
      <c r="Q684" t="s">
        <v>79</v>
      </c>
      <c r="R684" t="s">
        <v>10</v>
      </c>
      <c r="S684" t="s">
        <v>10</v>
      </c>
      <c r="T684" t="s">
        <v>10</v>
      </c>
      <c r="U684" t="s">
        <v>10</v>
      </c>
      <c r="V684" t="s">
        <v>10</v>
      </c>
      <c r="W684" t="s">
        <v>10</v>
      </c>
    </row>
    <row r="685" spans="1:23" x14ac:dyDescent="0.3">
      <c r="A685" t="s">
        <v>776</v>
      </c>
      <c r="B685" s="7">
        <v>45888</v>
      </c>
      <c r="C685" t="s">
        <v>70</v>
      </c>
      <c r="D685" t="s">
        <v>1097</v>
      </c>
      <c r="E685" s="3">
        <v>5</v>
      </c>
      <c r="F685" s="3">
        <v>2</v>
      </c>
      <c r="G685" t="s">
        <v>10</v>
      </c>
      <c r="H685" t="s">
        <v>1106</v>
      </c>
      <c r="I685" t="s">
        <v>24</v>
      </c>
      <c r="J685" t="s">
        <v>48</v>
      </c>
      <c r="K685" t="s">
        <v>10</v>
      </c>
      <c r="L685" t="s">
        <v>10</v>
      </c>
      <c r="M685" t="s">
        <v>57</v>
      </c>
      <c r="N685" t="s">
        <v>57</v>
      </c>
      <c r="O685" t="str">
        <f>INDEX(CoverageTable[Deductible Applies],MATCH(Table18[[#This Row],[Coverage]],CoverageTable[Coverage],0))</f>
        <v>No</v>
      </c>
      <c r="P685" t="str">
        <f>INDEX(CoverageTable[Coverage Limit Applies],MATCH(Table18[[#This Row],[Coverage]],CoverageTable[Coverage],0))</f>
        <v>Yes</v>
      </c>
      <c r="Q685" t="s">
        <v>10</v>
      </c>
      <c r="R685" t="s">
        <v>79</v>
      </c>
      <c r="S685" t="s">
        <v>10</v>
      </c>
      <c r="T685" t="s">
        <v>57</v>
      </c>
      <c r="U685" t="s">
        <v>10</v>
      </c>
      <c r="V685" t="s">
        <v>10</v>
      </c>
      <c r="W685" t="s">
        <v>10</v>
      </c>
    </row>
    <row r="686" spans="1:23" x14ac:dyDescent="0.3">
      <c r="A686" t="s">
        <v>777</v>
      </c>
      <c r="B686" s="7">
        <v>46036</v>
      </c>
      <c r="C686" t="s">
        <v>71</v>
      </c>
      <c r="D686" t="s">
        <v>1102</v>
      </c>
      <c r="E686" s="3">
        <v>4</v>
      </c>
      <c r="F686" s="3">
        <v>1</v>
      </c>
      <c r="G686" t="s">
        <v>13</v>
      </c>
      <c r="H686" t="s">
        <v>1109</v>
      </c>
      <c r="I686" t="s">
        <v>36</v>
      </c>
      <c r="J686" t="s">
        <v>49</v>
      </c>
      <c r="K686" t="s">
        <v>10</v>
      </c>
      <c r="L686" t="s">
        <v>10</v>
      </c>
      <c r="M686" t="s">
        <v>10</v>
      </c>
      <c r="N686" t="s">
        <v>57</v>
      </c>
      <c r="O686" t="str">
        <f>INDEX(CoverageTable[Deductible Applies],MATCH(Table18[[#This Row],[Coverage]],CoverageTable[Coverage],0))</f>
        <v>Yes</v>
      </c>
      <c r="P686" t="str">
        <f>INDEX(CoverageTable[Coverage Limit Applies],MATCH(Table18[[#This Row],[Coverage]],CoverageTable[Coverage],0))</f>
        <v>No</v>
      </c>
      <c r="Q686" t="s">
        <v>78</v>
      </c>
      <c r="R686" t="s">
        <v>10</v>
      </c>
      <c r="S686" t="s">
        <v>10</v>
      </c>
      <c r="T686" t="s">
        <v>57</v>
      </c>
      <c r="U686" t="s">
        <v>10</v>
      </c>
      <c r="V686" t="s">
        <v>10</v>
      </c>
      <c r="W686" t="s">
        <v>10</v>
      </c>
    </row>
    <row r="687" spans="1:23" x14ac:dyDescent="0.3">
      <c r="A687" t="s">
        <v>778</v>
      </c>
      <c r="B687" s="7">
        <v>45881</v>
      </c>
      <c r="C687" t="s">
        <v>71</v>
      </c>
      <c r="D687" t="s">
        <v>1102</v>
      </c>
      <c r="E687" s="3">
        <v>6</v>
      </c>
      <c r="F687" s="3" t="s">
        <v>7</v>
      </c>
      <c r="G687" t="s">
        <v>11</v>
      </c>
      <c r="H687" t="s">
        <v>1107</v>
      </c>
      <c r="I687" t="s">
        <v>36</v>
      </c>
      <c r="J687" t="s">
        <v>48</v>
      </c>
      <c r="K687" t="s">
        <v>10</v>
      </c>
      <c r="L687" t="s">
        <v>10</v>
      </c>
      <c r="M687" t="s">
        <v>10</v>
      </c>
      <c r="N687" t="s">
        <v>10</v>
      </c>
      <c r="O687" t="str">
        <f>INDEX(CoverageTable[Deductible Applies],MATCH(Table18[[#This Row],[Coverage]],CoverageTable[Coverage],0))</f>
        <v>Yes</v>
      </c>
      <c r="P687" t="str">
        <f>INDEX(CoverageTable[Coverage Limit Applies],MATCH(Table18[[#This Row],[Coverage]],CoverageTable[Coverage],0))</f>
        <v>No</v>
      </c>
      <c r="Q687" t="s">
        <v>80</v>
      </c>
      <c r="R687" t="s">
        <v>10</v>
      </c>
      <c r="S687" t="s">
        <v>10</v>
      </c>
      <c r="T687" t="s">
        <v>10</v>
      </c>
      <c r="U687" t="s">
        <v>10</v>
      </c>
      <c r="V687" t="s">
        <v>10</v>
      </c>
      <c r="W687" t="s">
        <v>57</v>
      </c>
    </row>
    <row r="688" spans="1:23" x14ac:dyDescent="0.3">
      <c r="A688" t="s">
        <v>779</v>
      </c>
      <c r="B688" s="7">
        <v>45796</v>
      </c>
      <c r="C688" t="s">
        <v>72</v>
      </c>
      <c r="D688" t="s">
        <v>1097</v>
      </c>
      <c r="E688" s="3">
        <v>6</v>
      </c>
      <c r="F688" s="3" t="s">
        <v>7</v>
      </c>
      <c r="G688" t="s">
        <v>10</v>
      </c>
      <c r="H688" t="s">
        <v>1107</v>
      </c>
      <c r="I688" t="s">
        <v>23</v>
      </c>
      <c r="J688" t="s">
        <v>49</v>
      </c>
      <c r="K688" t="s">
        <v>10</v>
      </c>
      <c r="L688" t="s">
        <v>10</v>
      </c>
      <c r="M688" t="s">
        <v>10</v>
      </c>
      <c r="N688" t="s">
        <v>10</v>
      </c>
      <c r="O688" t="str">
        <f>INDEX(CoverageTable[Deductible Applies],MATCH(Table18[[#This Row],[Coverage]],CoverageTable[Coverage],0))</f>
        <v>Yes</v>
      </c>
      <c r="P688" t="str">
        <f>INDEX(CoverageTable[Coverage Limit Applies],MATCH(Table18[[#This Row],[Coverage]],CoverageTable[Coverage],0))</f>
        <v>No</v>
      </c>
      <c r="Q688" t="s">
        <v>80</v>
      </c>
      <c r="R688" t="s">
        <v>10</v>
      </c>
      <c r="S688" t="s">
        <v>10</v>
      </c>
      <c r="T688" t="s">
        <v>57</v>
      </c>
      <c r="U688" t="s">
        <v>10</v>
      </c>
      <c r="V688" t="s">
        <v>10</v>
      </c>
      <c r="W688" t="s">
        <v>10</v>
      </c>
    </row>
    <row r="689" spans="1:23" x14ac:dyDescent="0.3">
      <c r="A689" t="s">
        <v>780</v>
      </c>
      <c r="B689" s="7">
        <v>46062</v>
      </c>
      <c r="C689" t="s">
        <v>73</v>
      </c>
      <c r="D689" t="s">
        <v>1100</v>
      </c>
      <c r="E689" s="3">
        <v>7</v>
      </c>
      <c r="F689" s="3">
        <v>0</v>
      </c>
      <c r="G689" t="s">
        <v>10</v>
      </c>
      <c r="H689" t="s">
        <v>1108</v>
      </c>
      <c r="I689" t="s">
        <v>21</v>
      </c>
      <c r="J689" t="s">
        <v>53</v>
      </c>
      <c r="K689" t="s">
        <v>10</v>
      </c>
      <c r="L689" t="s">
        <v>10</v>
      </c>
      <c r="M689" t="s">
        <v>10</v>
      </c>
      <c r="N689" t="s">
        <v>10</v>
      </c>
      <c r="O689" t="str">
        <f>INDEX(CoverageTable[Deductible Applies],MATCH(Table18[[#This Row],[Coverage]],CoverageTable[Coverage],0))</f>
        <v>No</v>
      </c>
      <c r="P689" t="str">
        <f>INDEX(CoverageTable[Coverage Limit Applies],MATCH(Table18[[#This Row],[Coverage]],CoverageTable[Coverage],0))</f>
        <v>Yes</v>
      </c>
      <c r="Q689" t="s">
        <v>10</v>
      </c>
      <c r="R689" t="s">
        <v>79</v>
      </c>
      <c r="S689" t="s">
        <v>57</v>
      </c>
      <c r="T689" t="s">
        <v>10</v>
      </c>
      <c r="U689" t="s">
        <v>10</v>
      </c>
      <c r="V689" t="s">
        <v>57</v>
      </c>
      <c r="W689" t="s">
        <v>10</v>
      </c>
    </row>
    <row r="690" spans="1:23" x14ac:dyDescent="0.3">
      <c r="A690" t="s">
        <v>781</v>
      </c>
      <c r="B690" s="7">
        <v>45947</v>
      </c>
      <c r="C690" t="s">
        <v>71</v>
      </c>
      <c r="D690" t="s">
        <v>1097</v>
      </c>
      <c r="E690" s="3">
        <v>3</v>
      </c>
      <c r="F690" s="3">
        <v>0</v>
      </c>
      <c r="G690" t="s">
        <v>11</v>
      </c>
      <c r="H690" t="s">
        <v>1106</v>
      </c>
      <c r="I690" t="s">
        <v>26</v>
      </c>
      <c r="J690" t="s">
        <v>52</v>
      </c>
      <c r="K690" t="s">
        <v>10</v>
      </c>
      <c r="L690" t="s">
        <v>10</v>
      </c>
      <c r="M690" t="s">
        <v>10</v>
      </c>
      <c r="N690" t="s">
        <v>57</v>
      </c>
      <c r="O690" t="str">
        <f>INDEX(CoverageTable[Deductible Applies],MATCH(Table18[[#This Row],[Coverage]],CoverageTable[Coverage],0))</f>
        <v>Yes</v>
      </c>
      <c r="P690" t="str">
        <f>INDEX(CoverageTable[Coverage Limit Applies],MATCH(Table18[[#This Row],[Coverage]],CoverageTable[Coverage],0))</f>
        <v>No</v>
      </c>
      <c r="Q690" t="s">
        <v>78</v>
      </c>
      <c r="R690" t="s">
        <v>10</v>
      </c>
      <c r="S690" t="s">
        <v>10</v>
      </c>
      <c r="T690" t="s">
        <v>10</v>
      </c>
      <c r="U690" t="s">
        <v>10</v>
      </c>
      <c r="V690" t="s">
        <v>57</v>
      </c>
      <c r="W690" t="s">
        <v>10</v>
      </c>
    </row>
    <row r="691" spans="1:23" x14ac:dyDescent="0.3">
      <c r="A691" t="s">
        <v>782</v>
      </c>
      <c r="B691" s="7">
        <v>46139</v>
      </c>
      <c r="C691" t="s">
        <v>74</v>
      </c>
      <c r="D691" t="s">
        <v>1100</v>
      </c>
      <c r="E691" s="3">
        <v>3</v>
      </c>
      <c r="F691" s="3">
        <v>2</v>
      </c>
      <c r="G691" t="s">
        <v>11</v>
      </c>
      <c r="H691" t="s">
        <v>1109</v>
      </c>
      <c r="I691" t="s">
        <v>42</v>
      </c>
      <c r="J691" t="s">
        <v>50</v>
      </c>
      <c r="K691" t="s">
        <v>57</v>
      </c>
      <c r="L691" t="s">
        <v>10</v>
      </c>
      <c r="M691" t="s">
        <v>10</v>
      </c>
      <c r="N691" t="s">
        <v>57</v>
      </c>
      <c r="O691" t="str">
        <f>INDEX(CoverageTable[Deductible Applies],MATCH(Table18[[#This Row],[Coverage]],CoverageTable[Coverage],0))</f>
        <v>No</v>
      </c>
      <c r="P691" t="str">
        <f>INDEX(CoverageTable[Coverage Limit Applies],MATCH(Table18[[#This Row],[Coverage]],CoverageTable[Coverage],0))</f>
        <v>Yes</v>
      </c>
      <c r="Q691" t="s">
        <v>10</v>
      </c>
      <c r="R691" t="s">
        <v>80</v>
      </c>
      <c r="S691" t="s">
        <v>10</v>
      </c>
      <c r="T691" t="s">
        <v>10</v>
      </c>
      <c r="U691" t="s">
        <v>57</v>
      </c>
      <c r="V691" t="s">
        <v>10</v>
      </c>
      <c r="W691" t="s">
        <v>10</v>
      </c>
    </row>
    <row r="692" spans="1:23" x14ac:dyDescent="0.3">
      <c r="A692" t="s">
        <v>783</v>
      </c>
      <c r="B692" s="7">
        <v>45801</v>
      </c>
      <c r="C692" t="s">
        <v>70</v>
      </c>
      <c r="D692" t="s">
        <v>1097</v>
      </c>
      <c r="E692" s="3">
        <v>4</v>
      </c>
      <c r="F692" s="3">
        <v>3</v>
      </c>
      <c r="G692" t="s">
        <v>13</v>
      </c>
      <c r="H692" t="s">
        <v>1107</v>
      </c>
      <c r="I692" t="s">
        <v>43</v>
      </c>
      <c r="J692" t="s">
        <v>54</v>
      </c>
      <c r="K692" t="s">
        <v>10</v>
      </c>
      <c r="L692" t="s">
        <v>57</v>
      </c>
      <c r="M692" t="s">
        <v>10</v>
      </c>
      <c r="N692" t="s">
        <v>10</v>
      </c>
      <c r="O692" t="str">
        <f>INDEX(CoverageTable[Deductible Applies],MATCH(Table18[[#This Row],[Coverage]],CoverageTable[Coverage],0))</f>
        <v>No</v>
      </c>
      <c r="P692" t="str">
        <f>INDEX(CoverageTable[Coverage Limit Applies],MATCH(Table18[[#This Row],[Coverage]],CoverageTable[Coverage],0))</f>
        <v>Yes</v>
      </c>
      <c r="Q692" t="s">
        <v>10</v>
      </c>
      <c r="R692" t="s">
        <v>79</v>
      </c>
      <c r="S692" t="s">
        <v>57</v>
      </c>
      <c r="T692" t="s">
        <v>57</v>
      </c>
      <c r="U692" t="s">
        <v>10</v>
      </c>
      <c r="V692" t="s">
        <v>10</v>
      </c>
      <c r="W692" t="s">
        <v>10</v>
      </c>
    </row>
    <row r="693" spans="1:23" x14ac:dyDescent="0.3">
      <c r="A693" t="s">
        <v>784</v>
      </c>
      <c r="B693" s="7">
        <v>46074</v>
      </c>
      <c r="C693" t="s">
        <v>70</v>
      </c>
      <c r="D693" t="s">
        <v>1099</v>
      </c>
      <c r="E693" s="3">
        <v>1</v>
      </c>
      <c r="F693" s="3">
        <v>1</v>
      </c>
      <c r="G693" t="s">
        <v>10</v>
      </c>
      <c r="H693" t="s">
        <v>1109</v>
      </c>
      <c r="I693" t="s">
        <v>36</v>
      </c>
      <c r="J693" t="s">
        <v>52</v>
      </c>
      <c r="K693" t="s">
        <v>10</v>
      </c>
      <c r="L693" t="s">
        <v>10</v>
      </c>
      <c r="M693" t="s">
        <v>10</v>
      </c>
      <c r="N693" t="s">
        <v>10</v>
      </c>
      <c r="O693" t="str">
        <f>INDEX(CoverageTable[Deductible Applies],MATCH(Table18[[#This Row],[Coverage]],CoverageTable[Coverage],0))</f>
        <v>No</v>
      </c>
      <c r="P693" t="str">
        <f>INDEX(CoverageTable[Coverage Limit Applies],MATCH(Table18[[#This Row],[Coverage]],CoverageTable[Coverage],0))</f>
        <v>Yes</v>
      </c>
      <c r="Q693" t="s">
        <v>10</v>
      </c>
      <c r="R693" t="s">
        <v>79</v>
      </c>
      <c r="S693" t="s">
        <v>57</v>
      </c>
      <c r="T693" t="s">
        <v>10</v>
      </c>
      <c r="U693" t="s">
        <v>10</v>
      </c>
      <c r="V693" t="s">
        <v>10</v>
      </c>
      <c r="W693" t="s">
        <v>10</v>
      </c>
    </row>
    <row r="694" spans="1:23" x14ac:dyDescent="0.3">
      <c r="A694" t="s">
        <v>785</v>
      </c>
      <c r="B694" s="7">
        <v>45951</v>
      </c>
      <c r="C694" t="s">
        <v>70</v>
      </c>
      <c r="D694" t="s">
        <v>1100</v>
      </c>
      <c r="E694" s="3">
        <v>4</v>
      </c>
      <c r="F694" s="3">
        <v>1</v>
      </c>
      <c r="G694" t="s">
        <v>11</v>
      </c>
      <c r="H694" t="s">
        <v>1107</v>
      </c>
      <c r="I694" t="s">
        <v>35</v>
      </c>
      <c r="J694" t="s">
        <v>54</v>
      </c>
      <c r="K694" t="s">
        <v>10</v>
      </c>
      <c r="L694" t="s">
        <v>10</v>
      </c>
      <c r="M694" t="s">
        <v>57</v>
      </c>
      <c r="N694" t="s">
        <v>57</v>
      </c>
      <c r="O694" t="str">
        <f>INDEX(CoverageTable[Deductible Applies],MATCH(Table18[[#This Row],[Coverage]],CoverageTable[Coverage],0))</f>
        <v>No</v>
      </c>
      <c r="P694" t="str">
        <f>INDEX(CoverageTable[Coverage Limit Applies],MATCH(Table18[[#This Row],[Coverage]],CoverageTable[Coverage],0))</f>
        <v>Yes</v>
      </c>
      <c r="Q694" t="s">
        <v>10</v>
      </c>
      <c r="R694" t="s">
        <v>80</v>
      </c>
      <c r="S694" t="s">
        <v>10</v>
      </c>
      <c r="T694" t="s">
        <v>10</v>
      </c>
      <c r="U694" t="s">
        <v>57</v>
      </c>
      <c r="V694" t="s">
        <v>10</v>
      </c>
      <c r="W694" t="s">
        <v>10</v>
      </c>
    </row>
    <row r="695" spans="1:23" x14ac:dyDescent="0.3">
      <c r="A695" t="s">
        <v>786</v>
      </c>
      <c r="B695" s="7">
        <v>46122</v>
      </c>
      <c r="C695" t="s">
        <v>71</v>
      </c>
      <c r="D695" t="s">
        <v>1098</v>
      </c>
      <c r="E695" s="3">
        <v>4</v>
      </c>
      <c r="F695" s="3">
        <v>1</v>
      </c>
      <c r="G695" t="s">
        <v>13</v>
      </c>
      <c r="H695" t="s">
        <v>1107</v>
      </c>
      <c r="I695" t="s">
        <v>37</v>
      </c>
      <c r="J695" t="s">
        <v>51</v>
      </c>
      <c r="K695" t="s">
        <v>10</v>
      </c>
      <c r="L695" t="s">
        <v>57</v>
      </c>
      <c r="M695" t="s">
        <v>10</v>
      </c>
      <c r="N695" t="s">
        <v>57</v>
      </c>
      <c r="O695" t="str">
        <f>INDEX(CoverageTable[Deductible Applies],MATCH(Table18[[#This Row],[Coverage]],CoverageTable[Coverage],0))</f>
        <v>Yes</v>
      </c>
      <c r="P695" t="str">
        <f>INDEX(CoverageTable[Coverage Limit Applies],MATCH(Table18[[#This Row],[Coverage]],CoverageTable[Coverage],0))</f>
        <v>No</v>
      </c>
      <c r="Q695" t="s">
        <v>78</v>
      </c>
      <c r="R695" t="s">
        <v>10</v>
      </c>
      <c r="S695" t="s">
        <v>10</v>
      </c>
      <c r="T695" t="s">
        <v>10</v>
      </c>
      <c r="U695" t="s">
        <v>57</v>
      </c>
      <c r="V695" t="s">
        <v>10</v>
      </c>
      <c r="W695" t="s">
        <v>10</v>
      </c>
    </row>
    <row r="696" spans="1:23" x14ac:dyDescent="0.3">
      <c r="A696" t="s">
        <v>787</v>
      </c>
      <c r="B696" s="7">
        <v>46108</v>
      </c>
      <c r="C696" t="s">
        <v>73</v>
      </c>
      <c r="D696" t="s">
        <v>1101</v>
      </c>
      <c r="E696" s="3">
        <v>1</v>
      </c>
      <c r="F696" s="3">
        <v>1</v>
      </c>
      <c r="G696" t="s">
        <v>10</v>
      </c>
      <c r="H696" t="s">
        <v>1107</v>
      </c>
      <c r="I696" t="s">
        <v>21</v>
      </c>
      <c r="J696" t="s">
        <v>53</v>
      </c>
      <c r="K696" t="s">
        <v>10</v>
      </c>
      <c r="L696" t="s">
        <v>57</v>
      </c>
      <c r="M696" t="s">
        <v>10</v>
      </c>
      <c r="N696" t="s">
        <v>57</v>
      </c>
      <c r="O696" t="str">
        <f>INDEX(CoverageTable[Deductible Applies],MATCH(Table18[[#This Row],[Coverage]],CoverageTable[Coverage],0))</f>
        <v>No</v>
      </c>
      <c r="P696" t="str">
        <f>INDEX(CoverageTable[Coverage Limit Applies],MATCH(Table18[[#This Row],[Coverage]],CoverageTable[Coverage],0))</f>
        <v>Yes</v>
      </c>
      <c r="Q696" t="s">
        <v>10</v>
      </c>
      <c r="R696" t="s">
        <v>79</v>
      </c>
      <c r="S696" t="s">
        <v>10</v>
      </c>
      <c r="T696" t="s">
        <v>57</v>
      </c>
      <c r="U696" t="s">
        <v>57</v>
      </c>
      <c r="V696" t="s">
        <v>10</v>
      </c>
      <c r="W696" t="s">
        <v>10</v>
      </c>
    </row>
    <row r="697" spans="1:23" x14ac:dyDescent="0.3">
      <c r="A697" t="s">
        <v>788</v>
      </c>
      <c r="B697" s="7">
        <v>45782</v>
      </c>
      <c r="C697" t="s">
        <v>74</v>
      </c>
      <c r="D697" t="s">
        <v>1102</v>
      </c>
      <c r="E697" s="3">
        <v>5</v>
      </c>
      <c r="F697" s="3">
        <v>0</v>
      </c>
      <c r="G697" t="s">
        <v>12</v>
      </c>
      <c r="H697" t="s">
        <v>1109</v>
      </c>
      <c r="I697" t="s">
        <v>37</v>
      </c>
      <c r="J697" t="s">
        <v>48</v>
      </c>
      <c r="K697" t="s">
        <v>10</v>
      </c>
      <c r="L697" t="s">
        <v>10</v>
      </c>
      <c r="M697" t="s">
        <v>10</v>
      </c>
      <c r="N697" t="s">
        <v>57</v>
      </c>
      <c r="O697" t="str">
        <f>INDEX(CoverageTable[Deductible Applies],MATCH(Table18[[#This Row],[Coverage]],CoverageTable[Coverage],0))</f>
        <v>No</v>
      </c>
      <c r="P697" t="str">
        <f>INDEX(CoverageTable[Coverage Limit Applies],MATCH(Table18[[#This Row],[Coverage]],CoverageTable[Coverage],0))</f>
        <v>Yes</v>
      </c>
      <c r="Q697" t="s">
        <v>10</v>
      </c>
      <c r="R697" t="s">
        <v>79</v>
      </c>
      <c r="S697" t="s">
        <v>57</v>
      </c>
      <c r="T697" t="s">
        <v>57</v>
      </c>
      <c r="U697" t="s">
        <v>57</v>
      </c>
      <c r="V697" t="s">
        <v>10</v>
      </c>
      <c r="W697" t="s">
        <v>10</v>
      </c>
    </row>
    <row r="698" spans="1:23" x14ac:dyDescent="0.3">
      <c r="A698" t="s">
        <v>789</v>
      </c>
      <c r="B698" s="7">
        <v>45810</v>
      </c>
      <c r="C698" t="s">
        <v>71</v>
      </c>
      <c r="D698" t="s">
        <v>1098</v>
      </c>
      <c r="E698" s="3">
        <v>2</v>
      </c>
      <c r="F698" s="3">
        <v>3</v>
      </c>
      <c r="G698" t="s">
        <v>10</v>
      </c>
      <c r="H698" t="s">
        <v>1107</v>
      </c>
      <c r="I698" t="s">
        <v>29</v>
      </c>
      <c r="J698" t="s">
        <v>50</v>
      </c>
      <c r="K698" t="s">
        <v>57</v>
      </c>
      <c r="L698" t="s">
        <v>10</v>
      </c>
      <c r="M698" t="s">
        <v>10</v>
      </c>
      <c r="N698" t="s">
        <v>57</v>
      </c>
      <c r="O698" t="str">
        <f>INDEX(CoverageTable[Deductible Applies],MATCH(Table18[[#This Row],[Coverage]],CoverageTable[Coverage],0))</f>
        <v>Yes</v>
      </c>
      <c r="P698" t="str">
        <f>INDEX(CoverageTable[Coverage Limit Applies],MATCH(Table18[[#This Row],[Coverage]],CoverageTable[Coverage],0))</f>
        <v>No</v>
      </c>
      <c r="Q698" t="s">
        <v>80</v>
      </c>
      <c r="R698" t="s">
        <v>10</v>
      </c>
      <c r="S698" t="s">
        <v>10</v>
      </c>
      <c r="T698" t="s">
        <v>57</v>
      </c>
      <c r="U698" t="s">
        <v>10</v>
      </c>
      <c r="V698" t="s">
        <v>10</v>
      </c>
      <c r="W698" t="s">
        <v>57</v>
      </c>
    </row>
    <row r="699" spans="1:23" x14ac:dyDescent="0.3">
      <c r="A699" t="s">
        <v>790</v>
      </c>
      <c r="B699" s="7">
        <v>46123</v>
      </c>
      <c r="C699" t="s">
        <v>72</v>
      </c>
      <c r="D699" t="s">
        <v>1100</v>
      </c>
      <c r="E699" s="3">
        <v>7</v>
      </c>
      <c r="F699" s="3">
        <v>2</v>
      </c>
      <c r="G699" t="s">
        <v>12</v>
      </c>
      <c r="H699" t="s">
        <v>1109</v>
      </c>
      <c r="I699" t="s">
        <v>21</v>
      </c>
      <c r="J699" t="s">
        <v>50</v>
      </c>
      <c r="K699" t="s">
        <v>10</v>
      </c>
      <c r="L699" t="s">
        <v>57</v>
      </c>
      <c r="M699" t="s">
        <v>57</v>
      </c>
      <c r="N699" t="s">
        <v>57</v>
      </c>
      <c r="O699" t="str">
        <f>INDEX(CoverageTable[Deductible Applies],MATCH(Table18[[#This Row],[Coverage]],CoverageTable[Coverage],0))</f>
        <v>Yes</v>
      </c>
      <c r="P699" t="str">
        <f>INDEX(CoverageTable[Coverage Limit Applies],MATCH(Table18[[#This Row],[Coverage]],CoverageTable[Coverage],0))</f>
        <v>No</v>
      </c>
      <c r="Q699" t="s">
        <v>80</v>
      </c>
      <c r="R699" t="s">
        <v>10</v>
      </c>
      <c r="S699" t="s">
        <v>10</v>
      </c>
      <c r="T699" t="s">
        <v>57</v>
      </c>
      <c r="U699" t="s">
        <v>10</v>
      </c>
      <c r="V699" t="s">
        <v>10</v>
      </c>
      <c r="W699" t="s">
        <v>10</v>
      </c>
    </row>
    <row r="700" spans="1:23" x14ac:dyDescent="0.3">
      <c r="A700" t="s">
        <v>791</v>
      </c>
      <c r="B700" s="7">
        <v>46092</v>
      </c>
      <c r="C700" t="s">
        <v>71</v>
      </c>
      <c r="D700" t="s">
        <v>1102</v>
      </c>
      <c r="E700" s="3">
        <v>2</v>
      </c>
      <c r="F700" s="3">
        <v>2</v>
      </c>
      <c r="G700" t="s">
        <v>10</v>
      </c>
      <c r="H700" t="s">
        <v>1109</v>
      </c>
      <c r="I700" t="s">
        <v>37</v>
      </c>
      <c r="J700" t="s">
        <v>53</v>
      </c>
      <c r="K700" t="s">
        <v>10</v>
      </c>
      <c r="L700" t="s">
        <v>10</v>
      </c>
      <c r="M700" t="s">
        <v>10</v>
      </c>
      <c r="N700" t="s">
        <v>10</v>
      </c>
      <c r="O700" t="str">
        <f>INDEX(CoverageTable[Deductible Applies],MATCH(Table18[[#This Row],[Coverage]],CoverageTable[Coverage],0))</f>
        <v>Yes</v>
      </c>
      <c r="P700" t="str">
        <f>INDEX(CoverageTable[Coverage Limit Applies],MATCH(Table18[[#This Row],[Coverage]],CoverageTable[Coverage],0))</f>
        <v>No</v>
      </c>
      <c r="Q700" t="s">
        <v>79</v>
      </c>
      <c r="R700" t="s">
        <v>10</v>
      </c>
      <c r="S700" t="s">
        <v>10</v>
      </c>
      <c r="T700" t="s">
        <v>57</v>
      </c>
      <c r="U700" t="s">
        <v>10</v>
      </c>
      <c r="V700" t="s">
        <v>10</v>
      </c>
      <c r="W700" t="s">
        <v>10</v>
      </c>
    </row>
    <row r="701" spans="1:23" x14ac:dyDescent="0.3">
      <c r="A701" t="s">
        <v>792</v>
      </c>
      <c r="B701" s="7">
        <v>45867</v>
      </c>
      <c r="C701" t="s">
        <v>70</v>
      </c>
      <c r="D701" t="s">
        <v>1102</v>
      </c>
      <c r="E701" s="3" t="s">
        <v>1103</v>
      </c>
      <c r="F701" s="3">
        <v>4</v>
      </c>
      <c r="G701" t="s">
        <v>11</v>
      </c>
      <c r="H701" t="s">
        <v>1107</v>
      </c>
      <c r="I701" t="s">
        <v>37</v>
      </c>
      <c r="J701" t="s">
        <v>54</v>
      </c>
      <c r="K701" t="s">
        <v>10</v>
      </c>
      <c r="L701" t="s">
        <v>10</v>
      </c>
      <c r="M701" t="s">
        <v>57</v>
      </c>
      <c r="N701" t="s">
        <v>10</v>
      </c>
      <c r="O701" t="str">
        <f>INDEX(CoverageTable[Deductible Applies],MATCH(Table18[[#This Row],[Coverage]],CoverageTable[Coverage],0))</f>
        <v>No</v>
      </c>
      <c r="P701" t="str">
        <f>INDEX(CoverageTable[Coverage Limit Applies],MATCH(Table18[[#This Row],[Coverage]],CoverageTable[Coverage],0))</f>
        <v>Yes</v>
      </c>
      <c r="Q701" t="s">
        <v>10</v>
      </c>
      <c r="R701" t="s">
        <v>80</v>
      </c>
      <c r="S701" t="s">
        <v>10</v>
      </c>
      <c r="T701" t="s">
        <v>10</v>
      </c>
      <c r="U701" t="s">
        <v>57</v>
      </c>
      <c r="V701" t="s">
        <v>10</v>
      </c>
      <c r="W701" t="s">
        <v>10</v>
      </c>
    </row>
    <row r="702" spans="1:23" x14ac:dyDescent="0.3">
      <c r="A702" t="s">
        <v>793</v>
      </c>
      <c r="B702" s="7">
        <v>45808</v>
      </c>
      <c r="C702" t="s">
        <v>73</v>
      </c>
      <c r="D702" t="s">
        <v>1098</v>
      </c>
      <c r="E702" s="3">
        <v>2</v>
      </c>
      <c r="F702" s="3">
        <v>0</v>
      </c>
      <c r="G702" t="s">
        <v>12</v>
      </c>
      <c r="H702" t="s">
        <v>1106</v>
      </c>
      <c r="I702" t="s">
        <v>42</v>
      </c>
      <c r="J702" t="s">
        <v>54</v>
      </c>
      <c r="K702" t="s">
        <v>10</v>
      </c>
      <c r="L702" t="s">
        <v>10</v>
      </c>
      <c r="M702" t="s">
        <v>10</v>
      </c>
      <c r="N702" t="s">
        <v>10</v>
      </c>
      <c r="O702" t="str">
        <f>INDEX(CoverageTable[Deductible Applies],MATCH(Table18[[#This Row],[Coverage]],CoverageTable[Coverage],0))</f>
        <v>No</v>
      </c>
      <c r="P702" t="str">
        <f>INDEX(CoverageTable[Coverage Limit Applies],MATCH(Table18[[#This Row],[Coverage]],CoverageTable[Coverage],0))</f>
        <v>Yes</v>
      </c>
      <c r="Q702" t="s">
        <v>10</v>
      </c>
      <c r="R702" t="s">
        <v>79</v>
      </c>
      <c r="S702" t="s">
        <v>10</v>
      </c>
      <c r="T702" t="s">
        <v>10</v>
      </c>
      <c r="U702" t="s">
        <v>10</v>
      </c>
      <c r="V702" t="s">
        <v>10</v>
      </c>
      <c r="W702" t="s">
        <v>10</v>
      </c>
    </row>
    <row r="703" spans="1:23" x14ac:dyDescent="0.3">
      <c r="A703" t="s">
        <v>794</v>
      </c>
      <c r="B703" s="7">
        <v>45916</v>
      </c>
      <c r="C703" t="s">
        <v>70</v>
      </c>
      <c r="D703" t="s">
        <v>1098</v>
      </c>
      <c r="E703" s="3">
        <v>6</v>
      </c>
      <c r="F703" s="3">
        <v>0</v>
      </c>
      <c r="G703" t="s">
        <v>13</v>
      </c>
      <c r="H703" t="s">
        <v>1106</v>
      </c>
      <c r="I703" t="s">
        <v>44</v>
      </c>
      <c r="J703" t="s">
        <v>48</v>
      </c>
      <c r="K703" t="s">
        <v>57</v>
      </c>
      <c r="L703" t="s">
        <v>10</v>
      </c>
      <c r="M703" t="s">
        <v>10</v>
      </c>
      <c r="N703" t="s">
        <v>57</v>
      </c>
      <c r="O703" t="str">
        <f>INDEX(CoverageTable[Deductible Applies],MATCH(Table18[[#This Row],[Coverage]],CoverageTable[Coverage],0))</f>
        <v>No</v>
      </c>
      <c r="P703" t="str">
        <f>INDEX(CoverageTable[Coverage Limit Applies],MATCH(Table18[[#This Row],[Coverage]],CoverageTable[Coverage],0))</f>
        <v>Yes</v>
      </c>
      <c r="Q703" t="s">
        <v>10</v>
      </c>
      <c r="R703" t="s">
        <v>80</v>
      </c>
      <c r="S703" t="s">
        <v>10</v>
      </c>
      <c r="T703" t="s">
        <v>57</v>
      </c>
      <c r="U703" t="s">
        <v>10</v>
      </c>
      <c r="V703" t="s">
        <v>10</v>
      </c>
      <c r="W703" t="s">
        <v>10</v>
      </c>
    </row>
    <row r="704" spans="1:23" x14ac:dyDescent="0.3">
      <c r="A704" t="s">
        <v>795</v>
      </c>
      <c r="B704" s="7">
        <v>46046</v>
      </c>
      <c r="C704" t="s">
        <v>71</v>
      </c>
      <c r="D704" t="s">
        <v>1098</v>
      </c>
      <c r="E704" s="3">
        <v>1</v>
      </c>
      <c r="F704" s="3" t="s">
        <v>7</v>
      </c>
      <c r="G704" t="s">
        <v>11</v>
      </c>
      <c r="H704" t="s">
        <v>1108</v>
      </c>
      <c r="I704" t="s">
        <v>22</v>
      </c>
      <c r="J704" t="s">
        <v>50</v>
      </c>
      <c r="K704" t="s">
        <v>10</v>
      </c>
      <c r="L704" t="s">
        <v>10</v>
      </c>
      <c r="M704" t="s">
        <v>10</v>
      </c>
      <c r="N704" t="s">
        <v>57</v>
      </c>
      <c r="O704" t="str">
        <f>INDEX(CoverageTable[Deductible Applies],MATCH(Table18[[#This Row],[Coverage]],CoverageTable[Coverage],0))</f>
        <v>Yes</v>
      </c>
      <c r="P704" t="str">
        <f>INDEX(CoverageTable[Coverage Limit Applies],MATCH(Table18[[#This Row],[Coverage]],CoverageTable[Coverage],0))</f>
        <v>No</v>
      </c>
      <c r="Q704" t="s">
        <v>80</v>
      </c>
      <c r="R704" t="s">
        <v>10</v>
      </c>
      <c r="S704" t="s">
        <v>10</v>
      </c>
      <c r="T704" t="s">
        <v>10</v>
      </c>
      <c r="U704" t="s">
        <v>10</v>
      </c>
      <c r="V704" t="s">
        <v>10</v>
      </c>
      <c r="W704" t="s">
        <v>10</v>
      </c>
    </row>
    <row r="705" spans="1:23" x14ac:dyDescent="0.3">
      <c r="A705" t="s">
        <v>796</v>
      </c>
      <c r="B705" s="7">
        <v>45783</v>
      </c>
      <c r="C705" t="s">
        <v>71</v>
      </c>
      <c r="D705" t="s">
        <v>1102</v>
      </c>
      <c r="E705" s="3">
        <v>1</v>
      </c>
      <c r="F705" s="3">
        <v>0</v>
      </c>
      <c r="G705" t="s">
        <v>13</v>
      </c>
      <c r="H705" t="s">
        <v>1109</v>
      </c>
      <c r="I705" t="s">
        <v>22</v>
      </c>
      <c r="J705" t="s">
        <v>50</v>
      </c>
      <c r="K705" t="s">
        <v>10</v>
      </c>
      <c r="L705" t="s">
        <v>10</v>
      </c>
      <c r="M705" t="s">
        <v>10</v>
      </c>
      <c r="N705" t="s">
        <v>57</v>
      </c>
      <c r="O705" t="str">
        <f>INDEX(CoverageTable[Deductible Applies],MATCH(Table18[[#This Row],[Coverage]],CoverageTable[Coverage],0))</f>
        <v>Yes</v>
      </c>
      <c r="P705" t="str">
        <f>INDEX(CoverageTable[Coverage Limit Applies],MATCH(Table18[[#This Row],[Coverage]],CoverageTable[Coverage],0))</f>
        <v>No</v>
      </c>
      <c r="Q705" t="s">
        <v>80</v>
      </c>
      <c r="R705" t="s">
        <v>10</v>
      </c>
      <c r="S705" t="s">
        <v>57</v>
      </c>
      <c r="T705" t="s">
        <v>10</v>
      </c>
      <c r="U705" t="s">
        <v>10</v>
      </c>
      <c r="V705" t="s">
        <v>10</v>
      </c>
      <c r="W705" t="s">
        <v>10</v>
      </c>
    </row>
    <row r="706" spans="1:23" x14ac:dyDescent="0.3">
      <c r="A706" t="s">
        <v>797</v>
      </c>
      <c r="B706" s="7">
        <v>46024</v>
      </c>
      <c r="C706" t="s">
        <v>74</v>
      </c>
      <c r="D706" t="s">
        <v>1099</v>
      </c>
      <c r="E706" s="3">
        <v>7</v>
      </c>
      <c r="F706" s="3">
        <v>0</v>
      </c>
      <c r="G706" t="s">
        <v>11</v>
      </c>
      <c r="H706" t="s">
        <v>1109</v>
      </c>
      <c r="I706" t="s">
        <v>34</v>
      </c>
      <c r="J706" t="s">
        <v>52</v>
      </c>
      <c r="K706" t="s">
        <v>10</v>
      </c>
      <c r="L706" t="s">
        <v>10</v>
      </c>
      <c r="M706" t="s">
        <v>57</v>
      </c>
      <c r="N706" t="s">
        <v>57</v>
      </c>
      <c r="O706" t="str">
        <f>INDEX(CoverageTable[Deductible Applies],MATCH(Table18[[#This Row],[Coverage]],CoverageTable[Coverage],0))</f>
        <v>No</v>
      </c>
      <c r="P706" t="str">
        <f>INDEX(CoverageTable[Coverage Limit Applies],MATCH(Table18[[#This Row],[Coverage]],CoverageTable[Coverage],0))</f>
        <v>Yes</v>
      </c>
      <c r="Q706" t="s">
        <v>10</v>
      </c>
      <c r="R706" t="s">
        <v>78</v>
      </c>
      <c r="S706" t="s">
        <v>10</v>
      </c>
      <c r="T706" t="s">
        <v>10</v>
      </c>
      <c r="U706" t="s">
        <v>10</v>
      </c>
      <c r="V706" t="s">
        <v>10</v>
      </c>
      <c r="W706" t="s">
        <v>10</v>
      </c>
    </row>
    <row r="707" spans="1:23" x14ac:dyDescent="0.3">
      <c r="A707" t="s">
        <v>798</v>
      </c>
      <c r="B707" s="7">
        <v>45789</v>
      </c>
      <c r="C707" t="s">
        <v>73</v>
      </c>
      <c r="D707" t="s">
        <v>1099</v>
      </c>
      <c r="E707" s="3">
        <v>1</v>
      </c>
      <c r="F707" s="3">
        <v>2</v>
      </c>
      <c r="G707" t="s">
        <v>10</v>
      </c>
      <c r="H707" t="s">
        <v>1110</v>
      </c>
      <c r="I707" t="s">
        <v>38</v>
      </c>
      <c r="J707" t="s">
        <v>49</v>
      </c>
      <c r="K707" t="s">
        <v>10</v>
      </c>
      <c r="L707" t="s">
        <v>10</v>
      </c>
      <c r="M707" t="s">
        <v>10</v>
      </c>
      <c r="N707" t="s">
        <v>57</v>
      </c>
      <c r="O707" t="str">
        <f>INDEX(CoverageTable[Deductible Applies],MATCH(Table18[[#This Row],[Coverage]],CoverageTable[Coverage],0))</f>
        <v>No</v>
      </c>
      <c r="P707" t="str">
        <f>INDEX(CoverageTable[Coverage Limit Applies],MATCH(Table18[[#This Row],[Coverage]],CoverageTable[Coverage],0))</f>
        <v>Yes</v>
      </c>
      <c r="Q707" t="s">
        <v>10</v>
      </c>
      <c r="R707" t="s">
        <v>78</v>
      </c>
      <c r="S707" t="s">
        <v>10</v>
      </c>
      <c r="T707" t="s">
        <v>57</v>
      </c>
      <c r="U707" t="s">
        <v>10</v>
      </c>
      <c r="V707" t="s">
        <v>10</v>
      </c>
      <c r="W707" t="s">
        <v>10</v>
      </c>
    </row>
    <row r="708" spans="1:23" x14ac:dyDescent="0.3">
      <c r="A708" t="s">
        <v>799</v>
      </c>
      <c r="B708" s="7">
        <v>45982</v>
      </c>
      <c r="C708" t="s">
        <v>71</v>
      </c>
      <c r="D708" t="s">
        <v>1097</v>
      </c>
      <c r="E708" s="3">
        <v>7</v>
      </c>
      <c r="F708" s="3">
        <v>3</v>
      </c>
      <c r="G708" t="s">
        <v>10</v>
      </c>
      <c r="H708" t="s">
        <v>1109</v>
      </c>
      <c r="I708" t="s">
        <v>41</v>
      </c>
      <c r="J708" t="s">
        <v>50</v>
      </c>
      <c r="K708" t="s">
        <v>10</v>
      </c>
      <c r="L708" t="s">
        <v>10</v>
      </c>
      <c r="M708" t="s">
        <v>10</v>
      </c>
      <c r="N708" t="s">
        <v>57</v>
      </c>
      <c r="O708" t="str">
        <f>INDEX(CoverageTable[Deductible Applies],MATCH(Table18[[#This Row],[Coverage]],CoverageTable[Coverage],0))</f>
        <v>Yes</v>
      </c>
      <c r="P708" t="str">
        <f>INDEX(CoverageTable[Coverage Limit Applies],MATCH(Table18[[#This Row],[Coverage]],CoverageTable[Coverage],0))</f>
        <v>No</v>
      </c>
      <c r="Q708" t="s">
        <v>80</v>
      </c>
      <c r="R708" t="s">
        <v>10</v>
      </c>
      <c r="S708" t="s">
        <v>10</v>
      </c>
      <c r="T708" t="s">
        <v>10</v>
      </c>
      <c r="U708" t="s">
        <v>57</v>
      </c>
      <c r="V708" t="s">
        <v>57</v>
      </c>
      <c r="W708" t="s">
        <v>10</v>
      </c>
    </row>
    <row r="709" spans="1:23" x14ac:dyDescent="0.3">
      <c r="A709" t="s">
        <v>800</v>
      </c>
      <c r="B709" s="7">
        <v>45869</v>
      </c>
      <c r="C709" t="s">
        <v>70</v>
      </c>
      <c r="D709" t="s">
        <v>1101</v>
      </c>
      <c r="E709" s="3">
        <v>1</v>
      </c>
      <c r="F709" s="3" t="s">
        <v>7</v>
      </c>
      <c r="G709" t="s">
        <v>10</v>
      </c>
      <c r="H709" t="s">
        <v>1106</v>
      </c>
      <c r="I709" t="s">
        <v>28</v>
      </c>
      <c r="J709" t="s">
        <v>52</v>
      </c>
      <c r="K709" t="s">
        <v>57</v>
      </c>
      <c r="L709" t="s">
        <v>57</v>
      </c>
      <c r="M709" t="s">
        <v>10</v>
      </c>
      <c r="N709" t="s">
        <v>10</v>
      </c>
      <c r="O709" t="str">
        <f>INDEX(CoverageTable[Deductible Applies],MATCH(Table18[[#This Row],[Coverage]],CoverageTable[Coverage],0))</f>
        <v>No</v>
      </c>
      <c r="P709" t="str">
        <f>INDEX(CoverageTable[Coverage Limit Applies],MATCH(Table18[[#This Row],[Coverage]],CoverageTable[Coverage],0))</f>
        <v>Yes</v>
      </c>
      <c r="Q709" t="s">
        <v>10</v>
      </c>
      <c r="R709" t="s">
        <v>78</v>
      </c>
      <c r="S709" t="s">
        <v>10</v>
      </c>
      <c r="T709" t="s">
        <v>10</v>
      </c>
      <c r="U709" t="s">
        <v>57</v>
      </c>
      <c r="V709" t="s">
        <v>10</v>
      </c>
      <c r="W709" t="s">
        <v>10</v>
      </c>
    </row>
    <row r="710" spans="1:23" x14ac:dyDescent="0.3">
      <c r="A710" t="s">
        <v>801</v>
      </c>
      <c r="B710" s="7">
        <v>46088</v>
      </c>
      <c r="C710" t="s">
        <v>74</v>
      </c>
      <c r="D710" t="s">
        <v>1097</v>
      </c>
      <c r="E710" s="3">
        <v>3</v>
      </c>
      <c r="F710" s="3">
        <v>0</v>
      </c>
      <c r="G710" t="s">
        <v>11</v>
      </c>
      <c r="H710" t="s">
        <v>1107</v>
      </c>
      <c r="I710" t="s">
        <v>43</v>
      </c>
      <c r="J710" t="s">
        <v>53</v>
      </c>
      <c r="K710" t="s">
        <v>10</v>
      </c>
      <c r="L710" t="s">
        <v>10</v>
      </c>
      <c r="M710" t="s">
        <v>57</v>
      </c>
      <c r="N710" t="s">
        <v>57</v>
      </c>
      <c r="O710" t="str">
        <f>INDEX(CoverageTable[Deductible Applies],MATCH(Table18[[#This Row],[Coverage]],CoverageTable[Coverage],0))</f>
        <v>No</v>
      </c>
      <c r="P710" t="str">
        <f>INDEX(CoverageTable[Coverage Limit Applies],MATCH(Table18[[#This Row],[Coverage]],CoverageTable[Coverage],0))</f>
        <v>Yes</v>
      </c>
      <c r="Q710" t="s">
        <v>10</v>
      </c>
      <c r="R710" t="s">
        <v>79</v>
      </c>
      <c r="S710" t="s">
        <v>10</v>
      </c>
      <c r="T710" t="s">
        <v>10</v>
      </c>
      <c r="U710" t="s">
        <v>57</v>
      </c>
      <c r="V710" t="s">
        <v>10</v>
      </c>
      <c r="W710" t="s">
        <v>10</v>
      </c>
    </row>
    <row r="711" spans="1:23" x14ac:dyDescent="0.3">
      <c r="A711" t="s">
        <v>802</v>
      </c>
      <c r="B711" s="7">
        <v>45820</v>
      </c>
      <c r="C711" t="s">
        <v>70</v>
      </c>
      <c r="D711" t="s">
        <v>1101</v>
      </c>
      <c r="E711" s="3" t="s">
        <v>1103</v>
      </c>
      <c r="F711" s="3" t="s">
        <v>7</v>
      </c>
      <c r="G711" t="s">
        <v>11</v>
      </c>
      <c r="H711" t="s">
        <v>1110</v>
      </c>
      <c r="I711" t="s">
        <v>35</v>
      </c>
      <c r="J711" t="s">
        <v>49</v>
      </c>
      <c r="K711" t="s">
        <v>10</v>
      </c>
      <c r="L711" t="s">
        <v>10</v>
      </c>
      <c r="M711" t="s">
        <v>10</v>
      </c>
      <c r="N711" t="s">
        <v>57</v>
      </c>
      <c r="O711" t="str">
        <f>INDEX(CoverageTable[Deductible Applies],MATCH(Table18[[#This Row],[Coverage]],CoverageTable[Coverage],0))</f>
        <v>No</v>
      </c>
      <c r="P711" t="str">
        <f>INDEX(CoverageTable[Coverage Limit Applies],MATCH(Table18[[#This Row],[Coverage]],CoverageTable[Coverage],0))</f>
        <v>Yes</v>
      </c>
      <c r="Q711" t="s">
        <v>10</v>
      </c>
      <c r="R711" t="s">
        <v>80</v>
      </c>
      <c r="S711" t="s">
        <v>10</v>
      </c>
      <c r="T711" t="s">
        <v>10</v>
      </c>
      <c r="U711" t="s">
        <v>10</v>
      </c>
      <c r="V711" t="s">
        <v>10</v>
      </c>
      <c r="W711" t="s">
        <v>10</v>
      </c>
    </row>
    <row r="712" spans="1:23" x14ac:dyDescent="0.3">
      <c r="A712" t="s">
        <v>803</v>
      </c>
      <c r="B712" s="7">
        <v>46036</v>
      </c>
      <c r="C712" t="s">
        <v>71</v>
      </c>
      <c r="D712" t="s">
        <v>1098</v>
      </c>
      <c r="E712" s="3" t="s">
        <v>1103</v>
      </c>
      <c r="F712" s="3">
        <v>1</v>
      </c>
      <c r="G712" t="s">
        <v>13</v>
      </c>
      <c r="H712" t="s">
        <v>1106</v>
      </c>
      <c r="I712" t="s">
        <v>44</v>
      </c>
      <c r="J712" t="s">
        <v>53</v>
      </c>
      <c r="K712" t="s">
        <v>10</v>
      </c>
      <c r="L712" t="s">
        <v>10</v>
      </c>
      <c r="M712" t="s">
        <v>10</v>
      </c>
      <c r="N712" t="s">
        <v>57</v>
      </c>
      <c r="O712" t="str">
        <f>INDEX(CoverageTable[Deductible Applies],MATCH(Table18[[#This Row],[Coverage]],CoverageTable[Coverage],0))</f>
        <v>Yes</v>
      </c>
      <c r="P712" t="str">
        <f>INDEX(CoverageTable[Coverage Limit Applies],MATCH(Table18[[#This Row],[Coverage]],CoverageTable[Coverage],0))</f>
        <v>No</v>
      </c>
      <c r="Q712" t="s">
        <v>78</v>
      </c>
      <c r="R712" t="s">
        <v>10</v>
      </c>
      <c r="S712" t="s">
        <v>10</v>
      </c>
      <c r="T712" t="s">
        <v>57</v>
      </c>
      <c r="U712" t="s">
        <v>57</v>
      </c>
      <c r="V712" t="s">
        <v>10</v>
      </c>
      <c r="W712" t="s">
        <v>10</v>
      </c>
    </row>
    <row r="713" spans="1:23" x14ac:dyDescent="0.3">
      <c r="A713" t="s">
        <v>804</v>
      </c>
      <c r="B713" s="7">
        <v>46085</v>
      </c>
      <c r="C713" t="s">
        <v>72</v>
      </c>
      <c r="D713" t="s">
        <v>1102</v>
      </c>
      <c r="E713" s="3">
        <v>2</v>
      </c>
      <c r="F713" s="3">
        <v>1</v>
      </c>
      <c r="G713" t="s">
        <v>13</v>
      </c>
      <c r="H713" t="s">
        <v>1108</v>
      </c>
      <c r="I713" t="s">
        <v>36</v>
      </c>
      <c r="J713" t="s">
        <v>54</v>
      </c>
      <c r="K713" t="s">
        <v>10</v>
      </c>
      <c r="L713" t="s">
        <v>10</v>
      </c>
      <c r="M713" t="s">
        <v>10</v>
      </c>
      <c r="N713" t="s">
        <v>10</v>
      </c>
      <c r="O713" t="str">
        <f>INDEX(CoverageTable[Deductible Applies],MATCH(Table18[[#This Row],[Coverage]],CoverageTable[Coverage],0))</f>
        <v>Yes</v>
      </c>
      <c r="P713" t="str">
        <f>INDEX(CoverageTable[Coverage Limit Applies],MATCH(Table18[[#This Row],[Coverage]],CoverageTable[Coverage],0))</f>
        <v>No</v>
      </c>
      <c r="Q713" t="s">
        <v>79</v>
      </c>
      <c r="R713" t="s">
        <v>10</v>
      </c>
      <c r="S713" t="s">
        <v>57</v>
      </c>
      <c r="T713" t="s">
        <v>57</v>
      </c>
      <c r="U713" t="s">
        <v>10</v>
      </c>
      <c r="V713" t="s">
        <v>10</v>
      </c>
      <c r="W713" t="s">
        <v>10</v>
      </c>
    </row>
    <row r="714" spans="1:23" x14ac:dyDescent="0.3">
      <c r="A714" t="s">
        <v>805</v>
      </c>
      <c r="B714" s="7">
        <v>46132</v>
      </c>
      <c r="C714" t="s">
        <v>71</v>
      </c>
      <c r="D714" t="s">
        <v>1097</v>
      </c>
      <c r="E714" s="3">
        <v>1</v>
      </c>
      <c r="F714" s="3">
        <v>3</v>
      </c>
      <c r="G714" t="s">
        <v>13</v>
      </c>
      <c r="H714" t="s">
        <v>1107</v>
      </c>
      <c r="I714" t="s">
        <v>38</v>
      </c>
      <c r="J714" t="s">
        <v>49</v>
      </c>
      <c r="K714" t="s">
        <v>10</v>
      </c>
      <c r="L714" t="s">
        <v>10</v>
      </c>
      <c r="M714" t="s">
        <v>10</v>
      </c>
      <c r="N714" t="s">
        <v>10</v>
      </c>
      <c r="O714" t="str">
        <f>INDEX(CoverageTable[Deductible Applies],MATCH(Table18[[#This Row],[Coverage]],CoverageTable[Coverage],0))</f>
        <v>Yes</v>
      </c>
      <c r="P714" t="str">
        <f>INDEX(CoverageTable[Coverage Limit Applies],MATCH(Table18[[#This Row],[Coverage]],CoverageTable[Coverage],0))</f>
        <v>No</v>
      </c>
      <c r="Q714" t="s">
        <v>79</v>
      </c>
      <c r="R714" t="s">
        <v>10</v>
      </c>
      <c r="S714" t="s">
        <v>10</v>
      </c>
      <c r="T714" t="s">
        <v>10</v>
      </c>
      <c r="U714" t="s">
        <v>10</v>
      </c>
      <c r="V714" t="s">
        <v>10</v>
      </c>
      <c r="W714" t="s">
        <v>10</v>
      </c>
    </row>
    <row r="715" spans="1:23" x14ac:dyDescent="0.3">
      <c r="A715" t="s">
        <v>806</v>
      </c>
      <c r="B715" s="7">
        <v>46026</v>
      </c>
      <c r="C715" t="s">
        <v>70</v>
      </c>
      <c r="D715" t="s">
        <v>1099</v>
      </c>
      <c r="E715" s="3" t="s">
        <v>1103</v>
      </c>
      <c r="F715" s="3">
        <v>0</v>
      </c>
      <c r="G715" t="s">
        <v>11</v>
      </c>
      <c r="H715" t="s">
        <v>1110</v>
      </c>
      <c r="I715" t="s">
        <v>34</v>
      </c>
      <c r="J715" t="s">
        <v>54</v>
      </c>
      <c r="K715" t="s">
        <v>10</v>
      </c>
      <c r="L715" t="s">
        <v>10</v>
      </c>
      <c r="M715" t="s">
        <v>10</v>
      </c>
      <c r="N715" t="s">
        <v>10</v>
      </c>
      <c r="O715" t="str">
        <f>INDEX(CoverageTable[Deductible Applies],MATCH(Table18[[#This Row],[Coverage]],CoverageTable[Coverage],0))</f>
        <v>No</v>
      </c>
      <c r="P715" t="str">
        <f>INDEX(CoverageTable[Coverage Limit Applies],MATCH(Table18[[#This Row],[Coverage]],CoverageTable[Coverage],0))</f>
        <v>Yes</v>
      </c>
      <c r="Q715" t="s">
        <v>10</v>
      </c>
      <c r="R715" t="s">
        <v>78</v>
      </c>
      <c r="S715" t="s">
        <v>57</v>
      </c>
      <c r="T715" t="s">
        <v>57</v>
      </c>
      <c r="U715" t="s">
        <v>57</v>
      </c>
      <c r="V715" t="s">
        <v>10</v>
      </c>
      <c r="W715" t="s">
        <v>10</v>
      </c>
    </row>
    <row r="716" spans="1:23" x14ac:dyDescent="0.3">
      <c r="A716" t="s">
        <v>807</v>
      </c>
      <c r="B716" s="7">
        <v>45880</v>
      </c>
      <c r="C716" t="s">
        <v>71</v>
      </c>
      <c r="D716" t="s">
        <v>1099</v>
      </c>
      <c r="E716" s="3">
        <v>5</v>
      </c>
      <c r="F716" s="3">
        <v>1</v>
      </c>
      <c r="G716" t="s">
        <v>13</v>
      </c>
      <c r="H716" t="s">
        <v>1109</v>
      </c>
      <c r="I716" t="s">
        <v>31</v>
      </c>
      <c r="J716" t="s">
        <v>51</v>
      </c>
      <c r="K716" t="s">
        <v>10</v>
      </c>
      <c r="L716" t="s">
        <v>10</v>
      </c>
      <c r="M716" t="s">
        <v>10</v>
      </c>
      <c r="N716" t="s">
        <v>57</v>
      </c>
      <c r="O716" t="str">
        <f>INDEX(CoverageTable[Deductible Applies],MATCH(Table18[[#This Row],[Coverage]],CoverageTable[Coverage],0))</f>
        <v>Yes</v>
      </c>
      <c r="P716" t="str">
        <f>INDEX(CoverageTable[Coverage Limit Applies],MATCH(Table18[[#This Row],[Coverage]],CoverageTable[Coverage],0))</f>
        <v>No</v>
      </c>
      <c r="Q716" t="s">
        <v>78</v>
      </c>
      <c r="R716" t="s">
        <v>10</v>
      </c>
      <c r="S716" t="s">
        <v>57</v>
      </c>
      <c r="T716" t="s">
        <v>57</v>
      </c>
      <c r="U716" t="s">
        <v>10</v>
      </c>
      <c r="V716" t="s">
        <v>10</v>
      </c>
      <c r="W716" t="s">
        <v>10</v>
      </c>
    </row>
    <row r="717" spans="1:23" x14ac:dyDescent="0.3">
      <c r="A717" t="s">
        <v>808</v>
      </c>
      <c r="B717" s="7">
        <v>45843</v>
      </c>
      <c r="C717" t="s">
        <v>71</v>
      </c>
      <c r="D717" t="s">
        <v>1100</v>
      </c>
      <c r="E717" s="3">
        <v>4</v>
      </c>
      <c r="F717" s="3">
        <v>2</v>
      </c>
      <c r="G717" t="s">
        <v>10</v>
      </c>
      <c r="H717" t="s">
        <v>1107</v>
      </c>
      <c r="I717" t="s">
        <v>37</v>
      </c>
      <c r="J717" t="s">
        <v>48</v>
      </c>
      <c r="K717" t="s">
        <v>10</v>
      </c>
      <c r="L717" t="s">
        <v>10</v>
      </c>
      <c r="M717" t="s">
        <v>10</v>
      </c>
      <c r="N717" t="s">
        <v>10</v>
      </c>
      <c r="O717" t="str">
        <f>INDEX(CoverageTable[Deductible Applies],MATCH(Table18[[#This Row],[Coverage]],CoverageTable[Coverage],0))</f>
        <v>Yes</v>
      </c>
      <c r="P717" t="str">
        <f>INDEX(CoverageTable[Coverage Limit Applies],MATCH(Table18[[#This Row],[Coverage]],CoverageTable[Coverage],0))</f>
        <v>No</v>
      </c>
      <c r="Q717" t="s">
        <v>79</v>
      </c>
      <c r="R717" t="s">
        <v>10</v>
      </c>
      <c r="S717" t="s">
        <v>10</v>
      </c>
      <c r="T717" t="s">
        <v>10</v>
      </c>
      <c r="U717" t="s">
        <v>10</v>
      </c>
      <c r="V717" t="s">
        <v>57</v>
      </c>
      <c r="W717" t="s">
        <v>57</v>
      </c>
    </row>
    <row r="718" spans="1:23" x14ac:dyDescent="0.3">
      <c r="A718" t="s">
        <v>809</v>
      </c>
      <c r="B718" s="7">
        <v>46034</v>
      </c>
      <c r="C718" t="s">
        <v>70</v>
      </c>
      <c r="D718" t="s">
        <v>1097</v>
      </c>
      <c r="E718" s="3">
        <v>4</v>
      </c>
      <c r="F718" s="3">
        <v>0</v>
      </c>
      <c r="G718" t="s">
        <v>11</v>
      </c>
      <c r="H718" t="s">
        <v>1107</v>
      </c>
      <c r="I718" t="s">
        <v>22</v>
      </c>
      <c r="J718" t="s">
        <v>52</v>
      </c>
      <c r="K718" t="s">
        <v>10</v>
      </c>
      <c r="L718" t="s">
        <v>10</v>
      </c>
      <c r="M718" t="s">
        <v>10</v>
      </c>
      <c r="N718" t="s">
        <v>57</v>
      </c>
      <c r="O718" t="str">
        <f>INDEX(CoverageTable[Deductible Applies],MATCH(Table18[[#This Row],[Coverage]],CoverageTable[Coverage],0))</f>
        <v>No</v>
      </c>
      <c r="P718" t="str">
        <f>INDEX(CoverageTable[Coverage Limit Applies],MATCH(Table18[[#This Row],[Coverage]],CoverageTable[Coverage],0))</f>
        <v>Yes</v>
      </c>
      <c r="Q718" t="s">
        <v>10</v>
      </c>
      <c r="R718" t="s">
        <v>78</v>
      </c>
      <c r="S718" t="s">
        <v>10</v>
      </c>
      <c r="T718" t="s">
        <v>57</v>
      </c>
      <c r="U718" t="s">
        <v>10</v>
      </c>
      <c r="V718" t="s">
        <v>10</v>
      </c>
      <c r="W718" t="s">
        <v>10</v>
      </c>
    </row>
    <row r="719" spans="1:23" x14ac:dyDescent="0.3">
      <c r="A719" t="s">
        <v>810</v>
      </c>
      <c r="B719" s="7">
        <v>46077</v>
      </c>
      <c r="C719" t="s">
        <v>71</v>
      </c>
      <c r="D719" t="s">
        <v>1101</v>
      </c>
      <c r="E719" s="3">
        <v>1</v>
      </c>
      <c r="F719" s="3">
        <v>0</v>
      </c>
      <c r="G719" t="s">
        <v>10</v>
      </c>
      <c r="H719" t="s">
        <v>1106</v>
      </c>
      <c r="I719" t="s">
        <v>21</v>
      </c>
      <c r="J719" t="s">
        <v>48</v>
      </c>
      <c r="K719" t="s">
        <v>10</v>
      </c>
      <c r="L719" t="s">
        <v>57</v>
      </c>
      <c r="M719" t="s">
        <v>10</v>
      </c>
      <c r="N719" t="s">
        <v>10</v>
      </c>
      <c r="O719" t="str">
        <f>INDEX(CoverageTable[Deductible Applies],MATCH(Table18[[#This Row],[Coverage]],CoverageTable[Coverage],0))</f>
        <v>Yes</v>
      </c>
      <c r="P719" t="str">
        <f>INDEX(CoverageTable[Coverage Limit Applies],MATCH(Table18[[#This Row],[Coverage]],CoverageTable[Coverage],0))</f>
        <v>No</v>
      </c>
      <c r="Q719" t="s">
        <v>79</v>
      </c>
      <c r="R719" t="s">
        <v>10</v>
      </c>
      <c r="S719" t="s">
        <v>10</v>
      </c>
      <c r="T719" t="s">
        <v>10</v>
      </c>
      <c r="U719" t="s">
        <v>10</v>
      </c>
      <c r="V719" t="s">
        <v>10</v>
      </c>
      <c r="W719" t="s">
        <v>10</v>
      </c>
    </row>
    <row r="720" spans="1:23" x14ac:dyDescent="0.3">
      <c r="A720" t="s">
        <v>811</v>
      </c>
      <c r="B720" s="7">
        <v>45825</v>
      </c>
      <c r="C720" t="s">
        <v>70</v>
      </c>
      <c r="D720" t="s">
        <v>1100</v>
      </c>
      <c r="E720" s="3" t="s">
        <v>1103</v>
      </c>
      <c r="F720" s="3">
        <v>4</v>
      </c>
      <c r="G720" t="s">
        <v>12</v>
      </c>
      <c r="H720" t="s">
        <v>1107</v>
      </c>
      <c r="I720" t="s">
        <v>36</v>
      </c>
      <c r="J720" t="s">
        <v>48</v>
      </c>
      <c r="K720" t="s">
        <v>10</v>
      </c>
      <c r="L720" t="s">
        <v>10</v>
      </c>
      <c r="M720" t="s">
        <v>10</v>
      </c>
      <c r="N720" t="s">
        <v>10</v>
      </c>
      <c r="O720" t="str">
        <f>INDEX(CoverageTable[Deductible Applies],MATCH(Table18[[#This Row],[Coverage]],CoverageTable[Coverage],0))</f>
        <v>No</v>
      </c>
      <c r="P720" t="str">
        <f>INDEX(CoverageTable[Coverage Limit Applies],MATCH(Table18[[#This Row],[Coverage]],CoverageTable[Coverage],0))</f>
        <v>Yes</v>
      </c>
      <c r="Q720" t="s">
        <v>10</v>
      </c>
      <c r="R720" t="s">
        <v>78</v>
      </c>
      <c r="S720" t="s">
        <v>10</v>
      </c>
      <c r="T720" t="s">
        <v>10</v>
      </c>
      <c r="U720" t="s">
        <v>57</v>
      </c>
      <c r="V720" t="s">
        <v>10</v>
      </c>
      <c r="W720" t="s">
        <v>10</v>
      </c>
    </row>
    <row r="721" spans="1:23" x14ac:dyDescent="0.3">
      <c r="A721" t="s">
        <v>812</v>
      </c>
      <c r="B721" s="7">
        <v>46081</v>
      </c>
      <c r="C721" t="s">
        <v>74</v>
      </c>
      <c r="D721" t="s">
        <v>1098</v>
      </c>
      <c r="E721" s="3">
        <v>2</v>
      </c>
      <c r="F721" s="3">
        <v>2</v>
      </c>
      <c r="G721" t="s">
        <v>11</v>
      </c>
      <c r="H721" t="s">
        <v>1110</v>
      </c>
      <c r="I721" t="s">
        <v>31</v>
      </c>
      <c r="J721" t="s">
        <v>49</v>
      </c>
      <c r="K721" t="s">
        <v>10</v>
      </c>
      <c r="L721" t="s">
        <v>57</v>
      </c>
      <c r="M721" t="s">
        <v>10</v>
      </c>
      <c r="N721" t="s">
        <v>10</v>
      </c>
      <c r="O721" t="str">
        <f>INDEX(CoverageTable[Deductible Applies],MATCH(Table18[[#This Row],[Coverage]],CoverageTable[Coverage],0))</f>
        <v>No</v>
      </c>
      <c r="P721" t="str">
        <f>INDEX(CoverageTable[Coverage Limit Applies],MATCH(Table18[[#This Row],[Coverage]],CoverageTable[Coverage],0))</f>
        <v>Yes</v>
      </c>
      <c r="Q721" t="s">
        <v>10</v>
      </c>
      <c r="R721" t="s">
        <v>80</v>
      </c>
      <c r="S721" t="s">
        <v>10</v>
      </c>
      <c r="T721" t="s">
        <v>10</v>
      </c>
      <c r="U721" t="s">
        <v>10</v>
      </c>
      <c r="V721" t="s">
        <v>57</v>
      </c>
      <c r="W721" t="s">
        <v>10</v>
      </c>
    </row>
    <row r="722" spans="1:23" x14ac:dyDescent="0.3">
      <c r="A722" t="s">
        <v>813</v>
      </c>
      <c r="B722" s="7">
        <v>45992</v>
      </c>
      <c r="C722" t="s">
        <v>71</v>
      </c>
      <c r="D722" t="s">
        <v>1101</v>
      </c>
      <c r="E722" s="3" t="s">
        <v>1103</v>
      </c>
      <c r="F722" s="3">
        <v>0</v>
      </c>
      <c r="G722" t="s">
        <v>13</v>
      </c>
      <c r="H722" t="s">
        <v>1108</v>
      </c>
      <c r="I722" t="s">
        <v>38</v>
      </c>
      <c r="J722" t="s">
        <v>50</v>
      </c>
      <c r="K722" t="s">
        <v>57</v>
      </c>
      <c r="L722" t="s">
        <v>10</v>
      </c>
      <c r="M722" t="s">
        <v>10</v>
      </c>
      <c r="N722" t="s">
        <v>57</v>
      </c>
      <c r="O722" t="str">
        <f>INDEX(CoverageTable[Deductible Applies],MATCH(Table18[[#This Row],[Coverage]],CoverageTable[Coverage],0))</f>
        <v>Yes</v>
      </c>
      <c r="P722" t="str">
        <f>INDEX(CoverageTable[Coverage Limit Applies],MATCH(Table18[[#This Row],[Coverage]],CoverageTable[Coverage],0))</f>
        <v>No</v>
      </c>
      <c r="Q722" t="s">
        <v>79</v>
      </c>
      <c r="R722" t="s">
        <v>10</v>
      </c>
      <c r="S722" t="s">
        <v>10</v>
      </c>
      <c r="T722" t="s">
        <v>10</v>
      </c>
      <c r="U722" t="s">
        <v>57</v>
      </c>
      <c r="V722" t="s">
        <v>10</v>
      </c>
      <c r="W722" t="s">
        <v>10</v>
      </c>
    </row>
    <row r="723" spans="1:23" x14ac:dyDescent="0.3">
      <c r="A723" t="s">
        <v>814</v>
      </c>
      <c r="B723" s="7">
        <v>46013</v>
      </c>
      <c r="C723" t="s">
        <v>70</v>
      </c>
      <c r="D723" t="s">
        <v>1102</v>
      </c>
      <c r="E723" s="3">
        <v>1</v>
      </c>
      <c r="F723" s="3">
        <v>3</v>
      </c>
      <c r="G723" t="s">
        <v>10</v>
      </c>
      <c r="H723" t="s">
        <v>1109</v>
      </c>
      <c r="I723" t="s">
        <v>32</v>
      </c>
      <c r="J723" t="s">
        <v>51</v>
      </c>
      <c r="K723" t="s">
        <v>10</v>
      </c>
      <c r="L723" t="s">
        <v>10</v>
      </c>
      <c r="M723" t="s">
        <v>10</v>
      </c>
      <c r="N723" t="s">
        <v>57</v>
      </c>
      <c r="O723" t="str">
        <f>INDEX(CoverageTable[Deductible Applies],MATCH(Table18[[#This Row],[Coverage]],CoverageTable[Coverage],0))</f>
        <v>No</v>
      </c>
      <c r="P723" t="str">
        <f>INDEX(CoverageTable[Coverage Limit Applies],MATCH(Table18[[#This Row],[Coverage]],CoverageTable[Coverage],0))</f>
        <v>Yes</v>
      </c>
      <c r="Q723" t="s">
        <v>10</v>
      </c>
      <c r="R723" t="s">
        <v>79</v>
      </c>
      <c r="S723" t="s">
        <v>10</v>
      </c>
      <c r="T723" t="s">
        <v>57</v>
      </c>
      <c r="U723" t="s">
        <v>57</v>
      </c>
      <c r="V723" t="s">
        <v>10</v>
      </c>
      <c r="W723" t="s">
        <v>57</v>
      </c>
    </row>
    <row r="724" spans="1:23" x14ac:dyDescent="0.3">
      <c r="A724" t="s">
        <v>815</v>
      </c>
      <c r="B724" s="7">
        <v>45828</v>
      </c>
      <c r="C724" t="s">
        <v>71</v>
      </c>
      <c r="D724" t="s">
        <v>1101</v>
      </c>
      <c r="E724" s="3">
        <v>6</v>
      </c>
      <c r="F724" s="3">
        <v>2</v>
      </c>
      <c r="G724" t="s">
        <v>12</v>
      </c>
      <c r="H724" t="s">
        <v>1108</v>
      </c>
      <c r="I724" t="s">
        <v>23</v>
      </c>
      <c r="J724" t="s">
        <v>52</v>
      </c>
      <c r="K724" t="s">
        <v>10</v>
      </c>
      <c r="L724" t="s">
        <v>10</v>
      </c>
      <c r="M724" t="s">
        <v>10</v>
      </c>
      <c r="N724" t="s">
        <v>10</v>
      </c>
      <c r="O724" t="str">
        <f>INDEX(CoverageTable[Deductible Applies],MATCH(Table18[[#This Row],[Coverage]],CoverageTable[Coverage],0))</f>
        <v>Yes</v>
      </c>
      <c r="P724" t="str">
        <f>INDEX(CoverageTable[Coverage Limit Applies],MATCH(Table18[[#This Row],[Coverage]],CoverageTable[Coverage],0))</f>
        <v>No</v>
      </c>
      <c r="Q724" t="s">
        <v>79</v>
      </c>
      <c r="R724" t="s">
        <v>10</v>
      </c>
      <c r="S724" t="s">
        <v>57</v>
      </c>
      <c r="T724" t="s">
        <v>57</v>
      </c>
      <c r="U724" t="s">
        <v>10</v>
      </c>
      <c r="V724" t="s">
        <v>10</v>
      </c>
      <c r="W724" t="s">
        <v>10</v>
      </c>
    </row>
    <row r="725" spans="1:23" x14ac:dyDescent="0.3">
      <c r="A725" t="s">
        <v>816</v>
      </c>
      <c r="B725" s="7">
        <v>45877</v>
      </c>
      <c r="C725" t="s">
        <v>71</v>
      </c>
      <c r="D725" t="s">
        <v>1100</v>
      </c>
      <c r="E725" s="3" t="s">
        <v>1103</v>
      </c>
      <c r="F725" s="3">
        <v>1</v>
      </c>
      <c r="G725" t="s">
        <v>12</v>
      </c>
      <c r="H725" t="s">
        <v>1107</v>
      </c>
      <c r="I725" t="s">
        <v>36</v>
      </c>
      <c r="J725" t="s">
        <v>50</v>
      </c>
      <c r="K725" t="s">
        <v>10</v>
      </c>
      <c r="L725" t="s">
        <v>10</v>
      </c>
      <c r="M725" t="s">
        <v>10</v>
      </c>
      <c r="N725" t="s">
        <v>10</v>
      </c>
      <c r="O725" t="str">
        <f>INDEX(CoverageTable[Deductible Applies],MATCH(Table18[[#This Row],[Coverage]],CoverageTable[Coverage],0))</f>
        <v>Yes</v>
      </c>
      <c r="P725" t="str">
        <f>INDEX(CoverageTable[Coverage Limit Applies],MATCH(Table18[[#This Row],[Coverage]],CoverageTable[Coverage],0))</f>
        <v>No</v>
      </c>
      <c r="Q725" t="s">
        <v>78</v>
      </c>
      <c r="R725" t="s">
        <v>10</v>
      </c>
      <c r="S725" t="s">
        <v>10</v>
      </c>
      <c r="T725" t="s">
        <v>57</v>
      </c>
      <c r="U725" t="s">
        <v>10</v>
      </c>
      <c r="V725" t="s">
        <v>10</v>
      </c>
      <c r="W725" t="s">
        <v>10</v>
      </c>
    </row>
    <row r="726" spans="1:23" x14ac:dyDescent="0.3">
      <c r="A726" t="s">
        <v>817</v>
      </c>
      <c r="B726" s="7">
        <v>45916</v>
      </c>
      <c r="C726" t="s">
        <v>74</v>
      </c>
      <c r="D726" t="s">
        <v>1100</v>
      </c>
      <c r="E726" s="3" t="s">
        <v>1103</v>
      </c>
      <c r="F726" s="3">
        <v>1</v>
      </c>
      <c r="G726" t="s">
        <v>12</v>
      </c>
      <c r="H726" t="s">
        <v>1109</v>
      </c>
      <c r="I726" t="s">
        <v>34</v>
      </c>
      <c r="J726" t="s">
        <v>48</v>
      </c>
      <c r="K726" t="s">
        <v>10</v>
      </c>
      <c r="L726" t="s">
        <v>10</v>
      </c>
      <c r="M726" t="s">
        <v>10</v>
      </c>
      <c r="N726" t="s">
        <v>57</v>
      </c>
      <c r="O726" t="str">
        <f>INDEX(CoverageTable[Deductible Applies],MATCH(Table18[[#This Row],[Coverage]],CoverageTable[Coverage],0))</f>
        <v>No</v>
      </c>
      <c r="P726" t="str">
        <f>INDEX(CoverageTable[Coverage Limit Applies],MATCH(Table18[[#This Row],[Coverage]],CoverageTable[Coverage],0))</f>
        <v>Yes</v>
      </c>
      <c r="Q726" t="s">
        <v>10</v>
      </c>
      <c r="R726" t="s">
        <v>80</v>
      </c>
      <c r="S726" t="s">
        <v>10</v>
      </c>
      <c r="T726" t="s">
        <v>57</v>
      </c>
      <c r="U726" t="s">
        <v>10</v>
      </c>
      <c r="V726" t="s">
        <v>10</v>
      </c>
      <c r="W726" t="s">
        <v>10</v>
      </c>
    </row>
    <row r="727" spans="1:23" x14ac:dyDescent="0.3">
      <c r="A727" t="s">
        <v>818</v>
      </c>
      <c r="B727" s="7">
        <v>45910</v>
      </c>
      <c r="C727" t="s">
        <v>74</v>
      </c>
      <c r="D727" t="s">
        <v>1097</v>
      </c>
      <c r="E727" s="3" t="s">
        <v>1103</v>
      </c>
      <c r="F727" s="3">
        <v>1</v>
      </c>
      <c r="G727" t="s">
        <v>11</v>
      </c>
      <c r="H727" t="s">
        <v>1110</v>
      </c>
      <c r="I727" t="s">
        <v>30</v>
      </c>
      <c r="J727" t="s">
        <v>54</v>
      </c>
      <c r="K727" t="s">
        <v>10</v>
      </c>
      <c r="L727" t="s">
        <v>10</v>
      </c>
      <c r="M727" t="s">
        <v>10</v>
      </c>
      <c r="N727" t="s">
        <v>57</v>
      </c>
      <c r="O727" t="str">
        <f>INDEX(CoverageTable[Deductible Applies],MATCH(Table18[[#This Row],[Coverage]],CoverageTable[Coverage],0))</f>
        <v>No</v>
      </c>
      <c r="P727" t="str">
        <f>INDEX(CoverageTable[Coverage Limit Applies],MATCH(Table18[[#This Row],[Coverage]],CoverageTable[Coverage],0))</f>
        <v>Yes</v>
      </c>
      <c r="Q727" t="s">
        <v>10</v>
      </c>
      <c r="R727" t="s">
        <v>78</v>
      </c>
      <c r="S727" t="s">
        <v>10</v>
      </c>
      <c r="T727" t="s">
        <v>10</v>
      </c>
      <c r="U727" t="s">
        <v>57</v>
      </c>
      <c r="V727" t="s">
        <v>10</v>
      </c>
      <c r="W727" t="s">
        <v>10</v>
      </c>
    </row>
    <row r="728" spans="1:23" x14ac:dyDescent="0.3">
      <c r="A728" t="s">
        <v>819</v>
      </c>
      <c r="B728" s="7">
        <v>45893</v>
      </c>
      <c r="C728" t="s">
        <v>73</v>
      </c>
      <c r="D728" t="s">
        <v>1099</v>
      </c>
      <c r="E728" s="3">
        <v>5</v>
      </c>
      <c r="F728" s="3">
        <v>1</v>
      </c>
      <c r="G728" t="s">
        <v>11</v>
      </c>
      <c r="H728" t="s">
        <v>1106</v>
      </c>
      <c r="I728" t="s">
        <v>31</v>
      </c>
      <c r="J728" t="s">
        <v>49</v>
      </c>
      <c r="K728" t="s">
        <v>10</v>
      </c>
      <c r="L728" t="s">
        <v>57</v>
      </c>
      <c r="M728" t="s">
        <v>10</v>
      </c>
      <c r="N728" t="s">
        <v>10</v>
      </c>
      <c r="O728" t="str">
        <f>INDEX(CoverageTable[Deductible Applies],MATCH(Table18[[#This Row],[Coverage]],CoverageTable[Coverage],0))</f>
        <v>No</v>
      </c>
      <c r="P728" t="str">
        <f>INDEX(CoverageTable[Coverage Limit Applies],MATCH(Table18[[#This Row],[Coverage]],CoverageTable[Coverage],0))</f>
        <v>Yes</v>
      </c>
      <c r="Q728" t="s">
        <v>10</v>
      </c>
      <c r="R728" t="s">
        <v>80</v>
      </c>
      <c r="S728" t="s">
        <v>57</v>
      </c>
      <c r="T728" t="s">
        <v>10</v>
      </c>
      <c r="U728" t="s">
        <v>10</v>
      </c>
      <c r="V728" t="s">
        <v>10</v>
      </c>
      <c r="W728" t="s">
        <v>57</v>
      </c>
    </row>
    <row r="729" spans="1:23" x14ac:dyDescent="0.3">
      <c r="A729" t="s">
        <v>820</v>
      </c>
      <c r="B729" s="7">
        <v>46007</v>
      </c>
      <c r="C729" t="s">
        <v>72</v>
      </c>
      <c r="D729" t="s">
        <v>1098</v>
      </c>
      <c r="E729" s="3">
        <v>5</v>
      </c>
      <c r="F729" s="3">
        <v>3</v>
      </c>
      <c r="G729" t="s">
        <v>13</v>
      </c>
      <c r="H729" t="s">
        <v>1107</v>
      </c>
      <c r="I729" t="s">
        <v>32</v>
      </c>
      <c r="J729" t="s">
        <v>51</v>
      </c>
      <c r="K729" t="s">
        <v>10</v>
      </c>
      <c r="L729" t="s">
        <v>10</v>
      </c>
      <c r="M729" t="s">
        <v>10</v>
      </c>
      <c r="N729" t="s">
        <v>57</v>
      </c>
      <c r="O729" t="str">
        <f>INDEX(CoverageTable[Deductible Applies],MATCH(Table18[[#This Row],[Coverage]],CoverageTable[Coverage],0))</f>
        <v>Yes</v>
      </c>
      <c r="P729" t="str">
        <f>INDEX(CoverageTable[Coverage Limit Applies],MATCH(Table18[[#This Row],[Coverage]],CoverageTable[Coverage],0))</f>
        <v>No</v>
      </c>
      <c r="Q729" t="s">
        <v>79</v>
      </c>
      <c r="R729" t="s">
        <v>10</v>
      </c>
      <c r="S729" t="s">
        <v>57</v>
      </c>
      <c r="T729" t="s">
        <v>57</v>
      </c>
      <c r="U729" t="s">
        <v>10</v>
      </c>
      <c r="V729" t="s">
        <v>10</v>
      </c>
      <c r="W729" t="s">
        <v>10</v>
      </c>
    </row>
    <row r="730" spans="1:23" x14ac:dyDescent="0.3">
      <c r="A730" t="s">
        <v>821</v>
      </c>
      <c r="B730" s="7">
        <v>45814</v>
      </c>
      <c r="C730" t="s">
        <v>70</v>
      </c>
      <c r="D730" t="s">
        <v>1099</v>
      </c>
      <c r="E730" s="3">
        <v>6</v>
      </c>
      <c r="F730" s="3">
        <v>0</v>
      </c>
      <c r="G730" t="s">
        <v>13</v>
      </c>
      <c r="H730" t="s">
        <v>1106</v>
      </c>
      <c r="I730" t="s">
        <v>44</v>
      </c>
      <c r="J730" t="s">
        <v>52</v>
      </c>
      <c r="K730" t="s">
        <v>10</v>
      </c>
      <c r="L730" t="s">
        <v>10</v>
      </c>
      <c r="M730" t="s">
        <v>57</v>
      </c>
      <c r="N730" t="s">
        <v>57</v>
      </c>
      <c r="O730" t="str">
        <f>INDEX(CoverageTable[Deductible Applies],MATCH(Table18[[#This Row],[Coverage]],CoverageTable[Coverage],0))</f>
        <v>No</v>
      </c>
      <c r="P730" t="str">
        <f>INDEX(CoverageTable[Coverage Limit Applies],MATCH(Table18[[#This Row],[Coverage]],CoverageTable[Coverage],0))</f>
        <v>Yes</v>
      </c>
      <c r="Q730" t="s">
        <v>10</v>
      </c>
      <c r="R730" t="s">
        <v>79</v>
      </c>
      <c r="S730" t="s">
        <v>57</v>
      </c>
      <c r="T730" t="s">
        <v>10</v>
      </c>
      <c r="U730" t="s">
        <v>57</v>
      </c>
      <c r="V730" t="s">
        <v>10</v>
      </c>
      <c r="W730" t="s">
        <v>10</v>
      </c>
    </row>
    <row r="731" spans="1:23" x14ac:dyDescent="0.3">
      <c r="A731" t="s">
        <v>822</v>
      </c>
      <c r="B731" s="7">
        <v>46089</v>
      </c>
      <c r="C731" t="s">
        <v>71</v>
      </c>
      <c r="D731" t="s">
        <v>1097</v>
      </c>
      <c r="E731" s="3">
        <v>7</v>
      </c>
      <c r="F731" s="3">
        <v>1</v>
      </c>
      <c r="G731" t="s">
        <v>10</v>
      </c>
      <c r="H731" t="s">
        <v>1108</v>
      </c>
      <c r="I731" t="s">
        <v>43</v>
      </c>
      <c r="J731" t="s">
        <v>48</v>
      </c>
      <c r="K731" t="s">
        <v>10</v>
      </c>
      <c r="L731" t="s">
        <v>10</v>
      </c>
      <c r="M731" t="s">
        <v>10</v>
      </c>
      <c r="N731" t="s">
        <v>10</v>
      </c>
      <c r="O731" t="str">
        <f>INDEX(CoverageTable[Deductible Applies],MATCH(Table18[[#This Row],[Coverage]],CoverageTable[Coverage],0))</f>
        <v>Yes</v>
      </c>
      <c r="P731" t="str">
        <f>INDEX(CoverageTable[Coverage Limit Applies],MATCH(Table18[[#This Row],[Coverage]],CoverageTable[Coverage],0))</f>
        <v>No</v>
      </c>
      <c r="Q731" t="s">
        <v>80</v>
      </c>
      <c r="R731" t="s">
        <v>10</v>
      </c>
      <c r="S731" t="s">
        <v>10</v>
      </c>
      <c r="T731" t="s">
        <v>57</v>
      </c>
      <c r="U731" t="s">
        <v>57</v>
      </c>
      <c r="V731" t="s">
        <v>10</v>
      </c>
      <c r="W731" t="s">
        <v>10</v>
      </c>
    </row>
    <row r="732" spans="1:23" x14ac:dyDescent="0.3">
      <c r="A732" t="s">
        <v>823</v>
      </c>
      <c r="B732" s="7">
        <v>46098</v>
      </c>
      <c r="C732" t="s">
        <v>71</v>
      </c>
      <c r="D732" t="s">
        <v>1102</v>
      </c>
      <c r="E732" s="3">
        <v>1</v>
      </c>
      <c r="F732" s="3" t="s">
        <v>7</v>
      </c>
      <c r="G732" t="s">
        <v>11</v>
      </c>
      <c r="H732" t="s">
        <v>1107</v>
      </c>
      <c r="I732" t="s">
        <v>40</v>
      </c>
      <c r="J732" t="s">
        <v>49</v>
      </c>
      <c r="K732" t="s">
        <v>57</v>
      </c>
      <c r="L732" t="s">
        <v>10</v>
      </c>
      <c r="M732" t="s">
        <v>10</v>
      </c>
      <c r="N732" t="s">
        <v>57</v>
      </c>
      <c r="O732" t="str">
        <f>INDEX(CoverageTable[Deductible Applies],MATCH(Table18[[#This Row],[Coverage]],CoverageTable[Coverage],0))</f>
        <v>Yes</v>
      </c>
      <c r="P732" t="str">
        <f>INDEX(CoverageTable[Coverage Limit Applies],MATCH(Table18[[#This Row],[Coverage]],CoverageTable[Coverage],0))</f>
        <v>No</v>
      </c>
      <c r="Q732" t="s">
        <v>79</v>
      </c>
      <c r="R732" t="s">
        <v>10</v>
      </c>
      <c r="S732" t="s">
        <v>10</v>
      </c>
      <c r="T732" t="s">
        <v>10</v>
      </c>
      <c r="U732" t="s">
        <v>10</v>
      </c>
      <c r="V732" t="s">
        <v>10</v>
      </c>
      <c r="W732" t="s">
        <v>10</v>
      </c>
    </row>
    <row r="733" spans="1:23" x14ac:dyDescent="0.3">
      <c r="A733" t="s">
        <v>824</v>
      </c>
      <c r="B733" s="7">
        <v>46096</v>
      </c>
      <c r="C733" t="s">
        <v>70</v>
      </c>
      <c r="D733" t="s">
        <v>1102</v>
      </c>
      <c r="E733" s="3">
        <v>1</v>
      </c>
      <c r="F733" s="3">
        <v>3</v>
      </c>
      <c r="G733" t="s">
        <v>10</v>
      </c>
      <c r="H733" t="s">
        <v>1108</v>
      </c>
      <c r="I733" t="s">
        <v>41</v>
      </c>
      <c r="J733" t="s">
        <v>53</v>
      </c>
      <c r="K733" t="s">
        <v>10</v>
      </c>
      <c r="L733" t="s">
        <v>10</v>
      </c>
      <c r="M733" t="s">
        <v>10</v>
      </c>
      <c r="N733" t="s">
        <v>10</v>
      </c>
      <c r="O733" t="str">
        <f>INDEX(CoverageTable[Deductible Applies],MATCH(Table18[[#This Row],[Coverage]],CoverageTable[Coverage],0))</f>
        <v>No</v>
      </c>
      <c r="P733" t="str">
        <f>INDEX(CoverageTable[Coverage Limit Applies],MATCH(Table18[[#This Row],[Coverage]],CoverageTable[Coverage],0))</f>
        <v>Yes</v>
      </c>
      <c r="Q733" t="s">
        <v>10</v>
      </c>
      <c r="R733" t="s">
        <v>80</v>
      </c>
      <c r="S733" t="s">
        <v>57</v>
      </c>
      <c r="T733" t="s">
        <v>10</v>
      </c>
      <c r="U733" t="s">
        <v>10</v>
      </c>
      <c r="V733" t="s">
        <v>57</v>
      </c>
      <c r="W733" t="s">
        <v>10</v>
      </c>
    </row>
    <row r="734" spans="1:23" x14ac:dyDescent="0.3">
      <c r="A734" t="s">
        <v>825</v>
      </c>
      <c r="B734" s="7">
        <v>45797</v>
      </c>
      <c r="C734" t="s">
        <v>70</v>
      </c>
      <c r="D734" t="s">
        <v>1100</v>
      </c>
      <c r="E734" s="3">
        <v>6</v>
      </c>
      <c r="F734" s="3" t="s">
        <v>7</v>
      </c>
      <c r="G734" t="s">
        <v>12</v>
      </c>
      <c r="H734" t="s">
        <v>1110</v>
      </c>
      <c r="I734" t="s">
        <v>38</v>
      </c>
      <c r="J734" t="s">
        <v>48</v>
      </c>
      <c r="K734" t="s">
        <v>10</v>
      </c>
      <c r="L734" t="s">
        <v>10</v>
      </c>
      <c r="M734" t="s">
        <v>10</v>
      </c>
      <c r="N734" t="s">
        <v>10</v>
      </c>
      <c r="O734" t="str">
        <f>INDEX(CoverageTable[Deductible Applies],MATCH(Table18[[#This Row],[Coverage]],CoverageTable[Coverage],0))</f>
        <v>No</v>
      </c>
      <c r="P734" t="str">
        <f>INDEX(CoverageTable[Coverage Limit Applies],MATCH(Table18[[#This Row],[Coverage]],CoverageTable[Coverage],0))</f>
        <v>Yes</v>
      </c>
      <c r="Q734" t="s">
        <v>10</v>
      </c>
      <c r="R734" t="s">
        <v>79</v>
      </c>
      <c r="S734" t="s">
        <v>10</v>
      </c>
      <c r="T734" t="s">
        <v>10</v>
      </c>
      <c r="U734" t="s">
        <v>10</v>
      </c>
      <c r="V734" t="s">
        <v>57</v>
      </c>
      <c r="W734" t="s">
        <v>10</v>
      </c>
    </row>
    <row r="735" spans="1:23" x14ac:dyDescent="0.3">
      <c r="A735" t="s">
        <v>826</v>
      </c>
      <c r="B735" s="7">
        <v>45812</v>
      </c>
      <c r="C735" t="s">
        <v>70</v>
      </c>
      <c r="D735" t="s">
        <v>1100</v>
      </c>
      <c r="E735" s="3">
        <v>7</v>
      </c>
      <c r="F735" s="3">
        <v>3</v>
      </c>
      <c r="G735" t="s">
        <v>13</v>
      </c>
      <c r="H735" t="s">
        <v>1108</v>
      </c>
      <c r="I735" t="s">
        <v>38</v>
      </c>
      <c r="J735" t="s">
        <v>54</v>
      </c>
      <c r="K735" t="s">
        <v>10</v>
      </c>
      <c r="L735" t="s">
        <v>10</v>
      </c>
      <c r="M735" t="s">
        <v>10</v>
      </c>
      <c r="N735" t="s">
        <v>10</v>
      </c>
      <c r="O735" t="str">
        <f>INDEX(CoverageTable[Deductible Applies],MATCH(Table18[[#This Row],[Coverage]],CoverageTable[Coverage],0))</f>
        <v>No</v>
      </c>
      <c r="P735" t="str">
        <f>INDEX(CoverageTable[Coverage Limit Applies],MATCH(Table18[[#This Row],[Coverage]],CoverageTable[Coverage],0))</f>
        <v>Yes</v>
      </c>
      <c r="Q735" t="s">
        <v>10</v>
      </c>
      <c r="R735" t="s">
        <v>80</v>
      </c>
      <c r="S735" t="s">
        <v>10</v>
      </c>
      <c r="T735" t="s">
        <v>10</v>
      </c>
      <c r="U735" t="s">
        <v>10</v>
      </c>
      <c r="V735" t="s">
        <v>10</v>
      </c>
      <c r="W735" t="s">
        <v>10</v>
      </c>
    </row>
    <row r="736" spans="1:23" x14ac:dyDescent="0.3">
      <c r="A736" t="s">
        <v>827</v>
      </c>
      <c r="B736" s="7">
        <v>46075</v>
      </c>
      <c r="C736" t="s">
        <v>70</v>
      </c>
      <c r="D736" t="s">
        <v>1098</v>
      </c>
      <c r="E736" s="3">
        <v>3</v>
      </c>
      <c r="F736" s="3">
        <v>2</v>
      </c>
      <c r="G736" t="s">
        <v>10</v>
      </c>
      <c r="H736" t="s">
        <v>1106</v>
      </c>
      <c r="I736" t="s">
        <v>29</v>
      </c>
      <c r="J736" t="s">
        <v>49</v>
      </c>
      <c r="K736" t="s">
        <v>10</v>
      </c>
      <c r="L736" t="s">
        <v>10</v>
      </c>
      <c r="M736" t="s">
        <v>57</v>
      </c>
      <c r="N736" t="s">
        <v>10</v>
      </c>
      <c r="O736" t="str">
        <f>INDEX(CoverageTable[Deductible Applies],MATCH(Table18[[#This Row],[Coverage]],CoverageTable[Coverage],0))</f>
        <v>No</v>
      </c>
      <c r="P736" t="str">
        <f>INDEX(CoverageTable[Coverage Limit Applies],MATCH(Table18[[#This Row],[Coverage]],CoverageTable[Coverage],0))</f>
        <v>Yes</v>
      </c>
      <c r="Q736" t="s">
        <v>10</v>
      </c>
      <c r="R736" t="s">
        <v>78</v>
      </c>
      <c r="S736" t="s">
        <v>10</v>
      </c>
      <c r="T736" t="s">
        <v>57</v>
      </c>
      <c r="U736" t="s">
        <v>10</v>
      </c>
      <c r="V736" t="s">
        <v>10</v>
      </c>
      <c r="W736" t="s">
        <v>10</v>
      </c>
    </row>
    <row r="737" spans="1:23" x14ac:dyDescent="0.3">
      <c r="A737" t="s">
        <v>828</v>
      </c>
      <c r="B737" s="7">
        <v>45783</v>
      </c>
      <c r="C737" t="s">
        <v>73</v>
      </c>
      <c r="D737" t="s">
        <v>1100</v>
      </c>
      <c r="E737" s="3">
        <v>4</v>
      </c>
      <c r="F737" s="3">
        <v>3</v>
      </c>
      <c r="G737" t="s">
        <v>13</v>
      </c>
      <c r="H737" t="s">
        <v>1108</v>
      </c>
      <c r="I737" t="s">
        <v>24</v>
      </c>
      <c r="J737" t="s">
        <v>53</v>
      </c>
      <c r="K737" t="s">
        <v>10</v>
      </c>
      <c r="L737" t="s">
        <v>10</v>
      </c>
      <c r="M737" t="s">
        <v>10</v>
      </c>
      <c r="N737" t="s">
        <v>10</v>
      </c>
      <c r="O737" t="str">
        <f>INDEX(CoverageTable[Deductible Applies],MATCH(Table18[[#This Row],[Coverage]],CoverageTable[Coverage],0))</f>
        <v>No</v>
      </c>
      <c r="P737" t="str">
        <f>INDEX(CoverageTable[Coverage Limit Applies],MATCH(Table18[[#This Row],[Coverage]],CoverageTable[Coverage],0))</f>
        <v>Yes</v>
      </c>
      <c r="Q737" t="s">
        <v>10</v>
      </c>
      <c r="R737" t="s">
        <v>78</v>
      </c>
      <c r="S737" t="s">
        <v>10</v>
      </c>
      <c r="T737" t="s">
        <v>57</v>
      </c>
      <c r="U737" t="s">
        <v>10</v>
      </c>
      <c r="V737" t="s">
        <v>10</v>
      </c>
      <c r="W737" t="s">
        <v>10</v>
      </c>
    </row>
    <row r="738" spans="1:23" x14ac:dyDescent="0.3">
      <c r="A738" t="s">
        <v>829</v>
      </c>
      <c r="B738" s="7">
        <v>45875</v>
      </c>
      <c r="C738" t="s">
        <v>74</v>
      </c>
      <c r="D738" t="s">
        <v>1102</v>
      </c>
      <c r="E738" s="3">
        <v>1</v>
      </c>
      <c r="F738" s="3">
        <v>1</v>
      </c>
      <c r="G738" t="s">
        <v>10</v>
      </c>
      <c r="H738" t="s">
        <v>1106</v>
      </c>
      <c r="I738" t="s">
        <v>36</v>
      </c>
      <c r="J738" t="s">
        <v>50</v>
      </c>
      <c r="K738" t="s">
        <v>10</v>
      </c>
      <c r="L738" t="s">
        <v>10</v>
      </c>
      <c r="M738" t="s">
        <v>10</v>
      </c>
      <c r="N738" t="s">
        <v>10</v>
      </c>
      <c r="O738" t="str">
        <f>INDEX(CoverageTable[Deductible Applies],MATCH(Table18[[#This Row],[Coverage]],CoverageTable[Coverage],0))</f>
        <v>No</v>
      </c>
      <c r="P738" t="str">
        <f>INDEX(CoverageTable[Coverage Limit Applies],MATCH(Table18[[#This Row],[Coverage]],CoverageTable[Coverage],0))</f>
        <v>Yes</v>
      </c>
      <c r="Q738" t="s">
        <v>10</v>
      </c>
      <c r="R738" t="s">
        <v>79</v>
      </c>
      <c r="S738" t="s">
        <v>10</v>
      </c>
      <c r="T738" t="s">
        <v>10</v>
      </c>
      <c r="U738" t="s">
        <v>10</v>
      </c>
      <c r="V738" t="s">
        <v>10</v>
      </c>
      <c r="W738" t="s">
        <v>10</v>
      </c>
    </row>
    <row r="739" spans="1:23" x14ac:dyDescent="0.3">
      <c r="A739" t="s">
        <v>830</v>
      </c>
      <c r="B739" s="7">
        <v>46065</v>
      </c>
      <c r="C739" t="s">
        <v>73</v>
      </c>
      <c r="D739" t="s">
        <v>1100</v>
      </c>
      <c r="E739" s="3">
        <v>3</v>
      </c>
      <c r="F739" s="3">
        <v>4</v>
      </c>
      <c r="G739" t="s">
        <v>10</v>
      </c>
      <c r="H739" t="s">
        <v>1107</v>
      </c>
      <c r="I739" t="s">
        <v>31</v>
      </c>
      <c r="J739" t="s">
        <v>54</v>
      </c>
      <c r="K739" t="s">
        <v>10</v>
      </c>
      <c r="L739" t="s">
        <v>10</v>
      </c>
      <c r="M739" t="s">
        <v>10</v>
      </c>
      <c r="N739" t="s">
        <v>57</v>
      </c>
      <c r="O739" t="str">
        <f>INDEX(CoverageTable[Deductible Applies],MATCH(Table18[[#This Row],[Coverage]],CoverageTable[Coverage],0))</f>
        <v>No</v>
      </c>
      <c r="P739" t="str">
        <f>INDEX(CoverageTable[Coverage Limit Applies],MATCH(Table18[[#This Row],[Coverage]],CoverageTable[Coverage],0))</f>
        <v>Yes</v>
      </c>
      <c r="Q739" t="s">
        <v>10</v>
      </c>
      <c r="R739" t="s">
        <v>80</v>
      </c>
      <c r="S739" t="s">
        <v>10</v>
      </c>
      <c r="T739" t="s">
        <v>57</v>
      </c>
      <c r="U739" t="s">
        <v>10</v>
      </c>
      <c r="V739" t="s">
        <v>57</v>
      </c>
      <c r="W739" t="s">
        <v>10</v>
      </c>
    </row>
    <row r="740" spans="1:23" x14ac:dyDescent="0.3">
      <c r="A740" t="s">
        <v>831</v>
      </c>
      <c r="B740" s="7">
        <v>46101</v>
      </c>
      <c r="C740" t="s">
        <v>71</v>
      </c>
      <c r="D740" t="s">
        <v>1101</v>
      </c>
      <c r="E740" s="3">
        <v>1</v>
      </c>
      <c r="F740" s="3">
        <v>0</v>
      </c>
      <c r="G740" t="s">
        <v>10</v>
      </c>
      <c r="H740" t="s">
        <v>1109</v>
      </c>
      <c r="I740" t="s">
        <v>24</v>
      </c>
      <c r="J740" t="s">
        <v>48</v>
      </c>
      <c r="K740" t="s">
        <v>10</v>
      </c>
      <c r="L740" t="s">
        <v>10</v>
      </c>
      <c r="M740" t="s">
        <v>10</v>
      </c>
      <c r="N740" t="s">
        <v>10</v>
      </c>
      <c r="O740" t="str">
        <f>INDEX(CoverageTable[Deductible Applies],MATCH(Table18[[#This Row],[Coverage]],CoverageTable[Coverage],0))</f>
        <v>Yes</v>
      </c>
      <c r="P740" t="str">
        <f>INDEX(CoverageTable[Coverage Limit Applies],MATCH(Table18[[#This Row],[Coverage]],CoverageTable[Coverage],0))</f>
        <v>No</v>
      </c>
      <c r="Q740" t="s">
        <v>78</v>
      </c>
      <c r="R740" t="s">
        <v>10</v>
      </c>
      <c r="S740" t="s">
        <v>10</v>
      </c>
      <c r="T740" t="s">
        <v>57</v>
      </c>
      <c r="U740" t="s">
        <v>10</v>
      </c>
      <c r="V740" t="s">
        <v>57</v>
      </c>
      <c r="W740" t="s">
        <v>10</v>
      </c>
    </row>
    <row r="741" spans="1:23" x14ac:dyDescent="0.3">
      <c r="A741" t="s">
        <v>832</v>
      </c>
      <c r="B741" s="7">
        <v>46056</v>
      </c>
      <c r="C741" t="s">
        <v>73</v>
      </c>
      <c r="D741" t="s">
        <v>1101</v>
      </c>
      <c r="E741" s="3">
        <v>1</v>
      </c>
      <c r="F741" s="3">
        <v>1</v>
      </c>
      <c r="G741" t="s">
        <v>10</v>
      </c>
      <c r="H741" t="s">
        <v>1107</v>
      </c>
      <c r="I741" t="s">
        <v>24</v>
      </c>
      <c r="J741" t="s">
        <v>48</v>
      </c>
      <c r="K741" t="s">
        <v>10</v>
      </c>
      <c r="L741" t="s">
        <v>10</v>
      </c>
      <c r="M741" t="s">
        <v>10</v>
      </c>
      <c r="N741" t="s">
        <v>10</v>
      </c>
      <c r="O741" t="str">
        <f>INDEX(CoverageTable[Deductible Applies],MATCH(Table18[[#This Row],[Coverage]],CoverageTable[Coverage],0))</f>
        <v>No</v>
      </c>
      <c r="P741" t="str">
        <f>INDEX(CoverageTable[Coverage Limit Applies],MATCH(Table18[[#This Row],[Coverage]],CoverageTable[Coverage],0))</f>
        <v>Yes</v>
      </c>
      <c r="Q741" t="s">
        <v>10</v>
      </c>
      <c r="R741" t="s">
        <v>78</v>
      </c>
      <c r="S741" t="s">
        <v>10</v>
      </c>
      <c r="T741" t="s">
        <v>10</v>
      </c>
      <c r="U741" t="s">
        <v>57</v>
      </c>
      <c r="V741" t="s">
        <v>10</v>
      </c>
      <c r="W741" t="s">
        <v>10</v>
      </c>
    </row>
    <row r="742" spans="1:23" x14ac:dyDescent="0.3">
      <c r="A742" t="s">
        <v>833</v>
      </c>
      <c r="B742" s="7">
        <v>46051</v>
      </c>
      <c r="C742" t="s">
        <v>71</v>
      </c>
      <c r="D742" t="s">
        <v>1099</v>
      </c>
      <c r="E742" s="3">
        <v>3</v>
      </c>
      <c r="F742" s="3">
        <v>3</v>
      </c>
      <c r="G742" t="s">
        <v>10</v>
      </c>
      <c r="H742" t="s">
        <v>1107</v>
      </c>
      <c r="I742" t="s">
        <v>24</v>
      </c>
      <c r="J742" t="s">
        <v>53</v>
      </c>
      <c r="K742" t="s">
        <v>10</v>
      </c>
      <c r="L742" t="s">
        <v>10</v>
      </c>
      <c r="M742" t="s">
        <v>57</v>
      </c>
      <c r="N742" t="s">
        <v>10</v>
      </c>
      <c r="O742" t="str">
        <f>INDEX(CoverageTable[Deductible Applies],MATCH(Table18[[#This Row],[Coverage]],CoverageTable[Coverage],0))</f>
        <v>Yes</v>
      </c>
      <c r="P742" t="str">
        <f>INDEX(CoverageTable[Coverage Limit Applies],MATCH(Table18[[#This Row],[Coverage]],CoverageTable[Coverage],0))</f>
        <v>No</v>
      </c>
      <c r="Q742" t="s">
        <v>78</v>
      </c>
      <c r="R742" t="s">
        <v>10</v>
      </c>
      <c r="S742" t="s">
        <v>10</v>
      </c>
      <c r="T742" t="s">
        <v>10</v>
      </c>
      <c r="U742" t="s">
        <v>10</v>
      </c>
      <c r="V742" t="s">
        <v>10</v>
      </c>
      <c r="W742" t="s">
        <v>10</v>
      </c>
    </row>
    <row r="743" spans="1:23" x14ac:dyDescent="0.3">
      <c r="A743" t="s">
        <v>834</v>
      </c>
      <c r="B743" s="7">
        <v>45911</v>
      </c>
      <c r="C743" t="s">
        <v>74</v>
      </c>
      <c r="D743" t="s">
        <v>1102</v>
      </c>
      <c r="E743" s="3">
        <v>3</v>
      </c>
      <c r="F743" s="3">
        <v>3</v>
      </c>
      <c r="G743" t="s">
        <v>10</v>
      </c>
      <c r="H743" t="s">
        <v>1107</v>
      </c>
      <c r="I743" t="s">
        <v>35</v>
      </c>
      <c r="J743" t="s">
        <v>49</v>
      </c>
      <c r="K743" t="s">
        <v>10</v>
      </c>
      <c r="L743" t="s">
        <v>10</v>
      </c>
      <c r="M743" t="s">
        <v>10</v>
      </c>
      <c r="N743" t="s">
        <v>57</v>
      </c>
      <c r="O743" t="str">
        <f>INDEX(CoverageTable[Deductible Applies],MATCH(Table18[[#This Row],[Coverage]],CoverageTable[Coverage],0))</f>
        <v>No</v>
      </c>
      <c r="P743" t="str">
        <f>INDEX(CoverageTable[Coverage Limit Applies],MATCH(Table18[[#This Row],[Coverage]],CoverageTable[Coverage],0))</f>
        <v>Yes</v>
      </c>
      <c r="Q743" t="s">
        <v>10</v>
      </c>
      <c r="R743" t="s">
        <v>78</v>
      </c>
      <c r="S743" t="s">
        <v>10</v>
      </c>
      <c r="T743" t="s">
        <v>10</v>
      </c>
      <c r="U743" t="s">
        <v>57</v>
      </c>
      <c r="V743" t="s">
        <v>10</v>
      </c>
      <c r="W743" t="s">
        <v>10</v>
      </c>
    </row>
    <row r="744" spans="1:23" x14ac:dyDescent="0.3">
      <c r="A744" t="s">
        <v>835</v>
      </c>
      <c r="B744" s="7">
        <v>45785</v>
      </c>
      <c r="C744" t="s">
        <v>71</v>
      </c>
      <c r="D744" t="s">
        <v>1102</v>
      </c>
      <c r="E744" s="3">
        <v>7</v>
      </c>
      <c r="F744" s="3" t="s">
        <v>7</v>
      </c>
      <c r="G744" t="s">
        <v>11</v>
      </c>
      <c r="H744" t="s">
        <v>1110</v>
      </c>
      <c r="I744" t="s">
        <v>24</v>
      </c>
      <c r="J744" t="s">
        <v>53</v>
      </c>
      <c r="K744" t="s">
        <v>57</v>
      </c>
      <c r="L744" t="s">
        <v>57</v>
      </c>
      <c r="M744" t="s">
        <v>10</v>
      </c>
      <c r="N744" t="s">
        <v>10</v>
      </c>
      <c r="O744" t="str">
        <f>INDEX(CoverageTable[Deductible Applies],MATCH(Table18[[#This Row],[Coverage]],CoverageTable[Coverage],0))</f>
        <v>Yes</v>
      </c>
      <c r="P744" t="str">
        <f>INDEX(CoverageTable[Coverage Limit Applies],MATCH(Table18[[#This Row],[Coverage]],CoverageTable[Coverage],0))</f>
        <v>No</v>
      </c>
      <c r="Q744" t="s">
        <v>79</v>
      </c>
      <c r="R744" t="s">
        <v>10</v>
      </c>
      <c r="S744" t="s">
        <v>10</v>
      </c>
      <c r="T744" t="s">
        <v>57</v>
      </c>
      <c r="U744" t="s">
        <v>10</v>
      </c>
      <c r="V744" t="s">
        <v>10</v>
      </c>
      <c r="W744" t="s">
        <v>10</v>
      </c>
    </row>
    <row r="745" spans="1:23" x14ac:dyDescent="0.3">
      <c r="A745" t="s">
        <v>836</v>
      </c>
      <c r="B745" s="7">
        <v>45820</v>
      </c>
      <c r="C745" t="s">
        <v>70</v>
      </c>
      <c r="D745" t="s">
        <v>1100</v>
      </c>
      <c r="E745" s="3">
        <v>1</v>
      </c>
      <c r="F745" s="3" t="s">
        <v>7</v>
      </c>
      <c r="G745" t="s">
        <v>10</v>
      </c>
      <c r="H745" t="s">
        <v>1106</v>
      </c>
      <c r="I745" t="s">
        <v>34</v>
      </c>
      <c r="J745" t="s">
        <v>53</v>
      </c>
      <c r="K745" t="s">
        <v>10</v>
      </c>
      <c r="L745" t="s">
        <v>10</v>
      </c>
      <c r="M745" t="s">
        <v>10</v>
      </c>
      <c r="N745" t="s">
        <v>10</v>
      </c>
      <c r="O745" t="str">
        <f>INDEX(CoverageTable[Deductible Applies],MATCH(Table18[[#This Row],[Coverage]],CoverageTable[Coverage],0))</f>
        <v>No</v>
      </c>
      <c r="P745" t="str">
        <f>INDEX(CoverageTable[Coverage Limit Applies],MATCH(Table18[[#This Row],[Coverage]],CoverageTable[Coverage],0))</f>
        <v>Yes</v>
      </c>
      <c r="Q745" t="s">
        <v>10</v>
      </c>
      <c r="R745" t="s">
        <v>79</v>
      </c>
      <c r="S745" t="s">
        <v>10</v>
      </c>
      <c r="T745" t="s">
        <v>10</v>
      </c>
      <c r="U745" t="s">
        <v>10</v>
      </c>
      <c r="V745" t="s">
        <v>10</v>
      </c>
      <c r="W745" t="s">
        <v>10</v>
      </c>
    </row>
    <row r="746" spans="1:23" x14ac:dyDescent="0.3">
      <c r="A746" t="s">
        <v>837</v>
      </c>
      <c r="B746" s="7">
        <v>45798</v>
      </c>
      <c r="C746" t="s">
        <v>70</v>
      </c>
      <c r="D746" t="s">
        <v>1099</v>
      </c>
      <c r="E746" s="3">
        <v>2</v>
      </c>
      <c r="F746" s="3">
        <v>0</v>
      </c>
      <c r="G746" t="s">
        <v>10</v>
      </c>
      <c r="H746" t="s">
        <v>1110</v>
      </c>
      <c r="I746" t="s">
        <v>33</v>
      </c>
      <c r="J746" t="s">
        <v>54</v>
      </c>
      <c r="K746" t="s">
        <v>10</v>
      </c>
      <c r="L746" t="s">
        <v>10</v>
      </c>
      <c r="M746" t="s">
        <v>10</v>
      </c>
      <c r="N746" t="s">
        <v>57</v>
      </c>
      <c r="O746" t="str">
        <f>INDEX(CoverageTable[Deductible Applies],MATCH(Table18[[#This Row],[Coverage]],CoverageTable[Coverage],0))</f>
        <v>No</v>
      </c>
      <c r="P746" t="str">
        <f>INDEX(CoverageTable[Coverage Limit Applies],MATCH(Table18[[#This Row],[Coverage]],CoverageTable[Coverage],0))</f>
        <v>Yes</v>
      </c>
      <c r="Q746" t="s">
        <v>10</v>
      </c>
      <c r="R746" t="s">
        <v>78</v>
      </c>
      <c r="S746" t="s">
        <v>10</v>
      </c>
      <c r="T746" t="s">
        <v>57</v>
      </c>
      <c r="U746" t="s">
        <v>10</v>
      </c>
      <c r="V746" t="s">
        <v>57</v>
      </c>
      <c r="W746" t="s">
        <v>10</v>
      </c>
    </row>
    <row r="747" spans="1:23" x14ac:dyDescent="0.3">
      <c r="A747" t="s">
        <v>838</v>
      </c>
      <c r="B747" s="7">
        <v>45832</v>
      </c>
      <c r="C747" t="s">
        <v>70</v>
      </c>
      <c r="D747" t="s">
        <v>1100</v>
      </c>
      <c r="E747" s="3">
        <v>3</v>
      </c>
      <c r="F747" s="3">
        <v>1</v>
      </c>
      <c r="G747" t="s">
        <v>10</v>
      </c>
      <c r="H747" t="s">
        <v>1106</v>
      </c>
      <c r="I747" t="s">
        <v>27</v>
      </c>
      <c r="J747" t="s">
        <v>48</v>
      </c>
      <c r="K747" t="s">
        <v>10</v>
      </c>
      <c r="L747" t="s">
        <v>10</v>
      </c>
      <c r="M747" t="s">
        <v>10</v>
      </c>
      <c r="N747" t="s">
        <v>57</v>
      </c>
      <c r="O747" t="str">
        <f>INDEX(CoverageTable[Deductible Applies],MATCH(Table18[[#This Row],[Coverage]],CoverageTable[Coverage],0))</f>
        <v>No</v>
      </c>
      <c r="P747" t="str">
        <f>INDEX(CoverageTable[Coverage Limit Applies],MATCH(Table18[[#This Row],[Coverage]],CoverageTable[Coverage],0))</f>
        <v>Yes</v>
      </c>
      <c r="Q747" t="s">
        <v>10</v>
      </c>
      <c r="R747" t="s">
        <v>78</v>
      </c>
      <c r="S747" t="s">
        <v>10</v>
      </c>
      <c r="T747" t="s">
        <v>57</v>
      </c>
      <c r="U747" t="s">
        <v>57</v>
      </c>
      <c r="V747" t="s">
        <v>10</v>
      </c>
      <c r="W747" t="s">
        <v>10</v>
      </c>
    </row>
    <row r="748" spans="1:23" x14ac:dyDescent="0.3">
      <c r="A748" t="s">
        <v>839</v>
      </c>
      <c r="B748" s="7">
        <v>45829</v>
      </c>
      <c r="C748" t="s">
        <v>73</v>
      </c>
      <c r="D748" t="s">
        <v>1097</v>
      </c>
      <c r="E748" s="3">
        <v>3</v>
      </c>
      <c r="F748" s="3">
        <v>1</v>
      </c>
      <c r="G748" t="s">
        <v>13</v>
      </c>
      <c r="H748" t="s">
        <v>1106</v>
      </c>
      <c r="I748" t="s">
        <v>40</v>
      </c>
      <c r="J748" t="s">
        <v>48</v>
      </c>
      <c r="K748" t="s">
        <v>10</v>
      </c>
      <c r="L748" t="s">
        <v>57</v>
      </c>
      <c r="M748" t="s">
        <v>10</v>
      </c>
      <c r="N748" t="s">
        <v>10</v>
      </c>
      <c r="O748" t="str">
        <f>INDEX(CoverageTable[Deductible Applies],MATCH(Table18[[#This Row],[Coverage]],CoverageTable[Coverage],0))</f>
        <v>No</v>
      </c>
      <c r="P748" t="str">
        <f>INDEX(CoverageTable[Coverage Limit Applies],MATCH(Table18[[#This Row],[Coverage]],CoverageTable[Coverage],0))</f>
        <v>Yes</v>
      </c>
      <c r="Q748" t="s">
        <v>10</v>
      </c>
      <c r="R748" t="s">
        <v>79</v>
      </c>
      <c r="S748" t="s">
        <v>10</v>
      </c>
      <c r="T748" t="s">
        <v>10</v>
      </c>
      <c r="U748" t="s">
        <v>10</v>
      </c>
      <c r="V748" t="s">
        <v>10</v>
      </c>
      <c r="W748" t="s">
        <v>10</v>
      </c>
    </row>
    <row r="749" spans="1:23" x14ac:dyDescent="0.3">
      <c r="A749" t="s">
        <v>840</v>
      </c>
      <c r="B749" s="7">
        <v>46123</v>
      </c>
      <c r="C749" t="s">
        <v>70</v>
      </c>
      <c r="D749" t="s">
        <v>1101</v>
      </c>
      <c r="E749" s="3">
        <v>4</v>
      </c>
      <c r="F749" s="3">
        <v>2</v>
      </c>
      <c r="G749" t="s">
        <v>11</v>
      </c>
      <c r="H749" t="s">
        <v>1107</v>
      </c>
      <c r="I749" t="s">
        <v>22</v>
      </c>
      <c r="J749" t="s">
        <v>48</v>
      </c>
      <c r="K749" t="s">
        <v>10</v>
      </c>
      <c r="L749" t="s">
        <v>57</v>
      </c>
      <c r="M749" t="s">
        <v>10</v>
      </c>
      <c r="N749" t="s">
        <v>57</v>
      </c>
      <c r="O749" t="str">
        <f>INDEX(CoverageTable[Deductible Applies],MATCH(Table18[[#This Row],[Coverage]],CoverageTable[Coverage],0))</f>
        <v>No</v>
      </c>
      <c r="P749" t="str">
        <f>INDEX(CoverageTable[Coverage Limit Applies],MATCH(Table18[[#This Row],[Coverage]],CoverageTable[Coverage],0))</f>
        <v>Yes</v>
      </c>
      <c r="Q749" t="s">
        <v>10</v>
      </c>
      <c r="R749" t="s">
        <v>78</v>
      </c>
      <c r="S749" t="s">
        <v>10</v>
      </c>
      <c r="T749" t="s">
        <v>10</v>
      </c>
      <c r="U749" t="s">
        <v>10</v>
      </c>
      <c r="V749" t="s">
        <v>10</v>
      </c>
      <c r="W749" t="s">
        <v>57</v>
      </c>
    </row>
    <row r="750" spans="1:23" x14ac:dyDescent="0.3">
      <c r="A750" t="s">
        <v>841</v>
      </c>
      <c r="B750" s="7">
        <v>45993</v>
      </c>
      <c r="C750" t="s">
        <v>70</v>
      </c>
      <c r="D750" t="s">
        <v>1100</v>
      </c>
      <c r="E750" s="3">
        <v>1</v>
      </c>
      <c r="F750" s="3">
        <v>2</v>
      </c>
      <c r="G750" t="s">
        <v>10</v>
      </c>
      <c r="H750" t="s">
        <v>1109</v>
      </c>
      <c r="I750" t="s">
        <v>44</v>
      </c>
      <c r="J750" t="s">
        <v>50</v>
      </c>
      <c r="K750" t="s">
        <v>10</v>
      </c>
      <c r="L750" t="s">
        <v>10</v>
      </c>
      <c r="M750" t="s">
        <v>10</v>
      </c>
      <c r="N750" t="s">
        <v>10</v>
      </c>
      <c r="O750" t="str">
        <f>INDEX(CoverageTable[Deductible Applies],MATCH(Table18[[#This Row],[Coverage]],CoverageTable[Coverage],0))</f>
        <v>No</v>
      </c>
      <c r="P750" t="str">
        <f>INDEX(CoverageTable[Coverage Limit Applies],MATCH(Table18[[#This Row],[Coverage]],CoverageTable[Coverage],0))</f>
        <v>Yes</v>
      </c>
      <c r="Q750" t="s">
        <v>10</v>
      </c>
      <c r="R750" t="s">
        <v>78</v>
      </c>
      <c r="S750" t="s">
        <v>10</v>
      </c>
      <c r="T750" t="s">
        <v>10</v>
      </c>
      <c r="U750" t="s">
        <v>57</v>
      </c>
      <c r="V750" t="s">
        <v>10</v>
      </c>
      <c r="W750" t="s">
        <v>10</v>
      </c>
    </row>
    <row r="751" spans="1:23" x14ac:dyDescent="0.3">
      <c r="A751" t="s">
        <v>842</v>
      </c>
      <c r="B751" s="7">
        <v>45942</v>
      </c>
      <c r="C751" t="s">
        <v>70</v>
      </c>
      <c r="D751" t="s">
        <v>1101</v>
      </c>
      <c r="E751" s="3">
        <v>1</v>
      </c>
      <c r="F751" s="3" t="s">
        <v>7</v>
      </c>
      <c r="G751" t="s">
        <v>10</v>
      </c>
      <c r="H751" t="s">
        <v>1106</v>
      </c>
      <c r="I751" t="s">
        <v>42</v>
      </c>
      <c r="J751" t="s">
        <v>50</v>
      </c>
      <c r="K751" t="s">
        <v>10</v>
      </c>
      <c r="L751" t="s">
        <v>10</v>
      </c>
      <c r="M751" t="s">
        <v>10</v>
      </c>
      <c r="N751" t="s">
        <v>10</v>
      </c>
      <c r="O751" t="str">
        <f>INDEX(CoverageTable[Deductible Applies],MATCH(Table18[[#This Row],[Coverage]],CoverageTable[Coverage],0))</f>
        <v>No</v>
      </c>
      <c r="P751" t="str">
        <f>INDEX(CoverageTable[Coverage Limit Applies],MATCH(Table18[[#This Row],[Coverage]],CoverageTable[Coverage],0))</f>
        <v>Yes</v>
      </c>
      <c r="Q751" t="s">
        <v>10</v>
      </c>
      <c r="R751" t="s">
        <v>79</v>
      </c>
      <c r="S751" t="s">
        <v>10</v>
      </c>
      <c r="T751" t="s">
        <v>57</v>
      </c>
      <c r="U751" t="s">
        <v>10</v>
      </c>
      <c r="V751" t="s">
        <v>57</v>
      </c>
      <c r="W751" t="s">
        <v>10</v>
      </c>
    </row>
    <row r="752" spans="1:23" x14ac:dyDescent="0.3">
      <c r="A752" t="s">
        <v>843</v>
      </c>
      <c r="B752" s="7">
        <v>46048</v>
      </c>
      <c r="C752" t="s">
        <v>71</v>
      </c>
      <c r="D752" t="s">
        <v>1097</v>
      </c>
      <c r="E752" s="3">
        <v>6</v>
      </c>
      <c r="F752" s="3">
        <v>0</v>
      </c>
      <c r="G752" t="s">
        <v>10</v>
      </c>
      <c r="H752" t="s">
        <v>1106</v>
      </c>
      <c r="I752" t="s">
        <v>42</v>
      </c>
      <c r="J752" t="s">
        <v>51</v>
      </c>
      <c r="K752" t="s">
        <v>10</v>
      </c>
      <c r="L752" t="s">
        <v>57</v>
      </c>
      <c r="M752" t="s">
        <v>10</v>
      </c>
      <c r="N752" t="s">
        <v>57</v>
      </c>
      <c r="O752" t="str">
        <f>INDEX(CoverageTable[Deductible Applies],MATCH(Table18[[#This Row],[Coverage]],CoverageTable[Coverage],0))</f>
        <v>Yes</v>
      </c>
      <c r="P752" t="str">
        <f>INDEX(CoverageTable[Coverage Limit Applies],MATCH(Table18[[#This Row],[Coverage]],CoverageTable[Coverage],0))</f>
        <v>No</v>
      </c>
      <c r="Q752" t="s">
        <v>78</v>
      </c>
      <c r="R752" t="s">
        <v>10</v>
      </c>
      <c r="S752" t="s">
        <v>10</v>
      </c>
      <c r="T752" t="s">
        <v>57</v>
      </c>
      <c r="U752" t="s">
        <v>10</v>
      </c>
      <c r="V752" t="s">
        <v>10</v>
      </c>
      <c r="W752" t="s">
        <v>10</v>
      </c>
    </row>
    <row r="753" spans="1:23" x14ac:dyDescent="0.3">
      <c r="A753" t="s">
        <v>844</v>
      </c>
      <c r="B753" s="7">
        <v>45827</v>
      </c>
      <c r="C753" t="s">
        <v>74</v>
      </c>
      <c r="D753" t="s">
        <v>1097</v>
      </c>
      <c r="E753" s="3">
        <v>6</v>
      </c>
      <c r="F753" s="3">
        <v>0</v>
      </c>
      <c r="G753" t="s">
        <v>10</v>
      </c>
      <c r="H753" t="s">
        <v>1107</v>
      </c>
      <c r="I753" t="s">
        <v>42</v>
      </c>
      <c r="J753" t="s">
        <v>49</v>
      </c>
      <c r="K753" t="s">
        <v>10</v>
      </c>
      <c r="L753" t="s">
        <v>10</v>
      </c>
      <c r="M753" t="s">
        <v>10</v>
      </c>
      <c r="N753" t="s">
        <v>10</v>
      </c>
      <c r="O753" t="str">
        <f>INDEX(CoverageTable[Deductible Applies],MATCH(Table18[[#This Row],[Coverage]],CoverageTable[Coverage],0))</f>
        <v>No</v>
      </c>
      <c r="P753" t="str">
        <f>INDEX(CoverageTable[Coverage Limit Applies],MATCH(Table18[[#This Row],[Coverage]],CoverageTable[Coverage],0))</f>
        <v>Yes</v>
      </c>
      <c r="Q753" t="s">
        <v>10</v>
      </c>
      <c r="R753" t="s">
        <v>79</v>
      </c>
      <c r="S753" t="s">
        <v>57</v>
      </c>
      <c r="T753" t="s">
        <v>10</v>
      </c>
      <c r="U753" t="s">
        <v>10</v>
      </c>
      <c r="V753" t="s">
        <v>10</v>
      </c>
      <c r="W753" t="s">
        <v>10</v>
      </c>
    </row>
    <row r="754" spans="1:23" x14ac:dyDescent="0.3">
      <c r="A754" t="s">
        <v>845</v>
      </c>
      <c r="B754" s="7">
        <v>45907</v>
      </c>
      <c r="C754" t="s">
        <v>71</v>
      </c>
      <c r="D754" t="s">
        <v>1097</v>
      </c>
      <c r="E754" s="3">
        <v>7</v>
      </c>
      <c r="F754" s="3">
        <v>2</v>
      </c>
      <c r="G754" t="s">
        <v>13</v>
      </c>
      <c r="H754" t="s">
        <v>1108</v>
      </c>
      <c r="I754" t="s">
        <v>29</v>
      </c>
      <c r="J754" t="s">
        <v>48</v>
      </c>
      <c r="K754" t="s">
        <v>10</v>
      </c>
      <c r="L754" t="s">
        <v>10</v>
      </c>
      <c r="M754" t="s">
        <v>57</v>
      </c>
      <c r="N754" t="s">
        <v>10</v>
      </c>
      <c r="O754" t="str">
        <f>INDEX(CoverageTable[Deductible Applies],MATCH(Table18[[#This Row],[Coverage]],CoverageTable[Coverage],0))</f>
        <v>Yes</v>
      </c>
      <c r="P754" t="str">
        <f>INDEX(CoverageTable[Coverage Limit Applies],MATCH(Table18[[#This Row],[Coverage]],CoverageTable[Coverage],0))</f>
        <v>No</v>
      </c>
      <c r="Q754" t="s">
        <v>78</v>
      </c>
      <c r="R754" t="s">
        <v>10</v>
      </c>
      <c r="S754" t="s">
        <v>57</v>
      </c>
      <c r="T754" t="s">
        <v>57</v>
      </c>
      <c r="U754" t="s">
        <v>10</v>
      </c>
      <c r="V754" t="s">
        <v>10</v>
      </c>
      <c r="W754" t="s">
        <v>57</v>
      </c>
    </row>
    <row r="755" spans="1:23" x14ac:dyDescent="0.3">
      <c r="A755" t="s">
        <v>846</v>
      </c>
      <c r="B755" s="7">
        <v>45901</v>
      </c>
      <c r="C755" t="s">
        <v>70</v>
      </c>
      <c r="D755" t="s">
        <v>1098</v>
      </c>
      <c r="E755" s="3">
        <v>7</v>
      </c>
      <c r="F755" s="3">
        <v>0</v>
      </c>
      <c r="G755" t="s">
        <v>13</v>
      </c>
      <c r="H755" t="s">
        <v>1110</v>
      </c>
      <c r="I755" t="s">
        <v>32</v>
      </c>
      <c r="J755" t="s">
        <v>48</v>
      </c>
      <c r="K755" t="s">
        <v>10</v>
      </c>
      <c r="L755" t="s">
        <v>10</v>
      </c>
      <c r="M755" t="s">
        <v>10</v>
      </c>
      <c r="N755" t="s">
        <v>10</v>
      </c>
      <c r="O755" t="str">
        <f>INDEX(CoverageTable[Deductible Applies],MATCH(Table18[[#This Row],[Coverage]],CoverageTable[Coverage],0))</f>
        <v>No</v>
      </c>
      <c r="P755" t="str">
        <f>INDEX(CoverageTable[Coverage Limit Applies],MATCH(Table18[[#This Row],[Coverage]],CoverageTable[Coverage],0))</f>
        <v>Yes</v>
      </c>
      <c r="Q755" t="s">
        <v>10</v>
      </c>
      <c r="R755" t="s">
        <v>78</v>
      </c>
      <c r="S755" t="s">
        <v>10</v>
      </c>
      <c r="T755" t="s">
        <v>10</v>
      </c>
      <c r="U755" t="s">
        <v>10</v>
      </c>
      <c r="V755" t="s">
        <v>10</v>
      </c>
      <c r="W755" t="s">
        <v>10</v>
      </c>
    </row>
    <row r="756" spans="1:23" x14ac:dyDescent="0.3">
      <c r="A756" t="s">
        <v>847</v>
      </c>
      <c r="B756" s="7">
        <v>46143</v>
      </c>
      <c r="C756" t="s">
        <v>74</v>
      </c>
      <c r="D756" t="s">
        <v>1100</v>
      </c>
      <c r="E756" s="3">
        <v>4</v>
      </c>
      <c r="F756" s="3">
        <v>0</v>
      </c>
      <c r="G756" t="s">
        <v>12</v>
      </c>
      <c r="H756" t="s">
        <v>1109</v>
      </c>
      <c r="I756" t="s">
        <v>30</v>
      </c>
      <c r="J756" t="s">
        <v>51</v>
      </c>
      <c r="K756" t="s">
        <v>10</v>
      </c>
      <c r="L756" t="s">
        <v>10</v>
      </c>
      <c r="M756" t="s">
        <v>10</v>
      </c>
      <c r="N756" t="s">
        <v>10</v>
      </c>
      <c r="O756" t="str">
        <f>INDEX(CoverageTable[Deductible Applies],MATCH(Table18[[#This Row],[Coverage]],CoverageTable[Coverage],0))</f>
        <v>No</v>
      </c>
      <c r="P756" t="str">
        <f>INDEX(CoverageTable[Coverage Limit Applies],MATCH(Table18[[#This Row],[Coverage]],CoverageTable[Coverage],0))</f>
        <v>Yes</v>
      </c>
      <c r="Q756" t="s">
        <v>10</v>
      </c>
      <c r="R756" t="s">
        <v>79</v>
      </c>
      <c r="S756" t="s">
        <v>10</v>
      </c>
      <c r="T756" t="s">
        <v>10</v>
      </c>
      <c r="U756" t="s">
        <v>10</v>
      </c>
      <c r="V756" t="s">
        <v>10</v>
      </c>
      <c r="W756" t="s">
        <v>10</v>
      </c>
    </row>
    <row r="757" spans="1:23" x14ac:dyDescent="0.3">
      <c r="A757" t="s">
        <v>848</v>
      </c>
      <c r="B757" s="7">
        <v>45786</v>
      </c>
      <c r="C757" t="s">
        <v>71</v>
      </c>
      <c r="D757" t="s">
        <v>1100</v>
      </c>
      <c r="E757" s="3">
        <v>5</v>
      </c>
      <c r="F757" s="3" t="s">
        <v>7</v>
      </c>
      <c r="G757" t="s">
        <v>10</v>
      </c>
      <c r="H757" t="s">
        <v>1108</v>
      </c>
      <c r="I757" t="s">
        <v>28</v>
      </c>
      <c r="J757" t="s">
        <v>53</v>
      </c>
      <c r="K757" t="s">
        <v>10</v>
      </c>
      <c r="L757" t="s">
        <v>10</v>
      </c>
      <c r="M757" t="s">
        <v>10</v>
      </c>
      <c r="N757" t="s">
        <v>57</v>
      </c>
      <c r="O757" t="str">
        <f>INDEX(CoverageTable[Deductible Applies],MATCH(Table18[[#This Row],[Coverage]],CoverageTable[Coverage],0))</f>
        <v>Yes</v>
      </c>
      <c r="P757" t="str">
        <f>INDEX(CoverageTable[Coverage Limit Applies],MATCH(Table18[[#This Row],[Coverage]],CoverageTable[Coverage],0))</f>
        <v>No</v>
      </c>
      <c r="Q757" t="s">
        <v>80</v>
      </c>
      <c r="R757" t="s">
        <v>10</v>
      </c>
      <c r="S757" t="s">
        <v>10</v>
      </c>
      <c r="T757" t="s">
        <v>10</v>
      </c>
      <c r="U757" t="s">
        <v>10</v>
      </c>
      <c r="V757" t="s">
        <v>10</v>
      </c>
      <c r="W757" t="s">
        <v>57</v>
      </c>
    </row>
    <row r="758" spans="1:23" x14ac:dyDescent="0.3">
      <c r="A758" t="s">
        <v>849</v>
      </c>
      <c r="B758" s="7">
        <v>45955</v>
      </c>
      <c r="C758" t="s">
        <v>71</v>
      </c>
      <c r="D758" t="s">
        <v>1101</v>
      </c>
      <c r="E758" s="3">
        <v>4</v>
      </c>
      <c r="F758" s="3">
        <v>0</v>
      </c>
      <c r="G758" t="s">
        <v>12</v>
      </c>
      <c r="H758" t="s">
        <v>1107</v>
      </c>
      <c r="I758" t="s">
        <v>34</v>
      </c>
      <c r="J758" t="s">
        <v>54</v>
      </c>
      <c r="K758" t="s">
        <v>10</v>
      </c>
      <c r="L758" t="s">
        <v>10</v>
      </c>
      <c r="M758" t="s">
        <v>10</v>
      </c>
      <c r="N758" t="s">
        <v>57</v>
      </c>
      <c r="O758" t="str">
        <f>INDEX(CoverageTable[Deductible Applies],MATCH(Table18[[#This Row],[Coverage]],CoverageTable[Coverage],0))</f>
        <v>Yes</v>
      </c>
      <c r="P758" t="str">
        <f>INDEX(CoverageTable[Coverage Limit Applies],MATCH(Table18[[#This Row],[Coverage]],CoverageTable[Coverage],0))</f>
        <v>No</v>
      </c>
      <c r="Q758" t="s">
        <v>78</v>
      </c>
      <c r="R758" t="s">
        <v>10</v>
      </c>
      <c r="S758" t="s">
        <v>57</v>
      </c>
      <c r="T758" t="s">
        <v>57</v>
      </c>
      <c r="U758" t="s">
        <v>57</v>
      </c>
      <c r="V758" t="s">
        <v>57</v>
      </c>
      <c r="W758" t="s">
        <v>57</v>
      </c>
    </row>
    <row r="759" spans="1:23" x14ac:dyDescent="0.3">
      <c r="A759" t="s">
        <v>850</v>
      </c>
      <c r="B759" s="7">
        <v>45960</v>
      </c>
      <c r="C759" t="s">
        <v>70</v>
      </c>
      <c r="D759" t="s">
        <v>1102</v>
      </c>
      <c r="E759" s="3">
        <v>2</v>
      </c>
      <c r="F759" s="3">
        <v>0</v>
      </c>
      <c r="G759" t="s">
        <v>10</v>
      </c>
      <c r="H759" t="s">
        <v>1108</v>
      </c>
      <c r="I759" t="s">
        <v>29</v>
      </c>
      <c r="J759" t="s">
        <v>49</v>
      </c>
      <c r="K759" t="s">
        <v>10</v>
      </c>
      <c r="L759" t="s">
        <v>10</v>
      </c>
      <c r="M759" t="s">
        <v>10</v>
      </c>
      <c r="N759" t="s">
        <v>57</v>
      </c>
      <c r="O759" t="str">
        <f>INDEX(CoverageTable[Deductible Applies],MATCH(Table18[[#This Row],[Coverage]],CoverageTable[Coverage],0))</f>
        <v>No</v>
      </c>
      <c r="P759" t="str">
        <f>INDEX(CoverageTable[Coverage Limit Applies],MATCH(Table18[[#This Row],[Coverage]],CoverageTable[Coverage],0))</f>
        <v>Yes</v>
      </c>
      <c r="Q759" t="s">
        <v>10</v>
      </c>
      <c r="R759" t="s">
        <v>78</v>
      </c>
      <c r="S759" t="s">
        <v>10</v>
      </c>
      <c r="T759" t="s">
        <v>57</v>
      </c>
      <c r="U759" t="s">
        <v>57</v>
      </c>
      <c r="V759" t="s">
        <v>10</v>
      </c>
      <c r="W759" t="s">
        <v>10</v>
      </c>
    </row>
    <row r="760" spans="1:23" x14ac:dyDescent="0.3">
      <c r="A760" t="s">
        <v>851</v>
      </c>
      <c r="B760" s="7">
        <v>46004</v>
      </c>
      <c r="C760" t="s">
        <v>73</v>
      </c>
      <c r="D760" t="s">
        <v>1099</v>
      </c>
      <c r="E760" s="3">
        <v>1</v>
      </c>
      <c r="F760" s="3" t="s">
        <v>7</v>
      </c>
      <c r="G760" t="s">
        <v>12</v>
      </c>
      <c r="H760" t="s">
        <v>1110</v>
      </c>
      <c r="I760" t="s">
        <v>27</v>
      </c>
      <c r="J760" t="s">
        <v>54</v>
      </c>
      <c r="K760" t="s">
        <v>10</v>
      </c>
      <c r="L760" t="s">
        <v>57</v>
      </c>
      <c r="M760" t="s">
        <v>10</v>
      </c>
      <c r="N760" t="s">
        <v>57</v>
      </c>
      <c r="O760" t="str">
        <f>INDEX(CoverageTable[Deductible Applies],MATCH(Table18[[#This Row],[Coverage]],CoverageTable[Coverage],0))</f>
        <v>No</v>
      </c>
      <c r="P760" t="str">
        <f>INDEX(CoverageTable[Coverage Limit Applies],MATCH(Table18[[#This Row],[Coverage]],CoverageTable[Coverage],0))</f>
        <v>Yes</v>
      </c>
      <c r="Q760" t="s">
        <v>10</v>
      </c>
      <c r="R760" t="s">
        <v>80</v>
      </c>
      <c r="S760" t="s">
        <v>57</v>
      </c>
      <c r="T760" t="s">
        <v>57</v>
      </c>
      <c r="U760" t="s">
        <v>10</v>
      </c>
      <c r="V760" t="s">
        <v>57</v>
      </c>
      <c r="W760" t="s">
        <v>10</v>
      </c>
    </row>
    <row r="761" spans="1:23" x14ac:dyDescent="0.3">
      <c r="A761" t="s">
        <v>852</v>
      </c>
      <c r="B761" s="7">
        <v>46052</v>
      </c>
      <c r="C761" t="s">
        <v>73</v>
      </c>
      <c r="D761" t="s">
        <v>1101</v>
      </c>
      <c r="E761" s="3">
        <v>4</v>
      </c>
      <c r="F761" s="3">
        <v>4</v>
      </c>
      <c r="G761" t="s">
        <v>13</v>
      </c>
      <c r="H761" t="s">
        <v>1106</v>
      </c>
      <c r="I761" t="s">
        <v>22</v>
      </c>
      <c r="J761" t="s">
        <v>50</v>
      </c>
      <c r="K761" t="s">
        <v>10</v>
      </c>
      <c r="L761" t="s">
        <v>10</v>
      </c>
      <c r="M761" t="s">
        <v>10</v>
      </c>
      <c r="N761" t="s">
        <v>10</v>
      </c>
      <c r="O761" t="str">
        <f>INDEX(CoverageTable[Deductible Applies],MATCH(Table18[[#This Row],[Coverage]],CoverageTable[Coverage],0))</f>
        <v>No</v>
      </c>
      <c r="P761" t="str">
        <f>INDEX(CoverageTable[Coverage Limit Applies],MATCH(Table18[[#This Row],[Coverage]],CoverageTable[Coverage],0))</f>
        <v>Yes</v>
      </c>
      <c r="Q761" t="s">
        <v>10</v>
      </c>
      <c r="R761" t="s">
        <v>80</v>
      </c>
      <c r="S761" t="s">
        <v>10</v>
      </c>
      <c r="T761" t="s">
        <v>10</v>
      </c>
      <c r="U761" t="s">
        <v>10</v>
      </c>
      <c r="V761" t="s">
        <v>10</v>
      </c>
      <c r="W761" t="s">
        <v>10</v>
      </c>
    </row>
    <row r="762" spans="1:23" x14ac:dyDescent="0.3">
      <c r="A762" t="s">
        <v>853</v>
      </c>
      <c r="B762" s="7">
        <v>45823</v>
      </c>
      <c r="C762" t="s">
        <v>73</v>
      </c>
      <c r="D762" t="s">
        <v>1100</v>
      </c>
      <c r="E762" s="3">
        <v>4</v>
      </c>
      <c r="F762" s="3">
        <v>1</v>
      </c>
      <c r="G762" t="s">
        <v>11</v>
      </c>
      <c r="H762" t="s">
        <v>1107</v>
      </c>
      <c r="I762" t="s">
        <v>23</v>
      </c>
      <c r="J762" t="s">
        <v>48</v>
      </c>
      <c r="K762" t="s">
        <v>10</v>
      </c>
      <c r="L762" t="s">
        <v>10</v>
      </c>
      <c r="M762" t="s">
        <v>10</v>
      </c>
      <c r="N762" t="s">
        <v>57</v>
      </c>
      <c r="O762" t="str">
        <f>INDEX(CoverageTable[Deductible Applies],MATCH(Table18[[#This Row],[Coverage]],CoverageTable[Coverage],0))</f>
        <v>No</v>
      </c>
      <c r="P762" t="str">
        <f>INDEX(CoverageTable[Coverage Limit Applies],MATCH(Table18[[#This Row],[Coverage]],CoverageTable[Coverage],0))</f>
        <v>Yes</v>
      </c>
      <c r="Q762" t="s">
        <v>10</v>
      </c>
      <c r="R762" t="s">
        <v>79</v>
      </c>
      <c r="S762" t="s">
        <v>57</v>
      </c>
      <c r="T762" t="s">
        <v>10</v>
      </c>
      <c r="U762" t="s">
        <v>10</v>
      </c>
      <c r="V762" t="s">
        <v>10</v>
      </c>
      <c r="W762" t="s">
        <v>10</v>
      </c>
    </row>
    <row r="763" spans="1:23" x14ac:dyDescent="0.3">
      <c r="A763" t="s">
        <v>854</v>
      </c>
      <c r="B763" s="7">
        <v>46059</v>
      </c>
      <c r="C763" t="s">
        <v>73</v>
      </c>
      <c r="D763" t="s">
        <v>1100</v>
      </c>
      <c r="E763" s="3">
        <v>4</v>
      </c>
      <c r="F763" s="3">
        <v>0</v>
      </c>
      <c r="G763" t="s">
        <v>13</v>
      </c>
      <c r="H763" t="s">
        <v>1107</v>
      </c>
      <c r="I763" t="s">
        <v>43</v>
      </c>
      <c r="J763" t="s">
        <v>50</v>
      </c>
      <c r="K763" t="s">
        <v>10</v>
      </c>
      <c r="L763" t="s">
        <v>57</v>
      </c>
      <c r="M763" t="s">
        <v>10</v>
      </c>
      <c r="N763" t="s">
        <v>10</v>
      </c>
      <c r="O763" t="str">
        <f>INDEX(CoverageTable[Deductible Applies],MATCH(Table18[[#This Row],[Coverage]],CoverageTable[Coverage],0))</f>
        <v>No</v>
      </c>
      <c r="P763" t="str">
        <f>INDEX(CoverageTable[Coverage Limit Applies],MATCH(Table18[[#This Row],[Coverage]],CoverageTable[Coverage],0))</f>
        <v>Yes</v>
      </c>
      <c r="Q763" t="s">
        <v>10</v>
      </c>
      <c r="R763" t="s">
        <v>80</v>
      </c>
      <c r="S763" t="s">
        <v>10</v>
      </c>
      <c r="T763" t="s">
        <v>10</v>
      </c>
      <c r="U763" t="s">
        <v>10</v>
      </c>
      <c r="V763" t="s">
        <v>10</v>
      </c>
      <c r="W763" t="s">
        <v>10</v>
      </c>
    </row>
    <row r="764" spans="1:23" x14ac:dyDescent="0.3">
      <c r="A764" t="s">
        <v>855</v>
      </c>
      <c r="B764" s="7">
        <v>45855</v>
      </c>
      <c r="C764" t="s">
        <v>70</v>
      </c>
      <c r="D764" t="s">
        <v>1099</v>
      </c>
      <c r="E764" s="3">
        <v>2</v>
      </c>
      <c r="F764" s="3">
        <v>0</v>
      </c>
      <c r="G764" t="s">
        <v>10</v>
      </c>
      <c r="H764" t="s">
        <v>1110</v>
      </c>
      <c r="I764" t="s">
        <v>30</v>
      </c>
      <c r="J764" t="s">
        <v>53</v>
      </c>
      <c r="K764" t="s">
        <v>10</v>
      </c>
      <c r="L764" t="s">
        <v>57</v>
      </c>
      <c r="M764" t="s">
        <v>10</v>
      </c>
      <c r="N764" t="s">
        <v>10</v>
      </c>
      <c r="O764" t="str">
        <f>INDEX(CoverageTable[Deductible Applies],MATCH(Table18[[#This Row],[Coverage]],CoverageTable[Coverage],0))</f>
        <v>No</v>
      </c>
      <c r="P764" t="str">
        <f>INDEX(CoverageTable[Coverage Limit Applies],MATCH(Table18[[#This Row],[Coverage]],CoverageTable[Coverage],0))</f>
        <v>Yes</v>
      </c>
      <c r="Q764" t="s">
        <v>10</v>
      </c>
      <c r="R764" t="s">
        <v>80</v>
      </c>
      <c r="S764" t="s">
        <v>10</v>
      </c>
      <c r="T764" t="s">
        <v>10</v>
      </c>
      <c r="U764" t="s">
        <v>10</v>
      </c>
      <c r="V764" t="s">
        <v>10</v>
      </c>
      <c r="W764" t="s">
        <v>10</v>
      </c>
    </row>
    <row r="765" spans="1:23" x14ac:dyDescent="0.3">
      <c r="A765" t="s">
        <v>856</v>
      </c>
      <c r="B765" s="7">
        <v>45833</v>
      </c>
      <c r="C765" t="s">
        <v>73</v>
      </c>
      <c r="D765" t="s">
        <v>1097</v>
      </c>
      <c r="E765" s="3">
        <v>1</v>
      </c>
      <c r="F765" s="3" t="s">
        <v>7</v>
      </c>
      <c r="G765" t="s">
        <v>11</v>
      </c>
      <c r="H765" t="s">
        <v>1109</v>
      </c>
      <c r="I765" t="s">
        <v>28</v>
      </c>
      <c r="J765" t="s">
        <v>48</v>
      </c>
      <c r="K765" t="s">
        <v>10</v>
      </c>
      <c r="L765" t="s">
        <v>10</v>
      </c>
      <c r="M765" t="s">
        <v>57</v>
      </c>
      <c r="N765" t="s">
        <v>57</v>
      </c>
      <c r="O765" t="str">
        <f>INDEX(CoverageTable[Deductible Applies],MATCH(Table18[[#This Row],[Coverage]],CoverageTable[Coverage],0))</f>
        <v>No</v>
      </c>
      <c r="P765" t="str">
        <f>INDEX(CoverageTable[Coverage Limit Applies],MATCH(Table18[[#This Row],[Coverage]],CoverageTable[Coverage],0))</f>
        <v>Yes</v>
      </c>
      <c r="Q765" t="s">
        <v>10</v>
      </c>
      <c r="R765" t="s">
        <v>79</v>
      </c>
      <c r="S765" t="s">
        <v>10</v>
      </c>
      <c r="T765" t="s">
        <v>57</v>
      </c>
      <c r="U765" t="s">
        <v>10</v>
      </c>
      <c r="V765" t="s">
        <v>10</v>
      </c>
      <c r="W765" t="s">
        <v>10</v>
      </c>
    </row>
    <row r="766" spans="1:23" x14ac:dyDescent="0.3">
      <c r="A766" t="s">
        <v>857</v>
      </c>
      <c r="B766" s="7">
        <v>45859</v>
      </c>
      <c r="C766" t="s">
        <v>71</v>
      </c>
      <c r="D766" t="s">
        <v>1101</v>
      </c>
      <c r="E766" s="3">
        <v>2</v>
      </c>
      <c r="F766" s="3">
        <v>2</v>
      </c>
      <c r="G766" t="s">
        <v>11</v>
      </c>
      <c r="H766" t="s">
        <v>1110</v>
      </c>
      <c r="I766" t="s">
        <v>39</v>
      </c>
      <c r="J766" t="s">
        <v>48</v>
      </c>
      <c r="K766" t="s">
        <v>10</v>
      </c>
      <c r="L766" t="s">
        <v>10</v>
      </c>
      <c r="M766" t="s">
        <v>57</v>
      </c>
      <c r="N766" t="s">
        <v>57</v>
      </c>
      <c r="O766" t="str">
        <f>INDEX(CoverageTable[Deductible Applies],MATCH(Table18[[#This Row],[Coverage]],CoverageTable[Coverage],0))</f>
        <v>Yes</v>
      </c>
      <c r="P766" t="str">
        <f>INDEX(CoverageTable[Coverage Limit Applies],MATCH(Table18[[#This Row],[Coverage]],CoverageTable[Coverage],0))</f>
        <v>No</v>
      </c>
      <c r="Q766" t="s">
        <v>80</v>
      </c>
      <c r="R766" t="s">
        <v>10</v>
      </c>
      <c r="S766" t="s">
        <v>10</v>
      </c>
      <c r="T766" t="s">
        <v>10</v>
      </c>
      <c r="U766" t="s">
        <v>10</v>
      </c>
      <c r="V766" t="s">
        <v>10</v>
      </c>
      <c r="W766" t="s">
        <v>10</v>
      </c>
    </row>
    <row r="767" spans="1:23" x14ac:dyDescent="0.3">
      <c r="A767" t="s">
        <v>858</v>
      </c>
      <c r="B767" s="7">
        <v>46123</v>
      </c>
      <c r="C767" t="s">
        <v>70</v>
      </c>
      <c r="D767" t="s">
        <v>1098</v>
      </c>
      <c r="E767" s="3" t="s">
        <v>1103</v>
      </c>
      <c r="F767" s="3">
        <v>3</v>
      </c>
      <c r="G767" t="s">
        <v>11</v>
      </c>
      <c r="H767" t="s">
        <v>1109</v>
      </c>
      <c r="I767" t="s">
        <v>28</v>
      </c>
      <c r="J767" t="s">
        <v>49</v>
      </c>
      <c r="K767" t="s">
        <v>10</v>
      </c>
      <c r="L767" t="s">
        <v>10</v>
      </c>
      <c r="M767" t="s">
        <v>10</v>
      </c>
      <c r="N767" t="s">
        <v>10</v>
      </c>
      <c r="O767" t="str">
        <f>INDEX(CoverageTable[Deductible Applies],MATCH(Table18[[#This Row],[Coverage]],CoverageTable[Coverage],0))</f>
        <v>No</v>
      </c>
      <c r="P767" t="str">
        <f>INDEX(CoverageTable[Coverage Limit Applies],MATCH(Table18[[#This Row],[Coverage]],CoverageTable[Coverage],0))</f>
        <v>Yes</v>
      </c>
      <c r="Q767" t="s">
        <v>10</v>
      </c>
      <c r="R767" t="s">
        <v>79</v>
      </c>
      <c r="S767" t="s">
        <v>57</v>
      </c>
      <c r="T767" t="s">
        <v>10</v>
      </c>
      <c r="U767" t="s">
        <v>10</v>
      </c>
      <c r="V767" t="s">
        <v>10</v>
      </c>
      <c r="W767" t="s">
        <v>10</v>
      </c>
    </row>
    <row r="768" spans="1:23" x14ac:dyDescent="0.3">
      <c r="A768" t="s">
        <v>859</v>
      </c>
      <c r="B768" s="7">
        <v>45963</v>
      </c>
      <c r="C768" t="s">
        <v>71</v>
      </c>
      <c r="D768" t="s">
        <v>1099</v>
      </c>
      <c r="E768" s="3">
        <v>7</v>
      </c>
      <c r="F768" s="3">
        <v>3</v>
      </c>
      <c r="G768" t="s">
        <v>10</v>
      </c>
      <c r="H768" t="s">
        <v>1106</v>
      </c>
      <c r="I768" t="s">
        <v>25</v>
      </c>
      <c r="J768" t="s">
        <v>51</v>
      </c>
      <c r="K768" t="s">
        <v>57</v>
      </c>
      <c r="L768" t="s">
        <v>10</v>
      </c>
      <c r="M768" t="s">
        <v>10</v>
      </c>
      <c r="N768" t="s">
        <v>10</v>
      </c>
      <c r="O768" t="str">
        <f>INDEX(CoverageTable[Deductible Applies],MATCH(Table18[[#This Row],[Coverage]],CoverageTable[Coverage],0))</f>
        <v>Yes</v>
      </c>
      <c r="P768" t="str">
        <f>INDEX(CoverageTable[Coverage Limit Applies],MATCH(Table18[[#This Row],[Coverage]],CoverageTable[Coverage],0))</f>
        <v>No</v>
      </c>
      <c r="Q768" t="s">
        <v>79</v>
      </c>
      <c r="R768" t="s">
        <v>10</v>
      </c>
      <c r="S768" t="s">
        <v>10</v>
      </c>
      <c r="T768" t="s">
        <v>57</v>
      </c>
      <c r="U768" t="s">
        <v>57</v>
      </c>
      <c r="V768" t="s">
        <v>57</v>
      </c>
      <c r="W768" t="s">
        <v>10</v>
      </c>
    </row>
    <row r="769" spans="1:23" x14ac:dyDescent="0.3">
      <c r="A769" t="s">
        <v>860</v>
      </c>
      <c r="B769" s="7">
        <v>45782</v>
      </c>
      <c r="C769" t="s">
        <v>73</v>
      </c>
      <c r="D769" t="s">
        <v>1101</v>
      </c>
      <c r="E769" s="3">
        <v>4</v>
      </c>
      <c r="F769" s="3">
        <v>3</v>
      </c>
      <c r="G769" t="s">
        <v>12</v>
      </c>
      <c r="H769" t="s">
        <v>1110</v>
      </c>
      <c r="I769" t="s">
        <v>36</v>
      </c>
      <c r="J769" t="s">
        <v>50</v>
      </c>
      <c r="K769" t="s">
        <v>10</v>
      </c>
      <c r="L769" t="s">
        <v>10</v>
      </c>
      <c r="M769" t="s">
        <v>10</v>
      </c>
      <c r="N769" t="s">
        <v>10</v>
      </c>
      <c r="O769" t="str">
        <f>INDEX(CoverageTable[Deductible Applies],MATCH(Table18[[#This Row],[Coverage]],CoverageTable[Coverage],0))</f>
        <v>No</v>
      </c>
      <c r="P769" t="str">
        <f>INDEX(CoverageTable[Coverage Limit Applies],MATCH(Table18[[#This Row],[Coverage]],CoverageTable[Coverage],0))</f>
        <v>Yes</v>
      </c>
      <c r="Q769" t="s">
        <v>10</v>
      </c>
      <c r="R769" t="s">
        <v>79</v>
      </c>
      <c r="S769" t="s">
        <v>57</v>
      </c>
      <c r="T769" t="s">
        <v>57</v>
      </c>
      <c r="U769" t="s">
        <v>10</v>
      </c>
      <c r="V769" t="s">
        <v>10</v>
      </c>
      <c r="W769" t="s">
        <v>57</v>
      </c>
    </row>
    <row r="770" spans="1:23" x14ac:dyDescent="0.3">
      <c r="A770" t="s">
        <v>861</v>
      </c>
      <c r="B770" s="7">
        <v>45900</v>
      </c>
      <c r="C770" t="s">
        <v>71</v>
      </c>
      <c r="D770" t="s">
        <v>1099</v>
      </c>
      <c r="E770" s="3">
        <v>1</v>
      </c>
      <c r="F770" s="3">
        <v>0</v>
      </c>
      <c r="G770" t="s">
        <v>13</v>
      </c>
      <c r="H770" t="s">
        <v>1108</v>
      </c>
      <c r="I770" t="s">
        <v>32</v>
      </c>
      <c r="J770" t="s">
        <v>51</v>
      </c>
      <c r="K770" t="s">
        <v>57</v>
      </c>
      <c r="L770" t="s">
        <v>10</v>
      </c>
      <c r="M770" t="s">
        <v>10</v>
      </c>
      <c r="N770" t="s">
        <v>57</v>
      </c>
      <c r="O770" t="str">
        <f>INDEX(CoverageTable[Deductible Applies],MATCH(Table18[[#This Row],[Coverage]],CoverageTable[Coverage],0))</f>
        <v>Yes</v>
      </c>
      <c r="P770" t="str">
        <f>INDEX(CoverageTable[Coverage Limit Applies],MATCH(Table18[[#This Row],[Coverage]],CoverageTable[Coverage],0))</f>
        <v>No</v>
      </c>
      <c r="Q770" t="s">
        <v>79</v>
      </c>
      <c r="R770" t="s">
        <v>10</v>
      </c>
      <c r="S770" t="s">
        <v>57</v>
      </c>
      <c r="T770" t="s">
        <v>10</v>
      </c>
      <c r="U770" t="s">
        <v>57</v>
      </c>
      <c r="V770" t="s">
        <v>10</v>
      </c>
      <c r="W770" t="s">
        <v>10</v>
      </c>
    </row>
    <row r="771" spans="1:23" x14ac:dyDescent="0.3">
      <c r="A771" t="s">
        <v>862</v>
      </c>
      <c r="B771" s="7">
        <v>46063</v>
      </c>
      <c r="C771" t="s">
        <v>70</v>
      </c>
      <c r="D771" t="s">
        <v>1100</v>
      </c>
      <c r="E771" s="3">
        <v>5</v>
      </c>
      <c r="F771" s="3">
        <v>3</v>
      </c>
      <c r="G771" t="s">
        <v>10</v>
      </c>
      <c r="H771" t="s">
        <v>1108</v>
      </c>
      <c r="I771" t="s">
        <v>22</v>
      </c>
      <c r="J771" t="s">
        <v>49</v>
      </c>
      <c r="K771" t="s">
        <v>10</v>
      </c>
      <c r="L771" t="s">
        <v>10</v>
      </c>
      <c r="M771" t="s">
        <v>10</v>
      </c>
      <c r="N771" t="s">
        <v>10</v>
      </c>
      <c r="O771" t="str">
        <f>INDEX(CoverageTable[Deductible Applies],MATCH(Table18[[#This Row],[Coverage]],CoverageTable[Coverage],0))</f>
        <v>No</v>
      </c>
      <c r="P771" t="str">
        <f>INDEX(CoverageTable[Coverage Limit Applies],MATCH(Table18[[#This Row],[Coverage]],CoverageTable[Coverage],0))</f>
        <v>Yes</v>
      </c>
      <c r="Q771" t="s">
        <v>10</v>
      </c>
      <c r="R771" t="s">
        <v>79</v>
      </c>
      <c r="S771" t="s">
        <v>10</v>
      </c>
      <c r="T771" t="s">
        <v>10</v>
      </c>
      <c r="U771" t="s">
        <v>57</v>
      </c>
      <c r="V771" t="s">
        <v>10</v>
      </c>
      <c r="W771" t="s">
        <v>10</v>
      </c>
    </row>
    <row r="772" spans="1:23" x14ac:dyDescent="0.3">
      <c r="A772" t="s">
        <v>863</v>
      </c>
      <c r="B772" s="7">
        <v>45916</v>
      </c>
      <c r="C772" t="s">
        <v>70</v>
      </c>
      <c r="D772" t="s">
        <v>1102</v>
      </c>
      <c r="E772" s="3">
        <v>1</v>
      </c>
      <c r="F772" s="3">
        <v>1</v>
      </c>
      <c r="G772" t="s">
        <v>10</v>
      </c>
      <c r="H772" t="s">
        <v>1109</v>
      </c>
      <c r="I772" t="s">
        <v>38</v>
      </c>
      <c r="J772" t="s">
        <v>48</v>
      </c>
      <c r="K772" t="s">
        <v>57</v>
      </c>
      <c r="L772" t="s">
        <v>10</v>
      </c>
      <c r="M772" t="s">
        <v>10</v>
      </c>
      <c r="N772" t="s">
        <v>10</v>
      </c>
      <c r="O772" t="str">
        <f>INDEX(CoverageTable[Deductible Applies],MATCH(Table18[[#This Row],[Coverage]],CoverageTable[Coverage],0))</f>
        <v>No</v>
      </c>
      <c r="P772" t="str">
        <f>INDEX(CoverageTable[Coverage Limit Applies],MATCH(Table18[[#This Row],[Coverage]],CoverageTable[Coverage],0))</f>
        <v>Yes</v>
      </c>
      <c r="Q772" t="s">
        <v>10</v>
      </c>
      <c r="R772" t="s">
        <v>80</v>
      </c>
      <c r="S772" t="s">
        <v>10</v>
      </c>
      <c r="T772" t="s">
        <v>57</v>
      </c>
      <c r="U772" t="s">
        <v>57</v>
      </c>
      <c r="V772" t="s">
        <v>10</v>
      </c>
      <c r="W772" t="s">
        <v>10</v>
      </c>
    </row>
    <row r="773" spans="1:23" x14ac:dyDescent="0.3">
      <c r="A773" t="s">
        <v>864</v>
      </c>
      <c r="B773" s="7">
        <v>45805</v>
      </c>
      <c r="C773" t="s">
        <v>71</v>
      </c>
      <c r="D773" t="s">
        <v>1101</v>
      </c>
      <c r="E773" s="3" t="s">
        <v>1103</v>
      </c>
      <c r="F773" s="3">
        <v>4</v>
      </c>
      <c r="G773" t="s">
        <v>11</v>
      </c>
      <c r="H773" t="s">
        <v>1106</v>
      </c>
      <c r="I773" t="s">
        <v>28</v>
      </c>
      <c r="J773" t="s">
        <v>49</v>
      </c>
      <c r="K773" t="s">
        <v>10</v>
      </c>
      <c r="L773" t="s">
        <v>10</v>
      </c>
      <c r="M773" t="s">
        <v>57</v>
      </c>
      <c r="N773" t="s">
        <v>57</v>
      </c>
      <c r="O773" t="str">
        <f>INDEX(CoverageTable[Deductible Applies],MATCH(Table18[[#This Row],[Coverage]],CoverageTable[Coverage],0))</f>
        <v>Yes</v>
      </c>
      <c r="P773" t="str">
        <f>INDEX(CoverageTable[Coverage Limit Applies],MATCH(Table18[[#This Row],[Coverage]],CoverageTable[Coverage],0))</f>
        <v>No</v>
      </c>
      <c r="Q773" t="s">
        <v>78</v>
      </c>
      <c r="R773" t="s">
        <v>10</v>
      </c>
      <c r="S773" t="s">
        <v>57</v>
      </c>
      <c r="T773" t="s">
        <v>57</v>
      </c>
      <c r="U773" t="s">
        <v>10</v>
      </c>
      <c r="V773" t="s">
        <v>10</v>
      </c>
      <c r="W773" t="s">
        <v>10</v>
      </c>
    </row>
    <row r="774" spans="1:23" x14ac:dyDescent="0.3">
      <c r="A774" t="s">
        <v>865</v>
      </c>
      <c r="B774" s="7">
        <v>45988</v>
      </c>
      <c r="C774" t="s">
        <v>70</v>
      </c>
      <c r="D774" t="s">
        <v>1102</v>
      </c>
      <c r="E774" s="3">
        <v>4</v>
      </c>
      <c r="F774" s="3">
        <v>4</v>
      </c>
      <c r="G774" t="s">
        <v>10</v>
      </c>
      <c r="H774" t="s">
        <v>1108</v>
      </c>
      <c r="I774" t="s">
        <v>25</v>
      </c>
      <c r="J774" t="s">
        <v>53</v>
      </c>
      <c r="K774" t="s">
        <v>10</v>
      </c>
      <c r="L774" t="s">
        <v>57</v>
      </c>
      <c r="M774" t="s">
        <v>10</v>
      </c>
      <c r="N774" t="s">
        <v>57</v>
      </c>
      <c r="O774" t="str">
        <f>INDEX(CoverageTable[Deductible Applies],MATCH(Table18[[#This Row],[Coverage]],CoverageTable[Coverage],0))</f>
        <v>No</v>
      </c>
      <c r="P774" t="str">
        <f>INDEX(CoverageTable[Coverage Limit Applies],MATCH(Table18[[#This Row],[Coverage]],CoverageTable[Coverage],0))</f>
        <v>Yes</v>
      </c>
      <c r="Q774" t="s">
        <v>10</v>
      </c>
      <c r="R774" t="s">
        <v>78</v>
      </c>
      <c r="S774" t="s">
        <v>10</v>
      </c>
      <c r="T774" t="s">
        <v>10</v>
      </c>
      <c r="U774" t="s">
        <v>10</v>
      </c>
      <c r="V774" t="s">
        <v>57</v>
      </c>
      <c r="W774" t="s">
        <v>10</v>
      </c>
    </row>
    <row r="775" spans="1:23" x14ac:dyDescent="0.3">
      <c r="A775" t="s">
        <v>866</v>
      </c>
      <c r="B775" s="7">
        <v>46008</v>
      </c>
      <c r="C775" t="s">
        <v>70</v>
      </c>
      <c r="D775" t="s">
        <v>1102</v>
      </c>
      <c r="E775" s="3">
        <v>5</v>
      </c>
      <c r="F775" s="3">
        <v>1</v>
      </c>
      <c r="G775" t="s">
        <v>10</v>
      </c>
      <c r="H775" t="s">
        <v>1108</v>
      </c>
      <c r="I775" t="s">
        <v>25</v>
      </c>
      <c r="J775" t="s">
        <v>53</v>
      </c>
      <c r="K775" t="s">
        <v>57</v>
      </c>
      <c r="L775" t="s">
        <v>10</v>
      </c>
      <c r="M775" t="s">
        <v>10</v>
      </c>
      <c r="N775" t="s">
        <v>10</v>
      </c>
      <c r="O775" t="str">
        <f>INDEX(CoverageTable[Deductible Applies],MATCH(Table18[[#This Row],[Coverage]],CoverageTable[Coverage],0))</f>
        <v>No</v>
      </c>
      <c r="P775" t="str">
        <f>INDEX(CoverageTable[Coverage Limit Applies],MATCH(Table18[[#This Row],[Coverage]],CoverageTable[Coverage],0))</f>
        <v>Yes</v>
      </c>
      <c r="Q775" t="s">
        <v>10</v>
      </c>
      <c r="R775" t="s">
        <v>79</v>
      </c>
      <c r="S775" t="s">
        <v>57</v>
      </c>
      <c r="T775" t="s">
        <v>10</v>
      </c>
      <c r="U775" t="s">
        <v>10</v>
      </c>
      <c r="V775" t="s">
        <v>57</v>
      </c>
      <c r="W775" t="s">
        <v>10</v>
      </c>
    </row>
    <row r="776" spans="1:23" x14ac:dyDescent="0.3">
      <c r="A776" t="s">
        <v>867</v>
      </c>
      <c r="B776" s="7">
        <v>46100</v>
      </c>
      <c r="C776" t="s">
        <v>70</v>
      </c>
      <c r="D776" t="s">
        <v>1097</v>
      </c>
      <c r="E776" s="3">
        <v>3</v>
      </c>
      <c r="F776" s="3">
        <v>0</v>
      </c>
      <c r="G776" t="s">
        <v>11</v>
      </c>
      <c r="H776" t="s">
        <v>1106</v>
      </c>
      <c r="I776" t="s">
        <v>21</v>
      </c>
      <c r="J776" t="s">
        <v>49</v>
      </c>
      <c r="K776" t="s">
        <v>10</v>
      </c>
      <c r="L776" t="s">
        <v>10</v>
      </c>
      <c r="M776" t="s">
        <v>57</v>
      </c>
      <c r="N776" t="s">
        <v>57</v>
      </c>
      <c r="O776" t="str">
        <f>INDEX(CoverageTable[Deductible Applies],MATCH(Table18[[#This Row],[Coverage]],CoverageTable[Coverage],0))</f>
        <v>No</v>
      </c>
      <c r="P776" t="str">
        <f>INDEX(CoverageTable[Coverage Limit Applies],MATCH(Table18[[#This Row],[Coverage]],CoverageTable[Coverage],0))</f>
        <v>Yes</v>
      </c>
      <c r="Q776" t="s">
        <v>10</v>
      </c>
      <c r="R776" t="s">
        <v>78</v>
      </c>
      <c r="S776" t="s">
        <v>10</v>
      </c>
      <c r="T776" t="s">
        <v>57</v>
      </c>
      <c r="U776" t="s">
        <v>10</v>
      </c>
      <c r="V776" t="s">
        <v>10</v>
      </c>
      <c r="W776" t="s">
        <v>57</v>
      </c>
    </row>
    <row r="777" spans="1:23" x14ac:dyDescent="0.3">
      <c r="A777" t="s">
        <v>868</v>
      </c>
      <c r="B777" s="7">
        <v>45908</v>
      </c>
      <c r="C777" t="s">
        <v>71</v>
      </c>
      <c r="D777" t="s">
        <v>1101</v>
      </c>
      <c r="E777" s="3">
        <v>7</v>
      </c>
      <c r="F777" s="3">
        <v>4</v>
      </c>
      <c r="G777" t="s">
        <v>13</v>
      </c>
      <c r="H777" t="s">
        <v>1107</v>
      </c>
      <c r="I777" t="s">
        <v>35</v>
      </c>
      <c r="J777" t="s">
        <v>53</v>
      </c>
      <c r="K777" t="s">
        <v>10</v>
      </c>
      <c r="L777" t="s">
        <v>10</v>
      </c>
      <c r="M777" t="s">
        <v>10</v>
      </c>
      <c r="N777" t="s">
        <v>57</v>
      </c>
      <c r="O777" t="str">
        <f>INDEX(CoverageTable[Deductible Applies],MATCH(Table18[[#This Row],[Coverage]],CoverageTable[Coverage],0))</f>
        <v>Yes</v>
      </c>
      <c r="P777" t="str">
        <f>INDEX(CoverageTable[Coverage Limit Applies],MATCH(Table18[[#This Row],[Coverage]],CoverageTable[Coverage],0))</f>
        <v>No</v>
      </c>
      <c r="Q777" t="s">
        <v>79</v>
      </c>
      <c r="R777" t="s">
        <v>10</v>
      </c>
      <c r="S777" t="s">
        <v>10</v>
      </c>
      <c r="T777" t="s">
        <v>10</v>
      </c>
      <c r="U777" t="s">
        <v>10</v>
      </c>
      <c r="V777" t="s">
        <v>10</v>
      </c>
      <c r="W777" t="s">
        <v>10</v>
      </c>
    </row>
    <row r="778" spans="1:23" x14ac:dyDescent="0.3">
      <c r="A778" t="s">
        <v>869</v>
      </c>
      <c r="B778" s="7">
        <v>46071</v>
      </c>
      <c r="C778" t="s">
        <v>70</v>
      </c>
      <c r="D778" t="s">
        <v>1102</v>
      </c>
      <c r="E778" s="3">
        <v>5</v>
      </c>
      <c r="F778" s="3">
        <v>4</v>
      </c>
      <c r="G778" t="s">
        <v>10</v>
      </c>
      <c r="H778" t="s">
        <v>1110</v>
      </c>
      <c r="I778" t="s">
        <v>24</v>
      </c>
      <c r="J778" t="s">
        <v>48</v>
      </c>
      <c r="K778" t="s">
        <v>57</v>
      </c>
      <c r="L778" t="s">
        <v>10</v>
      </c>
      <c r="M778" t="s">
        <v>10</v>
      </c>
      <c r="N778" t="s">
        <v>57</v>
      </c>
      <c r="O778" t="str">
        <f>INDEX(CoverageTable[Deductible Applies],MATCH(Table18[[#This Row],[Coverage]],CoverageTable[Coverage],0))</f>
        <v>No</v>
      </c>
      <c r="P778" t="str">
        <f>INDEX(CoverageTable[Coverage Limit Applies],MATCH(Table18[[#This Row],[Coverage]],CoverageTable[Coverage],0))</f>
        <v>Yes</v>
      </c>
      <c r="Q778" t="s">
        <v>10</v>
      </c>
      <c r="R778" t="s">
        <v>80</v>
      </c>
      <c r="S778" t="s">
        <v>10</v>
      </c>
      <c r="T778" t="s">
        <v>10</v>
      </c>
      <c r="U778" t="s">
        <v>10</v>
      </c>
      <c r="V778" t="s">
        <v>10</v>
      </c>
      <c r="W778" t="s">
        <v>10</v>
      </c>
    </row>
    <row r="779" spans="1:23" x14ac:dyDescent="0.3">
      <c r="A779" t="s">
        <v>870</v>
      </c>
      <c r="B779" s="7">
        <v>46001</v>
      </c>
      <c r="C779" t="s">
        <v>70</v>
      </c>
      <c r="D779" t="s">
        <v>1099</v>
      </c>
      <c r="E779" s="3">
        <v>6</v>
      </c>
      <c r="F779" s="3">
        <v>0</v>
      </c>
      <c r="G779" t="s">
        <v>10</v>
      </c>
      <c r="H779" t="s">
        <v>1110</v>
      </c>
      <c r="I779" t="s">
        <v>34</v>
      </c>
      <c r="J779" t="s">
        <v>52</v>
      </c>
      <c r="K779" t="s">
        <v>10</v>
      </c>
      <c r="L779" t="s">
        <v>10</v>
      </c>
      <c r="M779" t="s">
        <v>10</v>
      </c>
      <c r="N779" t="s">
        <v>57</v>
      </c>
      <c r="O779" t="str">
        <f>INDEX(CoverageTable[Deductible Applies],MATCH(Table18[[#This Row],[Coverage]],CoverageTable[Coverage],0))</f>
        <v>No</v>
      </c>
      <c r="P779" t="str">
        <f>INDEX(CoverageTable[Coverage Limit Applies],MATCH(Table18[[#This Row],[Coverage]],CoverageTable[Coverage],0))</f>
        <v>Yes</v>
      </c>
      <c r="Q779" t="s">
        <v>10</v>
      </c>
      <c r="R779" t="s">
        <v>79</v>
      </c>
      <c r="S779" t="s">
        <v>10</v>
      </c>
      <c r="T779" t="s">
        <v>57</v>
      </c>
      <c r="U779" t="s">
        <v>10</v>
      </c>
      <c r="V779" t="s">
        <v>10</v>
      </c>
      <c r="W779" t="s">
        <v>10</v>
      </c>
    </row>
    <row r="780" spans="1:23" x14ac:dyDescent="0.3">
      <c r="A780" t="s">
        <v>871</v>
      </c>
      <c r="B780" s="7">
        <v>45976</v>
      </c>
      <c r="C780" t="s">
        <v>70</v>
      </c>
      <c r="D780" t="s">
        <v>1101</v>
      </c>
      <c r="E780" s="3">
        <v>2</v>
      </c>
      <c r="F780" s="3">
        <v>3</v>
      </c>
      <c r="G780" t="s">
        <v>12</v>
      </c>
      <c r="H780" t="s">
        <v>1108</v>
      </c>
      <c r="I780" t="s">
        <v>34</v>
      </c>
      <c r="J780" t="s">
        <v>48</v>
      </c>
      <c r="K780" t="s">
        <v>10</v>
      </c>
      <c r="L780" t="s">
        <v>10</v>
      </c>
      <c r="M780" t="s">
        <v>57</v>
      </c>
      <c r="N780" t="s">
        <v>10</v>
      </c>
      <c r="O780" t="str">
        <f>INDEX(CoverageTable[Deductible Applies],MATCH(Table18[[#This Row],[Coverage]],CoverageTable[Coverage],0))</f>
        <v>No</v>
      </c>
      <c r="P780" t="str">
        <f>INDEX(CoverageTable[Coverage Limit Applies],MATCH(Table18[[#This Row],[Coverage]],CoverageTable[Coverage],0))</f>
        <v>Yes</v>
      </c>
      <c r="Q780" t="s">
        <v>10</v>
      </c>
      <c r="R780" t="s">
        <v>78</v>
      </c>
      <c r="S780" t="s">
        <v>10</v>
      </c>
      <c r="T780" t="s">
        <v>10</v>
      </c>
      <c r="U780" t="s">
        <v>10</v>
      </c>
      <c r="V780" t="s">
        <v>10</v>
      </c>
      <c r="W780" t="s">
        <v>10</v>
      </c>
    </row>
    <row r="781" spans="1:23" x14ac:dyDescent="0.3">
      <c r="A781" t="s">
        <v>872</v>
      </c>
      <c r="B781" s="7">
        <v>46030</v>
      </c>
      <c r="C781" t="s">
        <v>73</v>
      </c>
      <c r="D781" t="s">
        <v>1100</v>
      </c>
      <c r="E781" s="3">
        <v>5</v>
      </c>
      <c r="F781" s="3">
        <v>0</v>
      </c>
      <c r="G781" t="s">
        <v>10</v>
      </c>
      <c r="H781" t="s">
        <v>1109</v>
      </c>
      <c r="I781" t="s">
        <v>25</v>
      </c>
      <c r="J781" t="s">
        <v>54</v>
      </c>
      <c r="K781" t="s">
        <v>10</v>
      </c>
      <c r="L781" t="s">
        <v>10</v>
      </c>
      <c r="M781" t="s">
        <v>10</v>
      </c>
      <c r="N781" t="s">
        <v>10</v>
      </c>
      <c r="O781" t="str">
        <f>INDEX(CoverageTable[Deductible Applies],MATCH(Table18[[#This Row],[Coverage]],CoverageTable[Coverage],0))</f>
        <v>No</v>
      </c>
      <c r="P781" t="str">
        <f>INDEX(CoverageTable[Coverage Limit Applies],MATCH(Table18[[#This Row],[Coverage]],CoverageTable[Coverage],0))</f>
        <v>Yes</v>
      </c>
      <c r="Q781" t="s">
        <v>10</v>
      </c>
      <c r="R781" t="s">
        <v>78</v>
      </c>
      <c r="S781" t="s">
        <v>10</v>
      </c>
      <c r="T781" t="s">
        <v>10</v>
      </c>
      <c r="U781" t="s">
        <v>10</v>
      </c>
      <c r="V781" t="s">
        <v>10</v>
      </c>
      <c r="W781" t="s">
        <v>10</v>
      </c>
    </row>
    <row r="782" spans="1:23" x14ac:dyDescent="0.3">
      <c r="A782" t="s">
        <v>873</v>
      </c>
      <c r="B782" s="7">
        <v>45958</v>
      </c>
      <c r="C782" t="s">
        <v>70</v>
      </c>
      <c r="D782" t="s">
        <v>1101</v>
      </c>
      <c r="E782" s="3">
        <v>5</v>
      </c>
      <c r="F782" s="3">
        <v>0</v>
      </c>
      <c r="G782" t="s">
        <v>10</v>
      </c>
      <c r="H782" t="s">
        <v>1110</v>
      </c>
      <c r="I782" t="s">
        <v>43</v>
      </c>
      <c r="J782" t="s">
        <v>48</v>
      </c>
      <c r="K782" t="s">
        <v>10</v>
      </c>
      <c r="L782" t="s">
        <v>10</v>
      </c>
      <c r="M782" t="s">
        <v>10</v>
      </c>
      <c r="N782" t="s">
        <v>57</v>
      </c>
      <c r="O782" t="str">
        <f>INDEX(CoverageTable[Deductible Applies],MATCH(Table18[[#This Row],[Coverage]],CoverageTable[Coverage],0))</f>
        <v>No</v>
      </c>
      <c r="P782" t="str">
        <f>INDEX(CoverageTable[Coverage Limit Applies],MATCH(Table18[[#This Row],[Coverage]],CoverageTable[Coverage],0))</f>
        <v>Yes</v>
      </c>
      <c r="Q782" t="s">
        <v>10</v>
      </c>
      <c r="R782" t="s">
        <v>80</v>
      </c>
      <c r="S782" t="s">
        <v>10</v>
      </c>
      <c r="T782" t="s">
        <v>57</v>
      </c>
      <c r="U782" t="s">
        <v>57</v>
      </c>
      <c r="V782" t="s">
        <v>10</v>
      </c>
      <c r="W782" t="s">
        <v>57</v>
      </c>
    </row>
    <row r="783" spans="1:23" x14ac:dyDescent="0.3">
      <c r="A783" t="s">
        <v>874</v>
      </c>
      <c r="B783" s="7">
        <v>46055</v>
      </c>
      <c r="C783" t="s">
        <v>70</v>
      </c>
      <c r="D783" t="s">
        <v>1099</v>
      </c>
      <c r="E783" s="3">
        <v>2</v>
      </c>
      <c r="F783" s="3">
        <v>4</v>
      </c>
      <c r="G783" t="s">
        <v>13</v>
      </c>
      <c r="H783" t="s">
        <v>1110</v>
      </c>
      <c r="I783" t="s">
        <v>34</v>
      </c>
      <c r="J783" t="s">
        <v>52</v>
      </c>
      <c r="K783" t="s">
        <v>10</v>
      </c>
      <c r="L783" t="s">
        <v>10</v>
      </c>
      <c r="M783" t="s">
        <v>10</v>
      </c>
      <c r="N783" t="s">
        <v>57</v>
      </c>
      <c r="O783" t="str">
        <f>INDEX(CoverageTable[Deductible Applies],MATCH(Table18[[#This Row],[Coverage]],CoverageTable[Coverage],0))</f>
        <v>No</v>
      </c>
      <c r="P783" t="str">
        <f>INDEX(CoverageTable[Coverage Limit Applies],MATCH(Table18[[#This Row],[Coverage]],CoverageTable[Coverage],0))</f>
        <v>Yes</v>
      </c>
      <c r="Q783" t="s">
        <v>10</v>
      </c>
      <c r="R783" t="s">
        <v>79</v>
      </c>
      <c r="S783" t="s">
        <v>57</v>
      </c>
      <c r="T783" t="s">
        <v>57</v>
      </c>
      <c r="U783" t="s">
        <v>57</v>
      </c>
      <c r="V783" t="s">
        <v>57</v>
      </c>
      <c r="W783" t="s">
        <v>10</v>
      </c>
    </row>
    <row r="784" spans="1:23" x14ac:dyDescent="0.3">
      <c r="A784" t="s">
        <v>875</v>
      </c>
      <c r="B784" s="7">
        <v>46109</v>
      </c>
      <c r="C784" t="s">
        <v>71</v>
      </c>
      <c r="D784" t="s">
        <v>1099</v>
      </c>
      <c r="E784" s="3">
        <v>4</v>
      </c>
      <c r="F784" s="3">
        <v>0</v>
      </c>
      <c r="G784" t="s">
        <v>10</v>
      </c>
      <c r="H784" t="s">
        <v>1106</v>
      </c>
      <c r="I784" t="s">
        <v>36</v>
      </c>
      <c r="J784" t="s">
        <v>50</v>
      </c>
      <c r="K784" t="s">
        <v>10</v>
      </c>
      <c r="L784" t="s">
        <v>10</v>
      </c>
      <c r="M784" t="s">
        <v>10</v>
      </c>
      <c r="N784" t="s">
        <v>57</v>
      </c>
      <c r="O784" t="str">
        <f>INDEX(CoverageTable[Deductible Applies],MATCH(Table18[[#This Row],[Coverage]],CoverageTable[Coverage],0))</f>
        <v>Yes</v>
      </c>
      <c r="P784" t="str">
        <f>INDEX(CoverageTable[Coverage Limit Applies],MATCH(Table18[[#This Row],[Coverage]],CoverageTable[Coverage],0))</f>
        <v>No</v>
      </c>
      <c r="Q784" t="s">
        <v>78</v>
      </c>
      <c r="R784" t="s">
        <v>10</v>
      </c>
      <c r="S784" t="s">
        <v>10</v>
      </c>
      <c r="T784" t="s">
        <v>10</v>
      </c>
      <c r="U784" t="s">
        <v>10</v>
      </c>
      <c r="V784" t="s">
        <v>10</v>
      </c>
      <c r="W784" t="s">
        <v>10</v>
      </c>
    </row>
    <row r="785" spans="1:23" x14ac:dyDescent="0.3">
      <c r="A785" t="s">
        <v>876</v>
      </c>
      <c r="B785" s="7">
        <v>45792</v>
      </c>
      <c r="C785" t="s">
        <v>73</v>
      </c>
      <c r="D785" t="s">
        <v>1099</v>
      </c>
      <c r="E785" s="3" t="s">
        <v>1103</v>
      </c>
      <c r="F785" s="3">
        <v>1</v>
      </c>
      <c r="G785" t="s">
        <v>13</v>
      </c>
      <c r="H785" t="s">
        <v>1107</v>
      </c>
      <c r="I785" t="s">
        <v>43</v>
      </c>
      <c r="J785" t="s">
        <v>49</v>
      </c>
      <c r="K785" t="s">
        <v>10</v>
      </c>
      <c r="L785" t="s">
        <v>10</v>
      </c>
      <c r="M785" t="s">
        <v>10</v>
      </c>
      <c r="N785" t="s">
        <v>57</v>
      </c>
      <c r="O785" t="str">
        <f>INDEX(CoverageTable[Deductible Applies],MATCH(Table18[[#This Row],[Coverage]],CoverageTable[Coverage],0))</f>
        <v>No</v>
      </c>
      <c r="P785" t="str">
        <f>INDEX(CoverageTable[Coverage Limit Applies],MATCH(Table18[[#This Row],[Coverage]],CoverageTable[Coverage],0))</f>
        <v>Yes</v>
      </c>
      <c r="Q785" t="s">
        <v>10</v>
      </c>
      <c r="R785" t="s">
        <v>78</v>
      </c>
      <c r="S785" t="s">
        <v>10</v>
      </c>
      <c r="T785" t="s">
        <v>10</v>
      </c>
      <c r="U785" t="s">
        <v>10</v>
      </c>
      <c r="V785" t="s">
        <v>57</v>
      </c>
      <c r="W785" t="s">
        <v>10</v>
      </c>
    </row>
    <row r="786" spans="1:23" x14ac:dyDescent="0.3">
      <c r="A786" t="s">
        <v>877</v>
      </c>
      <c r="B786" s="7">
        <v>45866</v>
      </c>
      <c r="C786" t="s">
        <v>74</v>
      </c>
      <c r="D786" t="s">
        <v>1101</v>
      </c>
      <c r="E786" s="3" t="s">
        <v>1103</v>
      </c>
      <c r="F786" s="3">
        <v>4</v>
      </c>
      <c r="G786" t="s">
        <v>12</v>
      </c>
      <c r="H786" t="s">
        <v>1109</v>
      </c>
      <c r="I786" t="s">
        <v>42</v>
      </c>
      <c r="J786" t="s">
        <v>51</v>
      </c>
      <c r="K786" t="s">
        <v>10</v>
      </c>
      <c r="L786" t="s">
        <v>10</v>
      </c>
      <c r="M786" t="s">
        <v>57</v>
      </c>
      <c r="N786" t="s">
        <v>57</v>
      </c>
      <c r="O786" t="str">
        <f>INDEX(CoverageTable[Deductible Applies],MATCH(Table18[[#This Row],[Coverage]],CoverageTable[Coverage],0))</f>
        <v>No</v>
      </c>
      <c r="P786" t="str">
        <f>INDEX(CoverageTable[Coverage Limit Applies],MATCH(Table18[[#This Row],[Coverage]],CoverageTable[Coverage],0))</f>
        <v>Yes</v>
      </c>
      <c r="Q786" t="s">
        <v>10</v>
      </c>
      <c r="R786" t="s">
        <v>79</v>
      </c>
      <c r="S786" t="s">
        <v>10</v>
      </c>
      <c r="T786" t="s">
        <v>57</v>
      </c>
      <c r="U786" t="s">
        <v>10</v>
      </c>
      <c r="V786" t="s">
        <v>10</v>
      </c>
      <c r="W786" t="s">
        <v>10</v>
      </c>
    </row>
    <row r="787" spans="1:23" x14ac:dyDescent="0.3">
      <c r="A787" t="s">
        <v>878</v>
      </c>
      <c r="B787" s="7">
        <v>45798</v>
      </c>
      <c r="C787" t="s">
        <v>70</v>
      </c>
      <c r="D787" t="s">
        <v>1099</v>
      </c>
      <c r="E787" s="3">
        <v>4</v>
      </c>
      <c r="F787" s="3">
        <v>4</v>
      </c>
      <c r="G787" t="s">
        <v>10</v>
      </c>
      <c r="H787" t="s">
        <v>1109</v>
      </c>
      <c r="I787" t="s">
        <v>39</v>
      </c>
      <c r="J787" t="s">
        <v>53</v>
      </c>
      <c r="K787" t="s">
        <v>10</v>
      </c>
      <c r="L787" t="s">
        <v>10</v>
      </c>
      <c r="M787" t="s">
        <v>10</v>
      </c>
      <c r="N787" t="s">
        <v>10</v>
      </c>
      <c r="O787" t="str">
        <f>INDEX(CoverageTable[Deductible Applies],MATCH(Table18[[#This Row],[Coverage]],CoverageTable[Coverage],0))</f>
        <v>No</v>
      </c>
      <c r="P787" t="str">
        <f>INDEX(CoverageTable[Coverage Limit Applies],MATCH(Table18[[#This Row],[Coverage]],CoverageTable[Coverage],0))</f>
        <v>Yes</v>
      </c>
      <c r="Q787" t="s">
        <v>10</v>
      </c>
      <c r="R787" t="s">
        <v>78</v>
      </c>
      <c r="S787" t="s">
        <v>57</v>
      </c>
      <c r="T787" t="s">
        <v>10</v>
      </c>
      <c r="U787" t="s">
        <v>10</v>
      </c>
      <c r="V787" t="s">
        <v>57</v>
      </c>
      <c r="W787" t="s">
        <v>10</v>
      </c>
    </row>
    <row r="788" spans="1:23" x14ac:dyDescent="0.3">
      <c r="A788" t="s">
        <v>879</v>
      </c>
      <c r="B788" s="7">
        <v>45838</v>
      </c>
      <c r="C788" t="s">
        <v>73</v>
      </c>
      <c r="D788" t="s">
        <v>1099</v>
      </c>
      <c r="E788" s="3" t="s">
        <v>1103</v>
      </c>
      <c r="F788" s="3">
        <v>3</v>
      </c>
      <c r="G788" t="s">
        <v>11</v>
      </c>
      <c r="H788" t="s">
        <v>1106</v>
      </c>
      <c r="I788" t="s">
        <v>31</v>
      </c>
      <c r="J788" t="s">
        <v>54</v>
      </c>
      <c r="K788" t="s">
        <v>10</v>
      </c>
      <c r="L788" t="s">
        <v>10</v>
      </c>
      <c r="M788" t="s">
        <v>57</v>
      </c>
      <c r="N788" t="s">
        <v>10</v>
      </c>
      <c r="O788" t="str">
        <f>INDEX(CoverageTable[Deductible Applies],MATCH(Table18[[#This Row],[Coverage]],CoverageTable[Coverage],0))</f>
        <v>No</v>
      </c>
      <c r="P788" t="str">
        <f>INDEX(CoverageTable[Coverage Limit Applies],MATCH(Table18[[#This Row],[Coverage]],CoverageTable[Coverage],0))</f>
        <v>Yes</v>
      </c>
      <c r="Q788" t="s">
        <v>10</v>
      </c>
      <c r="R788" t="s">
        <v>78</v>
      </c>
      <c r="S788" t="s">
        <v>10</v>
      </c>
      <c r="T788" t="s">
        <v>10</v>
      </c>
      <c r="U788" t="s">
        <v>10</v>
      </c>
      <c r="V788" t="s">
        <v>10</v>
      </c>
      <c r="W788" t="s">
        <v>10</v>
      </c>
    </row>
    <row r="789" spans="1:23" x14ac:dyDescent="0.3">
      <c r="A789" t="s">
        <v>880</v>
      </c>
      <c r="B789" s="7">
        <v>46005</v>
      </c>
      <c r="C789" t="s">
        <v>70</v>
      </c>
      <c r="D789" t="s">
        <v>1102</v>
      </c>
      <c r="E789" s="3">
        <v>6</v>
      </c>
      <c r="F789" s="3">
        <v>0</v>
      </c>
      <c r="G789" t="s">
        <v>10</v>
      </c>
      <c r="H789" t="s">
        <v>1106</v>
      </c>
      <c r="I789" t="s">
        <v>39</v>
      </c>
      <c r="J789" t="s">
        <v>49</v>
      </c>
      <c r="K789" t="s">
        <v>10</v>
      </c>
      <c r="L789" t="s">
        <v>57</v>
      </c>
      <c r="M789" t="s">
        <v>10</v>
      </c>
      <c r="N789" t="s">
        <v>10</v>
      </c>
      <c r="O789" t="str">
        <f>INDEX(CoverageTable[Deductible Applies],MATCH(Table18[[#This Row],[Coverage]],CoverageTable[Coverage],0))</f>
        <v>No</v>
      </c>
      <c r="P789" t="str">
        <f>INDEX(CoverageTable[Coverage Limit Applies],MATCH(Table18[[#This Row],[Coverage]],CoverageTable[Coverage],0))</f>
        <v>Yes</v>
      </c>
      <c r="Q789" t="s">
        <v>10</v>
      </c>
      <c r="R789" t="s">
        <v>79</v>
      </c>
      <c r="S789" t="s">
        <v>57</v>
      </c>
      <c r="T789" t="s">
        <v>10</v>
      </c>
      <c r="U789" t="s">
        <v>57</v>
      </c>
      <c r="V789" t="s">
        <v>10</v>
      </c>
      <c r="W789" t="s">
        <v>57</v>
      </c>
    </row>
    <row r="790" spans="1:23" x14ac:dyDescent="0.3">
      <c r="A790" t="s">
        <v>881</v>
      </c>
      <c r="B790" s="7">
        <v>45861</v>
      </c>
      <c r="C790" t="s">
        <v>71</v>
      </c>
      <c r="D790" t="s">
        <v>1100</v>
      </c>
      <c r="E790" s="3">
        <v>5</v>
      </c>
      <c r="F790" s="3" t="s">
        <v>7</v>
      </c>
      <c r="G790" t="s">
        <v>10</v>
      </c>
      <c r="H790" t="s">
        <v>1106</v>
      </c>
      <c r="I790" t="s">
        <v>36</v>
      </c>
      <c r="J790" t="s">
        <v>48</v>
      </c>
      <c r="K790" t="s">
        <v>10</v>
      </c>
      <c r="L790" t="s">
        <v>57</v>
      </c>
      <c r="M790" t="s">
        <v>10</v>
      </c>
      <c r="N790" t="s">
        <v>10</v>
      </c>
      <c r="O790" t="str">
        <f>INDEX(CoverageTable[Deductible Applies],MATCH(Table18[[#This Row],[Coverage]],CoverageTable[Coverage],0))</f>
        <v>Yes</v>
      </c>
      <c r="P790" t="str">
        <f>INDEX(CoverageTable[Coverage Limit Applies],MATCH(Table18[[#This Row],[Coverage]],CoverageTable[Coverage],0))</f>
        <v>No</v>
      </c>
      <c r="Q790" t="s">
        <v>80</v>
      </c>
      <c r="R790" t="s">
        <v>10</v>
      </c>
      <c r="S790" t="s">
        <v>10</v>
      </c>
      <c r="T790" t="s">
        <v>57</v>
      </c>
      <c r="U790" t="s">
        <v>10</v>
      </c>
      <c r="V790" t="s">
        <v>57</v>
      </c>
      <c r="W790" t="s">
        <v>10</v>
      </c>
    </row>
    <row r="791" spans="1:23" x14ac:dyDescent="0.3">
      <c r="A791" t="s">
        <v>882</v>
      </c>
      <c r="B791" s="7">
        <v>46033</v>
      </c>
      <c r="C791" t="s">
        <v>72</v>
      </c>
      <c r="D791" t="s">
        <v>1097</v>
      </c>
      <c r="E791" s="3">
        <v>4</v>
      </c>
      <c r="F791" s="3" t="s">
        <v>7</v>
      </c>
      <c r="G791" t="s">
        <v>10</v>
      </c>
      <c r="H791" t="s">
        <v>1107</v>
      </c>
      <c r="I791" t="s">
        <v>43</v>
      </c>
      <c r="J791" t="s">
        <v>52</v>
      </c>
      <c r="K791" t="s">
        <v>10</v>
      </c>
      <c r="L791" t="s">
        <v>10</v>
      </c>
      <c r="M791" t="s">
        <v>10</v>
      </c>
      <c r="N791" t="s">
        <v>57</v>
      </c>
      <c r="O791" t="str">
        <f>INDEX(CoverageTable[Deductible Applies],MATCH(Table18[[#This Row],[Coverage]],CoverageTable[Coverage],0))</f>
        <v>Yes</v>
      </c>
      <c r="P791" t="str">
        <f>INDEX(CoverageTable[Coverage Limit Applies],MATCH(Table18[[#This Row],[Coverage]],CoverageTable[Coverage],0))</f>
        <v>No</v>
      </c>
      <c r="Q791" t="s">
        <v>78</v>
      </c>
      <c r="R791" t="s">
        <v>10</v>
      </c>
      <c r="S791" t="s">
        <v>10</v>
      </c>
      <c r="T791" t="s">
        <v>10</v>
      </c>
      <c r="U791" t="s">
        <v>10</v>
      </c>
      <c r="V791" t="s">
        <v>10</v>
      </c>
      <c r="W791" t="s">
        <v>57</v>
      </c>
    </row>
    <row r="792" spans="1:23" x14ac:dyDescent="0.3">
      <c r="A792" t="s">
        <v>883</v>
      </c>
      <c r="B792" s="7">
        <v>46007</v>
      </c>
      <c r="C792" t="s">
        <v>70</v>
      </c>
      <c r="D792" t="s">
        <v>1102</v>
      </c>
      <c r="E792" s="3">
        <v>4</v>
      </c>
      <c r="F792" s="3">
        <v>0</v>
      </c>
      <c r="G792" t="s">
        <v>11</v>
      </c>
      <c r="H792" t="s">
        <v>1106</v>
      </c>
      <c r="I792" t="s">
        <v>29</v>
      </c>
      <c r="J792" t="s">
        <v>54</v>
      </c>
      <c r="K792" t="s">
        <v>57</v>
      </c>
      <c r="L792" t="s">
        <v>10</v>
      </c>
      <c r="M792" t="s">
        <v>10</v>
      </c>
      <c r="N792" t="s">
        <v>57</v>
      </c>
      <c r="O792" t="str">
        <f>INDEX(CoverageTable[Deductible Applies],MATCH(Table18[[#This Row],[Coverage]],CoverageTable[Coverage],0))</f>
        <v>No</v>
      </c>
      <c r="P792" t="str">
        <f>INDEX(CoverageTable[Coverage Limit Applies],MATCH(Table18[[#This Row],[Coverage]],CoverageTable[Coverage],0))</f>
        <v>Yes</v>
      </c>
      <c r="Q792" t="s">
        <v>10</v>
      </c>
      <c r="R792" t="s">
        <v>79</v>
      </c>
      <c r="S792" t="s">
        <v>10</v>
      </c>
      <c r="T792" t="s">
        <v>10</v>
      </c>
      <c r="U792" t="s">
        <v>10</v>
      </c>
      <c r="V792" t="s">
        <v>10</v>
      </c>
      <c r="W792" t="s">
        <v>10</v>
      </c>
    </row>
    <row r="793" spans="1:23" x14ac:dyDescent="0.3">
      <c r="A793" t="s">
        <v>884</v>
      </c>
      <c r="B793" s="7">
        <v>45940</v>
      </c>
      <c r="C793" t="s">
        <v>70</v>
      </c>
      <c r="D793" t="s">
        <v>1099</v>
      </c>
      <c r="E793" s="3" t="s">
        <v>1103</v>
      </c>
      <c r="F793" s="3">
        <v>0</v>
      </c>
      <c r="G793" t="s">
        <v>10</v>
      </c>
      <c r="H793" t="s">
        <v>1106</v>
      </c>
      <c r="I793" t="s">
        <v>31</v>
      </c>
      <c r="J793" t="s">
        <v>51</v>
      </c>
      <c r="K793" t="s">
        <v>10</v>
      </c>
      <c r="L793" t="s">
        <v>10</v>
      </c>
      <c r="M793" t="s">
        <v>10</v>
      </c>
      <c r="N793" t="s">
        <v>10</v>
      </c>
      <c r="O793" t="str">
        <f>INDEX(CoverageTable[Deductible Applies],MATCH(Table18[[#This Row],[Coverage]],CoverageTable[Coverage],0))</f>
        <v>No</v>
      </c>
      <c r="P793" t="str">
        <f>INDEX(CoverageTable[Coverage Limit Applies],MATCH(Table18[[#This Row],[Coverage]],CoverageTable[Coverage],0))</f>
        <v>Yes</v>
      </c>
      <c r="Q793" t="s">
        <v>10</v>
      </c>
      <c r="R793" t="s">
        <v>78</v>
      </c>
      <c r="S793" t="s">
        <v>10</v>
      </c>
      <c r="T793" t="s">
        <v>57</v>
      </c>
      <c r="U793" t="s">
        <v>10</v>
      </c>
      <c r="V793" t="s">
        <v>10</v>
      </c>
      <c r="W793" t="s">
        <v>10</v>
      </c>
    </row>
    <row r="794" spans="1:23" x14ac:dyDescent="0.3">
      <c r="A794" t="s">
        <v>885</v>
      </c>
      <c r="B794" s="7">
        <v>46109</v>
      </c>
      <c r="C794" t="s">
        <v>71</v>
      </c>
      <c r="D794" t="s">
        <v>1102</v>
      </c>
      <c r="E794" s="3">
        <v>3</v>
      </c>
      <c r="F794" s="3">
        <v>1</v>
      </c>
      <c r="G794" t="s">
        <v>10</v>
      </c>
      <c r="H794" t="s">
        <v>1108</v>
      </c>
      <c r="I794" t="s">
        <v>39</v>
      </c>
      <c r="J794" t="s">
        <v>50</v>
      </c>
      <c r="K794" t="s">
        <v>10</v>
      </c>
      <c r="L794" t="s">
        <v>10</v>
      </c>
      <c r="M794" t="s">
        <v>10</v>
      </c>
      <c r="N794" t="s">
        <v>57</v>
      </c>
      <c r="O794" t="str">
        <f>INDEX(CoverageTable[Deductible Applies],MATCH(Table18[[#This Row],[Coverage]],CoverageTable[Coverage],0))</f>
        <v>Yes</v>
      </c>
      <c r="P794" t="str">
        <f>INDEX(CoverageTable[Coverage Limit Applies],MATCH(Table18[[#This Row],[Coverage]],CoverageTable[Coverage],0))</f>
        <v>No</v>
      </c>
      <c r="Q794" t="s">
        <v>80</v>
      </c>
      <c r="R794" t="s">
        <v>10</v>
      </c>
      <c r="S794" t="s">
        <v>10</v>
      </c>
      <c r="T794" t="s">
        <v>10</v>
      </c>
      <c r="U794" t="s">
        <v>10</v>
      </c>
      <c r="V794" t="s">
        <v>57</v>
      </c>
      <c r="W794" t="s">
        <v>10</v>
      </c>
    </row>
    <row r="795" spans="1:23" x14ac:dyDescent="0.3">
      <c r="A795" t="s">
        <v>886</v>
      </c>
      <c r="B795" s="7">
        <v>45815</v>
      </c>
      <c r="C795" t="s">
        <v>70</v>
      </c>
      <c r="D795" t="s">
        <v>1102</v>
      </c>
      <c r="E795" s="3">
        <v>7</v>
      </c>
      <c r="F795" s="3" t="s">
        <v>7</v>
      </c>
      <c r="G795" t="s">
        <v>10</v>
      </c>
      <c r="H795" t="s">
        <v>1109</v>
      </c>
      <c r="I795" t="s">
        <v>26</v>
      </c>
      <c r="J795" t="s">
        <v>53</v>
      </c>
      <c r="K795" t="s">
        <v>10</v>
      </c>
      <c r="L795" t="s">
        <v>57</v>
      </c>
      <c r="M795" t="s">
        <v>10</v>
      </c>
      <c r="N795" t="s">
        <v>57</v>
      </c>
      <c r="O795" t="str">
        <f>INDEX(CoverageTable[Deductible Applies],MATCH(Table18[[#This Row],[Coverage]],CoverageTable[Coverage],0))</f>
        <v>No</v>
      </c>
      <c r="P795" t="str">
        <f>INDEX(CoverageTable[Coverage Limit Applies],MATCH(Table18[[#This Row],[Coverage]],CoverageTable[Coverage],0))</f>
        <v>Yes</v>
      </c>
      <c r="Q795" t="s">
        <v>10</v>
      </c>
      <c r="R795" t="s">
        <v>80</v>
      </c>
      <c r="S795" t="s">
        <v>10</v>
      </c>
      <c r="T795" t="s">
        <v>57</v>
      </c>
      <c r="U795" t="s">
        <v>57</v>
      </c>
      <c r="V795" t="s">
        <v>10</v>
      </c>
      <c r="W795" t="s">
        <v>57</v>
      </c>
    </row>
    <row r="796" spans="1:23" x14ac:dyDescent="0.3">
      <c r="A796" t="s">
        <v>887</v>
      </c>
      <c r="B796" s="7">
        <v>45809</v>
      </c>
      <c r="C796" t="s">
        <v>70</v>
      </c>
      <c r="D796" t="s">
        <v>1101</v>
      </c>
      <c r="E796" s="3">
        <v>4</v>
      </c>
      <c r="F796" s="3">
        <v>1</v>
      </c>
      <c r="G796" t="s">
        <v>11</v>
      </c>
      <c r="H796" t="s">
        <v>1110</v>
      </c>
      <c r="I796" t="s">
        <v>35</v>
      </c>
      <c r="J796" t="s">
        <v>51</v>
      </c>
      <c r="K796" t="s">
        <v>10</v>
      </c>
      <c r="L796" t="s">
        <v>10</v>
      </c>
      <c r="M796" t="s">
        <v>10</v>
      </c>
      <c r="N796" t="s">
        <v>57</v>
      </c>
      <c r="O796" t="str">
        <f>INDEX(CoverageTable[Deductible Applies],MATCH(Table18[[#This Row],[Coverage]],CoverageTable[Coverage],0))</f>
        <v>No</v>
      </c>
      <c r="P796" t="str">
        <f>INDEX(CoverageTable[Coverage Limit Applies],MATCH(Table18[[#This Row],[Coverage]],CoverageTable[Coverage],0))</f>
        <v>Yes</v>
      </c>
      <c r="Q796" t="s">
        <v>10</v>
      </c>
      <c r="R796" t="s">
        <v>78</v>
      </c>
      <c r="S796" t="s">
        <v>10</v>
      </c>
      <c r="T796" t="s">
        <v>57</v>
      </c>
      <c r="U796" t="s">
        <v>10</v>
      </c>
      <c r="V796" t="s">
        <v>10</v>
      </c>
      <c r="W796" t="s">
        <v>10</v>
      </c>
    </row>
    <row r="797" spans="1:23" x14ac:dyDescent="0.3">
      <c r="A797" t="s">
        <v>888</v>
      </c>
      <c r="B797" s="7">
        <v>46030</v>
      </c>
      <c r="C797" t="s">
        <v>71</v>
      </c>
      <c r="D797" t="s">
        <v>1100</v>
      </c>
      <c r="E797" s="3">
        <v>6</v>
      </c>
      <c r="F797" s="3">
        <v>4</v>
      </c>
      <c r="G797" t="s">
        <v>10</v>
      </c>
      <c r="H797" t="s">
        <v>1109</v>
      </c>
      <c r="I797" t="s">
        <v>33</v>
      </c>
      <c r="J797" t="s">
        <v>49</v>
      </c>
      <c r="K797" t="s">
        <v>10</v>
      </c>
      <c r="L797" t="s">
        <v>10</v>
      </c>
      <c r="M797" t="s">
        <v>10</v>
      </c>
      <c r="N797" t="s">
        <v>10</v>
      </c>
      <c r="O797" t="str">
        <f>INDEX(CoverageTable[Deductible Applies],MATCH(Table18[[#This Row],[Coverage]],CoverageTable[Coverage],0))</f>
        <v>Yes</v>
      </c>
      <c r="P797" t="str">
        <f>INDEX(CoverageTable[Coverage Limit Applies],MATCH(Table18[[#This Row],[Coverage]],CoverageTable[Coverage],0))</f>
        <v>No</v>
      </c>
      <c r="Q797" t="s">
        <v>80</v>
      </c>
      <c r="R797" t="s">
        <v>10</v>
      </c>
      <c r="S797" t="s">
        <v>10</v>
      </c>
      <c r="T797" t="s">
        <v>57</v>
      </c>
      <c r="U797" t="s">
        <v>10</v>
      </c>
      <c r="V797" t="s">
        <v>10</v>
      </c>
      <c r="W797" t="s">
        <v>10</v>
      </c>
    </row>
    <row r="798" spans="1:23" x14ac:dyDescent="0.3">
      <c r="A798" t="s">
        <v>889</v>
      </c>
      <c r="B798" s="7">
        <v>46048</v>
      </c>
      <c r="C798" t="s">
        <v>71</v>
      </c>
      <c r="D798" t="s">
        <v>1099</v>
      </c>
      <c r="E798" s="3">
        <v>5</v>
      </c>
      <c r="F798" s="3">
        <v>4</v>
      </c>
      <c r="G798" t="s">
        <v>11</v>
      </c>
      <c r="H798" t="s">
        <v>1107</v>
      </c>
      <c r="I798" t="s">
        <v>40</v>
      </c>
      <c r="J798" t="s">
        <v>49</v>
      </c>
      <c r="K798" t="s">
        <v>10</v>
      </c>
      <c r="L798" t="s">
        <v>10</v>
      </c>
      <c r="M798" t="s">
        <v>10</v>
      </c>
      <c r="N798" t="s">
        <v>10</v>
      </c>
      <c r="O798" t="str">
        <f>INDEX(CoverageTable[Deductible Applies],MATCH(Table18[[#This Row],[Coverage]],CoverageTable[Coverage],0))</f>
        <v>Yes</v>
      </c>
      <c r="P798" t="str">
        <f>INDEX(CoverageTable[Coverage Limit Applies],MATCH(Table18[[#This Row],[Coverage]],CoverageTable[Coverage],0))</f>
        <v>No</v>
      </c>
      <c r="Q798" t="s">
        <v>80</v>
      </c>
      <c r="R798" t="s">
        <v>10</v>
      </c>
      <c r="S798" t="s">
        <v>10</v>
      </c>
      <c r="T798" t="s">
        <v>10</v>
      </c>
      <c r="U798" t="s">
        <v>57</v>
      </c>
      <c r="V798" t="s">
        <v>10</v>
      </c>
      <c r="W798" t="s">
        <v>10</v>
      </c>
    </row>
    <row r="799" spans="1:23" x14ac:dyDescent="0.3">
      <c r="A799" t="s">
        <v>890</v>
      </c>
      <c r="B799" s="7">
        <v>45901</v>
      </c>
      <c r="C799" t="s">
        <v>73</v>
      </c>
      <c r="D799" t="s">
        <v>1099</v>
      </c>
      <c r="E799" s="3">
        <v>6</v>
      </c>
      <c r="F799" s="3">
        <v>1</v>
      </c>
      <c r="G799" t="s">
        <v>12</v>
      </c>
      <c r="H799" t="s">
        <v>1106</v>
      </c>
      <c r="I799" t="s">
        <v>35</v>
      </c>
      <c r="J799" t="s">
        <v>50</v>
      </c>
      <c r="K799" t="s">
        <v>10</v>
      </c>
      <c r="L799" t="s">
        <v>10</v>
      </c>
      <c r="M799" t="s">
        <v>10</v>
      </c>
      <c r="N799" t="s">
        <v>10</v>
      </c>
      <c r="O799" t="str">
        <f>INDEX(CoverageTable[Deductible Applies],MATCH(Table18[[#This Row],[Coverage]],CoverageTable[Coverage],0))</f>
        <v>No</v>
      </c>
      <c r="P799" t="str">
        <f>INDEX(CoverageTable[Coverage Limit Applies],MATCH(Table18[[#This Row],[Coverage]],CoverageTable[Coverage],0))</f>
        <v>Yes</v>
      </c>
      <c r="Q799" t="s">
        <v>10</v>
      </c>
      <c r="R799" t="s">
        <v>78</v>
      </c>
      <c r="S799" t="s">
        <v>10</v>
      </c>
      <c r="T799" t="s">
        <v>10</v>
      </c>
      <c r="U799" t="s">
        <v>10</v>
      </c>
      <c r="V799" t="s">
        <v>10</v>
      </c>
      <c r="W799" t="s">
        <v>10</v>
      </c>
    </row>
    <row r="800" spans="1:23" x14ac:dyDescent="0.3">
      <c r="A800" t="s">
        <v>891</v>
      </c>
      <c r="B800" s="7">
        <v>45819</v>
      </c>
      <c r="C800" t="s">
        <v>73</v>
      </c>
      <c r="D800" t="s">
        <v>1101</v>
      </c>
      <c r="E800" s="3">
        <v>2</v>
      </c>
      <c r="F800" s="3">
        <v>2</v>
      </c>
      <c r="G800" t="s">
        <v>10</v>
      </c>
      <c r="H800" t="s">
        <v>1107</v>
      </c>
      <c r="I800" t="s">
        <v>32</v>
      </c>
      <c r="J800" t="s">
        <v>51</v>
      </c>
      <c r="K800" t="s">
        <v>10</v>
      </c>
      <c r="L800" t="s">
        <v>10</v>
      </c>
      <c r="M800" t="s">
        <v>10</v>
      </c>
      <c r="N800" t="s">
        <v>57</v>
      </c>
      <c r="O800" t="str">
        <f>INDEX(CoverageTable[Deductible Applies],MATCH(Table18[[#This Row],[Coverage]],CoverageTable[Coverage],0))</f>
        <v>No</v>
      </c>
      <c r="P800" t="str">
        <f>INDEX(CoverageTable[Coverage Limit Applies],MATCH(Table18[[#This Row],[Coverage]],CoverageTable[Coverage],0))</f>
        <v>Yes</v>
      </c>
      <c r="Q800" t="s">
        <v>10</v>
      </c>
      <c r="R800" t="s">
        <v>78</v>
      </c>
      <c r="S800" t="s">
        <v>10</v>
      </c>
      <c r="T800" t="s">
        <v>10</v>
      </c>
      <c r="U800" t="s">
        <v>10</v>
      </c>
      <c r="V800" t="s">
        <v>10</v>
      </c>
      <c r="W800" t="s">
        <v>10</v>
      </c>
    </row>
    <row r="801" spans="1:23" x14ac:dyDescent="0.3">
      <c r="A801" t="s">
        <v>892</v>
      </c>
      <c r="B801" s="7">
        <v>45790</v>
      </c>
      <c r="C801" t="s">
        <v>74</v>
      </c>
      <c r="D801" t="s">
        <v>1101</v>
      </c>
      <c r="E801" s="3">
        <v>1</v>
      </c>
      <c r="F801" s="3">
        <v>1</v>
      </c>
      <c r="G801" t="s">
        <v>11</v>
      </c>
      <c r="H801" t="s">
        <v>1110</v>
      </c>
      <c r="I801" t="s">
        <v>32</v>
      </c>
      <c r="J801" t="s">
        <v>48</v>
      </c>
      <c r="K801" t="s">
        <v>10</v>
      </c>
      <c r="L801" t="s">
        <v>10</v>
      </c>
      <c r="M801" t="s">
        <v>10</v>
      </c>
      <c r="N801" t="s">
        <v>57</v>
      </c>
      <c r="O801" t="str">
        <f>INDEX(CoverageTable[Deductible Applies],MATCH(Table18[[#This Row],[Coverage]],CoverageTable[Coverage],0))</f>
        <v>No</v>
      </c>
      <c r="P801" t="str">
        <f>INDEX(CoverageTable[Coverage Limit Applies],MATCH(Table18[[#This Row],[Coverage]],CoverageTable[Coverage],0))</f>
        <v>Yes</v>
      </c>
      <c r="Q801" t="s">
        <v>10</v>
      </c>
      <c r="R801" t="s">
        <v>80</v>
      </c>
      <c r="S801" t="s">
        <v>57</v>
      </c>
      <c r="T801" t="s">
        <v>57</v>
      </c>
      <c r="U801" t="s">
        <v>10</v>
      </c>
      <c r="V801" t="s">
        <v>10</v>
      </c>
      <c r="W801" t="s">
        <v>10</v>
      </c>
    </row>
    <row r="802" spans="1:23" x14ac:dyDescent="0.3">
      <c r="A802" t="s">
        <v>893</v>
      </c>
      <c r="B802" s="7">
        <v>46079</v>
      </c>
      <c r="C802" t="s">
        <v>70</v>
      </c>
      <c r="D802" t="s">
        <v>1102</v>
      </c>
      <c r="E802" s="3">
        <v>3</v>
      </c>
      <c r="F802" s="3">
        <v>4</v>
      </c>
      <c r="G802" t="s">
        <v>12</v>
      </c>
      <c r="H802" t="s">
        <v>1108</v>
      </c>
      <c r="I802" t="s">
        <v>29</v>
      </c>
      <c r="J802" t="s">
        <v>48</v>
      </c>
      <c r="K802" t="s">
        <v>10</v>
      </c>
      <c r="L802" t="s">
        <v>10</v>
      </c>
      <c r="M802" t="s">
        <v>57</v>
      </c>
      <c r="N802" t="s">
        <v>57</v>
      </c>
      <c r="O802" t="str">
        <f>INDEX(CoverageTable[Deductible Applies],MATCH(Table18[[#This Row],[Coverage]],CoverageTable[Coverage],0))</f>
        <v>No</v>
      </c>
      <c r="P802" t="str">
        <f>INDEX(CoverageTable[Coverage Limit Applies],MATCH(Table18[[#This Row],[Coverage]],CoverageTable[Coverage],0))</f>
        <v>Yes</v>
      </c>
      <c r="Q802" t="s">
        <v>10</v>
      </c>
      <c r="R802" t="s">
        <v>80</v>
      </c>
      <c r="S802" t="s">
        <v>10</v>
      </c>
      <c r="T802" t="s">
        <v>10</v>
      </c>
      <c r="U802" t="s">
        <v>10</v>
      </c>
      <c r="V802" t="s">
        <v>57</v>
      </c>
      <c r="W802" t="s">
        <v>10</v>
      </c>
    </row>
    <row r="803" spans="1:23" x14ac:dyDescent="0.3">
      <c r="A803" t="s">
        <v>894</v>
      </c>
      <c r="B803" s="7">
        <v>46131</v>
      </c>
      <c r="C803" t="s">
        <v>71</v>
      </c>
      <c r="D803" t="s">
        <v>1098</v>
      </c>
      <c r="E803" s="3">
        <v>3</v>
      </c>
      <c r="F803" s="3">
        <v>3</v>
      </c>
      <c r="G803" t="s">
        <v>12</v>
      </c>
      <c r="H803" t="s">
        <v>1106</v>
      </c>
      <c r="I803" t="s">
        <v>27</v>
      </c>
      <c r="J803" t="s">
        <v>51</v>
      </c>
      <c r="K803" t="s">
        <v>10</v>
      </c>
      <c r="L803" t="s">
        <v>10</v>
      </c>
      <c r="M803" t="s">
        <v>10</v>
      </c>
      <c r="N803" t="s">
        <v>10</v>
      </c>
      <c r="O803" t="str">
        <f>INDEX(CoverageTable[Deductible Applies],MATCH(Table18[[#This Row],[Coverage]],CoverageTable[Coverage],0))</f>
        <v>Yes</v>
      </c>
      <c r="P803" t="str">
        <f>INDEX(CoverageTable[Coverage Limit Applies],MATCH(Table18[[#This Row],[Coverage]],CoverageTable[Coverage],0))</f>
        <v>No</v>
      </c>
      <c r="Q803" t="s">
        <v>79</v>
      </c>
      <c r="R803" t="s">
        <v>10</v>
      </c>
      <c r="S803" t="s">
        <v>10</v>
      </c>
      <c r="T803" t="s">
        <v>10</v>
      </c>
      <c r="U803" t="s">
        <v>10</v>
      </c>
      <c r="V803" t="s">
        <v>57</v>
      </c>
      <c r="W803" t="s">
        <v>57</v>
      </c>
    </row>
    <row r="804" spans="1:23" x14ac:dyDescent="0.3">
      <c r="A804" t="s">
        <v>895</v>
      </c>
      <c r="B804" s="7">
        <v>46010</v>
      </c>
      <c r="C804" t="s">
        <v>70</v>
      </c>
      <c r="D804" t="s">
        <v>1097</v>
      </c>
      <c r="E804" s="3">
        <v>4</v>
      </c>
      <c r="F804" s="3">
        <v>3</v>
      </c>
      <c r="G804" t="s">
        <v>12</v>
      </c>
      <c r="H804" t="s">
        <v>1110</v>
      </c>
      <c r="I804" t="s">
        <v>29</v>
      </c>
      <c r="J804" t="s">
        <v>51</v>
      </c>
      <c r="K804" t="s">
        <v>10</v>
      </c>
      <c r="L804" t="s">
        <v>10</v>
      </c>
      <c r="M804" t="s">
        <v>10</v>
      </c>
      <c r="N804" t="s">
        <v>57</v>
      </c>
      <c r="O804" t="str">
        <f>INDEX(CoverageTable[Deductible Applies],MATCH(Table18[[#This Row],[Coverage]],CoverageTable[Coverage],0))</f>
        <v>No</v>
      </c>
      <c r="P804" t="str">
        <f>INDEX(CoverageTable[Coverage Limit Applies],MATCH(Table18[[#This Row],[Coverage]],CoverageTable[Coverage],0))</f>
        <v>Yes</v>
      </c>
      <c r="Q804" t="s">
        <v>10</v>
      </c>
      <c r="R804" t="s">
        <v>79</v>
      </c>
      <c r="S804" t="s">
        <v>57</v>
      </c>
      <c r="T804" t="s">
        <v>57</v>
      </c>
      <c r="U804" t="s">
        <v>10</v>
      </c>
      <c r="V804" t="s">
        <v>57</v>
      </c>
      <c r="W804" t="s">
        <v>10</v>
      </c>
    </row>
    <row r="805" spans="1:23" x14ac:dyDescent="0.3">
      <c r="A805" t="s">
        <v>896</v>
      </c>
      <c r="B805" s="7">
        <v>46102</v>
      </c>
      <c r="C805" t="s">
        <v>73</v>
      </c>
      <c r="D805" t="s">
        <v>1101</v>
      </c>
      <c r="E805" s="3">
        <v>2</v>
      </c>
      <c r="F805" s="3">
        <v>1</v>
      </c>
      <c r="G805" t="s">
        <v>10</v>
      </c>
      <c r="H805" t="s">
        <v>1108</v>
      </c>
      <c r="I805" t="s">
        <v>35</v>
      </c>
      <c r="J805" t="s">
        <v>53</v>
      </c>
      <c r="K805" t="s">
        <v>10</v>
      </c>
      <c r="L805" t="s">
        <v>10</v>
      </c>
      <c r="M805" t="s">
        <v>10</v>
      </c>
      <c r="N805" t="s">
        <v>10</v>
      </c>
      <c r="O805" t="str">
        <f>INDEX(CoverageTable[Deductible Applies],MATCH(Table18[[#This Row],[Coverage]],CoverageTable[Coverage],0))</f>
        <v>No</v>
      </c>
      <c r="P805" t="str">
        <f>INDEX(CoverageTable[Coverage Limit Applies],MATCH(Table18[[#This Row],[Coverage]],CoverageTable[Coverage],0))</f>
        <v>Yes</v>
      </c>
      <c r="Q805" t="s">
        <v>10</v>
      </c>
      <c r="R805" t="s">
        <v>78</v>
      </c>
      <c r="S805" t="s">
        <v>10</v>
      </c>
      <c r="T805" t="s">
        <v>10</v>
      </c>
      <c r="U805" t="s">
        <v>57</v>
      </c>
      <c r="V805" t="s">
        <v>57</v>
      </c>
      <c r="W805" t="s">
        <v>57</v>
      </c>
    </row>
    <row r="806" spans="1:23" x14ac:dyDescent="0.3">
      <c r="A806" t="s">
        <v>897</v>
      </c>
      <c r="B806" s="7">
        <v>45782</v>
      </c>
      <c r="C806" t="s">
        <v>70</v>
      </c>
      <c r="D806" t="s">
        <v>1101</v>
      </c>
      <c r="E806" s="3">
        <v>2</v>
      </c>
      <c r="F806" s="3">
        <v>0</v>
      </c>
      <c r="G806" t="s">
        <v>10</v>
      </c>
      <c r="H806" t="s">
        <v>1110</v>
      </c>
      <c r="I806" t="s">
        <v>40</v>
      </c>
      <c r="J806" t="s">
        <v>54</v>
      </c>
      <c r="K806" t="s">
        <v>10</v>
      </c>
      <c r="L806" t="s">
        <v>10</v>
      </c>
      <c r="M806" t="s">
        <v>10</v>
      </c>
      <c r="N806" t="s">
        <v>10</v>
      </c>
      <c r="O806" t="str">
        <f>INDEX(CoverageTable[Deductible Applies],MATCH(Table18[[#This Row],[Coverage]],CoverageTable[Coverage],0))</f>
        <v>No</v>
      </c>
      <c r="P806" t="str">
        <f>INDEX(CoverageTable[Coverage Limit Applies],MATCH(Table18[[#This Row],[Coverage]],CoverageTable[Coverage],0))</f>
        <v>Yes</v>
      </c>
      <c r="Q806" t="s">
        <v>10</v>
      </c>
      <c r="R806" t="s">
        <v>80</v>
      </c>
      <c r="S806" t="s">
        <v>57</v>
      </c>
      <c r="T806" t="s">
        <v>10</v>
      </c>
      <c r="U806" t="s">
        <v>57</v>
      </c>
      <c r="V806" t="s">
        <v>57</v>
      </c>
      <c r="W806" t="s">
        <v>10</v>
      </c>
    </row>
    <row r="807" spans="1:23" x14ac:dyDescent="0.3">
      <c r="A807" t="s">
        <v>898</v>
      </c>
      <c r="B807" s="7">
        <v>45988</v>
      </c>
      <c r="C807" t="s">
        <v>70</v>
      </c>
      <c r="D807" t="s">
        <v>1097</v>
      </c>
      <c r="E807" s="3">
        <v>5</v>
      </c>
      <c r="F807" s="3">
        <v>0</v>
      </c>
      <c r="G807" t="s">
        <v>10</v>
      </c>
      <c r="H807" t="s">
        <v>1107</v>
      </c>
      <c r="I807" t="s">
        <v>32</v>
      </c>
      <c r="J807" t="s">
        <v>51</v>
      </c>
      <c r="K807" t="s">
        <v>10</v>
      </c>
      <c r="L807" t="s">
        <v>10</v>
      </c>
      <c r="M807" t="s">
        <v>10</v>
      </c>
      <c r="N807" t="s">
        <v>57</v>
      </c>
      <c r="O807" t="str">
        <f>INDEX(CoverageTable[Deductible Applies],MATCH(Table18[[#This Row],[Coverage]],CoverageTable[Coverage],0))</f>
        <v>No</v>
      </c>
      <c r="P807" t="str">
        <f>INDEX(CoverageTable[Coverage Limit Applies],MATCH(Table18[[#This Row],[Coverage]],CoverageTable[Coverage],0))</f>
        <v>Yes</v>
      </c>
      <c r="Q807" t="s">
        <v>10</v>
      </c>
      <c r="R807" t="s">
        <v>80</v>
      </c>
      <c r="S807" t="s">
        <v>10</v>
      </c>
      <c r="T807" t="s">
        <v>10</v>
      </c>
      <c r="U807" t="s">
        <v>10</v>
      </c>
      <c r="V807" t="s">
        <v>10</v>
      </c>
      <c r="W807" t="s">
        <v>57</v>
      </c>
    </row>
    <row r="808" spans="1:23" x14ac:dyDescent="0.3">
      <c r="A808" t="s">
        <v>899</v>
      </c>
      <c r="B808" s="7">
        <v>46076</v>
      </c>
      <c r="C808" t="s">
        <v>70</v>
      </c>
      <c r="D808" t="s">
        <v>1099</v>
      </c>
      <c r="E808" s="3">
        <v>7</v>
      </c>
      <c r="F808" s="3">
        <v>0</v>
      </c>
      <c r="G808" t="s">
        <v>11</v>
      </c>
      <c r="H808" t="s">
        <v>1106</v>
      </c>
      <c r="I808" t="s">
        <v>29</v>
      </c>
      <c r="J808" t="s">
        <v>48</v>
      </c>
      <c r="K808" t="s">
        <v>10</v>
      </c>
      <c r="L808" t="s">
        <v>10</v>
      </c>
      <c r="M808" t="s">
        <v>10</v>
      </c>
      <c r="N808" t="s">
        <v>57</v>
      </c>
      <c r="O808" t="str">
        <f>INDEX(CoverageTable[Deductible Applies],MATCH(Table18[[#This Row],[Coverage]],CoverageTable[Coverage],0))</f>
        <v>No</v>
      </c>
      <c r="P808" t="str">
        <f>INDEX(CoverageTable[Coverage Limit Applies],MATCH(Table18[[#This Row],[Coverage]],CoverageTable[Coverage],0))</f>
        <v>Yes</v>
      </c>
      <c r="Q808" t="s">
        <v>10</v>
      </c>
      <c r="R808" t="s">
        <v>78</v>
      </c>
      <c r="S808" t="s">
        <v>57</v>
      </c>
      <c r="T808" t="s">
        <v>10</v>
      </c>
      <c r="U808" t="s">
        <v>10</v>
      </c>
      <c r="V808" t="s">
        <v>10</v>
      </c>
      <c r="W808" t="s">
        <v>10</v>
      </c>
    </row>
    <row r="809" spans="1:23" x14ac:dyDescent="0.3">
      <c r="A809" t="s">
        <v>900</v>
      </c>
      <c r="B809" s="7">
        <v>45842</v>
      </c>
      <c r="C809" t="s">
        <v>71</v>
      </c>
      <c r="D809" t="s">
        <v>1101</v>
      </c>
      <c r="E809" s="3">
        <v>1</v>
      </c>
      <c r="F809" s="3">
        <v>2</v>
      </c>
      <c r="G809" t="s">
        <v>10</v>
      </c>
      <c r="H809" t="s">
        <v>1109</v>
      </c>
      <c r="I809" t="s">
        <v>40</v>
      </c>
      <c r="J809" t="s">
        <v>52</v>
      </c>
      <c r="K809" t="s">
        <v>10</v>
      </c>
      <c r="L809" t="s">
        <v>10</v>
      </c>
      <c r="M809" t="s">
        <v>57</v>
      </c>
      <c r="N809" t="s">
        <v>10</v>
      </c>
      <c r="O809" t="str">
        <f>INDEX(CoverageTable[Deductible Applies],MATCH(Table18[[#This Row],[Coverage]],CoverageTable[Coverage],0))</f>
        <v>Yes</v>
      </c>
      <c r="P809" t="str">
        <f>INDEX(CoverageTable[Coverage Limit Applies],MATCH(Table18[[#This Row],[Coverage]],CoverageTable[Coverage],0))</f>
        <v>No</v>
      </c>
      <c r="Q809" t="s">
        <v>80</v>
      </c>
      <c r="R809" t="s">
        <v>10</v>
      </c>
      <c r="S809" t="s">
        <v>10</v>
      </c>
      <c r="T809" t="s">
        <v>10</v>
      </c>
      <c r="U809" t="s">
        <v>10</v>
      </c>
      <c r="V809" t="s">
        <v>10</v>
      </c>
      <c r="W809" t="s">
        <v>10</v>
      </c>
    </row>
    <row r="810" spans="1:23" x14ac:dyDescent="0.3">
      <c r="A810" t="s">
        <v>901</v>
      </c>
      <c r="B810" s="7">
        <v>46138</v>
      </c>
      <c r="C810" t="s">
        <v>72</v>
      </c>
      <c r="D810" t="s">
        <v>1099</v>
      </c>
      <c r="E810" s="3">
        <v>1</v>
      </c>
      <c r="F810" s="3">
        <v>3</v>
      </c>
      <c r="G810" t="s">
        <v>10</v>
      </c>
      <c r="H810" t="s">
        <v>1109</v>
      </c>
      <c r="I810" t="s">
        <v>42</v>
      </c>
      <c r="J810" t="s">
        <v>51</v>
      </c>
      <c r="K810" t="s">
        <v>10</v>
      </c>
      <c r="L810" t="s">
        <v>10</v>
      </c>
      <c r="M810" t="s">
        <v>57</v>
      </c>
      <c r="N810" t="s">
        <v>57</v>
      </c>
      <c r="O810" t="str">
        <f>INDEX(CoverageTable[Deductible Applies],MATCH(Table18[[#This Row],[Coverage]],CoverageTable[Coverage],0))</f>
        <v>Yes</v>
      </c>
      <c r="P810" t="str">
        <f>INDEX(CoverageTable[Coverage Limit Applies],MATCH(Table18[[#This Row],[Coverage]],CoverageTable[Coverage],0))</f>
        <v>No</v>
      </c>
      <c r="Q810" t="s">
        <v>79</v>
      </c>
      <c r="R810" t="s">
        <v>10</v>
      </c>
      <c r="S810" t="s">
        <v>57</v>
      </c>
      <c r="T810" t="s">
        <v>10</v>
      </c>
      <c r="U810" t="s">
        <v>10</v>
      </c>
      <c r="V810" t="s">
        <v>57</v>
      </c>
      <c r="W810" t="s">
        <v>10</v>
      </c>
    </row>
    <row r="811" spans="1:23" x14ac:dyDescent="0.3">
      <c r="A811" t="s">
        <v>902</v>
      </c>
      <c r="B811" s="7">
        <v>46067</v>
      </c>
      <c r="C811" t="s">
        <v>71</v>
      </c>
      <c r="D811" t="s">
        <v>1099</v>
      </c>
      <c r="E811" s="3">
        <v>4</v>
      </c>
      <c r="F811" s="3">
        <v>3</v>
      </c>
      <c r="G811" t="s">
        <v>13</v>
      </c>
      <c r="H811" t="s">
        <v>1107</v>
      </c>
      <c r="I811" t="s">
        <v>42</v>
      </c>
      <c r="J811" t="s">
        <v>51</v>
      </c>
      <c r="K811" t="s">
        <v>10</v>
      </c>
      <c r="L811" t="s">
        <v>10</v>
      </c>
      <c r="M811" t="s">
        <v>10</v>
      </c>
      <c r="N811" t="s">
        <v>57</v>
      </c>
      <c r="O811" t="str">
        <f>INDEX(CoverageTable[Deductible Applies],MATCH(Table18[[#This Row],[Coverage]],CoverageTable[Coverage],0))</f>
        <v>Yes</v>
      </c>
      <c r="P811" t="str">
        <f>INDEX(CoverageTable[Coverage Limit Applies],MATCH(Table18[[#This Row],[Coverage]],CoverageTable[Coverage],0))</f>
        <v>No</v>
      </c>
      <c r="Q811" t="s">
        <v>80</v>
      </c>
      <c r="R811" t="s">
        <v>10</v>
      </c>
      <c r="S811" t="s">
        <v>57</v>
      </c>
      <c r="T811" t="s">
        <v>10</v>
      </c>
      <c r="U811" t="s">
        <v>57</v>
      </c>
      <c r="V811" t="s">
        <v>10</v>
      </c>
      <c r="W811" t="s">
        <v>10</v>
      </c>
    </row>
    <row r="812" spans="1:23" x14ac:dyDescent="0.3">
      <c r="A812" t="s">
        <v>903</v>
      </c>
      <c r="B812" s="7">
        <v>46120</v>
      </c>
      <c r="C812" t="s">
        <v>70</v>
      </c>
      <c r="D812" t="s">
        <v>1099</v>
      </c>
      <c r="E812" s="3">
        <v>5</v>
      </c>
      <c r="F812" s="3">
        <v>0</v>
      </c>
      <c r="G812" t="s">
        <v>10</v>
      </c>
      <c r="H812" t="s">
        <v>1108</v>
      </c>
      <c r="I812" t="s">
        <v>25</v>
      </c>
      <c r="J812" t="s">
        <v>54</v>
      </c>
      <c r="K812" t="s">
        <v>10</v>
      </c>
      <c r="L812" t="s">
        <v>10</v>
      </c>
      <c r="M812" t="s">
        <v>57</v>
      </c>
      <c r="N812" t="s">
        <v>57</v>
      </c>
      <c r="O812" t="str">
        <f>INDEX(CoverageTable[Deductible Applies],MATCH(Table18[[#This Row],[Coverage]],CoverageTable[Coverage],0))</f>
        <v>No</v>
      </c>
      <c r="P812" t="str">
        <f>INDEX(CoverageTable[Coverage Limit Applies],MATCH(Table18[[#This Row],[Coverage]],CoverageTable[Coverage],0))</f>
        <v>Yes</v>
      </c>
      <c r="Q812" t="s">
        <v>10</v>
      </c>
      <c r="R812" t="s">
        <v>78</v>
      </c>
      <c r="S812" t="s">
        <v>10</v>
      </c>
      <c r="T812" t="s">
        <v>57</v>
      </c>
      <c r="U812" t="s">
        <v>57</v>
      </c>
      <c r="V812" t="s">
        <v>10</v>
      </c>
      <c r="W812" t="s">
        <v>10</v>
      </c>
    </row>
    <row r="813" spans="1:23" x14ac:dyDescent="0.3">
      <c r="A813" t="s">
        <v>904</v>
      </c>
      <c r="B813" s="7">
        <v>45886</v>
      </c>
      <c r="C813" t="s">
        <v>70</v>
      </c>
      <c r="D813" t="s">
        <v>1100</v>
      </c>
      <c r="E813" s="3">
        <v>4</v>
      </c>
      <c r="F813" s="3">
        <v>0</v>
      </c>
      <c r="G813" t="s">
        <v>10</v>
      </c>
      <c r="H813" t="s">
        <v>1109</v>
      </c>
      <c r="I813" t="s">
        <v>37</v>
      </c>
      <c r="J813" t="s">
        <v>54</v>
      </c>
      <c r="K813" t="s">
        <v>10</v>
      </c>
      <c r="L813" t="s">
        <v>57</v>
      </c>
      <c r="M813" t="s">
        <v>10</v>
      </c>
      <c r="N813" t="s">
        <v>57</v>
      </c>
      <c r="O813" t="str">
        <f>INDEX(CoverageTable[Deductible Applies],MATCH(Table18[[#This Row],[Coverage]],CoverageTable[Coverage],0))</f>
        <v>No</v>
      </c>
      <c r="P813" t="str">
        <f>INDEX(CoverageTable[Coverage Limit Applies],MATCH(Table18[[#This Row],[Coverage]],CoverageTable[Coverage],0))</f>
        <v>Yes</v>
      </c>
      <c r="Q813" t="s">
        <v>10</v>
      </c>
      <c r="R813" t="s">
        <v>80</v>
      </c>
      <c r="S813" t="s">
        <v>57</v>
      </c>
      <c r="T813" t="s">
        <v>10</v>
      </c>
      <c r="U813" t="s">
        <v>57</v>
      </c>
      <c r="V813" t="s">
        <v>10</v>
      </c>
      <c r="W813" t="s">
        <v>10</v>
      </c>
    </row>
    <row r="814" spans="1:23" x14ac:dyDescent="0.3">
      <c r="A814" t="s">
        <v>905</v>
      </c>
      <c r="B814" s="7">
        <v>45968</v>
      </c>
      <c r="C814" t="s">
        <v>72</v>
      </c>
      <c r="D814" t="s">
        <v>1100</v>
      </c>
      <c r="E814" s="3">
        <v>5</v>
      </c>
      <c r="F814" s="3" t="s">
        <v>7</v>
      </c>
      <c r="G814" t="s">
        <v>10</v>
      </c>
      <c r="H814" t="s">
        <v>1110</v>
      </c>
      <c r="I814" t="s">
        <v>23</v>
      </c>
      <c r="J814" t="s">
        <v>50</v>
      </c>
      <c r="K814" t="s">
        <v>10</v>
      </c>
      <c r="L814" t="s">
        <v>57</v>
      </c>
      <c r="M814" t="s">
        <v>10</v>
      </c>
      <c r="N814" t="s">
        <v>57</v>
      </c>
      <c r="O814" t="str">
        <f>INDEX(CoverageTable[Deductible Applies],MATCH(Table18[[#This Row],[Coverage]],CoverageTable[Coverage],0))</f>
        <v>Yes</v>
      </c>
      <c r="P814" t="str">
        <f>INDEX(CoverageTable[Coverage Limit Applies],MATCH(Table18[[#This Row],[Coverage]],CoverageTable[Coverage],0))</f>
        <v>No</v>
      </c>
      <c r="Q814" t="s">
        <v>80</v>
      </c>
      <c r="R814" t="s">
        <v>10</v>
      </c>
      <c r="S814" t="s">
        <v>10</v>
      </c>
      <c r="T814" t="s">
        <v>10</v>
      </c>
      <c r="U814" t="s">
        <v>10</v>
      </c>
      <c r="V814" t="s">
        <v>10</v>
      </c>
      <c r="W814" t="s">
        <v>10</v>
      </c>
    </row>
    <row r="815" spans="1:23" x14ac:dyDescent="0.3">
      <c r="A815" t="s">
        <v>906</v>
      </c>
      <c r="B815" s="7">
        <v>45829</v>
      </c>
      <c r="C815" t="s">
        <v>71</v>
      </c>
      <c r="D815" t="s">
        <v>1102</v>
      </c>
      <c r="E815" s="3">
        <v>5</v>
      </c>
      <c r="F815" s="3">
        <v>3</v>
      </c>
      <c r="G815" t="s">
        <v>12</v>
      </c>
      <c r="H815" t="s">
        <v>1109</v>
      </c>
      <c r="I815" t="s">
        <v>27</v>
      </c>
      <c r="J815" t="s">
        <v>54</v>
      </c>
      <c r="K815" t="s">
        <v>10</v>
      </c>
      <c r="L815" t="s">
        <v>10</v>
      </c>
      <c r="M815" t="s">
        <v>10</v>
      </c>
      <c r="N815" t="s">
        <v>10</v>
      </c>
      <c r="O815" t="str">
        <f>INDEX(CoverageTable[Deductible Applies],MATCH(Table18[[#This Row],[Coverage]],CoverageTable[Coverage],0))</f>
        <v>Yes</v>
      </c>
      <c r="P815" t="str">
        <f>INDEX(CoverageTable[Coverage Limit Applies],MATCH(Table18[[#This Row],[Coverage]],CoverageTable[Coverage],0))</f>
        <v>No</v>
      </c>
      <c r="Q815" t="s">
        <v>78</v>
      </c>
      <c r="R815" t="s">
        <v>10</v>
      </c>
      <c r="S815" t="s">
        <v>10</v>
      </c>
      <c r="T815" t="s">
        <v>10</v>
      </c>
      <c r="U815" t="s">
        <v>57</v>
      </c>
      <c r="V815" t="s">
        <v>57</v>
      </c>
      <c r="W815" t="s">
        <v>57</v>
      </c>
    </row>
    <row r="816" spans="1:23" x14ac:dyDescent="0.3">
      <c r="A816" t="s">
        <v>907</v>
      </c>
      <c r="B816" s="7">
        <v>45963</v>
      </c>
      <c r="C816" t="s">
        <v>71</v>
      </c>
      <c r="D816" t="s">
        <v>1098</v>
      </c>
      <c r="E816" s="3">
        <v>7</v>
      </c>
      <c r="F816" s="3" t="s">
        <v>7</v>
      </c>
      <c r="G816" t="s">
        <v>13</v>
      </c>
      <c r="H816" t="s">
        <v>1107</v>
      </c>
      <c r="I816" t="s">
        <v>25</v>
      </c>
      <c r="J816" t="s">
        <v>48</v>
      </c>
      <c r="K816" t="s">
        <v>10</v>
      </c>
      <c r="L816" t="s">
        <v>57</v>
      </c>
      <c r="M816" t="s">
        <v>10</v>
      </c>
      <c r="N816" t="s">
        <v>10</v>
      </c>
      <c r="O816" t="str">
        <f>INDEX(CoverageTable[Deductible Applies],MATCH(Table18[[#This Row],[Coverage]],CoverageTable[Coverage],0))</f>
        <v>Yes</v>
      </c>
      <c r="P816" t="str">
        <f>INDEX(CoverageTable[Coverage Limit Applies],MATCH(Table18[[#This Row],[Coverage]],CoverageTable[Coverage],0))</f>
        <v>No</v>
      </c>
      <c r="Q816" t="s">
        <v>79</v>
      </c>
      <c r="R816" t="s">
        <v>10</v>
      </c>
      <c r="S816" t="s">
        <v>10</v>
      </c>
      <c r="T816" t="s">
        <v>10</v>
      </c>
      <c r="U816" t="s">
        <v>10</v>
      </c>
      <c r="V816" t="s">
        <v>10</v>
      </c>
      <c r="W816" t="s">
        <v>10</v>
      </c>
    </row>
    <row r="817" spans="1:23" x14ac:dyDescent="0.3">
      <c r="A817" t="s">
        <v>908</v>
      </c>
      <c r="B817" s="7">
        <v>46043</v>
      </c>
      <c r="C817" t="s">
        <v>70</v>
      </c>
      <c r="D817" t="s">
        <v>1102</v>
      </c>
      <c r="E817" s="3">
        <v>3</v>
      </c>
      <c r="F817" s="3" t="s">
        <v>7</v>
      </c>
      <c r="G817" t="s">
        <v>10</v>
      </c>
      <c r="H817" t="s">
        <v>1110</v>
      </c>
      <c r="I817" t="s">
        <v>23</v>
      </c>
      <c r="J817" t="s">
        <v>53</v>
      </c>
      <c r="K817" t="s">
        <v>57</v>
      </c>
      <c r="L817" t="s">
        <v>10</v>
      </c>
      <c r="M817" t="s">
        <v>10</v>
      </c>
      <c r="N817" t="s">
        <v>57</v>
      </c>
      <c r="O817" t="str">
        <f>INDEX(CoverageTable[Deductible Applies],MATCH(Table18[[#This Row],[Coverage]],CoverageTable[Coverage],0))</f>
        <v>No</v>
      </c>
      <c r="P817" t="str">
        <f>INDEX(CoverageTable[Coverage Limit Applies],MATCH(Table18[[#This Row],[Coverage]],CoverageTable[Coverage],0))</f>
        <v>Yes</v>
      </c>
      <c r="Q817" t="s">
        <v>10</v>
      </c>
      <c r="R817" t="s">
        <v>78</v>
      </c>
      <c r="S817" t="s">
        <v>10</v>
      </c>
      <c r="T817" t="s">
        <v>10</v>
      </c>
      <c r="U817" t="s">
        <v>57</v>
      </c>
      <c r="V817" t="s">
        <v>10</v>
      </c>
      <c r="W817" t="s">
        <v>57</v>
      </c>
    </row>
    <row r="818" spans="1:23" x14ac:dyDescent="0.3">
      <c r="A818" t="s">
        <v>909</v>
      </c>
      <c r="B818" s="7">
        <v>45920</v>
      </c>
      <c r="C818" t="s">
        <v>70</v>
      </c>
      <c r="D818" t="s">
        <v>1101</v>
      </c>
      <c r="E818" s="3">
        <v>7</v>
      </c>
      <c r="F818" s="3">
        <v>1</v>
      </c>
      <c r="G818" t="s">
        <v>12</v>
      </c>
      <c r="H818" t="s">
        <v>1106</v>
      </c>
      <c r="I818" t="s">
        <v>26</v>
      </c>
      <c r="J818" t="s">
        <v>51</v>
      </c>
      <c r="K818" t="s">
        <v>10</v>
      </c>
      <c r="L818" t="s">
        <v>10</v>
      </c>
      <c r="M818" t="s">
        <v>10</v>
      </c>
      <c r="N818" t="s">
        <v>10</v>
      </c>
      <c r="O818" t="str">
        <f>INDEX(CoverageTable[Deductible Applies],MATCH(Table18[[#This Row],[Coverage]],CoverageTable[Coverage],0))</f>
        <v>No</v>
      </c>
      <c r="P818" t="str">
        <f>INDEX(CoverageTable[Coverage Limit Applies],MATCH(Table18[[#This Row],[Coverage]],CoverageTable[Coverage],0))</f>
        <v>Yes</v>
      </c>
      <c r="Q818" t="s">
        <v>10</v>
      </c>
      <c r="R818" t="s">
        <v>78</v>
      </c>
      <c r="S818" t="s">
        <v>10</v>
      </c>
      <c r="T818" t="s">
        <v>10</v>
      </c>
      <c r="U818" t="s">
        <v>10</v>
      </c>
      <c r="V818" t="s">
        <v>10</v>
      </c>
      <c r="W818" t="s">
        <v>10</v>
      </c>
    </row>
    <row r="819" spans="1:23" x14ac:dyDescent="0.3">
      <c r="A819" t="s">
        <v>910</v>
      </c>
      <c r="B819" s="7">
        <v>46084</v>
      </c>
      <c r="C819" t="s">
        <v>70</v>
      </c>
      <c r="D819" t="s">
        <v>1101</v>
      </c>
      <c r="E819" s="3">
        <v>2</v>
      </c>
      <c r="F819" s="3">
        <v>0</v>
      </c>
      <c r="G819" t="s">
        <v>12</v>
      </c>
      <c r="H819" t="s">
        <v>1109</v>
      </c>
      <c r="I819" t="s">
        <v>34</v>
      </c>
      <c r="J819" t="s">
        <v>50</v>
      </c>
      <c r="K819" t="s">
        <v>10</v>
      </c>
      <c r="L819" t="s">
        <v>10</v>
      </c>
      <c r="M819" t="s">
        <v>10</v>
      </c>
      <c r="N819" t="s">
        <v>57</v>
      </c>
      <c r="O819" t="str">
        <f>INDEX(CoverageTable[Deductible Applies],MATCH(Table18[[#This Row],[Coverage]],CoverageTable[Coverage],0))</f>
        <v>No</v>
      </c>
      <c r="P819" t="str">
        <f>INDEX(CoverageTable[Coverage Limit Applies],MATCH(Table18[[#This Row],[Coverage]],CoverageTable[Coverage],0))</f>
        <v>Yes</v>
      </c>
      <c r="Q819" t="s">
        <v>10</v>
      </c>
      <c r="R819" t="s">
        <v>79</v>
      </c>
      <c r="S819" t="s">
        <v>10</v>
      </c>
      <c r="T819" t="s">
        <v>57</v>
      </c>
      <c r="U819" t="s">
        <v>10</v>
      </c>
      <c r="V819" t="s">
        <v>10</v>
      </c>
      <c r="W819" t="s">
        <v>10</v>
      </c>
    </row>
    <row r="820" spans="1:23" x14ac:dyDescent="0.3">
      <c r="A820" t="s">
        <v>911</v>
      </c>
      <c r="B820" s="7">
        <v>46051</v>
      </c>
      <c r="C820" t="s">
        <v>70</v>
      </c>
      <c r="D820" t="s">
        <v>1102</v>
      </c>
      <c r="E820" s="3">
        <v>7</v>
      </c>
      <c r="F820" s="3">
        <v>1</v>
      </c>
      <c r="G820" t="s">
        <v>10</v>
      </c>
      <c r="H820" t="s">
        <v>1108</v>
      </c>
      <c r="I820" t="s">
        <v>39</v>
      </c>
      <c r="J820" t="s">
        <v>54</v>
      </c>
      <c r="K820" t="s">
        <v>10</v>
      </c>
      <c r="L820" t="s">
        <v>10</v>
      </c>
      <c r="M820" t="s">
        <v>10</v>
      </c>
      <c r="N820" t="s">
        <v>10</v>
      </c>
      <c r="O820" t="str">
        <f>INDEX(CoverageTable[Deductible Applies],MATCH(Table18[[#This Row],[Coverage]],CoverageTable[Coverage],0))</f>
        <v>No</v>
      </c>
      <c r="P820" t="str">
        <f>INDEX(CoverageTable[Coverage Limit Applies],MATCH(Table18[[#This Row],[Coverage]],CoverageTable[Coverage],0))</f>
        <v>Yes</v>
      </c>
      <c r="Q820" t="s">
        <v>10</v>
      </c>
      <c r="R820" t="s">
        <v>78</v>
      </c>
      <c r="S820" t="s">
        <v>10</v>
      </c>
      <c r="T820" t="s">
        <v>10</v>
      </c>
      <c r="U820" t="s">
        <v>57</v>
      </c>
      <c r="V820" t="s">
        <v>57</v>
      </c>
      <c r="W820" t="s">
        <v>10</v>
      </c>
    </row>
    <row r="821" spans="1:23" x14ac:dyDescent="0.3">
      <c r="A821" t="s">
        <v>912</v>
      </c>
      <c r="B821" s="7">
        <v>46021</v>
      </c>
      <c r="C821" t="s">
        <v>74</v>
      </c>
      <c r="D821" t="s">
        <v>1100</v>
      </c>
      <c r="E821" s="3">
        <v>3</v>
      </c>
      <c r="F821" s="3">
        <v>3</v>
      </c>
      <c r="G821" t="s">
        <v>10</v>
      </c>
      <c r="H821" t="s">
        <v>1106</v>
      </c>
      <c r="I821" t="s">
        <v>29</v>
      </c>
      <c r="J821" t="s">
        <v>53</v>
      </c>
      <c r="K821" t="s">
        <v>10</v>
      </c>
      <c r="L821" t="s">
        <v>10</v>
      </c>
      <c r="M821" t="s">
        <v>10</v>
      </c>
      <c r="N821" t="s">
        <v>10</v>
      </c>
      <c r="O821" t="str">
        <f>INDEX(CoverageTable[Deductible Applies],MATCH(Table18[[#This Row],[Coverage]],CoverageTable[Coverage],0))</f>
        <v>No</v>
      </c>
      <c r="P821" t="str">
        <f>INDEX(CoverageTable[Coverage Limit Applies],MATCH(Table18[[#This Row],[Coverage]],CoverageTable[Coverage],0))</f>
        <v>Yes</v>
      </c>
      <c r="Q821" t="s">
        <v>10</v>
      </c>
      <c r="R821" t="s">
        <v>78</v>
      </c>
      <c r="S821" t="s">
        <v>10</v>
      </c>
      <c r="T821" t="s">
        <v>57</v>
      </c>
      <c r="U821" t="s">
        <v>10</v>
      </c>
      <c r="V821" t="s">
        <v>57</v>
      </c>
      <c r="W821" t="s">
        <v>10</v>
      </c>
    </row>
    <row r="822" spans="1:23" x14ac:dyDescent="0.3">
      <c r="A822" t="s">
        <v>913</v>
      </c>
      <c r="B822" s="7">
        <v>46131</v>
      </c>
      <c r="C822" t="s">
        <v>70</v>
      </c>
      <c r="D822" t="s">
        <v>1101</v>
      </c>
      <c r="E822" s="3" t="s">
        <v>1103</v>
      </c>
      <c r="F822" s="3">
        <v>4</v>
      </c>
      <c r="G822" t="s">
        <v>13</v>
      </c>
      <c r="H822" t="s">
        <v>1108</v>
      </c>
      <c r="I822" t="s">
        <v>35</v>
      </c>
      <c r="J822" t="s">
        <v>50</v>
      </c>
      <c r="K822" t="s">
        <v>10</v>
      </c>
      <c r="L822" t="s">
        <v>10</v>
      </c>
      <c r="M822" t="s">
        <v>10</v>
      </c>
      <c r="N822" t="s">
        <v>10</v>
      </c>
      <c r="O822" t="str">
        <f>INDEX(CoverageTable[Deductible Applies],MATCH(Table18[[#This Row],[Coverage]],CoverageTable[Coverage],0))</f>
        <v>No</v>
      </c>
      <c r="P822" t="str">
        <f>INDEX(CoverageTable[Coverage Limit Applies],MATCH(Table18[[#This Row],[Coverage]],CoverageTable[Coverage],0))</f>
        <v>Yes</v>
      </c>
      <c r="Q822" t="s">
        <v>10</v>
      </c>
      <c r="R822" t="s">
        <v>78</v>
      </c>
      <c r="S822" t="s">
        <v>57</v>
      </c>
      <c r="T822" t="s">
        <v>10</v>
      </c>
      <c r="U822" t="s">
        <v>10</v>
      </c>
      <c r="V822" t="s">
        <v>10</v>
      </c>
      <c r="W822" t="s">
        <v>10</v>
      </c>
    </row>
    <row r="823" spans="1:23" x14ac:dyDescent="0.3">
      <c r="A823" t="s">
        <v>914</v>
      </c>
      <c r="B823" s="7">
        <v>45968</v>
      </c>
      <c r="C823" t="s">
        <v>73</v>
      </c>
      <c r="D823" t="s">
        <v>1098</v>
      </c>
      <c r="E823" s="3">
        <v>3</v>
      </c>
      <c r="F823" s="3">
        <v>0</v>
      </c>
      <c r="G823" t="s">
        <v>12</v>
      </c>
      <c r="H823" t="s">
        <v>1110</v>
      </c>
      <c r="I823" t="s">
        <v>43</v>
      </c>
      <c r="J823" t="s">
        <v>51</v>
      </c>
      <c r="K823" t="s">
        <v>10</v>
      </c>
      <c r="L823" t="s">
        <v>10</v>
      </c>
      <c r="M823" t="s">
        <v>10</v>
      </c>
      <c r="N823" t="s">
        <v>10</v>
      </c>
      <c r="O823" t="str">
        <f>INDEX(CoverageTable[Deductible Applies],MATCH(Table18[[#This Row],[Coverage]],CoverageTable[Coverage],0))</f>
        <v>No</v>
      </c>
      <c r="P823" t="str">
        <f>INDEX(CoverageTable[Coverage Limit Applies],MATCH(Table18[[#This Row],[Coverage]],CoverageTable[Coverage],0))</f>
        <v>Yes</v>
      </c>
      <c r="Q823" t="s">
        <v>10</v>
      </c>
      <c r="R823" t="s">
        <v>78</v>
      </c>
      <c r="S823" t="s">
        <v>10</v>
      </c>
      <c r="T823" t="s">
        <v>57</v>
      </c>
      <c r="U823" t="s">
        <v>10</v>
      </c>
      <c r="V823" t="s">
        <v>10</v>
      </c>
      <c r="W823" t="s">
        <v>10</v>
      </c>
    </row>
    <row r="824" spans="1:23" x14ac:dyDescent="0.3">
      <c r="A824" t="s">
        <v>915</v>
      </c>
      <c r="B824" s="7">
        <v>45895</v>
      </c>
      <c r="C824" t="s">
        <v>74</v>
      </c>
      <c r="D824" t="s">
        <v>1097</v>
      </c>
      <c r="E824" s="3" t="s">
        <v>1103</v>
      </c>
      <c r="F824" s="3">
        <v>3</v>
      </c>
      <c r="G824" t="s">
        <v>11</v>
      </c>
      <c r="H824" t="s">
        <v>1109</v>
      </c>
      <c r="I824" t="s">
        <v>44</v>
      </c>
      <c r="J824" t="s">
        <v>52</v>
      </c>
      <c r="K824" t="s">
        <v>10</v>
      </c>
      <c r="L824" t="s">
        <v>10</v>
      </c>
      <c r="M824" t="s">
        <v>10</v>
      </c>
      <c r="N824" t="s">
        <v>57</v>
      </c>
      <c r="O824" t="str">
        <f>INDEX(CoverageTable[Deductible Applies],MATCH(Table18[[#This Row],[Coverage]],CoverageTable[Coverage],0))</f>
        <v>No</v>
      </c>
      <c r="P824" t="str">
        <f>INDEX(CoverageTable[Coverage Limit Applies],MATCH(Table18[[#This Row],[Coverage]],CoverageTable[Coverage],0))</f>
        <v>Yes</v>
      </c>
      <c r="Q824" t="s">
        <v>10</v>
      </c>
      <c r="R824" t="s">
        <v>78</v>
      </c>
      <c r="S824" t="s">
        <v>10</v>
      </c>
      <c r="T824" t="s">
        <v>57</v>
      </c>
      <c r="U824" t="s">
        <v>57</v>
      </c>
      <c r="V824" t="s">
        <v>10</v>
      </c>
      <c r="W824" t="s">
        <v>57</v>
      </c>
    </row>
    <row r="825" spans="1:23" x14ac:dyDescent="0.3">
      <c r="A825" t="s">
        <v>916</v>
      </c>
      <c r="B825" s="7">
        <v>46043</v>
      </c>
      <c r="C825" t="s">
        <v>72</v>
      </c>
      <c r="D825" t="s">
        <v>1100</v>
      </c>
      <c r="E825" s="3">
        <v>7</v>
      </c>
      <c r="F825" s="3" t="s">
        <v>7</v>
      </c>
      <c r="G825" t="s">
        <v>13</v>
      </c>
      <c r="H825" t="s">
        <v>1109</v>
      </c>
      <c r="I825" t="s">
        <v>24</v>
      </c>
      <c r="J825" t="s">
        <v>52</v>
      </c>
      <c r="K825" t="s">
        <v>10</v>
      </c>
      <c r="L825" t="s">
        <v>10</v>
      </c>
      <c r="M825" t="s">
        <v>10</v>
      </c>
      <c r="N825" t="s">
        <v>10</v>
      </c>
      <c r="O825" t="str">
        <f>INDEX(CoverageTable[Deductible Applies],MATCH(Table18[[#This Row],[Coverage]],CoverageTable[Coverage],0))</f>
        <v>Yes</v>
      </c>
      <c r="P825" t="str">
        <f>INDEX(CoverageTable[Coverage Limit Applies],MATCH(Table18[[#This Row],[Coverage]],CoverageTable[Coverage],0))</f>
        <v>No</v>
      </c>
      <c r="Q825" t="s">
        <v>78</v>
      </c>
      <c r="R825" t="s">
        <v>10</v>
      </c>
      <c r="S825" t="s">
        <v>10</v>
      </c>
      <c r="T825" t="s">
        <v>10</v>
      </c>
      <c r="U825" t="s">
        <v>10</v>
      </c>
      <c r="V825" t="s">
        <v>57</v>
      </c>
      <c r="W825" t="s">
        <v>10</v>
      </c>
    </row>
    <row r="826" spans="1:23" x14ac:dyDescent="0.3">
      <c r="A826" t="s">
        <v>917</v>
      </c>
      <c r="B826" s="7">
        <v>46010</v>
      </c>
      <c r="C826" t="s">
        <v>71</v>
      </c>
      <c r="D826" t="s">
        <v>1100</v>
      </c>
      <c r="E826" s="3" t="s">
        <v>1103</v>
      </c>
      <c r="F826" s="3">
        <v>3</v>
      </c>
      <c r="G826" t="s">
        <v>10</v>
      </c>
      <c r="H826" t="s">
        <v>1110</v>
      </c>
      <c r="I826" t="s">
        <v>30</v>
      </c>
      <c r="J826" t="s">
        <v>54</v>
      </c>
      <c r="K826" t="s">
        <v>10</v>
      </c>
      <c r="L826" t="s">
        <v>10</v>
      </c>
      <c r="M826" t="s">
        <v>57</v>
      </c>
      <c r="N826" t="s">
        <v>10</v>
      </c>
      <c r="O826" t="str">
        <f>INDEX(CoverageTable[Deductible Applies],MATCH(Table18[[#This Row],[Coverage]],CoverageTable[Coverage],0))</f>
        <v>Yes</v>
      </c>
      <c r="P826" t="str">
        <f>INDEX(CoverageTable[Coverage Limit Applies],MATCH(Table18[[#This Row],[Coverage]],CoverageTable[Coverage],0))</f>
        <v>No</v>
      </c>
      <c r="Q826" t="s">
        <v>79</v>
      </c>
      <c r="R826" t="s">
        <v>10</v>
      </c>
      <c r="S826" t="s">
        <v>10</v>
      </c>
      <c r="T826" t="s">
        <v>57</v>
      </c>
      <c r="U826" t="s">
        <v>10</v>
      </c>
      <c r="V826" t="s">
        <v>57</v>
      </c>
      <c r="W826" t="s">
        <v>10</v>
      </c>
    </row>
    <row r="827" spans="1:23" x14ac:dyDescent="0.3">
      <c r="A827" t="s">
        <v>918</v>
      </c>
      <c r="B827" s="7">
        <v>45839</v>
      </c>
      <c r="C827" t="s">
        <v>70</v>
      </c>
      <c r="D827" t="s">
        <v>1102</v>
      </c>
      <c r="E827" s="3">
        <v>7</v>
      </c>
      <c r="F827" s="3" t="s">
        <v>7</v>
      </c>
      <c r="G827" t="s">
        <v>13</v>
      </c>
      <c r="H827" t="s">
        <v>1108</v>
      </c>
      <c r="I827" t="s">
        <v>33</v>
      </c>
      <c r="J827" t="s">
        <v>52</v>
      </c>
      <c r="K827" t="s">
        <v>10</v>
      </c>
      <c r="L827" t="s">
        <v>10</v>
      </c>
      <c r="M827" t="s">
        <v>10</v>
      </c>
      <c r="N827" t="s">
        <v>10</v>
      </c>
      <c r="O827" t="str">
        <f>INDEX(CoverageTable[Deductible Applies],MATCH(Table18[[#This Row],[Coverage]],CoverageTable[Coverage],0))</f>
        <v>No</v>
      </c>
      <c r="P827" t="str">
        <f>INDEX(CoverageTable[Coverage Limit Applies],MATCH(Table18[[#This Row],[Coverage]],CoverageTable[Coverage],0))</f>
        <v>Yes</v>
      </c>
      <c r="Q827" t="s">
        <v>10</v>
      </c>
      <c r="R827" t="s">
        <v>79</v>
      </c>
      <c r="S827" t="s">
        <v>10</v>
      </c>
      <c r="T827" t="s">
        <v>10</v>
      </c>
      <c r="U827" t="s">
        <v>10</v>
      </c>
      <c r="V827" t="s">
        <v>57</v>
      </c>
      <c r="W827" t="s">
        <v>10</v>
      </c>
    </row>
    <row r="828" spans="1:23" x14ac:dyDescent="0.3">
      <c r="A828" t="s">
        <v>919</v>
      </c>
      <c r="B828" s="7">
        <v>45910</v>
      </c>
      <c r="C828" t="s">
        <v>70</v>
      </c>
      <c r="D828" t="s">
        <v>1102</v>
      </c>
      <c r="E828" s="3">
        <v>2</v>
      </c>
      <c r="F828" s="3">
        <v>0</v>
      </c>
      <c r="G828" t="s">
        <v>10</v>
      </c>
      <c r="H828" t="s">
        <v>1108</v>
      </c>
      <c r="I828" t="s">
        <v>33</v>
      </c>
      <c r="J828" t="s">
        <v>50</v>
      </c>
      <c r="K828" t="s">
        <v>10</v>
      </c>
      <c r="L828" t="s">
        <v>10</v>
      </c>
      <c r="M828" t="s">
        <v>10</v>
      </c>
      <c r="N828" t="s">
        <v>57</v>
      </c>
      <c r="O828" t="str">
        <f>INDEX(CoverageTable[Deductible Applies],MATCH(Table18[[#This Row],[Coverage]],CoverageTable[Coverage],0))</f>
        <v>No</v>
      </c>
      <c r="P828" t="str">
        <f>INDEX(CoverageTable[Coverage Limit Applies],MATCH(Table18[[#This Row],[Coverage]],CoverageTable[Coverage],0))</f>
        <v>Yes</v>
      </c>
      <c r="Q828" t="s">
        <v>10</v>
      </c>
      <c r="R828" t="s">
        <v>79</v>
      </c>
      <c r="S828" t="s">
        <v>10</v>
      </c>
      <c r="T828" t="s">
        <v>10</v>
      </c>
      <c r="U828" t="s">
        <v>57</v>
      </c>
      <c r="V828" t="s">
        <v>10</v>
      </c>
      <c r="W828" t="s">
        <v>10</v>
      </c>
    </row>
    <row r="829" spans="1:23" x14ac:dyDescent="0.3">
      <c r="A829" t="s">
        <v>920</v>
      </c>
      <c r="B829" s="7">
        <v>45913</v>
      </c>
      <c r="C829" t="s">
        <v>70</v>
      </c>
      <c r="D829" t="s">
        <v>1100</v>
      </c>
      <c r="E829" s="3">
        <v>2</v>
      </c>
      <c r="F829" s="3">
        <v>3</v>
      </c>
      <c r="G829" t="s">
        <v>11</v>
      </c>
      <c r="H829" t="s">
        <v>1108</v>
      </c>
      <c r="I829" t="s">
        <v>33</v>
      </c>
      <c r="J829" t="s">
        <v>50</v>
      </c>
      <c r="K829" t="s">
        <v>10</v>
      </c>
      <c r="L829" t="s">
        <v>10</v>
      </c>
      <c r="M829" t="s">
        <v>10</v>
      </c>
      <c r="N829" t="s">
        <v>10</v>
      </c>
      <c r="O829" t="str">
        <f>INDEX(CoverageTable[Deductible Applies],MATCH(Table18[[#This Row],[Coverage]],CoverageTable[Coverage],0))</f>
        <v>No</v>
      </c>
      <c r="P829" t="str">
        <f>INDEX(CoverageTable[Coverage Limit Applies],MATCH(Table18[[#This Row],[Coverage]],CoverageTable[Coverage],0))</f>
        <v>Yes</v>
      </c>
      <c r="Q829" t="s">
        <v>10</v>
      </c>
      <c r="R829" t="s">
        <v>78</v>
      </c>
      <c r="S829" t="s">
        <v>57</v>
      </c>
      <c r="T829" t="s">
        <v>57</v>
      </c>
      <c r="U829" t="s">
        <v>10</v>
      </c>
      <c r="V829" t="s">
        <v>10</v>
      </c>
      <c r="W829" t="s">
        <v>57</v>
      </c>
    </row>
    <row r="830" spans="1:23" x14ac:dyDescent="0.3">
      <c r="A830" t="s">
        <v>921</v>
      </c>
      <c r="B830" s="7">
        <v>45950</v>
      </c>
      <c r="C830" t="s">
        <v>74</v>
      </c>
      <c r="D830" t="s">
        <v>1100</v>
      </c>
      <c r="E830" s="3">
        <v>2</v>
      </c>
      <c r="F830" s="3">
        <v>1</v>
      </c>
      <c r="G830" t="s">
        <v>10</v>
      </c>
      <c r="H830" t="s">
        <v>1110</v>
      </c>
      <c r="I830" t="s">
        <v>38</v>
      </c>
      <c r="J830" t="s">
        <v>48</v>
      </c>
      <c r="K830" t="s">
        <v>10</v>
      </c>
      <c r="L830" t="s">
        <v>10</v>
      </c>
      <c r="M830" t="s">
        <v>10</v>
      </c>
      <c r="N830" t="s">
        <v>10</v>
      </c>
      <c r="O830" t="str">
        <f>INDEX(CoverageTable[Deductible Applies],MATCH(Table18[[#This Row],[Coverage]],CoverageTable[Coverage],0))</f>
        <v>No</v>
      </c>
      <c r="P830" t="str">
        <f>INDEX(CoverageTable[Coverage Limit Applies],MATCH(Table18[[#This Row],[Coverage]],CoverageTable[Coverage],0))</f>
        <v>Yes</v>
      </c>
      <c r="Q830" t="s">
        <v>10</v>
      </c>
      <c r="R830" t="s">
        <v>80</v>
      </c>
      <c r="S830" t="s">
        <v>10</v>
      </c>
      <c r="T830" t="s">
        <v>57</v>
      </c>
      <c r="U830" t="s">
        <v>10</v>
      </c>
      <c r="V830" t="s">
        <v>10</v>
      </c>
      <c r="W830" t="s">
        <v>57</v>
      </c>
    </row>
    <row r="831" spans="1:23" x14ac:dyDescent="0.3">
      <c r="A831" t="s">
        <v>922</v>
      </c>
      <c r="B831" s="7">
        <v>45880</v>
      </c>
      <c r="C831" t="s">
        <v>72</v>
      </c>
      <c r="D831" t="s">
        <v>1102</v>
      </c>
      <c r="E831" s="3">
        <v>3</v>
      </c>
      <c r="F831" s="3">
        <v>2</v>
      </c>
      <c r="G831" t="s">
        <v>10</v>
      </c>
      <c r="H831" t="s">
        <v>1110</v>
      </c>
      <c r="I831" t="s">
        <v>41</v>
      </c>
      <c r="J831" t="s">
        <v>51</v>
      </c>
      <c r="K831" t="s">
        <v>10</v>
      </c>
      <c r="L831" t="s">
        <v>10</v>
      </c>
      <c r="M831" t="s">
        <v>10</v>
      </c>
      <c r="N831" t="s">
        <v>10</v>
      </c>
      <c r="O831" t="str">
        <f>INDEX(CoverageTable[Deductible Applies],MATCH(Table18[[#This Row],[Coverage]],CoverageTable[Coverage],0))</f>
        <v>Yes</v>
      </c>
      <c r="P831" t="str">
        <f>INDEX(CoverageTable[Coverage Limit Applies],MATCH(Table18[[#This Row],[Coverage]],CoverageTable[Coverage],0))</f>
        <v>No</v>
      </c>
      <c r="Q831" t="s">
        <v>80</v>
      </c>
      <c r="R831" t="s">
        <v>10</v>
      </c>
      <c r="S831" t="s">
        <v>10</v>
      </c>
      <c r="T831" t="s">
        <v>10</v>
      </c>
      <c r="U831" t="s">
        <v>57</v>
      </c>
      <c r="V831" t="s">
        <v>10</v>
      </c>
      <c r="W831" t="s">
        <v>57</v>
      </c>
    </row>
    <row r="832" spans="1:23" x14ac:dyDescent="0.3">
      <c r="A832" t="s">
        <v>923</v>
      </c>
      <c r="B832" s="7">
        <v>46098</v>
      </c>
      <c r="C832" t="s">
        <v>70</v>
      </c>
      <c r="D832" t="s">
        <v>1101</v>
      </c>
      <c r="E832" s="3">
        <v>4</v>
      </c>
      <c r="F832" s="3">
        <v>0</v>
      </c>
      <c r="G832" t="s">
        <v>10</v>
      </c>
      <c r="H832" t="s">
        <v>1107</v>
      </c>
      <c r="I832" t="s">
        <v>34</v>
      </c>
      <c r="J832" t="s">
        <v>49</v>
      </c>
      <c r="K832" t="s">
        <v>10</v>
      </c>
      <c r="L832" t="s">
        <v>57</v>
      </c>
      <c r="M832" t="s">
        <v>57</v>
      </c>
      <c r="N832" t="s">
        <v>57</v>
      </c>
      <c r="O832" t="str">
        <f>INDEX(CoverageTable[Deductible Applies],MATCH(Table18[[#This Row],[Coverage]],CoverageTable[Coverage],0))</f>
        <v>No</v>
      </c>
      <c r="P832" t="str">
        <f>INDEX(CoverageTable[Coverage Limit Applies],MATCH(Table18[[#This Row],[Coverage]],CoverageTable[Coverage],0))</f>
        <v>Yes</v>
      </c>
      <c r="Q832" t="s">
        <v>10</v>
      </c>
      <c r="R832" t="s">
        <v>80</v>
      </c>
      <c r="S832" t="s">
        <v>10</v>
      </c>
      <c r="T832" t="s">
        <v>10</v>
      </c>
      <c r="U832" t="s">
        <v>10</v>
      </c>
      <c r="V832" t="s">
        <v>10</v>
      </c>
      <c r="W832" t="s">
        <v>57</v>
      </c>
    </row>
    <row r="833" spans="1:23" x14ac:dyDescent="0.3">
      <c r="A833" t="s">
        <v>924</v>
      </c>
      <c r="B833" s="7">
        <v>46052</v>
      </c>
      <c r="C833" t="s">
        <v>71</v>
      </c>
      <c r="D833" t="s">
        <v>1099</v>
      </c>
      <c r="E833" s="3">
        <v>2</v>
      </c>
      <c r="F833" s="3">
        <v>3</v>
      </c>
      <c r="G833" t="s">
        <v>10</v>
      </c>
      <c r="H833" t="s">
        <v>1107</v>
      </c>
      <c r="I833" t="s">
        <v>27</v>
      </c>
      <c r="J833" t="s">
        <v>54</v>
      </c>
      <c r="K833" t="s">
        <v>57</v>
      </c>
      <c r="L833" t="s">
        <v>57</v>
      </c>
      <c r="M833" t="s">
        <v>10</v>
      </c>
      <c r="N833" t="s">
        <v>10</v>
      </c>
      <c r="O833" t="str">
        <f>INDEX(CoverageTable[Deductible Applies],MATCH(Table18[[#This Row],[Coverage]],CoverageTable[Coverage],0))</f>
        <v>Yes</v>
      </c>
      <c r="P833" t="str">
        <f>INDEX(CoverageTable[Coverage Limit Applies],MATCH(Table18[[#This Row],[Coverage]],CoverageTable[Coverage],0))</f>
        <v>No</v>
      </c>
      <c r="Q833" t="s">
        <v>79</v>
      </c>
      <c r="R833" t="s">
        <v>10</v>
      </c>
      <c r="S833" t="s">
        <v>10</v>
      </c>
      <c r="T833" t="s">
        <v>10</v>
      </c>
      <c r="U833" t="s">
        <v>10</v>
      </c>
      <c r="V833" t="s">
        <v>57</v>
      </c>
      <c r="W833" t="s">
        <v>10</v>
      </c>
    </row>
    <row r="834" spans="1:23" x14ac:dyDescent="0.3">
      <c r="A834" t="s">
        <v>925</v>
      </c>
      <c r="B834" s="7">
        <v>46126</v>
      </c>
      <c r="C834" t="s">
        <v>72</v>
      </c>
      <c r="D834" t="s">
        <v>1101</v>
      </c>
      <c r="E834" s="3">
        <v>6</v>
      </c>
      <c r="F834" s="3" t="s">
        <v>7</v>
      </c>
      <c r="G834" t="s">
        <v>13</v>
      </c>
      <c r="H834" t="s">
        <v>1110</v>
      </c>
      <c r="I834" t="s">
        <v>33</v>
      </c>
      <c r="J834" t="s">
        <v>54</v>
      </c>
      <c r="K834" t="s">
        <v>10</v>
      </c>
      <c r="L834" t="s">
        <v>10</v>
      </c>
      <c r="M834" t="s">
        <v>10</v>
      </c>
      <c r="N834" t="s">
        <v>57</v>
      </c>
      <c r="O834" t="str">
        <f>INDEX(CoverageTable[Deductible Applies],MATCH(Table18[[#This Row],[Coverage]],CoverageTable[Coverage],0))</f>
        <v>Yes</v>
      </c>
      <c r="P834" t="str">
        <f>INDEX(CoverageTable[Coverage Limit Applies],MATCH(Table18[[#This Row],[Coverage]],CoverageTable[Coverage],0))</f>
        <v>No</v>
      </c>
      <c r="Q834" t="s">
        <v>78</v>
      </c>
      <c r="R834" t="s">
        <v>10</v>
      </c>
      <c r="S834" t="s">
        <v>10</v>
      </c>
      <c r="T834" t="s">
        <v>57</v>
      </c>
      <c r="U834" t="s">
        <v>10</v>
      </c>
      <c r="V834" t="s">
        <v>10</v>
      </c>
      <c r="W834" t="s">
        <v>10</v>
      </c>
    </row>
    <row r="835" spans="1:23" x14ac:dyDescent="0.3">
      <c r="A835" t="s">
        <v>926</v>
      </c>
      <c r="B835" s="7">
        <v>46040</v>
      </c>
      <c r="C835" t="s">
        <v>70</v>
      </c>
      <c r="D835" t="s">
        <v>1099</v>
      </c>
      <c r="E835" s="3">
        <v>7</v>
      </c>
      <c r="F835" s="3">
        <v>1</v>
      </c>
      <c r="G835" t="s">
        <v>13</v>
      </c>
      <c r="H835" t="s">
        <v>1109</v>
      </c>
      <c r="I835" t="s">
        <v>28</v>
      </c>
      <c r="J835" t="s">
        <v>54</v>
      </c>
      <c r="K835" t="s">
        <v>10</v>
      </c>
      <c r="L835" t="s">
        <v>10</v>
      </c>
      <c r="M835" t="s">
        <v>10</v>
      </c>
      <c r="N835" t="s">
        <v>57</v>
      </c>
      <c r="O835" t="str">
        <f>INDEX(CoverageTable[Deductible Applies],MATCH(Table18[[#This Row],[Coverage]],CoverageTable[Coverage],0))</f>
        <v>No</v>
      </c>
      <c r="P835" t="str">
        <f>INDEX(CoverageTable[Coverage Limit Applies],MATCH(Table18[[#This Row],[Coverage]],CoverageTable[Coverage],0))</f>
        <v>Yes</v>
      </c>
      <c r="Q835" t="s">
        <v>10</v>
      </c>
      <c r="R835" t="s">
        <v>78</v>
      </c>
      <c r="S835" t="s">
        <v>10</v>
      </c>
      <c r="T835" t="s">
        <v>10</v>
      </c>
      <c r="U835" t="s">
        <v>10</v>
      </c>
      <c r="V835" t="s">
        <v>10</v>
      </c>
      <c r="W835" t="s">
        <v>10</v>
      </c>
    </row>
    <row r="836" spans="1:23" x14ac:dyDescent="0.3">
      <c r="A836" t="s">
        <v>927</v>
      </c>
      <c r="B836" s="7">
        <v>46100</v>
      </c>
      <c r="C836" t="s">
        <v>71</v>
      </c>
      <c r="D836" t="s">
        <v>1099</v>
      </c>
      <c r="E836" s="3">
        <v>1</v>
      </c>
      <c r="F836" s="3">
        <v>1</v>
      </c>
      <c r="G836" t="s">
        <v>10</v>
      </c>
      <c r="H836" t="s">
        <v>1110</v>
      </c>
      <c r="I836" t="s">
        <v>36</v>
      </c>
      <c r="J836" t="s">
        <v>53</v>
      </c>
      <c r="K836" t="s">
        <v>10</v>
      </c>
      <c r="L836" t="s">
        <v>10</v>
      </c>
      <c r="M836" t="s">
        <v>10</v>
      </c>
      <c r="N836" t="s">
        <v>57</v>
      </c>
      <c r="O836" t="str">
        <f>INDEX(CoverageTable[Deductible Applies],MATCH(Table18[[#This Row],[Coverage]],CoverageTable[Coverage],0))</f>
        <v>Yes</v>
      </c>
      <c r="P836" t="str">
        <f>INDEX(CoverageTable[Coverage Limit Applies],MATCH(Table18[[#This Row],[Coverage]],CoverageTable[Coverage],0))</f>
        <v>No</v>
      </c>
      <c r="Q836" t="s">
        <v>79</v>
      </c>
      <c r="R836" t="s">
        <v>10</v>
      </c>
      <c r="S836" t="s">
        <v>10</v>
      </c>
      <c r="T836" t="s">
        <v>10</v>
      </c>
      <c r="U836" t="s">
        <v>10</v>
      </c>
      <c r="V836" t="s">
        <v>10</v>
      </c>
      <c r="W836" t="s">
        <v>57</v>
      </c>
    </row>
    <row r="837" spans="1:23" x14ac:dyDescent="0.3">
      <c r="A837" t="s">
        <v>928</v>
      </c>
      <c r="B837" s="7">
        <v>45836</v>
      </c>
      <c r="C837" t="s">
        <v>70</v>
      </c>
      <c r="D837" t="s">
        <v>1099</v>
      </c>
      <c r="E837" s="3">
        <v>6</v>
      </c>
      <c r="F837" s="3">
        <v>1</v>
      </c>
      <c r="G837" t="s">
        <v>13</v>
      </c>
      <c r="H837" t="s">
        <v>1106</v>
      </c>
      <c r="I837" t="s">
        <v>34</v>
      </c>
      <c r="J837" t="s">
        <v>50</v>
      </c>
      <c r="K837" t="s">
        <v>10</v>
      </c>
      <c r="L837" t="s">
        <v>57</v>
      </c>
      <c r="M837" t="s">
        <v>10</v>
      </c>
      <c r="N837" t="s">
        <v>57</v>
      </c>
      <c r="O837" t="str">
        <f>INDEX(CoverageTable[Deductible Applies],MATCH(Table18[[#This Row],[Coverage]],CoverageTable[Coverage],0))</f>
        <v>No</v>
      </c>
      <c r="P837" t="str">
        <f>INDEX(CoverageTable[Coverage Limit Applies],MATCH(Table18[[#This Row],[Coverage]],CoverageTable[Coverage],0))</f>
        <v>Yes</v>
      </c>
      <c r="Q837" t="s">
        <v>10</v>
      </c>
      <c r="R837" t="s">
        <v>78</v>
      </c>
      <c r="S837" t="s">
        <v>10</v>
      </c>
      <c r="T837" t="s">
        <v>57</v>
      </c>
      <c r="U837" t="s">
        <v>10</v>
      </c>
      <c r="V837" t="s">
        <v>10</v>
      </c>
      <c r="W837" t="s">
        <v>10</v>
      </c>
    </row>
    <row r="838" spans="1:23" x14ac:dyDescent="0.3">
      <c r="A838" t="s">
        <v>929</v>
      </c>
      <c r="B838" s="7">
        <v>46136</v>
      </c>
      <c r="C838" t="s">
        <v>71</v>
      </c>
      <c r="D838" t="s">
        <v>1097</v>
      </c>
      <c r="E838" s="3" t="s">
        <v>1103</v>
      </c>
      <c r="F838" s="3">
        <v>2</v>
      </c>
      <c r="G838" t="s">
        <v>10</v>
      </c>
      <c r="H838" t="s">
        <v>1110</v>
      </c>
      <c r="I838" t="s">
        <v>31</v>
      </c>
      <c r="J838" t="s">
        <v>54</v>
      </c>
      <c r="K838" t="s">
        <v>10</v>
      </c>
      <c r="L838" t="s">
        <v>10</v>
      </c>
      <c r="M838" t="s">
        <v>10</v>
      </c>
      <c r="N838" t="s">
        <v>10</v>
      </c>
      <c r="O838" t="str">
        <f>INDEX(CoverageTable[Deductible Applies],MATCH(Table18[[#This Row],[Coverage]],CoverageTable[Coverage],0))</f>
        <v>Yes</v>
      </c>
      <c r="P838" t="str">
        <f>INDEX(CoverageTable[Coverage Limit Applies],MATCH(Table18[[#This Row],[Coverage]],CoverageTable[Coverage],0))</f>
        <v>No</v>
      </c>
      <c r="Q838" t="s">
        <v>78</v>
      </c>
      <c r="R838" t="s">
        <v>10</v>
      </c>
      <c r="S838" t="s">
        <v>57</v>
      </c>
      <c r="T838" t="s">
        <v>10</v>
      </c>
      <c r="U838" t="s">
        <v>10</v>
      </c>
      <c r="V838" t="s">
        <v>10</v>
      </c>
      <c r="W838" t="s">
        <v>57</v>
      </c>
    </row>
    <row r="839" spans="1:23" x14ac:dyDescent="0.3">
      <c r="A839" t="s">
        <v>930</v>
      </c>
      <c r="B839" s="7">
        <v>46117</v>
      </c>
      <c r="C839" t="s">
        <v>70</v>
      </c>
      <c r="D839" t="s">
        <v>1101</v>
      </c>
      <c r="E839" s="3">
        <v>5</v>
      </c>
      <c r="F839" s="3">
        <v>4</v>
      </c>
      <c r="G839" t="s">
        <v>10</v>
      </c>
      <c r="H839" t="s">
        <v>1108</v>
      </c>
      <c r="I839" t="s">
        <v>31</v>
      </c>
      <c r="J839" t="s">
        <v>53</v>
      </c>
      <c r="K839" t="s">
        <v>10</v>
      </c>
      <c r="L839" t="s">
        <v>10</v>
      </c>
      <c r="M839" t="s">
        <v>10</v>
      </c>
      <c r="N839" t="s">
        <v>10</v>
      </c>
      <c r="O839" t="str">
        <f>INDEX(CoverageTable[Deductible Applies],MATCH(Table18[[#This Row],[Coverage]],CoverageTable[Coverage],0))</f>
        <v>No</v>
      </c>
      <c r="P839" t="str">
        <f>INDEX(CoverageTable[Coverage Limit Applies],MATCH(Table18[[#This Row],[Coverage]],CoverageTable[Coverage],0))</f>
        <v>Yes</v>
      </c>
      <c r="Q839" t="s">
        <v>10</v>
      </c>
      <c r="R839" t="s">
        <v>80</v>
      </c>
      <c r="S839" t="s">
        <v>10</v>
      </c>
      <c r="T839" t="s">
        <v>10</v>
      </c>
      <c r="U839" t="s">
        <v>10</v>
      </c>
      <c r="V839" t="s">
        <v>10</v>
      </c>
      <c r="W839" t="s">
        <v>57</v>
      </c>
    </row>
    <row r="840" spans="1:23" x14ac:dyDescent="0.3">
      <c r="A840" t="s">
        <v>931</v>
      </c>
      <c r="B840" s="7">
        <v>45782</v>
      </c>
      <c r="C840" t="s">
        <v>71</v>
      </c>
      <c r="D840" t="s">
        <v>1099</v>
      </c>
      <c r="E840" s="3">
        <v>6</v>
      </c>
      <c r="F840" s="3">
        <v>4</v>
      </c>
      <c r="G840" t="s">
        <v>11</v>
      </c>
      <c r="H840" t="s">
        <v>1108</v>
      </c>
      <c r="I840" t="s">
        <v>41</v>
      </c>
      <c r="J840" t="s">
        <v>52</v>
      </c>
      <c r="K840" t="s">
        <v>10</v>
      </c>
      <c r="L840" t="s">
        <v>57</v>
      </c>
      <c r="M840" t="s">
        <v>10</v>
      </c>
      <c r="N840" t="s">
        <v>10</v>
      </c>
      <c r="O840" t="str">
        <f>INDEX(CoverageTable[Deductible Applies],MATCH(Table18[[#This Row],[Coverage]],CoverageTable[Coverage],0))</f>
        <v>Yes</v>
      </c>
      <c r="P840" t="str">
        <f>INDEX(CoverageTable[Coverage Limit Applies],MATCH(Table18[[#This Row],[Coverage]],CoverageTable[Coverage],0))</f>
        <v>No</v>
      </c>
      <c r="Q840" t="s">
        <v>80</v>
      </c>
      <c r="R840" t="s">
        <v>10</v>
      </c>
      <c r="S840" t="s">
        <v>10</v>
      </c>
      <c r="T840" t="s">
        <v>10</v>
      </c>
      <c r="U840" t="s">
        <v>10</v>
      </c>
      <c r="V840" t="s">
        <v>10</v>
      </c>
      <c r="W840" t="s">
        <v>10</v>
      </c>
    </row>
    <row r="841" spans="1:23" x14ac:dyDescent="0.3">
      <c r="A841" t="s">
        <v>932</v>
      </c>
      <c r="B841" s="7">
        <v>46137</v>
      </c>
      <c r="C841" t="s">
        <v>71</v>
      </c>
      <c r="D841" t="s">
        <v>1100</v>
      </c>
      <c r="E841" s="3">
        <v>5</v>
      </c>
      <c r="F841" s="3">
        <v>4</v>
      </c>
      <c r="G841" t="s">
        <v>10</v>
      </c>
      <c r="H841" t="s">
        <v>1109</v>
      </c>
      <c r="I841" t="s">
        <v>31</v>
      </c>
      <c r="J841" t="s">
        <v>52</v>
      </c>
      <c r="K841" t="s">
        <v>10</v>
      </c>
      <c r="L841" t="s">
        <v>10</v>
      </c>
      <c r="M841" t="s">
        <v>10</v>
      </c>
      <c r="N841" t="s">
        <v>57</v>
      </c>
      <c r="O841" t="str">
        <f>INDEX(CoverageTable[Deductible Applies],MATCH(Table18[[#This Row],[Coverage]],CoverageTable[Coverage],0))</f>
        <v>Yes</v>
      </c>
      <c r="P841" t="str">
        <f>INDEX(CoverageTable[Coverage Limit Applies],MATCH(Table18[[#This Row],[Coverage]],CoverageTable[Coverage],0))</f>
        <v>No</v>
      </c>
      <c r="Q841" t="s">
        <v>79</v>
      </c>
      <c r="R841" t="s">
        <v>10</v>
      </c>
      <c r="S841" t="s">
        <v>10</v>
      </c>
      <c r="T841" t="s">
        <v>10</v>
      </c>
      <c r="U841" t="s">
        <v>57</v>
      </c>
      <c r="V841" t="s">
        <v>57</v>
      </c>
      <c r="W841" t="s">
        <v>10</v>
      </c>
    </row>
    <row r="842" spans="1:23" x14ac:dyDescent="0.3">
      <c r="A842" t="s">
        <v>933</v>
      </c>
      <c r="B842" s="7">
        <v>46039</v>
      </c>
      <c r="C842" t="s">
        <v>70</v>
      </c>
      <c r="D842" t="s">
        <v>1101</v>
      </c>
      <c r="E842" s="3">
        <v>5</v>
      </c>
      <c r="F842" s="3">
        <v>4</v>
      </c>
      <c r="G842" t="s">
        <v>13</v>
      </c>
      <c r="H842" t="s">
        <v>1109</v>
      </c>
      <c r="I842" t="s">
        <v>44</v>
      </c>
      <c r="J842" t="s">
        <v>51</v>
      </c>
      <c r="K842" t="s">
        <v>10</v>
      </c>
      <c r="L842" t="s">
        <v>10</v>
      </c>
      <c r="M842" t="s">
        <v>10</v>
      </c>
      <c r="N842" t="s">
        <v>57</v>
      </c>
      <c r="O842" t="str">
        <f>INDEX(CoverageTable[Deductible Applies],MATCH(Table18[[#This Row],[Coverage]],CoverageTable[Coverage],0))</f>
        <v>No</v>
      </c>
      <c r="P842" t="str">
        <f>INDEX(CoverageTable[Coverage Limit Applies],MATCH(Table18[[#This Row],[Coverage]],CoverageTable[Coverage],0))</f>
        <v>Yes</v>
      </c>
      <c r="Q842" t="s">
        <v>10</v>
      </c>
      <c r="R842" t="s">
        <v>78</v>
      </c>
      <c r="S842" t="s">
        <v>10</v>
      </c>
      <c r="T842" t="s">
        <v>10</v>
      </c>
      <c r="U842" t="s">
        <v>57</v>
      </c>
      <c r="V842" t="s">
        <v>10</v>
      </c>
      <c r="W842" t="s">
        <v>10</v>
      </c>
    </row>
    <row r="843" spans="1:23" x14ac:dyDescent="0.3">
      <c r="A843" t="s">
        <v>934</v>
      </c>
      <c r="B843" s="7">
        <v>45957</v>
      </c>
      <c r="C843" t="s">
        <v>74</v>
      </c>
      <c r="D843" t="s">
        <v>1098</v>
      </c>
      <c r="E843" s="3">
        <v>3</v>
      </c>
      <c r="F843" s="3">
        <v>2</v>
      </c>
      <c r="G843" t="s">
        <v>10</v>
      </c>
      <c r="H843" t="s">
        <v>1107</v>
      </c>
      <c r="I843" t="s">
        <v>29</v>
      </c>
      <c r="J843" t="s">
        <v>53</v>
      </c>
      <c r="K843" t="s">
        <v>10</v>
      </c>
      <c r="L843" t="s">
        <v>10</v>
      </c>
      <c r="M843" t="s">
        <v>10</v>
      </c>
      <c r="N843" t="s">
        <v>57</v>
      </c>
      <c r="O843" t="str">
        <f>INDEX(CoverageTable[Deductible Applies],MATCH(Table18[[#This Row],[Coverage]],CoverageTable[Coverage],0))</f>
        <v>No</v>
      </c>
      <c r="P843" t="str">
        <f>INDEX(CoverageTable[Coverage Limit Applies],MATCH(Table18[[#This Row],[Coverage]],CoverageTable[Coverage],0))</f>
        <v>Yes</v>
      </c>
      <c r="Q843" t="s">
        <v>10</v>
      </c>
      <c r="R843" t="s">
        <v>80</v>
      </c>
      <c r="S843" t="s">
        <v>57</v>
      </c>
      <c r="T843" t="s">
        <v>57</v>
      </c>
      <c r="U843" t="s">
        <v>57</v>
      </c>
      <c r="V843" t="s">
        <v>10</v>
      </c>
      <c r="W843" t="s">
        <v>10</v>
      </c>
    </row>
    <row r="844" spans="1:23" x14ac:dyDescent="0.3">
      <c r="A844" t="s">
        <v>935</v>
      </c>
      <c r="B844" s="7">
        <v>46129</v>
      </c>
      <c r="C844" t="s">
        <v>71</v>
      </c>
      <c r="D844" t="s">
        <v>1098</v>
      </c>
      <c r="E844" s="3">
        <v>1</v>
      </c>
      <c r="F844" s="3" t="s">
        <v>7</v>
      </c>
      <c r="G844" t="s">
        <v>10</v>
      </c>
      <c r="H844" t="s">
        <v>1109</v>
      </c>
      <c r="I844" t="s">
        <v>34</v>
      </c>
      <c r="J844" t="s">
        <v>50</v>
      </c>
      <c r="K844" t="s">
        <v>10</v>
      </c>
      <c r="L844" t="s">
        <v>10</v>
      </c>
      <c r="M844" t="s">
        <v>10</v>
      </c>
      <c r="N844" t="s">
        <v>10</v>
      </c>
      <c r="O844" t="str">
        <f>INDEX(CoverageTable[Deductible Applies],MATCH(Table18[[#This Row],[Coverage]],CoverageTable[Coverage],0))</f>
        <v>Yes</v>
      </c>
      <c r="P844" t="str">
        <f>INDEX(CoverageTable[Coverage Limit Applies],MATCH(Table18[[#This Row],[Coverage]],CoverageTable[Coverage],0))</f>
        <v>No</v>
      </c>
      <c r="Q844" t="s">
        <v>78</v>
      </c>
      <c r="R844" t="s">
        <v>10</v>
      </c>
      <c r="S844" t="s">
        <v>10</v>
      </c>
      <c r="T844" t="s">
        <v>57</v>
      </c>
      <c r="U844" t="s">
        <v>10</v>
      </c>
      <c r="V844" t="s">
        <v>10</v>
      </c>
      <c r="W844" t="s">
        <v>10</v>
      </c>
    </row>
    <row r="845" spans="1:23" x14ac:dyDescent="0.3">
      <c r="A845" t="s">
        <v>936</v>
      </c>
      <c r="B845" s="7">
        <v>46091</v>
      </c>
      <c r="C845" t="s">
        <v>74</v>
      </c>
      <c r="D845" t="s">
        <v>1099</v>
      </c>
      <c r="E845" s="3">
        <v>3</v>
      </c>
      <c r="F845" s="3">
        <v>2</v>
      </c>
      <c r="G845" t="s">
        <v>10</v>
      </c>
      <c r="H845" t="s">
        <v>1107</v>
      </c>
      <c r="I845" t="s">
        <v>42</v>
      </c>
      <c r="J845" t="s">
        <v>53</v>
      </c>
      <c r="K845" t="s">
        <v>10</v>
      </c>
      <c r="L845" t="s">
        <v>10</v>
      </c>
      <c r="M845" t="s">
        <v>10</v>
      </c>
      <c r="N845" t="s">
        <v>10</v>
      </c>
      <c r="O845" t="str">
        <f>INDEX(CoverageTable[Deductible Applies],MATCH(Table18[[#This Row],[Coverage]],CoverageTable[Coverage],0))</f>
        <v>No</v>
      </c>
      <c r="P845" t="str">
        <f>INDEX(CoverageTable[Coverage Limit Applies],MATCH(Table18[[#This Row],[Coverage]],CoverageTable[Coverage],0))</f>
        <v>Yes</v>
      </c>
      <c r="Q845" t="s">
        <v>10</v>
      </c>
      <c r="R845" t="s">
        <v>79</v>
      </c>
      <c r="S845" t="s">
        <v>10</v>
      </c>
      <c r="T845" t="s">
        <v>57</v>
      </c>
      <c r="U845" t="s">
        <v>10</v>
      </c>
      <c r="V845" t="s">
        <v>57</v>
      </c>
      <c r="W845" t="s">
        <v>57</v>
      </c>
    </row>
    <row r="846" spans="1:23" x14ac:dyDescent="0.3">
      <c r="A846" t="s">
        <v>937</v>
      </c>
      <c r="B846" s="7">
        <v>45819</v>
      </c>
      <c r="C846" t="s">
        <v>70</v>
      </c>
      <c r="D846" t="s">
        <v>1101</v>
      </c>
      <c r="E846" s="3">
        <v>7</v>
      </c>
      <c r="F846" s="3">
        <v>0</v>
      </c>
      <c r="G846" t="s">
        <v>12</v>
      </c>
      <c r="H846" t="s">
        <v>1110</v>
      </c>
      <c r="I846" t="s">
        <v>25</v>
      </c>
      <c r="J846" t="s">
        <v>54</v>
      </c>
      <c r="K846" t="s">
        <v>10</v>
      </c>
      <c r="L846" t="s">
        <v>10</v>
      </c>
      <c r="M846" t="s">
        <v>10</v>
      </c>
      <c r="N846" t="s">
        <v>57</v>
      </c>
      <c r="O846" t="str">
        <f>INDEX(CoverageTable[Deductible Applies],MATCH(Table18[[#This Row],[Coverage]],CoverageTable[Coverage],0))</f>
        <v>No</v>
      </c>
      <c r="P846" t="str">
        <f>INDEX(CoverageTable[Coverage Limit Applies],MATCH(Table18[[#This Row],[Coverage]],CoverageTable[Coverage],0))</f>
        <v>Yes</v>
      </c>
      <c r="Q846" t="s">
        <v>10</v>
      </c>
      <c r="R846" t="s">
        <v>78</v>
      </c>
      <c r="S846" t="s">
        <v>10</v>
      </c>
      <c r="T846" t="s">
        <v>10</v>
      </c>
      <c r="U846" t="s">
        <v>10</v>
      </c>
      <c r="V846" t="s">
        <v>10</v>
      </c>
      <c r="W846" t="s">
        <v>57</v>
      </c>
    </row>
    <row r="847" spans="1:23" x14ac:dyDescent="0.3">
      <c r="A847" t="s">
        <v>938</v>
      </c>
      <c r="B847" s="7">
        <v>45961</v>
      </c>
      <c r="C847" t="s">
        <v>74</v>
      </c>
      <c r="D847" t="s">
        <v>1102</v>
      </c>
      <c r="E847" s="3">
        <v>5</v>
      </c>
      <c r="F847" s="3">
        <v>0</v>
      </c>
      <c r="G847" t="s">
        <v>13</v>
      </c>
      <c r="H847" t="s">
        <v>1107</v>
      </c>
      <c r="I847" t="s">
        <v>29</v>
      </c>
      <c r="J847" t="s">
        <v>50</v>
      </c>
      <c r="K847" t="s">
        <v>10</v>
      </c>
      <c r="L847" t="s">
        <v>10</v>
      </c>
      <c r="M847" t="s">
        <v>10</v>
      </c>
      <c r="N847" t="s">
        <v>57</v>
      </c>
      <c r="O847" t="str">
        <f>INDEX(CoverageTable[Deductible Applies],MATCH(Table18[[#This Row],[Coverage]],CoverageTable[Coverage],0))</f>
        <v>No</v>
      </c>
      <c r="P847" t="str">
        <f>INDEX(CoverageTable[Coverage Limit Applies],MATCH(Table18[[#This Row],[Coverage]],CoverageTable[Coverage],0))</f>
        <v>Yes</v>
      </c>
      <c r="Q847" t="s">
        <v>10</v>
      </c>
      <c r="R847" t="s">
        <v>79</v>
      </c>
      <c r="S847" t="s">
        <v>10</v>
      </c>
      <c r="T847" t="s">
        <v>57</v>
      </c>
      <c r="U847" t="s">
        <v>10</v>
      </c>
      <c r="V847" t="s">
        <v>10</v>
      </c>
      <c r="W847" t="s">
        <v>10</v>
      </c>
    </row>
    <row r="848" spans="1:23" x14ac:dyDescent="0.3">
      <c r="A848" t="s">
        <v>939</v>
      </c>
      <c r="B848" s="7">
        <v>45957</v>
      </c>
      <c r="C848" t="s">
        <v>73</v>
      </c>
      <c r="D848" t="s">
        <v>1101</v>
      </c>
      <c r="E848" s="3">
        <v>5</v>
      </c>
      <c r="F848" s="3">
        <v>3</v>
      </c>
      <c r="G848" t="s">
        <v>10</v>
      </c>
      <c r="H848" t="s">
        <v>1109</v>
      </c>
      <c r="I848" t="s">
        <v>24</v>
      </c>
      <c r="J848" t="s">
        <v>54</v>
      </c>
      <c r="K848" t="s">
        <v>10</v>
      </c>
      <c r="L848" t="s">
        <v>10</v>
      </c>
      <c r="M848" t="s">
        <v>10</v>
      </c>
      <c r="N848" t="s">
        <v>57</v>
      </c>
      <c r="O848" t="str">
        <f>INDEX(CoverageTable[Deductible Applies],MATCH(Table18[[#This Row],[Coverage]],CoverageTable[Coverage],0))</f>
        <v>No</v>
      </c>
      <c r="P848" t="str">
        <f>INDEX(CoverageTable[Coverage Limit Applies],MATCH(Table18[[#This Row],[Coverage]],CoverageTable[Coverage],0))</f>
        <v>Yes</v>
      </c>
      <c r="Q848" t="s">
        <v>10</v>
      </c>
      <c r="R848" t="s">
        <v>78</v>
      </c>
      <c r="S848" t="s">
        <v>57</v>
      </c>
      <c r="T848" t="s">
        <v>10</v>
      </c>
      <c r="U848" t="s">
        <v>10</v>
      </c>
      <c r="V848" t="s">
        <v>10</v>
      </c>
      <c r="W848" t="s">
        <v>10</v>
      </c>
    </row>
    <row r="849" spans="1:23" x14ac:dyDescent="0.3">
      <c r="A849" t="s">
        <v>940</v>
      </c>
      <c r="B849" s="7">
        <v>45829</v>
      </c>
      <c r="C849" t="s">
        <v>74</v>
      </c>
      <c r="D849" t="s">
        <v>1100</v>
      </c>
      <c r="E849" s="3" t="s">
        <v>1103</v>
      </c>
      <c r="F849" s="3" t="s">
        <v>7</v>
      </c>
      <c r="G849" t="s">
        <v>10</v>
      </c>
      <c r="H849" t="s">
        <v>1110</v>
      </c>
      <c r="I849" t="s">
        <v>21</v>
      </c>
      <c r="J849" t="s">
        <v>54</v>
      </c>
      <c r="K849" t="s">
        <v>57</v>
      </c>
      <c r="L849" t="s">
        <v>10</v>
      </c>
      <c r="M849" t="s">
        <v>10</v>
      </c>
      <c r="N849" t="s">
        <v>57</v>
      </c>
      <c r="O849" t="str">
        <f>INDEX(CoverageTable[Deductible Applies],MATCH(Table18[[#This Row],[Coverage]],CoverageTable[Coverage],0))</f>
        <v>No</v>
      </c>
      <c r="P849" t="str">
        <f>INDEX(CoverageTable[Coverage Limit Applies],MATCH(Table18[[#This Row],[Coverage]],CoverageTable[Coverage],0))</f>
        <v>Yes</v>
      </c>
      <c r="Q849" t="s">
        <v>10</v>
      </c>
      <c r="R849" t="s">
        <v>79</v>
      </c>
      <c r="S849" t="s">
        <v>57</v>
      </c>
      <c r="T849" t="s">
        <v>57</v>
      </c>
      <c r="U849" t="s">
        <v>10</v>
      </c>
      <c r="V849" t="s">
        <v>10</v>
      </c>
      <c r="W849" t="s">
        <v>10</v>
      </c>
    </row>
    <row r="850" spans="1:23" x14ac:dyDescent="0.3">
      <c r="A850" t="s">
        <v>941</v>
      </c>
      <c r="B850" s="7">
        <v>45900</v>
      </c>
      <c r="C850" t="s">
        <v>70</v>
      </c>
      <c r="D850" t="s">
        <v>1097</v>
      </c>
      <c r="E850" s="3">
        <v>6</v>
      </c>
      <c r="F850" s="3">
        <v>3</v>
      </c>
      <c r="G850" t="s">
        <v>10</v>
      </c>
      <c r="H850" t="s">
        <v>1110</v>
      </c>
      <c r="I850" t="s">
        <v>40</v>
      </c>
      <c r="J850" t="s">
        <v>51</v>
      </c>
      <c r="K850" t="s">
        <v>57</v>
      </c>
      <c r="L850" t="s">
        <v>57</v>
      </c>
      <c r="M850" t="s">
        <v>10</v>
      </c>
      <c r="N850" t="s">
        <v>57</v>
      </c>
      <c r="O850" t="str">
        <f>INDEX(CoverageTable[Deductible Applies],MATCH(Table18[[#This Row],[Coverage]],CoverageTable[Coverage],0))</f>
        <v>No</v>
      </c>
      <c r="P850" t="str">
        <f>INDEX(CoverageTable[Coverage Limit Applies],MATCH(Table18[[#This Row],[Coverage]],CoverageTable[Coverage],0))</f>
        <v>Yes</v>
      </c>
      <c r="Q850" t="s">
        <v>10</v>
      </c>
      <c r="R850" t="s">
        <v>80</v>
      </c>
      <c r="S850" t="s">
        <v>10</v>
      </c>
      <c r="T850" t="s">
        <v>10</v>
      </c>
      <c r="U850" t="s">
        <v>10</v>
      </c>
      <c r="V850" t="s">
        <v>10</v>
      </c>
      <c r="W850" t="s">
        <v>57</v>
      </c>
    </row>
    <row r="851" spans="1:23" x14ac:dyDescent="0.3">
      <c r="A851" t="s">
        <v>942</v>
      </c>
      <c r="B851" s="7">
        <v>46037</v>
      </c>
      <c r="C851" t="s">
        <v>72</v>
      </c>
      <c r="D851" t="s">
        <v>1098</v>
      </c>
      <c r="E851" s="3">
        <v>2</v>
      </c>
      <c r="F851" s="3">
        <v>3</v>
      </c>
      <c r="G851" t="s">
        <v>11</v>
      </c>
      <c r="H851" t="s">
        <v>1109</v>
      </c>
      <c r="I851" t="s">
        <v>34</v>
      </c>
      <c r="J851" t="s">
        <v>48</v>
      </c>
      <c r="K851" t="s">
        <v>10</v>
      </c>
      <c r="L851" t="s">
        <v>57</v>
      </c>
      <c r="M851" t="s">
        <v>10</v>
      </c>
      <c r="N851" t="s">
        <v>57</v>
      </c>
      <c r="O851" t="str">
        <f>INDEX(CoverageTable[Deductible Applies],MATCH(Table18[[#This Row],[Coverage]],CoverageTable[Coverage],0))</f>
        <v>Yes</v>
      </c>
      <c r="P851" t="str">
        <f>INDEX(CoverageTable[Coverage Limit Applies],MATCH(Table18[[#This Row],[Coverage]],CoverageTable[Coverage],0))</f>
        <v>No</v>
      </c>
      <c r="Q851" t="s">
        <v>78</v>
      </c>
      <c r="R851" t="s">
        <v>10</v>
      </c>
      <c r="S851" t="s">
        <v>10</v>
      </c>
      <c r="T851" t="s">
        <v>10</v>
      </c>
      <c r="U851" t="s">
        <v>10</v>
      </c>
      <c r="V851" t="s">
        <v>10</v>
      </c>
      <c r="W851" t="s">
        <v>10</v>
      </c>
    </row>
    <row r="852" spans="1:23" x14ac:dyDescent="0.3">
      <c r="A852" t="s">
        <v>943</v>
      </c>
      <c r="B852" s="7">
        <v>45843</v>
      </c>
      <c r="C852" t="s">
        <v>73</v>
      </c>
      <c r="D852" t="s">
        <v>1102</v>
      </c>
      <c r="E852" s="3">
        <v>7</v>
      </c>
      <c r="F852" s="3">
        <v>0</v>
      </c>
      <c r="G852" t="s">
        <v>10</v>
      </c>
      <c r="H852" t="s">
        <v>1106</v>
      </c>
      <c r="I852" t="s">
        <v>22</v>
      </c>
      <c r="J852" t="s">
        <v>51</v>
      </c>
      <c r="K852" t="s">
        <v>10</v>
      </c>
      <c r="L852" t="s">
        <v>57</v>
      </c>
      <c r="M852" t="s">
        <v>10</v>
      </c>
      <c r="N852" t="s">
        <v>57</v>
      </c>
      <c r="O852" t="str">
        <f>INDEX(CoverageTable[Deductible Applies],MATCH(Table18[[#This Row],[Coverage]],CoverageTable[Coverage],0))</f>
        <v>No</v>
      </c>
      <c r="P852" t="str">
        <f>INDEX(CoverageTable[Coverage Limit Applies],MATCH(Table18[[#This Row],[Coverage]],CoverageTable[Coverage],0))</f>
        <v>Yes</v>
      </c>
      <c r="Q852" t="s">
        <v>10</v>
      </c>
      <c r="R852" t="s">
        <v>80</v>
      </c>
      <c r="S852" t="s">
        <v>10</v>
      </c>
      <c r="T852" t="s">
        <v>10</v>
      </c>
      <c r="U852" t="s">
        <v>10</v>
      </c>
      <c r="V852" t="s">
        <v>10</v>
      </c>
      <c r="W852" t="s">
        <v>10</v>
      </c>
    </row>
    <row r="853" spans="1:23" x14ac:dyDescent="0.3">
      <c r="A853" t="s">
        <v>944</v>
      </c>
      <c r="B853" s="7">
        <v>45927</v>
      </c>
      <c r="C853" t="s">
        <v>70</v>
      </c>
      <c r="D853" t="s">
        <v>1099</v>
      </c>
      <c r="E853" s="3">
        <v>6</v>
      </c>
      <c r="F853" s="3">
        <v>1</v>
      </c>
      <c r="G853" t="s">
        <v>13</v>
      </c>
      <c r="H853" t="s">
        <v>1110</v>
      </c>
      <c r="I853" t="s">
        <v>23</v>
      </c>
      <c r="J853" t="s">
        <v>52</v>
      </c>
      <c r="K853" t="s">
        <v>10</v>
      </c>
      <c r="L853" t="s">
        <v>57</v>
      </c>
      <c r="M853" t="s">
        <v>10</v>
      </c>
      <c r="N853" t="s">
        <v>10</v>
      </c>
      <c r="O853" t="str">
        <f>INDEX(CoverageTable[Deductible Applies],MATCH(Table18[[#This Row],[Coverage]],CoverageTable[Coverage],0))</f>
        <v>No</v>
      </c>
      <c r="P853" t="str">
        <f>INDEX(CoverageTable[Coverage Limit Applies],MATCH(Table18[[#This Row],[Coverage]],CoverageTable[Coverage],0))</f>
        <v>Yes</v>
      </c>
      <c r="Q853" t="s">
        <v>10</v>
      </c>
      <c r="R853" t="s">
        <v>78</v>
      </c>
      <c r="S853" t="s">
        <v>57</v>
      </c>
      <c r="T853" t="s">
        <v>57</v>
      </c>
      <c r="U853" t="s">
        <v>57</v>
      </c>
      <c r="V853" t="s">
        <v>10</v>
      </c>
      <c r="W853" t="s">
        <v>10</v>
      </c>
    </row>
    <row r="854" spans="1:23" x14ac:dyDescent="0.3">
      <c r="A854" t="s">
        <v>945</v>
      </c>
      <c r="B854" s="7">
        <v>45980</v>
      </c>
      <c r="C854" t="s">
        <v>74</v>
      </c>
      <c r="D854" t="s">
        <v>1099</v>
      </c>
      <c r="E854" s="3">
        <v>7</v>
      </c>
      <c r="F854" s="3">
        <v>1</v>
      </c>
      <c r="G854" t="s">
        <v>10</v>
      </c>
      <c r="H854" t="s">
        <v>1107</v>
      </c>
      <c r="I854" t="s">
        <v>30</v>
      </c>
      <c r="J854" t="s">
        <v>53</v>
      </c>
      <c r="K854" t="s">
        <v>10</v>
      </c>
      <c r="L854" t="s">
        <v>10</v>
      </c>
      <c r="M854" t="s">
        <v>10</v>
      </c>
      <c r="N854" t="s">
        <v>57</v>
      </c>
      <c r="O854" t="str">
        <f>INDEX(CoverageTable[Deductible Applies],MATCH(Table18[[#This Row],[Coverage]],CoverageTable[Coverage],0))</f>
        <v>No</v>
      </c>
      <c r="P854" t="str">
        <f>INDEX(CoverageTable[Coverage Limit Applies],MATCH(Table18[[#This Row],[Coverage]],CoverageTable[Coverage],0))</f>
        <v>Yes</v>
      </c>
      <c r="Q854" t="s">
        <v>10</v>
      </c>
      <c r="R854" t="s">
        <v>80</v>
      </c>
      <c r="S854" t="s">
        <v>57</v>
      </c>
      <c r="T854" t="s">
        <v>10</v>
      </c>
      <c r="U854" t="s">
        <v>10</v>
      </c>
      <c r="V854" t="s">
        <v>57</v>
      </c>
      <c r="W854" t="s">
        <v>57</v>
      </c>
    </row>
    <row r="855" spans="1:23" x14ac:dyDescent="0.3">
      <c r="A855" t="s">
        <v>946</v>
      </c>
      <c r="B855" s="7">
        <v>46041</v>
      </c>
      <c r="C855" t="s">
        <v>71</v>
      </c>
      <c r="D855" t="s">
        <v>1099</v>
      </c>
      <c r="E855" s="3">
        <v>7</v>
      </c>
      <c r="F855" s="3" t="s">
        <v>7</v>
      </c>
      <c r="G855" t="s">
        <v>10</v>
      </c>
      <c r="H855" t="s">
        <v>1106</v>
      </c>
      <c r="I855" t="s">
        <v>25</v>
      </c>
      <c r="J855" t="s">
        <v>51</v>
      </c>
      <c r="K855" t="s">
        <v>10</v>
      </c>
      <c r="L855" t="s">
        <v>10</v>
      </c>
      <c r="M855" t="s">
        <v>10</v>
      </c>
      <c r="N855" t="s">
        <v>10</v>
      </c>
      <c r="O855" t="str">
        <f>INDEX(CoverageTable[Deductible Applies],MATCH(Table18[[#This Row],[Coverage]],CoverageTable[Coverage],0))</f>
        <v>Yes</v>
      </c>
      <c r="P855" t="str">
        <f>INDEX(CoverageTable[Coverage Limit Applies],MATCH(Table18[[#This Row],[Coverage]],CoverageTable[Coverage],0))</f>
        <v>No</v>
      </c>
      <c r="Q855" t="s">
        <v>80</v>
      </c>
      <c r="R855" t="s">
        <v>10</v>
      </c>
      <c r="S855" t="s">
        <v>10</v>
      </c>
      <c r="T855" t="s">
        <v>57</v>
      </c>
      <c r="U855" t="s">
        <v>10</v>
      </c>
      <c r="V855" t="s">
        <v>10</v>
      </c>
      <c r="W855" t="s">
        <v>10</v>
      </c>
    </row>
    <row r="856" spans="1:23" x14ac:dyDescent="0.3">
      <c r="A856" t="s">
        <v>947</v>
      </c>
      <c r="B856" s="7">
        <v>45849</v>
      </c>
      <c r="C856" t="s">
        <v>70</v>
      </c>
      <c r="D856" t="s">
        <v>1100</v>
      </c>
      <c r="E856" s="3">
        <v>3</v>
      </c>
      <c r="F856" s="3">
        <v>1</v>
      </c>
      <c r="G856" t="s">
        <v>13</v>
      </c>
      <c r="H856" t="s">
        <v>1110</v>
      </c>
      <c r="I856" t="s">
        <v>40</v>
      </c>
      <c r="J856" t="s">
        <v>50</v>
      </c>
      <c r="K856" t="s">
        <v>10</v>
      </c>
      <c r="L856" t="s">
        <v>10</v>
      </c>
      <c r="M856" t="s">
        <v>10</v>
      </c>
      <c r="N856" t="s">
        <v>57</v>
      </c>
      <c r="O856" t="str">
        <f>INDEX(CoverageTable[Deductible Applies],MATCH(Table18[[#This Row],[Coverage]],CoverageTable[Coverage],0))</f>
        <v>No</v>
      </c>
      <c r="P856" t="str">
        <f>INDEX(CoverageTable[Coverage Limit Applies],MATCH(Table18[[#This Row],[Coverage]],CoverageTable[Coverage],0))</f>
        <v>Yes</v>
      </c>
      <c r="Q856" t="s">
        <v>10</v>
      </c>
      <c r="R856" t="s">
        <v>79</v>
      </c>
      <c r="S856" t="s">
        <v>10</v>
      </c>
      <c r="T856" t="s">
        <v>10</v>
      </c>
      <c r="U856" t="s">
        <v>10</v>
      </c>
      <c r="V856" t="s">
        <v>57</v>
      </c>
      <c r="W856" t="s">
        <v>10</v>
      </c>
    </row>
    <row r="857" spans="1:23" x14ac:dyDescent="0.3">
      <c r="A857" t="s">
        <v>948</v>
      </c>
      <c r="B857" s="7">
        <v>45948</v>
      </c>
      <c r="C857" t="s">
        <v>73</v>
      </c>
      <c r="D857" t="s">
        <v>1101</v>
      </c>
      <c r="E857" s="3">
        <v>7</v>
      </c>
      <c r="F857" s="3" t="s">
        <v>7</v>
      </c>
      <c r="G857" t="s">
        <v>10</v>
      </c>
      <c r="H857" t="s">
        <v>1107</v>
      </c>
      <c r="I857" t="s">
        <v>39</v>
      </c>
      <c r="J857" t="s">
        <v>53</v>
      </c>
      <c r="K857" t="s">
        <v>10</v>
      </c>
      <c r="L857" t="s">
        <v>10</v>
      </c>
      <c r="M857" t="s">
        <v>10</v>
      </c>
      <c r="N857" t="s">
        <v>57</v>
      </c>
      <c r="O857" t="str">
        <f>INDEX(CoverageTable[Deductible Applies],MATCH(Table18[[#This Row],[Coverage]],CoverageTable[Coverage],0))</f>
        <v>No</v>
      </c>
      <c r="P857" t="str">
        <f>INDEX(CoverageTable[Coverage Limit Applies],MATCH(Table18[[#This Row],[Coverage]],CoverageTable[Coverage],0))</f>
        <v>Yes</v>
      </c>
      <c r="Q857" t="s">
        <v>10</v>
      </c>
      <c r="R857" t="s">
        <v>78</v>
      </c>
      <c r="S857" t="s">
        <v>10</v>
      </c>
      <c r="T857" t="s">
        <v>10</v>
      </c>
      <c r="U857" t="s">
        <v>10</v>
      </c>
      <c r="V857" t="s">
        <v>10</v>
      </c>
      <c r="W857" t="s">
        <v>10</v>
      </c>
    </row>
    <row r="858" spans="1:23" x14ac:dyDescent="0.3">
      <c r="A858" t="s">
        <v>949</v>
      </c>
      <c r="B858" s="7">
        <v>45909</v>
      </c>
      <c r="C858" t="s">
        <v>72</v>
      </c>
      <c r="D858" t="s">
        <v>1100</v>
      </c>
      <c r="E858" s="3">
        <v>1</v>
      </c>
      <c r="F858" s="3">
        <v>3</v>
      </c>
      <c r="G858" t="s">
        <v>12</v>
      </c>
      <c r="H858" t="s">
        <v>1106</v>
      </c>
      <c r="I858" t="s">
        <v>21</v>
      </c>
      <c r="J858" t="s">
        <v>51</v>
      </c>
      <c r="K858" t="s">
        <v>10</v>
      </c>
      <c r="L858" t="s">
        <v>10</v>
      </c>
      <c r="M858" t="s">
        <v>10</v>
      </c>
      <c r="N858" t="s">
        <v>57</v>
      </c>
      <c r="O858" t="str">
        <f>INDEX(CoverageTable[Deductible Applies],MATCH(Table18[[#This Row],[Coverage]],CoverageTable[Coverage],0))</f>
        <v>Yes</v>
      </c>
      <c r="P858" t="str">
        <f>INDEX(CoverageTable[Coverage Limit Applies],MATCH(Table18[[#This Row],[Coverage]],CoverageTable[Coverage],0))</f>
        <v>No</v>
      </c>
      <c r="Q858" t="s">
        <v>79</v>
      </c>
      <c r="R858" t="s">
        <v>10</v>
      </c>
      <c r="S858" t="s">
        <v>10</v>
      </c>
      <c r="T858" t="s">
        <v>57</v>
      </c>
      <c r="U858" t="s">
        <v>57</v>
      </c>
      <c r="V858" t="s">
        <v>10</v>
      </c>
      <c r="W858" t="s">
        <v>10</v>
      </c>
    </row>
    <row r="859" spans="1:23" x14ac:dyDescent="0.3">
      <c r="A859" t="s">
        <v>950</v>
      </c>
      <c r="B859" s="7">
        <v>45974</v>
      </c>
      <c r="C859" t="s">
        <v>70</v>
      </c>
      <c r="D859" t="s">
        <v>1100</v>
      </c>
      <c r="E859" s="3">
        <v>7</v>
      </c>
      <c r="F859" s="3">
        <v>4</v>
      </c>
      <c r="G859" t="s">
        <v>12</v>
      </c>
      <c r="H859" t="s">
        <v>1106</v>
      </c>
      <c r="I859" t="s">
        <v>40</v>
      </c>
      <c r="J859" t="s">
        <v>54</v>
      </c>
      <c r="K859" t="s">
        <v>10</v>
      </c>
      <c r="L859" t="s">
        <v>10</v>
      </c>
      <c r="M859" t="s">
        <v>10</v>
      </c>
      <c r="N859" t="s">
        <v>57</v>
      </c>
      <c r="O859" t="str">
        <f>INDEX(CoverageTable[Deductible Applies],MATCH(Table18[[#This Row],[Coverage]],CoverageTable[Coverage],0))</f>
        <v>No</v>
      </c>
      <c r="P859" t="str">
        <f>INDEX(CoverageTable[Coverage Limit Applies],MATCH(Table18[[#This Row],[Coverage]],CoverageTable[Coverage],0))</f>
        <v>Yes</v>
      </c>
      <c r="Q859" t="s">
        <v>10</v>
      </c>
      <c r="R859" t="s">
        <v>80</v>
      </c>
      <c r="S859" t="s">
        <v>10</v>
      </c>
      <c r="T859" t="s">
        <v>10</v>
      </c>
      <c r="U859" t="s">
        <v>57</v>
      </c>
      <c r="V859" t="s">
        <v>10</v>
      </c>
      <c r="W859" t="s">
        <v>10</v>
      </c>
    </row>
    <row r="860" spans="1:23" x14ac:dyDescent="0.3">
      <c r="A860" t="s">
        <v>951</v>
      </c>
      <c r="B860" s="7">
        <v>45860</v>
      </c>
      <c r="C860" t="s">
        <v>73</v>
      </c>
      <c r="D860" t="s">
        <v>1102</v>
      </c>
      <c r="E860" s="3" t="s">
        <v>1103</v>
      </c>
      <c r="F860" s="3">
        <v>0</v>
      </c>
      <c r="G860" t="s">
        <v>10</v>
      </c>
      <c r="H860" t="s">
        <v>1107</v>
      </c>
      <c r="I860" t="s">
        <v>29</v>
      </c>
      <c r="J860" t="s">
        <v>53</v>
      </c>
      <c r="K860" t="s">
        <v>57</v>
      </c>
      <c r="L860" t="s">
        <v>10</v>
      </c>
      <c r="M860" t="s">
        <v>10</v>
      </c>
      <c r="N860" t="s">
        <v>57</v>
      </c>
      <c r="O860" t="str">
        <f>INDEX(CoverageTable[Deductible Applies],MATCH(Table18[[#This Row],[Coverage]],CoverageTable[Coverage],0))</f>
        <v>No</v>
      </c>
      <c r="P860" t="str">
        <f>INDEX(CoverageTable[Coverage Limit Applies],MATCH(Table18[[#This Row],[Coverage]],CoverageTable[Coverage],0))</f>
        <v>Yes</v>
      </c>
      <c r="Q860" t="s">
        <v>10</v>
      </c>
      <c r="R860" t="s">
        <v>79</v>
      </c>
      <c r="S860" t="s">
        <v>57</v>
      </c>
      <c r="T860" t="s">
        <v>57</v>
      </c>
      <c r="U860" t="s">
        <v>57</v>
      </c>
      <c r="V860" t="s">
        <v>10</v>
      </c>
      <c r="W860" t="s">
        <v>10</v>
      </c>
    </row>
    <row r="861" spans="1:23" x14ac:dyDescent="0.3">
      <c r="A861" t="s">
        <v>952</v>
      </c>
      <c r="B861" s="7">
        <v>46083</v>
      </c>
      <c r="C861" t="s">
        <v>71</v>
      </c>
      <c r="D861" t="s">
        <v>1100</v>
      </c>
      <c r="E861" s="3">
        <v>4</v>
      </c>
      <c r="F861" s="3">
        <v>3</v>
      </c>
      <c r="G861" t="s">
        <v>12</v>
      </c>
      <c r="H861" t="s">
        <v>1107</v>
      </c>
      <c r="I861" t="s">
        <v>42</v>
      </c>
      <c r="J861" t="s">
        <v>53</v>
      </c>
      <c r="K861" t="s">
        <v>57</v>
      </c>
      <c r="L861" t="s">
        <v>10</v>
      </c>
      <c r="M861" t="s">
        <v>10</v>
      </c>
      <c r="N861" t="s">
        <v>10</v>
      </c>
      <c r="O861" t="str">
        <f>INDEX(CoverageTable[Deductible Applies],MATCH(Table18[[#This Row],[Coverage]],CoverageTable[Coverage],0))</f>
        <v>Yes</v>
      </c>
      <c r="P861" t="str">
        <f>INDEX(CoverageTable[Coverage Limit Applies],MATCH(Table18[[#This Row],[Coverage]],CoverageTable[Coverage],0))</f>
        <v>No</v>
      </c>
      <c r="Q861" t="s">
        <v>78</v>
      </c>
      <c r="R861" t="s">
        <v>10</v>
      </c>
      <c r="S861" t="s">
        <v>10</v>
      </c>
      <c r="T861" t="s">
        <v>10</v>
      </c>
      <c r="U861" t="s">
        <v>10</v>
      </c>
      <c r="V861" t="s">
        <v>10</v>
      </c>
      <c r="W861" t="s">
        <v>57</v>
      </c>
    </row>
    <row r="862" spans="1:23" x14ac:dyDescent="0.3">
      <c r="A862" t="s">
        <v>953</v>
      </c>
      <c r="B862" s="7">
        <v>45950</v>
      </c>
      <c r="C862" t="s">
        <v>70</v>
      </c>
      <c r="D862" t="s">
        <v>1099</v>
      </c>
      <c r="E862" s="3">
        <v>5</v>
      </c>
      <c r="F862" s="3">
        <v>0</v>
      </c>
      <c r="G862" t="s">
        <v>12</v>
      </c>
      <c r="H862" t="s">
        <v>1110</v>
      </c>
      <c r="I862" t="s">
        <v>23</v>
      </c>
      <c r="J862" t="s">
        <v>50</v>
      </c>
      <c r="K862" t="s">
        <v>10</v>
      </c>
      <c r="L862" t="s">
        <v>57</v>
      </c>
      <c r="M862" t="s">
        <v>57</v>
      </c>
      <c r="N862" t="s">
        <v>10</v>
      </c>
      <c r="O862" t="str">
        <f>INDEX(CoverageTable[Deductible Applies],MATCH(Table18[[#This Row],[Coverage]],CoverageTable[Coverage],0))</f>
        <v>No</v>
      </c>
      <c r="P862" t="str">
        <f>INDEX(CoverageTable[Coverage Limit Applies],MATCH(Table18[[#This Row],[Coverage]],CoverageTable[Coverage],0))</f>
        <v>Yes</v>
      </c>
      <c r="Q862" t="s">
        <v>10</v>
      </c>
      <c r="R862" t="s">
        <v>80</v>
      </c>
      <c r="S862" t="s">
        <v>10</v>
      </c>
      <c r="T862" t="s">
        <v>57</v>
      </c>
      <c r="U862" t="s">
        <v>10</v>
      </c>
      <c r="V862" t="s">
        <v>10</v>
      </c>
      <c r="W862" t="s">
        <v>57</v>
      </c>
    </row>
    <row r="863" spans="1:23" x14ac:dyDescent="0.3">
      <c r="A863" t="s">
        <v>954</v>
      </c>
      <c r="B863" s="7">
        <v>45829</v>
      </c>
      <c r="C863" t="s">
        <v>71</v>
      </c>
      <c r="D863" t="s">
        <v>1101</v>
      </c>
      <c r="E863" s="3">
        <v>4</v>
      </c>
      <c r="F863" s="3">
        <v>2</v>
      </c>
      <c r="G863" t="s">
        <v>13</v>
      </c>
      <c r="H863" t="s">
        <v>1106</v>
      </c>
      <c r="I863" t="s">
        <v>42</v>
      </c>
      <c r="J863" t="s">
        <v>52</v>
      </c>
      <c r="K863" t="s">
        <v>10</v>
      </c>
      <c r="L863" t="s">
        <v>10</v>
      </c>
      <c r="M863" t="s">
        <v>10</v>
      </c>
      <c r="N863" t="s">
        <v>10</v>
      </c>
      <c r="O863" t="str">
        <f>INDEX(CoverageTable[Deductible Applies],MATCH(Table18[[#This Row],[Coverage]],CoverageTable[Coverage],0))</f>
        <v>Yes</v>
      </c>
      <c r="P863" t="str">
        <f>INDEX(CoverageTable[Coverage Limit Applies],MATCH(Table18[[#This Row],[Coverage]],CoverageTable[Coverage],0))</f>
        <v>No</v>
      </c>
      <c r="Q863" t="s">
        <v>79</v>
      </c>
      <c r="R863" t="s">
        <v>10</v>
      </c>
      <c r="S863" t="s">
        <v>10</v>
      </c>
      <c r="T863" t="s">
        <v>10</v>
      </c>
      <c r="U863" t="s">
        <v>57</v>
      </c>
      <c r="V863" t="s">
        <v>10</v>
      </c>
      <c r="W863" t="s">
        <v>10</v>
      </c>
    </row>
    <row r="864" spans="1:23" x14ac:dyDescent="0.3">
      <c r="A864" t="s">
        <v>955</v>
      </c>
      <c r="B864" s="7">
        <v>45981</v>
      </c>
      <c r="C864" t="s">
        <v>71</v>
      </c>
      <c r="D864" t="s">
        <v>1098</v>
      </c>
      <c r="E864" s="3">
        <v>2</v>
      </c>
      <c r="F864" s="3">
        <v>1</v>
      </c>
      <c r="G864" t="s">
        <v>10</v>
      </c>
      <c r="H864" t="s">
        <v>1109</v>
      </c>
      <c r="I864" t="s">
        <v>37</v>
      </c>
      <c r="J864" t="s">
        <v>49</v>
      </c>
      <c r="K864" t="s">
        <v>10</v>
      </c>
      <c r="L864" t="s">
        <v>10</v>
      </c>
      <c r="M864" t="s">
        <v>10</v>
      </c>
      <c r="N864" t="s">
        <v>57</v>
      </c>
      <c r="O864" t="str">
        <f>INDEX(CoverageTable[Deductible Applies],MATCH(Table18[[#This Row],[Coverage]],CoverageTable[Coverage],0))</f>
        <v>Yes</v>
      </c>
      <c r="P864" t="str">
        <f>INDEX(CoverageTable[Coverage Limit Applies],MATCH(Table18[[#This Row],[Coverage]],CoverageTable[Coverage],0))</f>
        <v>No</v>
      </c>
      <c r="Q864" t="s">
        <v>78</v>
      </c>
      <c r="R864" t="s">
        <v>10</v>
      </c>
      <c r="S864" t="s">
        <v>10</v>
      </c>
      <c r="T864" t="s">
        <v>57</v>
      </c>
      <c r="U864" t="s">
        <v>10</v>
      </c>
      <c r="V864" t="s">
        <v>10</v>
      </c>
      <c r="W864" t="s">
        <v>10</v>
      </c>
    </row>
    <row r="865" spans="1:23" x14ac:dyDescent="0.3">
      <c r="A865" t="s">
        <v>956</v>
      </c>
      <c r="B865" s="7">
        <v>45820</v>
      </c>
      <c r="C865" t="s">
        <v>70</v>
      </c>
      <c r="D865" t="s">
        <v>1102</v>
      </c>
      <c r="E865" s="3">
        <v>1</v>
      </c>
      <c r="F865" s="3">
        <v>2</v>
      </c>
      <c r="G865" t="s">
        <v>11</v>
      </c>
      <c r="H865" t="s">
        <v>1109</v>
      </c>
      <c r="I865" t="s">
        <v>25</v>
      </c>
      <c r="J865" t="s">
        <v>50</v>
      </c>
      <c r="K865" t="s">
        <v>10</v>
      </c>
      <c r="L865" t="s">
        <v>10</v>
      </c>
      <c r="M865" t="s">
        <v>10</v>
      </c>
      <c r="N865" t="s">
        <v>10</v>
      </c>
      <c r="O865" t="str">
        <f>INDEX(CoverageTable[Deductible Applies],MATCH(Table18[[#This Row],[Coverage]],CoverageTable[Coverage],0))</f>
        <v>No</v>
      </c>
      <c r="P865" t="str">
        <f>INDEX(CoverageTable[Coverage Limit Applies],MATCH(Table18[[#This Row],[Coverage]],CoverageTable[Coverage],0))</f>
        <v>Yes</v>
      </c>
      <c r="Q865" t="s">
        <v>10</v>
      </c>
      <c r="R865" t="s">
        <v>78</v>
      </c>
      <c r="S865" t="s">
        <v>10</v>
      </c>
      <c r="T865" t="s">
        <v>10</v>
      </c>
      <c r="U865" t="s">
        <v>57</v>
      </c>
      <c r="V865" t="s">
        <v>57</v>
      </c>
      <c r="W865" t="s">
        <v>10</v>
      </c>
    </row>
    <row r="866" spans="1:23" x14ac:dyDescent="0.3">
      <c r="A866" t="s">
        <v>957</v>
      </c>
      <c r="B866" s="7">
        <v>45999</v>
      </c>
      <c r="C866" t="s">
        <v>73</v>
      </c>
      <c r="D866" t="s">
        <v>1102</v>
      </c>
      <c r="E866" s="3">
        <v>7</v>
      </c>
      <c r="F866" s="3">
        <v>1</v>
      </c>
      <c r="G866" t="s">
        <v>11</v>
      </c>
      <c r="H866" t="s">
        <v>1108</v>
      </c>
      <c r="I866" t="s">
        <v>33</v>
      </c>
      <c r="J866" t="s">
        <v>48</v>
      </c>
      <c r="K866" t="s">
        <v>57</v>
      </c>
      <c r="L866" t="s">
        <v>10</v>
      </c>
      <c r="M866" t="s">
        <v>10</v>
      </c>
      <c r="N866" t="s">
        <v>10</v>
      </c>
      <c r="O866" t="str">
        <f>INDEX(CoverageTable[Deductible Applies],MATCH(Table18[[#This Row],[Coverage]],CoverageTable[Coverage],0))</f>
        <v>No</v>
      </c>
      <c r="P866" t="str">
        <f>INDEX(CoverageTable[Coverage Limit Applies],MATCH(Table18[[#This Row],[Coverage]],CoverageTable[Coverage],0))</f>
        <v>Yes</v>
      </c>
      <c r="Q866" t="s">
        <v>10</v>
      </c>
      <c r="R866" t="s">
        <v>79</v>
      </c>
      <c r="S866" t="s">
        <v>10</v>
      </c>
      <c r="T866" t="s">
        <v>10</v>
      </c>
      <c r="U866" t="s">
        <v>57</v>
      </c>
      <c r="V866" t="s">
        <v>10</v>
      </c>
      <c r="W866" t="s">
        <v>10</v>
      </c>
    </row>
    <row r="867" spans="1:23" x14ac:dyDescent="0.3">
      <c r="A867" t="s">
        <v>958</v>
      </c>
      <c r="B867" s="7">
        <v>45942</v>
      </c>
      <c r="C867" t="s">
        <v>70</v>
      </c>
      <c r="D867" t="s">
        <v>1098</v>
      </c>
      <c r="E867" s="3">
        <v>3</v>
      </c>
      <c r="F867" s="3">
        <v>3</v>
      </c>
      <c r="G867" t="s">
        <v>11</v>
      </c>
      <c r="H867" t="s">
        <v>1107</v>
      </c>
      <c r="I867" t="s">
        <v>37</v>
      </c>
      <c r="J867" t="s">
        <v>53</v>
      </c>
      <c r="K867" t="s">
        <v>10</v>
      </c>
      <c r="L867" t="s">
        <v>10</v>
      </c>
      <c r="M867" t="s">
        <v>10</v>
      </c>
      <c r="N867" t="s">
        <v>57</v>
      </c>
      <c r="O867" t="str">
        <f>INDEX(CoverageTable[Deductible Applies],MATCH(Table18[[#This Row],[Coverage]],CoverageTable[Coverage],0))</f>
        <v>No</v>
      </c>
      <c r="P867" t="str">
        <f>INDEX(CoverageTable[Coverage Limit Applies],MATCH(Table18[[#This Row],[Coverage]],CoverageTable[Coverage],0))</f>
        <v>Yes</v>
      </c>
      <c r="Q867" t="s">
        <v>10</v>
      </c>
      <c r="R867" t="s">
        <v>79</v>
      </c>
      <c r="S867" t="s">
        <v>10</v>
      </c>
      <c r="T867" t="s">
        <v>57</v>
      </c>
      <c r="U867" t="s">
        <v>10</v>
      </c>
      <c r="V867" t="s">
        <v>57</v>
      </c>
      <c r="W867" t="s">
        <v>10</v>
      </c>
    </row>
    <row r="868" spans="1:23" x14ac:dyDescent="0.3">
      <c r="A868" t="s">
        <v>959</v>
      </c>
      <c r="B868" s="7">
        <v>45933</v>
      </c>
      <c r="C868" t="s">
        <v>74</v>
      </c>
      <c r="D868" t="s">
        <v>1102</v>
      </c>
      <c r="E868" s="3">
        <v>2</v>
      </c>
      <c r="F868" s="3">
        <v>3</v>
      </c>
      <c r="G868" t="s">
        <v>10</v>
      </c>
      <c r="H868" t="s">
        <v>1108</v>
      </c>
      <c r="I868" t="s">
        <v>24</v>
      </c>
      <c r="J868" t="s">
        <v>52</v>
      </c>
      <c r="K868" t="s">
        <v>10</v>
      </c>
      <c r="L868" t="s">
        <v>10</v>
      </c>
      <c r="M868" t="s">
        <v>57</v>
      </c>
      <c r="N868" t="s">
        <v>10</v>
      </c>
      <c r="O868" t="str">
        <f>INDEX(CoverageTable[Deductible Applies],MATCH(Table18[[#This Row],[Coverage]],CoverageTable[Coverage],0))</f>
        <v>No</v>
      </c>
      <c r="P868" t="str">
        <f>INDEX(CoverageTable[Coverage Limit Applies],MATCH(Table18[[#This Row],[Coverage]],CoverageTable[Coverage],0))</f>
        <v>Yes</v>
      </c>
      <c r="Q868" t="s">
        <v>10</v>
      </c>
      <c r="R868" t="s">
        <v>80</v>
      </c>
      <c r="S868" t="s">
        <v>10</v>
      </c>
      <c r="T868" t="s">
        <v>57</v>
      </c>
      <c r="U868" t="s">
        <v>10</v>
      </c>
      <c r="V868" t="s">
        <v>10</v>
      </c>
      <c r="W868" t="s">
        <v>10</v>
      </c>
    </row>
    <row r="869" spans="1:23" x14ac:dyDescent="0.3">
      <c r="A869" t="s">
        <v>960</v>
      </c>
      <c r="B869" s="7">
        <v>45958</v>
      </c>
      <c r="C869" t="s">
        <v>74</v>
      </c>
      <c r="D869" t="s">
        <v>1102</v>
      </c>
      <c r="E869" s="3" t="s">
        <v>1103</v>
      </c>
      <c r="F869" s="3">
        <v>1</v>
      </c>
      <c r="G869" t="s">
        <v>10</v>
      </c>
      <c r="H869" t="s">
        <v>1110</v>
      </c>
      <c r="I869" t="s">
        <v>22</v>
      </c>
      <c r="J869" t="s">
        <v>48</v>
      </c>
      <c r="K869" t="s">
        <v>10</v>
      </c>
      <c r="L869" t="s">
        <v>57</v>
      </c>
      <c r="M869" t="s">
        <v>10</v>
      </c>
      <c r="N869" t="s">
        <v>57</v>
      </c>
      <c r="O869" t="str">
        <f>INDEX(CoverageTable[Deductible Applies],MATCH(Table18[[#This Row],[Coverage]],CoverageTable[Coverage],0))</f>
        <v>No</v>
      </c>
      <c r="P869" t="str">
        <f>INDEX(CoverageTable[Coverage Limit Applies],MATCH(Table18[[#This Row],[Coverage]],CoverageTable[Coverage],0))</f>
        <v>Yes</v>
      </c>
      <c r="Q869" t="s">
        <v>10</v>
      </c>
      <c r="R869" t="s">
        <v>79</v>
      </c>
      <c r="S869" t="s">
        <v>10</v>
      </c>
      <c r="T869" t="s">
        <v>57</v>
      </c>
      <c r="U869" t="s">
        <v>10</v>
      </c>
      <c r="V869" t="s">
        <v>10</v>
      </c>
      <c r="W869" t="s">
        <v>10</v>
      </c>
    </row>
    <row r="870" spans="1:23" x14ac:dyDescent="0.3">
      <c r="A870" t="s">
        <v>961</v>
      </c>
      <c r="B870" s="7">
        <v>45970</v>
      </c>
      <c r="C870" t="s">
        <v>70</v>
      </c>
      <c r="D870" t="s">
        <v>1099</v>
      </c>
      <c r="E870" s="3">
        <v>7</v>
      </c>
      <c r="F870" s="3">
        <v>4</v>
      </c>
      <c r="G870" t="s">
        <v>10</v>
      </c>
      <c r="H870" t="s">
        <v>1109</v>
      </c>
      <c r="I870" t="s">
        <v>41</v>
      </c>
      <c r="J870" t="s">
        <v>48</v>
      </c>
      <c r="K870" t="s">
        <v>10</v>
      </c>
      <c r="L870" t="s">
        <v>57</v>
      </c>
      <c r="M870" t="s">
        <v>10</v>
      </c>
      <c r="N870" t="s">
        <v>10</v>
      </c>
      <c r="O870" t="str">
        <f>INDEX(CoverageTable[Deductible Applies],MATCH(Table18[[#This Row],[Coverage]],CoverageTable[Coverage],0))</f>
        <v>No</v>
      </c>
      <c r="P870" t="str">
        <f>INDEX(CoverageTable[Coverage Limit Applies],MATCH(Table18[[#This Row],[Coverage]],CoverageTable[Coverage],0))</f>
        <v>Yes</v>
      </c>
      <c r="Q870" t="s">
        <v>10</v>
      </c>
      <c r="R870" t="s">
        <v>78</v>
      </c>
      <c r="S870" t="s">
        <v>10</v>
      </c>
      <c r="T870" t="s">
        <v>10</v>
      </c>
      <c r="U870" t="s">
        <v>10</v>
      </c>
      <c r="V870" t="s">
        <v>10</v>
      </c>
      <c r="W870" t="s">
        <v>10</v>
      </c>
    </row>
    <row r="871" spans="1:23" x14ac:dyDescent="0.3">
      <c r="A871" t="s">
        <v>962</v>
      </c>
      <c r="B871" s="7">
        <v>45906</v>
      </c>
      <c r="C871" t="s">
        <v>70</v>
      </c>
      <c r="D871" t="s">
        <v>1098</v>
      </c>
      <c r="E871" s="3">
        <v>2</v>
      </c>
      <c r="F871" s="3">
        <v>1</v>
      </c>
      <c r="G871" t="s">
        <v>13</v>
      </c>
      <c r="H871" t="s">
        <v>1107</v>
      </c>
      <c r="I871" t="s">
        <v>41</v>
      </c>
      <c r="J871" t="s">
        <v>49</v>
      </c>
      <c r="K871" t="s">
        <v>10</v>
      </c>
      <c r="L871" t="s">
        <v>10</v>
      </c>
      <c r="M871" t="s">
        <v>10</v>
      </c>
      <c r="N871" t="s">
        <v>57</v>
      </c>
      <c r="O871" t="str">
        <f>INDEX(CoverageTable[Deductible Applies],MATCH(Table18[[#This Row],[Coverage]],CoverageTable[Coverage],0))</f>
        <v>No</v>
      </c>
      <c r="P871" t="str">
        <f>INDEX(CoverageTable[Coverage Limit Applies],MATCH(Table18[[#This Row],[Coverage]],CoverageTable[Coverage],0))</f>
        <v>Yes</v>
      </c>
      <c r="Q871" t="s">
        <v>10</v>
      </c>
      <c r="R871" t="s">
        <v>79</v>
      </c>
      <c r="S871" t="s">
        <v>10</v>
      </c>
      <c r="T871" t="s">
        <v>10</v>
      </c>
      <c r="U871" t="s">
        <v>10</v>
      </c>
      <c r="V871" t="s">
        <v>10</v>
      </c>
      <c r="W871" t="s">
        <v>10</v>
      </c>
    </row>
    <row r="872" spans="1:23" x14ac:dyDescent="0.3">
      <c r="A872" t="s">
        <v>963</v>
      </c>
      <c r="B872" s="7">
        <v>46136</v>
      </c>
      <c r="C872" t="s">
        <v>72</v>
      </c>
      <c r="D872" t="s">
        <v>1102</v>
      </c>
      <c r="E872" s="3">
        <v>7</v>
      </c>
      <c r="F872" s="3" t="s">
        <v>7</v>
      </c>
      <c r="G872" t="s">
        <v>10</v>
      </c>
      <c r="H872" t="s">
        <v>1106</v>
      </c>
      <c r="I872" t="s">
        <v>43</v>
      </c>
      <c r="J872" t="s">
        <v>49</v>
      </c>
      <c r="K872" t="s">
        <v>10</v>
      </c>
      <c r="L872" t="s">
        <v>10</v>
      </c>
      <c r="M872" t="s">
        <v>10</v>
      </c>
      <c r="N872" t="s">
        <v>10</v>
      </c>
      <c r="O872" t="str">
        <f>INDEX(CoverageTable[Deductible Applies],MATCH(Table18[[#This Row],[Coverage]],CoverageTable[Coverage],0))</f>
        <v>Yes</v>
      </c>
      <c r="P872" t="str">
        <f>INDEX(CoverageTable[Coverage Limit Applies],MATCH(Table18[[#This Row],[Coverage]],CoverageTable[Coverage],0))</f>
        <v>No</v>
      </c>
      <c r="Q872" t="s">
        <v>78</v>
      </c>
      <c r="R872" t="s">
        <v>10</v>
      </c>
      <c r="S872" t="s">
        <v>57</v>
      </c>
      <c r="T872" t="s">
        <v>10</v>
      </c>
      <c r="U872" t="s">
        <v>10</v>
      </c>
      <c r="V872" t="s">
        <v>10</v>
      </c>
      <c r="W872" t="s">
        <v>57</v>
      </c>
    </row>
    <row r="873" spans="1:23" x14ac:dyDescent="0.3">
      <c r="A873" t="s">
        <v>964</v>
      </c>
      <c r="B873" s="7">
        <v>45862</v>
      </c>
      <c r="C873" t="s">
        <v>70</v>
      </c>
      <c r="D873" t="s">
        <v>1100</v>
      </c>
      <c r="E873" s="3" t="s">
        <v>1103</v>
      </c>
      <c r="F873" s="3">
        <v>0</v>
      </c>
      <c r="G873" t="s">
        <v>10</v>
      </c>
      <c r="H873" t="s">
        <v>1107</v>
      </c>
      <c r="I873" t="s">
        <v>23</v>
      </c>
      <c r="J873" t="s">
        <v>52</v>
      </c>
      <c r="K873" t="s">
        <v>10</v>
      </c>
      <c r="L873" t="s">
        <v>10</v>
      </c>
      <c r="M873" t="s">
        <v>10</v>
      </c>
      <c r="N873" t="s">
        <v>57</v>
      </c>
      <c r="O873" t="str">
        <f>INDEX(CoverageTable[Deductible Applies],MATCH(Table18[[#This Row],[Coverage]],CoverageTable[Coverage],0))</f>
        <v>No</v>
      </c>
      <c r="P873" t="str">
        <f>INDEX(CoverageTable[Coverage Limit Applies],MATCH(Table18[[#This Row],[Coverage]],CoverageTable[Coverage],0))</f>
        <v>Yes</v>
      </c>
      <c r="Q873" t="s">
        <v>10</v>
      </c>
      <c r="R873" t="s">
        <v>80</v>
      </c>
      <c r="S873" t="s">
        <v>10</v>
      </c>
      <c r="T873" t="s">
        <v>10</v>
      </c>
      <c r="U873" t="s">
        <v>57</v>
      </c>
      <c r="V873" t="s">
        <v>10</v>
      </c>
      <c r="W873" t="s">
        <v>10</v>
      </c>
    </row>
    <row r="874" spans="1:23" x14ac:dyDescent="0.3">
      <c r="A874" t="s">
        <v>965</v>
      </c>
      <c r="B874" s="7">
        <v>46074</v>
      </c>
      <c r="C874" t="s">
        <v>73</v>
      </c>
      <c r="D874" t="s">
        <v>1099</v>
      </c>
      <c r="E874" s="3">
        <v>1</v>
      </c>
      <c r="F874" s="3" t="s">
        <v>7</v>
      </c>
      <c r="G874" t="s">
        <v>11</v>
      </c>
      <c r="H874" t="s">
        <v>1106</v>
      </c>
      <c r="I874" t="s">
        <v>39</v>
      </c>
      <c r="J874" t="s">
        <v>50</v>
      </c>
      <c r="K874" t="s">
        <v>10</v>
      </c>
      <c r="L874" t="s">
        <v>10</v>
      </c>
      <c r="M874" t="s">
        <v>10</v>
      </c>
      <c r="N874" t="s">
        <v>57</v>
      </c>
      <c r="O874" t="str">
        <f>INDEX(CoverageTable[Deductible Applies],MATCH(Table18[[#This Row],[Coverage]],CoverageTable[Coverage],0))</f>
        <v>No</v>
      </c>
      <c r="P874" t="str">
        <f>INDEX(CoverageTable[Coverage Limit Applies],MATCH(Table18[[#This Row],[Coverage]],CoverageTable[Coverage],0))</f>
        <v>Yes</v>
      </c>
      <c r="Q874" t="s">
        <v>10</v>
      </c>
      <c r="R874" t="s">
        <v>79</v>
      </c>
      <c r="S874" t="s">
        <v>10</v>
      </c>
      <c r="T874" t="s">
        <v>57</v>
      </c>
      <c r="U874" t="s">
        <v>10</v>
      </c>
      <c r="V874" t="s">
        <v>10</v>
      </c>
      <c r="W874" t="s">
        <v>10</v>
      </c>
    </row>
    <row r="875" spans="1:23" x14ac:dyDescent="0.3">
      <c r="A875" t="s">
        <v>966</v>
      </c>
      <c r="B875" s="7">
        <v>46038</v>
      </c>
      <c r="C875" t="s">
        <v>71</v>
      </c>
      <c r="D875" t="s">
        <v>1102</v>
      </c>
      <c r="E875" s="3">
        <v>4</v>
      </c>
      <c r="F875" s="3">
        <v>0</v>
      </c>
      <c r="G875" t="s">
        <v>10</v>
      </c>
      <c r="H875" t="s">
        <v>1109</v>
      </c>
      <c r="I875" t="s">
        <v>42</v>
      </c>
      <c r="J875" t="s">
        <v>50</v>
      </c>
      <c r="K875" t="s">
        <v>10</v>
      </c>
      <c r="L875" t="s">
        <v>10</v>
      </c>
      <c r="M875" t="s">
        <v>10</v>
      </c>
      <c r="N875" t="s">
        <v>57</v>
      </c>
      <c r="O875" t="str">
        <f>INDEX(CoverageTable[Deductible Applies],MATCH(Table18[[#This Row],[Coverage]],CoverageTable[Coverage],0))</f>
        <v>Yes</v>
      </c>
      <c r="P875" t="str">
        <f>INDEX(CoverageTable[Coverage Limit Applies],MATCH(Table18[[#This Row],[Coverage]],CoverageTable[Coverage],0))</f>
        <v>No</v>
      </c>
      <c r="Q875" t="s">
        <v>78</v>
      </c>
      <c r="R875" t="s">
        <v>10</v>
      </c>
      <c r="S875" t="s">
        <v>10</v>
      </c>
      <c r="T875" t="s">
        <v>10</v>
      </c>
      <c r="U875" t="s">
        <v>10</v>
      </c>
      <c r="V875" t="s">
        <v>57</v>
      </c>
      <c r="W875" t="s">
        <v>10</v>
      </c>
    </row>
    <row r="876" spans="1:23" x14ac:dyDescent="0.3">
      <c r="A876" t="s">
        <v>967</v>
      </c>
      <c r="B876" s="7">
        <v>45860</v>
      </c>
      <c r="C876" t="s">
        <v>70</v>
      </c>
      <c r="D876" t="s">
        <v>1102</v>
      </c>
      <c r="E876" s="3">
        <v>7</v>
      </c>
      <c r="F876" s="3">
        <v>1</v>
      </c>
      <c r="G876" t="s">
        <v>11</v>
      </c>
      <c r="H876" t="s">
        <v>1108</v>
      </c>
      <c r="I876" t="s">
        <v>29</v>
      </c>
      <c r="J876" t="s">
        <v>49</v>
      </c>
      <c r="K876" t="s">
        <v>10</v>
      </c>
      <c r="L876" t="s">
        <v>10</v>
      </c>
      <c r="M876" t="s">
        <v>10</v>
      </c>
      <c r="N876" t="s">
        <v>57</v>
      </c>
      <c r="O876" t="str">
        <f>INDEX(CoverageTable[Deductible Applies],MATCH(Table18[[#This Row],[Coverage]],CoverageTable[Coverage],0))</f>
        <v>No</v>
      </c>
      <c r="P876" t="str">
        <f>INDEX(CoverageTable[Coverage Limit Applies],MATCH(Table18[[#This Row],[Coverage]],CoverageTable[Coverage],0))</f>
        <v>Yes</v>
      </c>
      <c r="Q876" t="s">
        <v>10</v>
      </c>
      <c r="R876" t="s">
        <v>78</v>
      </c>
      <c r="S876" t="s">
        <v>57</v>
      </c>
      <c r="T876" t="s">
        <v>10</v>
      </c>
      <c r="U876" t="s">
        <v>10</v>
      </c>
      <c r="V876" t="s">
        <v>10</v>
      </c>
      <c r="W876" t="s">
        <v>57</v>
      </c>
    </row>
    <row r="877" spans="1:23" x14ac:dyDescent="0.3">
      <c r="A877" t="s">
        <v>968</v>
      </c>
      <c r="B877" s="7">
        <v>45810</v>
      </c>
      <c r="C877" t="s">
        <v>71</v>
      </c>
      <c r="D877" t="s">
        <v>1097</v>
      </c>
      <c r="E877" s="3">
        <v>4</v>
      </c>
      <c r="F877" s="3" t="s">
        <v>7</v>
      </c>
      <c r="G877" t="s">
        <v>10</v>
      </c>
      <c r="H877" t="s">
        <v>1110</v>
      </c>
      <c r="I877" t="s">
        <v>26</v>
      </c>
      <c r="J877" t="s">
        <v>53</v>
      </c>
      <c r="K877" t="s">
        <v>57</v>
      </c>
      <c r="L877" t="s">
        <v>10</v>
      </c>
      <c r="M877" t="s">
        <v>10</v>
      </c>
      <c r="N877" t="s">
        <v>10</v>
      </c>
      <c r="O877" t="str">
        <f>INDEX(CoverageTable[Deductible Applies],MATCH(Table18[[#This Row],[Coverage]],CoverageTable[Coverage],0))</f>
        <v>Yes</v>
      </c>
      <c r="P877" t="str">
        <f>INDEX(CoverageTable[Coverage Limit Applies],MATCH(Table18[[#This Row],[Coverage]],CoverageTable[Coverage],0))</f>
        <v>No</v>
      </c>
      <c r="Q877" t="s">
        <v>78</v>
      </c>
      <c r="R877" t="s">
        <v>10</v>
      </c>
      <c r="S877" t="s">
        <v>10</v>
      </c>
      <c r="T877" t="s">
        <v>10</v>
      </c>
      <c r="U877" t="s">
        <v>10</v>
      </c>
      <c r="V877" t="s">
        <v>10</v>
      </c>
      <c r="W877" t="s">
        <v>57</v>
      </c>
    </row>
    <row r="878" spans="1:23" x14ac:dyDescent="0.3">
      <c r="A878" t="s">
        <v>969</v>
      </c>
      <c r="B878" s="7">
        <v>45922</v>
      </c>
      <c r="C878" t="s">
        <v>73</v>
      </c>
      <c r="D878" t="s">
        <v>1101</v>
      </c>
      <c r="E878" s="3">
        <v>7</v>
      </c>
      <c r="F878" s="3" t="s">
        <v>7</v>
      </c>
      <c r="G878" t="s">
        <v>10</v>
      </c>
      <c r="H878" t="s">
        <v>1110</v>
      </c>
      <c r="I878" t="s">
        <v>23</v>
      </c>
      <c r="J878" t="s">
        <v>51</v>
      </c>
      <c r="K878" t="s">
        <v>10</v>
      </c>
      <c r="L878" t="s">
        <v>10</v>
      </c>
      <c r="M878" t="s">
        <v>10</v>
      </c>
      <c r="N878" t="s">
        <v>57</v>
      </c>
      <c r="O878" t="str">
        <f>INDEX(CoverageTable[Deductible Applies],MATCH(Table18[[#This Row],[Coverage]],CoverageTable[Coverage],0))</f>
        <v>No</v>
      </c>
      <c r="P878" t="str">
        <f>INDEX(CoverageTable[Coverage Limit Applies],MATCH(Table18[[#This Row],[Coverage]],CoverageTable[Coverage],0))</f>
        <v>Yes</v>
      </c>
      <c r="Q878" t="s">
        <v>10</v>
      </c>
      <c r="R878" t="s">
        <v>80</v>
      </c>
      <c r="S878" t="s">
        <v>10</v>
      </c>
      <c r="T878" t="s">
        <v>10</v>
      </c>
      <c r="U878" t="s">
        <v>57</v>
      </c>
      <c r="V878" t="s">
        <v>10</v>
      </c>
      <c r="W878" t="s">
        <v>10</v>
      </c>
    </row>
    <row r="879" spans="1:23" x14ac:dyDescent="0.3">
      <c r="A879" t="s">
        <v>970</v>
      </c>
      <c r="B879" s="7">
        <v>45848</v>
      </c>
      <c r="C879" t="s">
        <v>70</v>
      </c>
      <c r="D879" t="s">
        <v>1098</v>
      </c>
      <c r="E879" s="3">
        <v>4</v>
      </c>
      <c r="F879" s="3">
        <v>0</v>
      </c>
      <c r="G879" t="s">
        <v>10</v>
      </c>
      <c r="H879" t="s">
        <v>1108</v>
      </c>
      <c r="I879" t="s">
        <v>35</v>
      </c>
      <c r="J879" t="s">
        <v>48</v>
      </c>
      <c r="K879" t="s">
        <v>10</v>
      </c>
      <c r="L879" t="s">
        <v>10</v>
      </c>
      <c r="M879" t="s">
        <v>10</v>
      </c>
      <c r="N879" t="s">
        <v>10</v>
      </c>
      <c r="O879" t="str">
        <f>INDEX(CoverageTable[Deductible Applies],MATCH(Table18[[#This Row],[Coverage]],CoverageTable[Coverage],0))</f>
        <v>No</v>
      </c>
      <c r="P879" t="str">
        <f>INDEX(CoverageTable[Coverage Limit Applies],MATCH(Table18[[#This Row],[Coverage]],CoverageTable[Coverage],0))</f>
        <v>Yes</v>
      </c>
      <c r="Q879" t="s">
        <v>10</v>
      </c>
      <c r="R879" t="s">
        <v>80</v>
      </c>
      <c r="S879" t="s">
        <v>10</v>
      </c>
      <c r="T879" t="s">
        <v>10</v>
      </c>
      <c r="U879" t="s">
        <v>57</v>
      </c>
      <c r="V879" t="s">
        <v>10</v>
      </c>
      <c r="W879" t="s">
        <v>10</v>
      </c>
    </row>
    <row r="880" spans="1:23" x14ac:dyDescent="0.3">
      <c r="A880" t="s">
        <v>971</v>
      </c>
      <c r="B880" s="7">
        <v>45821</v>
      </c>
      <c r="C880" t="s">
        <v>70</v>
      </c>
      <c r="D880" t="s">
        <v>1098</v>
      </c>
      <c r="E880" s="3">
        <v>7</v>
      </c>
      <c r="F880" s="3">
        <v>0</v>
      </c>
      <c r="G880" t="s">
        <v>11</v>
      </c>
      <c r="H880" t="s">
        <v>1107</v>
      </c>
      <c r="I880" t="s">
        <v>34</v>
      </c>
      <c r="J880" t="s">
        <v>51</v>
      </c>
      <c r="K880" t="s">
        <v>10</v>
      </c>
      <c r="L880" t="s">
        <v>10</v>
      </c>
      <c r="M880" t="s">
        <v>57</v>
      </c>
      <c r="N880" t="s">
        <v>10</v>
      </c>
      <c r="O880" t="str">
        <f>INDEX(CoverageTable[Deductible Applies],MATCH(Table18[[#This Row],[Coverage]],CoverageTable[Coverage],0))</f>
        <v>No</v>
      </c>
      <c r="P880" t="str">
        <f>INDEX(CoverageTable[Coverage Limit Applies],MATCH(Table18[[#This Row],[Coverage]],CoverageTable[Coverage],0))</f>
        <v>Yes</v>
      </c>
      <c r="Q880" t="s">
        <v>10</v>
      </c>
      <c r="R880" t="s">
        <v>80</v>
      </c>
      <c r="S880" t="s">
        <v>10</v>
      </c>
      <c r="T880" t="s">
        <v>10</v>
      </c>
      <c r="U880" t="s">
        <v>10</v>
      </c>
      <c r="V880" t="s">
        <v>10</v>
      </c>
      <c r="W880" t="s">
        <v>10</v>
      </c>
    </row>
    <row r="881" spans="1:23" x14ac:dyDescent="0.3">
      <c r="A881" t="s">
        <v>972</v>
      </c>
      <c r="B881" s="7">
        <v>46068</v>
      </c>
      <c r="C881" t="s">
        <v>71</v>
      </c>
      <c r="D881" t="s">
        <v>1101</v>
      </c>
      <c r="E881" s="3">
        <v>4</v>
      </c>
      <c r="F881" s="3">
        <v>2</v>
      </c>
      <c r="G881" t="s">
        <v>13</v>
      </c>
      <c r="H881" t="s">
        <v>1109</v>
      </c>
      <c r="I881" t="s">
        <v>42</v>
      </c>
      <c r="J881" t="s">
        <v>54</v>
      </c>
      <c r="K881" t="s">
        <v>10</v>
      </c>
      <c r="L881" t="s">
        <v>10</v>
      </c>
      <c r="M881" t="s">
        <v>10</v>
      </c>
      <c r="N881" t="s">
        <v>10</v>
      </c>
      <c r="O881" t="str">
        <f>INDEX(CoverageTable[Deductible Applies],MATCH(Table18[[#This Row],[Coverage]],CoverageTable[Coverage],0))</f>
        <v>Yes</v>
      </c>
      <c r="P881" t="str">
        <f>INDEX(CoverageTable[Coverage Limit Applies],MATCH(Table18[[#This Row],[Coverage]],CoverageTable[Coverage],0))</f>
        <v>No</v>
      </c>
      <c r="Q881" t="s">
        <v>79</v>
      </c>
      <c r="R881" t="s">
        <v>10</v>
      </c>
      <c r="S881" t="s">
        <v>10</v>
      </c>
      <c r="T881" t="s">
        <v>10</v>
      </c>
      <c r="U881" t="s">
        <v>10</v>
      </c>
      <c r="V881" t="s">
        <v>10</v>
      </c>
      <c r="W881" t="s">
        <v>10</v>
      </c>
    </row>
    <row r="882" spans="1:23" x14ac:dyDescent="0.3">
      <c r="A882" t="s">
        <v>973</v>
      </c>
      <c r="B882" s="7">
        <v>45988</v>
      </c>
      <c r="C882" t="s">
        <v>70</v>
      </c>
      <c r="D882" t="s">
        <v>1101</v>
      </c>
      <c r="E882" s="3">
        <v>1</v>
      </c>
      <c r="F882" s="3">
        <v>4</v>
      </c>
      <c r="G882" t="s">
        <v>11</v>
      </c>
      <c r="H882" t="s">
        <v>1109</v>
      </c>
      <c r="I882" t="s">
        <v>36</v>
      </c>
      <c r="J882" t="s">
        <v>50</v>
      </c>
      <c r="K882" t="s">
        <v>10</v>
      </c>
      <c r="L882" t="s">
        <v>57</v>
      </c>
      <c r="M882" t="s">
        <v>10</v>
      </c>
      <c r="N882" t="s">
        <v>10</v>
      </c>
      <c r="O882" t="str">
        <f>INDEX(CoverageTable[Deductible Applies],MATCH(Table18[[#This Row],[Coverage]],CoverageTable[Coverage],0))</f>
        <v>No</v>
      </c>
      <c r="P882" t="str">
        <f>INDEX(CoverageTable[Coverage Limit Applies],MATCH(Table18[[#This Row],[Coverage]],CoverageTable[Coverage],0))</f>
        <v>Yes</v>
      </c>
      <c r="Q882" t="s">
        <v>10</v>
      </c>
      <c r="R882" t="s">
        <v>80</v>
      </c>
      <c r="S882" t="s">
        <v>10</v>
      </c>
      <c r="T882" t="s">
        <v>10</v>
      </c>
      <c r="U882" t="s">
        <v>57</v>
      </c>
      <c r="V882" t="s">
        <v>57</v>
      </c>
      <c r="W882" t="s">
        <v>10</v>
      </c>
    </row>
    <row r="883" spans="1:23" x14ac:dyDescent="0.3">
      <c r="A883" t="s">
        <v>974</v>
      </c>
      <c r="B883" s="7">
        <v>46123</v>
      </c>
      <c r="C883" t="s">
        <v>70</v>
      </c>
      <c r="D883" t="s">
        <v>1099</v>
      </c>
      <c r="E883" s="3">
        <v>5</v>
      </c>
      <c r="F883" s="3">
        <v>1</v>
      </c>
      <c r="G883" t="s">
        <v>13</v>
      </c>
      <c r="H883" t="s">
        <v>1109</v>
      </c>
      <c r="I883" t="s">
        <v>33</v>
      </c>
      <c r="J883" t="s">
        <v>49</v>
      </c>
      <c r="K883" t="s">
        <v>10</v>
      </c>
      <c r="L883" t="s">
        <v>10</v>
      </c>
      <c r="M883" t="s">
        <v>10</v>
      </c>
      <c r="N883" t="s">
        <v>57</v>
      </c>
      <c r="O883" t="str">
        <f>INDEX(CoverageTable[Deductible Applies],MATCH(Table18[[#This Row],[Coverage]],CoverageTable[Coverage],0))</f>
        <v>No</v>
      </c>
      <c r="P883" t="str">
        <f>INDEX(CoverageTable[Coverage Limit Applies],MATCH(Table18[[#This Row],[Coverage]],CoverageTable[Coverage],0))</f>
        <v>Yes</v>
      </c>
      <c r="Q883" t="s">
        <v>10</v>
      </c>
      <c r="R883" t="s">
        <v>79</v>
      </c>
      <c r="S883" t="s">
        <v>10</v>
      </c>
      <c r="T883" t="s">
        <v>10</v>
      </c>
      <c r="U883" t="s">
        <v>10</v>
      </c>
      <c r="V883" t="s">
        <v>10</v>
      </c>
      <c r="W883" t="s">
        <v>10</v>
      </c>
    </row>
    <row r="884" spans="1:23" x14ac:dyDescent="0.3">
      <c r="A884" t="s">
        <v>975</v>
      </c>
      <c r="B884" s="7">
        <v>45864</v>
      </c>
      <c r="C884" t="s">
        <v>70</v>
      </c>
      <c r="D884" t="s">
        <v>1099</v>
      </c>
      <c r="E884" s="3">
        <v>4</v>
      </c>
      <c r="F884" s="3" t="s">
        <v>7</v>
      </c>
      <c r="G884" t="s">
        <v>12</v>
      </c>
      <c r="H884" t="s">
        <v>1109</v>
      </c>
      <c r="I884" t="s">
        <v>39</v>
      </c>
      <c r="J884" t="s">
        <v>51</v>
      </c>
      <c r="K884" t="s">
        <v>10</v>
      </c>
      <c r="L884" t="s">
        <v>10</v>
      </c>
      <c r="M884" t="s">
        <v>10</v>
      </c>
      <c r="N884" t="s">
        <v>10</v>
      </c>
      <c r="O884" t="str">
        <f>INDEX(CoverageTable[Deductible Applies],MATCH(Table18[[#This Row],[Coverage]],CoverageTable[Coverage],0))</f>
        <v>No</v>
      </c>
      <c r="P884" t="str">
        <f>INDEX(CoverageTable[Coverage Limit Applies],MATCH(Table18[[#This Row],[Coverage]],CoverageTable[Coverage],0))</f>
        <v>Yes</v>
      </c>
      <c r="Q884" t="s">
        <v>10</v>
      </c>
      <c r="R884" t="s">
        <v>78</v>
      </c>
      <c r="S884" t="s">
        <v>10</v>
      </c>
      <c r="T884" t="s">
        <v>10</v>
      </c>
      <c r="U884" t="s">
        <v>10</v>
      </c>
      <c r="V884" t="s">
        <v>10</v>
      </c>
      <c r="W884" t="s">
        <v>10</v>
      </c>
    </row>
    <row r="885" spans="1:23" x14ac:dyDescent="0.3">
      <c r="A885" t="s">
        <v>976</v>
      </c>
      <c r="B885" s="7">
        <v>45869</v>
      </c>
      <c r="C885" t="s">
        <v>71</v>
      </c>
      <c r="D885" t="s">
        <v>1102</v>
      </c>
      <c r="E885" s="3">
        <v>7</v>
      </c>
      <c r="F885" s="3">
        <v>1</v>
      </c>
      <c r="G885" t="s">
        <v>10</v>
      </c>
      <c r="H885" t="s">
        <v>1108</v>
      </c>
      <c r="I885" t="s">
        <v>29</v>
      </c>
      <c r="J885" t="s">
        <v>48</v>
      </c>
      <c r="K885" t="s">
        <v>10</v>
      </c>
      <c r="L885" t="s">
        <v>10</v>
      </c>
      <c r="M885" t="s">
        <v>10</v>
      </c>
      <c r="N885" t="s">
        <v>10</v>
      </c>
      <c r="O885" t="str">
        <f>INDEX(CoverageTable[Deductible Applies],MATCH(Table18[[#This Row],[Coverage]],CoverageTable[Coverage],0))</f>
        <v>Yes</v>
      </c>
      <c r="P885" t="str">
        <f>INDEX(CoverageTable[Coverage Limit Applies],MATCH(Table18[[#This Row],[Coverage]],CoverageTable[Coverage],0))</f>
        <v>No</v>
      </c>
      <c r="Q885" t="s">
        <v>80</v>
      </c>
      <c r="R885" t="s">
        <v>10</v>
      </c>
      <c r="S885" t="s">
        <v>57</v>
      </c>
      <c r="T885" t="s">
        <v>10</v>
      </c>
      <c r="U885" t="s">
        <v>57</v>
      </c>
      <c r="V885" t="s">
        <v>57</v>
      </c>
      <c r="W885" t="s">
        <v>57</v>
      </c>
    </row>
    <row r="886" spans="1:23" x14ac:dyDescent="0.3">
      <c r="A886" t="s">
        <v>977</v>
      </c>
      <c r="B886" s="7">
        <v>46002</v>
      </c>
      <c r="C886" t="s">
        <v>72</v>
      </c>
      <c r="D886" t="s">
        <v>1098</v>
      </c>
      <c r="E886" s="3">
        <v>7</v>
      </c>
      <c r="F886" s="3">
        <v>1</v>
      </c>
      <c r="G886" t="s">
        <v>10</v>
      </c>
      <c r="H886" t="s">
        <v>1107</v>
      </c>
      <c r="I886" t="s">
        <v>27</v>
      </c>
      <c r="J886" t="s">
        <v>54</v>
      </c>
      <c r="K886" t="s">
        <v>10</v>
      </c>
      <c r="L886" t="s">
        <v>10</v>
      </c>
      <c r="M886" t="s">
        <v>10</v>
      </c>
      <c r="N886" t="s">
        <v>10</v>
      </c>
      <c r="O886" t="str">
        <f>INDEX(CoverageTable[Deductible Applies],MATCH(Table18[[#This Row],[Coverage]],CoverageTable[Coverage],0))</f>
        <v>Yes</v>
      </c>
      <c r="P886" t="str">
        <f>INDEX(CoverageTable[Coverage Limit Applies],MATCH(Table18[[#This Row],[Coverage]],CoverageTable[Coverage],0))</f>
        <v>No</v>
      </c>
      <c r="Q886" t="s">
        <v>79</v>
      </c>
      <c r="R886" t="s">
        <v>10</v>
      </c>
      <c r="S886" t="s">
        <v>10</v>
      </c>
      <c r="T886" t="s">
        <v>10</v>
      </c>
      <c r="U886" t="s">
        <v>10</v>
      </c>
      <c r="V886" t="s">
        <v>10</v>
      </c>
      <c r="W886" t="s">
        <v>57</v>
      </c>
    </row>
    <row r="887" spans="1:23" x14ac:dyDescent="0.3">
      <c r="A887" t="s">
        <v>978</v>
      </c>
      <c r="B887" s="7">
        <v>46100</v>
      </c>
      <c r="C887" t="s">
        <v>71</v>
      </c>
      <c r="D887" t="s">
        <v>1101</v>
      </c>
      <c r="E887" s="3">
        <v>1</v>
      </c>
      <c r="F887" s="3">
        <v>4</v>
      </c>
      <c r="G887" t="s">
        <v>11</v>
      </c>
      <c r="H887" t="s">
        <v>1110</v>
      </c>
      <c r="I887" t="s">
        <v>27</v>
      </c>
      <c r="J887" t="s">
        <v>49</v>
      </c>
      <c r="K887" t="s">
        <v>10</v>
      </c>
      <c r="L887" t="s">
        <v>57</v>
      </c>
      <c r="M887" t="s">
        <v>10</v>
      </c>
      <c r="N887" t="s">
        <v>10</v>
      </c>
      <c r="O887" t="str">
        <f>INDEX(CoverageTable[Deductible Applies],MATCH(Table18[[#This Row],[Coverage]],CoverageTable[Coverage],0))</f>
        <v>Yes</v>
      </c>
      <c r="P887" t="str">
        <f>INDEX(CoverageTable[Coverage Limit Applies],MATCH(Table18[[#This Row],[Coverage]],CoverageTable[Coverage],0))</f>
        <v>No</v>
      </c>
      <c r="Q887" t="s">
        <v>80</v>
      </c>
      <c r="R887" t="s">
        <v>10</v>
      </c>
      <c r="S887" t="s">
        <v>10</v>
      </c>
      <c r="T887" t="s">
        <v>10</v>
      </c>
      <c r="U887" t="s">
        <v>10</v>
      </c>
      <c r="V887" t="s">
        <v>10</v>
      </c>
      <c r="W887" t="s">
        <v>10</v>
      </c>
    </row>
    <row r="888" spans="1:23" x14ac:dyDescent="0.3">
      <c r="A888" t="s">
        <v>979</v>
      </c>
      <c r="B888" s="7">
        <v>45786</v>
      </c>
      <c r="C888" t="s">
        <v>70</v>
      </c>
      <c r="D888" t="s">
        <v>1100</v>
      </c>
      <c r="E888" s="3">
        <v>4</v>
      </c>
      <c r="F888" s="3">
        <v>1</v>
      </c>
      <c r="G888" t="s">
        <v>12</v>
      </c>
      <c r="H888" t="s">
        <v>1106</v>
      </c>
      <c r="I888" t="s">
        <v>32</v>
      </c>
      <c r="J888" t="s">
        <v>50</v>
      </c>
      <c r="K888" t="s">
        <v>10</v>
      </c>
      <c r="L888" t="s">
        <v>10</v>
      </c>
      <c r="M888" t="s">
        <v>10</v>
      </c>
      <c r="N888" t="s">
        <v>10</v>
      </c>
      <c r="O888" t="str">
        <f>INDEX(CoverageTable[Deductible Applies],MATCH(Table18[[#This Row],[Coverage]],CoverageTable[Coverage],0))</f>
        <v>No</v>
      </c>
      <c r="P888" t="str">
        <f>INDEX(CoverageTable[Coverage Limit Applies],MATCH(Table18[[#This Row],[Coverage]],CoverageTable[Coverage],0))</f>
        <v>Yes</v>
      </c>
      <c r="Q888" t="s">
        <v>10</v>
      </c>
      <c r="R888" t="s">
        <v>79</v>
      </c>
      <c r="S888" t="s">
        <v>10</v>
      </c>
      <c r="T888" t="s">
        <v>10</v>
      </c>
      <c r="U888" t="s">
        <v>10</v>
      </c>
      <c r="V888" t="s">
        <v>57</v>
      </c>
      <c r="W888" t="s">
        <v>10</v>
      </c>
    </row>
    <row r="889" spans="1:23" x14ac:dyDescent="0.3">
      <c r="A889" t="s">
        <v>980</v>
      </c>
      <c r="B889" s="7">
        <v>45822</v>
      </c>
      <c r="C889" t="s">
        <v>70</v>
      </c>
      <c r="D889" t="s">
        <v>1099</v>
      </c>
      <c r="E889" s="3">
        <v>3</v>
      </c>
      <c r="F889" s="3">
        <v>3</v>
      </c>
      <c r="G889" t="s">
        <v>10</v>
      </c>
      <c r="H889" t="s">
        <v>1108</v>
      </c>
      <c r="I889" t="s">
        <v>36</v>
      </c>
      <c r="J889" t="s">
        <v>54</v>
      </c>
      <c r="K889" t="s">
        <v>10</v>
      </c>
      <c r="L889" t="s">
        <v>10</v>
      </c>
      <c r="M889" t="s">
        <v>10</v>
      </c>
      <c r="N889" t="s">
        <v>57</v>
      </c>
      <c r="O889" t="str">
        <f>INDEX(CoverageTable[Deductible Applies],MATCH(Table18[[#This Row],[Coverage]],CoverageTable[Coverage],0))</f>
        <v>No</v>
      </c>
      <c r="P889" t="str">
        <f>INDEX(CoverageTable[Coverage Limit Applies],MATCH(Table18[[#This Row],[Coverage]],CoverageTable[Coverage],0))</f>
        <v>Yes</v>
      </c>
      <c r="Q889" t="s">
        <v>10</v>
      </c>
      <c r="R889" t="s">
        <v>78</v>
      </c>
      <c r="S889" t="s">
        <v>10</v>
      </c>
      <c r="T889" t="s">
        <v>10</v>
      </c>
      <c r="U889" t="s">
        <v>10</v>
      </c>
      <c r="V889" t="s">
        <v>10</v>
      </c>
      <c r="W889" t="s">
        <v>10</v>
      </c>
    </row>
    <row r="890" spans="1:23" x14ac:dyDescent="0.3">
      <c r="A890" t="s">
        <v>981</v>
      </c>
      <c r="B890" s="7">
        <v>45950</v>
      </c>
      <c r="C890" t="s">
        <v>74</v>
      </c>
      <c r="D890" t="s">
        <v>1102</v>
      </c>
      <c r="E890" s="3">
        <v>2</v>
      </c>
      <c r="F890" s="3">
        <v>0</v>
      </c>
      <c r="G890" t="s">
        <v>10</v>
      </c>
      <c r="H890" t="s">
        <v>1108</v>
      </c>
      <c r="I890" t="s">
        <v>32</v>
      </c>
      <c r="J890" t="s">
        <v>54</v>
      </c>
      <c r="K890" t="s">
        <v>10</v>
      </c>
      <c r="L890" t="s">
        <v>10</v>
      </c>
      <c r="M890" t="s">
        <v>10</v>
      </c>
      <c r="N890" t="s">
        <v>10</v>
      </c>
      <c r="O890" t="str">
        <f>INDEX(CoverageTable[Deductible Applies],MATCH(Table18[[#This Row],[Coverage]],CoverageTable[Coverage],0))</f>
        <v>No</v>
      </c>
      <c r="P890" t="str">
        <f>INDEX(CoverageTable[Coverage Limit Applies],MATCH(Table18[[#This Row],[Coverage]],CoverageTable[Coverage],0))</f>
        <v>Yes</v>
      </c>
      <c r="Q890" t="s">
        <v>10</v>
      </c>
      <c r="R890" t="s">
        <v>80</v>
      </c>
      <c r="S890" t="s">
        <v>10</v>
      </c>
      <c r="T890" t="s">
        <v>10</v>
      </c>
      <c r="U890" t="s">
        <v>10</v>
      </c>
      <c r="V890" t="s">
        <v>57</v>
      </c>
      <c r="W890" t="s">
        <v>10</v>
      </c>
    </row>
    <row r="891" spans="1:23" x14ac:dyDescent="0.3">
      <c r="A891" t="s">
        <v>982</v>
      </c>
      <c r="B891" s="7">
        <v>46041</v>
      </c>
      <c r="C891" t="s">
        <v>70</v>
      </c>
      <c r="D891" t="s">
        <v>1098</v>
      </c>
      <c r="E891" s="3">
        <v>3</v>
      </c>
      <c r="F891" s="3">
        <v>3</v>
      </c>
      <c r="G891" t="s">
        <v>10</v>
      </c>
      <c r="H891" t="s">
        <v>1109</v>
      </c>
      <c r="I891" t="s">
        <v>44</v>
      </c>
      <c r="J891" t="s">
        <v>54</v>
      </c>
      <c r="K891" t="s">
        <v>10</v>
      </c>
      <c r="L891" t="s">
        <v>10</v>
      </c>
      <c r="M891" t="s">
        <v>10</v>
      </c>
      <c r="N891" t="s">
        <v>57</v>
      </c>
      <c r="O891" t="str">
        <f>INDEX(CoverageTable[Deductible Applies],MATCH(Table18[[#This Row],[Coverage]],CoverageTable[Coverage],0))</f>
        <v>No</v>
      </c>
      <c r="P891" t="str">
        <f>INDEX(CoverageTable[Coverage Limit Applies],MATCH(Table18[[#This Row],[Coverage]],CoverageTable[Coverage],0))</f>
        <v>Yes</v>
      </c>
      <c r="Q891" t="s">
        <v>10</v>
      </c>
      <c r="R891" t="s">
        <v>78</v>
      </c>
      <c r="S891" t="s">
        <v>10</v>
      </c>
      <c r="T891" t="s">
        <v>10</v>
      </c>
      <c r="U891" t="s">
        <v>10</v>
      </c>
      <c r="V891" t="s">
        <v>10</v>
      </c>
      <c r="W891" t="s">
        <v>57</v>
      </c>
    </row>
    <row r="892" spans="1:23" x14ac:dyDescent="0.3">
      <c r="A892" t="s">
        <v>983</v>
      </c>
      <c r="B892" s="7">
        <v>46089</v>
      </c>
      <c r="C892" t="s">
        <v>73</v>
      </c>
      <c r="D892" t="s">
        <v>1102</v>
      </c>
      <c r="E892" s="3">
        <v>3</v>
      </c>
      <c r="F892" s="3">
        <v>0</v>
      </c>
      <c r="G892" t="s">
        <v>12</v>
      </c>
      <c r="H892" t="s">
        <v>1108</v>
      </c>
      <c r="I892" t="s">
        <v>25</v>
      </c>
      <c r="J892" t="s">
        <v>49</v>
      </c>
      <c r="K892" t="s">
        <v>10</v>
      </c>
      <c r="L892" t="s">
        <v>10</v>
      </c>
      <c r="M892" t="s">
        <v>10</v>
      </c>
      <c r="N892" t="s">
        <v>57</v>
      </c>
      <c r="O892" t="str">
        <f>INDEX(CoverageTable[Deductible Applies],MATCH(Table18[[#This Row],[Coverage]],CoverageTable[Coverage],0))</f>
        <v>No</v>
      </c>
      <c r="P892" t="str">
        <f>INDEX(CoverageTable[Coverage Limit Applies],MATCH(Table18[[#This Row],[Coverage]],CoverageTable[Coverage],0))</f>
        <v>Yes</v>
      </c>
      <c r="Q892" t="s">
        <v>10</v>
      </c>
      <c r="R892" t="s">
        <v>79</v>
      </c>
      <c r="S892" t="s">
        <v>10</v>
      </c>
      <c r="T892" t="s">
        <v>10</v>
      </c>
      <c r="U892" t="s">
        <v>57</v>
      </c>
      <c r="V892" t="s">
        <v>57</v>
      </c>
      <c r="W892" t="s">
        <v>10</v>
      </c>
    </row>
    <row r="893" spans="1:23" x14ac:dyDescent="0.3">
      <c r="A893" t="s">
        <v>984</v>
      </c>
      <c r="B893" s="7">
        <v>46030</v>
      </c>
      <c r="C893" t="s">
        <v>70</v>
      </c>
      <c r="D893" t="s">
        <v>1100</v>
      </c>
      <c r="E893" s="3">
        <v>5</v>
      </c>
      <c r="F893" s="3">
        <v>3</v>
      </c>
      <c r="G893" t="s">
        <v>10</v>
      </c>
      <c r="H893" t="s">
        <v>1110</v>
      </c>
      <c r="I893" t="s">
        <v>21</v>
      </c>
      <c r="J893" t="s">
        <v>54</v>
      </c>
      <c r="K893" t="s">
        <v>10</v>
      </c>
      <c r="L893" t="s">
        <v>10</v>
      </c>
      <c r="M893" t="s">
        <v>10</v>
      </c>
      <c r="N893" t="s">
        <v>10</v>
      </c>
      <c r="O893" t="str">
        <f>INDEX(CoverageTable[Deductible Applies],MATCH(Table18[[#This Row],[Coverage]],CoverageTable[Coverage],0))</f>
        <v>No</v>
      </c>
      <c r="P893" t="str">
        <f>INDEX(CoverageTable[Coverage Limit Applies],MATCH(Table18[[#This Row],[Coverage]],CoverageTable[Coverage],0))</f>
        <v>Yes</v>
      </c>
      <c r="Q893" t="s">
        <v>10</v>
      </c>
      <c r="R893" t="s">
        <v>78</v>
      </c>
      <c r="S893" t="s">
        <v>10</v>
      </c>
      <c r="T893" t="s">
        <v>10</v>
      </c>
      <c r="U893" t="s">
        <v>10</v>
      </c>
      <c r="V893" t="s">
        <v>10</v>
      </c>
      <c r="W893" t="s">
        <v>10</v>
      </c>
    </row>
    <row r="894" spans="1:23" x14ac:dyDescent="0.3">
      <c r="A894" t="s">
        <v>985</v>
      </c>
      <c r="B894" s="7">
        <v>46081</v>
      </c>
      <c r="C894" t="s">
        <v>73</v>
      </c>
      <c r="D894" t="s">
        <v>1098</v>
      </c>
      <c r="E894" s="3">
        <v>5</v>
      </c>
      <c r="F894" s="3">
        <v>0</v>
      </c>
      <c r="G894" t="s">
        <v>11</v>
      </c>
      <c r="H894" t="s">
        <v>1107</v>
      </c>
      <c r="I894" t="s">
        <v>38</v>
      </c>
      <c r="J894" t="s">
        <v>54</v>
      </c>
      <c r="K894" t="s">
        <v>10</v>
      </c>
      <c r="L894" t="s">
        <v>10</v>
      </c>
      <c r="M894" t="s">
        <v>10</v>
      </c>
      <c r="N894" t="s">
        <v>57</v>
      </c>
      <c r="O894" t="str">
        <f>INDEX(CoverageTable[Deductible Applies],MATCH(Table18[[#This Row],[Coverage]],CoverageTable[Coverage],0))</f>
        <v>No</v>
      </c>
      <c r="P894" t="str">
        <f>INDEX(CoverageTable[Coverage Limit Applies],MATCH(Table18[[#This Row],[Coverage]],CoverageTable[Coverage],0))</f>
        <v>Yes</v>
      </c>
      <c r="Q894" t="s">
        <v>10</v>
      </c>
      <c r="R894" t="s">
        <v>79</v>
      </c>
      <c r="S894" t="s">
        <v>10</v>
      </c>
      <c r="T894" t="s">
        <v>57</v>
      </c>
      <c r="U894" t="s">
        <v>10</v>
      </c>
      <c r="V894" t="s">
        <v>10</v>
      </c>
      <c r="W894" t="s">
        <v>10</v>
      </c>
    </row>
    <row r="895" spans="1:23" x14ac:dyDescent="0.3">
      <c r="A895" t="s">
        <v>986</v>
      </c>
      <c r="B895" s="7">
        <v>46004</v>
      </c>
      <c r="C895" t="s">
        <v>70</v>
      </c>
      <c r="D895" t="s">
        <v>1099</v>
      </c>
      <c r="E895" s="3">
        <v>2</v>
      </c>
      <c r="F895" s="3">
        <v>3</v>
      </c>
      <c r="G895" t="s">
        <v>13</v>
      </c>
      <c r="H895" t="s">
        <v>1106</v>
      </c>
      <c r="I895" t="s">
        <v>32</v>
      </c>
      <c r="J895" t="s">
        <v>51</v>
      </c>
      <c r="K895" t="s">
        <v>10</v>
      </c>
      <c r="L895" t="s">
        <v>57</v>
      </c>
      <c r="M895" t="s">
        <v>10</v>
      </c>
      <c r="N895" t="s">
        <v>57</v>
      </c>
      <c r="O895" t="str">
        <f>INDEX(CoverageTable[Deductible Applies],MATCH(Table18[[#This Row],[Coverage]],CoverageTable[Coverage],0))</f>
        <v>No</v>
      </c>
      <c r="P895" t="str">
        <f>INDEX(CoverageTable[Coverage Limit Applies],MATCH(Table18[[#This Row],[Coverage]],CoverageTable[Coverage],0))</f>
        <v>Yes</v>
      </c>
      <c r="Q895" t="s">
        <v>10</v>
      </c>
      <c r="R895" t="s">
        <v>78</v>
      </c>
      <c r="S895" t="s">
        <v>10</v>
      </c>
      <c r="T895" t="s">
        <v>10</v>
      </c>
      <c r="U895" t="s">
        <v>10</v>
      </c>
      <c r="V895" t="s">
        <v>10</v>
      </c>
      <c r="W895" t="s">
        <v>10</v>
      </c>
    </row>
    <row r="896" spans="1:23" x14ac:dyDescent="0.3">
      <c r="A896" t="s">
        <v>987</v>
      </c>
      <c r="B896" s="7">
        <v>45976</v>
      </c>
      <c r="C896" t="s">
        <v>70</v>
      </c>
      <c r="D896" t="s">
        <v>1102</v>
      </c>
      <c r="E896" s="3">
        <v>7</v>
      </c>
      <c r="F896" s="3">
        <v>4</v>
      </c>
      <c r="G896" t="s">
        <v>11</v>
      </c>
      <c r="H896" t="s">
        <v>1108</v>
      </c>
      <c r="I896" t="s">
        <v>36</v>
      </c>
      <c r="J896" t="s">
        <v>52</v>
      </c>
      <c r="K896" t="s">
        <v>57</v>
      </c>
      <c r="L896" t="s">
        <v>10</v>
      </c>
      <c r="M896" t="s">
        <v>10</v>
      </c>
      <c r="N896" t="s">
        <v>57</v>
      </c>
      <c r="O896" t="str">
        <f>INDEX(CoverageTable[Deductible Applies],MATCH(Table18[[#This Row],[Coverage]],CoverageTable[Coverage],0))</f>
        <v>No</v>
      </c>
      <c r="P896" t="str">
        <f>INDEX(CoverageTable[Coverage Limit Applies],MATCH(Table18[[#This Row],[Coverage]],CoverageTable[Coverage],0))</f>
        <v>Yes</v>
      </c>
      <c r="Q896" t="s">
        <v>10</v>
      </c>
      <c r="R896" t="s">
        <v>78</v>
      </c>
      <c r="S896" t="s">
        <v>10</v>
      </c>
      <c r="T896" t="s">
        <v>10</v>
      </c>
      <c r="U896" t="s">
        <v>10</v>
      </c>
      <c r="V896" t="s">
        <v>10</v>
      </c>
      <c r="W896" t="s">
        <v>10</v>
      </c>
    </row>
    <row r="897" spans="1:23" x14ac:dyDescent="0.3">
      <c r="A897" t="s">
        <v>988</v>
      </c>
      <c r="B897" s="7">
        <v>46042</v>
      </c>
      <c r="C897" t="s">
        <v>72</v>
      </c>
      <c r="D897" t="s">
        <v>1102</v>
      </c>
      <c r="E897" s="3">
        <v>6</v>
      </c>
      <c r="F897" s="3">
        <v>1</v>
      </c>
      <c r="G897" t="s">
        <v>10</v>
      </c>
      <c r="H897" t="s">
        <v>1108</v>
      </c>
      <c r="I897" t="s">
        <v>21</v>
      </c>
      <c r="J897" t="s">
        <v>50</v>
      </c>
      <c r="K897" t="s">
        <v>57</v>
      </c>
      <c r="L897" t="s">
        <v>10</v>
      </c>
      <c r="M897" t="s">
        <v>10</v>
      </c>
      <c r="N897" t="s">
        <v>57</v>
      </c>
      <c r="O897" t="str">
        <f>INDEX(CoverageTable[Deductible Applies],MATCH(Table18[[#This Row],[Coverage]],CoverageTable[Coverage],0))</f>
        <v>Yes</v>
      </c>
      <c r="P897" t="str">
        <f>INDEX(CoverageTable[Coverage Limit Applies],MATCH(Table18[[#This Row],[Coverage]],CoverageTable[Coverage],0))</f>
        <v>No</v>
      </c>
      <c r="Q897" t="s">
        <v>79</v>
      </c>
      <c r="R897" t="s">
        <v>10</v>
      </c>
      <c r="S897" t="s">
        <v>10</v>
      </c>
      <c r="T897" t="s">
        <v>10</v>
      </c>
      <c r="U897" t="s">
        <v>10</v>
      </c>
      <c r="V897" t="s">
        <v>10</v>
      </c>
      <c r="W897" t="s">
        <v>10</v>
      </c>
    </row>
    <row r="898" spans="1:23" x14ac:dyDescent="0.3">
      <c r="A898" t="s">
        <v>989</v>
      </c>
      <c r="B898" s="7">
        <v>45962</v>
      </c>
      <c r="C898" t="s">
        <v>70</v>
      </c>
      <c r="D898" t="s">
        <v>1098</v>
      </c>
      <c r="E898" s="3">
        <v>3</v>
      </c>
      <c r="F898" s="3" t="s">
        <v>7</v>
      </c>
      <c r="G898" t="s">
        <v>10</v>
      </c>
      <c r="H898" t="s">
        <v>1108</v>
      </c>
      <c r="I898" t="s">
        <v>41</v>
      </c>
      <c r="J898" t="s">
        <v>50</v>
      </c>
      <c r="K898" t="s">
        <v>10</v>
      </c>
      <c r="L898" t="s">
        <v>10</v>
      </c>
      <c r="M898" t="s">
        <v>10</v>
      </c>
      <c r="N898" t="s">
        <v>57</v>
      </c>
      <c r="O898" t="str">
        <f>INDEX(CoverageTable[Deductible Applies],MATCH(Table18[[#This Row],[Coverage]],CoverageTable[Coverage],0))</f>
        <v>No</v>
      </c>
      <c r="P898" t="str">
        <f>INDEX(CoverageTable[Coverage Limit Applies],MATCH(Table18[[#This Row],[Coverage]],CoverageTable[Coverage],0))</f>
        <v>Yes</v>
      </c>
      <c r="Q898" t="s">
        <v>10</v>
      </c>
      <c r="R898" t="s">
        <v>78</v>
      </c>
      <c r="S898" t="s">
        <v>57</v>
      </c>
      <c r="T898" t="s">
        <v>57</v>
      </c>
      <c r="U898" t="s">
        <v>10</v>
      </c>
      <c r="V898" t="s">
        <v>10</v>
      </c>
      <c r="W898" t="s">
        <v>10</v>
      </c>
    </row>
    <row r="899" spans="1:23" x14ac:dyDescent="0.3">
      <c r="A899" t="s">
        <v>990</v>
      </c>
      <c r="B899" s="7">
        <v>46073</v>
      </c>
      <c r="C899" t="s">
        <v>71</v>
      </c>
      <c r="D899" t="s">
        <v>1101</v>
      </c>
      <c r="E899" s="3">
        <v>7</v>
      </c>
      <c r="F899" s="3">
        <v>0</v>
      </c>
      <c r="G899" t="s">
        <v>11</v>
      </c>
      <c r="H899" t="s">
        <v>1109</v>
      </c>
      <c r="I899" t="s">
        <v>27</v>
      </c>
      <c r="J899" t="s">
        <v>54</v>
      </c>
      <c r="K899" t="s">
        <v>10</v>
      </c>
      <c r="L899" t="s">
        <v>10</v>
      </c>
      <c r="M899" t="s">
        <v>57</v>
      </c>
      <c r="N899" t="s">
        <v>10</v>
      </c>
      <c r="O899" t="str">
        <f>INDEX(CoverageTable[Deductible Applies],MATCH(Table18[[#This Row],[Coverage]],CoverageTable[Coverage],0))</f>
        <v>Yes</v>
      </c>
      <c r="P899" t="str">
        <f>INDEX(CoverageTable[Coverage Limit Applies],MATCH(Table18[[#This Row],[Coverage]],CoverageTable[Coverage],0))</f>
        <v>No</v>
      </c>
      <c r="Q899" t="s">
        <v>79</v>
      </c>
      <c r="R899" t="s">
        <v>10</v>
      </c>
      <c r="S899" t="s">
        <v>10</v>
      </c>
      <c r="T899" t="s">
        <v>10</v>
      </c>
      <c r="U899" t="s">
        <v>10</v>
      </c>
      <c r="V899" t="s">
        <v>10</v>
      </c>
      <c r="W899" t="s">
        <v>10</v>
      </c>
    </row>
    <row r="900" spans="1:23" x14ac:dyDescent="0.3">
      <c r="A900" t="s">
        <v>991</v>
      </c>
      <c r="B900" s="7">
        <v>45945</v>
      </c>
      <c r="C900" t="s">
        <v>71</v>
      </c>
      <c r="D900" t="s">
        <v>1097</v>
      </c>
      <c r="E900" s="3">
        <v>3</v>
      </c>
      <c r="F900" s="3" t="s">
        <v>7</v>
      </c>
      <c r="G900" t="s">
        <v>11</v>
      </c>
      <c r="H900" t="s">
        <v>1107</v>
      </c>
      <c r="I900" t="s">
        <v>39</v>
      </c>
      <c r="J900" t="s">
        <v>48</v>
      </c>
      <c r="K900" t="s">
        <v>10</v>
      </c>
      <c r="L900" t="s">
        <v>10</v>
      </c>
      <c r="M900" t="s">
        <v>10</v>
      </c>
      <c r="N900" t="s">
        <v>10</v>
      </c>
      <c r="O900" t="str">
        <f>INDEX(CoverageTable[Deductible Applies],MATCH(Table18[[#This Row],[Coverage]],CoverageTable[Coverage],0))</f>
        <v>Yes</v>
      </c>
      <c r="P900" t="str">
        <f>INDEX(CoverageTable[Coverage Limit Applies],MATCH(Table18[[#This Row],[Coverage]],CoverageTable[Coverage],0))</f>
        <v>No</v>
      </c>
      <c r="Q900" t="s">
        <v>78</v>
      </c>
      <c r="R900" t="s">
        <v>10</v>
      </c>
      <c r="S900" t="s">
        <v>10</v>
      </c>
      <c r="T900" t="s">
        <v>10</v>
      </c>
      <c r="U900" t="s">
        <v>10</v>
      </c>
      <c r="V900" t="s">
        <v>10</v>
      </c>
      <c r="W900" t="s">
        <v>10</v>
      </c>
    </row>
    <row r="901" spans="1:23" x14ac:dyDescent="0.3">
      <c r="A901" t="s">
        <v>992</v>
      </c>
      <c r="B901" s="7">
        <v>46119</v>
      </c>
      <c r="C901" t="s">
        <v>72</v>
      </c>
      <c r="D901" t="s">
        <v>1099</v>
      </c>
      <c r="E901" s="3">
        <v>3</v>
      </c>
      <c r="F901" s="3">
        <v>1</v>
      </c>
      <c r="G901" t="s">
        <v>12</v>
      </c>
      <c r="H901" t="s">
        <v>1108</v>
      </c>
      <c r="I901" t="s">
        <v>22</v>
      </c>
      <c r="J901" t="s">
        <v>54</v>
      </c>
      <c r="K901" t="s">
        <v>10</v>
      </c>
      <c r="L901" t="s">
        <v>10</v>
      </c>
      <c r="M901" t="s">
        <v>10</v>
      </c>
      <c r="N901" t="s">
        <v>57</v>
      </c>
      <c r="O901" t="str">
        <f>INDEX(CoverageTable[Deductible Applies],MATCH(Table18[[#This Row],[Coverage]],CoverageTable[Coverage],0))</f>
        <v>Yes</v>
      </c>
      <c r="P901" t="str">
        <f>INDEX(CoverageTable[Coverage Limit Applies],MATCH(Table18[[#This Row],[Coverage]],CoverageTable[Coverage],0))</f>
        <v>No</v>
      </c>
      <c r="Q901" t="s">
        <v>78</v>
      </c>
      <c r="R901" t="s">
        <v>10</v>
      </c>
      <c r="S901" t="s">
        <v>10</v>
      </c>
      <c r="T901" t="s">
        <v>10</v>
      </c>
      <c r="U901" t="s">
        <v>57</v>
      </c>
      <c r="V901" t="s">
        <v>10</v>
      </c>
      <c r="W901" t="s">
        <v>10</v>
      </c>
    </row>
    <row r="902" spans="1:23" x14ac:dyDescent="0.3">
      <c r="A902" t="s">
        <v>993</v>
      </c>
      <c r="B902" s="7">
        <v>46086</v>
      </c>
      <c r="C902" t="s">
        <v>70</v>
      </c>
      <c r="D902" t="s">
        <v>1098</v>
      </c>
      <c r="E902" s="3">
        <v>3</v>
      </c>
      <c r="F902" s="3">
        <v>4</v>
      </c>
      <c r="G902" t="s">
        <v>10</v>
      </c>
      <c r="H902" t="s">
        <v>1106</v>
      </c>
      <c r="I902" t="s">
        <v>26</v>
      </c>
      <c r="J902" t="s">
        <v>50</v>
      </c>
      <c r="K902" t="s">
        <v>10</v>
      </c>
      <c r="L902" t="s">
        <v>10</v>
      </c>
      <c r="M902" t="s">
        <v>10</v>
      </c>
      <c r="N902" t="s">
        <v>57</v>
      </c>
      <c r="O902" t="str">
        <f>INDEX(CoverageTable[Deductible Applies],MATCH(Table18[[#This Row],[Coverage]],CoverageTable[Coverage],0))</f>
        <v>No</v>
      </c>
      <c r="P902" t="str">
        <f>INDEX(CoverageTable[Coverage Limit Applies],MATCH(Table18[[#This Row],[Coverage]],CoverageTable[Coverage],0))</f>
        <v>Yes</v>
      </c>
      <c r="Q902" t="s">
        <v>10</v>
      </c>
      <c r="R902" t="s">
        <v>78</v>
      </c>
      <c r="S902" t="s">
        <v>10</v>
      </c>
      <c r="T902" t="s">
        <v>57</v>
      </c>
      <c r="U902" t="s">
        <v>10</v>
      </c>
      <c r="V902" t="s">
        <v>10</v>
      </c>
      <c r="W902" t="s">
        <v>10</v>
      </c>
    </row>
    <row r="903" spans="1:23" x14ac:dyDescent="0.3">
      <c r="A903" t="s">
        <v>994</v>
      </c>
      <c r="B903" s="7">
        <v>45958</v>
      </c>
      <c r="C903" t="s">
        <v>70</v>
      </c>
      <c r="D903" t="s">
        <v>1100</v>
      </c>
      <c r="E903" s="3">
        <v>2</v>
      </c>
      <c r="F903" s="3">
        <v>1</v>
      </c>
      <c r="G903" t="s">
        <v>10</v>
      </c>
      <c r="H903" t="s">
        <v>1109</v>
      </c>
      <c r="I903" t="s">
        <v>26</v>
      </c>
      <c r="J903" t="s">
        <v>50</v>
      </c>
      <c r="K903" t="s">
        <v>57</v>
      </c>
      <c r="L903" t="s">
        <v>57</v>
      </c>
      <c r="M903" t="s">
        <v>10</v>
      </c>
      <c r="N903" t="s">
        <v>10</v>
      </c>
      <c r="O903" t="str">
        <f>INDEX(CoverageTable[Deductible Applies],MATCH(Table18[[#This Row],[Coverage]],CoverageTable[Coverage],0))</f>
        <v>No</v>
      </c>
      <c r="P903" t="str">
        <f>INDEX(CoverageTable[Coverage Limit Applies],MATCH(Table18[[#This Row],[Coverage]],CoverageTable[Coverage],0))</f>
        <v>Yes</v>
      </c>
      <c r="Q903" t="s">
        <v>10</v>
      </c>
      <c r="R903" t="s">
        <v>79</v>
      </c>
      <c r="S903" t="s">
        <v>10</v>
      </c>
      <c r="T903" t="s">
        <v>10</v>
      </c>
      <c r="U903" t="s">
        <v>57</v>
      </c>
      <c r="V903" t="s">
        <v>10</v>
      </c>
      <c r="W903" t="s">
        <v>10</v>
      </c>
    </row>
    <row r="904" spans="1:23" x14ac:dyDescent="0.3">
      <c r="A904" t="s">
        <v>995</v>
      </c>
      <c r="B904" s="7">
        <v>45931</v>
      </c>
      <c r="C904" t="s">
        <v>70</v>
      </c>
      <c r="D904" t="s">
        <v>1102</v>
      </c>
      <c r="E904" s="3">
        <v>1</v>
      </c>
      <c r="F904" s="3">
        <v>0</v>
      </c>
      <c r="G904" t="s">
        <v>10</v>
      </c>
      <c r="H904" t="s">
        <v>1107</v>
      </c>
      <c r="I904" t="s">
        <v>31</v>
      </c>
      <c r="J904" t="s">
        <v>51</v>
      </c>
      <c r="K904" t="s">
        <v>10</v>
      </c>
      <c r="L904" t="s">
        <v>10</v>
      </c>
      <c r="M904" t="s">
        <v>10</v>
      </c>
      <c r="N904" t="s">
        <v>10</v>
      </c>
      <c r="O904" t="str">
        <f>INDEX(CoverageTable[Deductible Applies],MATCH(Table18[[#This Row],[Coverage]],CoverageTable[Coverage],0))</f>
        <v>No</v>
      </c>
      <c r="P904" t="str">
        <f>INDEX(CoverageTable[Coverage Limit Applies],MATCH(Table18[[#This Row],[Coverage]],CoverageTable[Coverage],0))</f>
        <v>Yes</v>
      </c>
      <c r="Q904" t="s">
        <v>10</v>
      </c>
      <c r="R904" t="s">
        <v>78</v>
      </c>
      <c r="S904" t="s">
        <v>10</v>
      </c>
      <c r="T904" t="s">
        <v>57</v>
      </c>
      <c r="U904" t="s">
        <v>10</v>
      </c>
      <c r="V904" t="s">
        <v>10</v>
      </c>
      <c r="W904" t="s">
        <v>10</v>
      </c>
    </row>
    <row r="905" spans="1:23" x14ac:dyDescent="0.3">
      <c r="A905" t="s">
        <v>996</v>
      </c>
      <c r="B905" s="7">
        <v>46012</v>
      </c>
      <c r="C905" t="s">
        <v>70</v>
      </c>
      <c r="D905" t="s">
        <v>1099</v>
      </c>
      <c r="E905" s="3">
        <v>1</v>
      </c>
      <c r="F905" s="3">
        <v>1</v>
      </c>
      <c r="G905" t="s">
        <v>11</v>
      </c>
      <c r="H905" t="s">
        <v>1106</v>
      </c>
      <c r="I905" t="s">
        <v>23</v>
      </c>
      <c r="J905" t="s">
        <v>48</v>
      </c>
      <c r="K905" t="s">
        <v>10</v>
      </c>
      <c r="L905" t="s">
        <v>10</v>
      </c>
      <c r="M905" t="s">
        <v>57</v>
      </c>
      <c r="N905" t="s">
        <v>10</v>
      </c>
      <c r="O905" t="str">
        <f>INDEX(CoverageTable[Deductible Applies],MATCH(Table18[[#This Row],[Coverage]],CoverageTable[Coverage],0))</f>
        <v>No</v>
      </c>
      <c r="P905" t="str">
        <f>INDEX(CoverageTable[Coverage Limit Applies],MATCH(Table18[[#This Row],[Coverage]],CoverageTable[Coverage],0))</f>
        <v>Yes</v>
      </c>
      <c r="Q905" t="s">
        <v>10</v>
      </c>
      <c r="R905" t="s">
        <v>78</v>
      </c>
      <c r="S905" t="s">
        <v>10</v>
      </c>
      <c r="T905" t="s">
        <v>10</v>
      </c>
      <c r="U905" t="s">
        <v>57</v>
      </c>
      <c r="V905" t="s">
        <v>10</v>
      </c>
      <c r="W905" t="s">
        <v>10</v>
      </c>
    </row>
    <row r="906" spans="1:23" x14ac:dyDescent="0.3">
      <c r="A906" t="s">
        <v>997</v>
      </c>
      <c r="B906" s="7">
        <v>46079</v>
      </c>
      <c r="C906" t="s">
        <v>71</v>
      </c>
      <c r="D906" t="s">
        <v>1101</v>
      </c>
      <c r="E906" s="3">
        <v>2</v>
      </c>
      <c r="F906" s="3">
        <v>1</v>
      </c>
      <c r="G906" t="s">
        <v>12</v>
      </c>
      <c r="H906" t="s">
        <v>1108</v>
      </c>
      <c r="I906" t="s">
        <v>41</v>
      </c>
      <c r="J906" t="s">
        <v>53</v>
      </c>
      <c r="K906" t="s">
        <v>10</v>
      </c>
      <c r="L906" t="s">
        <v>10</v>
      </c>
      <c r="M906" t="s">
        <v>10</v>
      </c>
      <c r="N906" t="s">
        <v>10</v>
      </c>
      <c r="O906" t="str">
        <f>INDEX(CoverageTable[Deductible Applies],MATCH(Table18[[#This Row],[Coverage]],CoverageTable[Coverage],0))</f>
        <v>Yes</v>
      </c>
      <c r="P906" t="str">
        <f>INDEX(CoverageTable[Coverage Limit Applies],MATCH(Table18[[#This Row],[Coverage]],CoverageTable[Coverage],0))</f>
        <v>No</v>
      </c>
      <c r="Q906" t="s">
        <v>80</v>
      </c>
      <c r="R906" t="s">
        <v>10</v>
      </c>
      <c r="S906" t="s">
        <v>10</v>
      </c>
      <c r="T906" t="s">
        <v>10</v>
      </c>
      <c r="U906" t="s">
        <v>57</v>
      </c>
      <c r="V906" t="s">
        <v>57</v>
      </c>
      <c r="W906" t="s">
        <v>10</v>
      </c>
    </row>
    <row r="907" spans="1:23" x14ac:dyDescent="0.3">
      <c r="A907" t="s">
        <v>998</v>
      </c>
      <c r="B907" s="7">
        <v>46102</v>
      </c>
      <c r="C907" t="s">
        <v>70</v>
      </c>
      <c r="D907" t="s">
        <v>1100</v>
      </c>
      <c r="E907" s="3">
        <v>1</v>
      </c>
      <c r="F907" s="3">
        <v>1</v>
      </c>
      <c r="G907" t="s">
        <v>12</v>
      </c>
      <c r="H907" t="s">
        <v>1110</v>
      </c>
      <c r="I907" t="s">
        <v>32</v>
      </c>
      <c r="J907" t="s">
        <v>52</v>
      </c>
      <c r="K907" t="s">
        <v>10</v>
      </c>
      <c r="L907" t="s">
        <v>57</v>
      </c>
      <c r="M907" t="s">
        <v>57</v>
      </c>
      <c r="N907" t="s">
        <v>10</v>
      </c>
      <c r="O907" t="str">
        <f>INDEX(CoverageTable[Deductible Applies],MATCH(Table18[[#This Row],[Coverage]],CoverageTable[Coverage],0))</f>
        <v>No</v>
      </c>
      <c r="P907" t="str">
        <f>INDEX(CoverageTable[Coverage Limit Applies],MATCH(Table18[[#This Row],[Coverage]],CoverageTable[Coverage],0))</f>
        <v>Yes</v>
      </c>
      <c r="Q907" t="s">
        <v>10</v>
      </c>
      <c r="R907" t="s">
        <v>78</v>
      </c>
      <c r="S907" t="s">
        <v>10</v>
      </c>
      <c r="T907" t="s">
        <v>10</v>
      </c>
      <c r="U907" t="s">
        <v>57</v>
      </c>
      <c r="V907" t="s">
        <v>10</v>
      </c>
      <c r="W907" t="s">
        <v>10</v>
      </c>
    </row>
    <row r="908" spans="1:23" x14ac:dyDescent="0.3">
      <c r="A908" t="s">
        <v>999</v>
      </c>
      <c r="B908" s="7">
        <v>45894</v>
      </c>
      <c r="C908" t="s">
        <v>73</v>
      </c>
      <c r="D908" t="s">
        <v>1100</v>
      </c>
      <c r="E908" s="3">
        <v>5</v>
      </c>
      <c r="F908" s="3">
        <v>1</v>
      </c>
      <c r="G908" t="s">
        <v>12</v>
      </c>
      <c r="H908" t="s">
        <v>1110</v>
      </c>
      <c r="I908" t="s">
        <v>27</v>
      </c>
      <c r="J908" t="s">
        <v>49</v>
      </c>
      <c r="K908" t="s">
        <v>10</v>
      </c>
      <c r="L908" t="s">
        <v>10</v>
      </c>
      <c r="M908" t="s">
        <v>10</v>
      </c>
      <c r="N908" t="s">
        <v>10</v>
      </c>
      <c r="O908" t="str">
        <f>INDEX(CoverageTable[Deductible Applies],MATCH(Table18[[#This Row],[Coverage]],CoverageTable[Coverage],0))</f>
        <v>No</v>
      </c>
      <c r="P908" t="str">
        <f>INDEX(CoverageTable[Coverage Limit Applies],MATCH(Table18[[#This Row],[Coverage]],CoverageTable[Coverage],0))</f>
        <v>Yes</v>
      </c>
      <c r="Q908" t="s">
        <v>10</v>
      </c>
      <c r="R908" t="s">
        <v>79</v>
      </c>
      <c r="S908" t="s">
        <v>10</v>
      </c>
      <c r="T908" t="s">
        <v>57</v>
      </c>
      <c r="U908" t="s">
        <v>10</v>
      </c>
      <c r="V908" t="s">
        <v>10</v>
      </c>
      <c r="W908" t="s">
        <v>10</v>
      </c>
    </row>
    <row r="909" spans="1:23" x14ac:dyDescent="0.3">
      <c r="A909" t="s">
        <v>1000</v>
      </c>
      <c r="B909" s="7">
        <v>46080</v>
      </c>
      <c r="C909" t="s">
        <v>70</v>
      </c>
      <c r="D909" t="s">
        <v>1098</v>
      </c>
      <c r="E909" s="3">
        <v>5</v>
      </c>
      <c r="F909" s="3">
        <v>0</v>
      </c>
      <c r="G909" t="s">
        <v>12</v>
      </c>
      <c r="H909" t="s">
        <v>1106</v>
      </c>
      <c r="I909" t="s">
        <v>37</v>
      </c>
      <c r="J909" t="s">
        <v>53</v>
      </c>
      <c r="K909" t="s">
        <v>10</v>
      </c>
      <c r="L909" t="s">
        <v>10</v>
      </c>
      <c r="M909" t="s">
        <v>10</v>
      </c>
      <c r="N909" t="s">
        <v>57</v>
      </c>
      <c r="O909" t="str">
        <f>INDEX(CoverageTable[Deductible Applies],MATCH(Table18[[#This Row],[Coverage]],CoverageTable[Coverage],0))</f>
        <v>No</v>
      </c>
      <c r="P909" t="str">
        <f>INDEX(CoverageTable[Coverage Limit Applies],MATCH(Table18[[#This Row],[Coverage]],CoverageTable[Coverage],0))</f>
        <v>Yes</v>
      </c>
      <c r="Q909" t="s">
        <v>10</v>
      </c>
      <c r="R909" t="s">
        <v>79</v>
      </c>
      <c r="S909" t="s">
        <v>10</v>
      </c>
      <c r="T909" t="s">
        <v>10</v>
      </c>
      <c r="U909" t="s">
        <v>10</v>
      </c>
      <c r="V909" t="s">
        <v>10</v>
      </c>
      <c r="W909" t="s">
        <v>10</v>
      </c>
    </row>
    <row r="910" spans="1:23" x14ac:dyDescent="0.3">
      <c r="A910" t="s">
        <v>1001</v>
      </c>
      <c r="B910" s="7">
        <v>46123</v>
      </c>
      <c r="C910" t="s">
        <v>70</v>
      </c>
      <c r="D910" t="s">
        <v>1098</v>
      </c>
      <c r="E910" s="3">
        <v>3</v>
      </c>
      <c r="F910" s="3" t="s">
        <v>7</v>
      </c>
      <c r="G910" t="s">
        <v>10</v>
      </c>
      <c r="H910" t="s">
        <v>1109</v>
      </c>
      <c r="I910" t="s">
        <v>43</v>
      </c>
      <c r="J910" t="s">
        <v>52</v>
      </c>
      <c r="K910" t="s">
        <v>10</v>
      </c>
      <c r="L910" t="s">
        <v>10</v>
      </c>
      <c r="M910" t="s">
        <v>10</v>
      </c>
      <c r="N910" t="s">
        <v>10</v>
      </c>
      <c r="O910" t="str">
        <f>INDEX(CoverageTable[Deductible Applies],MATCH(Table18[[#This Row],[Coverage]],CoverageTable[Coverage],0))</f>
        <v>No</v>
      </c>
      <c r="P910" t="str">
        <f>INDEX(CoverageTable[Coverage Limit Applies],MATCH(Table18[[#This Row],[Coverage]],CoverageTable[Coverage],0))</f>
        <v>Yes</v>
      </c>
      <c r="Q910" t="s">
        <v>10</v>
      </c>
      <c r="R910" t="s">
        <v>79</v>
      </c>
      <c r="S910" t="s">
        <v>57</v>
      </c>
      <c r="T910" t="s">
        <v>57</v>
      </c>
      <c r="U910" t="s">
        <v>10</v>
      </c>
      <c r="V910" t="s">
        <v>10</v>
      </c>
      <c r="W910" t="s">
        <v>10</v>
      </c>
    </row>
    <row r="911" spans="1:23" x14ac:dyDescent="0.3">
      <c r="A911" t="s">
        <v>1002</v>
      </c>
      <c r="B911" s="7">
        <v>45828</v>
      </c>
      <c r="C911" t="s">
        <v>71</v>
      </c>
      <c r="D911" t="s">
        <v>1102</v>
      </c>
      <c r="E911" s="3">
        <v>1</v>
      </c>
      <c r="F911" s="3">
        <v>1</v>
      </c>
      <c r="G911" t="s">
        <v>10</v>
      </c>
      <c r="H911" t="s">
        <v>1109</v>
      </c>
      <c r="I911" t="s">
        <v>23</v>
      </c>
      <c r="J911" t="s">
        <v>52</v>
      </c>
      <c r="K911" t="s">
        <v>10</v>
      </c>
      <c r="L911" t="s">
        <v>10</v>
      </c>
      <c r="M911" t="s">
        <v>10</v>
      </c>
      <c r="N911" t="s">
        <v>10</v>
      </c>
      <c r="O911" t="str">
        <f>INDEX(CoverageTable[Deductible Applies],MATCH(Table18[[#This Row],[Coverage]],CoverageTable[Coverage],0))</f>
        <v>Yes</v>
      </c>
      <c r="P911" t="str">
        <f>INDEX(CoverageTable[Coverage Limit Applies],MATCH(Table18[[#This Row],[Coverage]],CoverageTable[Coverage],0))</f>
        <v>No</v>
      </c>
      <c r="Q911" t="s">
        <v>79</v>
      </c>
      <c r="R911" t="s">
        <v>10</v>
      </c>
      <c r="S911" t="s">
        <v>10</v>
      </c>
      <c r="T911" t="s">
        <v>10</v>
      </c>
      <c r="U911" t="s">
        <v>57</v>
      </c>
      <c r="V911" t="s">
        <v>10</v>
      </c>
      <c r="W911" t="s">
        <v>10</v>
      </c>
    </row>
    <row r="912" spans="1:23" x14ac:dyDescent="0.3">
      <c r="A912" t="s">
        <v>1003</v>
      </c>
      <c r="B912" s="7">
        <v>45956</v>
      </c>
      <c r="C912" t="s">
        <v>73</v>
      </c>
      <c r="D912" t="s">
        <v>1097</v>
      </c>
      <c r="E912" s="3">
        <v>2</v>
      </c>
      <c r="F912" s="3">
        <v>1</v>
      </c>
      <c r="G912" t="s">
        <v>11</v>
      </c>
      <c r="H912" t="s">
        <v>1110</v>
      </c>
      <c r="I912" t="s">
        <v>34</v>
      </c>
      <c r="J912" t="s">
        <v>50</v>
      </c>
      <c r="K912" t="s">
        <v>10</v>
      </c>
      <c r="L912" t="s">
        <v>10</v>
      </c>
      <c r="M912" t="s">
        <v>10</v>
      </c>
      <c r="N912" t="s">
        <v>10</v>
      </c>
      <c r="O912" t="str">
        <f>INDEX(CoverageTable[Deductible Applies],MATCH(Table18[[#This Row],[Coverage]],CoverageTable[Coverage],0))</f>
        <v>No</v>
      </c>
      <c r="P912" t="str">
        <f>INDEX(CoverageTable[Coverage Limit Applies],MATCH(Table18[[#This Row],[Coverage]],CoverageTable[Coverage],0))</f>
        <v>Yes</v>
      </c>
      <c r="Q912" t="s">
        <v>10</v>
      </c>
      <c r="R912" t="s">
        <v>80</v>
      </c>
      <c r="S912" t="s">
        <v>10</v>
      </c>
      <c r="T912" t="s">
        <v>10</v>
      </c>
      <c r="U912" t="s">
        <v>10</v>
      </c>
      <c r="V912" t="s">
        <v>10</v>
      </c>
      <c r="W912" t="s">
        <v>10</v>
      </c>
    </row>
    <row r="913" spans="1:23" x14ac:dyDescent="0.3">
      <c r="A913" t="s">
        <v>1004</v>
      </c>
      <c r="B913" s="7">
        <v>45785</v>
      </c>
      <c r="C913" t="s">
        <v>70</v>
      </c>
      <c r="D913" t="s">
        <v>1099</v>
      </c>
      <c r="E913" s="3">
        <v>3</v>
      </c>
      <c r="F913" s="3">
        <v>1</v>
      </c>
      <c r="G913" t="s">
        <v>13</v>
      </c>
      <c r="H913" t="s">
        <v>1108</v>
      </c>
      <c r="I913" t="s">
        <v>24</v>
      </c>
      <c r="J913" t="s">
        <v>54</v>
      </c>
      <c r="K913" t="s">
        <v>10</v>
      </c>
      <c r="L913" t="s">
        <v>10</v>
      </c>
      <c r="M913" t="s">
        <v>10</v>
      </c>
      <c r="N913" t="s">
        <v>10</v>
      </c>
      <c r="O913" t="str">
        <f>INDEX(CoverageTable[Deductible Applies],MATCH(Table18[[#This Row],[Coverage]],CoverageTable[Coverage],0))</f>
        <v>No</v>
      </c>
      <c r="P913" t="str">
        <f>INDEX(CoverageTable[Coverage Limit Applies],MATCH(Table18[[#This Row],[Coverage]],CoverageTable[Coverage],0))</f>
        <v>Yes</v>
      </c>
      <c r="Q913" t="s">
        <v>10</v>
      </c>
      <c r="R913" t="s">
        <v>80</v>
      </c>
      <c r="S913" t="s">
        <v>10</v>
      </c>
      <c r="T913" t="s">
        <v>10</v>
      </c>
      <c r="U913" t="s">
        <v>57</v>
      </c>
      <c r="V913" t="s">
        <v>10</v>
      </c>
      <c r="W913" t="s">
        <v>10</v>
      </c>
    </row>
    <row r="914" spans="1:23" x14ac:dyDescent="0.3">
      <c r="A914" t="s">
        <v>1005</v>
      </c>
      <c r="B914" s="7">
        <v>46056</v>
      </c>
      <c r="C914" t="s">
        <v>71</v>
      </c>
      <c r="D914" t="s">
        <v>1099</v>
      </c>
      <c r="E914" s="3">
        <v>5</v>
      </c>
      <c r="F914" s="3">
        <v>3</v>
      </c>
      <c r="G914" t="s">
        <v>10</v>
      </c>
      <c r="H914" t="s">
        <v>1108</v>
      </c>
      <c r="I914" t="s">
        <v>34</v>
      </c>
      <c r="J914" t="s">
        <v>48</v>
      </c>
      <c r="K914" t="s">
        <v>10</v>
      </c>
      <c r="L914" t="s">
        <v>10</v>
      </c>
      <c r="M914" t="s">
        <v>10</v>
      </c>
      <c r="N914" t="s">
        <v>57</v>
      </c>
      <c r="O914" t="str">
        <f>INDEX(CoverageTable[Deductible Applies],MATCH(Table18[[#This Row],[Coverage]],CoverageTable[Coverage],0))</f>
        <v>Yes</v>
      </c>
      <c r="P914" t="str">
        <f>INDEX(CoverageTable[Coverage Limit Applies],MATCH(Table18[[#This Row],[Coverage]],CoverageTable[Coverage],0))</f>
        <v>No</v>
      </c>
      <c r="Q914" t="s">
        <v>80</v>
      </c>
      <c r="R914" t="s">
        <v>10</v>
      </c>
      <c r="S914" t="s">
        <v>10</v>
      </c>
      <c r="T914" t="s">
        <v>10</v>
      </c>
      <c r="U914" t="s">
        <v>10</v>
      </c>
      <c r="V914" t="s">
        <v>57</v>
      </c>
      <c r="W914" t="s">
        <v>10</v>
      </c>
    </row>
    <row r="915" spans="1:23" x14ac:dyDescent="0.3">
      <c r="A915" t="s">
        <v>1006</v>
      </c>
      <c r="B915" s="7">
        <v>45841</v>
      </c>
      <c r="C915" t="s">
        <v>70</v>
      </c>
      <c r="D915" t="s">
        <v>1099</v>
      </c>
      <c r="E915" s="3">
        <v>4</v>
      </c>
      <c r="F915" s="3">
        <v>1</v>
      </c>
      <c r="G915" t="s">
        <v>12</v>
      </c>
      <c r="H915" t="s">
        <v>1108</v>
      </c>
      <c r="I915" t="s">
        <v>42</v>
      </c>
      <c r="J915" t="s">
        <v>53</v>
      </c>
      <c r="K915" t="s">
        <v>10</v>
      </c>
      <c r="L915" t="s">
        <v>10</v>
      </c>
      <c r="M915" t="s">
        <v>10</v>
      </c>
      <c r="N915" t="s">
        <v>57</v>
      </c>
      <c r="O915" t="str">
        <f>INDEX(CoverageTable[Deductible Applies],MATCH(Table18[[#This Row],[Coverage]],CoverageTable[Coverage],0))</f>
        <v>No</v>
      </c>
      <c r="P915" t="str">
        <f>INDEX(CoverageTable[Coverage Limit Applies],MATCH(Table18[[#This Row],[Coverage]],CoverageTable[Coverage],0))</f>
        <v>Yes</v>
      </c>
      <c r="Q915" t="s">
        <v>10</v>
      </c>
      <c r="R915" t="s">
        <v>79</v>
      </c>
      <c r="S915" t="s">
        <v>10</v>
      </c>
      <c r="T915" t="s">
        <v>10</v>
      </c>
      <c r="U915" t="s">
        <v>10</v>
      </c>
      <c r="V915" t="s">
        <v>10</v>
      </c>
      <c r="W915" t="s">
        <v>10</v>
      </c>
    </row>
    <row r="916" spans="1:23" x14ac:dyDescent="0.3">
      <c r="A916" t="s">
        <v>1007</v>
      </c>
      <c r="B916" s="7">
        <v>45982</v>
      </c>
      <c r="C916" t="s">
        <v>71</v>
      </c>
      <c r="D916" t="s">
        <v>1099</v>
      </c>
      <c r="E916" s="3">
        <v>3</v>
      </c>
      <c r="F916" s="3" t="s">
        <v>7</v>
      </c>
      <c r="G916" t="s">
        <v>10</v>
      </c>
      <c r="H916" t="s">
        <v>1108</v>
      </c>
      <c r="I916" t="s">
        <v>34</v>
      </c>
      <c r="J916" t="s">
        <v>51</v>
      </c>
      <c r="K916" t="s">
        <v>57</v>
      </c>
      <c r="L916" t="s">
        <v>10</v>
      </c>
      <c r="M916" t="s">
        <v>10</v>
      </c>
      <c r="N916" t="s">
        <v>10</v>
      </c>
      <c r="O916" t="str">
        <f>INDEX(CoverageTable[Deductible Applies],MATCH(Table18[[#This Row],[Coverage]],CoverageTable[Coverage],0))</f>
        <v>Yes</v>
      </c>
      <c r="P916" t="str">
        <f>INDEX(CoverageTable[Coverage Limit Applies],MATCH(Table18[[#This Row],[Coverage]],CoverageTable[Coverage],0))</f>
        <v>No</v>
      </c>
      <c r="Q916" t="s">
        <v>79</v>
      </c>
      <c r="R916" t="s">
        <v>10</v>
      </c>
      <c r="S916" t="s">
        <v>10</v>
      </c>
      <c r="T916" t="s">
        <v>10</v>
      </c>
      <c r="U916" t="s">
        <v>10</v>
      </c>
      <c r="V916" t="s">
        <v>10</v>
      </c>
      <c r="W916" t="s">
        <v>10</v>
      </c>
    </row>
    <row r="917" spans="1:23" x14ac:dyDescent="0.3">
      <c r="A917" t="s">
        <v>1008</v>
      </c>
      <c r="B917" s="7">
        <v>45965</v>
      </c>
      <c r="C917" t="s">
        <v>70</v>
      </c>
      <c r="D917" t="s">
        <v>1100</v>
      </c>
      <c r="E917" s="3">
        <v>5</v>
      </c>
      <c r="F917" s="3">
        <v>1</v>
      </c>
      <c r="G917" t="s">
        <v>10</v>
      </c>
      <c r="H917" t="s">
        <v>1109</v>
      </c>
      <c r="I917" t="s">
        <v>33</v>
      </c>
      <c r="J917" t="s">
        <v>50</v>
      </c>
      <c r="K917" t="s">
        <v>10</v>
      </c>
      <c r="L917" t="s">
        <v>10</v>
      </c>
      <c r="M917" t="s">
        <v>10</v>
      </c>
      <c r="N917" t="s">
        <v>57</v>
      </c>
      <c r="O917" t="str">
        <f>INDEX(CoverageTable[Deductible Applies],MATCH(Table18[[#This Row],[Coverage]],CoverageTable[Coverage],0))</f>
        <v>No</v>
      </c>
      <c r="P917" t="str">
        <f>INDEX(CoverageTable[Coverage Limit Applies],MATCH(Table18[[#This Row],[Coverage]],CoverageTable[Coverage],0))</f>
        <v>Yes</v>
      </c>
      <c r="Q917" t="s">
        <v>10</v>
      </c>
      <c r="R917" t="s">
        <v>78</v>
      </c>
      <c r="S917" t="s">
        <v>57</v>
      </c>
      <c r="T917" t="s">
        <v>57</v>
      </c>
      <c r="U917" t="s">
        <v>57</v>
      </c>
      <c r="V917" t="s">
        <v>10</v>
      </c>
      <c r="W917" t="s">
        <v>10</v>
      </c>
    </row>
    <row r="918" spans="1:23" x14ac:dyDescent="0.3">
      <c r="A918" t="s">
        <v>1009</v>
      </c>
      <c r="B918" s="7">
        <v>45866</v>
      </c>
      <c r="C918" t="s">
        <v>70</v>
      </c>
      <c r="D918" t="s">
        <v>1098</v>
      </c>
      <c r="E918" s="3">
        <v>6</v>
      </c>
      <c r="F918" s="3" t="s">
        <v>7</v>
      </c>
      <c r="G918" t="s">
        <v>10</v>
      </c>
      <c r="H918" t="s">
        <v>1108</v>
      </c>
      <c r="I918" t="s">
        <v>32</v>
      </c>
      <c r="J918" t="s">
        <v>48</v>
      </c>
      <c r="K918" t="s">
        <v>10</v>
      </c>
      <c r="L918" t="s">
        <v>10</v>
      </c>
      <c r="M918" t="s">
        <v>10</v>
      </c>
      <c r="N918" t="s">
        <v>57</v>
      </c>
      <c r="O918" t="str">
        <f>INDEX(CoverageTable[Deductible Applies],MATCH(Table18[[#This Row],[Coverage]],CoverageTable[Coverage],0))</f>
        <v>No</v>
      </c>
      <c r="P918" t="str">
        <f>INDEX(CoverageTable[Coverage Limit Applies],MATCH(Table18[[#This Row],[Coverage]],CoverageTable[Coverage],0))</f>
        <v>Yes</v>
      </c>
      <c r="Q918" t="s">
        <v>10</v>
      </c>
      <c r="R918" t="s">
        <v>79</v>
      </c>
      <c r="S918" t="s">
        <v>10</v>
      </c>
      <c r="T918" t="s">
        <v>10</v>
      </c>
      <c r="U918" t="s">
        <v>10</v>
      </c>
      <c r="V918" t="s">
        <v>10</v>
      </c>
      <c r="W918" t="s">
        <v>57</v>
      </c>
    </row>
    <row r="919" spans="1:23" x14ac:dyDescent="0.3">
      <c r="A919" t="s">
        <v>1010</v>
      </c>
      <c r="B919" s="7">
        <v>45884</v>
      </c>
      <c r="C919" t="s">
        <v>71</v>
      </c>
      <c r="D919" t="s">
        <v>1102</v>
      </c>
      <c r="E919" s="3">
        <v>4</v>
      </c>
      <c r="F919" s="3" t="s">
        <v>7</v>
      </c>
      <c r="G919" t="s">
        <v>10</v>
      </c>
      <c r="H919" t="s">
        <v>1106</v>
      </c>
      <c r="I919" t="s">
        <v>39</v>
      </c>
      <c r="J919" t="s">
        <v>53</v>
      </c>
      <c r="K919" t="s">
        <v>10</v>
      </c>
      <c r="L919" t="s">
        <v>57</v>
      </c>
      <c r="M919" t="s">
        <v>10</v>
      </c>
      <c r="N919" t="s">
        <v>10</v>
      </c>
      <c r="O919" t="str">
        <f>INDEX(CoverageTable[Deductible Applies],MATCH(Table18[[#This Row],[Coverage]],CoverageTable[Coverage],0))</f>
        <v>Yes</v>
      </c>
      <c r="P919" t="str">
        <f>INDEX(CoverageTable[Coverage Limit Applies],MATCH(Table18[[#This Row],[Coverage]],CoverageTable[Coverage],0))</f>
        <v>No</v>
      </c>
      <c r="Q919" t="s">
        <v>78</v>
      </c>
      <c r="R919" t="s">
        <v>10</v>
      </c>
      <c r="S919" t="s">
        <v>10</v>
      </c>
      <c r="T919" t="s">
        <v>10</v>
      </c>
      <c r="U919" t="s">
        <v>10</v>
      </c>
      <c r="V919" t="s">
        <v>10</v>
      </c>
      <c r="W919" t="s">
        <v>57</v>
      </c>
    </row>
    <row r="920" spans="1:23" x14ac:dyDescent="0.3">
      <c r="A920" t="s">
        <v>1011</v>
      </c>
      <c r="B920" s="7">
        <v>46012</v>
      </c>
      <c r="C920" t="s">
        <v>74</v>
      </c>
      <c r="D920" t="s">
        <v>1100</v>
      </c>
      <c r="E920" s="3">
        <v>5</v>
      </c>
      <c r="F920" s="3">
        <v>2</v>
      </c>
      <c r="G920" t="s">
        <v>13</v>
      </c>
      <c r="H920" t="s">
        <v>1106</v>
      </c>
      <c r="I920" t="s">
        <v>30</v>
      </c>
      <c r="J920" t="s">
        <v>48</v>
      </c>
      <c r="K920" t="s">
        <v>57</v>
      </c>
      <c r="L920" t="s">
        <v>10</v>
      </c>
      <c r="M920" t="s">
        <v>10</v>
      </c>
      <c r="N920" t="s">
        <v>10</v>
      </c>
      <c r="O920" t="str">
        <f>INDEX(CoverageTable[Deductible Applies],MATCH(Table18[[#This Row],[Coverage]],CoverageTable[Coverage],0))</f>
        <v>No</v>
      </c>
      <c r="P920" t="str">
        <f>INDEX(CoverageTable[Coverage Limit Applies],MATCH(Table18[[#This Row],[Coverage]],CoverageTable[Coverage],0))</f>
        <v>Yes</v>
      </c>
      <c r="Q920" t="s">
        <v>10</v>
      </c>
      <c r="R920" t="s">
        <v>79</v>
      </c>
      <c r="S920" t="s">
        <v>10</v>
      </c>
      <c r="T920" t="s">
        <v>10</v>
      </c>
      <c r="U920" t="s">
        <v>10</v>
      </c>
      <c r="V920" t="s">
        <v>10</v>
      </c>
      <c r="W920" t="s">
        <v>10</v>
      </c>
    </row>
    <row r="921" spans="1:23" x14ac:dyDescent="0.3">
      <c r="A921" t="s">
        <v>1012</v>
      </c>
      <c r="B921" s="7">
        <v>45993</v>
      </c>
      <c r="C921" t="s">
        <v>70</v>
      </c>
      <c r="D921" t="s">
        <v>1101</v>
      </c>
      <c r="E921" s="3">
        <v>7</v>
      </c>
      <c r="F921" s="3">
        <v>1</v>
      </c>
      <c r="G921" t="s">
        <v>12</v>
      </c>
      <c r="H921" t="s">
        <v>1106</v>
      </c>
      <c r="I921" t="s">
        <v>22</v>
      </c>
      <c r="J921" t="s">
        <v>50</v>
      </c>
      <c r="K921" t="s">
        <v>10</v>
      </c>
      <c r="L921" t="s">
        <v>10</v>
      </c>
      <c r="M921" t="s">
        <v>10</v>
      </c>
      <c r="N921" t="s">
        <v>10</v>
      </c>
      <c r="O921" t="str">
        <f>INDEX(CoverageTable[Deductible Applies],MATCH(Table18[[#This Row],[Coverage]],CoverageTable[Coverage],0))</f>
        <v>No</v>
      </c>
      <c r="P921" t="str">
        <f>INDEX(CoverageTable[Coverage Limit Applies],MATCH(Table18[[#This Row],[Coverage]],CoverageTable[Coverage],0))</f>
        <v>Yes</v>
      </c>
      <c r="Q921" t="s">
        <v>10</v>
      </c>
      <c r="R921" t="s">
        <v>80</v>
      </c>
      <c r="S921" t="s">
        <v>10</v>
      </c>
      <c r="T921" t="s">
        <v>57</v>
      </c>
      <c r="U921" t="s">
        <v>10</v>
      </c>
      <c r="V921" t="s">
        <v>57</v>
      </c>
      <c r="W921" t="s">
        <v>10</v>
      </c>
    </row>
    <row r="922" spans="1:23" x14ac:dyDescent="0.3">
      <c r="A922" t="s">
        <v>1013</v>
      </c>
      <c r="B922" s="7">
        <v>46026</v>
      </c>
      <c r="C922" t="s">
        <v>70</v>
      </c>
      <c r="D922" t="s">
        <v>1102</v>
      </c>
      <c r="E922" s="3">
        <v>5</v>
      </c>
      <c r="F922" s="3">
        <v>1</v>
      </c>
      <c r="G922" t="s">
        <v>10</v>
      </c>
      <c r="H922" t="s">
        <v>1109</v>
      </c>
      <c r="I922" t="s">
        <v>22</v>
      </c>
      <c r="J922" t="s">
        <v>48</v>
      </c>
      <c r="K922" t="s">
        <v>10</v>
      </c>
      <c r="L922" t="s">
        <v>57</v>
      </c>
      <c r="M922" t="s">
        <v>57</v>
      </c>
      <c r="N922" t="s">
        <v>10</v>
      </c>
      <c r="O922" t="str">
        <f>INDEX(CoverageTable[Deductible Applies],MATCH(Table18[[#This Row],[Coverage]],CoverageTable[Coverage],0))</f>
        <v>No</v>
      </c>
      <c r="P922" t="str">
        <f>INDEX(CoverageTable[Coverage Limit Applies],MATCH(Table18[[#This Row],[Coverage]],CoverageTable[Coverage],0))</f>
        <v>Yes</v>
      </c>
      <c r="Q922" t="s">
        <v>10</v>
      </c>
      <c r="R922" t="s">
        <v>79</v>
      </c>
      <c r="S922" t="s">
        <v>10</v>
      </c>
      <c r="T922" t="s">
        <v>57</v>
      </c>
      <c r="U922" t="s">
        <v>10</v>
      </c>
      <c r="V922" t="s">
        <v>10</v>
      </c>
      <c r="W922" t="s">
        <v>57</v>
      </c>
    </row>
    <row r="923" spans="1:23" x14ac:dyDescent="0.3">
      <c r="A923" t="s">
        <v>1014</v>
      </c>
      <c r="B923" s="7">
        <v>46009</v>
      </c>
      <c r="C923" t="s">
        <v>71</v>
      </c>
      <c r="D923" t="s">
        <v>1100</v>
      </c>
      <c r="E923" s="3">
        <v>2</v>
      </c>
      <c r="F923" s="3">
        <v>4</v>
      </c>
      <c r="G923" t="s">
        <v>12</v>
      </c>
      <c r="H923" t="s">
        <v>1109</v>
      </c>
      <c r="I923" t="s">
        <v>25</v>
      </c>
      <c r="J923" t="s">
        <v>48</v>
      </c>
      <c r="K923" t="s">
        <v>10</v>
      </c>
      <c r="L923" t="s">
        <v>10</v>
      </c>
      <c r="M923" t="s">
        <v>10</v>
      </c>
      <c r="N923" t="s">
        <v>57</v>
      </c>
      <c r="O923" t="str">
        <f>INDEX(CoverageTable[Deductible Applies],MATCH(Table18[[#This Row],[Coverage]],CoverageTable[Coverage],0))</f>
        <v>Yes</v>
      </c>
      <c r="P923" t="str">
        <f>INDEX(CoverageTable[Coverage Limit Applies],MATCH(Table18[[#This Row],[Coverage]],CoverageTable[Coverage],0))</f>
        <v>No</v>
      </c>
      <c r="Q923" t="s">
        <v>79</v>
      </c>
      <c r="R923" t="s">
        <v>10</v>
      </c>
      <c r="S923" t="s">
        <v>10</v>
      </c>
      <c r="T923" t="s">
        <v>10</v>
      </c>
      <c r="U923" t="s">
        <v>57</v>
      </c>
      <c r="V923" t="s">
        <v>10</v>
      </c>
      <c r="W923" t="s">
        <v>10</v>
      </c>
    </row>
    <row r="924" spans="1:23" x14ac:dyDescent="0.3">
      <c r="A924" t="s">
        <v>1015</v>
      </c>
      <c r="B924" s="7">
        <v>45899</v>
      </c>
      <c r="C924" t="s">
        <v>72</v>
      </c>
      <c r="D924" t="s">
        <v>1101</v>
      </c>
      <c r="E924" s="3">
        <v>5</v>
      </c>
      <c r="F924" s="3">
        <v>2</v>
      </c>
      <c r="G924" t="s">
        <v>13</v>
      </c>
      <c r="H924" t="s">
        <v>1108</v>
      </c>
      <c r="I924" t="s">
        <v>34</v>
      </c>
      <c r="J924" t="s">
        <v>52</v>
      </c>
      <c r="K924" t="s">
        <v>10</v>
      </c>
      <c r="L924" t="s">
        <v>10</v>
      </c>
      <c r="M924" t="s">
        <v>10</v>
      </c>
      <c r="N924" t="s">
        <v>10</v>
      </c>
      <c r="O924" t="str">
        <f>INDEX(CoverageTable[Deductible Applies],MATCH(Table18[[#This Row],[Coverage]],CoverageTable[Coverage],0))</f>
        <v>Yes</v>
      </c>
      <c r="P924" t="str">
        <f>INDEX(CoverageTable[Coverage Limit Applies],MATCH(Table18[[#This Row],[Coverage]],CoverageTable[Coverage],0))</f>
        <v>No</v>
      </c>
      <c r="Q924" t="s">
        <v>78</v>
      </c>
      <c r="R924" t="s">
        <v>10</v>
      </c>
      <c r="S924" t="s">
        <v>10</v>
      </c>
      <c r="T924" t="s">
        <v>57</v>
      </c>
      <c r="U924" t="s">
        <v>10</v>
      </c>
      <c r="V924" t="s">
        <v>10</v>
      </c>
      <c r="W924" t="s">
        <v>10</v>
      </c>
    </row>
    <row r="925" spans="1:23" x14ac:dyDescent="0.3">
      <c r="A925" t="s">
        <v>1016</v>
      </c>
      <c r="B925" s="7">
        <v>45796</v>
      </c>
      <c r="C925" t="s">
        <v>70</v>
      </c>
      <c r="D925" t="s">
        <v>1098</v>
      </c>
      <c r="E925" s="3">
        <v>1</v>
      </c>
      <c r="F925" s="3">
        <v>0</v>
      </c>
      <c r="G925" t="s">
        <v>11</v>
      </c>
      <c r="H925" t="s">
        <v>1106</v>
      </c>
      <c r="I925" t="s">
        <v>33</v>
      </c>
      <c r="J925" t="s">
        <v>49</v>
      </c>
      <c r="K925" t="s">
        <v>57</v>
      </c>
      <c r="L925" t="s">
        <v>10</v>
      </c>
      <c r="M925" t="s">
        <v>57</v>
      </c>
      <c r="N925" t="s">
        <v>57</v>
      </c>
      <c r="O925" t="str">
        <f>INDEX(CoverageTable[Deductible Applies],MATCH(Table18[[#This Row],[Coverage]],CoverageTable[Coverage],0))</f>
        <v>No</v>
      </c>
      <c r="P925" t="str">
        <f>INDEX(CoverageTable[Coverage Limit Applies],MATCH(Table18[[#This Row],[Coverage]],CoverageTable[Coverage],0))</f>
        <v>Yes</v>
      </c>
      <c r="Q925" t="s">
        <v>10</v>
      </c>
      <c r="R925" t="s">
        <v>80</v>
      </c>
      <c r="S925" t="s">
        <v>57</v>
      </c>
      <c r="T925" t="s">
        <v>10</v>
      </c>
      <c r="U925" t="s">
        <v>10</v>
      </c>
      <c r="V925" t="s">
        <v>57</v>
      </c>
      <c r="W925" t="s">
        <v>10</v>
      </c>
    </row>
    <row r="926" spans="1:23" x14ac:dyDescent="0.3">
      <c r="A926" t="s">
        <v>1017</v>
      </c>
      <c r="B926" s="7">
        <v>45835</v>
      </c>
      <c r="C926" t="s">
        <v>71</v>
      </c>
      <c r="D926" t="s">
        <v>1097</v>
      </c>
      <c r="E926" s="3">
        <v>7</v>
      </c>
      <c r="F926" s="3">
        <v>0</v>
      </c>
      <c r="G926" t="s">
        <v>13</v>
      </c>
      <c r="H926" t="s">
        <v>1107</v>
      </c>
      <c r="I926" t="s">
        <v>42</v>
      </c>
      <c r="J926" t="s">
        <v>53</v>
      </c>
      <c r="K926" t="s">
        <v>10</v>
      </c>
      <c r="L926" t="s">
        <v>10</v>
      </c>
      <c r="M926" t="s">
        <v>57</v>
      </c>
      <c r="N926" t="s">
        <v>10</v>
      </c>
      <c r="O926" t="str">
        <f>INDEX(CoverageTable[Deductible Applies],MATCH(Table18[[#This Row],[Coverage]],CoverageTable[Coverage],0))</f>
        <v>Yes</v>
      </c>
      <c r="P926" t="str">
        <f>INDEX(CoverageTable[Coverage Limit Applies],MATCH(Table18[[#This Row],[Coverage]],CoverageTable[Coverage],0))</f>
        <v>No</v>
      </c>
      <c r="Q926" t="s">
        <v>79</v>
      </c>
      <c r="R926" t="s">
        <v>10</v>
      </c>
      <c r="S926" t="s">
        <v>10</v>
      </c>
      <c r="T926" t="s">
        <v>57</v>
      </c>
      <c r="U926" t="s">
        <v>10</v>
      </c>
      <c r="V926" t="s">
        <v>10</v>
      </c>
      <c r="W926" t="s">
        <v>10</v>
      </c>
    </row>
    <row r="927" spans="1:23" x14ac:dyDescent="0.3">
      <c r="A927" t="s">
        <v>1018</v>
      </c>
      <c r="B927" s="7">
        <v>45884</v>
      </c>
      <c r="C927" t="s">
        <v>70</v>
      </c>
      <c r="D927" t="s">
        <v>1100</v>
      </c>
      <c r="E927" s="3">
        <v>1</v>
      </c>
      <c r="F927" s="3">
        <v>1</v>
      </c>
      <c r="G927" t="s">
        <v>10</v>
      </c>
      <c r="H927" t="s">
        <v>1108</v>
      </c>
      <c r="I927" t="s">
        <v>26</v>
      </c>
      <c r="J927" t="s">
        <v>51</v>
      </c>
      <c r="K927" t="s">
        <v>10</v>
      </c>
      <c r="L927" t="s">
        <v>10</v>
      </c>
      <c r="M927" t="s">
        <v>10</v>
      </c>
      <c r="N927" t="s">
        <v>10</v>
      </c>
      <c r="O927" t="str">
        <f>INDEX(CoverageTable[Deductible Applies],MATCH(Table18[[#This Row],[Coverage]],CoverageTable[Coverage],0))</f>
        <v>No</v>
      </c>
      <c r="P927" t="str">
        <f>INDEX(CoverageTable[Coverage Limit Applies],MATCH(Table18[[#This Row],[Coverage]],CoverageTable[Coverage],0))</f>
        <v>Yes</v>
      </c>
      <c r="Q927" t="s">
        <v>10</v>
      </c>
      <c r="R927" t="s">
        <v>80</v>
      </c>
      <c r="S927" t="s">
        <v>10</v>
      </c>
      <c r="T927" t="s">
        <v>10</v>
      </c>
      <c r="U927" t="s">
        <v>10</v>
      </c>
      <c r="V927" t="s">
        <v>10</v>
      </c>
      <c r="W927" t="s">
        <v>10</v>
      </c>
    </row>
    <row r="928" spans="1:23" x14ac:dyDescent="0.3">
      <c r="A928" t="s">
        <v>1019</v>
      </c>
      <c r="B928" s="7">
        <v>45933</v>
      </c>
      <c r="C928" t="s">
        <v>70</v>
      </c>
      <c r="D928" t="s">
        <v>1097</v>
      </c>
      <c r="E928" s="3">
        <v>3</v>
      </c>
      <c r="F928" s="3">
        <v>0</v>
      </c>
      <c r="G928" t="s">
        <v>10</v>
      </c>
      <c r="H928" t="s">
        <v>1106</v>
      </c>
      <c r="I928" t="s">
        <v>37</v>
      </c>
      <c r="J928" t="s">
        <v>53</v>
      </c>
      <c r="K928" t="s">
        <v>10</v>
      </c>
      <c r="L928" t="s">
        <v>10</v>
      </c>
      <c r="M928" t="s">
        <v>10</v>
      </c>
      <c r="N928" t="s">
        <v>57</v>
      </c>
      <c r="O928" t="str">
        <f>INDEX(CoverageTable[Deductible Applies],MATCH(Table18[[#This Row],[Coverage]],CoverageTable[Coverage],0))</f>
        <v>No</v>
      </c>
      <c r="P928" t="str">
        <f>INDEX(CoverageTable[Coverage Limit Applies],MATCH(Table18[[#This Row],[Coverage]],CoverageTable[Coverage],0))</f>
        <v>Yes</v>
      </c>
      <c r="Q928" t="s">
        <v>10</v>
      </c>
      <c r="R928" t="s">
        <v>79</v>
      </c>
      <c r="S928" t="s">
        <v>10</v>
      </c>
      <c r="T928" t="s">
        <v>10</v>
      </c>
      <c r="U928" t="s">
        <v>10</v>
      </c>
      <c r="V928" t="s">
        <v>10</v>
      </c>
      <c r="W928" t="s">
        <v>10</v>
      </c>
    </row>
    <row r="929" spans="1:23" x14ac:dyDescent="0.3">
      <c r="A929" t="s">
        <v>1020</v>
      </c>
      <c r="B929" s="7">
        <v>45794</v>
      </c>
      <c r="C929" t="s">
        <v>71</v>
      </c>
      <c r="D929" t="s">
        <v>1099</v>
      </c>
      <c r="E929" s="3">
        <v>3</v>
      </c>
      <c r="F929" s="3">
        <v>0</v>
      </c>
      <c r="G929" t="s">
        <v>13</v>
      </c>
      <c r="H929" t="s">
        <v>1107</v>
      </c>
      <c r="I929" t="s">
        <v>43</v>
      </c>
      <c r="J929" t="s">
        <v>51</v>
      </c>
      <c r="K929" t="s">
        <v>10</v>
      </c>
      <c r="L929" t="s">
        <v>10</v>
      </c>
      <c r="M929" t="s">
        <v>10</v>
      </c>
      <c r="N929" t="s">
        <v>57</v>
      </c>
      <c r="O929" t="str">
        <f>INDEX(CoverageTable[Deductible Applies],MATCH(Table18[[#This Row],[Coverage]],CoverageTable[Coverage],0))</f>
        <v>Yes</v>
      </c>
      <c r="P929" t="str">
        <f>INDEX(CoverageTable[Coverage Limit Applies],MATCH(Table18[[#This Row],[Coverage]],CoverageTable[Coverage],0))</f>
        <v>No</v>
      </c>
      <c r="Q929" t="s">
        <v>80</v>
      </c>
      <c r="R929" t="s">
        <v>10</v>
      </c>
      <c r="S929" t="s">
        <v>10</v>
      </c>
      <c r="T929" t="s">
        <v>10</v>
      </c>
      <c r="U929" t="s">
        <v>10</v>
      </c>
      <c r="V929" t="s">
        <v>10</v>
      </c>
      <c r="W929" t="s">
        <v>10</v>
      </c>
    </row>
    <row r="930" spans="1:23" x14ac:dyDescent="0.3">
      <c r="A930" t="s">
        <v>1021</v>
      </c>
      <c r="B930" s="7">
        <v>46071</v>
      </c>
      <c r="C930" t="s">
        <v>72</v>
      </c>
      <c r="D930" t="s">
        <v>1099</v>
      </c>
      <c r="E930" s="3">
        <v>2</v>
      </c>
      <c r="F930" s="3">
        <v>1</v>
      </c>
      <c r="G930" t="s">
        <v>10</v>
      </c>
      <c r="H930" t="s">
        <v>1106</v>
      </c>
      <c r="I930" t="s">
        <v>36</v>
      </c>
      <c r="J930" t="s">
        <v>49</v>
      </c>
      <c r="K930" t="s">
        <v>10</v>
      </c>
      <c r="L930" t="s">
        <v>10</v>
      </c>
      <c r="M930" t="s">
        <v>57</v>
      </c>
      <c r="N930" t="s">
        <v>57</v>
      </c>
      <c r="O930" t="str">
        <f>INDEX(CoverageTable[Deductible Applies],MATCH(Table18[[#This Row],[Coverage]],CoverageTable[Coverage],0))</f>
        <v>Yes</v>
      </c>
      <c r="P930" t="str">
        <f>INDEX(CoverageTable[Coverage Limit Applies],MATCH(Table18[[#This Row],[Coverage]],CoverageTable[Coverage],0))</f>
        <v>No</v>
      </c>
      <c r="Q930" t="s">
        <v>79</v>
      </c>
      <c r="R930" t="s">
        <v>10</v>
      </c>
      <c r="S930" t="s">
        <v>10</v>
      </c>
      <c r="T930" t="s">
        <v>57</v>
      </c>
      <c r="U930" t="s">
        <v>57</v>
      </c>
      <c r="V930" t="s">
        <v>10</v>
      </c>
      <c r="W930" t="s">
        <v>10</v>
      </c>
    </row>
    <row r="931" spans="1:23" x14ac:dyDescent="0.3">
      <c r="A931" t="s">
        <v>1022</v>
      </c>
      <c r="B931" s="7">
        <v>45839</v>
      </c>
      <c r="C931" t="s">
        <v>70</v>
      </c>
      <c r="D931" t="s">
        <v>1099</v>
      </c>
      <c r="E931" s="3" t="s">
        <v>1103</v>
      </c>
      <c r="F931" s="3">
        <v>1</v>
      </c>
      <c r="G931" t="s">
        <v>12</v>
      </c>
      <c r="H931" t="s">
        <v>1108</v>
      </c>
      <c r="I931" t="s">
        <v>38</v>
      </c>
      <c r="J931" t="s">
        <v>51</v>
      </c>
      <c r="K931" t="s">
        <v>10</v>
      </c>
      <c r="L931" t="s">
        <v>57</v>
      </c>
      <c r="M931" t="s">
        <v>10</v>
      </c>
      <c r="N931" t="s">
        <v>10</v>
      </c>
      <c r="O931" t="str">
        <f>INDEX(CoverageTable[Deductible Applies],MATCH(Table18[[#This Row],[Coverage]],CoverageTable[Coverage],0))</f>
        <v>No</v>
      </c>
      <c r="P931" t="str">
        <f>INDEX(CoverageTable[Coverage Limit Applies],MATCH(Table18[[#This Row],[Coverage]],CoverageTable[Coverage],0))</f>
        <v>Yes</v>
      </c>
      <c r="Q931" t="s">
        <v>10</v>
      </c>
      <c r="R931" t="s">
        <v>79</v>
      </c>
      <c r="S931" t="s">
        <v>10</v>
      </c>
      <c r="T931" t="s">
        <v>10</v>
      </c>
      <c r="U931" t="s">
        <v>10</v>
      </c>
      <c r="V931" t="s">
        <v>10</v>
      </c>
      <c r="W931" t="s">
        <v>10</v>
      </c>
    </row>
    <row r="932" spans="1:23" x14ac:dyDescent="0.3">
      <c r="A932" t="s">
        <v>1023</v>
      </c>
      <c r="B932" s="7">
        <v>45901</v>
      </c>
      <c r="C932" t="s">
        <v>74</v>
      </c>
      <c r="D932" t="s">
        <v>1101</v>
      </c>
      <c r="E932" s="3">
        <v>3</v>
      </c>
      <c r="F932" s="3">
        <v>1</v>
      </c>
      <c r="G932" t="s">
        <v>10</v>
      </c>
      <c r="H932" t="s">
        <v>1108</v>
      </c>
      <c r="I932" t="s">
        <v>27</v>
      </c>
      <c r="J932" t="s">
        <v>51</v>
      </c>
      <c r="K932" t="s">
        <v>10</v>
      </c>
      <c r="L932" t="s">
        <v>57</v>
      </c>
      <c r="M932" t="s">
        <v>10</v>
      </c>
      <c r="N932" t="s">
        <v>10</v>
      </c>
      <c r="O932" t="str">
        <f>INDEX(CoverageTable[Deductible Applies],MATCH(Table18[[#This Row],[Coverage]],CoverageTable[Coverage],0))</f>
        <v>No</v>
      </c>
      <c r="P932" t="str">
        <f>INDEX(CoverageTable[Coverage Limit Applies],MATCH(Table18[[#This Row],[Coverage]],CoverageTable[Coverage],0))</f>
        <v>Yes</v>
      </c>
      <c r="Q932" t="s">
        <v>10</v>
      </c>
      <c r="R932" t="s">
        <v>79</v>
      </c>
      <c r="S932" t="s">
        <v>10</v>
      </c>
      <c r="T932" t="s">
        <v>57</v>
      </c>
      <c r="U932" t="s">
        <v>57</v>
      </c>
      <c r="V932" t="s">
        <v>10</v>
      </c>
      <c r="W932" t="s">
        <v>10</v>
      </c>
    </row>
    <row r="933" spans="1:23" x14ac:dyDescent="0.3">
      <c r="A933" t="s">
        <v>1024</v>
      </c>
      <c r="B933" s="7">
        <v>46007</v>
      </c>
      <c r="C933" t="s">
        <v>71</v>
      </c>
      <c r="D933" t="s">
        <v>1098</v>
      </c>
      <c r="E933" s="3">
        <v>1</v>
      </c>
      <c r="F933" s="3" t="s">
        <v>7</v>
      </c>
      <c r="G933" t="s">
        <v>10</v>
      </c>
      <c r="H933" t="s">
        <v>1108</v>
      </c>
      <c r="I933" t="s">
        <v>21</v>
      </c>
      <c r="J933" t="s">
        <v>53</v>
      </c>
      <c r="K933" t="s">
        <v>10</v>
      </c>
      <c r="L933" t="s">
        <v>57</v>
      </c>
      <c r="M933" t="s">
        <v>10</v>
      </c>
      <c r="N933" t="s">
        <v>10</v>
      </c>
      <c r="O933" t="str">
        <f>INDEX(CoverageTable[Deductible Applies],MATCH(Table18[[#This Row],[Coverage]],CoverageTable[Coverage],0))</f>
        <v>Yes</v>
      </c>
      <c r="P933" t="str">
        <f>INDEX(CoverageTable[Coverage Limit Applies],MATCH(Table18[[#This Row],[Coverage]],CoverageTable[Coverage],0))</f>
        <v>No</v>
      </c>
      <c r="Q933" t="s">
        <v>80</v>
      </c>
      <c r="R933" t="s">
        <v>10</v>
      </c>
      <c r="S933" t="s">
        <v>57</v>
      </c>
      <c r="T933" t="s">
        <v>57</v>
      </c>
      <c r="U933" t="s">
        <v>10</v>
      </c>
      <c r="V933" t="s">
        <v>57</v>
      </c>
      <c r="W933" t="s">
        <v>57</v>
      </c>
    </row>
    <row r="934" spans="1:23" x14ac:dyDescent="0.3">
      <c r="A934" t="s">
        <v>1025</v>
      </c>
      <c r="B934" s="7">
        <v>46113</v>
      </c>
      <c r="C934" t="s">
        <v>74</v>
      </c>
      <c r="D934" t="s">
        <v>1100</v>
      </c>
      <c r="E934" s="3">
        <v>2</v>
      </c>
      <c r="F934" s="3">
        <v>3</v>
      </c>
      <c r="G934" t="s">
        <v>12</v>
      </c>
      <c r="H934" t="s">
        <v>1107</v>
      </c>
      <c r="I934" t="s">
        <v>26</v>
      </c>
      <c r="J934" t="s">
        <v>52</v>
      </c>
      <c r="K934" t="s">
        <v>10</v>
      </c>
      <c r="L934" t="s">
        <v>10</v>
      </c>
      <c r="M934" t="s">
        <v>10</v>
      </c>
      <c r="N934" t="s">
        <v>10</v>
      </c>
      <c r="O934" t="str">
        <f>INDEX(CoverageTable[Deductible Applies],MATCH(Table18[[#This Row],[Coverage]],CoverageTable[Coverage],0))</f>
        <v>No</v>
      </c>
      <c r="P934" t="str">
        <f>INDEX(CoverageTable[Coverage Limit Applies],MATCH(Table18[[#This Row],[Coverage]],CoverageTable[Coverage],0))</f>
        <v>Yes</v>
      </c>
      <c r="Q934" t="s">
        <v>10</v>
      </c>
      <c r="R934" t="s">
        <v>80</v>
      </c>
      <c r="S934" t="s">
        <v>10</v>
      </c>
      <c r="T934" t="s">
        <v>10</v>
      </c>
      <c r="U934" t="s">
        <v>10</v>
      </c>
      <c r="V934" t="s">
        <v>10</v>
      </c>
      <c r="W934" t="s">
        <v>10</v>
      </c>
    </row>
    <row r="935" spans="1:23" x14ac:dyDescent="0.3">
      <c r="A935" t="s">
        <v>1026</v>
      </c>
      <c r="B935" s="7">
        <v>45779</v>
      </c>
      <c r="C935" t="s">
        <v>70</v>
      </c>
      <c r="D935" t="s">
        <v>1102</v>
      </c>
      <c r="E935" s="3">
        <v>3</v>
      </c>
      <c r="F935" s="3">
        <v>1</v>
      </c>
      <c r="G935" t="s">
        <v>13</v>
      </c>
      <c r="H935" t="s">
        <v>1109</v>
      </c>
      <c r="I935" t="s">
        <v>28</v>
      </c>
      <c r="J935" t="s">
        <v>54</v>
      </c>
      <c r="K935" t="s">
        <v>10</v>
      </c>
      <c r="L935" t="s">
        <v>10</v>
      </c>
      <c r="M935" t="s">
        <v>10</v>
      </c>
      <c r="N935" t="s">
        <v>10</v>
      </c>
      <c r="O935" t="str">
        <f>INDEX(CoverageTable[Deductible Applies],MATCH(Table18[[#This Row],[Coverage]],CoverageTable[Coverage],0))</f>
        <v>No</v>
      </c>
      <c r="P935" t="str">
        <f>INDEX(CoverageTable[Coverage Limit Applies],MATCH(Table18[[#This Row],[Coverage]],CoverageTable[Coverage],0))</f>
        <v>Yes</v>
      </c>
      <c r="Q935" t="s">
        <v>10</v>
      </c>
      <c r="R935" t="s">
        <v>78</v>
      </c>
      <c r="S935" t="s">
        <v>10</v>
      </c>
      <c r="T935" t="s">
        <v>57</v>
      </c>
      <c r="U935" t="s">
        <v>10</v>
      </c>
      <c r="V935" t="s">
        <v>10</v>
      </c>
      <c r="W935" t="s">
        <v>57</v>
      </c>
    </row>
    <row r="936" spans="1:23" x14ac:dyDescent="0.3">
      <c r="A936" t="s">
        <v>1027</v>
      </c>
      <c r="B936" s="7">
        <v>46071</v>
      </c>
      <c r="C936" t="s">
        <v>74</v>
      </c>
      <c r="D936" t="s">
        <v>1101</v>
      </c>
      <c r="E936" s="3">
        <v>6</v>
      </c>
      <c r="F936" s="3">
        <v>4</v>
      </c>
      <c r="G936" t="s">
        <v>10</v>
      </c>
      <c r="H936" t="s">
        <v>1106</v>
      </c>
      <c r="I936" t="s">
        <v>25</v>
      </c>
      <c r="J936" t="s">
        <v>51</v>
      </c>
      <c r="K936" t="s">
        <v>10</v>
      </c>
      <c r="L936" t="s">
        <v>10</v>
      </c>
      <c r="M936" t="s">
        <v>57</v>
      </c>
      <c r="N936" t="s">
        <v>10</v>
      </c>
      <c r="O936" t="str">
        <f>INDEX(CoverageTable[Deductible Applies],MATCH(Table18[[#This Row],[Coverage]],CoverageTable[Coverage],0))</f>
        <v>No</v>
      </c>
      <c r="P936" t="str">
        <f>INDEX(CoverageTable[Coverage Limit Applies],MATCH(Table18[[#This Row],[Coverage]],CoverageTable[Coverage],0))</f>
        <v>Yes</v>
      </c>
      <c r="Q936" t="s">
        <v>10</v>
      </c>
      <c r="R936" t="s">
        <v>80</v>
      </c>
      <c r="S936" t="s">
        <v>10</v>
      </c>
      <c r="T936" t="s">
        <v>57</v>
      </c>
      <c r="U936" t="s">
        <v>10</v>
      </c>
      <c r="V936" t="s">
        <v>57</v>
      </c>
      <c r="W936" t="s">
        <v>57</v>
      </c>
    </row>
    <row r="937" spans="1:23" x14ac:dyDescent="0.3">
      <c r="A937" t="s">
        <v>1028</v>
      </c>
      <c r="B937" s="7">
        <v>45992</v>
      </c>
      <c r="C937" t="s">
        <v>71</v>
      </c>
      <c r="D937" t="s">
        <v>1097</v>
      </c>
      <c r="E937" s="3">
        <v>4</v>
      </c>
      <c r="F937" s="3">
        <v>4</v>
      </c>
      <c r="G937" t="s">
        <v>12</v>
      </c>
      <c r="H937" t="s">
        <v>1109</v>
      </c>
      <c r="I937" t="s">
        <v>39</v>
      </c>
      <c r="J937" t="s">
        <v>52</v>
      </c>
      <c r="K937" t="s">
        <v>10</v>
      </c>
      <c r="L937" t="s">
        <v>10</v>
      </c>
      <c r="M937" t="s">
        <v>10</v>
      </c>
      <c r="N937" t="s">
        <v>57</v>
      </c>
      <c r="O937" t="str">
        <f>INDEX(CoverageTable[Deductible Applies],MATCH(Table18[[#This Row],[Coverage]],CoverageTable[Coverage],0))</f>
        <v>Yes</v>
      </c>
      <c r="P937" t="str">
        <f>INDEX(CoverageTable[Coverage Limit Applies],MATCH(Table18[[#This Row],[Coverage]],CoverageTable[Coverage],0))</f>
        <v>No</v>
      </c>
      <c r="Q937" t="s">
        <v>80</v>
      </c>
      <c r="R937" t="s">
        <v>10</v>
      </c>
      <c r="S937" t="s">
        <v>10</v>
      </c>
      <c r="T937" t="s">
        <v>10</v>
      </c>
      <c r="U937" t="s">
        <v>57</v>
      </c>
      <c r="V937" t="s">
        <v>57</v>
      </c>
      <c r="W937" t="s">
        <v>10</v>
      </c>
    </row>
    <row r="938" spans="1:23" x14ac:dyDescent="0.3">
      <c r="A938" t="s">
        <v>1029</v>
      </c>
      <c r="B938" s="7">
        <v>46063</v>
      </c>
      <c r="C938" t="s">
        <v>71</v>
      </c>
      <c r="D938" t="s">
        <v>1101</v>
      </c>
      <c r="E938" s="3">
        <v>6</v>
      </c>
      <c r="F938" s="3">
        <v>4</v>
      </c>
      <c r="G938" t="s">
        <v>10</v>
      </c>
      <c r="H938" t="s">
        <v>1110</v>
      </c>
      <c r="I938" t="s">
        <v>44</v>
      </c>
      <c r="J938" t="s">
        <v>51</v>
      </c>
      <c r="K938" t="s">
        <v>10</v>
      </c>
      <c r="L938" t="s">
        <v>10</v>
      </c>
      <c r="M938" t="s">
        <v>10</v>
      </c>
      <c r="N938" t="s">
        <v>57</v>
      </c>
      <c r="O938" t="str">
        <f>INDEX(CoverageTable[Deductible Applies],MATCH(Table18[[#This Row],[Coverage]],CoverageTable[Coverage],0))</f>
        <v>Yes</v>
      </c>
      <c r="P938" t="str">
        <f>INDEX(CoverageTable[Coverage Limit Applies],MATCH(Table18[[#This Row],[Coverage]],CoverageTable[Coverage],0))</f>
        <v>No</v>
      </c>
      <c r="Q938" t="s">
        <v>80</v>
      </c>
      <c r="R938" t="s">
        <v>10</v>
      </c>
      <c r="S938" t="s">
        <v>57</v>
      </c>
      <c r="T938" t="s">
        <v>10</v>
      </c>
      <c r="U938" t="s">
        <v>10</v>
      </c>
      <c r="V938" t="s">
        <v>10</v>
      </c>
      <c r="W938" t="s">
        <v>57</v>
      </c>
    </row>
    <row r="939" spans="1:23" x14ac:dyDescent="0.3">
      <c r="A939" t="s">
        <v>1030</v>
      </c>
      <c r="B939" s="7">
        <v>45997</v>
      </c>
      <c r="C939" t="s">
        <v>70</v>
      </c>
      <c r="D939" t="s">
        <v>1100</v>
      </c>
      <c r="E939" s="3">
        <v>3</v>
      </c>
      <c r="F939" s="3">
        <v>1</v>
      </c>
      <c r="G939" t="s">
        <v>12</v>
      </c>
      <c r="H939" t="s">
        <v>1110</v>
      </c>
      <c r="I939" t="s">
        <v>38</v>
      </c>
      <c r="J939" t="s">
        <v>51</v>
      </c>
      <c r="K939" t="s">
        <v>57</v>
      </c>
      <c r="L939" t="s">
        <v>10</v>
      </c>
      <c r="M939" t="s">
        <v>10</v>
      </c>
      <c r="N939" t="s">
        <v>57</v>
      </c>
      <c r="O939" t="str">
        <f>INDEX(CoverageTable[Deductible Applies],MATCH(Table18[[#This Row],[Coverage]],CoverageTable[Coverage],0))</f>
        <v>No</v>
      </c>
      <c r="P939" t="str">
        <f>INDEX(CoverageTable[Coverage Limit Applies],MATCH(Table18[[#This Row],[Coverage]],CoverageTable[Coverage],0))</f>
        <v>Yes</v>
      </c>
      <c r="Q939" t="s">
        <v>10</v>
      </c>
      <c r="R939" t="s">
        <v>79</v>
      </c>
      <c r="S939" t="s">
        <v>57</v>
      </c>
      <c r="T939" t="s">
        <v>10</v>
      </c>
      <c r="U939" t="s">
        <v>10</v>
      </c>
      <c r="V939" t="s">
        <v>10</v>
      </c>
      <c r="W939" t="s">
        <v>10</v>
      </c>
    </row>
    <row r="940" spans="1:23" x14ac:dyDescent="0.3">
      <c r="A940" t="s">
        <v>1031</v>
      </c>
      <c r="B940" s="7">
        <v>45881</v>
      </c>
      <c r="C940" t="s">
        <v>71</v>
      </c>
      <c r="D940" t="s">
        <v>1097</v>
      </c>
      <c r="E940" s="3">
        <v>1</v>
      </c>
      <c r="F940" s="3">
        <v>1</v>
      </c>
      <c r="G940" t="s">
        <v>11</v>
      </c>
      <c r="H940" t="s">
        <v>1107</v>
      </c>
      <c r="I940" t="s">
        <v>44</v>
      </c>
      <c r="J940" t="s">
        <v>54</v>
      </c>
      <c r="K940" t="s">
        <v>10</v>
      </c>
      <c r="L940" t="s">
        <v>10</v>
      </c>
      <c r="M940" t="s">
        <v>10</v>
      </c>
      <c r="N940" t="s">
        <v>10</v>
      </c>
      <c r="O940" t="str">
        <f>INDEX(CoverageTable[Deductible Applies],MATCH(Table18[[#This Row],[Coverage]],CoverageTable[Coverage],0))</f>
        <v>Yes</v>
      </c>
      <c r="P940" t="str">
        <f>INDEX(CoverageTable[Coverage Limit Applies],MATCH(Table18[[#This Row],[Coverage]],CoverageTable[Coverage],0))</f>
        <v>No</v>
      </c>
      <c r="Q940" t="s">
        <v>80</v>
      </c>
      <c r="R940" t="s">
        <v>10</v>
      </c>
      <c r="S940" t="s">
        <v>10</v>
      </c>
      <c r="T940" t="s">
        <v>57</v>
      </c>
      <c r="U940" t="s">
        <v>10</v>
      </c>
      <c r="V940" t="s">
        <v>10</v>
      </c>
      <c r="W940" t="s">
        <v>10</v>
      </c>
    </row>
    <row r="941" spans="1:23" x14ac:dyDescent="0.3">
      <c r="A941" t="s">
        <v>1032</v>
      </c>
      <c r="B941" s="7">
        <v>45900</v>
      </c>
      <c r="C941" t="s">
        <v>71</v>
      </c>
      <c r="D941" t="s">
        <v>1100</v>
      </c>
      <c r="E941" s="3" t="s">
        <v>1103</v>
      </c>
      <c r="F941" s="3">
        <v>0</v>
      </c>
      <c r="G941" t="s">
        <v>12</v>
      </c>
      <c r="H941" t="s">
        <v>1106</v>
      </c>
      <c r="I941" t="s">
        <v>28</v>
      </c>
      <c r="J941" t="s">
        <v>49</v>
      </c>
      <c r="K941" t="s">
        <v>10</v>
      </c>
      <c r="L941" t="s">
        <v>10</v>
      </c>
      <c r="M941" t="s">
        <v>57</v>
      </c>
      <c r="N941" t="s">
        <v>57</v>
      </c>
      <c r="O941" t="str">
        <f>INDEX(CoverageTable[Deductible Applies],MATCH(Table18[[#This Row],[Coverage]],CoverageTable[Coverage],0))</f>
        <v>Yes</v>
      </c>
      <c r="P941" t="str">
        <f>INDEX(CoverageTable[Coverage Limit Applies],MATCH(Table18[[#This Row],[Coverage]],CoverageTable[Coverage],0))</f>
        <v>No</v>
      </c>
      <c r="Q941" t="s">
        <v>78</v>
      </c>
      <c r="R941" t="s">
        <v>10</v>
      </c>
      <c r="S941" t="s">
        <v>57</v>
      </c>
      <c r="T941" t="s">
        <v>57</v>
      </c>
      <c r="U941" t="s">
        <v>10</v>
      </c>
      <c r="V941" t="s">
        <v>10</v>
      </c>
      <c r="W941" t="s">
        <v>10</v>
      </c>
    </row>
    <row r="942" spans="1:23" x14ac:dyDescent="0.3">
      <c r="A942" t="s">
        <v>1033</v>
      </c>
      <c r="B942" s="7">
        <v>45860</v>
      </c>
      <c r="C942" t="s">
        <v>71</v>
      </c>
      <c r="D942" t="s">
        <v>1098</v>
      </c>
      <c r="E942" s="3">
        <v>4</v>
      </c>
      <c r="F942" s="3">
        <v>2</v>
      </c>
      <c r="G942" t="s">
        <v>10</v>
      </c>
      <c r="H942" t="s">
        <v>1106</v>
      </c>
      <c r="I942" t="s">
        <v>43</v>
      </c>
      <c r="J942" t="s">
        <v>50</v>
      </c>
      <c r="K942" t="s">
        <v>10</v>
      </c>
      <c r="L942" t="s">
        <v>10</v>
      </c>
      <c r="M942" t="s">
        <v>57</v>
      </c>
      <c r="N942" t="s">
        <v>10</v>
      </c>
      <c r="O942" t="str">
        <f>INDEX(CoverageTable[Deductible Applies],MATCH(Table18[[#This Row],[Coverage]],CoverageTable[Coverage],0))</f>
        <v>Yes</v>
      </c>
      <c r="P942" t="str">
        <f>INDEX(CoverageTable[Coverage Limit Applies],MATCH(Table18[[#This Row],[Coverage]],CoverageTable[Coverage],0))</f>
        <v>No</v>
      </c>
      <c r="Q942" t="s">
        <v>80</v>
      </c>
      <c r="R942" t="s">
        <v>10</v>
      </c>
      <c r="S942" t="s">
        <v>10</v>
      </c>
      <c r="T942" t="s">
        <v>57</v>
      </c>
      <c r="U942" t="s">
        <v>57</v>
      </c>
      <c r="V942" t="s">
        <v>10</v>
      </c>
      <c r="W942" t="s">
        <v>10</v>
      </c>
    </row>
    <row r="943" spans="1:23" x14ac:dyDescent="0.3">
      <c r="A943" t="s">
        <v>1034</v>
      </c>
      <c r="B943" s="7">
        <v>46128</v>
      </c>
      <c r="C943" t="s">
        <v>74</v>
      </c>
      <c r="D943" t="s">
        <v>1102</v>
      </c>
      <c r="E943" s="3">
        <v>4</v>
      </c>
      <c r="F943" s="3">
        <v>1</v>
      </c>
      <c r="G943" t="s">
        <v>10</v>
      </c>
      <c r="H943" t="s">
        <v>1106</v>
      </c>
      <c r="I943" t="s">
        <v>29</v>
      </c>
      <c r="J943" t="s">
        <v>48</v>
      </c>
      <c r="K943" t="s">
        <v>10</v>
      </c>
      <c r="L943" t="s">
        <v>57</v>
      </c>
      <c r="M943" t="s">
        <v>10</v>
      </c>
      <c r="N943" t="s">
        <v>10</v>
      </c>
      <c r="O943" t="str">
        <f>INDEX(CoverageTable[Deductible Applies],MATCH(Table18[[#This Row],[Coverage]],CoverageTable[Coverage],0))</f>
        <v>No</v>
      </c>
      <c r="P943" t="str">
        <f>INDEX(CoverageTable[Coverage Limit Applies],MATCH(Table18[[#This Row],[Coverage]],CoverageTable[Coverage],0))</f>
        <v>Yes</v>
      </c>
      <c r="Q943" t="s">
        <v>10</v>
      </c>
      <c r="R943" t="s">
        <v>79</v>
      </c>
      <c r="S943" t="s">
        <v>10</v>
      </c>
      <c r="T943" t="s">
        <v>10</v>
      </c>
      <c r="U943" t="s">
        <v>10</v>
      </c>
      <c r="V943" t="s">
        <v>10</v>
      </c>
      <c r="W943" t="s">
        <v>10</v>
      </c>
    </row>
    <row r="944" spans="1:23" x14ac:dyDescent="0.3">
      <c r="A944" t="s">
        <v>1035</v>
      </c>
      <c r="B944" s="7">
        <v>45876</v>
      </c>
      <c r="C944" t="s">
        <v>73</v>
      </c>
      <c r="D944" t="s">
        <v>1101</v>
      </c>
      <c r="E944" s="3">
        <v>6</v>
      </c>
      <c r="F944" s="3">
        <v>0</v>
      </c>
      <c r="G944" t="s">
        <v>12</v>
      </c>
      <c r="H944" t="s">
        <v>1106</v>
      </c>
      <c r="I944" t="s">
        <v>25</v>
      </c>
      <c r="J944" t="s">
        <v>52</v>
      </c>
      <c r="K944" t="s">
        <v>10</v>
      </c>
      <c r="L944" t="s">
        <v>10</v>
      </c>
      <c r="M944" t="s">
        <v>10</v>
      </c>
      <c r="N944" t="s">
        <v>57</v>
      </c>
      <c r="O944" t="str">
        <f>INDEX(CoverageTable[Deductible Applies],MATCH(Table18[[#This Row],[Coverage]],CoverageTable[Coverage],0))</f>
        <v>No</v>
      </c>
      <c r="P944" t="str">
        <f>INDEX(CoverageTable[Coverage Limit Applies],MATCH(Table18[[#This Row],[Coverage]],CoverageTable[Coverage],0))</f>
        <v>Yes</v>
      </c>
      <c r="Q944" t="s">
        <v>10</v>
      </c>
      <c r="R944" t="s">
        <v>78</v>
      </c>
      <c r="S944" t="s">
        <v>10</v>
      </c>
      <c r="T944" t="s">
        <v>10</v>
      </c>
      <c r="U944" t="s">
        <v>10</v>
      </c>
      <c r="V944" t="s">
        <v>10</v>
      </c>
      <c r="W944" t="s">
        <v>10</v>
      </c>
    </row>
    <row r="945" spans="1:23" x14ac:dyDescent="0.3">
      <c r="A945" t="s">
        <v>1036</v>
      </c>
      <c r="B945" s="7">
        <v>45910</v>
      </c>
      <c r="C945" t="s">
        <v>71</v>
      </c>
      <c r="D945" t="s">
        <v>1102</v>
      </c>
      <c r="E945" s="3">
        <v>5</v>
      </c>
      <c r="F945" s="3">
        <v>1</v>
      </c>
      <c r="G945" t="s">
        <v>13</v>
      </c>
      <c r="H945" t="s">
        <v>1109</v>
      </c>
      <c r="I945" t="s">
        <v>38</v>
      </c>
      <c r="J945" t="s">
        <v>54</v>
      </c>
      <c r="K945" t="s">
        <v>57</v>
      </c>
      <c r="L945" t="s">
        <v>10</v>
      </c>
      <c r="M945" t="s">
        <v>10</v>
      </c>
      <c r="N945" t="s">
        <v>57</v>
      </c>
      <c r="O945" t="str">
        <f>INDEX(CoverageTable[Deductible Applies],MATCH(Table18[[#This Row],[Coverage]],CoverageTable[Coverage],0))</f>
        <v>Yes</v>
      </c>
      <c r="P945" t="str">
        <f>INDEX(CoverageTable[Coverage Limit Applies],MATCH(Table18[[#This Row],[Coverage]],CoverageTable[Coverage],0))</f>
        <v>No</v>
      </c>
      <c r="Q945" t="s">
        <v>79</v>
      </c>
      <c r="R945" t="s">
        <v>10</v>
      </c>
      <c r="S945" t="s">
        <v>10</v>
      </c>
      <c r="T945" t="s">
        <v>57</v>
      </c>
      <c r="U945" t="s">
        <v>57</v>
      </c>
      <c r="V945" t="s">
        <v>10</v>
      </c>
      <c r="W945" t="s">
        <v>57</v>
      </c>
    </row>
    <row r="946" spans="1:23" x14ac:dyDescent="0.3">
      <c r="A946" t="s">
        <v>1037</v>
      </c>
      <c r="B946" s="7">
        <v>46085</v>
      </c>
      <c r="C946" t="s">
        <v>70</v>
      </c>
      <c r="D946" t="s">
        <v>1097</v>
      </c>
      <c r="E946" s="3" t="s">
        <v>1103</v>
      </c>
      <c r="F946" s="3">
        <v>1</v>
      </c>
      <c r="G946" t="s">
        <v>12</v>
      </c>
      <c r="H946" t="s">
        <v>1109</v>
      </c>
      <c r="I946" t="s">
        <v>38</v>
      </c>
      <c r="J946" t="s">
        <v>53</v>
      </c>
      <c r="K946" t="s">
        <v>10</v>
      </c>
      <c r="L946" t="s">
        <v>10</v>
      </c>
      <c r="M946" t="s">
        <v>10</v>
      </c>
      <c r="N946" t="s">
        <v>10</v>
      </c>
      <c r="O946" t="str">
        <f>INDEX(CoverageTable[Deductible Applies],MATCH(Table18[[#This Row],[Coverage]],CoverageTable[Coverage],0))</f>
        <v>No</v>
      </c>
      <c r="P946" t="str">
        <f>INDEX(CoverageTable[Coverage Limit Applies],MATCH(Table18[[#This Row],[Coverage]],CoverageTable[Coverage],0))</f>
        <v>Yes</v>
      </c>
      <c r="Q946" t="s">
        <v>10</v>
      </c>
      <c r="R946" t="s">
        <v>80</v>
      </c>
      <c r="S946" t="s">
        <v>10</v>
      </c>
      <c r="T946" t="s">
        <v>57</v>
      </c>
      <c r="U946" t="s">
        <v>10</v>
      </c>
      <c r="V946" t="s">
        <v>10</v>
      </c>
      <c r="W946" t="s">
        <v>10</v>
      </c>
    </row>
    <row r="947" spans="1:23" x14ac:dyDescent="0.3">
      <c r="A947" t="s">
        <v>1038</v>
      </c>
      <c r="B947" s="7">
        <v>46094</v>
      </c>
      <c r="C947" t="s">
        <v>71</v>
      </c>
      <c r="D947" t="s">
        <v>1100</v>
      </c>
      <c r="E947" s="3" t="s">
        <v>1103</v>
      </c>
      <c r="F947" s="3">
        <v>3</v>
      </c>
      <c r="G947" t="s">
        <v>10</v>
      </c>
      <c r="H947" t="s">
        <v>1107</v>
      </c>
      <c r="I947" t="s">
        <v>28</v>
      </c>
      <c r="J947" t="s">
        <v>52</v>
      </c>
      <c r="K947" t="s">
        <v>10</v>
      </c>
      <c r="L947" t="s">
        <v>10</v>
      </c>
      <c r="M947" t="s">
        <v>10</v>
      </c>
      <c r="N947" t="s">
        <v>10</v>
      </c>
      <c r="O947" t="str">
        <f>INDEX(CoverageTable[Deductible Applies],MATCH(Table18[[#This Row],[Coverage]],CoverageTable[Coverage],0))</f>
        <v>Yes</v>
      </c>
      <c r="P947" t="str">
        <f>INDEX(CoverageTable[Coverage Limit Applies],MATCH(Table18[[#This Row],[Coverage]],CoverageTable[Coverage],0))</f>
        <v>No</v>
      </c>
      <c r="Q947" t="s">
        <v>79</v>
      </c>
      <c r="R947" t="s">
        <v>10</v>
      </c>
      <c r="S947" t="s">
        <v>10</v>
      </c>
      <c r="T947" t="s">
        <v>10</v>
      </c>
      <c r="U947" t="s">
        <v>10</v>
      </c>
      <c r="V947" t="s">
        <v>10</v>
      </c>
      <c r="W947" t="s">
        <v>10</v>
      </c>
    </row>
    <row r="948" spans="1:23" x14ac:dyDescent="0.3">
      <c r="A948" t="s">
        <v>1039</v>
      </c>
      <c r="B948" s="7">
        <v>45896</v>
      </c>
      <c r="C948" t="s">
        <v>73</v>
      </c>
      <c r="D948" t="s">
        <v>1097</v>
      </c>
      <c r="E948" s="3">
        <v>7</v>
      </c>
      <c r="F948" s="3">
        <v>2</v>
      </c>
      <c r="G948" t="s">
        <v>10</v>
      </c>
      <c r="H948" t="s">
        <v>1110</v>
      </c>
      <c r="I948" t="s">
        <v>40</v>
      </c>
      <c r="J948" t="s">
        <v>50</v>
      </c>
      <c r="K948" t="s">
        <v>10</v>
      </c>
      <c r="L948" t="s">
        <v>10</v>
      </c>
      <c r="M948" t="s">
        <v>10</v>
      </c>
      <c r="N948" t="s">
        <v>57</v>
      </c>
      <c r="O948" t="str">
        <f>INDEX(CoverageTable[Deductible Applies],MATCH(Table18[[#This Row],[Coverage]],CoverageTable[Coverage],0))</f>
        <v>No</v>
      </c>
      <c r="P948" t="str">
        <f>INDEX(CoverageTable[Coverage Limit Applies],MATCH(Table18[[#This Row],[Coverage]],CoverageTable[Coverage],0))</f>
        <v>Yes</v>
      </c>
      <c r="Q948" t="s">
        <v>10</v>
      </c>
      <c r="R948" t="s">
        <v>79</v>
      </c>
      <c r="S948" t="s">
        <v>10</v>
      </c>
      <c r="T948" t="s">
        <v>10</v>
      </c>
      <c r="U948" t="s">
        <v>10</v>
      </c>
      <c r="V948" t="s">
        <v>10</v>
      </c>
      <c r="W948" t="s">
        <v>10</v>
      </c>
    </row>
    <row r="949" spans="1:23" x14ac:dyDescent="0.3">
      <c r="A949" t="s">
        <v>1040</v>
      </c>
      <c r="B949" s="7">
        <v>45936</v>
      </c>
      <c r="C949" t="s">
        <v>73</v>
      </c>
      <c r="D949" t="s">
        <v>1099</v>
      </c>
      <c r="E949" s="3">
        <v>5</v>
      </c>
      <c r="F949" s="3">
        <v>0</v>
      </c>
      <c r="G949" t="s">
        <v>10</v>
      </c>
      <c r="H949" t="s">
        <v>1106</v>
      </c>
      <c r="I949" t="s">
        <v>28</v>
      </c>
      <c r="J949" t="s">
        <v>54</v>
      </c>
      <c r="K949" t="s">
        <v>10</v>
      </c>
      <c r="L949" t="s">
        <v>57</v>
      </c>
      <c r="M949" t="s">
        <v>10</v>
      </c>
      <c r="N949" t="s">
        <v>57</v>
      </c>
      <c r="O949" t="str">
        <f>INDEX(CoverageTable[Deductible Applies],MATCH(Table18[[#This Row],[Coverage]],CoverageTable[Coverage],0))</f>
        <v>No</v>
      </c>
      <c r="P949" t="str">
        <f>INDEX(CoverageTable[Coverage Limit Applies],MATCH(Table18[[#This Row],[Coverage]],CoverageTable[Coverage],0))</f>
        <v>Yes</v>
      </c>
      <c r="Q949" t="s">
        <v>10</v>
      </c>
      <c r="R949" t="s">
        <v>80</v>
      </c>
      <c r="S949" t="s">
        <v>10</v>
      </c>
      <c r="T949" t="s">
        <v>57</v>
      </c>
      <c r="U949" t="s">
        <v>10</v>
      </c>
      <c r="V949" t="s">
        <v>10</v>
      </c>
      <c r="W949" t="s">
        <v>10</v>
      </c>
    </row>
    <row r="950" spans="1:23" x14ac:dyDescent="0.3">
      <c r="A950" t="s">
        <v>1041</v>
      </c>
      <c r="B950" s="7">
        <v>45990</v>
      </c>
      <c r="C950" t="s">
        <v>70</v>
      </c>
      <c r="D950" t="s">
        <v>1102</v>
      </c>
      <c r="E950" s="3">
        <v>4</v>
      </c>
      <c r="F950" s="3">
        <v>0</v>
      </c>
      <c r="G950" t="s">
        <v>12</v>
      </c>
      <c r="H950" t="s">
        <v>1106</v>
      </c>
      <c r="I950" t="s">
        <v>42</v>
      </c>
      <c r="J950" t="s">
        <v>51</v>
      </c>
      <c r="K950" t="s">
        <v>10</v>
      </c>
      <c r="L950" t="s">
        <v>57</v>
      </c>
      <c r="M950" t="s">
        <v>10</v>
      </c>
      <c r="N950" t="s">
        <v>57</v>
      </c>
      <c r="O950" t="str">
        <f>INDEX(CoverageTable[Deductible Applies],MATCH(Table18[[#This Row],[Coverage]],CoverageTable[Coverage],0))</f>
        <v>No</v>
      </c>
      <c r="P950" t="str">
        <f>INDEX(CoverageTable[Coverage Limit Applies],MATCH(Table18[[#This Row],[Coverage]],CoverageTable[Coverage],0))</f>
        <v>Yes</v>
      </c>
      <c r="Q950" t="s">
        <v>10</v>
      </c>
      <c r="R950" t="s">
        <v>79</v>
      </c>
      <c r="S950" t="s">
        <v>57</v>
      </c>
      <c r="T950" t="s">
        <v>10</v>
      </c>
      <c r="U950" t="s">
        <v>10</v>
      </c>
      <c r="V950" t="s">
        <v>57</v>
      </c>
      <c r="W950" t="s">
        <v>10</v>
      </c>
    </row>
    <row r="951" spans="1:23" x14ac:dyDescent="0.3">
      <c r="A951" t="s">
        <v>1042</v>
      </c>
      <c r="B951" s="7">
        <v>46073</v>
      </c>
      <c r="C951" t="s">
        <v>70</v>
      </c>
      <c r="D951" t="s">
        <v>1102</v>
      </c>
      <c r="E951" s="3">
        <v>4</v>
      </c>
      <c r="F951" s="3">
        <v>3</v>
      </c>
      <c r="G951" t="s">
        <v>11</v>
      </c>
      <c r="H951" t="s">
        <v>1107</v>
      </c>
      <c r="I951" t="s">
        <v>29</v>
      </c>
      <c r="J951" t="s">
        <v>51</v>
      </c>
      <c r="K951" t="s">
        <v>10</v>
      </c>
      <c r="L951" t="s">
        <v>10</v>
      </c>
      <c r="M951" t="s">
        <v>10</v>
      </c>
      <c r="N951" t="s">
        <v>10</v>
      </c>
      <c r="O951" t="str">
        <f>INDEX(CoverageTable[Deductible Applies],MATCH(Table18[[#This Row],[Coverage]],CoverageTable[Coverage],0))</f>
        <v>No</v>
      </c>
      <c r="P951" t="str">
        <f>INDEX(CoverageTable[Coverage Limit Applies],MATCH(Table18[[#This Row],[Coverage]],CoverageTable[Coverage],0))</f>
        <v>Yes</v>
      </c>
      <c r="Q951" t="s">
        <v>10</v>
      </c>
      <c r="R951" t="s">
        <v>80</v>
      </c>
      <c r="S951" t="s">
        <v>57</v>
      </c>
      <c r="T951" t="s">
        <v>10</v>
      </c>
      <c r="U951" t="s">
        <v>57</v>
      </c>
      <c r="V951" t="s">
        <v>10</v>
      </c>
      <c r="W951" t="s">
        <v>10</v>
      </c>
    </row>
    <row r="952" spans="1:23" x14ac:dyDescent="0.3">
      <c r="A952" t="s">
        <v>1043</v>
      </c>
      <c r="B952" s="7">
        <v>45956</v>
      </c>
      <c r="C952" t="s">
        <v>71</v>
      </c>
      <c r="D952" t="s">
        <v>1099</v>
      </c>
      <c r="E952" s="3">
        <v>3</v>
      </c>
      <c r="F952" s="3">
        <v>1</v>
      </c>
      <c r="G952" t="s">
        <v>11</v>
      </c>
      <c r="H952" t="s">
        <v>1106</v>
      </c>
      <c r="I952" t="s">
        <v>37</v>
      </c>
      <c r="J952" t="s">
        <v>50</v>
      </c>
      <c r="K952" t="s">
        <v>10</v>
      </c>
      <c r="L952" t="s">
        <v>10</v>
      </c>
      <c r="M952" t="s">
        <v>10</v>
      </c>
      <c r="N952" t="s">
        <v>57</v>
      </c>
      <c r="O952" t="str">
        <f>INDEX(CoverageTable[Deductible Applies],MATCH(Table18[[#This Row],[Coverage]],CoverageTable[Coverage],0))</f>
        <v>Yes</v>
      </c>
      <c r="P952" t="str">
        <f>INDEX(CoverageTable[Coverage Limit Applies],MATCH(Table18[[#This Row],[Coverage]],CoverageTable[Coverage],0))</f>
        <v>No</v>
      </c>
      <c r="Q952" t="s">
        <v>79</v>
      </c>
      <c r="R952" t="s">
        <v>10</v>
      </c>
      <c r="S952" t="s">
        <v>10</v>
      </c>
      <c r="T952" t="s">
        <v>10</v>
      </c>
      <c r="U952" t="s">
        <v>10</v>
      </c>
      <c r="V952" t="s">
        <v>10</v>
      </c>
      <c r="W952" t="s">
        <v>10</v>
      </c>
    </row>
    <row r="953" spans="1:23" x14ac:dyDescent="0.3">
      <c r="A953" t="s">
        <v>1044</v>
      </c>
      <c r="B953" s="7">
        <v>45887</v>
      </c>
      <c r="C953" t="s">
        <v>74</v>
      </c>
      <c r="D953" t="s">
        <v>1099</v>
      </c>
      <c r="E953" s="3">
        <v>1</v>
      </c>
      <c r="F953" s="3">
        <v>1</v>
      </c>
      <c r="G953" t="s">
        <v>10</v>
      </c>
      <c r="H953" t="s">
        <v>1108</v>
      </c>
      <c r="I953" t="s">
        <v>22</v>
      </c>
      <c r="J953" t="s">
        <v>52</v>
      </c>
      <c r="K953" t="s">
        <v>10</v>
      </c>
      <c r="L953" t="s">
        <v>10</v>
      </c>
      <c r="M953" t="s">
        <v>10</v>
      </c>
      <c r="N953" t="s">
        <v>57</v>
      </c>
      <c r="O953" t="str">
        <f>INDEX(CoverageTable[Deductible Applies],MATCH(Table18[[#This Row],[Coverage]],CoverageTable[Coverage],0))</f>
        <v>No</v>
      </c>
      <c r="P953" t="str">
        <f>INDEX(CoverageTable[Coverage Limit Applies],MATCH(Table18[[#This Row],[Coverage]],CoverageTable[Coverage],0))</f>
        <v>Yes</v>
      </c>
      <c r="Q953" t="s">
        <v>10</v>
      </c>
      <c r="R953" t="s">
        <v>80</v>
      </c>
      <c r="S953" t="s">
        <v>57</v>
      </c>
      <c r="T953" t="s">
        <v>57</v>
      </c>
      <c r="U953" t="s">
        <v>10</v>
      </c>
      <c r="V953" t="s">
        <v>10</v>
      </c>
      <c r="W953" t="s">
        <v>10</v>
      </c>
    </row>
    <row r="954" spans="1:23" x14ac:dyDescent="0.3">
      <c r="A954" t="s">
        <v>1045</v>
      </c>
      <c r="B954" s="7">
        <v>46028</v>
      </c>
      <c r="C954" t="s">
        <v>71</v>
      </c>
      <c r="D954" t="s">
        <v>1099</v>
      </c>
      <c r="E954" s="3">
        <v>1</v>
      </c>
      <c r="F954" s="3">
        <v>1</v>
      </c>
      <c r="G954" t="s">
        <v>10</v>
      </c>
      <c r="H954" t="s">
        <v>1107</v>
      </c>
      <c r="I954" t="s">
        <v>28</v>
      </c>
      <c r="J954" t="s">
        <v>49</v>
      </c>
      <c r="K954" t="s">
        <v>10</v>
      </c>
      <c r="L954" t="s">
        <v>10</v>
      </c>
      <c r="M954" t="s">
        <v>10</v>
      </c>
      <c r="N954" t="s">
        <v>10</v>
      </c>
      <c r="O954" t="str">
        <f>INDEX(CoverageTable[Deductible Applies],MATCH(Table18[[#This Row],[Coverage]],CoverageTable[Coverage],0))</f>
        <v>Yes</v>
      </c>
      <c r="P954" t="str">
        <f>INDEX(CoverageTable[Coverage Limit Applies],MATCH(Table18[[#This Row],[Coverage]],CoverageTable[Coverage],0))</f>
        <v>No</v>
      </c>
      <c r="Q954" t="s">
        <v>78</v>
      </c>
      <c r="R954" t="s">
        <v>10</v>
      </c>
      <c r="S954" t="s">
        <v>10</v>
      </c>
      <c r="T954" t="s">
        <v>10</v>
      </c>
      <c r="U954" t="s">
        <v>10</v>
      </c>
      <c r="V954" t="s">
        <v>10</v>
      </c>
      <c r="W954" t="s">
        <v>10</v>
      </c>
    </row>
    <row r="955" spans="1:23" x14ac:dyDescent="0.3">
      <c r="A955" t="s">
        <v>1046</v>
      </c>
      <c r="B955" s="7">
        <v>45882</v>
      </c>
      <c r="C955" t="s">
        <v>74</v>
      </c>
      <c r="D955" t="s">
        <v>1102</v>
      </c>
      <c r="E955" s="3">
        <v>6</v>
      </c>
      <c r="F955" s="3">
        <v>4</v>
      </c>
      <c r="G955" t="s">
        <v>10</v>
      </c>
      <c r="H955" t="s">
        <v>1106</v>
      </c>
      <c r="I955" t="s">
        <v>26</v>
      </c>
      <c r="J955" t="s">
        <v>53</v>
      </c>
      <c r="K955" t="s">
        <v>10</v>
      </c>
      <c r="L955" t="s">
        <v>10</v>
      </c>
      <c r="M955" t="s">
        <v>10</v>
      </c>
      <c r="N955" t="s">
        <v>10</v>
      </c>
      <c r="O955" t="str">
        <f>INDEX(CoverageTable[Deductible Applies],MATCH(Table18[[#This Row],[Coverage]],CoverageTable[Coverage],0))</f>
        <v>No</v>
      </c>
      <c r="P955" t="str">
        <f>INDEX(CoverageTable[Coverage Limit Applies],MATCH(Table18[[#This Row],[Coverage]],CoverageTable[Coverage],0))</f>
        <v>Yes</v>
      </c>
      <c r="Q955" t="s">
        <v>10</v>
      </c>
      <c r="R955" t="s">
        <v>78</v>
      </c>
      <c r="S955" t="s">
        <v>10</v>
      </c>
      <c r="T955" t="s">
        <v>57</v>
      </c>
      <c r="U955" t="s">
        <v>10</v>
      </c>
      <c r="V955" t="s">
        <v>10</v>
      </c>
      <c r="W955" t="s">
        <v>10</v>
      </c>
    </row>
    <row r="956" spans="1:23" x14ac:dyDescent="0.3">
      <c r="A956" t="s">
        <v>1047</v>
      </c>
      <c r="B956" s="7">
        <v>45937</v>
      </c>
      <c r="C956" t="s">
        <v>72</v>
      </c>
      <c r="D956" t="s">
        <v>1101</v>
      </c>
      <c r="E956" s="3">
        <v>3</v>
      </c>
      <c r="F956" s="3">
        <v>1</v>
      </c>
      <c r="G956" t="s">
        <v>10</v>
      </c>
      <c r="H956" t="s">
        <v>1107</v>
      </c>
      <c r="I956" t="s">
        <v>41</v>
      </c>
      <c r="J956" t="s">
        <v>51</v>
      </c>
      <c r="K956" t="s">
        <v>10</v>
      </c>
      <c r="L956" t="s">
        <v>10</v>
      </c>
      <c r="M956" t="s">
        <v>10</v>
      </c>
      <c r="N956" t="s">
        <v>10</v>
      </c>
      <c r="O956" t="str">
        <f>INDEX(CoverageTable[Deductible Applies],MATCH(Table18[[#This Row],[Coverage]],CoverageTable[Coverage],0))</f>
        <v>Yes</v>
      </c>
      <c r="P956" t="str">
        <f>INDEX(CoverageTable[Coverage Limit Applies],MATCH(Table18[[#This Row],[Coverage]],CoverageTable[Coverage],0))</f>
        <v>No</v>
      </c>
      <c r="Q956" t="s">
        <v>78</v>
      </c>
      <c r="R956" t="s">
        <v>10</v>
      </c>
      <c r="S956" t="s">
        <v>57</v>
      </c>
      <c r="T956" t="s">
        <v>10</v>
      </c>
      <c r="U956" t="s">
        <v>10</v>
      </c>
      <c r="V956" t="s">
        <v>10</v>
      </c>
      <c r="W956" t="s">
        <v>10</v>
      </c>
    </row>
    <row r="957" spans="1:23" x14ac:dyDescent="0.3">
      <c r="A957" t="s">
        <v>1048</v>
      </c>
      <c r="B957" s="7">
        <v>45818</v>
      </c>
      <c r="C957" t="s">
        <v>71</v>
      </c>
      <c r="D957" t="s">
        <v>1101</v>
      </c>
      <c r="E957" s="3">
        <v>3</v>
      </c>
      <c r="F957" s="3">
        <v>0</v>
      </c>
      <c r="G957" t="s">
        <v>11</v>
      </c>
      <c r="H957" t="s">
        <v>1110</v>
      </c>
      <c r="I957" t="s">
        <v>29</v>
      </c>
      <c r="J957" t="s">
        <v>54</v>
      </c>
      <c r="K957" t="s">
        <v>10</v>
      </c>
      <c r="L957" t="s">
        <v>57</v>
      </c>
      <c r="M957" t="s">
        <v>10</v>
      </c>
      <c r="N957" t="s">
        <v>57</v>
      </c>
      <c r="O957" t="str">
        <f>INDEX(CoverageTable[Deductible Applies],MATCH(Table18[[#This Row],[Coverage]],CoverageTable[Coverage],0))</f>
        <v>Yes</v>
      </c>
      <c r="P957" t="str">
        <f>INDEX(CoverageTable[Coverage Limit Applies],MATCH(Table18[[#This Row],[Coverage]],CoverageTable[Coverage],0))</f>
        <v>No</v>
      </c>
      <c r="Q957" t="s">
        <v>78</v>
      </c>
      <c r="R957" t="s">
        <v>10</v>
      </c>
      <c r="S957" t="s">
        <v>10</v>
      </c>
      <c r="T957" t="s">
        <v>57</v>
      </c>
      <c r="U957" t="s">
        <v>10</v>
      </c>
      <c r="V957" t="s">
        <v>10</v>
      </c>
      <c r="W957" t="s">
        <v>10</v>
      </c>
    </row>
    <row r="958" spans="1:23" x14ac:dyDescent="0.3">
      <c r="A958" t="s">
        <v>1049</v>
      </c>
      <c r="B958" s="7">
        <v>46071</v>
      </c>
      <c r="C958" t="s">
        <v>72</v>
      </c>
      <c r="D958" t="s">
        <v>1098</v>
      </c>
      <c r="E958" s="3">
        <v>6</v>
      </c>
      <c r="F958" s="3">
        <v>2</v>
      </c>
      <c r="G958" t="s">
        <v>12</v>
      </c>
      <c r="H958" t="s">
        <v>1106</v>
      </c>
      <c r="I958" t="s">
        <v>28</v>
      </c>
      <c r="J958" t="s">
        <v>53</v>
      </c>
      <c r="K958" t="s">
        <v>10</v>
      </c>
      <c r="L958" t="s">
        <v>10</v>
      </c>
      <c r="M958" t="s">
        <v>10</v>
      </c>
      <c r="N958" t="s">
        <v>10</v>
      </c>
      <c r="O958" t="str">
        <f>INDEX(CoverageTable[Deductible Applies],MATCH(Table18[[#This Row],[Coverage]],CoverageTable[Coverage],0))</f>
        <v>Yes</v>
      </c>
      <c r="P958" t="str">
        <f>INDEX(CoverageTable[Coverage Limit Applies],MATCH(Table18[[#This Row],[Coverage]],CoverageTable[Coverage],0))</f>
        <v>No</v>
      </c>
      <c r="Q958" t="s">
        <v>78</v>
      </c>
      <c r="R958" t="s">
        <v>10</v>
      </c>
      <c r="S958" t="s">
        <v>10</v>
      </c>
      <c r="T958" t="s">
        <v>10</v>
      </c>
      <c r="U958" t="s">
        <v>10</v>
      </c>
      <c r="V958" t="s">
        <v>10</v>
      </c>
      <c r="W958" t="s">
        <v>10</v>
      </c>
    </row>
    <row r="959" spans="1:23" x14ac:dyDescent="0.3">
      <c r="A959" t="s">
        <v>1050</v>
      </c>
      <c r="B959" s="7">
        <v>45933</v>
      </c>
      <c r="C959" t="s">
        <v>74</v>
      </c>
      <c r="D959" t="s">
        <v>1099</v>
      </c>
      <c r="E959" s="3">
        <v>2</v>
      </c>
      <c r="F959" s="3">
        <v>3</v>
      </c>
      <c r="G959" t="s">
        <v>10</v>
      </c>
      <c r="H959" t="s">
        <v>1106</v>
      </c>
      <c r="I959" t="s">
        <v>24</v>
      </c>
      <c r="J959" t="s">
        <v>49</v>
      </c>
      <c r="K959" t="s">
        <v>10</v>
      </c>
      <c r="L959" t="s">
        <v>10</v>
      </c>
      <c r="M959" t="s">
        <v>10</v>
      </c>
      <c r="N959" t="s">
        <v>57</v>
      </c>
      <c r="O959" t="str">
        <f>INDEX(CoverageTable[Deductible Applies],MATCH(Table18[[#This Row],[Coverage]],CoverageTable[Coverage],0))</f>
        <v>No</v>
      </c>
      <c r="P959" t="str">
        <f>INDEX(CoverageTable[Coverage Limit Applies],MATCH(Table18[[#This Row],[Coverage]],CoverageTable[Coverage],0))</f>
        <v>Yes</v>
      </c>
      <c r="Q959" t="s">
        <v>10</v>
      </c>
      <c r="R959" t="s">
        <v>78</v>
      </c>
      <c r="S959" t="s">
        <v>10</v>
      </c>
      <c r="T959" t="s">
        <v>10</v>
      </c>
      <c r="U959" t="s">
        <v>10</v>
      </c>
      <c r="V959" t="s">
        <v>10</v>
      </c>
      <c r="W959" t="s">
        <v>10</v>
      </c>
    </row>
    <row r="960" spans="1:23" x14ac:dyDescent="0.3">
      <c r="A960" t="s">
        <v>1051</v>
      </c>
      <c r="B960" s="7">
        <v>45960</v>
      </c>
      <c r="C960" t="s">
        <v>70</v>
      </c>
      <c r="D960" t="s">
        <v>1098</v>
      </c>
      <c r="E960" s="3">
        <v>5</v>
      </c>
      <c r="F960" s="3">
        <v>2</v>
      </c>
      <c r="G960" t="s">
        <v>10</v>
      </c>
      <c r="H960" t="s">
        <v>1108</v>
      </c>
      <c r="I960" t="s">
        <v>24</v>
      </c>
      <c r="J960" t="s">
        <v>54</v>
      </c>
      <c r="K960" t="s">
        <v>10</v>
      </c>
      <c r="L960" t="s">
        <v>10</v>
      </c>
      <c r="M960" t="s">
        <v>10</v>
      </c>
      <c r="N960" t="s">
        <v>57</v>
      </c>
      <c r="O960" t="str">
        <f>INDEX(CoverageTable[Deductible Applies],MATCH(Table18[[#This Row],[Coverage]],CoverageTable[Coverage],0))</f>
        <v>No</v>
      </c>
      <c r="P960" t="str">
        <f>INDEX(CoverageTable[Coverage Limit Applies],MATCH(Table18[[#This Row],[Coverage]],CoverageTable[Coverage],0))</f>
        <v>Yes</v>
      </c>
      <c r="Q960" t="s">
        <v>10</v>
      </c>
      <c r="R960" t="s">
        <v>79</v>
      </c>
      <c r="S960" t="s">
        <v>10</v>
      </c>
      <c r="T960" t="s">
        <v>57</v>
      </c>
      <c r="U960" t="s">
        <v>57</v>
      </c>
      <c r="V960" t="s">
        <v>10</v>
      </c>
      <c r="W960" t="s">
        <v>10</v>
      </c>
    </row>
    <row r="961" spans="1:23" x14ac:dyDescent="0.3">
      <c r="A961" t="s">
        <v>1052</v>
      </c>
      <c r="B961" s="7">
        <v>46117</v>
      </c>
      <c r="C961" t="s">
        <v>70</v>
      </c>
      <c r="D961" t="s">
        <v>1099</v>
      </c>
      <c r="E961" s="3">
        <v>6</v>
      </c>
      <c r="F961" s="3">
        <v>4</v>
      </c>
      <c r="G961" t="s">
        <v>10</v>
      </c>
      <c r="H961" t="s">
        <v>1110</v>
      </c>
      <c r="I961" t="s">
        <v>35</v>
      </c>
      <c r="J961" t="s">
        <v>54</v>
      </c>
      <c r="K961" t="s">
        <v>10</v>
      </c>
      <c r="L961" t="s">
        <v>10</v>
      </c>
      <c r="M961" t="s">
        <v>10</v>
      </c>
      <c r="N961" t="s">
        <v>10</v>
      </c>
      <c r="O961" t="str">
        <f>INDEX(CoverageTable[Deductible Applies],MATCH(Table18[[#This Row],[Coverage]],CoverageTable[Coverage],0))</f>
        <v>No</v>
      </c>
      <c r="P961" t="str">
        <f>INDEX(CoverageTable[Coverage Limit Applies],MATCH(Table18[[#This Row],[Coverage]],CoverageTable[Coverage],0))</f>
        <v>Yes</v>
      </c>
      <c r="Q961" t="s">
        <v>10</v>
      </c>
      <c r="R961" t="s">
        <v>80</v>
      </c>
      <c r="S961" t="s">
        <v>57</v>
      </c>
      <c r="T961" t="s">
        <v>10</v>
      </c>
      <c r="U961" t="s">
        <v>57</v>
      </c>
      <c r="V961" t="s">
        <v>10</v>
      </c>
      <c r="W961" t="s">
        <v>10</v>
      </c>
    </row>
    <row r="962" spans="1:23" x14ac:dyDescent="0.3">
      <c r="A962" t="s">
        <v>1053</v>
      </c>
      <c r="B962" s="7">
        <v>45928</v>
      </c>
      <c r="C962" t="s">
        <v>70</v>
      </c>
      <c r="D962" t="s">
        <v>1098</v>
      </c>
      <c r="E962" s="3">
        <v>4</v>
      </c>
      <c r="F962" s="3">
        <v>1</v>
      </c>
      <c r="G962" t="s">
        <v>11</v>
      </c>
      <c r="H962" t="s">
        <v>1106</v>
      </c>
      <c r="I962" t="s">
        <v>40</v>
      </c>
      <c r="J962" t="s">
        <v>48</v>
      </c>
      <c r="K962" t="s">
        <v>10</v>
      </c>
      <c r="L962" t="s">
        <v>10</v>
      </c>
      <c r="M962" t="s">
        <v>10</v>
      </c>
      <c r="N962" t="s">
        <v>10</v>
      </c>
      <c r="O962" t="str">
        <f>INDEX(CoverageTable[Deductible Applies],MATCH(Table18[[#This Row],[Coverage]],CoverageTable[Coverage],0))</f>
        <v>No</v>
      </c>
      <c r="P962" t="str">
        <f>INDEX(CoverageTable[Coverage Limit Applies],MATCH(Table18[[#This Row],[Coverage]],CoverageTable[Coverage],0))</f>
        <v>Yes</v>
      </c>
      <c r="Q962" t="s">
        <v>10</v>
      </c>
      <c r="R962" t="s">
        <v>79</v>
      </c>
      <c r="S962" t="s">
        <v>10</v>
      </c>
      <c r="T962" t="s">
        <v>10</v>
      </c>
      <c r="U962" t="s">
        <v>10</v>
      </c>
      <c r="V962" t="s">
        <v>10</v>
      </c>
      <c r="W962" t="s">
        <v>10</v>
      </c>
    </row>
    <row r="963" spans="1:23" x14ac:dyDescent="0.3">
      <c r="A963" t="s">
        <v>1054</v>
      </c>
      <c r="B963" s="7">
        <v>45796</v>
      </c>
      <c r="C963" t="s">
        <v>70</v>
      </c>
      <c r="D963" t="s">
        <v>1098</v>
      </c>
      <c r="E963" s="3">
        <v>4</v>
      </c>
      <c r="F963" s="3">
        <v>4</v>
      </c>
      <c r="G963" t="s">
        <v>10</v>
      </c>
      <c r="H963" t="s">
        <v>1107</v>
      </c>
      <c r="I963" t="s">
        <v>41</v>
      </c>
      <c r="J963" t="s">
        <v>48</v>
      </c>
      <c r="K963" t="s">
        <v>10</v>
      </c>
      <c r="L963" t="s">
        <v>10</v>
      </c>
      <c r="M963" t="s">
        <v>10</v>
      </c>
      <c r="N963" t="s">
        <v>57</v>
      </c>
      <c r="O963" t="str">
        <f>INDEX(CoverageTable[Deductible Applies],MATCH(Table18[[#This Row],[Coverage]],CoverageTable[Coverage],0))</f>
        <v>No</v>
      </c>
      <c r="P963" t="str">
        <f>INDEX(CoverageTable[Coverage Limit Applies],MATCH(Table18[[#This Row],[Coverage]],CoverageTable[Coverage],0))</f>
        <v>Yes</v>
      </c>
      <c r="Q963" t="s">
        <v>10</v>
      </c>
      <c r="R963" t="s">
        <v>78</v>
      </c>
      <c r="S963" t="s">
        <v>10</v>
      </c>
      <c r="T963" t="s">
        <v>10</v>
      </c>
      <c r="U963" t="s">
        <v>57</v>
      </c>
      <c r="V963" t="s">
        <v>10</v>
      </c>
      <c r="W963" t="s">
        <v>10</v>
      </c>
    </row>
    <row r="964" spans="1:23" x14ac:dyDescent="0.3">
      <c r="A964" t="s">
        <v>1055</v>
      </c>
      <c r="B964" s="7">
        <v>45999</v>
      </c>
      <c r="C964" t="s">
        <v>70</v>
      </c>
      <c r="D964" t="s">
        <v>1098</v>
      </c>
      <c r="E964" s="3">
        <v>1</v>
      </c>
      <c r="F964" s="3">
        <v>2</v>
      </c>
      <c r="G964" t="s">
        <v>10</v>
      </c>
      <c r="H964" t="s">
        <v>1110</v>
      </c>
      <c r="I964" t="s">
        <v>24</v>
      </c>
      <c r="J964" t="s">
        <v>51</v>
      </c>
      <c r="K964" t="s">
        <v>10</v>
      </c>
      <c r="L964" t="s">
        <v>10</v>
      </c>
      <c r="M964" t="s">
        <v>10</v>
      </c>
      <c r="N964" t="s">
        <v>10</v>
      </c>
      <c r="O964" t="str">
        <f>INDEX(CoverageTable[Deductible Applies],MATCH(Table18[[#This Row],[Coverage]],CoverageTable[Coverage],0))</f>
        <v>No</v>
      </c>
      <c r="P964" t="str">
        <f>INDEX(CoverageTable[Coverage Limit Applies],MATCH(Table18[[#This Row],[Coverage]],CoverageTable[Coverage],0))</f>
        <v>Yes</v>
      </c>
      <c r="Q964" t="s">
        <v>10</v>
      </c>
      <c r="R964" t="s">
        <v>80</v>
      </c>
      <c r="S964" t="s">
        <v>10</v>
      </c>
      <c r="T964" t="s">
        <v>57</v>
      </c>
      <c r="U964" t="s">
        <v>10</v>
      </c>
      <c r="V964" t="s">
        <v>10</v>
      </c>
      <c r="W964" t="s">
        <v>10</v>
      </c>
    </row>
    <row r="965" spans="1:23" x14ac:dyDescent="0.3">
      <c r="A965" t="s">
        <v>1056</v>
      </c>
      <c r="B965" s="7">
        <v>45863</v>
      </c>
      <c r="C965" t="s">
        <v>71</v>
      </c>
      <c r="D965" t="s">
        <v>1101</v>
      </c>
      <c r="E965" s="3">
        <v>7</v>
      </c>
      <c r="F965" s="3">
        <v>0</v>
      </c>
      <c r="G965" t="s">
        <v>10</v>
      </c>
      <c r="H965" t="s">
        <v>1106</v>
      </c>
      <c r="I965" t="s">
        <v>42</v>
      </c>
      <c r="J965" t="s">
        <v>49</v>
      </c>
      <c r="K965" t="s">
        <v>57</v>
      </c>
      <c r="L965" t="s">
        <v>10</v>
      </c>
      <c r="M965" t="s">
        <v>57</v>
      </c>
      <c r="N965" t="s">
        <v>10</v>
      </c>
      <c r="O965" t="str">
        <f>INDEX(CoverageTable[Deductible Applies],MATCH(Table18[[#This Row],[Coverage]],CoverageTable[Coverage],0))</f>
        <v>Yes</v>
      </c>
      <c r="P965" t="str">
        <f>INDEX(CoverageTable[Coverage Limit Applies],MATCH(Table18[[#This Row],[Coverage]],CoverageTable[Coverage],0))</f>
        <v>No</v>
      </c>
      <c r="Q965" t="s">
        <v>78</v>
      </c>
      <c r="R965" t="s">
        <v>10</v>
      </c>
      <c r="S965" t="s">
        <v>10</v>
      </c>
      <c r="T965" t="s">
        <v>10</v>
      </c>
      <c r="U965" t="s">
        <v>10</v>
      </c>
      <c r="V965" t="s">
        <v>10</v>
      </c>
      <c r="W965" t="s">
        <v>10</v>
      </c>
    </row>
    <row r="966" spans="1:23" x14ac:dyDescent="0.3">
      <c r="A966" t="s">
        <v>1057</v>
      </c>
      <c r="B966" s="7">
        <v>45983</v>
      </c>
      <c r="C966" t="s">
        <v>70</v>
      </c>
      <c r="D966" t="s">
        <v>1097</v>
      </c>
      <c r="E966" s="3">
        <v>1</v>
      </c>
      <c r="F966" s="3">
        <v>0</v>
      </c>
      <c r="G966" t="s">
        <v>10</v>
      </c>
      <c r="H966" t="s">
        <v>1107</v>
      </c>
      <c r="I966" t="s">
        <v>43</v>
      </c>
      <c r="J966" t="s">
        <v>50</v>
      </c>
      <c r="K966" t="s">
        <v>10</v>
      </c>
      <c r="L966" t="s">
        <v>10</v>
      </c>
      <c r="M966" t="s">
        <v>10</v>
      </c>
      <c r="N966" t="s">
        <v>10</v>
      </c>
      <c r="O966" t="str">
        <f>INDEX(CoverageTable[Deductible Applies],MATCH(Table18[[#This Row],[Coverage]],CoverageTable[Coverage],0))</f>
        <v>No</v>
      </c>
      <c r="P966" t="str">
        <f>INDEX(CoverageTable[Coverage Limit Applies],MATCH(Table18[[#This Row],[Coverage]],CoverageTable[Coverage],0))</f>
        <v>Yes</v>
      </c>
      <c r="Q966" t="s">
        <v>10</v>
      </c>
      <c r="R966" t="s">
        <v>80</v>
      </c>
      <c r="S966" t="s">
        <v>57</v>
      </c>
      <c r="T966" t="s">
        <v>57</v>
      </c>
      <c r="U966" t="s">
        <v>57</v>
      </c>
      <c r="V966" t="s">
        <v>10</v>
      </c>
      <c r="W966" t="s">
        <v>10</v>
      </c>
    </row>
    <row r="967" spans="1:23" x14ac:dyDescent="0.3">
      <c r="A967" t="s">
        <v>1058</v>
      </c>
      <c r="B967" s="7">
        <v>45964</v>
      </c>
      <c r="C967" t="s">
        <v>71</v>
      </c>
      <c r="D967" t="s">
        <v>1100</v>
      </c>
      <c r="E967" s="3">
        <v>6</v>
      </c>
      <c r="F967" s="3">
        <v>2</v>
      </c>
      <c r="G967" t="s">
        <v>10</v>
      </c>
      <c r="H967" t="s">
        <v>1107</v>
      </c>
      <c r="I967" t="s">
        <v>22</v>
      </c>
      <c r="J967" t="s">
        <v>50</v>
      </c>
      <c r="K967" t="s">
        <v>10</v>
      </c>
      <c r="L967" t="s">
        <v>10</v>
      </c>
      <c r="M967" t="s">
        <v>10</v>
      </c>
      <c r="N967" t="s">
        <v>10</v>
      </c>
      <c r="O967" t="str">
        <f>INDEX(CoverageTable[Deductible Applies],MATCH(Table18[[#This Row],[Coverage]],CoverageTable[Coverage],0))</f>
        <v>Yes</v>
      </c>
      <c r="P967" t="str">
        <f>INDEX(CoverageTable[Coverage Limit Applies],MATCH(Table18[[#This Row],[Coverage]],CoverageTable[Coverage],0))</f>
        <v>No</v>
      </c>
      <c r="Q967" t="s">
        <v>79</v>
      </c>
      <c r="R967" t="s">
        <v>10</v>
      </c>
      <c r="S967" t="s">
        <v>10</v>
      </c>
      <c r="T967" t="s">
        <v>10</v>
      </c>
      <c r="U967" t="s">
        <v>10</v>
      </c>
      <c r="V967" t="s">
        <v>10</v>
      </c>
      <c r="W967" t="s">
        <v>10</v>
      </c>
    </row>
    <row r="968" spans="1:23" x14ac:dyDescent="0.3">
      <c r="A968" t="s">
        <v>1059</v>
      </c>
      <c r="B968" s="7">
        <v>45955</v>
      </c>
      <c r="C968" t="s">
        <v>71</v>
      </c>
      <c r="D968" t="s">
        <v>1101</v>
      </c>
      <c r="E968" s="3">
        <v>4</v>
      </c>
      <c r="F968" s="3" t="s">
        <v>7</v>
      </c>
      <c r="G968" t="s">
        <v>10</v>
      </c>
      <c r="H968" t="s">
        <v>1106</v>
      </c>
      <c r="I968" t="s">
        <v>37</v>
      </c>
      <c r="J968" t="s">
        <v>51</v>
      </c>
      <c r="K968" t="s">
        <v>10</v>
      </c>
      <c r="L968" t="s">
        <v>57</v>
      </c>
      <c r="M968" t="s">
        <v>10</v>
      </c>
      <c r="N968" t="s">
        <v>10</v>
      </c>
      <c r="O968" t="str">
        <f>INDEX(CoverageTable[Deductible Applies],MATCH(Table18[[#This Row],[Coverage]],CoverageTable[Coverage],0))</f>
        <v>Yes</v>
      </c>
      <c r="P968" t="str">
        <f>INDEX(CoverageTable[Coverage Limit Applies],MATCH(Table18[[#This Row],[Coverage]],CoverageTable[Coverage],0))</f>
        <v>No</v>
      </c>
      <c r="Q968" t="s">
        <v>80</v>
      </c>
      <c r="R968" t="s">
        <v>10</v>
      </c>
      <c r="S968" t="s">
        <v>10</v>
      </c>
      <c r="T968" t="s">
        <v>57</v>
      </c>
      <c r="U968" t="s">
        <v>10</v>
      </c>
      <c r="V968" t="s">
        <v>10</v>
      </c>
      <c r="W968" t="s">
        <v>10</v>
      </c>
    </row>
    <row r="969" spans="1:23" x14ac:dyDescent="0.3">
      <c r="A969" t="s">
        <v>1060</v>
      </c>
      <c r="B969" s="7">
        <v>45910</v>
      </c>
      <c r="C969" t="s">
        <v>72</v>
      </c>
      <c r="D969" t="s">
        <v>1099</v>
      </c>
      <c r="E969" s="3">
        <v>7</v>
      </c>
      <c r="F969" s="3">
        <v>1</v>
      </c>
      <c r="G969" t="s">
        <v>13</v>
      </c>
      <c r="H969" t="s">
        <v>1106</v>
      </c>
      <c r="I969" t="s">
        <v>44</v>
      </c>
      <c r="J969" t="s">
        <v>54</v>
      </c>
      <c r="K969" t="s">
        <v>10</v>
      </c>
      <c r="L969" t="s">
        <v>57</v>
      </c>
      <c r="M969" t="s">
        <v>10</v>
      </c>
      <c r="N969" t="s">
        <v>10</v>
      </c>
      <c r="O969" t="str">
        <f>INDEX(CoverageTable[Deductible Applies],MATCH(Table18[[#This Row],[Coverage]],CoverageTable[Coverage],0))</f>
        <v>Yes</v>
      </c>
      <c r="P969" t="str">
        <f>INDEX(CoverageTable[Coverage Limit Applies],MATCH(Table18[[#This Row],[Coverage]],CoverageTable[Coverage],0))</f>
        <v>No</v>
      </c>
      <c r="Q969" t="s">
        <v>80</v>
      </c>
      <c r="R969" t="s">
        <v>10</v>
      </c>
      <c r="S969" t="s">
        <v>10</v>
      </c>
      <c r="T969" t="s">
        <v>10</v>
      </c>
      <c r="U969" t="s">
        <v>57</v>
      </c>
      <c r="V969" t="s">
        <v>10</v>
      </c>
      <c r="W969" t="s">
        <v>10</v>
      </c>
    </row>
    <row r="970" spans="1:23" x14ac:dyDescent="0.3">
      <c r="A970" t="s">
        <v>1061</v>
      </c>
      <c r="B970" s="7">
        <v>45949</v>
      </c>
      <c r="C970" t="s">
        <v>71</v>
      </c>
      <c r="D970" t="s">
        <v>1099</v>
      </c>
      <c r="E970" s="3">
        <v>5</v>
      </c>
      <c r="F970" s="3">
        <v>1</v>
      </c>
      <c r="G970" t="s">
        <v>13</v>
      </c>
      <c r="H970" t="s">
        <v>1107</v>
      </c>
      <c r="I970" t="s">
        <v>40</v>
      </c>
      <c r="J970" t="s">
        <v>50</v>
      </c>
      <c r="K970" t="s">
        <v>10</v>
      </c>
      <c r="L970" t="s">
        <v>10</v>
      </c>
      <c r="M970" t="s">
        <v>10</v>
      </c>
      <c r="N970" t="s">
        <v>10</v>
      </c>
      <c r="O970" t="str">
        <f>INDEX(CoverageTable[Deductible Applies],MATCH(Table18[[#This Row],[Coverage]],CoverageTable[Coverage],0))</f>
        <v>Yes</v>
      </c>
      <c r="P970" t="str">
        <f>INDEX(CoverageTable[Coverage Limit Applies],MATCH(Table18[[#This Row],[Coverage]],CoverageTable[Coverage],0))</f>
        <v>No</v>
      </c>
      <c r="Q970" t="s">
        <v>80</v>
      </c>
      <c r="R970" t="s">
        <v>10</v>
      </c>
      <c r="S970" t="s">
        <v>10</v>
      </c>
      <c r="T970" t="s">
        <v>57</v>
      </c>
      <c r="U970" t="s">
        <v>57</v>
      </c>
      <c r="V970" t="s">
        <v>10</v>
      </c>
      <c r="W970" t="s">
        <v>10</v>
      </c>
    </row>
    <row r="971" spans="1:23" x14ac:dyDescent="0.3">
      <c r="A971" t="s">
        <v>1062</v>
      </c>
      <c r="B971" s="7">
        <v>45931</v>
      </c>
      <c r="C971" t="s">
        <v>71</v>
      </c>
      <c r="D971" t="s">
        <v>1097</v>
      </c>
      <c r="E971" s="3">
        <v>4</v>
      </c>
      <c r="F971" s="3">
        <v>0</v>
      </c>
      <c r="G971" t="s">
        <v>10</v>
      </c>
      <c r="H971" t="s">
        <v>1110</v>
      </c>
      <c r="I971" t="s">
        <v>42</v>
      </c>
      <c r="J971" t="s">
        <v>49</v>
      </c>
      <c r="K971" t="s">
        <v>10</v>
      </c>
      <c r="L971" t="s">
        <v>10</v>
      </c>
      <c r="M971" t="s">
        <v>10</v>
      </c>
      <c r="N971" t="s">
        <v>10</v>
      </c>
      <c r="O971" t="str">
        <f>INDEX(CoverageTable[Deductible Applies],MATCH(Table18[[#This Row],[Coverage]],CoverageTable[Coverage],0))</f>
        <v>Yes</v>
      </c>
      <c r="P971" t="str">
        <f>INDEX(CoverageTable[Coverage Limit Applies],MATCH(Table18[[#This Row],[Coverage]],CoverageTable[Coverage],0))</f>
        <v>No</v>
      </c>
      <c r="Q971" t="s">
        <v>78</v>
      </c>
      <c r="R971" t="s">
        <v>10</v>
      </c>
      <c r="S971" t="s">
        <v>10</v>
      </c>
      <c r="T971" t="s">
        <v>10</v>
      </c>
      <c r="U971" t="s">
        <v>10</v>
      </c>
      <c r="V971" t="s">
        <v>10</v>
      </c>
      <c r="W971" t="s">
        <v>10</v>
      </c>
    </row>
    <row r="972" spans="1:23" x14ac:dyDescent="0.3">
      <c r="A972" t="s">
        <v>1063</v>
      </c>
      <c r="B972" s="7">
        <v>45930</v>
      </c>
      <c r="C972" t="s">
        <v>70</v>
      </c>
      <c r="D972" t="s">
        <v>1102</v>
      </c>
      <c r="E972" s="3">
        <v>1</v>
      </c>
      <c r="F972" s="3">
        <v>1</v>
      </c>
      <c r="G972" t="s">
        <v>11</v>
      </c>
      <c r="H972" t="s">
        <v>1109</v>
      </c>
      <c r="I972" t="s">
        <v>41</v>
      </c>
      <c r="J972" t="s">
        <v>50</v>
      </c>
      <c r="K972" t="s">
        <v>10</v>
      </c>
      <c r="L972" t="s">
        <v>57</v>
      </c>
      <c r="M972" t="s">
        <v>10</v>
      </c>
      <c r="N972" t="s">
        <v>57</v>
      </c>
      <c r="O972" t="str">
        <f>INDEX(CoverageTable[Deductible Applies],MATCH(Table18[[#This Row],[Coverage]],CoverageTable[Coverage],0))</f>
        <v>No</v>
      </c>
      <c r="P972" t="str">
        <f>INDEX(CoverageTable[Coverage Limit Applies],MATCH(Table18[[#This Row],[Coverage]],CoverageTable[Coverage],0))</f>
        <v>Yes</v>
      </c>
      <c r="Q972" t="s">
        <v>10</v>
      </c>
      <c r="R972" t="s">
        <v>79</v>
      </c>
      <c r="S972" t="s">
        <v>10</v>
      </c>
      <c r="T972" t="s">
        <v>10</v>
      </c>
      <c r="U972" t="s">
        <v>57</v>
      </c>
      <c r="V972" t="s">
        <v>10</v>
      </c>
      <c r="W972" t="s">
        <v>57</v>
      </c>
    </row>
    <row r="973" spans="1:23" x14ac:dyDescent="0.3">
      <c r="A973" t="s">
        <v>1064</v>
      </c>
      <c r="B973" s="7">
        <v>45875</v>
      </c>
      <c r="C973" t="s">
        <v>71</v>
      </c>
      <c r="D973" t="s">
        <v>1100</v>
      </c>
      <c r="E973" s="3">
        <v>2</v>
      </c>
      <c r="F973" s="3">
        <v>1</v>
      </c>
      <c r="G973" t="s">
        <v>10</v>
      </c>
      <c r="H973" t="s">
        <v>1110</v>
      </c>
      <c r="I973" t="s">
        <v>23</v>
      </c>
      <c r="J973" t="s">
        <v>54</v>
      </c>
      <c r="K973" t="s">
        <v>10</v>
      </c>
      <c r="L973" t="s">
        <v>57</v>
      </c>
      <c r="M973" t="s">
        <v>10</v>
      </c>
      <c r="N973" t="s">
        <v>10</v>
      </c>
      <c r="O973" t="str">
        <f>INDEX(CoverageTable[Deductible Applies],MATCH(Table18[[#This Row],[Coverage]],CoverageTable[Coverage],0))</f>
        <v>Yes</v>
      </c>
      <c r="P973" t="str">
        <f>INDEX(CoverageTable[Coverage Limit Applies],MATCH(Table18[[#This Row],[Coverage]],CoverageTable[Coverage],0))</f>
        <v>No</v>
      </c>
      <c r="Q973" t="s">
        <v>80</v>
      </c>
      <c r="R973" t="s">
        <v>10</v>
      </c>
      <c r="S973" t="s">
        <v>10</v>
      </c>
      <c r="T973" t="s">
        <v>57</v>
      </c>
      <c r="U973" t="s">
        <v>10</v>
      </c>
      <c r="V973" t="s">
        <v>10</v>
      </c>
      <c r="W973" t="s">
        <v>10</v>
      </c>
    </row>
    <row r="974" spans="1:23" x14ac:dyDescent="0.3">
      <c r="A974" t="s">
        <v>1065</v>
      </c>
      <c r="B974" s="7">
        <v>46133</v>
      </c>
      <c r="C974" t="s">
        <v>71</v>
      </c>
      <c r="D974" t="s">
        <v>1098</v>
      </c>
      <c r="E974" s="3">
        <v>3</v>
      </c>
      <c r="F974" s="3">
        <v>4</v>
      </c>
      <c r="G974" t="s">
        <v>10</v>
      </c>
      <c r="H974" t="s">
        <v>1107</v>
      </c>
      <c r="I974" t="s">
        <v>24</v>
      </c>
      <c r="J974" t="s">
        <v>54</v>
      </c>
      <c r="K974" t="s">
        <v>10</v>
      </c>
      <c r="L974" t="s">
        <v>57</v>
      </c>
      <c r="M974" t="s">
        <v>10</v>
      </c>
      <c r="N974" t="s">
        <v>10</v>
      </c>
      <c r="O974" t="str">
        <f>INDEX(CoverageTable[Deductible Applies],MATCH(Table18[[#This Row],[Coverage]],CoverageTable[Coverage],0))</f>
        <v>Yes</v>
      </c>
      <c r="P974" t="str">
        <f>INDEX(CoverageTable[Coverage Limit Applies],MATCH(Table18[[#This Row],[Coverage]],CoverageTable[Coverage],0))</f>
        <v>No</v>
      </c>
      <c r="Q974" t="s">
        <v>80</v>
      </c>
      <c r="R974" t="s">
        <v>10</v>
      </c>
      <c r="S974" t="s">
        <v>57</v>
      </c>
      <c r="T974" t="s">
        <v>10</v>
      </c>
      <c r="U974" t="s">
        <v>10</v>
      </c>
      <c r="V974" t="s">
        <v>10</v>
      </c>
      <c r="W974" t="s">
        <v>10</v>
      </c>
    </row>
    <row r="975" spans="1:23" x14ac:dyDescent="0.3">
      <c r="A975" t="s">
        <v>1066</v>
      </c>
      <c r="B975" s="7">
        <v>45956</v>
      </c>
      <c r="C975" t="s">
        <v>70</v>
      </c>
      <c r="D975" t="s">
        <v>1097</v>
      </c>
      <c r="E975" s="3">
        <v>6</v>
      </c>
      <c r="F975" s="3">
        <v>0</v>
      </c>
      <c r="G975" t="s">
        <v>11</v>
      </c>
      <c r="H975" t="s">
        <v>1109</v>
      </c>
      <c r="I975" t="s">
        <v>41</v>
      </c>
      <c r="J975" t="s">
        <v>51</v>
      </c>
      <c r="K975" t="s">
        <v>10</v>
      </c>
      <c r="L975" t="s">
        <v>57</v>
      </c>
      <c r="M975" t="s">
        <v>10</v>
      </c>
      <c r="N975" t="s">
        <v>57</v>
      </c>
      <c r="O975" t="str">
        <f>INDEX(CoverageTable[Deductible Applies],MATCH(Table18[[#This Row],[Coverage]],CoverageTable[Coverage],0))</f>
        <v>No</v>
      </c>
      <c r="P975" t="str">
        <f>INDEX(CoverageTable[Coverage Limit Applies],MATCH(Table18[[#This Row],[Coverage]],CoverageTable[Coverage],0))</f>
        <v>Yes</v>
      </c>
      <c r="Q975" t="s">
        <v>10</v>
      </c>
      <c r="R975" t="s">
        <v>79</v>
      </c>
      <c r="S975" t="s">
        <v>10</v>
      </c>
      <c r="T975" t="s">
        <v>10</v>
      </c>
      <c r="U975" t="s">
        <v>10</v>
      </c>
      <c r="V975" t="s">
        <v>10</v>
      </c>
      <c r="W975" t="s">
        <v>10</v>
      </c>
    </row>
    <row r="976" spans="1:23" x14ac:dyDescent="0.3">
      <c r="A976" t="s">
        <v>1067</v>
      </c>
      <c r="B976" s="7">
        <v>46016</v>
      </c>
      <c r="C976" t="s">
        <v>71</v>
      </c>
      <c r="D976" t="s">
        <v>1098</v>
      </c>
      <c r="E976" s="3">
        <v>5</v>
      </c>
      <c r="F976" s="3">
        <v>0</v>
      </c>
      <c r="G976" t="s">
        <v>10</v>
      </c>
      <c r="H976" t="s">
        <v>1108</v>
      </c>
      <c r="I976" t="s">
        <v>22</v>
      </c>
      <c r="J976" t="s">
        <v>51</v>
      </c>
      <c r="K976" t="s">
        <v>10</v>
      </c>
      <c r="L976" t="s">
        <v>57</v>
      </c>
      <c r="M976" t="s">
        <v>10</v>
      </c>
      <c r="N976" t="s">
        <v>57</v>
      </c>
      <c r="O976" t="str">
        <f>INDEX(CoverageTable[Deductible Applies],MATCH(Table18[[#This Row],[Coverage]],CoverageTable[Coverage],0))</f>
        <v>Yes</v>
      </c>
      <c r="P976" t="str">
        <f>INDEX(CoverageTable[Coverage Limit Applies],MATCH(Table18[[#This Row],[Coverage]],CoverageTable[Coverage],0))</f>
        <v>No</v>
      </c>
      <c r="Q976" t="s">
        <v>80</v>
      </c>
      <c r="R976" t="s">
        <v>10</v>
      </c>
      <c r="S976" t="s">
        <v>10</v>
      </c>
      <c r="T976" t="s">
        <v>57</v>
      </c>
      <c r="U976" t="s">
        <v>10</v>
      </c>
      <c r="V976" t="s">
        <v>10</v>
      </c>
      <c r="W976" t="s">
        <v>10</v>
      </c>
    </row>
    <row r="977" spans="1:23" x14ac:dyDescent="0.3">
      <c r="A977" t="s">
        <v>1068</v>
      </c>
      <c r="B977" s="7">
        <v>45824</v>
      </c>
      <c r="C977" t="s">
        <v>71</v>
      </c>
      <c r="D977" t="s">
        <v>1100</v>
      </c>
      <c r="E977" s="3">
        <v>5</v>
      </c>
      <c r="F977" s="3">
        <v>2</v>
      </c>
      <c r="G977" t="s">
        <v>10</v>
      </c>
      <c r="H977" t="s">
        <v>1107</v>
      </c>
      <c r="I977" t="s">
        <v>42</v>
      </c>
      <c r="J977" t="s">
        <v>51</v>
      </c>
      <c r="K977" t="s">
        <v>10</v>
      </c>
      <c r="L977" t="s">
        <v>10</v>
      </c>
      <c r="M977" t="s">
        <v>10</v>
      </c>
      <c r="N977" t="s">
        <v>10</v>
      </c>
      <c r="O977" t="str">
        <f>INDEX(CoverageTable[Deductible Applies],MATCH(Table18[[#This Row],[Coverage]],CoverageTable[Coverage],0))</f>
        <v>Yes</v>
      </c>
      <c r="P977" t="str">
        <f>INDEX(CoverageTable[Coverage Limit Applies],MATCH(Table18[[#This Row],[Coverage]],CoverageTable[Coverage],0))</f>
        <v>No</v>
      </c>
      <c r="Q977" t="s">
        <v>79</v>
      </c>
      <c r="R977" t="s">
        <v>10</v>
      </c>
      <c r="S977" t="s">
        <v>57</v>
      </c>
      <c r="T977" t="s">
        <v>57</v>
      </c>
      <c r="U977" t="s">
        <v>10</v>
      </c>
      <c r="V977" t="s">
        <v>10</v>
      </c>
      <c r="W977" t="s">
        <v>10</v>
      </c>
    </row>
    <row r="978" spans="1:23" x14ac:dyDescent="0.3">
      <c r="A978" t="s">
        <v>1069</v>
      </c>
      <c r="B978" s="7">
        <v>45883</v>
      </c>
      <c r="C978" t="s">
        <v>70</v>
      </c>
      <c r="D978" t="s">
        <v>1098</v>
      </c>
      <c r="E978" s="3">
        <v>2</v>
      </c>
      <c r="F978" s="3">
        <v>2</v>
      </c>
      <c r="G978" t="s">
        <v>10</v>
      </c>
      <c r="H978" t="s">
        <v>1106</v>
      </c>
      <c r="I978" t="s">
        <v>34</v>
      </c>
      <c r="J978" t="s">
        <v>48</v>
      </c>
      <c r="K978" t="s">
        <v>10</v>
      </c>
      <c r="L978" t="s">
        <v>10</v>
      </c>
      <c r="M978" t="s">
        <v>57</v>
      </c>
      <c r="N978" t="s">
        <v>10</v>
      </c>
      <c r="O978" t="str">
        <f>INDEX(CoverageTable[Deductible Applies],MATCH(Table18[[#This Row],[Coverage]],CoverageTable[Coverage],0))</f>
        <v>No</v>
      </c>
      <c r="P978" t="str">
        <f>INDEX(CoverageTable[Coverage Limit Applies],MATCH(Table18[[#This Row],[Coverage]],CoverageTable[Coverage],0))</f>
        <v>Yes</v>
      </c>
      <c r="Q978" t="s">
        <v>10</v>
      </c>
      <c r="R978" t="s">
        <v>80</v>
      </c>
      <c r="S978" t="s">
        <v>10</v>
      </c>
      <c r="T978" t="s">
        <v>10</v>
      </c>
      <c r="U978" t="s">
        <v>10</v>
      </c>
      <c r="V978" t="s">
        <v>10</v>
      </c>
      <c r="W978" t="s">
        <v>10</v>
      </c>
    </row>
    <row r="979" spans="1:23" x14ac:dyDescent="0.3">
      <c r="A979" t="s">
        <v>1070</v>
      </c>
      <c r="B979" s="7">
        <v>46097</v>
      </c>
      <c r="C979" t="s">
        <v>70</v>
      </c>
      <c r="D979" t="s">
        <v>1100</v>
      </c>
      <c r="E979" s="3">
        <v>6</v>
      </c>
      <c r="F979" s="3">
        <v>0</v>
      </c>
      <c r="G979" t="s">
        <v>11</v>
      </c>
      <c r="H979" t="s">
        <v>1108</v>
      </c>
      <c r="I979" t="s">
        <v>31</v>
      </c>
      <c r="J979" t="s">
        <v>52</v>
      </c>
      <c r="K979" t="s">
        <v>10</v>
      </c>
      <c r="L979" t="s">
        <v>10</v>
      </c>
      <c r="M979" t="s">
        <v>10</v>
      </c>
      <c r="N979" t="s">
        <v>57</v>
      </c>
      <c r="O979" t="str">
        <f>INDEX(CoverageTable[Deductible Applies],MATCH(Table18[[#This Row],[Coverage]],CoverageTable[Coverage],0))</f>
        <v>No</v>
      </c>
      <c r="P979" t="str">
        <f>INDEX(CoverageTable[Coverage Limit Applies],MATCH(Table18[[#This Row],[Coverage]],CoverageTable[Coverage],0))</f>
        <v>Yes</v>
      </c>
      <c r="Q979" t="s">
        <v>10</v>
      </c>
      <c r="R979" t="s">
        <v>80</v>
      </c>
      <c r="S979" t="s">
        <v>10</v>
      </c>
      <c r="T979" t="s">
        <v>10</v>
      </c>
      <c r="U979" t="s">
        <v>10</v>
      </c>
      <c r="V979" t="s">
        <v>10</v>
      </c>
      <c r="W979" t="s">
        <v>10</v>
      </c>
    </row>
    <row r="980" spans="1:23" x14ac:dyDescent="0.3">
      <c r="A980" t="s">
        <v>1071</v>
      </c>
      <c r="B980" s="7">
        <v>45981</v>
      </c>
      <c r="C980" t="s">
        <v>70</v>
      </c>
      <c r="D980" t="s">
        <v>1097</v>
      </c>
      <c r="E980" s="3" t="s">
        <v>1103</v>
      </c>
      <c r="F980" s="3">
        <v>1</v>
      </c>
      <c r="G980" t="s">
        <v>13</v>
      </c>
      <c r="H980" t="s">
        <v>1107</v>
      </c>
      <c r="I980" t="s">
        <v>30</v>
      </c>
      <c r="J980" t="s">
        <v>54</v>
      </c>
      <c r="K980" t="s">
        <v>10</v>
      </c>
      <c r="L980" t="s">
        <v>10</v>
      </c>
      <c r="M980" t="s">
        <v>57</v>
      </c>
      <c r="N980" t="s">
        <v>10</v>
      </c>
      <c r="O980" t="str">
        <f>INDEX(CoverageTable[Deductible Applies],MATCH(Table18[[#This Row],[Coverage]],CoverageTable[Coverage],0))</f>
        <v>No</v>
      </c>
      <c r="P980" t="str">
        <f>INDEX(CoverageTable[Coverage Limit Applies],MATCH(Table18[[#This Row],[Coverage]],CoverageTable[Coverage],0))</f>
        <v>Yes</v>
      </c>
      <c r="Q980" t="s">
        <v>10</v>
      </c>
      <c r="R980" t="s">
        <v>79</v>
      </c>
      <c r="S980" t="s">
        <v>57</v>
      </c>
      <c r="T980" t="s">
        <v>10</v>
      </c>
      <c r="U980" t="s">
        <v>10</v>
      </c>
      <c r="V980" t="s">
        <v>10</v>
      </c>
      <c r="W980" t="s">
        <v>10</v>
      </c>
    </row>
    <row r="981" spans="1:23" x14ac:dyDescent="0.3">
      <c r="A981" t="s">
        <v>1072</v>
      </c>
      <c r="B981" s="7">
        <v>45945</v>
      </c>
      <c r="C981" t="s">
        <v>71</v>
      </c>
      <c r="D981" t="s">
        <v>1100</v>
      </c>
      <c r="E981" s="3">
        <v>5</v>
      </c>
      <c r="F981" s="3">
        <v>3</v>
      </c>
      <c r="G981" t="s">
        <v>11</v>
      </c>
      <c r="H981" t="s">
        <v>1106</v>
      </c>
      <c r="I981" t="s">
        <v>24</v>
      </c>
      <c r="J981" t="s">
        <v>54</v>
      </c>
      <c r="K981" t="s">
        <v>10</v>
      </c>
      <c r="L981" t="s">
        <v>10</v>
      </c>
      <c r="M981" t="s">
        <v>10</v>
      </c>
      <c r="N981" t="s">
        <v>57</v>
      </c>
      <c r="O981" t="str">
        <f>INDEX(CoverageTable[Deductible Applies],MATCH(Table18[[#This Row],[Coverage]],CoverageTable[Coverage],0))</f>
        <v>Yes</v>
      </c>
      <c r="P981" t="str">
        <f>INDEX(CoverageTable[Coverage Limit Applies],MATCH(Table18[[#This Row],[Coverage]],CoverageTable[Coverage],0))</f>
        <v>No</v>
      </c>
      <c r="Q981" t="s">
        <v>78</v>
      </c>
      <c r="R981" t="s">
        <v>10</v>
      </c>
      <c r="S981" t="s">
        <v>10</v>
      </c>
      <c r="T981" t="s">
        <v>10</v>
      </c>
      <c r="U981" t="s">
        <v>57</v>
      </c>
      <c r="V981" t="s">
        <v>10</v>
      </c>
      <c r="W981" t="s">
        <v>10</v>
      </c>
    </row>
    <row r="982" spans="1:23" x14ac:dyDescent="0.3">
      <c r="A982" t="s">
        <v>1073</v>
      </c>
      <c r="B982" s="7">
        <v>45853</v>
      </c>
      <c r="C982" t="s">
        <v>71</v>
      </c>
      <c r="D982" t="s">
        <v>1101</v>
      </c>
      <c r="E982" s="3">
        <v>6</v>
      </c>
      <c r="F982" s="3">
        <v>0</v>
      </c>
      <c r="G982" t="s">
        <v>10</v>
      </c>
      <c r="H982" t="s">
        <v>1109</v>
      </c>
      <c r="I982" t="s">
        <v>35</v>
      </c>
      <c r="J982" t="s">
        <v>53</v>
      </c>
      <c r="K982" t="s">
        <v>10</v>
      </c>
      <c r="L982" t="s">
        <v>10</v>
      </c>
      <c r="M982" t="s">
        <v>10</v>
      </c>
      <c r="N982" t="s">
        <v>57</v>
      </c>
      <c r="O982" t="str">
        <f>INDEX(CoverageTable[Deductible Applies],MATCH(Table18[[#This Row],[Coverage]],CoverageTable[Coverage],0))</f>
        <v>Yes</v>
      </c>
      <c r="P982" t="str">
        <f>INDEX(CoverageTable[Coverage Limit Applies],MATCH(Table18[[#This Row],[Coverage]],CoverageTable[Coverage],0))</f>
        <v>No</v>
      </c>
      <c r="Q982" t="s">
        <v>78</v>
      </c>
      <c r="R982" t="s">
        <v>10</v>
      </c>
      <c r="S982" t="s">
        <v>57</v>
      </c>
      <c r="T982" t="s">
        <v>10</v>
      </c>
      <c r="U982" t="s">
        <v>10</v>
      </c>
      <c r="V982" t="s">
        <v>10</v>
      </c>
      <c r="W982" t="s">
        <v>10</v>
      </c>
    </row>
    <row r="983" spans="1:23" x14ac:dyDescent="0.3">
      <c r="A983" t="s">
        <v>1074</v>
      </c>
      <c r="B983" s="7">
        <v>46111</v>
      </c>
      <c r="C983" t="s">
        <v>71</v>
      </c>
      <c r="D983" t="s">
        <v>1097</v>
      </c>
      <c r="E983" s="3">
        <v>2</v>
      </c>
      <c r="F983" s="3">
        <v>2</v>
      </c>
      <c r="G983" t="s">
        <v>12</v>
      </c>
      <c r="H983" t="s">
        <v>1106</v>
      </c>
      <c r="I983" t="s">
        <v>38</v>
      </c>
      <c r="J983" t="s">
        <v>51</v>
      </c>
      <c r="K983" t="s">
        <v>10</v>
      </c>
      <c r="L983" t="s">
        <v>10</v>
      </c>
      <c r="M983" t="s">
        <v>10</v>
      </c>
      <c r="N983" t="s">
        <v>57</v>
      </c>
      <c r="O983" t="str">
        <f>INDEX(CoverageTable[Deductible Applies],MATCH(Table18[[#This Row],[Coverage]],CoverageTable[Coverage],0))</f>
        <v>Yes</v>
      </c>
      <c r="P983" t="str">
        <f>INDEX(CoverageTable[Coverage Limit Applies],MATCH(Table18[[#This Row],[Coverage]],CoverageTable[Coverage],0))</f>
        <v>No</v>
      </c>
      <c r="Q983" t="s">
        <v>80</v>
      </c>
      <c r="R983" t="s">
        <v>10</v>
      </c>
      <c r="S983" t="s">
        <v>10</v>
      </c>
      <c r="T983" t="s">
        <v>10</v>
      </c>
      <c r="U983" t="s">
        <v>10</v>
      </c>
      <c r="V983" t="s">
        <v>10</v>
      </c>
      <c r="W983" t="s">
        <v>57</v>
      </c>
    </row>
    <row r="984" spans="1:23" x14ac:dyDescent="0.3">
      <c r="A984" t="s">
        <v>1075</v>
      </c>
      <c r="B984" s="7">
        <v>45930</v>
      </c>
      <c r="C984" t="s">
        <v>71</v>
      </c>
      <c r="D984" t="s">
        <v>1100</v>
      </c>
      <c r="E984" s="3">
        <v>7</v>
      </c>
      <c r="F984" s="3">
        <v>2</v>
      </c>
      <c r="G984" t="s">
        <v>10</v>
      </c>
      <c r="H984" t="s">
        <v>1110</v>
      </c>
      <c r="I984" t="s">
        <v>34</v>
      </c>
      <c r="J984" t="s">
        <v>50</v>
      </c>
      <c r="K984" t="s">
        <v>10</v>
      </c>
      <c r="L984" t="s">
        <v>10</v>
      </c>
      <c r="M984" t="s">
        <v>57</v>
      </c>
      <c r="N984" t="s">
        <v>10</v>
      </c>
      <c r="O984" t="str">
        <f>INDEX(CoverageTable[Deductible Applies],MATCH(Table18[[#This Row],[Coverage]],CoverageTable[Coverage],0))</f>
        <v>Yes</v>
      </c>
      <c r="P984" t="str">
        <f>INDEX(CoverageTable[Coverage Limit Applies],MATCH(Table18[[#This Row],[Coverage]],CoverageTable[Coverage],0))</f>
        <v>No</v>
      </c>
      <c r="Q984" t="s">
        <v>79</v>
      </c>
      <c r="R984" t="s">
        <v>10</v>
      </c>
      <c r="S984" t="s">
        <v>10</v>
      </c>
      <c r="T984" t="s">
        <v>10</v>
      </c>
      <c r="U984" t="s">
        <v>10</v>
      </c>
      <c r="V984" t="s">
        <v>10</v>
      </c>
      <c r="W984" t="s">
        <v>10</v>
      </c>
    </row>
    <row r="985" spans="1:23" x14ac:dyDescent="0.3">
      <c r="A985" t="s">
        <v>1076</v>
      </c>
      <c r="B985" s="7">
        <v>46114</v>
      </c>
      <c r="C985" t="s">
        <v>74</v>
      </c>
      <c r="D985" t="s">
        <v>1102</v>
      </c>
      <c r="E985" s="3">
        <v>6</v>
      </c>
      <c r="F985" s="3">
        <v>0</v>
      </c>
      <c r="G985" t="s">
        <v>13</v>
      </c>
      <c r="H985" t="s">
        <v>1110</v>
      </c>
      <c r="I985" t="s">
        <v>25</v>
      </c>
      <c r="J985" t="s">
        <v>53</v>
      </c>
      <c r="K985" t="s">
        <v>10</v>
      </c>
      <c r="L985" t="s">
        <v>10</v>
      </c>
      <c r="M985" t="s">
        <v>10</v>
      </c>
      <c r="N985" t="s">
        <v>57</v>
      </c>
      <c r="O985" t="str">
        <f>INDEX(CoverageTable[Deductible Applies],MATCH(Table18[[#This Row],[Coverage]],CoverageTable[Coverage],0))</f>
        <v>No</v>
      </c>
      <c r="P985" t="str">
        <f>INDEX(CoverageTable[Coverage Limit Applies],MATCH(Table18[[#This Row],[Coverage]],CoverageTable[Coverage],0))</f>
        <v>Yes</v>
      </c>
      <c r="Q985" t="s">
        <v>10</v>
      </c>
      <c r="R985" t="s">
        <v>80</v>
      </c>
      <c r="S985" t="s">
        <v>10</v>
      </c>
      <c r="T985" t="s">
        <v>10</v>
      </c>
      <c r="U985" t="s">
        <v>10</v>
      </c>
      <c r="V985" t="s">
        <v>57</v>
      </c>
      <c r="W985" t="s">
        <v>10</v>
      </c>
    </row>
    <row r="986" spans="1:23" x14ac:dyDescent="0.3">
      <c r="A986" t="s">
        <v>1077</v>
      </c>
      <c r="B986" s="7">
        <v>46090</v>
      </c>
      <c r="C986" t="s">
        <v>73</v>
      </c>
      <c r="D986" t="s">
        <v>1101</v>
      </c>
      <c r="E986" s="3">
        <v>5</v>
      </c>
      <c r="F986" s="3">
        <v>0</v>
      </c>
      <c r="G986" t="s">
        <v>12</v>
      </c>
      <c r="H986" t="s">
        <v>1106</v>
      </c>
      <c r="I986" t="s">
        <v>39</v>
      </c>
      <c r="J986" t="s">
        <v>53</v>
      </c>
      <c r="K986" t="s">
        <v>10</v>
      </c>
      <c r="L986" t="s">
        <v>57</v>
      </c>
      <c r="M986" t="s">
        <v>10</v>
      </c>
      <c r="N986" t="s">
        <v>57</v>
      </c>
      <c r="O986" t="str">
        <f>INDEX(CoverageTable[Deductible Applies],MATCH(Table18[[#This Row],[Coverage]],CoverageTable[Coverage],0))</f>
        <v>No</v>
      </c>
      <c r="P986" t="str">
        <f>INDEX(CoverageTable[Coverage Limit Applies],MATCH(Table18[[#This Row],[Coverage]],CoverageTable[Coverage],0))</f>
        <v>Yes</v>
      </c>
      <c r="Q986" t="s">
        <v>10</v>
      </c>
      <c r="R986" t="s">
        <v>78</v>
      </c>
      <c r="S986" t="s">
        <v>10</v>
      </c>
      <c r="T986" t="s">
        <v>10</v>
      </c>
      <c r="U986" t="s">
        <v>57</v>
      </c>
      <c r="V986" t="s">
        <v>10</v>
      </c>
      <c r="W986" t="s">
        <v>10</v>
      </c>
    </row>
    <row r="987" spans="1:23" x14ac:dyDescent="0.3">
      <c r="A987" t="s">
        <v>1078</v>
      </c>
      <c r="B987" s="7">
        <v>45987</v>
      </c>
      <c r="C987" t="s">
        <v>72</v>
      </c>
      <c r="D987" t="s">
        <v>1099</v>
      </c>
      <c r="E987" s="3">
        <v>6</v>
      </c>
      <c r="F987" s="3">
        <v>0</v>
      </c>
      <c r="G987" t="s">
        <v>13</v>
      </c>
      <c r="H987" t="s">
        <v>1109</v>
      </c>
      <c r="I987" t="s">
        <v>25</v>
      </c>
      <c r="J987" t="s">
        <v>53</v>
      </c>
      <c r="K987" t="s">
        <v>10</v>
      </c>
      <c r="L987" t="s">
        <v>10</v>
      </c>
      <c r="M987" t="s">
        <v>10</v>
      </c>
      <c r="N987" t="s">
        <v>10</v>
      </c>
      <c r="O987" t="str">
        <f>INDEX(CoverageTable[Deductible Applies],MATCH(Table18[[#This Row],[Coverage]],CoverageTable[Coverage],0))</f>
        <v>Yes</v>
      </c>
      <c r="P987" t="str">
        <f>INDEX(CoverageTable[Coverage Limit Applies],MATCH(Table18[[#This Row],[Coverage]],CoverageTable[Coverage],0))</f>
        <v>No</v>
      </c>
      <c r="Q987" t="s">
        <v>80</v>
      </c>
      <c r="R987" t="s">
        <v>10</v>
      </c>
      <c r="S987" t="s">
        <v>10</v>
      </c>
      <c r="T987" t="s">
        <v>10</v>
      </c>
      <c r="U987" t="s">
        <v>10</v>
      </c>
      <c r="V987" t="s">
        <v>10</v>
      </c>
      <c r="W987" t="s">
        <v>57</v>
      </c>
    </row>
    <row r="988" spans="1:23" x14ac:dyDescent="0.3">
      <c r="A988" t="s">
        <v>1079</v>
      </c>
      <c r="B988" s="7">
        <v>46002</v>
      </c>
      <c r="C988" t="s">
        <v>71</v>
      </c>
      <c r="D988" t="s">
        <v>1101</v>
      </c>
      <c r="E988" s="3">
        <v>2</v>
      </c>
      <c r="F988" s="3" t="s">
        <v>7</v>
      </c>
      <c r="G988" t="s">
        <v>11</v>
      </c>
      <c r="H988" t="s">
        <v>1106</v>
      </c>
      <c r="I988" t="s">
        <v>33</v>
      </c>
      <c r="J988" t="s">
        <v>51</v>
      </c>
      <c r="K988" t="s">
        <v>10</v>
      </c>
      <c r="L988" t="s">
        <v>10</v>
      </c>
      <c r="M988" t="s">
        <v>10</v>
      </c>
      <c r="N988" t="s">
        <v>57</v>
      </c>
      <c r="O988" t="str">
        <f>INDEX(CoverageTable[Deductible Applies],MATCH(Table18[[#This Row],[Coverage]],CoverageTable[Coverage],0))</f>
        <v>Yes</v>
      </c>
      <c r="P988" t="str">
        <f>INDEX(CoverageTable[Coverage Limit Applies],MATCH(Table18[[#This Row],[Coverage]],CoverageTable[Coverage],0))</f>
        <v>No</v>
      </c>
      <c r="Q988" t="s">
        <v>78</v>
      </c>
      <c r="R988" t="s">
        <v>10</v>
      </c>
      <c r="S988" t="s">
        <v>57</v>
      </c>
      <c r="T988" t="s">
        <v>10</v>
      </c>
      <c r="U988" t="s">
        <v>57</v>
      </c>
      <c r="V988" t="s">
        <v>10</v>
      </c>
      <c r="W988" t="s">
        <v>10</v>
      </c>
    </row>
    <row r="989" spans="1:23" x14ac:dyDescent="0.3">
      <c r="A989" t="s">
        <v>1080</v>
      </c>
      <c r="B989" s="7">
        <v>46122</v>
      </c>
      <c r="C989" t="s">
        <v>70</v>
      </c>
      <c r="D989" t="s">
        <v>1101</v>
      </c>
      <c r="E989" s="3">
        <v>7</v>
      </c>
      <c r="F989" s="3">
        <v>3</v>
      </c>
      <c r="G989" t="s">
        <v>10</v>
      </c>
      <c r="H989" t="s">
        <v>1110</v>
      </c>
      <c r="I989" t="s">
        <v>27</v>
      </c>
      <c r="J989" t="s">
        <v>49</v>
      </c>
      <c r="K989" t="s">
        <v>10</v>
      </c>
      <c r="L989" t="s">
        <v>10</v>
      </c>
      <c r="M989" t="s">
        <v>10</v>
      </c>
      <c r="N989" t="s">
        <v>57</v>
      </c>
      <c r="O989" t="str">
        <f>INDEX(CoverageTable[Deductible Applies],MATCH(Table18[[#This Row],[Coverage]],CoverageTable[Coverage],0))</f>
        <v>No</v>
      </c>
      <c r="P989" t="str">
        <f>INDEX(CoverageTable[Coverage Limit Applies],MATCH(Table18[[#This Row],[Coverage]],CoverageTable[Coverage],0))</f>
        <v>Yes</v>
      </c>
      <c r="Q989" t="s">
        <v>10</v>
      </c>
      <c r="R989" t="s">
        <v>78</v>
      </c>
      <c r="S989" t="s">
        <v>57</v>
      </c>
      <c r="T989" t="s">
        <v>10</v>
      </c>
      <c r="U989" t="s">
        <v>10</v>
      </c>
      <c r="V989" t="s">
        <v>10</v>
      </c>
      <c r="W989" t="s">
        <v>10</v>
      </c>
    </row>
    <row r="990" spans="1:23" x14ac:dyDescent="0.3">
      <c r="A990" t="s">
        <v>1081</v>
      </c>
      <c r="B990" s="7">
        <v>45785</v>
      </c>
      <c r="C990" t="s">
        <v>72</v>
      </c>
      <c r="D990" t="s">
        <v>1100</v>
      </c>
      <c r="E990" s="3">
        <v>4</v>
      </c>
      <c r="F990" s="3" t="s">
        <v>7</v>
      </c>
      <c r="G990" t="s">
        <v>12</v>
      </c>
      <c r="H990" t="s">
        <v>1106</v>
      </c>
      <c r="I990" t="s">
        <v>27</v>
      </c>
      <c r="J990" t="s">
        <v>53</v>
      </c>
      <c r="K990" t="s">
        <v>10</v>
      </c>
      <c r="L990" t="s">
        <v>10</v>
      </c>
      <c r="M990" t="s">
        <v>10</v>
      </c>
      <c r="N990" t="s">
        <v>57</v>
      </c>
      <c r="O990" t="str">
        <f>INDEX(CoverageTable[Deductible Applies],MATCH(Table18[[#This Row],[Coverage]],CoverageTable[Coverage],0))</f>
        <v>Yes</v>
      </c>
      <c r="P990" t="str">
        <f>INDEX(CoverageTable[Coverage Limit Applies],MATCH(Table18[[#This Row],[Coverage]],CoverageTable[Coverage],0))</f>
        <v>No</v>
      </c>
      <c r="Q990" t="s">
        <v>78</v>
      </c>
      <c r="R990" t="s">
        <v>10</v>
      </c>
      <c r="S990" t="s">
        <v>10</v>
      </c>
      <c r="T990" t="s">
        <v>57</v>
      </c>
      <c r="U990" t="s">
        <v>10</v>
      </c>
      <c r="V990" t="s">
        <v>10</v>
      </c>
      <c r="W990" t="s">
        <v>10</v>
      </c>
    </row>
    <row r="991" spans="1:23" x14ac:dyDescent="0.3">
      <c r="A991" t="s">
        <v>1082</v>
      </c>
      <c r="B991" s="7">
        <v>45973</v>
      </c>
      <c r="C991" t="s">
        <v>74</v>
      </c>
      <c r="D991" t="s">
        <v>1102</v>
      </c>
      <c r="E991" s="3">
        <v>3</v>
      </c>
      <c r="F991" s="3">
        <v>1</v>
      </c>
      <c r="G991" t="s">
        <v>10</v>
      </c>
      <c r="H991" t="s">
        <v>1106</v>
      </c>
      <c r="I991" t="s">
        <v>26</v>
      </c>
      <c r="J991" t="s">
        <v>48</v>
      </c>
      <c r="K991" t="s">
        <v>10</v>
      </c>
      <c r="L991" t="s">
        <v>10</v>
      </c>
      <c r="M991" t="s">
        <v>10</v>
      </c>
      <c r="N991" t="s">
        <v>57</v>
      </c>
      <c r="O991" t="str">
        <f>INDEX(CoverageTable[Deductible Applies],MATCH(Table18[[#This Row],[Coverage]],CoverageTable[Coverage],0))</f>
        <v>No</v>
      </c>
      <c r="P991" t="str">
        <f>INDEX(CoverageTable[Coverage Limit Applies],MATCH(Table18[[#This Row],[Coverage]],CoverageTable[Coverage],0))</f>
        <v>Yes</v>
      </c>
      <c r="Q991" t="s">
        <v>10</v>
      </c>
      <c r="R991" t="s">
        <v>79</v>
      </c>
      <c r="S991" t="s">
        <v>10</v>
      </c>
      <c r="T991" t="s">
        <v>10</v>
      </c>
      <c r="U991" t="s">
        <v>10</v>
      </c>
      <c r="V991" t="s">
        <v>10</v>
      </c>
      <c r="W991" t="s">
        <v>10</v>
      </c>
    </row>
    <row r="992" spans="1:23" x14ac:dyDescent="0.3">
      <c r="A992" t="s">
        <v>1083</v>
      </c>
      <c r="B992" s="7">
        <v>46006</v>
      </c>
      <c r="C992" t="s">
        <v>73</v>
      </c>
      <c r="D992" t="s">
        <v>1099</v>
      </c>
      <c r="E992" s="3">
        <v>5</v>
      </c>
      <c r="F992" s="3">
        <v>1</v>
      </c>
      <c r="G992" t="s">
        <v>10</v>
      </c>
      <c r="H992" t="s">
        <v>1107</v>
      </c>
      <c r="I992" t="s">
        <v>33</v>
      </c>
      <c r="J992" t="s">
        <v>49</v>
      </c>
      <c r="K992" t="s">
        <v>10</v>
      </c>
      <c r="L992" t="s">
        <v>10</v>
      </c>
      <c r="M992" t="s">
        <v>57</v>
      </c>
      <c r="N992" t="s">
        <v>57</v>
      </c>
      <c r="O992" t="str">
        <f>INDEX(CoverageTable[Deductible Applies],MATCH(Table18[[#This Row],[Coverage]],CoverageTable[Coverage],0))</f>
        <v>No</v>
      </c>
      <c r="P992" t="str">
        <f>INDEX(CoverageTable[Coverage Limit Applies],MATCH(Table18[[#This Row],[Coverage]],CoverageTable[Coverage],0))</f>
        <v>Yes</v>
      </c>
      <c r="Q992" t="s">
        <v>10</v>
      </c>
      <c r="R992" t="s">
        <v>78</v>
      </c>
      <c r="S992" t="s">
        <v>10</v>
      </c>
      <c r="T992" t="s">
        <v>10</v>
      </c>
      <c r="U992" t="s">
        <v>10</v>
      </c>
      <c r="V992" t="s">
        <v>10</v>
      </c>
      <c r="W992" t="s">
        <v>10</v>
      </c>
    </row>
    <row r="993" spans="1:23" x14ac:dyDescent="0.3">
      <c r="A993" t="s">
        <v>1084</v>
      </c>
      <c r="B993" s="7">
        <v>46002</v>
      </c>
      <c r="C993" t="s">
        <v>70</v>
      </c>
      <c r="D993" t="s">
        <v>1098</v>
      </c>
      <c r="E993" s="3">
        <v>5</v>
      </c>
      <c r="F993" s="3">
        <v>1</v>
      </c>
      <c r="G993" t="s">
        <v>12</v>
      </c>
      <c r="H993" t="s">
        <v>1106</v>
      </c>
      <c r="I993" t="s">
        <v>43</v>
      </c>
      <c r="J993" t="s">
        <v>53</v>
      </c>
      <c r="K993" t="s">
        <v>10</v>
      </c>
      <c r="L993" t="s">
        <v>10</v>
      </c>
      <c r="M993" t="s">
        <v>10</v>
      </c>
      <c r="N993" t="s">
        <v>57</v>
      </c>
      <c r="O993" t="str">
        <f>INDEX(CoverageTable[Deductible Applies],MATCH(Table18[[#This Row],[Coverage]],CoverageTable[Coverage],0))</f>
        <v>No</v>
      </c>
      <c r="P993" t="str">
        <f>INDEX(CoverageTable[Coverage Limit Applies],MATCH(Table18[[#This Row],[Coverage]],CoverageTable[Coverage],0))</f>
        <v>Yes</v>
      </c>
      <c r="Q993" t="s">
        <v>10</v>
      </c>
      <c r="R993" t="s">
        <v>80</v>
      </c>
      <c r="S993" t="s">
        <v>10</v>
      </c>
      <c r="T993" t="s">
        <v>10</v>
      </c>
      <c r="U993" t="s">
        <v>10</v>
      </c>
      <c r="V993" t="s">
        <v>10</v>
      </c>
      <c r="W993" t="s">
        <v>57</v>
      </c>
    </row>
    <row r="994" spans="1:23" x14ac:dyDescent="0.3">
      <c r="A994" t="s">
        <v>1085</v>
      </c>
      <c r="B994" s="7">
        <v>45812</v>
      </c>
      <c r="C994" t="s">
        <v>70</v>
      </c>
      <c r="D994" t="s">
        <v>1100</v>
      </c>
      <c r="E994" s="3">
        <v>7</v>
      </c>
      <c r="F994" s="3">
        <v>0</v>
      </c>
      <c r="G994" t="s">
        <v>10</v>
      </c>
      <c r="H994" t="s">
        <v>1106</v>
      </c>
      <c r="I994" t="s">
        <v>40</v>
      </c>
      <c r="J994" t="s">
        <v>49</v>
      </c>
      <c r="K994" t="s">
        <v>10</v>
      </c>
      <c r="L994" t="s">
        <v>57</v>
      </c>
      <c r="M994" t="s">
        <v>10</v>
      </c>
      <c r="N994" t="s">
        <v>57</v>
      </c>
      <c r="O994" t="str">
        <f>INDEX(CoverageTable[Deductible Applies],MATCH(Table18[[#This Row],[Coverage]],CoverageTable[Coverage],0))</f>
        <v>No</v>
      </c>
      <c r="P994" t="str">
        <f>INDEX(CoverageTable[Coverage Limit Applies],MATCH(Table18[[#This Row],[Coverage]],CoverageTable[Coverage],0))</f>
        <v>Yes</v>
      </c>
      <c r="Q994" t="s">
        <v>10</v>
      </c>
      <c r="R994" t="s">
        <v>80</v>
      </c>
      <c r="S994" t="s">
        <v>57</v>
      </c>
      <c r="T994" t="s">
        <v>57</v>
      </c>
      <c r="U994" t="s">
        <v>10</v>
      </c>
      <c r="V994" t="s">
        <v>10</v>
      </c>
      <c r="W994" t="s">
        <v>10</v>
      </c>
    </row>
    <row r="995" spans="1:23" x14ac:dyDescent="0.3">
      <c r="A995" t="s">
        <v>1086</v>
      </c>
      <c r="B995" s="7">
        <v>45931</v>
      </c>
      <c r="C995" t="s">
        <v>70</v>
      </c>
      <c r="D995" t="s">
        <v>1100</v>
      </c>
      <c r="E995" s="3">
        <v>4</v>
      </c>
      <c r="F995" s="3">
        <v>3</v>
      </c>
      <c r="G995" t="s">
        <v>10</v>
      </c>
      <c r="H995" t="s">
        <v>1107</v>
      </c>
      <c r="I995" t="s">
        <v>40</v>
      </c>
      <c r="J995" t="s">
        <v>54</v>
      </c>
      <c r="K995" t="s">
        <v>10</v>
      </c>
      <c r="L995" t="s">
        <v>10</v>
      </c>
      <c r="M995" t="s">
        <v>10</v>
      </c>
      <c r="N995" t="s">
        <v>10</v>
      </c>
      <c r="O995" t="str">
        <f>INDEX(CoverageTable[Deductible Applies],MATCH(Table18[[#This Row],[Coverage]],CoverageTable[Coverage],0))</f>
        <v>No</v>
      </c>
      <c r="P995" t="str">
        <f>INDEX(CoverageTable[Coverage Limit Applies],MATCH(Table18[[#This Row],[Coverage]],CoverageTable[Coverage],0))</f>
        <v>Yes</v>
      </c>
      <c r="Q995" t="s">
        <v>10</v>
      </c>
      <c r="R995" t="s">
        <v>78</v>
      </c>
      <c r="S995" t="s">
        <v>10</v>
      </c>
      <c r="T995" t="s">
        <v>57</v>
      </c>
      <c r="U995" t="s">
        <v>10</v>
      </c>
      <c r="V995" t="s">
        <v>10</v>
      </c>
      <c r="W995" t="s">
        <v>10</v>
      </c>
    </row>
    <row r="996" spans="1:23" x14ac:dyDescent="0.3">
      <c r="A996" t="s">
        <v>1087</v>
      </c>
      <c r="B996" s="7">
        <v>45815</v>
      </c>
      <c r="C996" t="s">
        <v>71</v>
      </c>
      <c r="D996" t="s">
        <v>1101</v>
      </c>
      <c r="E996" s="3" t="s">
        <v>1103</v>
      </c>
      <c r="F996" s="3">
        <v>3</v>
      </c>
      <c r="G996" t="s">
        <v>10</v>
      </c>
      <c r="H996" t="s">
        <v>1108</v>
      </c>
      <c r="I996" t="s">
        <v>43</v>
      </c>
      <c r="J996" t="s">
        <v>54</v>
      </c>
      <c r="K996" t="s">
        <v>10</v>
      </c>
      <c r="L996" t="s">
        <v>10</v>
      </c>
      <c r="M996" t="s">
        <v>10</v>
      </c>
      <c r="N996" t="s">
        <v>10</v>
      </c>
      <c r="O996" t="str">
        <f>INDEX(CoverageTable[Deductible Applies],MATCH(Table18[[#This Row],[Coverage]],CoverageTable[Coverage],0))</f>
        <v>Yes</v>
      </c>
      <c r="P996" t="str">
        <f>INDEX(CoverageTable[Coverage Limit Applies],MATCH(Table18[[#This Row],[Coverage]],CoverageTable[Coverage],0))</f>
        <v>No</v>
      </c>
      <c r="Q996" t="s">
        <v>80</v>
      </c>
      <c r="R996" t="s">
        <v>10</v>
      </c>
      <c r="S996" t="s">
        <v>57</v>
      </c>
      <c r="T996" t="s">
        <v>10</v>
      </c>
      <c r="U996" t="s">
        <v>57</v>
      </c>
      <c r="V996" t="s">
        <v>57</v>
      </c>
      <c r="W996" t="s">
        <v>10</v>
      </c>
    </row>
    <row r="997" spans="1:23" x14ac:dyDescent="0.3">
      <c r="A997" t="s">
        <v>1088</v>
      </c>
      <c r="B997" s="7">
        <v>46049</v>
      </c>
      <c r="C997" t="s">
        <v>71</v>
      </c>
      <c r="D997" t="s">
        <v>1102</v>
      </c>
      <c r="E997" s="3">
        <v>2</v>
      </c>
      <c r="F997" s="3" t="s">
        <v>7</v>
      </c>
      <c r="G997" t="s">
        <v>13</v>
      </c>
      <c r="H997" t="s">
        <v>1110</v>
      </c>
      <c r="I997" t="s">
        <v>44</v>
      </c>
      <c r="J997" t="s">
        <v>49</v>
      </c>
      <c r="K997" t="s">
        <v>10</v>
      </c>
      <c r="L997" t="s">
        <v>10</v>
      </c>
      <c r="M997" t="s">
        <v>10</v>
      </c>
      <c r="N997" t="s">
        <v>10</v>
      </c>
      <c r="O997" t="str">
        <f>INDEX(CoverageTable[Deductible Applies],MATCH(Table18[[#This Row],[Coverage]],CoverageTable[Coverage],0))</f>
        <v>Yes</v>
      </c>
      <c r="P997" t="str">
        <f>INDEX(CoverageTable[Coverage Limit Applies],MATCH(Table18[[#This Row],[Coverage]],CoverageTable[Coverage],0))</f>
        <v>No</v>
      </c>
      <c r="Q997" t="s">
        <v>78</v>
      </c>
      <c r="R997" t="s">
        <v>10</v>
      </c>
      <c r="S997" t="s">
        <v>10</v>
      </c>
      <c r="T997" t="s">
        <v>57</v>
      </c>
      <c r="U997" t="s">
        <v>10</v>
      </c>
      <c r="V997" t="s">
        <v>10</v>
      </c>
      <c r="W997" t="s">
        <v>10</v>
      </c>
    </row>
    <row r="998" spans="1:23" x14ac:dyDescent="0.3">
      <c r="A998" t="s">
        <v>1089</v>
      </c>
      <c r="B998" s="7">
        <v>45988</v>
      </c>
      <c r="C998" t="s">
        <v>71</v>
      </c>
      <c r="D998" t="s">
        <v>1099</v>
      </c>
      <c r="E998" s="3">
        <v>1</v>
      </c>
      <c r="F998" s="3">
        <v>2</v>
      </c>
      <c r="G998" t="s">
        <v>10</v>
      </c>
      <c r="H998" t="s">
        <v>1106</v>
      </c>
      <c r="I998" t="s">
        <v>21</v>
      </c>
      <c r="J998" t="s">
        <v>54</v>
      </c>
      <c r="K998" t="s">
        <v>57</v>
      </c>
      <c r="L998" t="s">
        <v>10</v>
      </c>
      <c r="M998" t="s">
        <v>57</v>
      </c>
      <c r="N998" t="s">
        <v>10</v>
      </c>
      <c r="O998" t="str">
        <f>INDEX(CoverageTable[Deductible Applies],MATCH(Table18[[#This Row],[Coverage]],CoverageTable[Coverage],0))</f>
        <v>Yes</v>
      </c>
      <c r="P998" t="str">
        <f>INDEX(CoverageTable[Coverage Limit Applies],MATCH(Table18[[#This Row],[Coverage]],CoverageTable[Coverage],0))</f>
        <v>No</v>
      </c>
      <c r="Q998" t="s">
        <v>79</v>
      </c>
      <c r="R998" t="s">
        <v>10</v>
      </c>
      <c r="S998" t="s">
        <v>10</v>
      </c>
      <c r="T998" t="s">
        <v>10</v>
      </c>
      <c r="U998" t="s">
        <v>10</v>
      </c>
      <c r="V998" t="s">
        <v>10</v>
      </c>
      <c r="W998" t="s">
        <v>10</v>
      </c>
    </row>
    <row r="999" spans="1:23" x14ac:dyDescent="0.3">
      <c r="A999" t="s">
        <v>1090</v>
      </c>
      <c r="B999" s="7">
        <v>45885</v>
      </c>
      <c r="C999" t="s">
        <v>70</v>
      </c>
      <c r="D999" t="s">
        <v>1101</v>
      </c>
      <c r="E999" s="3">
        <v>4</v>
      </c>
      <c r="F999" s="3">
        <v>2</v>
      </c>
      <c r="G999" t="s">
        <v>12</v>
      </c>
      <c r="H999" t="s">
        <v>1107</v>
      </c>
      <c r="I999" t="s">
        <v>34</v>
      </c>
      <c r="J999" t="s">
        <v>49</v>
      </c>
      <c r="K999" t="s">
        <v>57</v>
      </c>
      <c r="L999" t="s">
        <v>10</v>
      </c>
      <c r="M999" t="s">
        <v>10</v>
      </c>
      <c r="N999" t="s">
        <v>10</v>
      </c>
      <c r="O999" t="str">
        <f>INDEX(CoverageTable[Deductible Applies],MATCH(Table18[[#This Row],[Coverage]],CoverageTable[Coverage],0))</f>
        <v>No</v>
      </c>
      <c r="P999" t="str">
        <f>INDEX(CoverageTable[Coverage Limit Applies],MATCH(Table18[[#This Row],[Coverage]],CoverageTable[Coverage],0))</f>
        <v>Yes</v>
      </c>
      <c r="Q999" t="s">
        <v>10</v>
      </c>
      <c r="R999" t="s">
        <v>79</v>
      </c>
      <c r="S999" t="s">
        <v>10</v>
      </c>
      <c r="T999" t="s">
        <v>10</v>
      </c>
      <c r="U999" t="s">
        <v>57</v>
      </c>
      <c r="V999" t="s">
        <v>57</v>
      </c>
      <c r="W999" t="s">
        <v>10</v>
      </c>
    </row>
    <row r="1000" spans="1:23" x14ac:dyDescent="0.3">
      <c r="A1000" t="s">
        <v>1091</v>
      </c>
      <c r="B1000" s="7">
        <v>45844</v>
      </c>
      <c r="C1000" t="s">
        <v>70</v>
      </c>
      <c r="D1000" t="s">
        <v>1098</v>
      </c>
      <c r="E1000" s="3">
        <v>3</v>
      </c>
      <c r="F1000" s="3">
        <v>4</v>
      </c>
      <c r="G1000" t="s">
        <v>10</v>
      </c>
      <c r="H1000" t="s">
        <v>1110</v>
      </c>
      <c r="I1000" t="s">
        <v>31</v>
      </c>
      <c r="J1000" t="s">
        <v>50</v>
      </c>
      <c r="K1000" t="s">
        <v>10</v>
      </c>
      <c r="L1000" t="s">
        <v>57</v>
      </c>
      <c r="M1000" t="s">
        <v>10</v>
      </c>
      <c r="N1000" t="s">
        <v>57</v>
      </c>
      <c r="O1000" t="str">
        <f>INDEX(CoverageTable[Deductible Applies],MATCH(Table18[[#This Row],[Coverage]],CoverageTable[Coverage],0))</f>
        <v>No</v>
      </c>
      <c r="P1000" t="str">
        <f>INDEX(CoverageTable[Coverage Limit Applies],MATCH(Table18[[#This Row],[Coverage]],CoverageTable[Coverage],0))</f>
        <v>Yes</v>
      </c>
      <c r="Q1000" t="s">
        <v>10</v>
      </c>
      <c r="R1000" t="s">
        <v>80</v>
      </c>
      <c r="S1000" t="s">
        <v>57</v>
      </c>
      <c r="T1000" t="s">
        <v>10</v>
      </c>
      <c r="U1000" t="s">
        <v>10</v>
      </c>
      <c r="V1000" t="s">
        <v>10</v>
      </c>
      <c r="W1000" t="s">
        <v>57</v>
      </c>
    </row>
    <row r="1001" spans="1:23" x14ac:dyDescent="0.3">
      <c r="A1001" t="s">
        <v>1092</v>
      </c>
      <c r="B1001" s="7">
        <v>45804</v>
      </c>
      <c r="C1001" t="s">
        <v>71</v>
      </c>
      <c r="D1001" t="s">
        <v>1100</v>
      </c>
      <c r="E1001" s="3">
        <v>5</v>
      </c>
      <c r="F1001" s="3">
        <v>4</v>
      </c>
      <c r="G1001" t="s">
        <v>10</v>
      </c>
      <c r="H1001" t="s">
        <v>1109</v>
      </c>
      <c r="I1001" t="s">
        <v>31</v>
      </c>
      <c r="J1001" t="s">
        <v>54</v>
      </c>
      <c r="K1001" t="s">
        <v>10</v>
      </c>
      <c r="L1001" t="s">
        <v>10</v>
      </c>
      <c r="M1001" t="s">
        <v>10</v>
      </c>
      <c r="N1001" t="s">
        <v>57</v>
      </c>
      <c r="O1001" t="str">
        <f>INDEX(CoverageTable[Deductible Applies],MATCH(Table18[[#This Row],[Coverage]],CoverageTable[Coverage],0))</f>
        <v>Yes</v>
      </c>
      <c r="P1001" t="str">
        <f>INDEX(CoverageTable[Coverage Limit Applies],MATCH(Table18[[#This Row],[Coverage]],CoverageTable[Coverage],0))</f>
        <v>No</v>
      </c>
      <c r="Q1001" t="s">
        <v>78</v>
      </c>
      <c r="R1001" t="s">
        <v>10</v>
      </c>
      <c r="S1001" t="s">
        <v>10</v>
      </c>
      <c r="T1001" t="s">
        <v>10</v>
      </c>
      <c r="U1001" t="s">
        <v>10</v>
      </c>
      <c r="V1001" t="s">
        <v>10</v>
      </c>
      <c r="W1001" t="s">
        <v>10</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502C-622D-4D81-82E1-9D731B18B0F8}">
  <dimension ref="A1:AW1001"/>
  <sheetViews>
    <sheetView zoomScaleNormal="100" workbookViewId="0">
      <selection activeCell="G18" sqref="G18"/>
    </sheetView>
  </sheetViews>
  <sheetFormatPr defaultRowHeight="14.4" x14ac:dyDescent="0.3"/>
  <cols>
    <col min="1" max="1" width="10.109375" bestFit="1" customWidth="1"/>
    <col min="2" max="2" width="14.6640625" bestFit="1" customWidth="1"/>
    <col min="3" max="3" width="22.21875" bestFit="1" customWidth="1"/>
    <col min="4" max="4" width="10.44140625" bestFit="1" customWidth="1"/>
    <col min="5" max="5" width="13.88671875" bestFit="1" customWidth="1"/>
    <col min="6" max="6" width="18.33203125" bestFit="1" customWidth="1"/>
    <col min="7" max="7" width="22.6640625" bestFit="1" customWidth="1"/>
    <col min="8" max="8" width="13.109375" bestFit="1" customWidth="1"/>
    <col min="9" max="9" width="22" bestFit="1" customWidth="1"/>
    <col min="10" max="10" width="15.88671875" bestFit="1" customWidth="1"/>
    <col min="11" max="11" width="11.5546875" bestFit="1" customWidth="1"/>
    <col min="12" max="12" width="14.5546875" bestFit="1" customWidth="1"/>
    <col min="13" max="13" width="15.6640625" bestFit="1" customWidth="1"/>
    <col min="14" max="14" width="24.88671875" bestFit="1" customWidth="1"/>
    <col min="15" max="15" width="19.21875" hidden="1" customWidth="1"/>
    <col min="16" max="16" width="22.44140625" hidden="1" customWidth="1"/>
    <col min="17" max="17" width="12.44140625" bestFit="1" customWidth="1"/>
    <col min="18" max="18" width="15.6640625" bestFit="1" customWidth="1"/>
    <col min="19" max="19" width="22.44140625" bestFit="1" customWidth="1"/>
    <col min="20" max="20" width="20.88671875" bestFit="1" customWidth="1"/>
    <col min="21" max="21" width="20.77734375" bestFit="1" customWidth="1"/>
    <col min="22" max="22" width="24" bestFit="1" customWidth="1"/>
    <col min="23" max="23" width="21.6640625" bestFit="1" customWidth="1"/>
    <col min="24" max="24" width="26.88671875" bestFit="1" customWidth="1"/>
    <col min="25" max="25" width="11.33203125" customWidth="1"/>
    <col min="26" max="26" width="16.21875" customWidth="1"/>
    <col min="27" max="27" width="19.77734375" customWidth="1"/>
    <col min="28" max="28" width="24.21875" customWidth="1"/>
    <col min="29" max="29" width="28.21875" customWidth="1"/>
    <col min="30" max="30" width="18.88671875" customWidth="1"/>
    <col min="31" max="31" width="20.77734375" customWidth="1"/>
    <col min="32" max="32" width="20" customWidth="1"/>
    <col min="33" max="33" width="17.33203125" customWidth="1"/>
    <col min="34" max="34" width="20.44140625" customWidth="1"/>
    <col min="35" max="35" width="21.44140625" customWidth="1"/>
    <col min="36" max="36" width="30.6640625" customWidth="1"/>
    <col min="37" max="37" width="18.21875" customWidth="1"/>
    <col min="38" max="38" width="21.44140625" customWidth="1"/>
    <col min="39" max="39" width="20.44140625" customWidth="1"/>
    <col min="40" max="40" width="18.77734375" customWidth="1"/>
    <col min="41" max="41" width="18.6640625" customWidth="1"/>
    <col min="42" max="42" width="21.88671875" customWidth="1"/>
    <col min="43" max="43" width="19.6640625" customWidth="1"/>
    <col min="44" max="44" width="19.21875" customWidth="1"/>
    <col min="45" max="45" width="19.109375" bestFit="1" customWidth="1"/>
    <col min="46" max="46" width="11.77734375" bestFit="1" customWidth="1"/>
    <col min="47" max="47" width="11.88671875" bestFit="1" customWidth="1"/>
    <col min="48" max="48" width="19.6640625" bestFit="1" customWidth="1"/>
    <col min="49" max="49" width="36.88671875" bestFit="1" customWidth="1"/>
  </cols>
  <sheetData>
    <row r="1" spans="1:49" x14ac:dyDescent="0.3">
      <c r="A1" t="s">
        <v>92</v>
      </c>
      <c r="B1" t="s">
        <v>1104</v>
      </c>
      <c r="C1" t="s">
        <v>68</v>
      </c>
      <c r="D1" t="s">
        <v>1095</v>
      </c>
      <c r="E1" t="s">
        <v>1</v>
      </c>
      <c r="F1" t="s">
        <v>5</v>
      </c>
      <c r="G1" t="s">
        <v>9</v>
      </c>
      <c r="H1" t="s">
        <v>15</v>
      </c>
      <c r="I1" t="s">
        <v>18</v>
      </c>
      <c r="J1" t="s">
        <v>46</v>
      </c>
      <c r="K1" t="s">
        <v>55</v>
      </c>
      <c r="L1" t="s">
        <v>59</v>
      </c>
      <c r="M1" t="s">
        <v>62</v>
      </c>
      <c r="N1" t="s">
        <v>65</v>
      </c>
      <c r="O1" t="s">
        <v>1112</v>
      </c>
      <c r="P1" t="s">
        <v>1113</v>
      </c>
      <c r="Q1" t="s">
        <v>76</v>
      </c>
      <c r="R1" t="s">
        <v>82</v>
      </c>
      <c r="S1" t="s">
        <v>1114</v>
      </c>
      <c r="T1" t="s">
        <v>1115</v>
      </c>
      <c r="U1" t="s">
        <v>1116</v>
      </c>
      <c r="V1" t="s">
        <v>1117</v>
      </c>
      <c r="W1" t="s">
        <v>1118</v>
      </c>
      <c r="X1" s="8" t="s">
        <v>1127</v>
      </c>
      <c r="Y1" t="s">
        <v>69</v>
      </c>
      <c r="Z1" t="s">
        <v>1096</v>
      </c>
      <c r="AA1" t="s">
        <v>2</v>
      </c>
      <c r="AB1" t="s">
        <v>1119</v>
      </c>
      <c r="AC1" t="s">
        <v>1120</v>
      </c>
      <c r="AD1" t="s">
        <v>16</v>
      </c>
      <c r="AE1" t="s">
        <v>1121</v>
      </c>
      <c r="AF1" t="s">
        <v>47</v>
      </c>
      <c r="AG1" t="s">
        <v>56</v>
      </c>
      <c r="AH1" t="s">
        <v>60</v>
      </c>
      <c r="AI1" t="s">
        <v>63</v>
      </c>
      <c r="AJ1" t="s">
        <v>66</v>
      </c>
      <c r="AK1" t="s">
        <v>77</v>
      </c>
      <c r="AL1" t="s">
        <v>83</v>
      </c>
      <c r="AM1" t="s">
        <v>1122</v>
      </c>
      <c r="AN1" t="s">
        <v>1123</v>
      </c>
      <c r="AO1" t="s">
        <v>1124</v>
      </c>
      <c r="AP1" t="s">
        <v>1125</v>
      </c>
      <c r="AQ1" t="s">
        <v>1126</v>
      </c>
      <c r="AR1" t="s">
        <v>1105</v>
      </c>
      <c r="AS1" t="s">
        <v>1128</v>
      </c>
      <c r="AT1" t="s">
        <v>1129</v>
      </c>
      <c r="AU1" t="s">
        <v>1130</v>
      </c>
      <c r="AV1" t="s">
        <v>1131</v>
      </c>
      <c r="AW1" t="s">
        <v>1132</v>
      </c>
    </row>
    <row r="2" spans="1:49" x14ac:dyDescent="0.3">
      <c r="A2" t="s">
        <v>93</v>
      </c>
      <c r="B2" s="7">
        <v>45908</v>
      </c>
      <c r="C2" t="s">
        <v>72</v>
      </c>
      <c r="D2" t="s">
        <v>1098</v>
      </c>
      <c r="E2" s="3">
        <v>1</v>
      </c>
      <c r="F2" s="3" t="s">
        <v>7</v>
      </c>
      <c r="G2" t="s">
        <v>12</v>
      </c>
      <c r="H2" t="s">
        <v>1107</v>
      </c>
      <c r="I2" t="s">
        <v>23</v>
      </c>
      <c r="J2" t="s">
        <v>49</v>
      </c>
      <c r="K2" t="s">
        <v>10</v>
      </c>
      <c r="L2" t="s">
        <v>10</v>
      </c>
      <c r="M2" t="s">
        <v>10</v>
      </c>
      <c r="N2" t="s">
        <v>10</v>
      </c>
      <c r="O2" t="str">
        <f>INDEX(CoverageTable[Deductible Applies],MATCH(Table1820[[#This Row],[Coverage]],CoverageTable[Coverage],0))</f>
        <v>Yes</v>
      </c>
      <c r="P2" t="str">
        <f>INDEX(CoverageTable[Coverage Limit Applies],MATCH(Table1820[[#This Row],[Coverage]],CoverageTable[Coverage],0))</f>
        <v>No</v>
      </c>
      <c r="Q2" t="s">
        <v>79</v>
      </c>
      <c r="R2" t="s">
        <v>10</v>
      </c>
      <c r="S2" t="s">
        <v>57</v>
      </c>
      <c r="T2" t="s">
        <v>10</v>
      </c>
      <c r="U2" t="s">
        <v>10</v>
      </c>
      <c r="V2" t="s">
        <v>10</v>
      </c>
      <c r="W2" t="s">
        <v>57</v>
      </c>
      <c r="X2" s="11">
        <v>300.05621586423615</v>
      </c>
      <c r="Y2">
        <f>_xlfn.XLOOKUP(Table1820[[#This Row],[Coverage]],CoverageTable[Coverage],CoverageTable[Base Rate],,0)</f>
        <v>121</v>
      </c>
      <c r="Z2">
        <f>INDEX(Table16[Ageband Factor],MATCH(Table1820[[#This Row],[Ageband]],Table16[Ageband],0))</f>
        <v>1.23</v>
      </c>
      <c r="AA2">
        <f>VLOOKUP(Table1820[[#This Row],[Years Driving]],Table1[],2)</f>
        <v>1.64</v>
      </c>
      <c r="AB2">
        <f>_xlfn.XLOOKUP(Table1820[[#This Row],[At Fault Accidents]],Table2[At Fault Accidents],Table2[At Fault Accident Factor],,0)</f>
        <v>2.4700000000000002</v>
      </c>
      <c r="AC2">
        <f>_xlfn.XLOOKUP(Table1820[[#This Row],[Usage-Based Insurance]],Table3[Usage-Based Insurance],Table3[Usage-Based Insurance Discount],,0)</f>
        <v>0.8</v>
      </c>
      <c r="AD2">
        <f>_xlfn.XLOOKUP(Table1820[[#This Row],[Yearly Miles]],Table4[Yearly Miles],Table4[Yearly Miles Factor],,0)</f>
        <v>0.93</v>
      </c>
      <c r="AE2">
        <f>_xlfn.XLOOKUP(Table1820[[#This Row],[City/Zip Code]],Table5[City/Zip Code],Table5[City/Zip Code Factor],,0)</f>
        <v>0.92</v>
      </c>
      <c r="AF2">
        <f>_xlfn.XLOOKUP(Table1820[[#This Row],[Vehicle Price]],Table6[Vehicle Price],Table6[Vehicle Price Factor])</f>
        <v>0.97</v>
      </c>
      <c r="AG2">
        <f>_xlfn.XLOOKUP(Table1820[[#This Row],[Exotic Car]],Table7[Exotic Car],Table7[Exotic Car Factor],,0)</f>
        <v>1</v>
      </c>
      <c r="AH2">
        <f>_xlfn.XLOOKUP(Table1820[[#This Row],[Difficult Parts]],Table8[Difficult Parts],Table8[Difficult Parts Factor],,0)</f>
        <v>1</v>
      </c>
      <c r="AI2">
        <f>_xlfn.XLOOKUP(Table1820[[#This Row],[High Theft Rate]],Table9[High Theft Rate],Table9[High Theft Rate Factor],,0)</f>
        <v>1</v>
      </c>
      <c r="AJ2">
        <f>_xlfn.XLOOKUP(Table1820[[#This Row],[Advanced Safety Features]],Table10[Advanced Safety Features],Table10[Advanced Safety Features Factor],,0)</f>
        <v>1</v>
      </c>
      <c r="AK2">
        <f>_xlfn.XLOOKUP(Table1820[[#This Row],[Deductible]],Table12[Deductible],Table12[Deductible Factor],,0)</f>
        <v>0.84</v>
      </c>
      <c r="AL2">
        <f>_xlfn.XLOOKUP(Table1820[[#This Row],[Coverage Limit]],Table13[Coverage Limit],Table13[Coverage Limit Factor],,0)</f>
        <v>1</v>
      </c>
      <c r="AM2">
        <f>IF(Table1820[[#This Row],[Good Student Discount]]="Yes",'Rate Book'!$D$126,1)</f>
        <v>0.92</v>
      </c>
      <c r="AN2">
        <f>IF(Table1820[[#This Row],[Good Driver Discount]]="Yes",'Rate Book'!$D$127,1)</f>
        <v>1</v>
      </c>
      <c r="AO2">
        <f>IF(Table1820[[#This Row],[Multi Policy Discount]]="Yes",'Rate Book'!$D$128,1)</f>
        <v>1</v>
      </c>
      <c r="AP2">
        <f>IF(Table1820[[#This Row],[Loyal Customer Discount]]="Yes",'Rate Book'!$D$129,1)</f>
        <v>1</v>
      </c>
      <c r="AQ2">
        <f>IF(Table1820[[#This Row],[Organization Discount]]="Yes",'Rate Book'!$D$130,1)</f>
        <v>0.97</v>
      </c>
      <c r="AR2" cm="1">
        <f t="array" ref="AR2">IF(Table1820[[#This Row],[Effective Date]]&gt;=RateChangeTable[Effective Date],RateChangeTable[Rate Change Factor],1)</f>
        <v>1</v>
      </c>
      <c r="AS2" s="10">
        <f>PRODUCT(Table1820[[#This Row],[Base Rate]:[Rate Change Factor]])</f>
        <v>300.05621586423615</v>
      </c>
      <c r="AT2" s="9">
        <f>Table1820[[#This Row],[System-Generated Premium]]-Table1820[[#This Row],[Expected Premium]]</f>
        <v>0</v>
      </c>
      <c r="AU2" t="str">
        <f>IF(Table1820[[#This Row],[Difference]]=0,"PASS","FAIL")</f>
        <v>PASS</v>
      </c>
      <c r="AV2" s="9">
        <f>ABS(Table1820[[#This Row],[Difference]])</f>
        <v>0</v>
      </c>
      <c r="AW2" s="9" t="s">
        <v>1136</v>
      </c>
    </row>
    <row r="3" spans="1:49" x14ac:dyDescent="0.3">
      <c r="A3" t="s">
        <v>94</v>
      </c>
      <c r="B3" s="7">
        <v>45889</v>
      </c>
      <c r="C3" t="s">
        <v>74</v>
      </c>
      <c r="D3" t="s">
        <v>1097</v>
      </c>
      <c r="E3" s="3">
        <v>5</v>
      </c>
      <c r="F3" s="3">
        <v>4</v>
      </c>
      <c r="G3" t="s">
        <v>10</v>
      </c>
      <c r="H3" t="s">
        <v>1108</v>
      </c>
      <c r="I3" t="s">
        <v>43</v>
      </c>
      <c r="J3" t="s">
        <v>53</v>
      </c>
      <c r="K3" t="s">
        <v>10</v>
      </c>
      <c r="L3" t="s">
        <v>57</v>
      </c>
      <c r="M3" t="s">
        <v>10</v>
      </c>
      <c r="N3" t="s">
        <v>10</v>
      </c>
      <c r="O3" t="str">
        <f>INDEX(CoverageTable[Deductible Applies],MATCH(Table1820[[#This Row],[Coverage]],CoverageTable[Coverage],0))</f>
        <v>No</v>
      </c>
      <c r="P3" t="str">
        <f>INDEX(CoverageTable[Coverage Limit Applies],MATCH(Table1820[[#This Row],[Coverage]],CoverageTable[Coverage],0))</f>
        <v>Yes</v>
      </c>
      <c r="Q3" t="s">
        <v>10</v>
      </c>
      <c r="R3" t="s">
        <v>80</v>
      </c>
      <c r="S3" t="s">
        <v>10</v>
      </c>
      <c r="T3" t="s">
        <v>10</v>
      </c>
      <c r="U3" t="s">
        <v>57</v>
      </c>
      <c r="V3" t="s">
        <v>10</v>
      </c>
      <c r="W3" t="s">
        <v>10</v>
      </c>
      <c r="X3" s="11">
        <v>276.60396944576314</v>
      </c>
      <c r="Y3">
        <f>_xlfn.XLOOKUP(Table1820[[#This Row],[Coverage]],CoverageTable[Coverage],CoverageTable[Base Rate],,0)</f>
        <v>41</v>
      </c>
      <c r="Z3">
        <f>INDEX(Table16[Ageband Factor],MATCH(Table1820[[#This Row],[Ageband]],Table16[Ageband],0))</f>
        <v>1.32</v>
      </c>
      <c r="AA3">
        <f>VLOOKUP(Table1820[[#This Row],[Years Driving]],Table1[],2)</f>
        <v>1.07</v>
      </c>
      <c r="AB3">
        <f>_xlfn.XLOOKUP(Table1820[[#This Row],[At Fault Accidents]],Table2[At Fault Accidents],Table2[At Fault Accident Factor],,0)</f>
        <v>2.12</v>
      </c>
      <c r="AC3">
        <f>_xlfn.XLOOKUP(Table1820[[#This Row],[Usage-Based Insurance]],Table3[Usage-Based Insurance],Table3[Usage-Based Insurance Discount],,0)</f>
        <v>1</v>
      </c>
      <c r="AD3">
        <f>_xlfn.XLOOKUP(Table1820[[#This Row],[Yearly Miles]],Table4[Yearly Miles],Table4[Yearly Miles Factor],,0)</f>
        <v>1</v>
      </c>
      <c r="AE3">
        <f>_xlfn.XLOOKUP(Table1820[[#This Row],[City/Zip Code]],Table5[City/Zip Code],Table5[City/Zip Code Factor],,0)</f>
        <v>1.18</v>
      </c>
      <c r="AF3">
        <f>_xlfn.XLOOKUP(Table1820[[#This Row],[Vehicle Price]],Table6[Vehicle Price],Table6[Vehicle Price Factor])</f>
        <v>2.02</v>
      </c>
      <c r="AG3">
        <f>_xlfn.XLOOKUP(Table1820[[#This Row],[Exotic Car]],Table7[Exotic Car],Table7[Exotic Car Factor],,0)</f>
        <v>1</v>
      </c>
      <c r="AH3">
        <f>_xlfn.XLOOKUP(Table1820[[#This Row],[Difficult Parts]],Table8[Difficult Parts],Table8[Difficult Parts Factor],,0)</f>
        <v>1.21</v>
      </c>
      <c r="AI3">
        <f>_xlfn.XLOOKUP(Table1820[[#This Row],[High Theft Rate]],Table9[High Theft Rate],Table9[High Theft Rate Factor],,0)</f>
        <v>1</v>
      </c>
      <c r="AJ3">
        <f>_xlfn.XLOOKUP(Table1820[[#This Row],[Advanced Safety Features]],Table10[Advanced Safety Features],Table10[Advanced Safety Features Factor],,0)</f>
        <v>1</v>
      </c>
      <c r="AK3">
        <f>_xlfn.XLOOKUP(Table1820[[#This Row],[Deductible]],Table12[Deductible],Table12[Deductible Factor],,0)</f>
        <v>1</v>
      </c>
      <c r="AL3">
        <f>_xlfn.XLOOKUP(Table1820[[#This Row],[Coverage Limit]],Table13[Coverage Limit],Table13[Coverage Limit Factor],,0)</f>
        <v>0.84</v>
      </c>
      <c r="AM3">
        <f>IF(Table1820[[#This Row],[Good Student Discount]]="Yes",'Rate Book'!$D$126,1)</f>
        <v>1</v>
      </c>
      <c r="AN3">
        <f>IF(Table1820[[#This Row],[Good Driver Discount]]="Yes",'Rate Book'!$D$127,1)</f>
        <v>1</v>
      </c>
      <c r="AO3">
        <f>IF(Table1820[[#This Row],[Multi Policy Discount]]="Yes",'Rate Book'!$D$128,1)</f>
        <v>0.93</v>
      </c>
      <c r="AP3">
        <f>IF(Table1820[[#This Row],[Loyal Customer Discount]]="Yes",'Rate Book'!$D$129,1)</f>
        <v>1</v>
      </c>
      <c r="AQ3">
        <f>IF(Table1820[[#This Row],[Organization Discount]]="Yes",'Rate Book'!$D$130,1)</f>
        <v>1</v>
      </c>
      <c r="AR3" cm="1">
        <f t="array" ref="AR3">IF(Table1820[[#This Row],[Effective Date]]&gt;=RateChangeTable[Effective Date],RateChangeTable[Rate Change Factor],1)</f>
        <v>1</v>
      </c>
      <c r="AS3" s="10">
        <f>PRODUCT(Table1820[[#This Row],[Base Rate]:[Rate Change Factor]])</f>
        <v>276.60396944576314</v>
      </c>
      <c r="AT3" s="9">
        <f>Table1820[[#This Row],[System-Generated Premium]]-Table1820[[#This Row],[Expected Premium]]</f>
        <v>0</v>
      </c>
      <c r="AU3" t="str">
        <f>IF(Table1820[[#This Row],[Difference]]=0,"PASS","FAIL")</f>
        <v>PASS</v>
      </c>
      <c r="AV3" s="9">
        <f>ABS(Table1820[[#This Row],[Difference]])</f>
        <v>0</v>
      </c>
      <c r="AW3" s="9" t="s">
        <v>1136</v>
      </c>
    </row>
    <row r="4" spans="1:49" x14ac:dyDescent="0.3">
      <c r="A4" t="s">
        <v>95</v>
      </c>
      <c r="B4" s="7">
        <v>45946</v>
      </c>
      <c r="C4" t="s">
        <v>74</v>
      </c>
      <c r="D4" t="s">
        <v>1101</v>
      </c>
      <c r="E4" s="3">
        <v>5</v>
      </c>
      <c r="F4" s="3" t="s">
        <v>7</v>
      </c>
      <c r="G4" t="s">
        <v>10</v>
      </c>
      <c r="H4" t="s">
        <v>1107</v>
      </c>
      <c r="I4" t="s">
        <v>31</v>
      </c>
      <c r="J4" t="s">
        <v>49</v>
      </c>
      <c r="K4" t="s">
        <v>10</v>
      </c>
      <c r="L4" t="s">
        <v>10</v>
      </c>
      <c r="M4" t="s">
        <v>10</v>
      </c>
      <c r="N4" t="s">
        <v>10</v>
      </c>
      <c r="O4" t="str">
        <f>INDEX(CoverageTable[Deductible Applies],MATCH(Table1820[[#This Row],[Coverage]],CoverageTable[Coverage],0))</f>
        <v>No</v>
      </c>
      <c r="P4" t="str">
        <f>INDEX(CoverageTable[Coverage Limit Applies],MATCH(Table1820[[#This Row],[Coverage]],CoverageTable[Coverage],0))</f>
        <v>Yes</v>
      </c>
      <c r="Q4" t="s">
        <v>10</v>
      </c>
      <c r="R4" t="s">
        <v>80</v>
      </c>
      <c r="S4" t="s">
        <v>10</v>
      </c>
      <c r="T4" t="s">
        <v>10</v>
      </c>
      <c r="U4" t="s">
        <v>10</v>
      </c>
      <c r="V4" t="s">
        <v>10</v>
      </c>
      <c r="W4" t="s">
        <v>10</v>
      </c>
      <c r="X4" s="11">
        <v>102.07974065470273</v>
      </c>
      <c r="Y4">
        <f>_xlfn.XLOOKUP(Table1820[[#This Row],[Coverage]],CoverageTable[Coverage],CoverageTable[Base Rate],,0)</f>
        <v>41</v>
      </c>
      <c r="Z4">
        <f>INDEX(Table16[Ageband Factor],MATCH(Table1820[[#This Row],[Ageband]],Table16[Ageband],0))</f>
        <v>1.1200000000000001</v>
      </c>
      <c r="AA4">
        <f>VLOOKUP(Table1820[[#This Row],[Years Driving]],Table1[],2)</f>
        <v>1.07</v>
      </c>
      <c r="AB4">
        <f>_xlfn.XLOOKUP(Table1820[[#This Row],[At Fault Accidents]],Table2[At Fault Accidents],Table2[At Fault Accident Factor],,0)</f>
        <v>2.4700000000000002</v>
      </c>
      <c r="AC4">
        <f>_xlfn.XLOOKUP(Table1820[[#This Row],[Usage-Based Insurance]],Table3[Usage-Based Insurance],Table3[Usage-Based Insurance Discount],,0)</f>
        <v>1</v>
      </c>
      <c r="AD4">
        <f>_xlfn.XLOOKUP(Table1820[[#This Row],[Yearly Miles]],Table4[Yearly Miles],Table4[Yearly Miles Factor],,0)</f>
        <v>0.93</v>
      </c>
      <c r="AE4">
        <f>_xlfn.XLOOKUP(Table1820[[#This Row],[City/Zip Code]],Table5[City/Zip Code],Table5[City/Zip Code Factor],,0)</f>
        <v>1.1100000000000001</v>
      </c>
      <c r="AF4">
        <f>_xlfn.XLOOKUP(Table1820[[#This Row],[Vehicle Price]],Table6[Vehicle Price],Table6[Vehicle Price Factor])</f>
        <v>0.97</v>
      </c>
      <c r="AG4">
        <f>_xlfn.XLOOKUP(Table1820[[#This Row],[Exotic Car]],Table7[Exotic Car],Table7[Exotic Car Factor],,0)</f>
        <v>1</v>
      </c>
      <c r="AH4">
        <f>_xlfn.XLOOKUP(Table1820[[#This Row],[Difficult Parts]],Table8[Difficult Parts],Table8[Difficult Parts Factor],,0)</f>
        <v>1</v>
      </c>
      <c r="AI4">
        <f>_xlfn.XLOOKUP(Table1820[[#This Row],[High Theft Rate]],Table9[High Theft Rate],Table9[High Theft Rate Factor],,0)</f>
        <v>1</v>
      </c>
      <c r="AJ4">
        <f>_xlfn.XLOOKUP(Table1820[[#This Row],[Advanced Safety Features]],Table10[Advanced Safety Features],Table10[Advanced Safety Features Factor],,0)</f>
        <v>1</v>
      </c>
      <c r="AK4">
        <f>_xlfn.XLOOKUP(Table1820[[#This Row],[Deductible]],Table12[Deductible],Table12[Deductible Factor],,0)</f>
        <v>1</v>
      </c>
      <c r="AL4">
        <f>_xlfn.XLOOKUP(Table1820[[#This Row],[Coverage Limit]],Table13[Coverage Limit],Table13[Coverage Limit Factor],,0)</f>
        <v>0.84</v>
      </c>
      <c r="AM4">
        <f>IF(Table1820[[#This Row],[Good Student Discount]]="Yes",'Rate Book'!$D$126,1)</f>
        <v>1</v>
      </c>
      <c r="AN4">
        <f>IF(Table1820[[#This Row],[Good Driver Discount]]="Yes",'Rate Book'!$D$127,1)</f>
        <v>1</v>
      </c>
      <c r="AO4">
        <f>IF(Table1820[[#This Row],[Multi Policy Discount]]="Yes",'Rate Book'!$D$128,1)</f>
        <v>1</v>
      </c>
      <c r="AP4">
        <f>IF(Table1820[[#This Row],[Loyal Customer Discount]]="Yes",'Rate Book'!$D$129,1)</f>
        <v>1</v>
      </c>
      <c r="AQ4">
        <f>IF(Table1820[[#This Row],[Organization Discount]]="Yes",'Rate Book'!$D$130,1)</f>
        <v>1</v>
      </c>
      <c r="AR4" cm="1">
        <f t="array" ref="AR4">IF(Table1820[[#This Row],[Effective Date]]&gt;=RateChangeTable[Effective Date],RateChangeTable[Rate Change Factor],1)</f>
        <v>1</v>
      </c>
      <c r="AS4" s="10">
        <f>PRODUCT(Table1820[[#This Row],[Base Rate]:[Rate Change Factor]])</f>
        <v>102.07974065470273</v>
      </c>
      <c r="AT4" s="9">
        <f>Table1820[[#This Row],[System-Generated Premium]]-Table1820[[#This Row],[Expected Premium]]</f>
        <v>0</v>
      </c>
      <c r="AU4" t="str">
        <f>IF(Table1820[[#This Row],[Difference]]=0,"PASS","FAIL")</f>
        <v>PASS</v>
      </c>
      <c r="AV4" s="9">
        <f>ABS(Table1820[[#This Row],[Difference]])</f>
        <v>0</v>
      </c>
      <c r="AW4" s="9" t="s">
        <v>1136</v>
      </c>
    </row>
    <row r="5" spans="1:49" x14ac:dyDescent="0.3">
      <c r="A5" t="s">
        <v>96</v>
      </c>
      <c r="B5" s="7">
        <v>46106</v>
      </c>
      <c r="C5" t="s">
        <v>72</v>
      </c>
      <c r="D5" t="s">
        <v>1102</v>
      </c>
      <c r="E5" s="3" t="s">
        <v>1103</v>
      </c>
      <c r="F5" s="3">
        <v>2</v>
      </c>
      <c r="G5" t="s">
        <v>12</v>
      </c>
      <c r="H5" t="s">
        <v>1110</v>
      </c>
      <c r="I5" t="s">
        <v>37</v>
      </c>
      <c r="J5" t="s">
        <v>48</v>
      </c>
      <c r="K5" t="s">
        <v>10</v>
      </c>
      <c r="L5" t="s">
        <v>10</v>
      </c>
      <c r="M5" t="s">
        <v>10</v>
      </c>
      <c r="N5" t="s">
        <v>57</v>
      </c>
      <c r="O5" t="str">
        <f>INDEX(CoverageTable[Deductible Applies],MATCH(Table1820[[#This Row],[Coverage]],CoverageTable[Coverage],0))</f>
        <v>Yes</v>
      </c>
      <c r="P5" t="str">
        <f>INDEX(CoverageTable[Coverage Limit Applies],MATCH(Table1820[[#This Row],[Coverage]],CoverageTable[Coverage],0))</f>
        <v>No</v>
      </c>
      <c r="Q5" t="s">
        <v>78</v>
      </c>
      <c r="R5" t="s">
        <v>10</v>
      </c>
      <c r="S5" t="s">
        <v>10</v>
      </c>
      <c r="T5" t="s">
        <v>57</v>
      </c>
      <c r="U5" t="s">
        <v>57</v>
      </c>
      <c r="V5" t="s">
        <v>10</v>
      </c>
      <c r="W5" t="s">
        <v>10</v>
      </c>
      <c r="X5" s="11">
        <v>143.58000000000001</v>
      </c>
      <c r="Y5">
        <f>_xlfn.XLOOKUP(Table1820[[#This Row],[Coverage]],CoverageTable[Coverage],CoverageTable[Base Rate],,0)</f>
        <v>121</v>
      </c>
      <c r="Z5">
        <f>INDEX(Table16[Ageband Factor],MATCH(Table1820[[#This Row],[Ageband]],Table16[Ageband],0))</f>
        <v>1.27</v>
      </c>
      <c r="AA5">
        <f>VLOOKUP(Table1820[[#This Row],[Years Driving]],Table1[],2)</f>
        <v>0.93</v>
      </c>
      <c r="AB5">
        <f>_xlfn.XLOOKUP(Table1820[[#This Row],[At Fault Accidents]],Table2[At Fault Accidents],Table2[At Fault Accident Factor],,0)</f>
        <v>1.55</v>
      </c>
      <c r="AC5">
        <f>_xlfn.XLOOKUP(Table1820[[#This Row],[Usage-Based Insurance]],Table3[Usage-Based Insurance],Table3[Usage-Based Insurance Discount],,0)</f>
        <v>0.8</v>
      </c>
      <c r="AD5">
        <f>_xlfn.XLOOKUP(Table1820[[#This Row],[Yearly Miles]],Table4[Yearly Miles],Table4[Yearly Miles Factor],,0)</f>
        <v>1.31</v>
      </c>
      <c r="AE5">
        <f>_xlfn.XLOOKUP(Table1820[[#This Row],[City/Zip Code]],Table5[City/Zip Code],Table5[City/Zip Code Factor],,0)</f>
        <v>1.0900000000000001</v>
      </c>
      <c r="AF5">
        <f>_xlfn.XLOOKUP(Table1820[[#This Row],[Vehicle Price]],Table6[Vehicle Price],Table6[Vehicle Price Factor])</f>
        <v>0.82</v>
      </c>
      <c r="AG5">
        <f>_xlfn.XLOOKUP(Table1820[[#This Row],[Exotic Car]],Table7[Exotic Car],Table7[Exotic Car Factor],,0)</f>
        <v>1</v>
      </c>
      <c r="AH5">
        <f>_xlfn.XLOOKUP(Table1820[[#This Row],[Difficult Parts]],Table8[Difficult Parts],Table8[Difficult Parts Factor],,0)</f>
        <v>1</v>
      </c>
      <c r="AI5">
        <f>_xlfn.XLOOKUP(Table1820[[#This Row],[High Theft Rate]],Table9[High Theft Rate],Table9[High Theft Rate Factor],,0)</f>
        <v>1</v>
      </c>
      <c r="AJ5">
        <f>_xlfn.XLOOKUP(Table1820[[#This Row],[Advanced Safety Features]],Table10[Advanced Safety Features],Table10[Advanced Safety Features Factor],,0)</f>
        <v>0.88</v>
      </c>
      <c r="AK5">
        <f>_xlfn.XLOOKUP(Table1820[[#This Row],[Deductible]],Table12[Deductible],Table12[Deductible Factor],,0)</f>
        <v>0.95</v>
      </c>
      <c r="AL5">
        <f>_xlfn.XLOOKUP(Table1820[[#This Row],[Coverage Limit]],Table13[Coverage Limit],Table13[Coverage Limit Factor],,0)</f>
        <v>1</v>
      </c>
      <c r="AM5">
        <f>IF(Table1820[[#This Row],[Good Student Discount]]="Yes",'Rate Book'!$D$126,1)</f>
        <v>1</v>
      </c>
      <c r="AN5">
        <f>IF(Table1820[[#This Row],[Good Driver Discount]]="Yes",'Rate Book'!$D$127,1)</f>
        <v>0.89</v>
      </c>
      <c r="AO5">
        <f>IF(Table1820[[#This Row],[Multi Policy Discount]]="Yes",'Rate Book'!$D$128,1)</f>
        <v>0.93</v>
      </c>
      <c r="AP5">
        <f>IF(Table1820[[#This Row],[Loyal Customer Discount]]="Yes",'Rate Book'!$D$129,1)</f>
        <v>1</v>
      </c>
      <c r="AQ5">
        <f>IF(Table1820[[#This Row],[Organization Discount]]="Yes",'Rate Book'!$D$130,1)</f>
        <v>1</v>
      </c>
      <c r="AR5" cm="1">
        <f t="array" ref="AR5">IF(Table1820[[#This Row],[Effective Date]]&gt;=RateChangeTable[Effective Date],RateChangeTable[Rate Change Factor],1)</f>
        <v>1.06</v>
      </c>
      <c r="AS5" s="10">
        <f>PRODUCT(Table1820[[#This Row],[Base Rate]:[Rate Change Factor]])</f>
        <v>152.19152502276773</v>
      </c>
      <c r="AT5" s="9">
        <f>Table1820[[#This Row],[System-Generated Premium]]-Table1820[[#This Row],[Expected Premium]]</f>
        <v>-8.6115250227677222</v>
      </c>
      <c r="AU5" t="str">
        <f>IF(Table1820[[#This Row],[Difference]]=0,"PASS","FAIL")</f>
        <v>FAIL</v>
      </c>
      <c r="AV5" s="9">
        <f>ABS(Table1820[[#This Row],[Difference]])</f>
        <v>8.6115250227677222</v>
      </c>
      <c r="AW5" s="9" t="s">
        <v>1133</v>
      </c>
    </row>
    <row r="6" spans="1:49" x14ac:dyDescent="0.3">
      <c r="A6" t="s">
        <v>97</v>
      </c>
      <c r="B6" s="7">
        <v>46023</v>
      </c>
      <c r="C6" t="s">
        <v>71</v>
      </c>
      <c r="D6" t="s">
        <v>1101</v>
      </c>
      <c r="E6" s="3">
        <v>7</v>
      </c>
      <c r="F6" s="3">
        <v>3</v>
      </c>
      <c r="G6" t="s">
        <v>12</v>
      </c>
      <c r="H6" t="s">
        <v>1109</v>
      </c>
      <c r="I6" t="s">
        <v>41</v>
      </c>
      <c r="J6" t="s">
        <v>51</v>
      </c>
      <c r="K6" t="s">
        <v>10</v>
      </c>
      <c r="L6" t="s">
        <v>10</v>
      </c>
      <c r="M6" t="s">
        <v>10</v>
      </c>
      <c r="N6" t="s">
        <v>57</v>
      </c>
      <c r="O6" t="str">
        <f>INDEX(CoverageTable[Deductible Applies],MATCH(Table1820[[#This Row],[Coverage]],CoverageTable[Coverage],0))</f>
        <v>Yes</v>
      </c>
      <c r="P6" t="str">
        <f>INDEX(CoverageTable[Coverage Limit Applies],MATCH(Table1820[[#This Row],[Coverage]],CoverageTable[Coverage],0))</f>
        <v>No</v>
      </c>
      <c r="Q6" t="s">
        <v>78</v>
      </c>
      <c r="R6" t="s">
        <v>10</v>
      </c>
      <c r="S6" t="s">
        <v>10</v>
      </c>
      <c r="T6" t="s">
        <v>10</v>
      </c>
      <c r="U6" t="s">
        <v>57</v>
      </c>
      <c r="V6" t="s">
        <v>10</v>
      </c>
      <c r="W6" t="s">
        <v>10</v>
      </c>
      <c r="X6" s="11">
        <v>1004.5836683877213</v>
      </c>
      <c r="Y6">
        <f>_xlfn.XLOOKUP(Table1820[[#This Row],[Coverage]],CoverageTable[Coverage],CoverageTable[Base Rate],,0)</f>
        <v>453</v>
      </c>
      <c r="Z6">
        <f>INDEX(Table16[Ageband Factor],MATCH(Table1820[[#This Row],[Ageband]],Table16[Ageband],0))</f>
        <v>1.1200000000000001</v>
      </c>
      <c r="AA6">
        <f>VLOOKUP(Table1820[[#This Row],[Years Driving]],Table1[],2)</f>
        <v>0.95</v>
      </c>
      <c r="AB6">
        <f>_xlfn.XLOOKUP(Table1820[[#This Row],[At Fault Accidents]],Table2[At Fault Accidents],Table2[At Fault Accident Factor],,0)</f>
        <v>1.82</v>
      </c>
      <c r="AC6">
        <f>_xlfn.XLOOKUP(Table1820[[#This Row],[Usage-Based Insurance]],Table3[Usage-Based Insurance],Table3[Usage-Based Insurance Discount],,0)</f>
        <v>0.8</v>
      </c>
      <c r="AD6">
        <f>_xlfn.XLOOKUP(Table1820[[#This Row],[Yearly Miles]],Table4[Yearly Miles],Table4[Yearly Miles Factor],,0)</f>
        <v>1.18</v>
      </c>
      <c r="AE6">
        <f>_xlfn.XLOOKUP(Table1820[[#This Row],[City/Zip Code]],Table5[City/Zip Code],Table5[City/Zip Code Factor],,0)</f>
        <v>1.1499999999999999</v>
      </c>
      <c r="AF6">
        <f>_xlfn.XLOOKUP(Table1820[[#This Row],[Vehicle Price]],Table6[Vehicle Price],Table6[Vehicle Price Factor])</f>
        <v>1.28</v>
      </c>
      <c r="AG6">
        <f>_xlfn.XLOOKUP(Table1820[[#This Row],[Exotic Car]],Table7[Exotic Car],Table7[Exotic Car Factor],,0)</f>
        <v>1</v>
      </c>
      <c r="AH6">
        <f>_xlfn.XLOOKUP(Table1820[[#This Row],[Difficult Parts]],Table8[Difficult Parts],Table8[Difficult Parts Factor],,0)</f>
        <v>1</v>
      </c>
      <c r="AI6">
        <f>_xlfn.XLOOKUP(Table1820[[#This Row],[High Theft Rate]],Table9[High Theft Rate],Table9[High Theft Rate Factor],,0)</f>
        <v>1</v>
      </c>
      <c r="AJ6">
        <f>_xlfn.XLOOKUP(Table1820[[#This Row],[Advanced Safety Features]],Table10[Advanced Safety Features],Table10[Advanced Safety Features Factor],,0)</f>
        <v>0.88</v>
      </c>
      <c r="AK6">
        <f>_xlfn.XLOOKUP(Table1820[[#This Row],[Deductible]],Table12[Deductible],Table12[Deductible Factor],,0)</f>
        <v>0.95</v>
      </c>
      <c r="AL6">
        <f>_xlfn.XLOOKUP(Table1820[[#This Row],[Coverage Limit]],Table13[Coverage Limit],Table13[Coverage Limit Factor],,0)</f>
        <v>1</v>
      </c>
      <c r="AM6">
        <f>IF(Table1820[[#This Row],[Good Student Discount]]="Yes",'Rate Book'!$D$126,1)</f>
        <v>1</v>
      </c>
      <c r="AN6">
        <f>IF(Table1820[[#This Row],[Good Driver Discount]]="Yes",'Rate Book'!$D$127,1)</f>
        <v>1</v>
      </c>
      <c r="AO6">
        <f>IF(Table1820[[#This Row],[Multi Policy Discount]]="Yes",'Rate Book'!$D$128,1)</f>
        <v>0.93</v>
      </c>
      <c r="AP6">
        <f>IF(Table1820[[#This Row],[Loyal Customer Discount]]="Yes",'Rate Book'!$D$129,1)</f>
        <v>1</v>
      </c>
      <c r="AQ6">
        <f>IF(Table1820[[#This Row],[Organization Discount]]="Yes",'Rate Book'!$D$130,1)</f>
        <v>1</v>
      </c>
      <c r="AR6" cm="1">
        <f t="array" ref="AR6">IF(Table1820[[#This Row],[Effective Date]]&gt;=RateChangeTable[Effective Date],RateChangeTable[Rate Change Factor],1)</f>
        <v>1.06</v>
      </c>
      <c r="AS6" s="10">
        <f>PRODUCT(Table1820[[#This Row],[Base Rate]:[Rate Change Factor]])</f>
        <v>1004.5836683877213</v>
      </c>
      <c r="AT6" s="9">
        <f>Table1820[[#This Row],[System-Generated Premium]]-Table1820[[#This Row],[Expected Premium]]</f>
        <v>0</v>
      </c>
      <c r="AU6" t="str">
        <f>IF(Table1820[[#This Row],[Difference]]=0,"PASS","FAIL")</f>
        <v>PASS</v>
      </c>
      <c r="AV6" s="9">
        <f>ABS(Table1820[[#This Row],[Difference]])</f>
        <v>0</v>
      </c>
      <c r="AW6" s="9" t="s">
        <v>1136</v>
      </c>
    </row>
    <row r="7" spans="1:49" x14ac:dyDescent="0.3">
      <c r="A7" t="s">
        <v>98</v>
      </c>
      <c r="B7" s="7">
        <v>45924</v>
      </c>
      <c r="C7" t="s">
        <v>71</v>
      </c>
      <c r="D7" t="s">
        <v>1098</v>
      </c>
      <c r="E7" s="3" t="s">
        <v>1103</v>
      </c>
      <c r="F7" s="3">
        <v>4</v>
      </c>
      <c r="G7" t="s">
        <v>10</v>
      </c>
      <c r="H7" t="s">
        <v>1110</v>
      </c>
      <c r="I7" t="s">
        <v>37</v>
      </c>
      <c r="J7" t="s">
        <v>49</v>
      </c>
      <c r="K7" t="s">
        <v>10</v>
      </c>
      <c r="L7" t="s">
        <v>10</v>
      </c>
      <c r="M7" t="s">
        <v>10</v>
      </c>
      <c r="N7" t="s">
        <v>10</v>
      </c>
      <c r="O7" t="str">
        <f>INDEX(CoverageTable[Deductible Applies],MATCH(Table1820[[#This Row],[Coverage]],CoverageTable[Coverage],0))</f>
        <v>Yes</v>
      </c>
      <c r="P7" t="str">
        <f>INDEX(CoverageTable[Coverage Limit Applies],MATCH(Table1820[[#This Row],[Coverage]],CoverageTable[Coverage],0))</f>
        <v>No</v>
      </c>
      <c r="Q7" t="s">
        <v>80</v>
      </c>
      <c r="R7" t="s">
        <v>10</v>
      </c>
      <c r="S7" t="s">
        <v>10</v>
      </c>
      <c r="T7" t="s">
        <v>10</v>
      </c>
      <c r="U7" t="s">
        <v>10</v>
      </c>
      <c r="V7" t="s">
        <v>10</v>
      </c>
      <c r="W7" t="s">
        <v>10</v>
      </c>
      <c r="X7" s="11">
        <v>1095.5296782400696</v>
      </c>
      <c r="Y7">
        <f>_xlfn.XLOOKUP(Table1820[[#This Row],[Coverage]],CoverageTable[Coverage],CoverageTable[Base Rate],,0)</f>
        <v>453</v>
      </c>
      <c r="Z7">
        <f>INDEX(Table16[Ageband Factor],MATCH(Table1820[[#This Row],[Ageband]],Table16[Ageband],0))</f>
        <v>1.23</v>
      </c>
      <c r="AA7">
        <f>VLOOKUP(Table1820[[#This Row],[Years Driving]],Table1[],2)</f>
        <v>0.93</v>
      </c>
      <c r="AB7">
        <f>_xlfn.XLOOKUP(Table1820[[#This Row],[At Fault Accidents]],Table2[At Fault Accidents],Table2[At Fault Accident Factor],,0)</f>
        <v>2.12</v>
      </c>
      <c r="AC7">
        <f>_xlfn.XLOOKUP(Table1820[[#This Row],[Usage-Based Insurance]],Table3[Usage-Based Insurance],Table3[Usage-Based Insurance Discount],,0)</f>
        <v>1</v>
      </c>
      <c r="AD7">
        <f>_xlfn.XLOOKUP(Table1820[[#This Row],[Yearly Miles]],Table4[Yearly Miles],Table4[Yearly Miles Factor],,0)</f>
        <v>1.31</v>
      </c>
      <c r="AE7">
        <f>_xlfn.XLOOKUP(Table1820[[#This Row],[City/Zip Code]],Table5[City/Zip Code],Table5[City/Zip Code Factor],,0)</f>
        <v>1.0900000000000001</v>
      </c>
      <c r="AF7">
        <f>_xlfn.XLOOKUP(Table1820[[#This Row],[Vehicle Price]],Table6[Vehicle Price],Table6[Vehicle Price Factor])</f>
        <v>0.97</v>
      </c>
      <c r="AG7">
        <f>_xlfn.XLOOKUP(Table1820[[#This Row],[Exotic Car]],Table7[Exotic Car],Table7[Exotic Car Factor],,0)</f>
        <v>1</v>
      </c>
      <c r="AH7">
        <f>_xlfn.XLOOKUP(Table1820[[#This Row],[Difficult Parts]],Table8[Difficult Parts],Table8[Difficult Parts Factor],,0)</f>
        <v>1</v>
      </c>
      <c r="AI7">
        <f>_xlfn.XLOOKUP(Table1820[[#This Row],[High Theft Rate]],Table9[High Theft Rate],Table9[High Theft Rate Factor],,0)</f>
        <v>1</v>
      </c>
      <c r="AJ7">
        <f>_xlfn.XLOOKUP(Table1820[[#This Row],[Advanced Safety Features]],Table10[Advanced Safety Features],Table10[Advanced Safety Features Factor],,0)</f>
        <v>1</v>
      </c>
      <c r="AK7">
        <f>_xlfn.XLOOKUP(Table1820[[#This Row],[Deductible]],Table12[Deductible],Table12[Deductible Factor],,0)</f>
        <v>0.72</v>
      </c>
      <c r="AL7">
        <f>_xlfn.XLOOKUP(Table1820[[#This Row],[Coverage Limit]],Table13[Coverage Limit],Table13[Coverage Limit Factor],,0)</f>
        <v>1</v>
      </c>
      <c r="AM7">
        <f>IF(Table1820[[#This Row],[Good Student Discount]]="Yes",'Rate Book'!$D$126,1)</f>
        <v>1</v>
      </c>
      <c r="AN7">
        <f>IF(Table1820[[#This Row],[Good Driver Discount]]="Yes",'Rate Book'!$D$127,1)</f>
        <v>1</v>
      </c>
      <c r="AO7">
        <f>IF(Table1820[[#This Row],[Multi Policy Discount]]="Yes",'Rate Book'!$D$128,1)</f>
        <v>1</v>
      </c>
      <c r="AP7">
        <f>IF(Table1820[[#This Row],[Loyal Customer Discount]]="Yes",'Rate Book'!$D$129,1)</f>
        <v>1</v>
      </c>
      <c r="AQ7">
        <f>IF(Table1820[[#This Row],[Organization Discount]]="Yes",'Rate Book'!$D$130,1)</f>
        <v>1</v>
      </c>
      <c r="AR7" cm="1">
        <f t="array" ref="AR7">IF(Table1820[[#This Row],[Effective Date]]&gt;=RateChangeTable[Effective Date],RateChangeTable[Rate Change Factor],1)</f>
        <v>1</v>
      </c>
      <c r="AS7" s="10">
        <f>PRODUCT(Table1820[[#This Row],[Base Rate]:[Rate Change Factor]])</f>
        <v>1095.5296782400696</v>
      </c>
      <c r="AT7" s="9">
        <f>Table1820[[#This Row],[System-Generated Premium]]-Table1820[[#This Row],[Expected Premium]]</f>
        <v>0</v>
      </c>
      <c r="AU7" t="str">
        <f>IF(Table1820[[#This Row],[Difference]]=0,"PASS","FAIL")</f>
        <v>PASS</v>
      </c>
      <c r="AV7" s="9">
        <f>ABS(Table1820[[#This Row],[Difference]])</f>
        <v>0</v>
      </c>
      <c r="AW7" s="9" t="s">
        <v>1136</v>
      </c>
    </row>
    <row r="8" spans="1:49" x14ac:dyDescent="0.3">
      <c r="A8" t="s">
        <v>99</v>
      </c>
      <c r="B8" s="7">
        <v>46120</v>
      </c>
      <c r="C8" t="s">
        <v>74</v>
      </c>
      <c r="D8" t="s">
        <v>1099</v>
      </c>
      <c r="E8" s="3">
        <v>5</v>
      </c>
      <c r="F8" s="3">
        <v>3</v>
      </c>
      <c r="G8" t="s">
        <v>10</v>
      </c>
      <c r="H8" t="s">
        <v>1106</v>
      </c>
      <c r="I8" t="s">
        <v>44</v>
      </c>
      <c r="J8" t="s">
        <v>53</v>
      </c>
      <c r="K8" t="s">
        <v>10</v>
      </c>
      <c r="L8" t="s">
        <v>10</v>
      </c>
      <c r="M8" t="s">
        <v>10</v>
      </c>
      <c r="N8" t="s">
        <v>10</v>
      </c>
      <c r="O8" t="str">
        <f>INDEX(CoverageTable[Deductible Applies],MATCH(Table1820[[#This Row],[Coverage]],CoverageTable[Coverage],0))</f>
        <v>No</v>
      </c>
      <c r="P8" t="str">
        <f>INDEX(CoverageTable[Coverage Limit Applies],MATCH(Table1820[[#This Row],[Coverage]],CoverageTable[Coverage],0))</f>
        <v>Yes</v>
      </c>
      <c r="Q8" t="s">
        <v>10</v>
      </c>
      <c r="R8" t="s">
        <v>78</v>
      </c>
      <c r="S8" t="s">
        <v>10</v>
      </c>
      <c r="T8" t="s">
        <v>10</v>
      </c>
      <c r="U8" t="s">
        <v>10</v>
      </c>
      <c r="V8" t="s">
        <v>10</v>
      </c>
      <c r="W8" t="s">
        <v>10</v>
      </c>
      <c r="X8" s="11">
        <v>99.196861966034575</v>
      </c>
      <c r="Y8">
        <f>_xlfn.XLOOKUP(Table1820[[#This Row],[Coverage]],CoverageTable[Coverage],CoverageTable[Base Rate],,0)</f>
        <v>41</v>
      </c>
      <c r="Z8">
        <f>INDEX(Table16[Ageband Factor],MATCH(Table1820[[#This Row],[Ageband]],Table16[Ageband],0))</f>
        <v>1</v>
      </c>
      <c r="AA8">
        <f>VLOOKUP(Table1820[[#This Row],[Years Driving]],Table1[],2)</f>
        <v>1.07</v>
      </c>
      <c r="AB8">
        <f>_xlfn.XLOOKUP(Table1820[[#This Row],[At Fault Accidents]],Table2[At Fault Accidents],Table2[At Fault Accident Factor],,0)</f>
        <v>1.82</v>
      </c>
      <c r="AC8">
        <f>_xlfn.XLOOKUP(Table1820[[#This Row],[Usage-Based Insurance]],Table3[Usage-Based Insurance],Table3[Usage-Based Insurance Discount],,0)</f>
        <v>1</v>
      </c>
      <c r="AD8">
        <f>_xlfn.XLOOKUP(Table1820[[#This Row],[Yearly Miles]],Table4[Yearly Miles],Table4[Yearly Miles Factor],,0)</f>
        <v>0.82</v>
      </c>
      <c r="AE8">
        <f>_xlfn.XLOOKUP(Table1820[[#This Row],[City/Zip Code]],Table5[City/Zip Code],Table5[City/Zip Code Factor],,0)</f>
        <v>1.1599999999999999</v>
      </c>
      <c r="AF8">
        <f>_xlfn.XLOOKUP(Table1820[[#This Row],[Vehicle Price]],Table6[Vehicle Price],Table6[Vehicle Price Factor])</f>
        <v>2.02</v>
      </c>
      <c r="AG8">
        <f>_xlfn.XLOOKUP(Table1820[[#This Row],[Exotic Car]],Table7[Exotic Car],Table7[Exotic Car Factor],,0)</f>
        <v>1</v>
      </c>
      <c r="AH8">
        <f>_xlfn.XLOOKUP(Table1820[[#This Row],[Difficult Parts]],Table8[Difficult Parts],Table8[Difficult Parts Factor],,0)</f>
        <v>1</v>
      </c>
      <c r="AI8">
        <f>_xlfn.XLOOKUP(Table1820[[#This Row],[High Theft Rate]],Table9[High Theft Rate],Table9[High Theft Rate Factor],,0)</f>
        <v>1</v>
      </c>
      <c r="AJ8">
        <f>_xlfn.XLOOKUP(Table1820[[#This Row],[Advanced Safety Features]],Table10[Advanced Safety Features],Table10[Advanced Safety Features Factor],,0)</f>
        <v>1</v>
      </c>
      <c r="AK8">
        <f>_xlfn.XLOOKUP(Table1820[[#This Row],[Deductible]],Table12[Deductible],Table12[Deductible Factor],,0)</f>
        <v>1</v>
      </c>
      <c r="AL8">
        <f>_xlfn.XLOOKUP(Table1820[[#This Row],[Coverage Limit]],Table13[Coverage Limit],Table13[Coverage Limit Factor],,0)</f>
        <v>0.61</v>
      </c>
      <c r="AM8">
        <f>IF(Table1820[[#This Row],[Good Student Discount]]="Yes",'Rate Book'!$D$126,1)</f>
        <v>1</v>
      </c>
      <c r="AN8">
        <f>IF(Table1820[[#This Row],[Good Driver Discount]]="Yes",'Rate Book'!$D$127,1)</f>
        <v>1</v>
      </c>
      <c r="AO8">
        <f>IF(Table1820[[#This Row],[Multi Policy Discount]]="Yes",'Rate Book'!$D$128,1)</f>
        <v>1</v>
      </c>
      <c r="AP8">
        <f>IF(Table1820[[#This Row],[Loyal Customer Discount]]="Yes",'Rate Book'!$D$129,1)</f>
        <v>1</v>
      </c>
      <c r="AQ8">
        <f>IF(Table1820[[#This Row],[Organization Discount]]="Yes",'Rate Book'!$D$130,1)</f>
        <v>1</v>
      </c>
      <c r="AR8" cm="1">
        <f t="array" ref="AR8">IF(Table1820[[#This Row],[Effective Date]]&gt;=RateChangeTable[Effective Date],RateChangeTable[Rate Change Factor],1)</f>
        <v>1.06</v>
      </c>
      <c r="AS8" s="10">
        <f>PRODUCT(Table1820[[#This Row],[Base Rate]:[Rate Change Factor]])</f>
        <v>99.196861966034575</v>
      </c>
      <c r="AT8" s="9">
        <f>Table1820[[#This Row],[System-Generated Premium]]-Table1820[[#This Row],[Expected Premium]]</f>
        <v>0</v>
      </c>
      <c r="AU8" t="str">
        <f>IF(Table1820[[#This Row],[Difference]]=0,"PASS","FAIL")</f>
        <v>PASS</v>
      </c>
      <c r="AV8" s="9">
        <f>ABS(Table1820[[#This Row],[Difference]])</f>
        <v>0</v>
      </c>
      <c r="AW8" s="9" t="s">
        <v>1136</v>
      </c>
    </row>
    <row r="9" spans="1:49" x14ac:dyDescent="0.3">
      <c r="A9" t="s">
        <v>100</v>
      </c>
      <c r="B9" s="7">
        <v>46143</v>
      </c>
      <c r="C9" t="s">
        <v>70</v>
      </c>
      <c r="D9" t="s">
        <v>1098</v>
      </c>
      <c r="E9" s="3">
        <v>7</v>
      </c>
      <c r="F9" s="3">
        <v>2</v>
      </c>
      <c r="G9" t="s">
        <v>12</v>
      </c>
      <c r="H9" t="s">
        <v>1108</v>
      </c>
      <c r="I9" t="s">
        <v>34</v>
      </c>
      <c r="J9" t="s">
        <v>52</v>
      </c>
      <c r="K9" t="s">
        <v>10</v>
      </c>
      <c r="L9" t="s">
        <v>10</v>
      </c>
      <c r="M9" t="s">
        <v>10</v>
      </c>
      <c r="N9" t="s">
        <v>57</v>
      </c>
      <c r="O9" t="str">
        <f>INDEX(CoverageTable[Deductible Applies],MATCH(Table1820[[#This Row],[Coverage]],CoverageTable[Coverage],0))</f>
        <v>No</v>
      </c>
      <c r="P9" t="str">
        <f>INDEX(CoverageTable[Coverage Limit Applies],MATCH(Table1820[[#This Row],[Coverage]],CoverageTable[Coverage],0))</f>
        <v>Yes</v>
      </c>
      <c r="Q9" t="s">
        <v>10</v>
      </c>
      <c r="R9" t="s">
        <v>79</v>
      </c>
      <c r="S9" t="s">
        <v>57</v>
      </c>
      <c r="T9" t="s">
        <v>10</v>
      </c>
      <c r="U9" t="s">
        <v>10</v>
      </c>
      <c r="V9" t="s">
        <v>10</v>
      </c>
      <c r="W9" t="s">
        <v>10</v>
      </c>
      <c r="X9" s="11">
        <v>1363.872895136479</v>
      </c>
      <c r="Y9">
        <f>_xlfn.XLOOKUP(Table1820[[#This Row],[Coverage]],CoverageTable[Coverage],CoverageTable[Base Rate],,0)</f>
        <v>622</v>
      </c>
      <c r="Z9">
        <f>INDEX(Table16[Ageband Factor],MATCH(Table1820[[#This Row],[Ageband]],Table16[Ageband],0))</f>
        <v>1.23</v>
      </c>
      <c r="AA9">
        <f>VLOOKUP(Table1820[[#This Row],[Years Driving]],Table1[],2)</f>
        <v>0.95</v>
      </c>
      <c r="AB9">
        <f>_xlfn.XLOOKUP(Table1820[[#This Row],[At Fault Accidents]],Table2[At Fault Accidents],Table2[At Fault Accident Factor],,0)</f>
        <v>1.55</v>
      </c>
      <c r="AC9">
        <f>_xlfn.XLOOKUP(Table1820[[#This Row],[Usage-Based Insurance]],Table3[Usage-Based Insurance],Table3[Usage-Based Insurance Discount],,0)</f>
        <v>0.8</v>
      </c>
      <c r="AD9">
        <f>_xlfn.XLOOKUP(Table1820[[#This Row],[Yearly Miles]],Table4[Yearly Miles],Table4[Yearly Miles Factor],,0)</f>
        <v>1</v>
      </c>
      <c r="AE9">
        <f>_xlfn.XLOOKUP(Table1820[[#This Row],[City/Zip Code]],Table5[City/Zip Code],Table5[City/Zip Code Factor],,0)</f>
        <v>1.56</v>
      </c>
      <c r="AF9">
        <f>_xlfn.XLOOKUP(Table1820[[#This Row],[Vehicle Price]],Table6[Vehicle Price],Table6[Vehicle Price Factor])</f>
        <v>1.57</v>
      </c>
      <c r="AG9">
        <f>_xlfn.XLOOKUP(Table1820[[#This Row],[Exotic Car]],Table7[Exotic Car],Table7[Exotic Car Factor],,0)</f>
        <v>1</v>
      </c>
      <c r="AH9">
        <f>_xlfn.XLOOKUP(Table1820[[#This Row],[Difficult Parts]],Table8[Difficult Parts],Table8[Difficult Parts Factor],,0)</f>
        <v>1</v>
      </c>
      <c r="AI9">
        <f>_xlfn.XLOOKUP(Table1820[[#This Row],[High Theft Rate]],Table9[High Theft Rate],Table9[High Theft Rate Factor],,0)</f>
        <v>1</v>
      </c>
      <c r="AJ9">
        <f>_xlfn.XLOOKUP(Table1820[[#This Row],[Advanced Safety Features]],Table10[Advanced Safety Features],Table10[Advanced Safety Features Factor],,0)</f>
        <v>0.88</v>
      </c>
      <c r="AK9">
        <f>_xlfn.XLOOKUP(Table1820[[#This Row],[Deductible]],Table12[Deductible],Table12[Deductible Factor],,0)</f>
        <v>1</v>
      </c>
      <c r="AL9">
        <f>_xlfn.XLOOKUP(Table1820[[#This Row],[Coverage Limit]],Table13[Coverage Limit],Table13[Coverage Limit Factor],,0)</f>
        <v>0.72</v>
      </c>
      <c r="AM9">
        <f>IF(Table1820[[#This Row],[Good Student Discount]]="Yes",'Rate Book'!$D$126,1)</f>
        <v>0.92</v>
      </c>
      <c r="AN9">
        <f>IF(Table1820[[#This Row],[Good Driver Discount]]="Yes",'Rate Book'!$D$127,1)</f>
        <v>1</v>
      </c>
      <c r="AO9">
        <f>IF(Table1820[[#This Row],[Multi Policy Discount]]="Yes",'Rate Book'!$D$128,1)</f>
        <v>1</v>
      </c>
      <c r="AP9">
        <f>IF(Table1820[[#This Row],[Loyal Customer Discount]]="Yes",'Rate Book'!$D$129,1)</f>
        <v>1</v>
      </c>
      <c r="AQ9">
        <f>IF(Table1820[[#This Row],[Organization Discount]]="Yes",'Rate Book'!$D$130,1)</f>
        <v>1</v>
      </c>
      <c r="AR9" cm="1">
        <f t="array" ref="AR9">IF(Table1820[[#This Row],[Effective Date]]&gt;=RateChangeTable[Effective Date],RateChangeTable[Rate Change Factor],1)</f>
        <v>1.06</v>
      </c>
      <c r="AS9" s="10">
        <f>PRODUCT(Table1820[[#This Row],[Base Rate]:[Rate Change Factor]])</f>
        <v>1363.872895136479</v>
      </c>
      <c r="AT9" s="9">
        <f>Table1820[[#This Row],[System-Generated Premium]]-Table1820[[#This Row],[Expected Premium]]</f>
        <v>0</v>
      </c>
      <c r="AU9" t="str">
        <f>IF(Table1820[[#This Row],[Difference]]=0,"PASS","FAIL")</f>
        <v>PASS</v>
      </c>
      <c r="AV9" s="9">
        <f>ABS(Table1820[[#This Row],[Difference]])</f>
        <v>0</v>
      </c>
      <c r="AW9" s="9" t="s">
        <v>1136</v>
      </c>
    </row>
    <row r="10" spans="1:49" x14ac:dyDescent="0.3">
      <c r="A10" t="s">
        <v>101</v>
      </c>
      <c r="B10" s="7">
        <v>46072</v>
      </c>
      <c r="C10" t="s">
        <v>70</v>
      </c>
      <c r="D10" t="s">
        <v>1099</v>
      </c>
      <c r="E10" s="3">
        <v>6</v>
      </c>
      <c r="F10" s="3">
        <v>3</v>
      </c>
      <c r="G10" t="s">
        <v>13</v>
      </c>
      <c r="H10" t="s">
        <v>1110</v>
      </c>
      <c r="I10" t="s">
        <v>27</v>
      </c>
      <c r="J10" t="s">
        <v>53</v>
      </c>
      <c r="K10" t="s">
        <v>10</v>
      </c>
      <c r="L10" t="s">
        <v>10</v>
      </c>
      <c r="M10" t="s">
        <v>10</v>
      </c>
      <c r="N10" t="s">
        <v>10</v>
      </c>
      <c r="O10" t="str">
        <f>INDEX(CoverageTable[Deductible Applies],MATCH(Table1820[[#This Row],[Coverage]],CoverageTable[Coverage],0))</f>
        <v>No</v>
      </c>
      <c r="P10" t="str">
        <f>INDEX(CoverageTable[Coverage Limit Applies],MATCH(Table1820[[#This Row],[Coverage]],CoverageTable[Coverage],0))</f>
        <v>Yes</v>
      </c>
      <c r="Q10" t="s">
        <v>10</v>
      </c>
      <c r="R10" t="s">
        <v>79</v>
      </c>
      <c r="S10" t="s">
        <v>57</v>
      </c>
      <c r="T10" t="s">
        <v>57</v>
      </c>
      <c r="U10" t="s">
        <v>57</v>
      </c>
      <c r="V10" t="s">
        <v>10</v>
      </c>
      <c r="W10" t="s">
        <v>57</v>
      </c>
      <c r="X10" s="11">
        <v>1031.802382914268</v>
      </c>
      <c r="Y10">
        <f>_xlfn.XLOOKUP(Table1820[[#This Row],[Coverage]],CoverageTable[Coverage],CoverageTable[Base Rate],,0)</f>
        <v>622</v>
      </c>
      <c r="Z10">
        <f>INDEX(Table16[Ageband Factor],MATCH(Table1820[[#This Row],[Ageband]],Table16[Ageband],0))</f>
        <v>1</v>
      </c>
      <c r="AA10">
        <f>VLOOKUP(Table1820[[#This Row],[Years Driving]],Table1[],2)</f>
        <v>1</v>
      </c>
      <c r="AB10">
        <f>_xlfn.XLOOKUP(Table1820[[#This Row],[At Fault Accidents]],Table2[At Fault Accidents],Table2[At Fault Accident Factor],,0)</f>
        <v>1.82</v>
      </c>
      <c r="AC10">
        <f>_xlfn.XLOOKUP(Table1820[[#This Row],[Usage-Based Insurance]],Table3[Usage-Based Insurance],Table3[Usage-Based Insurance Discount],,0)</f>
        <v>0.65</v>
      </c>
      <c r="AD10">
        <f>_xlfn.XLOOKUP(Table1820[[#This Row],[Yearly Miles]],Table4[Yearly Miles],Table4[Yearly Miles Factor],,0)</f>
        <v>1.31</v>
      </c>
      <c r="AE10">
        <f>_xlfn.XLOOKUP(Table1820[[#This Row],[City/Zip Code]],Table5[City/Zip Code],Table5[City/Zip Code Factor],,0)</f>
        <v>0.94</v>
      </c>
      <c r="AF10">
        <f>_xlfn.XLOOKUP(Table1820[[#This Row],[Vehicle Price]],Table6[Vehicle Price],Table6[Vehicle Price Factor])</f>
        <v>2.02</v>
      </c>
      <c r="AG10">
        <f>_xlfn.XLOOKUP(Table1820[[#This Row],[Exotic Car]],Table7[Exotic Car],Table7[Exotic Car Factor],,0)</f>
        <v>1</v>
      </c>
      <c r="AH10">
        <f>_xlfn.XLOOKUP(Table1820[[#This Row],[Difficult Parts]],Table8[Difficult Parts],Table8[Difficult Parts Factor],,0)</f>
        <v>1</v>
      </c>
      <c r="AI10">
        <f>_xlfn.XLOOKUP(Table1820[[#This Row],[High Theft Rate]],Table9[High Theft Rate],Table9[High Theft Rate Factor],,0)</f>
        <v>1</v>
      </c>
      <c r="AJ10">
        <f>_xlfn.XLOOKUP(Table1820[[#This Row],[Advanced Safety Features]],Table10[Advanced Safety Features],Table10[Advanced Safety Features Factor],,0)</f>
        <v>1</v>
      </c>
      <c r="AK10">
        <f>_xlfn.XLOOKUP(Table1820[[#This Row],[Deductible]],Table12[Deductible],Table12[Deductible Factor],,0)</f>
        <v>1</v>
      </c>
      <c r="AL10">
        <f>_xlfn.XLOOKUP(Table1820[[#This Row],[Coverage Limit]],Table13[Coverage Limit],Table13[Coverage Limit Factor],,0)</f>
        <v>0.72</v>
      </c>
      <c r="AM10">
        <f>IF(Table1820[[#This Row],[Good Student Discount]]="Yes",'Rate Book'!$D$126,1)</f>
        <v>0.92</v>
      </c>
      <c r="AN10">
        <f>IF(Table1820[[#This Row],[Good Driver Discount]]="Yes",'Rate Book'!$D$127,1)</f>
        <v>0.89</v>
      </c>
      <c r="AO10">
        <f>IF(Table1820[[#This Row],[Multi Policy Discount]]="Yes",'Rate Book'!$D$128,1)</f>
        <v>0.93</v>
      </c>
      <c r="AP10">
        <f>IF(Table1820[[#This Row],[Loyal Customer Discount]]="Yes",'Rate Book'!$D$129,1)</f>
        <v>1</v>
      </c>
      <c r="AQ10">
        <f>IF(Table1820[[#This Row],[Organization Discount]]="Yes",'Rate Book'!$D$130,1)</f>
        <v>0.97</v>
      </c>
      <c r="AR10" cm="1">
        <f t="array" ref="AR10">IF(Table1820[[#This Row],[Effective Date]]&gt;=RateChangeTable[Effective Date],RateChangeTable[Rate Change Factor],1)</f>
        <v>1.06</v>
      </c>
      <c r="AS10" s="10">
        <f>PRODUCT(Table1820[[#This Row],[Base Rate]:[Rate Change Factor]])</f>
        <v>1031.802382914268</v>
      </c>
      <c r="AT10" s="9">
        <f>Table1820[[#This Row],[System-Generated Premium]]-Table1820[[#This Row],[Expected Premium]]</f>
        <v>0</v>
      </c>
      <c r="AU10" t="str">
        <f>IF(Table1820[[#This Row],[Difference]]=0,"PASS","FAIL")</f>
        <v>PASS</v>
      </c>
      <c r="AV10" s="9">
        <f>ABS(Table1820[[#This Row],[Difference]])</f>
        <v>0</v>
      </c>
      <c r="AW10" s="9" t="s">
        <v>1136</v>
      </c>
    </row>
    <row r="11" spans="1:49" x14ac:dyDescent="0.3">
      <c r="A11" t="s">
        <v>102</v>
      </c>
      <c r="B11" s="7">
        <v>45997</v>
      </c>
      <c r="C11" t="s">
        <v>70</v>
      </c>
      <c r="D11" t="s">
        <v>1098</v>
      </c>
      <c r="E11" s="3" t="s">
        <v>1103</v>
      </c>
      <c r="F11" s="3">
        <v>2</v>
      </c>
      <c r="G11" t="s">
        <v>10</v>
      </c>
      <c r="H11" t="s">
        <v>1107</v>
      </c>
      <c r="I11" t="s">
        <v>36</v>
      </c>
      <c r="J11" t="s">
        <v>50</v>
      </c>
      <c r="K11" t="s">
        <v>10</v>
      </c>
      <c r="L11" t="s">
        <v>10</v>
      </c>
      <c r="M11" t="s">
        <v>10</v>
      </c>
      <c r="N11" t="s">
        <v>10</v>
      </c>
      <c r="O11" t="str">
        <f>INDEX(CoverageTable[Deductible Applies],MATCH(Table1820[[#This Row],[Coverage]],CoverageTable[Coverage],0))</f>
        <v>No</v>
      </c>
      <c r="P11" t="str">
        <f>INDEX(CoverageTable[Coverage Limit Applies],MATCH(Table1820[[#This Row],[Coverage]],CoverageTable[Coverage],0))</f>
        <v>Yes</v>
      </c>
      <c r="Q11" t="s">
        <v>10</v>
      </c>
      <c r="R11" t="s">
        <v>79</v>
      </c>
      <c r="S11" t="s">
        <v>10</v>
      </c>
      <c r="T11" t="s">
        <v>10</v>
      </c>
      <c r="U11" t="s">
        <v>10</v>
      </c>
      <c r="V11" t="s">
        <v>10</v>
      </c>
      <c r="W11" t="s">
        <v>57</v>
      </c>
      <c r="X11" s="11">
        <v>758.13605888683242</v>
      </c>
      <c r="Y11">
        <f>_xlfn.XLOOKUP(Table1820[[#This Row],[Coverage]],CoverageTable[Coverage],CoverageTable[Base Rate],,0)</f>
        <v>622</v>
      </c>
      <c r="Z11">
        <f>INDEX(Table16[Ageband Factor],MATCH(Table1820[[#This Row],[Ageband]],Table16[Ageband],0))</f>
        <v>1.23</v>
      </c>
      <c r="AA11">
        <f>VLOOKUP(Table1820[[#This Row],[Years Driving]],Table1[],2)</f>
        <v>0.93</v>
      </c>
      <c r="AB11">
        <f>_xlfn.XLOOKUP(Table1820[[#This Row],[At Fault Accidents]],Table2[At Fault Accidents],Table2[At Fault Accident Factor],,0)</f>
        <v>1.55</v>
      </c>
      <c r="AC11">
        <f>_xlfn.XLOOKUP(Table1820[[#This Row],[Usage-Based Insurance]],Table3[Usage-Based Insurance],Table3[Usage-Based Insurance Discount],,0)</f>
        <v>1</v>
      </c>
      <c r="AD11">
        <f>_xlfn.XLOOKUP(Table1820[[#This Row],[Yearly Miles]],Table4[Yearly Miles],Table4[Yearly Miles Factor],,0)</f>
        <v>0.93</v>
      </c>
      <c r="AE11">
        <f>_xlfn.XLOOKUP(Table1820[[#This Row],[City/Zip Code]],Table5[City/Zip Code],Table5[City/Zip Code Factor],,0)</f>
        <v>0.98</v>
      </c>
      <c r="AF11">
        <f>_xlfn.XLOOKUP(Table1820[[#This Row],[Vehicle Price]],Table6[Vehicle Price],Table6[Vehicle Price Factor])</f>
        <v>1.08</v>
      </c>
      <c r="AG11">
        <f>_xlfn.XLOOKUP(Table1820[[#This Row],[Exotic Car]],Table7[Exotic Car],Table7[Exotic Car Factor],,0)</f>
        <v>1</v>
      </c>
      <c r="AH11">
        <f>_xlfn.XLOOKUP(Table1820[[#This Row],[Difficult Parts]],Table8[Difficult Parts],Table8[Difficult Parts Factor],,0)</f>
        <v>1</v>
      </c>
      <c r="AI11">
        <f>_xlfn.XLOOKUP(Table1820[[#This Row],[High Theft Rate]],Table9[High Theft Rate],Table9[High Theft Rate Factor],,0)</f>
        <v>1</v>
      </c>
      <c r="AJ11">
        <f>_xlfn.XLOOKUP(Table1820[[#This Row],[Advanced Safety Features]],Table10[Advanced Safety Features],Table10[Advanced Safety Features Factor],,0)</f>
        <v>1</v>
      </c>
      <c r="AK11">
        <f>_xlfn.XLOOKUP(Table1820[[#This Row],[Deductible]],Table12[Deductible],Table12[Deductible Factor],,0)</f>
        <v>1</v>
      </c>
      <c r="AL11">
        <f>_xlfn.XLOOKUP(Table1820[[#This Row],[Coverage Limit]],Table13[Coverage Limit],Table13[Coverage Limit Factor],,0)</f>
        <v>0.72</v>
      </c>
      <c r="AM11">
        <f>IF(Table1820[[#This Row],[Good Student Discount]]="Yes",'Rate Book'!$D$126,1)</f>
        <v>1</v>
      </c>
      <c r="AN11">
        <f>IF(Table1820[[#This Row],[Good Driver Discount]]="Yes",'Rate Book'!$D$127,1)</f>
        <v>1</v>
      </c>
      <c r="AO11">
        <f>IF(Table1820[[#This Row],[Multi Policy Discount]]="Yes",'Rate Book'!$D$128,1)</f>
        <v>1</v>
      </c>
      <c r="AP11">
        <f>IF(Table1820[[#This Row],[Loyal Customer Discount]]="Yes",'Rate Book'!$D$129,1)</f>
        <v>1</v>
      </c>
      <c r="AQ11">
        <f>IF(Table1820[[#This Row],[Organization Discount]]="Yes",'Rate Book'!$D$130,1)</f>
        <v>0.97</v>
      </c>
      <c r="AR11" cm="1">
        <f t="array" ref="AR11">IF(Table1820[[#This Row],[Effective Date]]&gt;=RateChangeTable[Effective Date],RateChangeTable[Rate Change Factor],1)</f>
        <v>1</v>
      </c>
      <c r="AS11" s="10">
        <f>PRODUCT(Table1820[[#This Row],[Base Rate]:[Rate Change Factor]])</f>
        <v>758.13605888683242</v>
      </c>
      <c r="AT11" s="9">
        <f>Table1820[[#This Row],[System-Generated Premium]]-Table1820[[#This Row],[Expected Premium]]</f>
        <v>0</v>
      </c>
      <c r="AU11" t="str">
        <f>IF(Table1820[[#This Row],[Difference]]=0,"PASS","FAIL")</f>
        <v>PASS</v>
      </c>
      <c r="AV11" s="9">
        <f>ABS(Table1820[[#This Row],[Difference]])</f>
        <v>0</v>
      </c>
      <c r="AW11" s="9" t="s">
        <v>1136</v>
      </c>
    </row>
    <row r="12" spans="1:49" x14ac:dyDescent="0.3">
      <c r="A12" t="s">
        <v>103</v>
      </c>
      <c r="B12" s="7">
        <v>46063</v>
      </c>
      <c r="C12" t="s">
        <v>72</v>
      </c>
      <c r="D12" t="s">
        <v>1099</v>
      </c>
      <c r="E12" s="3">
        <v>2</v>
      </c>
      <c r="F12" s="3">
        <v>1</v>
      </c>
      <c r="G12" t="s">
        <v>10</v>
      </c>
      <c r="H12" t="s">
        <v>1107</v>
      </c>
      <c r="I12" t="s">
        <v>41</v>
      </c>
      <c r="J12" t="s">
        <v>50</v>
      </c>
      <c r="K12" t="s">
        <v>57</v>
      </c>
      <c r="L12" t="s">
        <v>10</v>
      </c>
      <c r="M12" t="s">
        <v>10</v>
      </c>
      <c r="N12" t="s">
        <v>10</v>
      </c>
      <c r="O12" t="str">
        <f>INDEX(CoverageTable[Deductible Applies],MATCH(Table1820[[#This Row],[Coverage]],CoverageTable[Coverage],0))</f>
        <v>Yes</v>
      </c>
      <c r="P12" t="str">
        <f>INDEX(CoverageTable[Coverage Limit Applies],MATCH(Table1820[[#This Row],[Coverage]],CoverageTable[Coverage],0))</f>
        <v>No</v>
      </c>
      <c r="Q12" t="s">
        <v>80</v>
      </c>
      <c r="R12" t="s">
        <v>10</v>
      </c>
      <c r="S12" t="s">
        <v>10</v>
      </c>
      <c r="T12" t="s">
        <v>10</v>
      </c>
      <c r="U12" t="s">
        <v>10</v>
      </c>
      <c r="V12" t="s">
        <v>57</v>
      </c>
      <c r="W12" t="s">
        <v>10</v>
      </c>
      <c r="X12" s="11">
        <v>242.48786550998784</v>
      </c>
      <c r="Y12">
        <f>_xlfn.XLOOKUP(Table1820[[#This Row],[Coverage]],CoverageTable[Coverage],CoverageTable[Base Rate],,0)</f>
        <v>121</v>
      </c>
      <c r="Z12">
        <f>INDEX(Table16[Ageband Factor],MATCH(Table1820[[#This Row],[Ageband]],Table16[Ageband],0))</f>
        <v>1</v>
      </c>
      <c r="AA12">
        <f>VLOOKUP(Table1820[[#This Row],[Years Driving]],Table1[],2)</f>
        <v>1.41</v>
      </c>
      <c r="AB12">
        <f>_xlfn.XLOOKUP(Table1820[[#This Row],[At Fault Accidents]],Table2[At Fault Accidents],Table2[At Fault Accident Factor],,0)</f>
        <v>1.34</v>
      </c>
      <c r="AC12">
        <f>_xlfn.XLOOKUP(Table1820[[#This Row],[Usage-Based Insurance]],Table3[Usage-Based Insurance],Table3[Usage-Based Insurance Discount],,0)</f>
        <v>1</v>
      </c>
      <c r="AD12">
        <f>_xlfn.XLOOKUP(Table1820[[#This Row],[Yearly Miles]],Table4[Yearly Miles],Table4[Yearly Miles Factor],,0)</f>
        <v>0.93</v>
      </c>
      <c r="AE12">
        <f>_xlfn.XLOOKUP(Table1820[[#This Row],[City/Zip Code]],Table5[City/Zip Code],Table5[City/Zip Code Factor],,0)</f>
        <v>1.1499999999999999</v>
      </c>
      <c r="AF12">
        <f>_xlfn.XLOOKUP(Table1820[[#This Row],[Vehicle Price]],Table6[Vehicle Price],Table6[Vehicle Price Factor])</f>
        <v>1.08</v>
      </c>
      <c r="AG12">
        <f>_xlfn.XLOOKUP(Table1820[[#This Row],[Exotic Car]],Table7[Exotic Car],Table7[Exotic Car Factor],,0)</f>
        <v>1.28</v>
      </c>
      <c r="AH12">
        <f>_xlfn.XLOOKUP(Table1820[[#This Row],[Difficult Parts]],Table8[Difficult Parts],Table8[Difficult Parts Factor],,0)</f>
        <v>1</v>
      </c>
      <c r="AI12">
        <f>_xlfn.XLOOKUP(Table1820[[#This Row],[High Theft Rate]],Table9[High Theft Rate],Table9[High Theft Rate Factor],,0)</f>
        <v>1</v>
      </c>
      <c r="AJ12">
        <f>_xlfn.XLOOKUP(Table1820[[#This Row],[Advanced Safety Features]],Table10[Advanced Safety Features],Table10[Advanced Safety Features Factor],,0)</f>
        <v>1</v>
      </c>
      <c r="AK12">
        <f>_xlfn.XLOOKUP(Table1820[[#This Row],[Deductible]],Table12[Deductible],Table12[Deductible Factor],,0)</f>
        <v>0.72</v>
      </c>
      <c r="AL12">
        <f>_xlfn.XLOOKUP(Table1820[[#This Row],[Coverage Limit]],Table13[Coverage Limit],Table13[Coverage Limit Factor],,0)</f>
        <v>1</v>
      </c>
      <c r="AM12">
        <f>IF(Table1820[[#This Row],[Good Student Discount]]="Yes",'Rate Book'!$D$126,1)</f>
        <v>1</v>
      </c>
      <c r="AN12">
        <f>IF(Table1820[[#This Row],[Good Driver Discount]]="Yes",'Rate Book'!$D$127,1)</f>
        <v>1</v>
      </c>
      <c r="AO12">
        <f>IF(Table1820[[#This Row],[Multi Policy Discount]]="Yes",'Rate Book'!$D$128,1)</f>
        <v>1</v>
      </c>
      <c r="AP12">
        <f>IF(Table1820[[#This Row],[Loyal Customer Discount]]="Yes",'Rate Book'!$D$129,1)</f>
        <v>0.94</v>
      </c>
      <c r="AQ12">
        <f>IF(Table1820[[#This Row],[Organization Discount]]="Yes",'Rate Book'!$D$130,1)</f>
        <v>1</v>
      </c>
      <c r="AR12" cm="1">
        <f t="array" ref="AR12">IF(Table1820[[#This Row],[Effective Date]]&gt;=RateChangeTable[Effective Date],RateChangeTable[Rate Change Factor],1)</f>
        <v>1.06</v>
      </c>
      <c r="AS12" s="10">
        <f>PRODUCT(Table1820[[#This Row],[Base Rate]:[Rate Change Factor]])</f>
        <v>242.48786550998784</v>
      </c>
      <c r="AT12" s="9">
        <f>Table1820[[#This Row],[System-Generated Premium]]-Table1820[[#This Row],[Expected Premium]]</f>
        <v>0</v>
      </c>
      <c r="AU12" t="str">
        <f>IF(Table1820[[#This Row],[Difference]]=0,"PASS","FAIL")</f>
        <v>PASS</v>
      </c>
      <c r="AV12" s="9">
        <f>ABS(Table1820[[#This Row],[Difference]])</f>
        <v>0</v>
      </c>
      <c r="AW12" s="9" t="s">
        <v>1136</v>
      </c>
    </row>
    <row r="13" spans="1:49" x14ac:dyDescent="0.3">
      <c r="A13" t="s">
        <v>104</v>
      </c>
      <c r="B13" s="7">
        <v>46097</v>
      </c>
      <c r="C13" t="s">
        <v>70</v>
      </c>
      <c r="D13" t="s">
        <v>1102</v>
      </c>
      <c r="E13" s="3">
        <v>5</v>
      </c>
      <c r="F13" s="3" t="s">
        <v>7</v>
      </c>
      <c r="G13" t="s">
        <v>11</v>
      </c>
      <c r="H13" t="s">
        <v>1110</v>
      </c>
      <c r="I13" t="s">
        <v>43</v>
      </c>
      <c r="J13" t="s">
        <v>50</v>
      </c>
      <c r="K13" t="s">
        <v>10</v>
      </c>
      <c r="L13" t="s">
        <v>10</v>
      </c>
      <c r="M13" t="s">
        <v>57</v>
      </c>
      <c r="N13" t="s">
        <v>57</v>
      </c>
      <c r="O13" t="str">
        <f>INDEX(CoverageTable[Deductible Applies],MATCH(Table1820[[#This Row],[Coverage]],CoverageTable[Coverage],0))</f>
        <v>No</v>
      </c>
      <c r="P13" t="str">
        <f>INDEX(CoverageTable[Coverage Limit Applies],MATCH(Table1820[[#This Row],[Coverage]],CoverageTable[Coverage],0))</f>
        <v>Yes</v>
      </c>
      <c r="Q13" t="s">
        <v>10</v>
      </c>
      <c r="R13" t="s">
        <v>79</v>
      </c>
      <c r="S13" t="s">
        <v>57</v>
      </c>
      <c r="T13" t="s">
        <v>57</v>
      </c>
      <c r="U13" t="s">
        <v>10</v>
      </c>
      <c r="V13" t="s">
        <v>10</v>
      </c>
      <c r="W13" t="s">
        <v>10</v>
      </c>
      <c r="X13" s="11">
        <v>2373.25</v>
      </c>
      <c r="Y13">
        <f>_xlfn.XLOOKUP(Table1820[[#This Row],[Coverage]],CoverageTable[Coverage],CoverageTable[Base Rate],,0)</f>
        <v>622</v>
      </c>
      <c r="Z13">
        <f>INDEX(Table16[Ageband Factor],MATCH(Table1820[[#This Row],[Ageband]],Table16[Ageband],0))</f>
        <v>1.27</v>
      </c>
      <c r="AA13">
        <f>VLOOKUP(Table1820[[#This Row],[Years Driving]],Table1[],2)</f>
        <v>1.07</v>
      </c>
      <c r="AB13">
        <f>_xlfn.XLOOKUP(Table1820[[#This Row],[At Fault Accidents]],Table2[At Fault Accidents],Table2[At Fault Accident Factor],,0)</f>
        <v>2.4700000000000002</v>
      </c>
      <c r="AC13">
        <f>_xlfn.XLOOKUP(Table1820[[#This Row],[Usage-Based Insurance]],Table3[Usage-Based Insurance],Table3[Usage-Based Insurance Discount],,0)</f>
        <v>0.95</v>
      </c>
      <c r="AD13">
        <f>_xlfn.XLOOKUP(Table1820[[#This Row],[Yearly Miles]],Table4[Yearly Miles],Table4[Yearly Miles Factor],,0)</f>
        <v>1.31</v>
      </c>
      <c r="AE13">
        <f>_xlfn.XLOOKUP(Table1820[[#This Row],[City/Zip Code]],Table5[City/Zip Code],Table5[City/Zip Code Factor],,0)</f>
        <v>1.18</v>
      </c>
      <c r="AF13">
        <f>_xlfn.XLOOKUP(Table1820[[#This Row],[Vehicle Price]],Table6[Vehicle Price],Table6[Vehicle Price Factor])</f>
        <v>1.08</v>
      </c>
      <c r="AG13">
        <f>_xlfn.XLOOKUP(Table1820[[#This Row],[Exotic Car]],Table7[Exotic Car],Table7[Exotic Car Factor],,0)</f>
        <v>1</v>
      </c>
      <c r="AH13">
        <f>_xlfn.XLOOKUP(Table1820[[#This Row],[Difficult Parts]],Table8[Difficult Parts],Table8[Difficult Parts Factor],,0)</f>
        <v>1</v>
      </c>
      <c r="AI13">
        <f>_xlfn.XLOOKUP(Table1820[[#This Row],[High Theft Rate]],Table9[High Theft Rate],Table9[High Theft Rate Factor],,0)</f>
        <v>1.1599999999999999</v>
      </c>
      <c r="AJ13">
        <f>_xlfn.XLOOKUP(Table1820[[#This Row],[Advanced Safety Features]],Table10[Advanced Safety Features],Table10[Advanced Safety Features Factor],,0)</f>
        <v>0.88</v>
      </c>
      <c r="AK13">
        <f>_xlfn.XLOOKUP(Table1820[[#This Row],[Deductible]],Table12[Deductible],Table12[Deductible Factor],,0)</f>
        <v>1</v>
      </c>
      <c r="AL13">
        <f>_xlfn.XLOOKUP(Table1820[[#This Row],[Coverage Limit]],Table13[Coverage Limit],Table13[Coverage Limit Factor],,0)</f>
        <v>0.72</v>
      </c>
      <c r="AM13">
        <f>IF(Table1820[[#This Row],[Good Student Discount]]="Yes",'Rate Book'!$D$126,1)</f>
        <v>0.92</v>
      </c>
      <c r="AN13">
        <f>IF(Table1820[[#This Row],[Good Driver Discount]]="Yes",'Rate Book'!$D$127,1)</f>
        <v>0.89</v>
      </c>
      <c r="AO13">
        <f>IF(Table1820[[#This Row],[Multi Policy Discount]]="Yes",'Rate Book'!$D$128,1)</f>
        <v>1</v>
      </c>
      <c r="AP13">
        <f>IF(Table1820[[#This Row],[Loyal Customer Discount]]="Yes",'Rate Book'!$D$129,1)</f>
        <v>1</v>
      </c>
      <c r="AQ13">
        <f>IF(Table1820[[#This Row],[Organization Discount]]="Yes",'Rate Book'!$D$130,1)</f>
        <v>1</v>
      </c>
      <c r="AR13" cm="1">
        <f t="array" ref="AR13">IF(Table1820[[#This Row],[Effective Date]]&gt;=RateChangeTable[Effective Date],RateChangeTable[Rate Change Factor],1)</f>
        <v>1.06</v>
      </c>
      <c r="AS13" s="10">
        <f>PRODUCT(Table1820[[#This Row],[Base Rate]:[Rate Change Factor]])</f>
        <v>2112.1869614624734</v>
      </c>
      <c r="AT13" s="9">
        <f>Table1820[[#This Row],[System-Generated Premium]]-Table1820[[#This Row],[Expected Premium]]</f>
        <v>261.06303853752661</v>
      </c>
      <c r="AU13" t="str">
        <f>IF(Table1820[[#This Row],[Difference]]=0,"PASS","FAIL")</f>
        <v>FAIL</v>
      </c>
      <c r="AV13" s="9">
        <f>ABS(Table1820[[#This Row],[Difference]])</f>
        <v>261.06303853752661</v>
      </c>
      <c r="AW13" s="9" t="s">
        <v>1138</v>
      </c>
    </row>
    <row r="14" spans="1:49" x14ac:dyDescent="0.3">
      <c r="A14" t="s">
        <v>105</v>
      </c>
      <c r="B14" s="7">
        <v>46139</v>
      </c>
      <c r="C14" t="s">
        <v>73</v>
      </c>
      <c r="D14" t="s">
        <v>1100</v>
      </c>
      <c r="E14" s="3">
        <v>1</v>
      </c>
      <c r="F14" s="3">
        <v>3</v>
      </c>
      <c r="G14" t="s">
        <v>11</v>
      </c>
      <c r="H14" t="s">
        <v>1109</v>
      </c>
      <c r="I14" t="s">
        <v>35</v>
      </c>
      <c r="J14" t="s">
        <v>49</v>
      </c>
      <c r="K14" t="s">
        <v>57</v>
      </c>
      <c r="L14" t="s">
        <v>10</v>
      </c>
      <c r="M14" t="s">
        <v>10</v>
      </c>
      <c r="N14" t="s">
        <v>57</v>
      </c>
      <c r="O14" t="str">
        <f>INDEX(CoverageTable[Deductible Applies],MATCH(Table1820[[#This Row],[Coverage]],CoverageTable[Coverage],0))</f>
        <v>No</v>
      </c>
      <c r="P14" t="str">
        <f>INDEX(CoverageTable[Coverage Limit Applies],MATCH(Table1820[[#This Row],[Coverage]],CoverageTable[Coverage],0))</f>
        <v>Yes</v>
      </c>
      <c r="Q14" t="s">
        <v>10</v>
      </c>
      <c r="R14" t="s">
        <v>79</v>
      </c>
      <c r="S14" t="s">
        <v>10</v>
      </c>
      <c r="T14" t="s">
        <v>10</v>
      </c>
      <c r="U14" t="s">
        <v>10</v>
      </c>
      <c r="V14" t="s">
        <v>10</v>
      </c>
      <c r="W14" t="s">
        <v>10</v>
      </c>
      <c r="X14" s="11">
        <v>260.80744790798434</v>
      </c>
      <c r="Y14">
        <f>_xlfn.XLOOKUP(Table1820[[#This Row],[Coverage]],CoverageTable[Coverage],CoverageTable[Base Rate],,0)</f>
        <v>78</v>
      </c>
      <c r="Z14">
        <f>INDEX(Table16[Ageband Factor],MATCH(Table1820[[#This Row],[Ageband]],Table16[Ageband],0))</f>
        <v>1.07</v>
      </c>
      <c r="AA14">
        <f>VLOOKUP(Table1820[[#This Row],[Years Driving]],Table1[],2)</f>
        <v>1.64</v>
      </c>
      <c r="AB14">
        <f>_xlfn.XLOOKUP(Table1820[[#This Row],[At Fault Accidents]],Table2[At Fault Accidents],Table2[At Fault Accident Factor],,0)</f>
        <v>1.82</v>
      </c>
      <c r="AC14">
        <f>_xlfn.XLOOKUP(Table1820[[#This Row],[Usage-Based Insurance]],Table3[Usage-Based Insurance],Table3[Usage-Based Insurance Discount],,0)</f>
        <v>0.95</v>
      </c>
      <c r="AD14">
        <f>_xlfn.XLOOKUP(Table1820[[#This Row],[Yearly Miles]],Table4[Yearly Miles],Table4[Yearly Miles Factor],,0)</f>
        <v>1.18</v>
      </c>
      <c r="AE14">
        <f>_xlfn.XLOOKUP(Table1820[[#This Row],[City/Zip Code]],Table5[City/Zip Code],Table5[City/Zip Code Factor],,0)</f>
        <v>1.1200000000000001</v>
      </c>
      <c r="AF14">
        <f>_xlfn.XLOOKUP(Table1820[[#This Row],[Vehicle Price]],Table6[Vehicle Price],Table6[Vehicle Price Factor])</f>
        <v>0.97</v>
      </c>
      <c r="AG14">
        <f>_xlfn.XLOOKUP(Table1820[[#This Row],[Exotic Car]],Table7[Exotic Car],Table7[Exotic Car Factor],,0)</f>
        <v>1.28</v>
      </c>
      <c r="AH14">
        <f>_xlfn.XLOOKUP(Table1820[[#This Row],[Difficult Parts]],Table8[Difficult Parts],Table8[Difficult Parts Factor],,0)</f>
        <v>1</v>
      </c>
      <c r="AI14">
        <f>_xlfn.XLOOKUP(Table1820[[#This Row],[High Theft Rate]],Table9[High Theft Rate],Table9[High Theft Rate Factor],,0)</f>
        <v>1</v>
      </c>
      <c r="AJ14">
        <f>_xlfn.XLOOKUP(Table1820[[#This Row],[Advanced Safety Features]],Table10[Advanced Safety Features],Table10[Advanced Safety Features Factor],,0)</f>
        <v>0.88</v>
      </c>
      <c r="AK14">
        <f>_xlfn.XLOOKUP(Table1820[[#This Row],[Deductible]],Table12[Deductible],Table12[Deductible Factor],,0)</f>
        <v>1</v>
      </c>
      <c r="AL14">
        <f>_xlfn.XLOOKUP(Table1820[[#This Row],[Coverage Limit]],Table13[Coverage Limit],Table13[Coverage Limit Factor],,0)</f>
        <v>0.72</v>
      </c>
      <c r="AM14">
        <f>IF(Table1820[[#This Row],[Good Student Discount]]="Yes",'Rate Book'!$D$126,1)</f>
        <v>1</v>
      </c>
      <c r="AN14">
        <f>IF(Table1820[[#This Row],[Good Driver Discount]]="Yes",'Rate Book'!$D$127,1)</f>
        <v>1</v>
      </c>
      <c r="AO14">
        <f>IF(Table1820[[#This Row],[Multi Policy Discount]]="Yes",'Rate Book'!$D$128,1)</f>
        <v>1</v>
      </c>
      <c r="AP14">
        <f>IF(Table1820[[#This Row],[Loyal Customer Discount]]="Yes",'Rate Book'!$D$129,1)</f>
        <v>1</v>
      </c>
      <c r="AQ14">
        <f>IF(Table1820[[#This Row],[Organization Discount]]="Yes",'Rate Book'!$D$130,1)</f>
        <v>1</v>
      </c>
      <c r="AR14" cm="1">
        <f t="array" ref="AR14">IF(Table1820[[#This Row],[Effective Date]]&gt;=RateChangeTable[Effective Date],RateChangeTable[Rate Change Factor],1)</f>
        <v>1.06</v>
      </c>
      <c r="AS14" s="10">
        <f>PRODUCT(Table1820[[#This Row],[Base Rate]:[Rate Change Factor]])</f>
        <v>260.80744790798434</v>
      </c>
      <c r="AT14" s="9">
        <f>Table1820[[#This Row],[System-Generated Premium]]-Table1820[[#This Row],[Expected Premium]]</f>
        <v>0</v>
      </c>
      <c r="AU14" t="str">
        <f>IF(Table1820[[#This Row],[Difference]]=0,"PASS","FAIL")</f>
        <v>PASS</v>
      </c>
      <c r="AV14" s="9">
        <f>ABS(Table1820[[#This Row],[Difference]])</f>
        <v>0</v>
      </c>
      <c r="AW14" s="9" t="s">
        <v>1136</v>
      </c>
    </row>
    <row r="15" spans="1:49" x14ac:dyDescent="0.3">
      <c r="A15" t="s">
        <v>106</v>
      </c>
      <c r="B15" s="7">
        <v>45901</v>
      </c>
      <c r="C15" t="s">
        <v>70</v>
      </c>
      <c r="D15" t="s">
        <v>1101</v>
      </c>
      <c r="E15" s="3">
        <v>5</v>
      </c>
      <c r="F15" s="3">
        <v>3</v>
      </c>
      <c r="G15" t="s">
        <v>13</v>
      </c>
      <c r="H15" t="s">
        <v>1110</v>
      </c>
      <c r="I15" t="s">
        <v>23</v>
      </c>
      <c r="J15" t="s">
        <v>52</v>
      </c>
      <c r="K15" t="s">
        <v>10</v>
      </c>
      <c r="L15" t="s">
        <v>10</v>
      </c>
      <c r="M15" t="s">
        <v>10</v>
      </c>
      <c r="N15" t="s">
        <v>57</v>
      </c>
      <c r="O15" t="str">
        <f>INDEX(CoverageTable[Deductible Applies],MATCH(Table1820[[#This Row],[Coverage]],CoverageTable[Coverage],0))</f>
        <v>No</v>
      </c>
      <c r="P15" t="str">
        <f>INDEX(CoverageTable[Coverage Limit Applies],MATCH(Table1820[[#This Row],[Coverage]],CoverageTable[Coverage],0))</f>
        <v>Yes</v>
      </c>
      <c r="Q15" t="s">
        <v>10</v>
      </c>
      <c r="R15" t="s">
        <v>79</v>
      </c>
      <c r="S15" t="s">
        <v>10</v>
      </c>
      <c r="T15" t="s">
        <v>57</v>
      </c>
      <c r="U15" t="s">
        <v>10</v>
      </c>
      <c r="V15" t="s">
        <v>57</v>
      </c>
      <c r="W15" t="s">
        <v>10</v>
      </c>
      <c r="X15" s="11">
        <v>884.44072907121927</v>
      </c>
      <c r="Y15">
        <f>_xlfn.XLOOKUP(Table1820[[#This Row],[Coverage]],CoverageTable[Coverage],CoverageTable[Base Rate],,0)</f>
        <v>622</v>
      </c>
      <c r="Z15">
        <f>INDEX(Table16[Ageband Factor],MATCH(Table1820[[#This Row],[Ageband]],Table16[Ageband],0))</f>
        <v>1.1200000000000001</v>
      </c>
      <c r="AA15">
        <f>VLOOKUP(Table1820[[#This Row],[Years Driving]],Table1[],2)</f>
        <v>1.07</v>
      </c>
      <c r="AB15">
        <f>_xlfn.XLOOKUP(Table1820[[#This Row],[At Fault Accidents]],Table2[At Fault Accidents],Table2[At Fault Accident Factor],,0)</f>
        <v>1.82</v>
      </c>
      <c r="AC15">
        <f>_xlfn.XLOOKUP(Table1820[[#This Row],[Usage-Based Insurance]],Table3[Usage-Based Insurance],Table3[Usage-Based Insurance Discount],,0)</f>
        <v>0.65</v>
      </c>
      <c r="AD15">
        <f>_xlfn.XLOOKUP(Table1820[[#This Row],[Yearly Miles]],Table4[Yearly Miles],Table4[Yearly Miles Factor],,0)</f>
        <v>1.31</v>
      </c>
      <c r="AE15">
        <f>_xlfn.XLOOKUP(Table1820[[#This Row],[City/Zip Code]],Table5[City/Zip Code],Table5[City/Zip Code Factor],,0)</f>
        <v>0.92</v>
      </c>
      <c r="AF15">
        <f>_xlfn.XLOOKUP(Table1820[[#This Row],[Vehicle Price]],Table6[Vehicle Price],Table6[Vehicle Price Factor])</f>
        <v>1.57</v>
      </c>
      <c r="AG15">
        <f>_xlfn.XLOOKUP(Table1820[[#This Row],[Exotic Car]],Table7[Exotic Car],Table7[Exotic Car Factor],,0)</f>
        <v>1</v>
      </c>
      <c r="AH15">
        <f>_xlfn.XLOOKUP(Table1820[[#This Row],[Difficult Parts]],Table8[Difficult Parts],Table8[Difficult Parts Factor],,0)</f>
        <v>1</v>
      </c>
      <c r="AI15">
        <f>_xlfn.XLOOKUP(Table1820[[#This Row],[High Theft Rate]],Table9[High Theft Rate],Table9[High Theft Rate Factor],,0)</f>
        <v>1</v>
      </c>
      <c r="AJ15">
        <f>_xlfn.XLOOKUP(Table1820[[#This Row],[Advanced Safety Features]],Table10[Advanced Safety Features],Table10[Advanced Safety Features Factor],,0)</f>
        <v>0.88</v>
      </c>
      <c r="AK15">
        <f>_xlfn.XLOOKUP(Table1820[[#This Row],[Deductible]],Table12[Deductible],Table12[Deductible Factor],,0)</f>
        <v>1</v>
      </c>
      <c r="AL15">
        <f>_xlfn.XLOOKUP(Table1820[[#This Row],[Coverage Limit]],Table13[Coverage Limit],Table13[Coverage Limit Factor],,0)</f>
        <v>0.72</v>
      </c>
      <c r="AM15">
        <f>IF(Table1820[[#This Row],[Good Student Discount]]="Yes",'Rate Book'!$D$126,1)</f>
        <v>1</v>
      </c>
      <c r="AN15">
        <f>IF(Table1820[[#This Row],[Good Driver Discount]]="Yes",'Rate Book'!$D$127,1)</f>
        <v>0.89</v>
      </c>
      <c r="AO15">
        <f>IF(Table1820[[#This Row],[Multi Policy Discount]]="Yes",'Rate Book'!$D$128,1)</f>
        <v>1</v>
      </c>
      <c r="AP15">
        <f>IF(Table1820[[#This Row],[Loyal Customer Discount]]="Yes",'Rate Book'!$D$129,1)</f>
        <v>0.94</v>
      </c>
      <c r="AQ15">
        <f>IF(Table1820[[#This Row],[Organization Discount]]="Yes",'Rate Book'!$D$130,1)</f>
        <v>1</v>
      </c>
      <c r="AR15" cm="1">
        <f t="array" ref="AR15">IF(Table1820[[#This Row],[Effective Date]]&gt;=RateChangeTable[Effective Date],RateChangeTable[Rate Change Factor],1)</f>
        <v>1</v>
      </c>
      <c r="AS15" s="10">
        <f>PRODUCT(Table1820[[#This Row],[Base Rate]:[Rate Change Factor]])</f>
        <v>884.44072907121927</v>
      </c>
      <c r="AT15" s="9">
        <f>Table1820[[#This Row],[System-Generated Premium]]-Table1820[[#This Row],[Expected Premium]]</f>
        <v>0</v>
      </c>
      <c r="AU15" t="str">
        <f>IF(Table1820[[#This Row],[Difference]]=0,"PASS","FAIL")</f>
        <v>PASS</v>
      </c>
      <c r="AV15" s="9">
        <f>ABS(Table1820[[#This Row],[Difference]])</f>
        <v>0</v>
      </c>
      <c r="AW15" s="9" t="s">
        <v>1136</v>
      </c>
    </row>
    <row r="16" spans="1:49" x14ac:dyDescent="0.3">
      <c r="A16" t="s">
        <v>107</v>
      </c>
      <c r="B16" s="7">
        <v>45813</v>
      </c>
      <c r="C16" t="s">
        <v>70</v>
      </c>
      <c r="D16" t="s">
        <v>1099</v>
      </c>
      <c r="E16" s="3">
        <v>7</v>
      </c>
      <c r="F16" s="3">
        <v>4</v>
      </c>
      <c r="G16" t="s">
        <v>10</v>
      </c>
      <c r="H16" t="s">
        <v>1107</v>
      </c>
      <c r="I16" t="s">
        <v>32</v>
      </c>
      <c r="J16" t="s">
        <v>48</v>
      </c>
      <c r="K16" t="s">
        <v>10</v>
      </c>
      <c r="L16" t="s">
        <v>10</v>
      </c>
      <c r="M16" t="s">
        <v>10</v>
      </c>
      <c r="N16" t="s">
        <v>57</v>
      </c>
      <c r="O16" t="str">
        <f>INDEX(CoverageTable[Deductible Applies],MATCH(Table1820[[#This Row],[Coverage]],CoverageTable[Coverage],0))</f>
        <v>No</v>
      </c>
      <c r="P16" t="str">
        <f>INDEX(CoverageTable[Coverage Limit Applies],MATCH(Table1820[[#This Row],[Coverage]],CoverageTable[Coverage],0))</f>
        <v>Yes</v>
      </c>
      <c r="Q16" t="s">
        <v>10</v>
      </c>
      <c r="R16" t="s">
        <v>79</v>
      </c>
      <c r="S16" t="s">
        <v>10</v>
      </c>
      <c r="T16" t="s">
        <v>10</v>
      </c>
      <c r="U16" t="s">
        <v>10</v>
      </c>
      <c r="V16" t="s">
        <v>10</v>
      </c>
      <c r="W16" t="s">
        <v>57</v>
      </c>
      <c r="X16" s="11">
        <v>657.58451440943929</v>
      </c>
      <c r="Y16">
        <f>_xlfn.XLOOKUP(Table1820[[#This Row],[Coverage]],CoverageTable[Coverage],CoverageTable[Base Rate],,0)</f>
        <v>622</v>
      </c>
      <c r="Z16">
        <f>INDEX(Table16[Ageband Factor],MATCH(Table1820[[#This Row],[Ageband]],Table16[Ageband],0))</f>
        <v>1</v>
      </c>
      <c r="AA16">
        <f>VLOOKUP(Table1820[[#This Row],[Years Driving]],Table1[],2)</f>
        <v>0.95</v>
      </c>
      <c r="AB16">
        <f>_xlfn.XLOOKUP(Table1820[[#This Row],[At Fault Accidents]],Table2[At Fault Accidents],Table2[At Fault Accident Factor],,0)</f>
        <v>2.12</v>
      </c>
      <c r="AC16">
        <f>_xlfn.XLOOKUP(Table1820[[#This Row],[Usage-Based Insurance]],Table3[Usage-Based Insurance],Table3[Usage-Based Insurance Discount],,0)</f>
        <v>1</v>
      </c>
      <c r="AD16">
        <f>_xlfn.XLOOKUP(Table1820[[#This Row],[Yearly Miles]],Table4[Yearly Miles],Table4[Yearly Miles Factor],,0)</f>
        <v>0.93</v>
      </c>
      <c r="AE16">
        <f>_xlfn.XLOOKUP(Table1820[[#This Row],[City/Zip Code]],Table5[City/Zip Code],Table5[City/Zip Code Factor],,0)</f>
        <v>1.1200000000000001</v>
      </c>
      <c r="AF16">
        <f>_xlfn.XLOOKUP(Table1820[[#This Row],[Vehicle Price]],Table6[Vehicle Price],Table6[Vehicle Price Factor])</f>
        <v>0.82</v>
      </c>
      <c r="AG16">
        <f>_xlfn.XLOOKUP(Table1820[[#This Row],[Exotic Car]],Table7[Exotic Car],Table7[Exotic Car Factor],,0)</f>
        <v>1</v>
      </c>
      <c r="AH16">
        <f>_xlfn.XLOOKUP(Table1820[[#This Row],[Difficult Parts]],Table8[Difficult Parts],Table8[Difficult Parts Factor],,0)</f>
        <v>1</v>
      </c>
      <c r="AI16">
        <f>_xlfn.XLOOKUP(Table1820[[#This Row],[High Theft Rate]],Table9[High Theft Rate],Table9[High Theft Rate Factor],,0)</f>
        <v>1</v>
      </c>
      <c r="AJ16">
        <f>_xlfn.XLOOKUP(Table1820[[#This Row],[Advanced Safety Features]],Table10[Advanced Safety Features],Table10[Advanced Safety Features Factor],,0)</f>
        <v>0.88</v>
      </c>
      <c r="AK16">
        <f>_xlfn.XLOOKUP(Table1820[[#This Row],[Deductible]],Table12[Deductible],Table12[Deductible Factor],,0)</f>
        <v>1</v>
      </c>
      <c r="AL16">
        <f>_xlfn.XLOOKUP(Table1820[[#This Row],[Coverage Limit]],Table13[Coverage Limit],Table13[Coverage Limit Factor],,0)</f>
        <v>0.72</v>
      </c>
      <c r="AM16">
        <f>IF(Table1820[[#This Row],[Good Student Discount]]="Yes",'Rate Book'!$D$126,1)</f>
        <v>1</v>
      </c>
      <c r="AN16">
        <f>IF(Table1820[[#This Row],[Good Driver Discount]]="Yes",'Rate Book'!$D$127,1)</f>
        <v>1</v>
      </c>
      <c r="AO16">
        <f>IF(Table1820[[#This Row],[Multi Policy Discount]]="Yes",'Rate Book'!$D$128,1)</f>
        <v>1</v>
      </c>
      <c r="AP16">
        <f>IF(Table1820[[#This Row],[Loyal Customer Discount]]="Yes",'Rate Book'!$D$129,1)</f>
        <v>1</v>
      </c>
      <c r="AQ16">
        <f>IF(Table1820[[#This Row],[Organization Discount]]="Yes",'Rate Book'!$D$130,1)</f>
        <v>0.97</v>
      </c>
      <c r="AR16" cm="1">
        <f t="array" ref="AR16">IF(Table1820[[#This Row],[Effective Date]]&gt;=RateChangeTable[Effective Date],RateChangeTable[Rate Change Factor],1)</f>
        <v>1</v>
      </c>
      <c r="AS16" s="10">
        <f>PRODUCT(Table1820[[#This Row],[Base Rate]:[Rate Change Factor]])</f>
        <v>657.58451440943929</v>
      </c>
      <c r="AT16" s="9">
        <f>Table1820[[#This Row],[System-Generated Premium]]-Table1820[[#This Row],[Expected Premium]]</f>
        <v>0</v>
      </c>
      <c r="AU16" t="str">
        <f>IF(Table1820[[#This Row],[Difference]]=0,"PASS","FAIL")</f>
        <v>PASS</v>
      </c>
      <c r="AV16" s="9">
        <f>ABS(Table1820[[#This Row],[Difference]])</f>
        <v>0</v>
      </c>
      <c r="AW16" s="9" t="s">
        <v>1136</v>
      </c>
    </row>
    <row r="17" spans="1:49" x14ac:dyDescent="0.3">
      <c r="A17" t="s">
        <v>108</v>
      </c>
      <c r="B17" s="7">
        <v>45944</v>
      </c>
      <c r="C17" t="s">
        <v>71</v>
      </c>
      <c r="D17" t="s">
        <v>1097</v>
      </c>
      <c r="E17" s="3">
        <v>7</v>
      </c>
      <c r="F17" s="3">
        <v>0</v>
      </c>
      <c r="G17" t="s">
        <v>12</v>
      </c>
      <c r="H17" t="s">
        <v>1108</v>
      </c>
      <c r="I17" t="s">
        <v>38</v>
      </c>
      <c r="J17" t="s">
        <v>54</v>
      </c>
      <c r="K17" t="s">
        <v>10</v>
      </c>
      <c r="L17" t="s">
        <v>10</v>
      </c>
      <c r="M17" t="s">
        <v>10</v>
      </c>
      <c r="N17" t="s">
        <v>10</v>
      </c>
      <c r="O17" t="str">
        <f>INDEX(CoverageTable[Deductible Applies],MATCH(Table1820[[#This Row],[Coverage]],CoverageTable[Coverage],0))</f>
        <v>Yes</v>
      </c>
      <c r="P17" t="str">
        <f>INDEX(CoverageTable[Coverage Limit Applies],MATCH(Table1820[[#This Row],[Coverage]],CoverageTable[Coverage],0))</f>
        <v>No</v>
      </c>
      <c r="Q17" t="s">
        <v>79</v>
      </c>
      <c r="R17" t="s">
        <v>10</v>
      </c>
      <c r="S17" t="s">
        <v>10</v>
      </c>
      <c r="T17" t="s">
        <v>57</v>
      </c>
      <c r="U17" t="s">
        <v>10</v>
      </c>
      <c r="V17" t="s">
        <v>10</v>
      </c>
      <c r="W17" t="s">
        <v>10</v>
      </c>
      <c r="X17" s="11">
        <v>1092.0812169738242</v>
      </c>
      <c r="Y17">
        <f>_xlfn.XLOOKUP(Table1820[[#This Row],[Coverage]],CoverageTable[Coverage],CoverageTable[Base Rate],,0)</f>
        <v>453</v>
      </c>
      <c r="Z17">
        <f>INDEX(Table16[Ageband Factor],MATCH(Table1820[[#This Row],[Ageband]],Table16[Ageband],0))</f>
        <v>1.32</v>
      </c>
      <c r="AA17">
        <f>VLOOKUP(Table1820[[#This Row],[Years Driving]],Table1[],2)</f>
        <v>0.95</v>
      </c>
      <c r="AB17">
        <f>_xlfn.XLOOKUP(Table1820[[#This Row],[At Fault Accidents]],Table2[At Fault Accidents],Table2[At Fault Accident Factor],,0)</f>
        <v>1</v>
      </c>
      <c r="AC17">
        <f>_xlfn.XLOOKUP(Table1820[[#This Row],[Usage-Based Insurance]],Table3[Usage-Based Insurance],Table3[Usage-Based Insurance Discount],,0)</f>
        <v>0.8</v>
      </c>
      <c r="AD17">
        <f>_xlfn.XLOOKUP(Table1820[[#This Row],[Yearly Miles]],Table4[Yearly Miles],Table4[Yearly Miles Factor],,0)</f>
        <v>1</v>
      </c>
      <c r="AE17">
        <f>_xlfn.XLOOKUP(Table1820[[#This Row],[City/Zip Code]],Table5[City/Zip Code],Table5[City/Zip Code Factor],,0)</f>
        <v>1.1200000000000001</v>
      </c>
      <c r="AF17">
        <f>_xlfn.XLOOKUP(Table1820[[#This Row],[Vehicle Price]],Table6[Vehicle Price],Table6[Vehicle Price Factor])</f>
        <v>2.87</v>
      </c>
      <c r="AG17">
        <f>_xlfn.XLOOKUP(Table1820[[#This Row],[Exotic Car]],Table7[Exotic Car],Table7[Exotic Car Factor],,0)</f>
        <v>1</v>
      </c>
      <c r="AH17">
        <f>_xlfn.XLOOKUP(Table1820[[#This Row],[Difficult Parts]],Table8[Difficult Parts],Table8[Difficult Parts Factor],,0)</f>
        <v>1</v>
      </c>
      <c r="AI17">
        <f>_xlfn.XLOOKUP(Table1820[[#This Row],[High Theft Rate]],Table9[High Theft Rate],Table9[High Theft Rate Factor],,0)</f>
        <v>1</v>
      </c>
      <c r="AJ17">
        <f>_xlfn.XLOOKUP(Table1820[[#This Row],[Advanced Safety Features]],Table10[Advanced Safety Features],Table10[Advanced Safety Features Factor],,0)</f>
        <v>1</v>
      </c>
      <c r="AK17">
        <f>_xlfn.XLOOKUP(Table1820[[#This Row],[Deductible]],Table12[Deductible],Table12[Deductible Factor],,0)</f>
        <v>0.84</v>
      </c>
      <c r="AL17">
        <f>_xlfn.XLOOKUP(Table1820[[#This Row],[Coverage Limit]],Table13[Coverage Limit],Table13[Coverage Limit Factor],,0)</f>
        <v>1</v>
      </c>
      <c r="AM17">
        <f>IF(Table1820[[#This Row],[Good Student Discount]]="Yes",'Rate Book'!$D$126,1)</f>
        <v>1</v>
      </c>
      <c r="AN17">
        <f>IF(Table1820[[#This Row],[Good Driver Discount]]="Yes",'Rate Book'!$D$127,1)</f>
        <v>0.89</v>
      </c>
      <c r="AO17">
        <f>IF(Table1820[[#This Row],[Multi Policy Discount]]="Yes",'Rate Book'!$D$128,1)</f>
        <v>1</v>
      </c>
      <c r="AP17">
        <f>IF(Table1820[[#This Row],[Loyal Customer Discount]]="Yes",'Rate Book'!$D$129,1)</f>
        <v>1</v>
      </c>
      <c r="AQ17">
        <f>IF(Table1820[[#This Row],[Organization Discount]]="Yes",'Rate Book'!$D$130,1)</f>
        <v>1</v>
      </c>
      <c r="AR17" cm="1">
        <f t="array" ref="AR17">IF(Table1820[[#This Row],[Effective Date]]&gt;=RateChangeTable[Effective Date],RateChangeTable[Rate Change Factor],1)</f>
        <v>1</v>
      </c>
      <c r="AS17" s="10">
        <f>PRODUCT(Table1820[[#This Row],[Base Rate]:[Rate Change Factor]])</f>
        <v>1092.0812169738242</v>
      </c>
      <c r="AT17" s="9">
        <f>Table1820[[#This Row],[System-Generated Premium]]-Table1820[[#This Row],[Expected Premium]]</f>
        <v>0</v>
      </c>
      <c r="AU17" t="str">
        <f>IF(Table1820[[#This Row],[Difference]]=0,"PASS","FAIL")</f>
        <v>PASS</v>
      </c>
      <c r="AV17" s="9">
        <f>ABS(Table1820[[#This Row],[Difference]])</f>
        <v>0</v>
      </c>
      <c r="AW17" s="9" t="s">
        <v>1136</v>
      </c>
    </row>
    <row r="18" spans="1:49" x14ac:dyDescent="0.3">
      <c r="A18" t="s">
        <v>109</v>
      </c>
      <c r="B18" s="7">
        <v>45792</v>
      </c>
      <c r="C18" t="s">
        <v>73</v>
      </c>
      <c r="D18" t="s">
        <v>1102</v>
      </c>
      <c r="E18" s="3">
        <v>7</v>
      </c>
      <c r="F18" s="3">
        <v>1</v>
      </c>
      <c r="G18" t="s">
        <v>11</v>
      </c>
      <c r="H18" t="s">
        <v>1110</v>
      </c>
      <c r="I18" t="s">
        <v>34</v>
      </c>
      <c r="J18" t="s">
        <v>49</v>
      </c>
      <c r="K18" t="s">
        <v>10</v>
      </c>
      <c r="L18" t="s">
        <v>10</v>
      </c>
      <c r="M18" t="s">
        <v>10</v>
      </c>
      <c r="N18" t="s">
        <v>57</v>
      </c>
      <c r="O18" t="str">
        <f>INDEX(CoverageTable[Deductible Applies],MATCH(Table1820[[#This Row],[Coverage]],CoverageTable[Coverage],0))</f>
        <v>No</v>
      </c>
      <c r="P18" t="str">
        <f>INDEX(CoverageTable[Coverage Limit Applies],MATCH(Table1820[[#This Row],[Coverage]],CoverageTable[Coverage],0))</f>
        <v>Yes</v>
      </c>
      <c r="Q18" t="s">
        <v>10</v>
      </c>
      <c r="R18" t="s">
        <v>80</v>
      </c>
      <c r="S18" t="s">
        <v>10</v>
      </c>
      <c r="T18" t="s">
        <v>10</v>
      </c>
      <c r="U18" t="s">
        <v>10</v>
      </c>
      <c r="V18" t="s">
        <v>10</v>
      </c>
      <c r="W18" t="s">
        <v>10</v>
      </c>
      <c r="X18" s="11">
        <v>175.54154607868921</v>
      </c>
      <c r="Y18">
        <f>_xlfn.XLOOKUP(Table1820[[#This Row],[Coverage]],CoverageTable[Coverage],CoverageTable[Base Rate],,0)</f>
        <v>78</v>
      </c>
      <c r="Z18">
        <f>INDEX(Table16[Ageband Factor],MATCH(Table1820[[#This Row],[Ageband]],Table16[Ageband],0))</f>
        <v>1.27</v>
      </c>
      <c r="AA18">
        <f>VLOOKUP(Table1820[[#This Row],[Years Driving]],Table1[],2)</f>
        <v>0.95</v>
      </c>
      <c r="AB18">
        <f>_xlfn.XLOOKUP(Table1820[[#This Row],[At Fault Accidents]],Table2[At Fault Accidents],Table2[At Fault Accident Factor],,0)</f>
        <v>1.34</v>
      </c>
      <c r="AC18">
        <f>_xlfn.XLOOKUP(Table1820[[#This Row],[Usage-Based Insurance]],Table3[Usage-Based Insurance],Table3[Usage-Based Insurance Discount],,0)</f>
        <v>0.95</v>
      </c>
      <c r="AD18">
        <f>_xlfn.XLOOKUP(Table1820[[#This Row],[Yearly Miles]],Table4[Yearly Miles],Table4[Yearly Miles Factor],,0)</f>
        <v>1.31</v>
      </c>
      <c r="AE18">
        <f>_xlfn.XLOOKUP(Table1820[[#This Row],[City/Zip Code]],Table5[City/Zip Code],Table5[City/Zip Code Factor],,0)</f>
        <v>1.56</v>
      </c>
      <c r="AF18">
        <f>_xlfn.XLOOKUP(Table1820[[#This Row],[Vehicle Price]],Table6[Vehicle Price],Table6[Vehicle Price Factor])</f>
        <v>0.97</v>
      </c>
      <c r="AG18">
        <f>_xlfn.XLOOKUP(Table1820[[#This Row],[Exotic Car]],Table7[Exotic Car],Table7[Exotic Car Factor],,0)</f>
        <v>1</v>
      </c>
      <c r="AH18">
        <f>_xlfn.XLOOKUP(Table1820[[#This Row],[Difficult Parts]],Table8[Difficult Parts],Table8[Difficult Parts Factor],,0)</f>
        <v>1</v>
      </c>
      <c r="AI18">
        <f>_xlfn.XLOOKUP(Table1820[[#This Row],[High Theft Rate]],Table9[High Theft Rate],Table9[High Theft Rate Factor],,0)</f>
        <v>1</v>
      </c>
      <c r="AJ18">
        <f>_xlfn.XLOOKUP(Table1820[[#This Row],[Advanced Safety Features]],Table10[Advanced Safety Features],Table10[Advanced Safety Features Factor],,0)</f>
        <v>0.88</v>
      </c>
      <c r="AK18">
        <f>_xlfn.XLOOKUP(Table1820[[#This Row],[Deductible]],Table12[Deductible],Table12[Deductible Factor],,0)</f>
        <v>1</v>
      </c>
      <c r="AL18">
        <f>_xlfn.XLOOKUP(Table1820[[#This Row],[Coverage Limit]],Table13[Coverage Limit],Table13[Coverage Limit Factor],,0)</f>
        <v>0.84</v>
      </c>
      <c r="AM18">
        <f>IF(Table1820[[#This Row],[Good Student Discount]]="Yes",'Rate Book'!$D$126,1)</f>
        <v>1</v>
      </c>
      <c r="AN18">
        <f>IF(Table1820[[#This Row],[Good Driver Discount]]="Yes",'Rate Book'!$D$127,1)</f>
        <v>1</v>
      </c>
      <c r="AO18">
        <f>IF(Table1820[[#This Row],[Multi Policy Discount]]="Yes",'Rate Book'!$D$128,1)</f>
        <v>1</v>
      </c>
      <c r="AP18">
        <f>IF(Table1820[[#This Row],[Loyal Customer Discount]]="Yes",'Rate Book'!$D$129,1)</f>
        <v>1</v>
      </c>
      <c r="AQ18">
        <f>IF(Table1820[[#This Row],[Organization Discount]]="Yes",'Rate Book'!$D$130,1)</f>
        <v>1</v>
      </c>
      <c r="AR18" cm="1">
        <f t="array" ref="AR18">IF(Table1820[[#This Row],[Effective Date]]&gt;=RateChangeTable[Effective Date],RateChangeTable[Rate Change Factor],1)</f>
        <v>1</v>
      </c>
      <c r="AS18" s="10">
        <f>PRODUCT(Table1820[[#This Row],[Base Rate]:[Rate Change Factor]])</f>
        <v>175.54154607868921</v>
      </c>
      <c r="AT18" s="9">
        <f>Table1820[[#This Row],[System-Generated Premium]]-Table1820[[#This Row],[Expected Premium]]</f>
        <v>0</v>
      </c>
      <c r="AU18" t="str">
        <f>IF(Table1820[[#This Row],[Difference]]=0,"PASS","FAIL")</f>
        <v>PASS</v>
      </c>
      <c r="AV18" s="9">
        <f>ABS(Table1820[[#This Row],[Difference]])</f>
        <v>0</v>
      </c>
      <c r="AW18" s="9" t="s">
        <v>1136</v>
      </c>
    </row>
    <row r="19" spans="1:49" x14ac:dyDescent="0.3">
      <c r="A19" t="s">
        <v>110</v>
      </c>
      <c r="B19" s="7">
        <v>45825</v>
      </c>
      <c r="C19" t="s">
        <v>71</v>
      </c>
      <c r="D19" t="s">
        <v>1102</v>
      </c>
      <c r="E19" s="3">
        <v>7</v>
      </c>
      <c r="F19" s="3">
        <v>1</v>
      </c>
      <c r="G19" t="s">
        <v>10</v>
      </c>
      <c r="H19" t="s">
        <v>1106</v>
      </c>
      <c r="I19" t="s">
        <v>43</v>
      </c>
      <c r="J19" t="s">
        <v>50</v>
      </c>
      <c r="K19" t="s">
        <v>10</v>
      </c>
      <c r="L19" t="s">
        <v>10</v>
      </c>
      <c r="M19" t="s">
        <v>10</v>
      </c>
      <c r="N19" t="s">
        <v>10</v>
      </c>
      <c r="O19" t="str">
        <f>INDEX(CoverageTable[Deductible Applies],MATCH(Table1820[[#This Row],[Coverage]],CoverageTable[Coverage],0))</f>
        <v>Yes</v>
      </c>
      <c r="P19" t="str">
        <f>INDEX(CoverageTable[Coverage Limit Applies],MATCH(Table1820[[#This Row],[Coverage]],CoverageTable[Coverage],0))</f>
        <v>No</v>
      </c>
      <c r="Q19" t="s">
        <v>78</v>
      </c>
      <c r="R19" t="s">
        <v>10</v>
      </c>
      <c r="S19" t="s">
        <v>10</v>
      </c>
      <c r="T19" t="s">
        <v>10</v>
      </c>
      <c r="U19" t="s">
        <v>10</v>
      </c>
      <c r="V19" t="s">
        <v>10</v>
      </c>
      <c r="W19" t="s">
        <v>10</v>
      </c>
      <c r="X19" s="11">
        <v>727.06551619168818</v>
      </c>
      <c r="Y19">
        <f>_xlfn.XLOOKUP(Table1820[[#This Row],[Coverage]],CoverageTable[Coverage],CoverageTable[Base Rate],,0)</f>
        <v>453</v>
      </c>
      <c r="Z19">
        <f>INDEX(Table16[Ageband Factor],MATCH(Table1820[[#This Row],[Ageband]],Table16[Ageband],0))</f>
        <v>1.27</v>
      </c>
      <c r="AA19">
        <f>VLOOKUP(Table1820[[#This Row],[Years Driving]],Table1[],2)</f>
        <v>0.95</v>
      </c>
      <c r="AB19">
        <f>_xlfn.XLOOKUP(Table1820[[#This Row],[At Fault Accidents]],Table2[At Fault Accidents],Table2[At Fault Accident Factor],,0)</f>
        <v>1.34</v>
      </c>
      <c r="AC19">
        <f>_xlfn.XLOOKUP(Table1820[[#This Row],[Usage-Based Insurance]],Table3[Usage-Based Insurance],Table3[Usage-Based Insurance Discount],,0)</f>
        <v>1</v>
      </c>
      <c r="AD19">
        <f>_xlfn.XLOOKUP(Table1820[[#This Row],[Yearly Miles]],Table4[Yearly Miles],Table4[Yearly Miles Factor],,0)</f>
        <v>0.82</v>
      </c>
      <c r="AE19">
        <f>_xlfn.XLOOKUP(Table1820[[#This Row],[City/Zip Code]],Table5[City/Zip Code],Table5[City/Zip Code Factor],,0)</f>
        <v>1.18</v>
      </c>
      <c r="AF19">
        <f>_xlfn.XLOOKUP(Table1820[[#This Row],[Vehicle Price]],Table6[Vehicle Price],Table6[Vehicle Price Factor])</f>
        <v>1.08</v>
      </c>
      <c r="AG19">
        <f>_xlfn.XLOOKUP(Table1820[[#This Row],[Exotic Car]],Table7[Exotic Car],Table7[Exotic Car Factor],,0)</f>
        <v>1</v>
      </c>
      <c r="AH19">
        <f>_xlfn.XLOOKUP(Table1820[[#This Row],[Difficult Parts]],Table8[Difficult Parts],Table8[Difficult Parts Factor],,0)</f>
        <v>1</v>
      </c>
      <c r="AI19">
        <f>_xlfn.XLOOKUP(Table1820[[#This Row],[High Theft Rate]],Table9[High Theft Rate],Table9[High Theft Rate Factor],,0)</f>
        <v>1</v>
      </c>
      <c r="AJ19">
        <f>_xlfn.XLOOKUP(Table1820[[#This Row],[Advanced Safety Features]],Table10[Advanced Safety Features],Table10[Advanced Safety Features Factor],,0)</f>
        <v>1</v>
      </c>
      <c r="AK19">
        <f>_xlfn.XLOOKUP(Table1820[[#This Row],[Deductible]],Table12[Deductible],Table12[Deductible Factor],,0)</f>
        <v>0.95</v>
      </c>
      <c r="AL19">
        <f>_xlfn.XLOOKUP(Table1820[[#This Row],[Coverage Limit]],Table13[Coverage Limit],Table13[Coverage Limit Factor],,0)</f>
        <v>1</v>
      </c>
      <c r="AM19">
        <f>IF(Table1820[[#This Row],[Good Student Discount]]="Yes",'Rate Book'!$D$126,1)</f>
        <v>1</v>
      </c>
      <c r="AN19">
        <f>IF(Table1820[[#This Row],[Good Driver Discount]]="Yes",'Rate Book'!$D$127,1)</f>
        <v>1</v>
      </c>
      <c r="AO19">
        <f>IF(Table1820[[#This Row],[Multi Policy Discount]]="Yes",'Rate Book'!$D$128,1)</f>
        <v>1</v>
      </c>
      <c r="AP19">
        <f>IF(Table1820[[#This Row],[Loyal Customer Discount]]="Yes",'Rate Book'!$D$129,1)</f>
        <v>1</v>
      </c>
      <c r="AQ19">
        <f>IF(Table1820[[#This Row],[Organization Discount]]="Yes",'Rate Book'!$D$130,1)</f>
        <v>1</v>
      </c>
      <c r="AR19" cm="1">
        <f t="array" ref="AR19">IF(Table1820[[#This Row],[Effective Date]]&gt;=RateChangeTable[Effective Date],RateChangeTable[Rate Change Factor],1)</f>
        <v>1</v>
      </c>
      <c r="AS19" s="10">
        <f>PRODUCT(Table1820[[#This Row],[Base Rate]:[Rate Change Factor]])</f>
        <v>727.06551619168818</v>
      </c>
      <c r="AT19" s="9">
        <f>Table1820[[#This Row],[System-Generated Premium]]-Table1820[[#This Row],[Expected Premium]]</f>
        <v>0</v>
      </c>
      <c r="AU19" t="str">
        <f>IF(Table1820[[#This Row],[Difference]]=0,"PASS","FAIL")</f>
        <v>PASS</v>
      </c>
      <c r="AV19" s="9">
        <f>ABS(Table1820[[#This Row],[Difference]])</f>
        <v>0</v>
      </c>
      <c r="AW19" s="9" t="s">
        <v>1136</v>
      </c>
    </row>
    <row r="20" spans="1:49" x14ac:dyDescent="0.3">
      <c r="A20" t="s">
        <v>111</v>
      </c>
      <c r="B20" s="7">
        <v>46085</v>
      </c>
      <c r="C20" t="s">
        <v>73</v>
      </c>
      <c r="D20" t="s">
        <v>1102</v>
      </c>
      <c r="E20" s="3">
        <v>3</v>
      </c>
      <c r="F20" s="3" t="s">
        <v>7</v>
      </c>
      <c r="G20" t="s">
        <v>10</v>
      </c>
      <c r="H20" t="s">
        <v>1106</v>
      </c>
      <c r="I20" t="s">
        <v>25</v>
      </c>
      <c r="J20" t="s">
        <v>50</v>
      </c>
      <c r="K20" t="s">
        <v>10</v>
      </c>
      <c r="L20" t="s">
        <v>57</v>
      </c>
      <c r="M20" t="s">
        <v>10</v>
      </c>
      <c r="N20" t="s">
        <v>57</v>
      </c>
      <c r="O20" t="str">
        <f>INDEX(CoverageTable[Deductible Applies],MATCH(Table1820[[#This Row],[Coverage]],CoverageTable[Coverage],0))</f>
        <v>No</v>
      </c>
      <c r="P20" t="str">
        <f>INDEX(CoverageTable[Coverage Limit Applies],MATCH(Table1820[[#This Row],[Coverage]],CoverageTable[Coverage],0))</f>
        <v>Yes</v>
      </c>
      <c r="Q20" t="s">
        <v>10</v>
      </c>
      <c r="R20" t="s">
        <v>80</v>
      </c>
      <c r="S20" t="s">
        <v>10</v>
      </c>
      <c r="T20" t="s">
        <v>10</v>
      </c>
      <c r="U20" t="s">
        <v>10</v>
      </c>
      <c r="V20" t="s">
        <v>10</v>
      </c>
      <c r="W20" t="s">
        <v>10</v>
      </c>
      <c r="X20" s="11">
        <v>330.39</v>
      </c>
      <c r="Y20">
        <f>_xlfn.XLOOKUP(Table1820[[#This Row],[Coverage]],CoverageTable[Coverage],CoverageTable[Base Rate],,0)</f>
        <v>78</v>
      </c>
      <c r="Z20">
        <f>INDEX(Table16[Ageband Factor],MATCH(Table1820[[#This Row],[Ageband]],Table16[Ageband],0))</f>
        <v>1.27</v>
      </c>
      <c r="AA20">
        <f>VLOOKUP(Table1820[[#This Row],[Years Driving]],Table1[],2)</f>
        <v>1.22</v>
      </c>
      <c r="AB20">
        <f>_xlfn.XLOOKUP(Table1820[[#This Row],[At Fault Accidents]],Table2[At Fault Accidents],Table2[At Fault Accident Factor],,0)</f>
        <v>2.4700000000000002</v>
      </c>
      <c r="AC20">
        <f>_xlfn.XLOOKUP(Table1820[[#This Row],[Usage-Based Insurance]],Table3[Usage-Based Insurance],Table3[Usage-Based Insurance Discount],,0)</f>
        <v>1</v>
      </c>
      <c r="AD20">
        <f>_xlfn.XLOOKUP(Table1820[[#This Row],[Yearly Miles]],Table4[Yearly Miles],Table4[Yearly Miles Factor],,0)</f>
        <v>0.82</v>
      </c>
      <c r="AE20">
        <f>_xlfn.XLOOKUP(Table1820[[#This Row],[City/Zip Code]],Table5[City/Zip Code],Table5[City/Zip Code Factor],,0)</f>
        <v>1.1599999999999999</v>
      </c>
      <c r="AF20">
        <f>_xlfn.XLOOKUP(Table1820[[#This Row],[Vehicle Price]],Table6[Vehicle Price],Table6[Vehicle Price Factor])</f>
        <v>1.08</v>
      </c>
      <c r="AG20">
        <f>_xlfn.XLOOKUP(Table1820[[#This Row],[Exotic Car]],Table7[Exotic Car],Table7[Exotic Car Factor],,0)</f>
        <v>1</v>
      </c>
      <c r="AH20">
        <f>_xlfn.XLOOKUP(Table1820[[#This Row],[Difficult Parts]],Table8[Difficult Parts],Table8[Difficult Parts Factor],,0)</f>
        <v>1.21</v>
      </c>
      <c r="AI20">
        <f>_xlfn.XLOOKUP(Table1820[[#This Row],[High Theft Rate]],Table9[High Theft Rate],Table9[High Theft Rate Factor],,0)</f>
        <v>1</v>
      </c>
      <c r="AJ20">
        <f>_xlfn.XLOOKUP(Table1820[[#This Row],[Advanced Safety Features]],Table10[Advanced Safety Features],Table10[Advanced Safety Features Factor],,0)</f>
        <v>0.88</v>
      </c>
      <c r="AK20">
        <f>_xlfn.XLOOKUP(Table1820[[#This Row],[Deductible]],Table12[Deductible],Table12[Deductible Factor],,0)</f>
        <v>1</v>
      </c>
      <c r="AL20">
        <f>_xlfn.XLOOKUP(Table1820[[#This Row],[Coverage Limit]],Table13[Coverage Limit],Table13[Coverage Limit Factor],,0)</f>
        <v>0.84</v>
      </c>
      <c r="AM20">
        <f>IF(Table1820[[#This Row],[Good Student Discount]]="Yes",'Rate Book'!$D$126,1)</f>
        <v>1</v>
      </c>
      <c r="AN20">
        <f>IF(Table1820[[#This Row],[Good Driver Discount]]="Yes",'Rate Book'!$D$127,1)</f>
        <v>1</v>
      </c>
      <c r="AO20">
        <f>IF(Table1820[[#This Row],[Multi Policy Discount]]="Yes",'Rate Book'!$D$128,1)</f>
        <v>1</v>
      </c>
      <c r="AP20">
        <f>IF(Table1820[[#This Row],[Loyal Customer Discount]]="Yes",'Rate Book'!$D$129,1)</f>
        <v>1</v>
      </c>
      <c r="AQ20">
        <f>IF(Table1820[[#This Row],[Organization Discount]]="Yes",'Rate Book'!$D$130,1)</f>
        <v>1</v>
      </c>
      <c r="AR20" cm="1">
        <f t="array" ref="AR20">IF(Table1820[[#This Row],[Effective Date]]&gt;=RateChangeTable[Effective Date],RateChangeTable[Rate Change Factor],1)</f>
        <v>1.06</v>
      </c>
      <c r="AS20" s="10">
        <f>PRODUCT(Table1820[[#This Row],[Base Rate]:[Rate Change Factor]])</f>
        <v>290.73940577325436</v>
      </c>
      <c r="AT20" s="9">
        <f>Table1820[[#This Row],[System-Generated Premium]]-Table1820[[#This Row],[Expected Premium]]</f>
        <v>39.650594226745625</v>
      </c>
      <c r="AU20" t="str">
        <f>IF(Table1820[[#This Row],[Difference]]=0,"PASS","FAIL")</f>
        <v>FAIL</v>
      </c>
      <c r="AV20" s="9">
        <f>ABS(Table1820[[#This Row],[Difference]])</f>
        <v>39.650594226745625</v>
      </c>
      <c r="AW20" s="9" t="s">
        <v>1139</v>
      </c>
    </row>
    <row r="21" spans="1:49" x14ac:dyDescent="0.3">
      <c r="A21" t="s">
        <v>112</v>
      </c>
      <c r="B21" s="7">
        <v>45889</v>
      </c>
      <c r="C21" t="s">
        <v>73</v>
      </c>
      <c r="D21" t="s">
        <v>1098</v>
      </c>
      <c r="E21" s="3">
        <v>6</v>
      </c>
      <c r="F21" s="3">
        <v>0</v>
      </c>
      <c r="G21" t="s">
        <v>13</v>
      </c>
      <c r="H21" t="s">
        <v>1108</v>
      </c>
      <c r="I21" t="s">
        <v>34</v>
      </c>
      <c r="J21" t="s">
        <v>53</v>
      </c>
      <c r="K21" t="s">
        <v>10</v>
      </c>
      <c r="L21" t="s">
        <v>10</v>
      </c>
      <c r="M21" t="s">
        <v>10</v>
      </c>
      <c r="N21" t="s">
        <v>57</v>
      </c>
      <c r="O21" t="str">
        <f>INDEX(CoverageTable[Deductible Applies],MATCH(Table1820[[#This Row],[Coverage]],CoverageTable[Coverage],0))</f>
        <v>No</v>
      </c>
      <c r="P21" t="str">
        <f>INDEX(CoverageTable[Coverage Limit Applies],MATCH(Table1820[[#This Row],[Coverage]],CoverageTable[Coverage],0))</f>
        <v>Yes</v>
      </c>
      <c r="Q21" t="s">
        <v>10</v>
      </c>
      <c r="R21" t="s">
        <v>80</v>
      </c>
      <c r="S21" t="s">
        <v>10</v>
      </c>
      <c r="T21" t="s">
        <v>10</v>
      </c>
      <c r="U21" t="s">
        <v>10</v>
      </c>
      <c r="V21" t="s">
        <v>10</v>
      </c>
      <c r="W21" t="s">
        <v>10</v>
      </c>
      <c r="X21" s="11">
        <v>145.26165798144004</v>
      </c>
      <c r="Y21">
        <f>_xlfn.XLOOKUP(Table1820[[#This Row],[Coverage]],CoverageTable[Coverage],CoverageTable[Base Rate],,0)</f>
        <v>78</v>
      </c>
      <c r="Z21">
        <f>INDEX(Table16[Ageband Factor],MATCH(Table1820[[#This Row],[Ageband]],Table16[Ageband],0))</f>
        <v>1.23</v>
      </c>
      <c r="AA21">
        <f>VLOOKUP(Table1820[[#This Row],[Years Driving]],Table1[],2)</f>
        <v>1</v>
      </c>
      <c r="AB21">
        <f>_xlfn.XLOOKUP(Table1820[[#This Row],[At Fault Accidents]],Table2[At Fault Accidents],Table2[At Fault Accident Factor],,0)</f>
        <v>1</v>
      </c>
      <c r="AC21">
        <f>_xlfn.XLOOKUP(Table1820[[#This Row],[Usage-Based Insurance]],Table3[Usage-Based Insurance],Table3[Usage-Based Insurance Discount],,0)</f>
        <v>0.65</v>
      </c>
      <c r="AD21">
        <f>_xlfn.XLOOKUP(Table1820[[#This Row],[Yearly Miles]],Table4[Yearly Miles],Table4[Yearly Miles Factor],,0)</f>
        <v>1</v>
      </c>
      <c r="AE21">
        <f>_xlfn.XLOOKUP(Table1820[[#This Row],[City/Zip Code]],Table5[City/Zip Code],Table5[City/Zip Code Factor],,0)</f>
        <v>1.56</v>
      </c>
      <c r="AF21">
        <f>_xlfn.XLOOKUP(Table1820[[#This Row],[Vehicle Price]],Table6[Vehicle Price],Table6[Vehicle Price Factor])</f>
        <v>2.02</v>
      </c>
      <c r="AG21">
        <f>_xlfn.XLOOKUP(Table1820[[#This Row],[Exotic Car]],Table7[Exotic Car],Table7[Exotic Car Factor],,0)</f>
        <v>1</v>
      </c>
      <c r="AH21">
        <f>_xlfn.XLOOKUP(Table1820[[#This Row],[Difficult Parts]],Table8[Difficult Parts],Table8[Difficult Parts Factor],,0)</f>
        <v>1</v>
      </c>
      <c r="AI21">
        <f>_xlfn.XLOOKUP(Table1820[[#This Row],[High Theft Rate]],Table9[High Theft Rate],Table9[High Theft Rate Factor],,0)</f>
        <v>1</v>
      </c>
      <c r="AJ21">
        <f>_xlfn.XLOOKUP(Table1820[[#This Row],[Advanced Safety Features]],Table10[Advanced Safety Features],Table10[Advanced Safety Features Factor],,0)</f>
        <v>0.88</v>
      </c>
      <c r="AK21">
        <f>_xlfn.XLOOKUP(Table1820[[#This Row],[Deductible]],Table12[Deductible],Table12[Deductible Factor],,0)</f>
        <v>1</v>
      </c>
      <c r="AL21">
        <f>_xlfn.XLOOKUP(Table1820[[#This Row],[Coverage Limit]],Table13[Coverage Limit],Table13[Coverage Limit Factor],,0)</f>
        <v>0.84</v>
      </c>
      <c r="AM21">
        <f>IF(Table1820[[#This Row],[Good Student Discount]]="Yes",'Rate Book'!$D$126,1)</f>
        <v>1</v>
      </c>
      <c r="AN21">
        <f>IF(Table1820[[#This Row],[Good Driver Discount]]="Yes",'Rate Book'!$D$127,1)</f>
        <v>1</v>
      </c>
      <c r="AO21">
        <f>IF(Table1820[[#This Row],[Multi Policy Discount]]="Yes",'Rate Book'!$D$128,1)</f>
        <v>1</v>
      </c>
      <c r="AP21">
        <f>IF(Table1820[[#This Row],[Loyal Customer Discount]]="Yes",'Rate Book'!$D$129,1)</f>
        <v>1</v>
      </c>
      <c r="AQ21">
        <f>IF(Table1820[[#This Row],[Organization Discount]]="Yes",'Rate Book'!$D$130,1)</f>
        <v>1</v>
      </c>
      <c r="AR21" cm="1">
        <f t="array" ref="AR21">IF(Table1820[[#This Row],[Effective Date]]&gt;=RateChangeTable[Effective Date],RateChangeTable[Rate Change Factor],1)</f>
        <v>1</v>
      </c>
      <c r="AS21" s="10">
        <f>PRODUCT(Table1820[[#This Row],[Base Rate]:[Rate Change Factor]])</f>
        <v>145.26165798144004</v>
      </c>
      <c r="AT21" s="9">
        <f>Table1820[[#This Row],[System-Generated Premium]]-Table1820[[#This Row],[Expected Premium]]</f>
        <v>0</v>
      </c>
      <c r="AU21" t="str">
        <f>IF(Table1820[[#This Row],[Difference]]=0,"PASS","FAIL")</f>
        <v>PASS</v>
      </c>
      <c r="AV21" s="9">
        <f>ABS(Table1820[[#This Row],[Difference]])</f>
        <v>0</v>
      </c>
      <c r="AW21" s="9" t="s">
        <v>1136</v>
      </c>
    </row>
    <row r="22" spans="1:49" x14ac:dyDescent="0.3">
      <c r="A22" t="s">
        <v>113</v>
      </c>
      <c r="B22" s="7">
        <v>45863</v>
      </c>
      <c r="C22" t="s">
        <v>71</v>
      </c>
      <c r="D22" t="s">
        <v>1097</v>
      </c>
      <c r="E22" s="3">
        <v>1</v>
      </c>
      <c r="F22" s="3">
        <v>4</v>
      </c>
      <c r="G22" t="s">
        <v>10</v>
      </c>
      <c r="H22" t="s">
        <v>1106</v>
      </c>
      <c r="I22" t="s">
        <v>37</v>
      </c>
      <c r="J22" t="s">
        <v>48</v>
      </c>
      <c r="K22" t="s">
        <v>10</v>
      </c>
      <c r="L22" t="s">
        <v>10</v>
      </c>
      <c r="M22" t="s">
        <v>10</v>
      </c>
      <c r="N22" t="s">
        <v>57</v>
      </c>
      <c r="O22" t="str">
        <f>INDEX(CoverageTable[Deductible Applies],MATCH(Table1820[[#This Row],[Coverage]],CoverageTable[Coverage],0))</f>
        <v>Yes</v>
      </c>
      <c r="P22" t="str">
        <f>INDEX(CoverageTable[Coverage Limit Applies],MATCH(Table1820[[#This Row],[Coverage]],CoverageTable[Coverage],0))</f>
        <v>No</v>
      </c>
      <c r="Q22" t="s">
        <v>78</v>
      </c>
      <c r="R22" t="s">
        <v>10</v>
      </c>
      <c r="S22" t="s">
        <v>10</v>
      </c>
      <c r="T22" t="s">
        <v>10</v>
      </c>
      <c r="U22" t="s">
        <v>10</v>
      </c>
      <c r="V22" t="s">
        <v>57</v>
      </c>
      <c r="W22" t="s">
        <v>10</v>
      </c>
      <c r="X22" s="11">
        <v>1197.402542427682</v>
      </c>
      <c r="Y22">
        <f>_xlfn.XLOOKUP(Table1820[[#This Row],[Coverage]],CoverageTable[Coverage],CoverageTable[Base Rate],,0)</f>
        <v>453</v>
      </c>
      <c r="Z22">
        <f>INDEX(Table16[Ageband Factor],MATCH(Table1820[[#This Row],[Ageband]],Table16[Ageband],0))</f>
        <v>1.32</v>
      </c>
      <c r="AA22">
        <f>VLOOKUP(Table1820[[#This Row],[Years Driving]],Table1[],2)</f>
        <v>1.64</v>
      </c>
      <c r="AB22">
        <f>_xlfn.XLOOKUP(Table1820[[#This Row],[At Fault Accidents]],Table2[At Fault Accidents],Table2[At Fault Accident Factor],,0)</f>
        <v>2.12</v>
      </c>
      <c r="AC22">
        <f>_xlfn.XLOOKUP(Table1820[[#This Row],[Usage-Based Insurance]],Table3[Usage-Based Insurance],Table3[Usage-Based Insurance Discount],,0)</f>
        <v>1</v>
      </c>
      <c r="AD22">
        <f>_xlfn.XLOOKUP(Table1820[[#This Row],[Yearly Miles]],Table4[Yearly Miles],Table4[Yearly Miles Factor],,0)</f>
        <v>0.82</v>
      </c>
      <c r="AE22">
        <f>_xlfn.XLOOKUP(Table1820[[#This Row],[City/Zip Code]],Table5[City/Zip Code],Table5[City/Zip Code Factor],,0)</f>
        <v>1.0900000000000001</v>
      </c>
      <c r="AF22">
        <f>_xlfn.XLOOKUP(Table1820[[#This Row],[Vehicle Price]],Table6[Vehicle Price],Table6[Vehicle Price Factor])</f>
        <v>0.82</v>
      </c>
      <c r="AG22">
        <f>_xlfn.XLOOKUP(Table1820[[#This Row],[Exotic Car]],Table7[Exotic Car],Table7[Exotic Car Factor],,0)</f>
        <v>1</v>
      </c>
      <c r="AH22">
        <f>_xlfn.XLOOKUP(Table1820[[#This Row],[Difficult Parts]],Table8[Difficult Parts],Table8[Difficult Parts Factor],,0)</f>
        <v>1</v>
      </c>
      <c r="AI22">
        <f>_xlfn.XLOOKUP(Table1820[[#This Row],[High Theft Rate]],Table9[High Theft Rate],Table9[High Theft Rate Factor],,0)</f>
        <v>1</v>
      </c>
      <c r="AJ22">
        <f>_xlfn.XLOOKUP(Table1820[[#This Row],[Advanced Safety Features]],Table10[Advanced Safety Features],Table10[Advanced Safety Features Factor],,0)</f>
        <v>0.88</v>
      </c>
      <c r="AK22">
        <f>_xlfn.XLOOKUP(Table1820[[#This Row],[Deductible]],Table12[Deductible],Table12[Deductible Factor],,0)</f>
        <v>0.95</v>
      </c>
      <c r="AL22">
        <f>_xlfn.XLOOKUP(Table1820[[#This Row],[Coverage Limit]],Table13[Coverage Limit],Table13[Coverage Limit Factor],,0)</f>
        <v>1</v>
      </c>
      <c r="AM22">
        <f>IF(Table1820[[#This Row],[Good Student Discount]]="Yes",'Rate Book'!$D$126,1)</f>
        <v>1</v>
      </c>
      <c r="AN22">
        <f>IF(Table1820[[#This Row],[Good Driver Discount]]="Yes",'Rate Book'!$D$127,1)</f>
        <v>1</v>
      </c>
      <c r="AO22">
        <f>IF(Table1820[[#This Row],[Multi Policy Discount]]="Yes",'Rate Book'!$D$128,1)</f>
        <v>1</v>
      </c>
      <c r="AP22">
        <f>IF(Table1820[[#This Row],[Loyal Customer Discount]]="Yes",'Rate Book'!$D$129,1)</f>
        <v>0.94</v>
      </c>
      <c r="AQ22">
        <f>IF(Table1820[[#This Row],[Organization Discount]]="Yes",'Rate Book'!$D$130,1)</f>
        <v>1</v>
      </c>
      <c r="AR22" cm="1">
        <f t="array" ref="AR22">IF(Table1820[[#This Row],[Effective Date]]&gt;=RateChangeTable[Effective Date],RateChangeTable[Rate Change Factor],1)</f>
        <v>1</v>
      </c>
      <c r="AS22" s="10">
        <f>PRODUCT(Table1820[[#This Row],[Base Rate]:[Rate Change Factor]])</f>
        <v>1197.402542427682</v>
      </c>
      <c r="AT22" s="9">
        <f>Table1820[[#This Row],[System-Generated Premium]]-Table1820[[#This Row],[Expected Premium]]</f>
        <v>0</v>
      </c>
      <c r="AU22" t="str">
        <f>IF(Table1820[[#This Row],[Difference]]=0,"PASS","FAIL")</f>
        <v>PASS</v>
      </c>
      <c r="AV22" s="9">
        <f>ABS(Table1820[[#This Row],[Difference]])</f>
        <v>0</v>
      </c>
      <c r="AW22" s="9" t="s">
        <v>1136</v>
      </c>
    </row>
    <row r="23" spans="1:49" x14ac:dyDescent="0.3">
      <c r="A23" t="s">
        <v>114</v>
      </c>
      <c r="B23" s="7">
        <v>45961</v>
      </c>
      <c r="C23" t="s">
        <v>71</v>
      </c>
      <c r="D23" t="s">
        <v>1102</v>
      </c>
      <c r="E23" s="3">
        <v>7</v>
      </c>
      <c r="F23" s="3">
        <v>3</v>
      </c>
      <c r="G23" t="s">
        <v>11</v>
      </c>
      <c r="H23" t="s">
        <v>1109</v>
      </c>
      <c r="I23" t="s">
        <v>34</v>
      </c>
      <c r="J23" t="s">
        <v>52</v>
      </c>
      <c r="K23" t="s">
        <v>10</v>
      </c>
      <c r="L23" t="s">
        <v>10</v>
      </c>
      <c r="M23" t="s">
        <v>57</v>
      </c>
      <c r="N23" t="s">
        <v>57</v>
      </c>
      <c r="O23" t="str">
        <f>INDEX(CoverageTable[Deductible Applies],MATCH(Table1820[[#This Row],[Coverage]],CoverageTable[Coverage],0))</f>
        <v>Yes</v>
      </c>
      <c r="P23" t="str">
        <f>INDEX(CoverageTable[Coverage Limit Applies],MATCH(Table1820[[#This Row],[Coverage]],CoverageTable[Coverage],0))</f>
        <v>No</v>
      </c>
      <c r="Q23" t="s">
        <v>78</v>
      </c>
      <c r="R23" t="s">
        <v>10</v>
      </c>
      <c r="S23" t="s">
        <v>10</v>
      </c>
      <c r="T23" t="s">
        <v>57</v>
      </c>
      <c r="U23" t="s">
        <v>10</v>
      </c>
      <c r="V23" t="s">
        <v>10</v>
      </c>
      <c r="W23" t="s">
        <v>10</v>
      </c>
      <c r="X23" s="11">
        <v>2357.1165268206842</v>
      </c>
      <c r="Y23">
        <f>_xlfn.XLOOKUP(Table1820[[#This Row],[Coverage]],CoverageTable[Coverage],CoverageTable[Base Rate],,0)</f>
        <v>453</v>
      </c>
      <c r="Z23">
        <f>INDEX(Table16[Ageband Factor],MATCH(Table1820[[#This Row],[Ageband]],Table16[Ageband],0))</f>
        <v>1.27</v>
      </c>
      <c r="AA23">
        <f>VLOOKUP(Table1820[[#This Row],[Years Driving]],Table1[],2)</f>
        <v>0.95</v>
      </c>
      <c r="AB23">
        <f>_xlfn.XLOOKUP(Table1820[[#This Row],[At Fault Accidents]],Table2[At Fault Accidents],Table2[At Fault Accident Factor],,0)</f>
        <v>1.82</v>
      </c>
      <c r="AC23">
        <f>_xlfn.XLOOKUP(Table1820[[#This Row],[Usage-Based Insurance]],Table3[Usage-Based Insurance],Table3[Usage-Based Insurance Discount],,0)</f>
        <v>0.95</v>
      </c>
      <c r="AD23">
        <f>_xlfn.XLOOKUP(Table1820[[#This Row],[Yearly Miles]],Table4[Yearly Miles],Table4[Yearly Miles Factor],,0)</f>
        <v>1.18</v>
      </c>
      <c r="AE23">
        <f>_xlfn.XLOOKUP(Table1820[[#This Row],[City/Zip Code]],Table5[City/Zip Code],Table5[City/Zip Code Factor],,0)</f>
        <v>1.56</v>
      </c>
      <c r="AF23">
        <f>_xlfn.XLOOKUP(Table1820[[#This Row],[Vehicle Price]],Table6[Vehicle Price],Table6[Vehicle Price Factor])</f>
        <v>1.57</v>
      </c>
      <c r="AG23">
        <f>_xlfn.XLOOKUP(Table1820[[#This Row],[Exotic Car]],Table7[Exotic Car],Table7[Exotic Car Factor],,0)</f>
        <v>1</v>
      </c>
      <c r="AH23">
        <f>_xlfn.XLOOKUP(Table1820[[#This Row],[Difficult Parts]],Table8[Difficult Parts],Table8[Difficult Parts Factor],,0)</f>
        <v>1</v>
      </c>
      <c r="AI23">
        <f>_xlfn.XLOOKUP(Table1820[[#This Row],[High Theft Rate]],Table9[High Theft Rate],Table9[High Theft Rate Factor],,0)</f>
        <v>1.1599999999999999</v>
      </c>
      <c r="AJ23">
        <f>_xlfn.XLOOKUP(Table1820[[#This Row],[Advanced Safety Features]],Table10[Advanced Safety Features],Table10[Advanced Safety Features Factor],,0)</f>
        <v>0.88</v>
      </c>
      <c r="AK23">
        <f>_xlfn.XLOOKUP(Table1820[[#This Row],[Deductible]],Table12[Deductible],Table12[Deductible Factor],,0)</f>
        <v>0.95</v>
      </c>
      <c r="AL23">
        <f>_xlfn.XLOOKUP(Table1820[[#This Row],[Coverage Limit]],Table13[Coverage Limit],Table13[Coverage Limit Factor],,0)</f>
        <v>1</v>
      </c>
      <c r="AM23">
        <f>IF(Table1820[[#This Row],[Good Student Discount]]="Yes",'Rate Book'!$D$126,1)</f>
        <v>1</v>
      </c>
      <c r="AN23">
        <f>IF(Table1820[[#This Row],[Good Driver Discount]]="Yes",'Rate Book'!$D$127,1)</f>
        <v>0.89</v>
      </c>
      <c r="AO23">
        <f>IF(Table1820[[#This Row],[Multi Policy Discount]]="Yes",'Rate Book'!$D$128,1)</f>
        <v>1</v>
      </c>
      <c r="AP23">
        <f>IF(Table1820[[#This Row],[Loyal Customer Discount]]="Yes",'Rate Book'!$D$129,1)</f>
        <v>1</v>
      </c>
      <c r="AQ23">
        <f>IF(Table1820[[#This Row],[Organization Discount]]="Yes",'Rate Book'!$D$130,1)</f>
        <v>1</v>
      </c>
      <c r="AR23" cm="1">
        <f t="array" ref="AR23">IF(Table1820[[#This Row],[Effective Date]]&gt;=RateChangeTable[Effective Date],RateChangeTable[Rate Change Factor],1)</f>
        <v>1</v>
      </c>
      <c r="AS23" s="10">
        <f>PRODUCT(Table1820[[#This Row],[Base Rate]:[Rate Change Factor]])</f>
        <v>2357.1165268206842</v>
      </c>
      <c r="AT23" s="9">
        <f>Table1820[[#This Row],[System-Generated Premium]]-Table1820[[#This Row],[Expected Premium]]</f>
        <v>0</v>
      </c>
      <c r="AU23" t="str">
        <f>IF(Table1820[[#This Row],[Difference]]=0,"PASS","FAIL")</f>
        <v>PASS</v>
      </c>
      <c r="AV23" s="9">
        <f>ABS(Table1820[[#This Row],[Difference]])</f>
        <v>0</v>
      </c>
      <c r="AW23" s="9" t="s">
        <v>1136</v>
      </c>
    </row>
    <row r="24" spans="1:49" x14ac:dyDescent="0.3">
      <c r="A24" t="s">
        <v>115</v>
      </c>
      <c r="B24" s="7">
        <v>45867</v>
      </c>
      <c r="C24" t="s">
        <v>71</v>
      </c>
      <c r="D24" t="s">
        <v>1098</v>
      </c>
      <c r="E24" s="3">
        <v>2</v>
      </c>
      <c r="F24" s="3">
        <v>0</v>
      </c>
      <c r="G24" t="s">
        <v>10</v>
      </c>
      <c r="H24" t="s">
        <v>1106</v>
      </c>
      <c r="I24" t="s">
        <v>38</v>
      </c>
      <c r="J24" t="s">
        <v>51</v>
      </c>
      <c r="K24" t="s">
        <v>10</v>
      </c>
      <c r="L24" t="s">
        <v>10</v>
      </c>
      <c r="M24" t="s">
        <v>10</v>
      </c>
      <c r="N24" t="s">
        <v>10</v>
      </c>
      <c r="O24" t="str">
        <f>INDEX(CoverageTable[Deductible Applies],MATCH(Table1820[[#This Row],[Coverage]],CoverageTable[Coverage],0))</f>
        <v>Yes</v>
      </c>
      <c r="P24" t="str">
        <f>INDEX(CoverageTable[Coverage Limit Applies],MATCH(Table1820[[#This Row],[Coverage]],CoverageTable[Coverage],0))</f>
        <v>No</v>
      </c>
      <c r="Q24" t="s">
        <v>78</v>
      </c>
      <c r="R24" t="s">
        <v>10</v>
      </c>
      <c r="S24" t="s">
        <v>10</v>
      </c>
      <c r="T24" t="s">
        <v>57</v>
      </c>
      <c r="U24" t="s">
        <v>57</v>
      </c>
      <c r="V24" t="s">
        <v>10</v>
      </c>
      <c r="W24" t="s">
        <v>10</v>
      </c>
      <c r="X24" s="11">
        <v>726.2076696664044</v>
      </c>
      <c r="Y24">
        <f>_xlfn.XLOOKUP(Table1820[[#This Row],[Coverage]],CoverageTable[Coverage],CoverageTable[Base Rate],,0)</f>
        <v>453</v>
      </c>
      <c r="Z24">
        <f>INDEX(Table16[Ageband Factor],MATCH(Table1820[[#This Row],[Ageband]],Table16[Ageband],0))</f>
        <v>1.23</v>
      </c>
      <c r="AA24">
        <f>VLOOKUP(Table1820[[#This Row],[Years Driving]],Table1[],2)</f>
        <v>1.41</v>
      </c>
      <c r="AB24">
        <f>_xlfn.XLOOKUP(Table1820[[#This Row],[At Fault Accidents]],Table2[At Fault Accidents],Table2[At Fault Accident Factor],,0)</f>
        <v>1</v>
      </c>
      <c r="AC24">
        <f>_xlfn.XLOOKUP(Table1820[[#This Row],[Usage-Based Insurance]],Table3[Usage-Based Insurance],Table3[Usage-Based Insurance Discount],,0)</f>
        <v>1</v>
      </c>
      <c r="AD24">
        <f>_xlfn.XLOOKUP(Table1820[[#This Row],[Yearly Miles]],Table4[Yearly Miles],Table4[Yearly Miles Factor],,0)</f>
        <v>0.82</v>
      </c>
      <c r="AE24">
        <f>_xlfn.XLOOKUP(Table1820[[#This Row],[City/Zip Code]],Table5[City/Zip Code],Table5[City/Zip Code Factor],,0)</f>
        <v>1.1200000000000001</v>
      </c>
      <c r="AF24">
        <f>_xlfn.XLOOKUP(Table1820[[#This Row],[Vehicle Price]],Table6[Vehicle Price],Table6[Vehicle Price Factor])</f>
        <v>1.28</v>
      </c>
      <c r="AG24">
        <f>_xlfn.XLOOKUP(Table1820[[#This Row],[Exotic Car]],Table7[Exotic Car],Table7[Exotic Car Factor],,0)</f>
        <v>1</v>
      </c>
      <c r="AH24">
        <f>_xlfn.XLOOKUP(Table1820[[#This Row],[Difficult Parts]],Table8[Difficult Parts],Table8[Difficult Parts Factor],,0)</f>
        <v>1</v>
      </c>
      <c r="AI24">
        <f>_xlfn.XLOOKUP(Table1820[[#This Row],[High Theft Rate]],Table9[High Theft Rate],Table9[High Theft Rate Factor],,0)</f>
        <v>1</v>
      </c>
      <c r="AJ24">
        <f>_xlfn.XLOOKUP(Table1820[[#This Row],[Advanced Safety Features]],Table10[Advanced Safety Features],Table10[Advanced Safety Features Factor],,0)</f>
        <v>1</v>
      </c>
      <c r="AK24">
        <f>_xlfn.XLOOKUP(Table1820[[#This Row],[Deductible]],Table12[Deductible],Table12[Deductible Factor],,0)</f>
        <v>0.95</v>
      </c>
      <c r="AL24">
        <f>_xlfn.XLOOKUP(Table1820[[#This Row],[Coverage Limit]],Table13[Coverage Limit],Table13[Coverage Limit Factor],,0)</f>
        <v>1</v>
      </c>
      <c r="AM24">
        <f>IF(Table1820[[#This Row],[Good Student Discount]]="Yes",'Rate Book'!$D$126,1)</f>
        <v>1</v>
      </c>
      <c r="AN24">
        <f>IF(Table1820[[#This Row],[Good Driver Discount]]="Yes",'Rate Book'!$D$127,1)</f>
        <v>0.89</v>
      </c>
      <c r="AO24">
        <f>IF(Table1820[[#This Row],[Multi Policy Discount]]="Yes",'Rate Book'!$D$128,1)</f>
        <v>0.93</v>
      </c>
      <c r="AP24">
        <f>IF(Table1820[[#This Row],[Loyal Customer Discount]]="Yes",'Rate Book'!$D$129,1)</f>
        <v>1</v>
      </c>
      <c r="AQ24">
        <f>IF(Table1820[[#This Row],[Organization Discount]]="Yes",'Rate Book'!$D$130,1)</f>
        <v>1</v>
      </c>
      <c r="AR24" cm="1">
        <f t="array" ref="AR24">IF(Table1820[[#This Row],[Effective Date]]&gt;=RateChangeTable[Effective Date],RateChangeTable[Rate Change Factor],1)</f>
        <v>1</v>
      </c>
      <c r="AS24" s="10">
        <f>PRODUCT(Table1820[[#This Row],[Base Rate]:[Rate Change Factor]])</f>
        <v>726.2076696664044</v>
      </c>
      <c r="AT24" s="9">
        <f>Table1820[[#This Row],[System-Generated Premium]]-Table1820[[#This Row],[Expected Premium]]</f>
        <v>0</v>
      </c>
      <c r="AU24" t="str">
        <f>IF(Table1820[[#This Row],[Difference]]=0,"PASS","FAIL")</f>
        <v>PASS</v>
      </c>
      <c r="AV24" s="9">
        <f>ABS(Table1820[[#This Row],[Difference]])</f>
        <v>0</v>
      </c>
      <c r="AW24" s="9" t="s">
        <v>1136</v>
      </c>
    </row>
    <row r="25" spans="1:49" x14ac:dyDescent="0.3">
      <c r="A25" t="s">
        <v>116</v>
      </c>
      <c r="B25" s="7">
        <v>45824</v>
      </c>
      <c r="C25" t="s">
        <v>71</v>
      </c>
      <c r="D25" t="s">
        <v>1102</v>
      </c>
      <c r="E25" s="3">
        <v>1</v>
      </c>
      <c r="F25" s="3">
        <v>0</v>
      </c>
      <c r="G25" t="s">
        <v>10</v>
      </c>
      <c r="H25" t="s">
        <v>1109</v>
      </c>
      <c r="I25" t="s">
        <v>37</v>
      </c>
      <c r="J25" t="s">
        <v>52</v>
      </c>
      <c r="K25" t="s">
        <v>10</v>
      </c>
      <c r="L25" t="s">
        <v>10</v>
      </c>
      <c r="M25" t="s">
        <v>57</v>
      </c>
      <c r="N25" t="s">
        <v>10</v>
      </c>
      <c r="O25" t="str">
        <f>INDEX(CoverageTable[Deductible Applies],MATCH(Table1820[[#This Row],[Coverage]],CoverageTable[Coverage],0))</f>
        <v>Yes</v>
      </c>
      <c r="P25" t="str">
        <f>INDEX(CoverageTable[Coverage Limit Applies],MATCH(Table1820[[#This Row],[Coverage]],CoverageTable[Coverage],0))</f>
        <v>No</v>
      </c>
      <c r="Q25" t="s">
        <v>79</v>
      </c>
      <c r="R25" t="s">
        <v>10</v>
      </c>
      <c r="S25" t="s">
        <v>10</v>
      </c>
      <c r="T25" t="s">
        <v>10</v>
      </c>
      <c r="U25" t="s">
        <v>10</v>
      </c>
      <c r="V25" t="s">
        <v>10</v>
      </c>
      <c r="W25" t="s">
        <v>10</v>
      </c>
      <c r="X25" s="11">
        <v>1856.4839714656162</v>
      </c>
      <c r="Y25">
        <f>_xlfn.XLOOKUP(Table1820[[#This Row],[Coverage]],CoverageTable[Coverage],CoverageTable[Base Rate],,0)</f>
        <v>453</v>
      </c>
      <c r="Z25">
        <f>INDEX(Table16[Ageband Factor],MATCH(Table1820[[#This Row],[Ageband]],Table16[Ageband],0))</f>
        <v>1.27</v>
      </c>
      <c r="AA25">
        <f>VLOOKUP(Table1820[[#This Row],[Years Driving]],Table1[],2)</f>
        <v>1.64</v>
      </c>
      <c r="AB25">
        <f>_xlfn.XLOOKUP(Table1820[[#This Row],[At Fault Accidents]],Table2[At Fault Accidents],Table2[At Fault Accident Factor],,0)</f>
        <v>1</v>
      </c>
      <c r="AC25">
        <f>_xlfn.XLOOKUP(Table1820[[#This Row],[Usage-Based Insurance]],Table3[Usage-Based Insurance],Table3[Usage-Based Insurance Discount],,0)</f>
        <v>1</v>
      </c>
      <c r="AD25">
        <f>_xlfn.XLOOKUP(Table1820[[#This Row],[Yearly Miles]],Table4[Yearly Miles],Table4[Yearly Miles Factor],,0)</f>
        <v>1.18</v>
      </c>
      <c r="AE25">
        <f>_xlfn.XLOOKUP(Table1820[[#This Row],[City/Zip Code]],Table5[City/Zip Code],Table5[City/Zip Code Factor],,0)</f>
        <v>1.0900000000000001</v>
      </c>
      <c r="AF25">
        <f>_xlfn.XLOOKUP(Table1820[[#This Row],[Vehicle Price]],Table6[Vehicle Price],Table6[Vehicle Price Factor])</f>
        <v>1.57</v>
      </c>
      <c r="AG25">
        <f>_xlfn.XLOOKUP(Table1820[[#This Row],[Exotic Car]],Table7[Exotic Car],Table7[Exotic Car Factor],,0)</f>
        <v>1</v>
      </c>
      <c r="AH25">
        <f>_xlfn.XLOOKUP(Table1820[[#This Row],[Difficult Parts]],Table8[Difficult Parts],Table8[Difficult Parts Factor],,0)</f>
        <v>1</v>
      </c>
      <c r="AI25">
        <f>_xlfn.XLOOKUP(Table1820[[#This Row],[High Theft Rate]],Table9[High Theft Rate],Table9[High Theft Rate Factor],,0)</f>
        <v>1.1599999999999999</v>
      </c>
      <c r="AJ25">
        <f>_xlfn.XLOOKUP(Table1820[[#This Row],[Advanced Safety Features]],Table10[Advanced Safety Features],Table10[Advanced Safety Features Factor],,0)</f>
        <v>1</v>
      </c>
      <c r="AK25">
        <f>_xlfn.XLOOKUP(Table1820[[#This Row],[Deductible]],Table12[Deductible],Table12[Deductible Factor],,0)</f>
        <v>0.84</v>
      </c>
      <c r="AL25">
        <f>_xlfn.XLOOKUP(Table1820[[#This Row],[Coverage Limit]],Table13[Coverage Limit],Table13[Coverage Limit Factor],,0)</f>
        <v>1</v>
      </c>
      <c r="AM25">
        <f>IF(Table1820[[#This Row],[Good Student Discount]]="Yes",'Rate Book'!$D$126,1)</f>
        <v>1</v>
      </c>
      <c r="AN25">
        <f>IF(Table1820[[#This Row],[Good Driver Discount]]="Yes",'Rate Book'!$D$127,1)</f>
        <v>1</v>
      </c>
      <c r="AO25">
        <f>IF(Table1820[[#This Row],[Multi Policy Discount]]="Yes",'Rate Book'!$D$128,1)</f>
        <v>1</v>
      </c>
      <c r="AP25">
        <f>IF(Table1820[[#This Row],[Loyal Customer Discount]]="Yes",'Rate Book'!$D$129,1)</f>
        <v>1</v>
      </c>
      <c r="AQ25">
        <f>IF(Table1820[[#This Row],[Organization Discount]]="Yes",'Rate Book'!$D$130,1)</f>
        <v>1</v>
      </c>
      <c r="AR25" cm="1">
        <f t="array" ref="AR25">IF(Table1820[[#This Row],[Effective Date]]&gt;=RateChangeTable[Effective Date],RateChangeTable[Rate Change Factor],1)</f>
        <v>1</v>
      </c>
      <c r="AS25" s="10">
        <f>PRODUCT(Table1820[[#This Row],[Base Rate]:[Rate Change Factor]])</f>
        <v>1856.4839714656162</v>
      </c>
      <c r="AT25" s="9">
        <f>Table1820[[#This Row],[System-Generated Premium]]-Table1820[[#This Row],[Expected Premium]]</f>
        <v>0</v>
      </c>
      <c r="AU25" t="str">
        <f>IF(Table1820[[#This Row],[Difference]]=0,"PASS","FAIL")</f>
        <v>PASS</v>
      </c>
      <c r="AV25" s="9">
        <f>ABS(Table1820[[#This Row],[Difference]])</f>
        <v>0</v>
      </c>
      <c r="AW25" s="9" t="s">
        <v>1136</v>
      </c>
    </row>
    <row r="26" spans="1:49" x14ac:dyDescent="0.3">
      <c r="A26" t="s">
        <v>117</v>
      </c>
      <c r="B26" s="7">
        <v>45861</v>
      </c>
      <c r="C26" t="s">
        <v>71</v>
      </c>
      <c r="D26" t="s">
        <v>1100</v>
      </c>
      <c r="E26" s="3">
        <v>1</v>
      </c>
      <c r="F26" s="3">
        <v>0</v>
      </c>
      <c r="G26" t="s">
        <v>13</v>
      </c>
      <c r="H26" t="s">
        <v>1108</v>
      </c>
      <c r="I26" t="s">
        <v>28</v>
      </c>
      <c r="J26" t="s">
        <v>51</v>
      </c>
      <c r="K26" t="s">
        <v>10</v>
      </c>
      <c r="L26" t="s">
        <v>10</v>
      </c>
      <c r="M26" t="s">
        <v>10</v>
      </c>
      <c r="N26" t="s">
        <v>57</v>
      </c>
      <c r="O26" t="str">
        <f>INDEX(CoverageTable[Deductible Applies],MATCH(Table1820[[#This Row],[Coverage]],CoverageTable[Coverage],0))</f>
        <v>Yes</v>
      </c>
      <c r="P26" t="str">
        <f>INDEX(CoverageTable[Coverage Limit Applies],MATCH(Table1820[[#This Row],[Coverage]],CoverageTable[Coverage],0))</f>
        <v>No</v>
      </c>
      <c r="Q26" t="s">
        <v>80</v>
      </c>
      <c r="R26" t="s">
        <v>10</v>
      </c>
      <c r="S26" t="s">
        <v>10</v>
      </c>
      <c r="T26" t="s">
        <v>10</v>
      </c>
      <c r="U26" t="s">
        <v>10</v>
      </c>
      <c r="V26" t="s">
        <v>10</v>
      </c>
      <c r="W26" t="s">
        <v>10</v>
      </c>
      <c r="X26" s="11">
        <v>398.09610451353598</v>
      </c>
      <c r="Y26">
        <f>_xlfn.XLOOKUP(Table1820[[#This Row],[Coverage]],CoverageTable[Coverage],CoverageTable[Base Rate],,0)</f>
        <v>453</v>
      </c>
      <c r="Z26">
        <f>INDEX(Table16[Ageband Factor],MATCH(Table1820[[#This Row],[Ageband]],Table16[Ageband],0))</f>
        <v>1.07</v>
      </c>
      <c r="AA26">
        <f>VLOOKUP(Table1820[[#This Row],[Years Driving]],Table1[],2)</f>
        <v>1.64</v>
      </c>
      <c r="AB26">
        <f>_xlfn.XLOOKUP(Table1820[[#This Row],[At Fault Accidents]],Table2[At Fault Accidents],Table2[At Fault Accident Factor],,0)</f>
        <v>1</v>
      </c>
      <c r="AC26">
        <f>_xlfn.XLOOKUP(Table1820[[#This Row],[Usage-Based Insurance]],Table3[Usage-Based Insurance],Table3[Usage-Based Insurance Discount],,0)</f>
        <v>0.65</v>
      </c>
      <c r="AD26">
        <f>_xlfn.XLOOKUP(Table1820[[#This Row],[Yearly Miles]],Table4[Yearly Miles],Table4[Yearly Miles Factor],,0)</f>
        <v>1</v>
      </c>
      <c r="AE26">
        <f>_xlfn.XLOOKUP(Table1820[[#This Row],[City/Zip Code]],Table5[City/Zip Code],Table5[City/Zip Code Factor],,0)</f>
        <v>0.95</v>
      </c>
      <c r="AF26">
        <f>_xlfn.XLOOKUP(Table1820[[#This Row],[Vehicle Price]],Table6[Vehicle Price],Table6[Vehicle Price Factor])</f>
        <v>1.28</v>
      </c>
      <c r="AG26">
        <f>_xlfn.XLOOKUP(Table1820[[#This Row],[Exotic Car]],Table7[Exotic Car],Table7[Exotic Car Factor],,0)</f>
        <v>1</v>
      </c>
      <c r="AH26">
        <f>_xlfn.XLOOKUP(Table1820[[#This Row],[Difficult Parts]],Table8[Difficult Parts],Table8[Difficult Parts Factor],,0)</f>
        <v>1</v>
      </c>
      <c r="AI26">
        <f>_xlfn.XLOOKUP(Table1820[[#This Row],[High Theft Rate]],Table9[High Theft Rate],Table9[High Theft Rate Factor],,0)</f>
        <v>1</v>
      </c>
      <c r="AJ26">
        <f>_xlfn.XLOOKUP(Table1820[[#This Row],[Advanced Safety Features]],Table10[Advanced Safety Features],Table10[Advanced Safety Features Factor],,0)</f>
        <v>0.88</v>
      </c>
      <c r="AK26">
        <f>_xlfn.XLOOKUP(Table1820[[#This Row],[Deductible]],Table12[Deductible],Table12[Deductible Factor],,0)</f>
        <v>0.72</v>
      </c>
      <c r="AL26">
        <f>_xlfn.XLOOKUP(Table1820[[#This Row],[Coverage Limit]],Table13[Coverage Limit],Table13[Coverage Limit Factor],,0)</f>
        <v>1</v>
      </c>
      <c r="AM26">
        <f>IF(Table1820[[#This Row],[Good Student Discount]]="Yes",'Rate Book'!$D$126,1)</f>
        <v>1</v>
      </c>
      <c r="AN26">
        <f>IF(Table1820[[#This Row],[Good Driver Discount]]="Yes",'Rate Book'!$D$127,1)</f>
        <v>1</v>
      </c>
      <c r="AO26">
        <f>IF(Table1820[[#This Row],[Multi Policy Discount]]="Yes",'Rate Book'!$D$128,1)</f>
        <v>1</v>
      </c>
      <c r="AP26">
        <f>IF(Table1820[[#This Row],[Loyal Customer Discount]]="Yes",'Rate Book'!$D$129,1)</f>
        <v>1</v>
      </c>
      <c r="AQ26">
        <f>IF(Table1820[[#This Row],[Organization Discount]]="Yes",'Rate Book'!$D$130,1)</f>
        <v>1</v>
      </c>
      <c r="AR26" cm="1">
        <f t="array" ref="AR26">IF(Table1820[[#This Row],[Effective Date]]&gt;=RateChangeTable[Effective Date],RateChangeTable[Rate Change Factor],1)</f>
        <v>1</v>
      </c>
      <c r="AS26" s="10">
        <f>PRODUCT(Table1820[[#This Row],[Base Rate]:[Rate Change Factor]])</f>
        <v>398.09610451353598</v>
      </c>
      <c r="AT26" s="9">
        <f>Table1820[[#This Row],[System-Generated Premium]]-Table1820[[#This Row],[Expected Premium]]</f>
        <v>0</v>
      </c>
      <c r="AU26" t="str">
        <f>IF(Table1820[[#This Row],[Difference]]=0,"PASS","FAIL")</f>
        <v>PASS</v>
      </c>
      <c r="AV26" s="9">
        <f>ABS(Table1820[[#This Row],[Difference]])</f>
        <v>0</v>
      </c>
      <c r="AW26" s="9" t="s">
        <v>1136</v>
      </c>
    </row>
    <row r="27" spans="1:49" x14ac:dyDescent="0.3">
      <c r="A27" t="s">
        <v>118</v>
      </c>
      <c r="B27" s="7">
        <v>46043</v>
      </c>
      <c r="C27" t="s">
        <v>71</v>
      </c>
      <c r="D27" t="s">
        <v>1102</v>
      </c>
      <c r="E27" s="3">
        <v>2</v>
      </c>
      <c r="F27" s="3">
        <v>3</v>
      </c>
      <c r="G27" t="s">
        <v>10</v>
      </c>
      <c r="H27" t="s">
        <v>1107</v>
      </c>
      <c r="I27" t="s">
        <v>41</v>
      </c>
      <c r="J27" t="s">
        <v>54</v>
      </c>
      <c r="K27" t="s">
        <v>10</v>
      </c>
      <c r="L27" t="s">
        <v>57</v>
      </c>
      <c r="M27" t="s">
        <v>10</v>
      </c>
      <c r="N27" t="s">
        <v>57</v>
      </c>
      <c r="O27" t="str">
        <f>INDEX(CoverageTable[Deductible Applies],MATCH(Table1820[[#This Row],[Coverage]],CoverageTable[Coverage],0))</f>
        <v>Yes</v>
      </c>
      <c r="P27" t="str">
        <f>INDEX(CoverageTable[Coverage Limit Applies],MATCH(Table1820[[#This Row],[Coverage]],CoverageTable[Coverage],0))</f>
        <v>No</v>
      </c>
      <c r="Q27" t="s">
        <v>78</v>
      </c>
      <c r="R27" t="s">
        <v>10</v>
      </c>
      <c r="S27" t="s">
        <v>57</v>
      </c>
      <c r="T27" t="s">
        <v>10</v>
      </c>
      <c r="U27" t="s">
        <v>10</v>
      </c>
      <c r="V27" t="s">
        <v>10</v>
      </c>
      <c r="W27" t="s">
        <v>10</v>
      </c>
      <c r="X27" s="11">
        <v>4470.3389105133983</v>
      </c>
      <c r="Y27">
        <f>_xlfn.XLOOKUP(Table1820[[#This Row],[Coverage]],CoverageTable[Coverage],CoverageTable[Base Rate],,0)</f>
        <v>453</v>
      </c>
      <c r="Z27">
        <f>INDEX(Table16[Ageband Factor],MATCH(Table1820[[#This Row],[Ageband]],Table16[Ageband],0))</f>
        <v>1.27</v>
      </c>
      <c r="AA27">
        <f>VLOOKUP(Table1820[[#This Row],[Years Driving]],Table1[],2)</f>
        <v>1.41</v>
      </c>
      <c r="AB27">
        <f>_xlfn.XLOOKUP(Table1820[[#This Row],[At Fault Accidents]],Table2[At Fault Accidents],Table2[At Fault Accident Factor],,0)</f>
        <v>1.82</v>
      </c>
      <c r="AC27">
        <f>_xlfn.XLOOKUP(Table1820[[#This Row],[Usage-Based Insurance]],Table3[Usage-Based Insurance],Table3[Usage-Based Insurance Discount],,0)</f>
        <v>1</v>
      </c>
      <c r="AD27">
        <f>_xlfn.XLOOKUP(Table1820[[#This Row],[Yearly Miles]],Table4[Yearly Miles],Table4[Yearly Miles Factor],,0)</f>
        <v>0.93</v>
      </c>
      <c r="AE27">
        <f>_xlfn.XLOOKUP(Table1820[[#This Row],[City/Zip Code]],Table5[City/Zip Code],Table5[City/Zip Code Factor],,0)</f>
        <v>1.1499999999999999</v>
      </c>
      <c r="AF27">
        <f>_xlfn.XLOOKUP(Table1820[[#This Row],[Vehicle Price]],Table6[Vehicle Price],Table6[Vehicle Price Factor])</f>
        <v>2.87</v>
      </c>
      <c r="AG27">
        <f>_xlfn.XLOOKUP(Table1820[[#This Row],[Exotic Car]],Table7[Exotic Car],Table7[Exotic Car Factor],,0)</f>
        <v>1</v>
      </c>
      <c r="AH27">
        <f>_xlfn.XLOOKUP(Table1820[[#This Row],[Difficult Parts]],Table8[Difficult Parts],Table8[Difficult Parts Factor],,0)</f>
        <v>1.21</v>
      </c>
      <c r="AI27">
        <f>_xlfn.XLOOKUP(Table1820[[#This Row],[High Theft Rate]],Table9[High Theft Rate],Table9[High Theft Rate Factor],,0)</f>
        <v>1</v>
      </c>
      <c r="AJ27">
        <f>_xlfn.XLOOKUP(Table1820[[#This Row],[Advanced Safety Features]],Table10[Advanced Safety Features],Table10[Advanced Safety Features Factor],,0)</f>
        <v>0.88</v>
      </c>
      <c r="AK27">
        <f>_xlfn.XLOOKUP(Table1820[[#This Row],[Deductible]],Table12[Deductible],Table12[Deductible Factor],,0)</f>
        <v>0.95</v>
      </c>
      <c r="AL27">
        <f>_xlfn.XLOOKUP(Table1820[[#This Row],[Coverage Limit]],Table13[Coverage Limit],Table13[Coverage Limit Factor],,0)</f>
        <v>1</v>
      </c>
      <c r="AM27">
        <f>IF(Table1820[[#This Row],[Good Student Discount]]="Yes",'Rate Book'!$D$126,1)</f>
        <v>0.92</v>
      </c>
      <c r="AN27">
        <f>IF(Table1820[[#This Row],[Good Driver Discount]]="Yes",'Rate Book'!$D$127,1)</f>
        <v>1</v>
      </c>
      <c r="AO27">
        <f>IF(Table1820[[#This Row],[Multi Policy Discount]]="Yes",'Rate Book'!$D$128,1)</f>
        <v>1</v>
      </c>
      <c r="AP27">
        <f>IF(Table1820[[#This Row],[Loyal Customer Discount]]="Yes",'Rate Book'!$D$129,1)</f>
        <v>1</v>
      </c>
      <c r="AQ27">
        <f>IF(Table1820[[#This Row],[Organization Discount]]="Yes",'Rate Book'!$D$130,1)</f>
        <v>1</v>
      </c>
      <c r="AR27" cm="1">
        <f t="array" ref="AR27">IF(Table1820[[#This Row],[Effective Date]]&gt;=RateChangeTable[Effective Date],RateChangeTable[Rate Change Factor],1)</f>
        <v>1.06</v>
      </c>
      <c r="AS27" s="10">
        <f>PRODUCT(Table1820[[#This Row],[Base Rate]:[Rate Change Factor]])</f>
        <v>4470.3389105133983</v>
      </c>
      <c r="AT27" s="9">
        <f>Table1820[[#This Row],[System-Generated Premium]]-Table1820[[#This Row],[Expected Premium]]</f>
        <v>0</v>
      </c>
      <c r="AU27" t="str">
        <f>IF(Table1820[[#This Row],[Difference]]=0,"PASS","FAIL")</f>
        <v>PASS</v>
      </c>
      <c r="AV27" s="9">
        <f>ABS(Table1820[[#This Row],[Difference]])</f>
        <v>0</v>
      </c>
      <c r="AW27" s="9" t="s">
        <v>1136</v>
      </c>
    </row>
    <row r="28" spans="1:49" x14ac:dyDescent="0.3">
      <c r="A28" t="s">
        <v>119</v>
      </c>
      <c r="B28" s="7">
        <v>45927</v>
      </c>
      <c r="C28" t="s">
        <v>70</v>
      </c>
      <c r="D28" t="s">
        <v>1099</v>
      </c>
      <c r="E28" s="3" t="s">
        <v>1103</v>
      </c>
      <c r="F28" s="3">
        <v>2</v>
      </c>
      <c r="G28" t="s">
        <v>13</v>
      </c>
      <c r="H28" t="s">
        <v>1107</v>
      </c>
      <c r="I28" t="s">
        <v>44</v>
      </c>
      <c r="J28" t="s">
        <v>49</v>
      </c>
      <c r="K28" t="s">
        <v>10</v>
      </c>
      <c r="L28" t="s">
        <v>10</v>
      </c>
      <c r="M28" t="s">
        <v>10</v>
      </c>
      <c r="N28" t="s">
        <v>57</v>
      </c>
      <c r="O28" t="str">
        <f>INDEX(CoverageTable[Deductible Applies],MATCH(Table1820[[#This Row],[Coverage]],CoverageTable[Coverage],0))</f>
        <v>No</v>
      </c>
      <c r="P28" t="str">
        <f>INDEX(CoverageTable[Coverage Limit Applies],MATCH(Table1820[[#This Row],[Coverage]],CoverageTable[Coverage],0))</f>
        <v>Yes</v>
      </c>
      <c r="Q28" t="s">
        <v>10</v>
      </c>
      <c r="R28" t="s">
        <v>80</v>
      </c>
      <c r="S28" t="s">
        <v>10</v>
      </c>
      <c r="T28" t="s">
        <v>10</v>
      </c>
      <c r="U28" t="s">
        <v>57</v>
      </c>
      <c r="V28" t="s">
        <v>10</v>
      </c>
      <c r="W28" t="s">
        <v>10</v>
      </c>
      <c r="X28" s="11">
        <v>419.25279529536925</v>
      </c>
      <c r="Y28">
        <f>_xlfn.XLOOKUP(Table1820[[#This Row],[Coverage]],CoverageTable[Coverage],CoverageTable[Base Rate],,0)</f>
        <v>622</v>
      </c>
      <c r="Z28">
        <f>INDEX(Table16[Ageband Factor],MATCH(Table1820[[#This Row],[Ageband]],Table16[Ageband],0))</f>
        <v>1</v>
      </c>
      <c r="AA28">
        <f>VLOOKUP(Table1820[[#This Row],[Years Driving]],Table1[],2)</f>
        <v>0.93</v>
      </c>
      <c r="AB28">
        <f>_xlfn.XLOOKUP(Table1820[[#This Row],[At Fault Accidents]],Table2[At Fault Accidents],Table2[At Fault Accident Factor],,0)</f>
        <v>1.55</v>
      </c>
      <c r="AC28">
        <f>_xlfn.XLOOKUP(Table1820[[#This Row],[Usage-Based Insurance]],Table3[Usage-Based Insurance],Table3[Usage-Based Insurance Discount],,0)</f>
        <v>0.65</v>
      </c>
      <c r="AD28">
        <f>_xlfn.XLOOKUP(Table1820[[#This Row],[Yearly Miles]],Table4[Yearly Miles],Table4[Yearly Miles Factor],,0)</f>
        <v>0.93</v>
      </c>
      <c r="AE28">
        <f>_xlfn.XLOOKUP(Table1820[[#This Row],[City/Zip Code]],Table5[City/Zip Code],Table5[City/Zip Code Factor],,0)</f>
        <v>1.1599999999999999</v>
      </c>
      <c r="AF28">
        <f>_xlfn.XLOOKUP(Table1820[[#This Row],[Vehicle Price]],Table6[Vehicle Price],Table6[Vehicle Price Factor])</f>
        <v>0.97</v>
      </c>
      <c r="AG28">
        <f>_xlfn.XLOOKUP(Table1820[[#This Row],[Exotic Car]],Table7[Exotic Car],Table7[Exotic Car Factor],,0)</f>
        <v>1</v>
      </c>
      <c r="AH28">
        <f>_xlfn.XLOOKUP(Table1820[[#This Row],[Difficult Parts]],Table8[Difficult Parts],Table8[Difficult Parts Factor],,0)</f>
        <v>1</v>
      </c>
      <c r="AI28">
        <f>_xlfn.XLOOKUP(Table1820[[#This Row],[High Theft Rate]],Table9[High Theft Rate],Table9[High Theft Rate Factor],,0)</f>
        <v>1</v>
      </c>
      <c r="AJ28">
        <f>_xlfn.XLOOKUP(Table1820[[#This Row],[Advanced Safety Features]],Table10[Advanced Safety Features],Table10[Advanced Safety Features Factor],,0)</f>
        <v>0.88</v>
      </c>
      <c r="AK28">
        <f>_xlfn.XLOOKUP(Table1820[[#This Row],[Deductible]],Table12[Deductible],Table12[Deductible Factor],,0)</f>
        <v>1</v>
      </c>
      <c r="AL28">
        <f>_xlfn.XLOOKUP(Table1820[[#This Row],[Coverage Limit]],Table13[Coverage Limit],Table13[Coverage Limit Factor],,0)</f>
        <v>0.84</v>
      </c>
      <c r="AM28">
        <f>IF(Table1820[[#This Row],[Good Student Discount]]="Yes",'Rate Book'!$D$126,1)</f>
        <v>1</v>
      </c>
      <c r="AN28">
        <f>IF(Table1820[[#This Row],[Good Driver Discount]]="Yes",'Rate Book'!$D$127,1)</f>
        <v>1</v>
      </c>
      <c r="AO28">
        <f>IF(Table1820[[#This Row],[Multi Policy Discount]]="Yes",'Rate Book'!$D$128,1)</f>
        <v>0.93</v>
      </c>
      <c r="AP28">
        <f>IF(Table1820[[#This Row],[Loyal Customer Discount]]="Yes",'Rate Book'!$D$129,1)</f>
        <v>1</v>
      </c>
      <c r="AQ28">
        <f>IF(Table1820[[#This Row],[Organization Discount]]="Yes",'Rate Book'!$D$130,1)</f>
        <v>1</v>
      </c>
      <c r="AR28" cm="1">
        <f t="array" ref="AR28">IF(Table1820[[#This Row],[Effective Date]]&gt;=RateChangeTable[Effective Date],RateChangeTable[Rate Change Factor],1)</f>
        <v>1</v>
      </c>
      <c r="AS28" s="10">
        <f>PRODUCT(Table1820[[#This Row],[Base Rate]:[Rate Change Factor]])</f>
        <v>419.25279529536925</v>
      </c>
      <c r="AT28" s="9">
        <f>Table1820[[#This Row],[System-Generated Premium]]-Table1820[[#This Row],[Expected Premium]]</f>
        <v>0</v>
      </c>
      <c r="AU28" t="str">
        <f>IF(Table1820[[#This Row],[Difference]]=0,"PASS","FAIL")</f>
        <v>PASS</v>
      </c>
      <c r="AV28" s="9">
        <f>ABS(Table1820[[#This Row],[Difference]])</f>
        <v>0</v>
      </c>
      <c r="AW28" s="9" t="s">
        <v>1136</v>
      </c>
    </row>
    <row r="29" spans="1:49" x14ac:dyDescent="0.3">
      <c r="A29" t="s">
        <v>120</v>
      </c>
      <c r="B29" s="7">
        <v>45799</v>
      </c>
      <c r="C29" t="s">
        <v>74</v>
      </c>
      <c r="D29" t="s">
        <v>1100</v>
      </c>
      <c r="E29" s="3">
        <v>3</v>
      </c>
      <c r="F29" s="3">
        <v>1</v>
      </c>
      <c r="G29" t="s">
        <v>12</v>
      </c>
      <c r="H29" t="s">
        <v>1109</v>
      </c>
      <c r="I29" t="s">
        <v>40</v>
      </c>
      <c r="J29" t="s">
        <v>53</v>
      </c>
      <c r="K29" t="s">
        <v>10</v>
      </c>
      <c r="L29" t="s">
        <v>10</v>
      </c>
      <c r="M29" t="s">
        <v>10</v>
      </c>
      <c r="N29" t="s">
        <v>10</v>
      </c>
      <c r="O29" t="str">
        <f>INDEX(CoverageTable[Deductible Applies],MATCH(Table1820[[#This Row],[Coverage]],CoverageTable[Coverage],0))</f>
        <v>No</v>
      </c>
      <c r="P29" t="str">
        <f>INDEX(CoverageTable[Coverage Limit Applies],MATCH(Table1820[[#This Row],[Coverage]],CoverageTable[Coverage],0))</f>
        <v>Yes</v>
      </c>
      <c r="Q29" t="s">
        <v>10</v>
      </c>
      <c r="R29" t="s">
        <v>80</v>
      </c>
      <c r="S29" t="s">
        <v>10</v>
      </c>
      <c r="T29" t="s">
        <v>10</v>
      </c>
      <c r="U29" t="s">
        <v>10</v>
      </c>
      <c r="V29" t="s">
        <v>10</v>
      </c>
      <c r="W29" t="s">
        <v>57</v>
      </c>
      <c r="X29" s="11">
        <v>121.45996327107507</v>
      </c>
      <c r="Y29">
        <f>_xlfn.XLOOKUP(Table1820[[#This Row],[Coverage]],CoverageTable[Coverage],CoverageTable[Base Rate],,0)</f>
        <v>41</v>
      </c>
      <c r="Z29">
        <f>INDEX(Table16[Ageband Factor],MATCH(Table1820[[#This Row],[Ageband]],Table16[Ageband],0))</f>
        <v>1.07</v>
      </c>
      <c r="AA29">
        <f>VLOOKUP(Table1820[[#This Row],[Years Driving]],Table1[],2)</f>
        <v>1.22</v>
      </c>
      <c r="AB29">
        <f>_xlfn.XLOOKUP(Table1820[[#This Row],[At Fault Accidents]],Table2[At Fault Accidents],Table2[At Fault Accident Factor],,0)</f>
        <v>1.34</v>
      </c>
      <c r="AC29">
        <f>_xlfn.XLOOKUP(Table1820[[#This Row],[Usage-Based Insurance]],Table3[Usage-Based Insurance],Table3[Usage-Based Insurance Discount],,0)</f>
        <v>0.8</v>
      </c>
      <c r="AD29">
        <f>_xlfn.XLOOKUP(Table1820[[#This Row],[Yearly Miles]],Table4[Yearly Miles],Table4[Yearly Miles Factor],,0)</f>
        <v>1.18</v>
      </c>
      <c r="AE29">
        <f>_xlfn.XLOOKUP(Table1820[[#This Row],[City/Zip Code]],Table5[City/Zip Code],Table5[City/Zip Code Factor],,0)</f>
        <v>1.0900000000000001</v>
      </c>
      <c r="AF29">
        <f>_xlfn.XLOOKUP(Table1820[[#This Row],[Vehicle Price]],Table6[Vehicle Price],Table6[Vehicle Price Factor])</f>
        <v>2.02</v>
      </c>
      <c r="AG29">
        <f>_xlfn.XLOOKUP(Table1820[[#This Row],[Exotic Car]],Table7[Exotic Car],Table7[Exotic Car Factor],,0)</f>
        <v>1</v>
      </c>
      <c r="AH29">
        <f>_xlfn.XLOOKUP(Table1820[[#This Row],[Difficult Parts]],Table8[Difficult Parts],Table8[Difficult Parts Factor],,0)</f>
        <v>1</v>
      </c>
      <c r="AI29">
        <f>_xlfn.XLOOKUP(Table1820[[#This Row],[High Theft Rate]],Table9[High Theft Rate],Table9[High Theft Rate Factor],,0)</f>
        <v>1</v>
      </c>
      <c r="AJ29">
        <f>_xlfn.XLOOKUP(Table1820[[#This Row],[Advanced Safety Features]],Table10[Advanced Safety Features],Table10[Advanced Safety Features Factor],,0)</f>
        <v>1</v>
      </c>
      <c r="AK29">
        <f>_xlfn.XLOOKUP(Table1820[[#This Row],[Deductible]],Table12[Deductible],Table12[Deductible Factor],,0)</f>
        <v>1</v>
      </c>
      <c r="AL29">
        <f>_xlfn.XLOOKUP(Table1820[[#This Row],[Coverage Limit]],Table13[Coverage Limit],Table13[Coverage Limit Factor],,0)</f>
        <v>0.84</v>
      </c>
      <c r="AM29">
        <f>IF(Table1820[[#This Row],[Good Student Discount]]="Yes",'Rate Book'!$D$126,1)</f>
        <v>1</v>
      </c>
      <c r="AN29">
        <f>IF(Table1820[[#This Row],[Good Driver Discount]]="Yes",'Rate Book'!$D$127,1)</f>
        <v>1</v>
      </c>
      <c r="AO29">
        <f>IF(Table1820[[#This Row],[Multi Policy Discount]]="Yes",'Rate Book'!$D$128,1)</f>
        <v>1</v>
      </c>
      <c r="AP29">
        <f>IF(Table1820[[#This Row],[Loyal Customer Discount]]="Yes",'Rate Book'!$D$129,1)</f>
        <v>1</v>
      </c>
      <c r="AQ29">
        <f>IF(Table1820[[#This Row],[Organization Discount]]="Yes",'Rate Book'!$D$130,1)</f>
        <v>0.97</v>
      </c>
      <c r="AR29" cm="1">
        <f t="array" ref="AR29">IF(Table1820[[#This Row],[Effective Date]]&gt;=RateChangeTable[Effective Date],RateChangeTable[Rate Change Factor],1)</f>
        <v>1</v>
      </c>
      <c r="AS29" s="10">
        <f>PRODUCT(Table1820[[#This Row],[Base Rate]:[Rate Change Factor]])</f>
        <v>121.45996327107507</v>
      </c>
      <c r="AT29" s="9">
        <f>Table1820[[#This Row],[System-Generated Premium]]-Table1820[[#This Row],[Expected Premium]]</f>
        <v>0</v>
      </c>
      <c r="AU29" t="str">
        <f>IF(Table1820[[#This Row],[Difference]]=0,"PASS","FAIL")</f>
        <v>PASS</v>
      </c>
      <c r="AV29" s="9">
        <f>ABS(Table1820[[#This Row],[Difference]])</f>
        <v>0</v>
      </c>
      <c r="AW29" s="9" t="s">
        <v>1136</v>
      </c>
    </row>
    <row r="30" spans="1:49" x14ac:dyDescent="0.3">
      <c r="A30" t="s">
        <v>121</v>
      </c>
      <c r="B30" s="7">
        <v>45819</v>
      </c>
      <c r="C30" t="s">
        <v>74</v>
      </c>
      <c r="D30" t="s">
        <v>1098</v>
      </c>
      <c r="E30" s="3">
        <v>5</v>
      </c>
      <c r="F30" s="3">
        <v>2</v>
      </c>
      <c r="G30" t="s">
        <v>11</v>
      </c>
      <c r="H30" t="s">
        <v>1109</v>
      </c>
      <c r="I30" t="s">
        <v>42</v>
      </c>
      <c r="J30" t="s">
        <v>51</v>
      </c>
      <c r="K30" t="s">
        <v>10</v>
      </c>
      <c r="L30" t="s">
        <v>10</v>
      </c>
      <c r="M30" t="s">
        <v>10</v>
      </c>
      <c r="N30" t="s">
        <v>10</v>
      </c>
      <c r="O30" t="str">
        <f>INDEX(CoverageTable[Deductible Applies],MATCH(Table1820[[#This Row],[Coverage]],CoverageTable[Coverage],0))</f>
        <v>No</v>
      </c>
      <c r="P30" t="str">
        <f>INDEX(CoverageTable[Coverage Limit Applies],MATCH(Table1820[[#This Row],[Coverage]],CoverageTable[Coverage],0))</f>
        <v>Yes</v>
      </c>
      <c r="Q30" t="s">
        <v>10</v>
      </c>
      <c r="R30" t="s">
        <v>80</v>
      </c>
      <c r="S30" t="s">
        <v>10</v>
      </c>
      <c r="T30" t="s">
        <v>10</v>
      </c>
      <c r="U30" t="s">
        <v>10</v>
      </c>
      <c r="V30" t="s">
        <v>10</v>
      </c>
      <c r="W30" t="s">
        <v>10</v>
      </c>
      <c r="X30" s="11">
        <v>121.97889158628094</v>
      </c>
      <c r="Y30">
        <f>_xlfn.XLOOKUP(Table1820[[#This Row],[Coverage]],CoverageTable[Coverage],CoverageTable[Base Rate],,0)</f>
        <v>41</v>
      </c>
      <c r="Z30">
        <f>INDEX(Table16[Ageband Factor],MATCH(Table1820[[#This Row],[Ageband]],Table16[Ageband],0))</f>
        <v>1.23</v>
      </c>
      <c r="AA30">
        <f>VLOOKUP(Table1820[[#This Row],[Years Driving]],Table1[],2)</f>
        <v>1.07</v>
      </c>
      <c r="AB30">
        <f>_xlfn.XLOOKUP(Table1820[[#This Row],[At Fault Accidents]],Table2[At Fault Accidents],Table2[At Fault Accident Factor],,0)</f>
        <v>1.55</v>
      </c>
      <c r="AC30">
        <f>_xlfn.XLOOKUP(Table1820[[#This Row],[Usage-Based Insurance]],Table3[Usage-Based Insurance],Table3[Usage-Based Insurance Discount],,0)</f>
        <v>0.95</v>
      </c>
      <c r="AD30">
        <f>_xlfn.XLOOKUP(Table1820[[#This Row],[Yearly Miles]],Table4[Yearly Miles],Table4[Yearly Miles Factor],,0)</f>
        <v>1.18</v>
      </c>
      <c r="AE30">
        <f>_xlfn.XLOOKUP(Table1820[[#This Row],[City/Zip Code]],Table5[City/Zip Code],Table5[City/Zip Code Factor],,0)</f>
        <v>1.21</v>
      </c>
      <c r="AF30">
        <f>_xlfn.XLOOKUP(Table1820[[#This Row],[Vehicle Price]],Table6[Vehicle Price],Table6[Vehicle Price Factor])</f>
        <v>1.28</v>
      </c>
      <c r="AG30">
        <f>_xlfn.XLOOKUP(Table1820[[#This Row],[Exotic Car]],Table7[Exotic Car],Table7[Exotic Car Factor],,0)</f>
        <v>1</v>
      </c>
      <c r="AH30">
        <f>_xlfn.XLOOKUP(Table1820[[#This Row],[Difficult Parts]],Table8[Difficult Parts],Table8[Difficult Parts Factor],,0)</f>
        <v>1</v>
      </c>
      <c r="AI30">
        <f>_xlfn.XLOOKUP(Table1820[[#This Row],[High Theft Rate]],Table9[High Theft Rate],Table9[High Theft Rate Factor],,0)</f>
        <v>1</v>
      </c>
      <c r="AJ30">
        <f>_xlfn.XLOOKUP(Table1820[[#This Row],[Advanced Safety Features]],Table10[Advanced Safety Features],Table10[Advanced Safety Features Factor],,0)</f>
        <v>1</v>
      </c>
      <c r="AK30">
        <f>_xlfn.XLOOKUP(Table1820[[#This Row],[Deductible]],Table12[Deductible],Table12[Deductible Factor],,0)</f>
        <v>1</v>
      </c>
      <c r="AL30">
        <f>_xlfn.XLOOKUP(Table1820[[#This Row],[Coverage Limit]],Table13[Coverage Limit],Table13[Coverage Limit Factor],,0)</f>
        <v>0.84</v>
      </c>
      <c r="AM30">
        <f>IF(Table1820[[#This Row],[Good Student Discount]]="Yes",'Rate Book'!$D$126,1)</f>
        <v>1</v>
      </c>
      <c r="AN30">
        <f>IF(Table1820[[#This Row],[Good Driver Discount]]="Yes",'Rate Book'!$D$127,1)</f>
        <v>1</v>
      </c>
      <c r="AO30">
        <f>IF(Table1820[[#This Row],[Multi Policy Discount]]="Yes",'Rate Book'!$D$128,1)</f>
        <v>1</v>
      </c>
      <c r="AP30">
        <f>IF(Table1820[[#This Row],[Loyal Customer Discount]]="Yes",'Rate Book'!$D$129,1)</f>
        <v>1</v>
      </c>
      <c r="AQ30">
        <f>IF(Table1820[[#This Row],[Organization Discount]]="Yes",'Rate Book'!$D$130,1)</f>
        <v>1</v>
      </c>
      <c r="AR30" cm="1">
        <f t="array" ref="AR30">IF(Table1820[[#This Row],[Effective Date]]&gt;=RateChangeTable[Effective Date],RateChangeTable[Rate Change Factor],1)</f>
        <v>1</v>
      </c>
      <c r="AS30" s="10">
        <f>PRODUCT(Table1820[[#This Row],[Base Rate]:[Rate Change Factor]])</f>
        <v>121.97889158628094</v>
      </c>
      <c r="AT30" s="9">
        <f>Table1820[[#This Row],[System-Generated Premium]]-Table1820[[#This Row],[Expected Premium]]</f>
        <v>0</v>
      </c>
      <c r="AU30" t="str">
        <f>IF(Table1820[[#This Row],[Difference]]=0,"PASS","FAIL")</f>
        <v>PASS</v>
      </c>
      <c r="AV30" s="9">
        <f>ABS(Table1820[[#This Row],[Difference]])</f>
        <v>0</v>
      </c>
      <c r="AW30" s="9" t="s">
        <v>1136</v>
      </c>
    </row>
    <row r="31" spans="1:49" x14ac:dyDescent="0.3">
      <c r="A31" t="s">
        <v>122</v>
      </c>
      <c r="B31" s="7">
        <v>45933</v>
      </c>
      <c r="C31" t="s">
        <v>73</v>
      </c>
      <c r="D31" t="s">
        <v>1098</v>
      </c>
      <c r="E31" s="3">
        <v>3</v>
      </c>
      <c r="F31" s="3">
        <v>1</v>
      </c>
      <c r="G31" t="s">
        <v>10</v>
      </c>
      <c r="H31" t="s">
        <v>1110</v>
      </c>
      <c r="I31" t="s">
        <v>41</v>
      </c>
      <c r="J31" t="s">
        <v>49</v>
      </c>
      <c r="K31" t="s">
        <v>10</v>
      </c>
      <c r="L31" t="s">
        <v>10</v>
      </c>
      <c r="M31" t="s">
        <v>10</v>
      </c>
      <c r="N31" t="s">
        <v>57</v>
      </c>
      <c r="O31" t="str">
        <f>INDEX(CoverageTable[Deductible Applies],MATCH(Table1820[[#This Row],[Coverage]],CoverageTable[Coverage],0))</f>
        <v>No</v>
      </c>
      <c r="P31" t="str">
        <f>INDEX(CoverageTable[Coverage Limit Applies],MATCH(Table1820[[#This Row],[Coverage]],CoverageTable[Coverage],0))</f>
        <v>Yes</v>
      </c>
      <c r="Q31" t="s">
        <v>10</v>
      </c>
      <c r="R31" t="s">
        <v>80</v>
      </c>
      <c r="S31" t="s">
        <v>10</v>
      </c>
      <c r="T31" t="s">
        <v>10</v>
      </c>
      <c r="U31" t="s">
        <v>57</v>
      </c>
      <c r="V31" t="s">
        <v>10</v>
      </c>
      <c r="W31" t="s">
        <v>10</v>
      </c>
      <c r="X31" s="11">
        <v>157.5615049089451</v>
      </c>
      <c r="Y31">
        <f>_xlfn.XLOOKUP(Table1820[[#This Row],[Coverage]],CoverageTable[Coverage],CoverageTable[Base Rate],,0)</f>
        <v>78</v>
      </c>
      <c r="Z31">
        <f>INDEX(Table16[Ageband Factor],MATCH(Table1820[[#This Row],[Ageband]],Table16[Ageband],0))</f>
        <v>1.23</v>
      </c>
      <c r="AA31">
        <f>VLOOKUP(Table1820[[#This Row],[Years Driving]],Table1[],2)</f>
        <v>1.22</v>
      </c>
      <c r="AB31">
        <f>_xlfn.XLOOKUP(Table1820[[#This Row],[At Fault Accidents]],Table2[At Fault Accidents],Table2[At Fault Accident Factor],,0)</f>
        <v>1.34</v>
      </c>
      <c r="AC31">
        <f>_xlfn.XLOOKUP(Table1820[[#This Row],[Usage-Based Insurance]],Table3[Usage-Based Insurance],Table3[Usage-Based Insurance Discount],,0)</f>
        <v>1</v>
      </c>
      <c r="AD31">
        <f>_xlfn.XLOOKUP(Table1820[[#This Row],[Yearly Miles]],Table4[Yearly Miles],Table4[Yearly Miles Factor],,0)</f>
        <v>1.31</v>
      </c>
      <c r="AE31">
        <f>_xlfn.XLOOKUP(Table1820[[#This Row],[City/Zip Code]],Table5[City/Zip Code],Table5[City/Zip Code Factor],,0)</f>
        <v>1.1499999999999999</v>
      </c>
      <c r="AF31">
        <f>_xlfn.XLOOKUP(Table1820[[#This Row],[Vehicle Price]],Table6[Vehicle Price],Table6[Vehicle Price Factor])</f>
        <v>0.97</v>
      </c>
      <c r="AG31">
        <f>_xlfn.XLOOKUP(Table1820[[#This Row],[Exotic Car]],Table7[Exotic Car],Table7[Exotic Car Factor],,0)</f>
        <v>1</v>
      </c>
      <c r="AH31">
        <f>_xlfn.XLOOKUP(Table1820[[#This Row],[Difficult Parts]],Table8[Difficult Parts],Table8[Difficult Parts Factor],,0)</f>
        <v>1</v>
      </c>
      <c r="AI31">
        <f>_xlfn.XLOOKUP(Table1820[[#This Row],[High Theft Rate]],Table9[High Theft Rate],Table9[High Theft Rate Factor],,0)</f>
        <v>1</v>
      </c>
      <c r="AJ31">
        <f>_xlfn.XLOOKUP(Table1820[[#This Row],[Advanced Safety Features]],Table10[Advanced Safety Features],Table10[Advanced Safety Features Factor],,0)</f>
        <v>0.88</v>
      </c>
      <c r="AK31">
        <f>_xlfn.XLOOKUP(Table1820[[#This Row],[Deductible]],Table12[Deductible],Table12[Deductible Factor],,0)</f>
        <v>1</v>
      </c>
      <c r="AL31">
        <f>_xlfn.XLOOKUP(Table1820[[#This Row],[Coverage Limit]],Table13[Coverage Limit],Table13[Coverage Limit Factor],,0)</f>
        <v>0.84</v>
      </c>
      <c r="AM31">
        <f>IF(Table1820[[#This Row],[Good Student Discount]]="Yes",'Rate Book'!$D$126,1)</f>
        <v>1</v>
      </c>
      <c r="AN31">
        <f>IF(Table1820[[#This Row],[Good Driver Discount]]="Yes",'Rate Book'!$D$127,1)</f>
        <v>1</v>
      </c>
      <c r="AO31">
        <f>IF(Table1820[[#This Row],[Multi Policy Discount]]="Yes",'Rate Book'!$D$128,1)</f>
        <v>0.93</v>
      </c>
      <c r="AP31">
        <f>IF(Table1820[[#This Row],[Loyal Customer Discount]]="Yes",'Rate Book'!$D$129,1)</f>
        <v>1</v>
      </c>
      <c r="AQ31">
        <f>IF(Table1820[[#This Row],[Organization Discount]]="Yes",'Rate Book'!$D$130,1)</f>
        <v>1</v>
      </c>
      <c r="AR31" cm="1">
        <f t="array" ref="AR31">IF(Table1820[[#This Row],[Effective Date]]&gt;=RateChangeTable[Effective Date],RateChangeTable[Rate Change Factor],1)</f>
        <v>1</v>
      </c>
      <c r="AS31" s="10">
        <f>PRODUCT(Table1820[[#This Row],[Base Rate]:[Rate Change Factor]])</f>
        <v>157.5615049089451</v>
      </c>
      <c r="AT31" s="9">
        <f>Table1820[[#This Row],[System-Generated Premium]]-Table1820[[#This Row],[Expected Premium]]</f>
        <v>0</v>
      </c>
      <c r="AU31" t="str">
        <f>IF(Table1820[[#This Row],[Difference]]=0,"PASS","FAIL")</f>
        <v>PASS</v>
      </c>
      <c r="AV31" s="9">
        <f>ABS(Table1820[[#This Row],[Difference]])</f>
        <v>0</v>
      </c>
      <c r="AW31" s="9" t="s">
        <v>1136</v>
      </c>
    </row>
    <row r="32" spans="1:49" x14ac:dyDescent="0.3">
      <c r="A32" t="s">
        <v>123</v>
      </c>
      <c r="B32" s="7">
        <v>46047</v>
      </c>
      <c r="C32" t="s">
        <v>70</v>
      </c>
      <c r="D32" t="s">
        <v>1097</v>
      </c>
      <c r="E32" s="3">
        <v>1</v>
      </c>
      <c r="F32" s="3">
        <v>0</v>
      </c>
      <c r="G32" t="s">
        <v>12</v>
      </c>
      <c r="H32" t="s">
        <v>1107</v>
      </c>
      <c r="I32" t="s">
        <v>44</v>
      </c>
      <c r="J32" t="s">
        <v>50</v>
      </c>
      <c r="K32" t="s">
        <v>57</v>
      </c>
      <c r="L32" t="s">
        <v>10</v>
      </c>
      <c r="M32" t="s">
        <v>10</v>
      </c>
      <c r="N32" t="s">
        <v>10</v>
      </c>
      <c r="O32" t="str">
        <f>INDEX(CoverageTable[Deductible Applies],MATCH(Table1820[[#This Row],[Coverage]],CoverageTable[Coverage],0))</f>
        <v>No</v>
      </c>
      <c r="P32" t="str">
        <f>INDEX(CoverageTable[Coverage Limit Applies],MATCH(Table1820[[#This Row],[Coverage]],CoverageTable[Coverage],0))</f>
        <v>Yes</v>
      </c>
      <c r="Q32" t="s">
        <v>10</v>
      </c>
      <c r="R32" t="s">
        <v>79</v>
      </c>
      <c r="S32" t="s">
        <v>10</v>
      </c>
      <c r="T32" t="s">
        <v>10</v>
      </c>
      <c r="U32" t="s">
        <v>10</v>
      </c>
      <c r="V32" t="s">
        <v>10</v>
      </c>
      <c r="W32" t="s">
        <v>10</v>
      </c>
      <c r="X32" s="11">
        <v>1226.058452005364</v>
      </c>
      <c r="Y32">
        <f>_xlfn.XLOOKUP(Table1820[[#This Row],[Coverage]],CoverageTable[Coverage],CoverageTable[Base Rate],,0)</f>
        <v>622</v>
      </c>
      <c r="Z32">
        <f>INDEX(Table16[Ageband Factor],MATCH(Table1820[[#This Row],[Ageband]],Table16[Ageband],0))</f>
        <v>1.32</v>
      </c>
      <c r="AA32">
        <f>VLOOKUP(Table1820[[#This Row],[Years Driving]],Table1[],2)</f>
        <v>1.64</v>
      </c>
      <c r="AB32">
        <f>_xlfn.XLOOKUP(Table1820[[#This Row],[At Fault Accidents]],Table2[At Fault Accidents],Table2[At Fault Accident Factor],,0)</f>
        <v>1</v>
      </c>
      <c r="AC32">
        <f>_xlfn.XLOOKUP(Table1820[[#This Row],[Usage-Based Insurance]],Table3[Usage-Based Insurance],Table3[Usage-Based Insurance Discount],,0)</f>
        <v>0.8</v>
      </c>
      <c r="AD32">
        <f>_xlfn.XLOOKUP(Table1820[[#This Row],[Yearly Miles]],Table4[Yearly Miles],Table4[Yearly Miles Factor],,0)</f>
        <v>0.93</v>
      </c>
      <c r="AE32">
        <f>_xlfn.XLOOKUP(Table1820[[#This Row],[City/Zip Code]],Table5[City/Zip Code],Table5[City/Zip Code Factor],,0)</f>
        <v>1.1599999999999999</v>
      </c>
      <c r="AF32">
        <f>_xlfn.XLOOKUP(Table1820[[#This Row],[Vehicle Price]],Table6[Vehicle Price],Table6[Vehicle Price Factor])</f>
        <v>1.08</v>
      </c>
      <c r="AG32">
        <f>_xlfn.XLOOKUP(Table1820[[#This Row],[Exotic Car]],Table7[Exotic Car],Table7[Exotic Car Factor],,0)</f>
        <v>1.28</v>
      </c>
      <c r="AH32">
        <f>_xlfn.XLOOKUP(Table1820[[#This Row],[Difficult Parts]],Table8[Difficult Parts],Table8[Difficult Parts Factor],,0)</f>
        <v>1</v>
      </c>
      <c r="AI32">
        <f>_xlfn.XLOOKUP(Table1820[[#This Row],[High Theft Rate]],Table9[High Theft Rate],Table9[High Theft Rate Factor],,0)</f>
        <v>1</v>
      </c>
      <c r="AJ32">
        <f>_xlfn.XLOOKUP(Table1820[[#This Row],[Advanced Safety Features]],Table10[Advanced Safety Features],Table10[Advanced Safety Features Factor],,0)</f>
        <v>1</v>
      </c>
      <c r="AK32">
        <f>_xlfn.XLOOKUP(Table1820[[#This Row],[Deductible]],Table12[Deductible],Table12[Deductible Factor],,0)</f>
        <v>1</v>
      </c>
      <c r="AL32">
        <f>_xlfn.XLOOKUP(Table1820[[#This Row],[Coverage Limit]],Table13[Coverage Limit],Table13[Coverage Limit Factor],,0)</f>
        <v>0.72</v>
      </c>
      <c r="AM32">
        <f>IF(Table1820[[#This Row],[Good Student Discount]]="Yes",'Rate Book'!$D$126,1)</f>
        <v>1</v>
      </c>
      <c r="AN32">
        <f>IF(Table1820[[#This Row],[Good Driver Discount]]="Yes",'Rate Book'!$D$127,1)</f>
        <v>1</v>
      </c>
      <c r="AO32">
        <f>IF(Table1820[[#This Row],[Multi Policy Discount]]="Yes",'Rate Book'!$D$128,1)</f>
        <v>1</v>
      </c>
      <c r="AP32">
        <f>IF(Table1820[[#This Row],[Loyal Customer Discount]]="Yes",'Rate Book'!$D$129,1)</f>
        <v>1</v>
      </c>
      <c r="AQ32">
        <f>IF(Table1820[[#This Row],[Organization Discount]]="Yes",'Rate Book'!$D$130,1)</f>
        <v>1</v>
      </c>
      <c r="AR32" cm="1">
        <f t="array" ref="AR32">IF(Table1820[[#This Row],[Effective Date]]&gt;=RateChangeTable[Effective Date],RateChangeTable[Rate Change Factor],1)</f>
        <v>1.06</v>
      </c>
      <c r="AS32" s="10">
        <f>PRODUCT(Table1820[[#This Row],[Base Rate]:[Rate Change Factor]])</f>
        <v>1226.058452005364</v>
      </c>
      <c r="AT32" s="9">
        <f>Table1820[[#This Row],[System-Generated Premium]]-Table1820[[#This Row],[Expected Premium]]</f>
        <v>0</v>
      </c>
      <c r="AU32" t="str">
        <f>IF(Table1820[[#This Row],[Difference]]=0,"PASS","FAIL")</f>
        <v>PASS</v>
      </c>
      <c r="AV32" s="9">
        <f>ABS(Table1820[[#This Row],[Difference]])</f>
        <v>0</v>
      </c>
      <c r="AW32" s="9" t="s">
        <v>1136</v>
      </c>
    </row>
    <row r="33" spans="1:49" x14ac:dyDescent="0.3">
      <c r="A33" t="s">
        <v>124</v>
      </c>
      <c r="B33" s="7">
        <v>45927</v>
      </c>
      <c r="C33" t="s">
        <v>71</v>
      </c>
      <c r="D33" t="s">
        <v>1098</v>
      </c>
      <c r="E33" s="3">
        <v>4</v>
      </c>
      <c r="F33" s="3">
        <v>4</v>
      </c>
      <c r="G33" t="s">
        <v>10</v>
      </c>
      <c r="H33" t="s">
        <v>1110</v>
      </c>
      <c r="I33" t="s">
        <v>21</v>
      </c>
      <c r="J33" t="s">
        <v>49</v>
      </c>
      <c r="K33" t="s">
        <v>10</v>
      </c>
      <c r="L33" t="s">
        <v>10</v>
      </c>
      <c r="M33" t="s">
        <v>10</v>
      </c>
      <c r="N33" t="s">
        <v>57</v>
      </c>
      <c r="O33" t="str">
        <f>INDEX(CoverageTable[Deductible Applies],MATCH(Table1820[[#This Row],[Coverage]],CoverageTable[Coverage],0))</f>
        <v>Yes</v>
      </c>
      <c r="P33" t="str">
        <f>INDEX(CoverageTable[Coverage Limit Applies],MATCH(Table1820[[#This Row],[Coverage]],CoverageTable[Coverage],0))</f>
        <v>No</v>
      </c>
      <c r="Q33" t="s">
        <v>78</v>
      </c>
      <c r="R33" t="s">
        <v>10</v>
      </c>
      <c r="S33" t="s">
        <v>10</v>
      </c>
      <c r="T33" t="s">
        <v>57</v>
      </c>
      <c r="U33" t="s">
        <v>10</v>
      </c>
      <c r="V33" t="s">
        <v>10</v>
      </c>
      <c r="W33" t="s">
        <v>10</v>
      </c>
      <c r="X33" s="11">
        <v>1618.2546881404303</v>
      </c>
      <c r="Y33">
        <f>_xlfn.XLOOKUP(Table1820[[#This Row],[Coverage]],CoverageTable[Coverage],CoverageTable[Base Rate],,0)</f>
        <v>453</v>
      </c>
      <c r="Z33">
        <f>INDEX(Table16[Ageband Factor],MATCH(Table1820[[#This Row],[Ageband]],Table16[Ageband],0))</f>
        <v>1.23</v>
      </c>
      <c r="AA33">
        <f>VLOOKUP(Table1820[[#This Row],[Years Driving]],Table1[],2)</f>
        <v>1.1499999999999999</v>
      </c>
      <c r="AB33">
        <f>_xlfn.XLOOKUP(Table1820[[#This Row],[At Fault Accidents]],Table2[At Fault Accidents],Table2[At Fault Accident Factor],,0)</f>
        <v>2.12</v>
      </c>
      <c r="AC33">
        <f>_xlfn.XLOOKUP(Table1820[[#This Row],[Usage-Based Insurance]],Table3[Usage-Based Insurance],Table3[Usage-Based Insurance Discount],,0)</f>
        <v>1</v>
      </c>
      <c r="AD33">
        <f>_xlfn.XLOOKUP(Table1820[[#This Row],[Yearly Miles]],Table4[Yearly Miles],Table4[Yearly Miles Factor],,0)</f>
        <v>1.31</v>
      </c>
      <c r="AE33">
        <f>_xlfn.XLOOKUP(Table1820[[#This Row],[City/Zip Code]],Table5[City/Zip Code],Table5[City/Zip Code Factor],,0)</f>
        <v>1.26</v>
      </c>
      <c r="AF33">
        <f>_xlfn.XLOOKUP(Table1820[[#This Row],[Vehicle Price]],Table6[Vehicle Price],Table6[Vehicle Price Factor])</f>
        <v>0.97</v>
      </c>
      <c r="AG33">
        <f>_xlfn.XLOOKUP(Table1820[[#This Row],[Exotic Car]],Table7[Exotic Car],Table7[Exotic Car Factor],,0)</f>
        <v>1</v>
      </c>
      <c r="AH33">
        <f>_xlfn.XLOOKUP(Table1820[[#This Row],[Difficult Parts]],Table8[Difficult Parts],Table8[Difficult Parts Factor],,0)</f>
        <v>1</v>
      </c>
      <c r="AI33">
        <f>_xlfn.XLOOKUP(Table1820[[#This Row],[High Theft Rate]],Table9[High Theft Rate],Table9[High Theft Rate Factor],,0)</f>
        <v>1</v>
      </c>
      <c r="AJ33">
        <f>_xlfn.XLOOKUP(Table1820[[#This Row],[Advanced Safety Features]],Table10[Advanced Safety Features],Table10[Advanced Safety Features Factor],,0)</f>
        <v>0.88</v>
      </c>
      <c r="AK33">
        <f>_xlfn.XLOOKUP(Table1820[[#This Row],[Deductible]],Table12[Deductible],Table12[Deductible Factor],,0)</f>
        <v>0.95</v>
      </c>
      <c r="AL33">
        <f>_xlfn.XLOOKUP(Table1820[[#This Row],[Coverage Limit]],Table13[Coverage Limit],Table13[Coverage Limit Factor],,0)</f>
        <v>1</v>
      </c>
      <c r="AM33">
        <f>IF(Table1820[[#This Row],[Good Student Discount]]="Yes",'Rate Book'!$D$126,1)</f>
        <v>1</v>
      </c>
      <c r="AN33">
        <f>IF(Table1820[[#This Row],[Good Driver Discount]]="Yes",'Rate Book'!$D$127,1)</f>
        <v>0.89</v>
      </c>
      <c r="AO33">
        <f>IF(Table1820[[#This Row],[Multi Policy Discount]]="Yes",'Rate Book'!$D$128,1)</f>
        <v>1</v>
      </c>
      <c r="AP33">
        <f>IF(Table1820[[#This Row],[Loyal Customer Discount]]="Yes",'Rate Book'!$D$129,1)</f>
        <v>1</v>
      </c>
      <c r="AQ33">
        <f>IF(Table1820[[#This Row],[Organization Discount]]="Yes",'Rate Book'!$D$130,1)</f>
        <v>1</v>
      </c>
      <c r="AR33" cm="1">
        <f t="array" ref="AR33">IF(Table1820[[#This Row],[Effective Date]]&gt;=RateChangeTable[Effective Date],RateChangeTable[Rate Change Factor],1)</f>
        <v>1</v>
      </c>
      <c r="AS33" s="10">
        <f>PRODUCT(Table1820[[#This Row],[Base Rate]:[Rate Change Factor]])</f>
        <v>1618.2546881404303</v>
      </c>
      <c r="AT33" s="9">
        <f>Table1820[[#This Row],[System-Generated Premium]]-Table1820[[#This Row],[Expected Premium]]</f>
        <v>0</v>
      </c>
      <c r="AU33" t="str">
        <f>IF(Table1820[[#This Row],[Difference]]=0,"PASS","FAIL")</f>
        <v>PASS</v>
      </c>
      <c r="AV33" s="9">
        <f>ABS(Table1820[[#This Row],[Difference]])</f>
        <v>0</v>
      </c>
      <c r="AW33" s="9" t="s">
        <v>1136</v>
      </c>
    </row>
    <row r="34" spans="1:49" x14ac:dyDescent="0.3">
      <c r="A34" t="s">
        <v>125</v>
      </c>
      <c r="B34" s="7">
        <v>45841</v>
      </c>
      <c r="C34" t="s">
        <v>70</v>
      </c>
      <c r="D34" t="s">
        <v>1098</v>
      </c>
      <c r="E34" s="3">
        <v>5</v>
      </c>
      <c r="F34" s="3">
        <v>4</v>
      </c>
      <c r="G34" t="s">
        <v>10</v>
      </c>
      <c r="H34" t="s">
        <v>1110</v>
      </c>
      <c r="I34" t="s">
        <v>21</v>
      </c>
      <c r="J34" t="s">
        <v>48</v>
      </c>
      <c r="K34" t="s">
        <v>10</v>
      </c>
      <c r="L34" t="s">
        <v>10</v>
      </c>
      <c r="M34" t="s">
        <v>10</v>
      </c>
      <c r="N34" t="s">
        <v>57</v>
      </c>
      <c r="O34" t="str">
        <f>INDEX(CoverageTable[Deductible Applies],MATCH(Table1820[[#This Row],[Coverage]],CoverageTable[Coverage],0))</f>
        <v>No</v>
      </c>
      <c r="P34" t="str">
        <f>INDEX(CoverageTable[Coverage Limit Applies],MATCH(Table1820[[#This Row],[Coverage]],CoverageTable[Coverage],0))</f>
        <v>Yes</v>
      </c>
      <c r="Q34" t="s">
        <v>10</v>
      </c>
      <c r="R34" t="s">
        <v>79</v>
      </c>
      <c r="S34" t="s">
        <v>10</v>
      </c>
      <c r="T34" t="s">
        <v>10</v>
      </c>
      <c r="U34" t="s">
        <v>10</v>
      </c>
      <c r="V34" t="s">
        <v>10</v>
      </c>
      <c r="W34" t="s">
        <v>10</v>
      </c>
      <c r="X34" s="11">
        <v>1488.2846293289574</v>
      </c>
      <c r="Y34">
        <f>_xlfn.XLOOKUP(Table1820[[#This Row],[Coverage]],CoverageTable[Coverage],CoverageTable[Base Rate],,0)</f>
        <v>622</v>
      </c>
      <c r="Z34">
        <f>INDEX(Table16[Ageband Factor],MATCH(Table1820[[#This Row],[Ageband]],Table16[Ageband],0))</f>
        <v>1.23</v>
      </c>
      <c r="AA34">
        <f>VLOOKUP(Table1820[[#This Row],[Years Driving]],Table1[],2)</f>
        <v>1.07</v>
      </c>
      <c r="AB34">
        <f>_xlfn.XLOOKUP(Table1820[[#This Row],[At Fault Accidents]],Table2[At Fault Accidents],Table2[At Fault Accident Factor],,0)</f>
        <v>2.12</v>
      </c>
      <c r="AC34">
        <f>_xlfn.XLOOKUP(Table1820[[#This Row],[Usage-Based Insurance]],Table3[Usage-Based Insurance],Table3[Usage-Based Insurance Discount],,0)</f>
        <v>1</v>
      </c>
      <c r="AD34">
        <f>_xlfn.XLOOKUP(Table1820[[#This Row],[Yearly Miles]],Table4[Yearly Miles],Table4[Yearly Miles Factor],,0)</f>
        <v>1.31</v>
      </c>
      <c r="AE34">
        <f>_xlfn.XLOOKUP(Table1820[[#This Row],[City/Zip Code]],Table5[City/Zip Code],Table5[City/Zip Code Factor],,0)</f>
        <v>1.26</v>
      </c>
      <c r="AF34">
        <f>_xlfn.XLOOKUP(Table1820[[#This Row],[Vehicle Price]],Table6[Vehicle Price],Table6[Vehicle Price Factor])</f>
        <v>0.82</v>
      </c>
      <c r="AG34">
        <f>_xlfn.XLOOKUP(Table1820[[#This Row],[Exotic Car]],Table7[Exotic Car],Table7[Exotic Car Factor],,0)</f>
        <v>1</v>
      </c>
      <c r="AH34">
        <f>_xlfn.XLOOKUP(Table1820[[#This Row],[Difficult Parts]],Table8[Difficult Parts],Table8[Difficult Parts Factor],,0)</f>
        <v>1</v>
      </c>
      <c r="AI34">
        <f>_xlfn.XLOOKUP(Table1820[[#This Row],[High Theft Rate]],Table9[High Theft Rate],Table9[High Theft Rate Factor],,0)</f>
        <v>1</v>
      </c>
      <c r="AJ34">
        <f>_xlfn.XLOOKUP(Table1820[[#This Row],[Advanced Safety Features]],Table10[Advanced Safety Features],Table10[Advanced Safety Features Factor],,0)</f>
        <v>0.88</v>
      </c>
      <c r="AK34">
        <f>_xlfn.XLOOKUP(Table1820[[#This Row],[Deductible]],Table12[Deductible],Table12[Deductible Factor],,0)</f>
        <v>1</v>
      </c>
      <c r="AL34">
        <f>_xlfn.XLOOKUP(Table1820[[#This Row],[Coverage Limit]],Table13[Coverage Limit],Table13[Coverage Limit Factor],,0)</f>
        <v>0.72</v>
      </c>
      <c r="AM34">
        <f>IF(Table1820[[#This Row],[Good Student Discount]]="Yes",'Rate Book'!$D$126,1)</f>
        <v>1</v>
      </c>
      <c r="AN34">
        <f>IF(Table1820[[#This Row],[Good Driver Discount]]="Yes",'Rate Book'!$D$127,1)</f>
        <v>1</v>
      </c>
      <c r="AO34">
        <f>IF(Table1820[[#This Row],[Multi Policy Discount]]="Yes",'Rate Book'!$D$128,1)</f>
        <v>1</v>
      </c>
      <c r="AP34">
        <f>IF(Table1820[[#This Row],[Loyal Customer Discount]]="Yes",'Rate Book'!$D$129,1)</f>
        <v>1</v>
      </c>
      <c r="AQ34">
        <f>IF(Table1820[[#This Row],[Organization Discount]]="Yes",'Rate Book'!$D$130,1)</f>
        <v>1</v>
      </c>
      <c r="AR34" cm="1">
        <f t="array" ref="AR34">IF(Table1820[[#This Row],[Effective Date]]&gt;=RateChangeTable[Effective Date],RateChangeTable[Rate Change Factor],1)</f>
        <v>1</v>
      </c>
      <c r="AS34" s="10">
        <f>PRODUCT(Table1820[[#This Row],[Base Rate]:[Rate Change Factor]])</f>
        <v>1488.2846293289574</v>
      </c>
      <c r="AT34" s="9">
        <f>Table1820[[#This Row],[System-Generated Premium]]-Table1820[[#This Row],[Expected Premium]]</f>
        <v>0</v>
      </c>
      <c r="AU34" t="str">
        <f>IF(Table1820[[#This Row],[Difference]]=0,"PASS","FAIL")</f>
        <v>PASS</v>
      </c>
      <c r="AV34" s="9">
        <f>ABS(Table1820[[#This Row],[Difference]])</f>
        <v>0</v>
      </c>
      <c r="AW34" s="9" t="s">
        <v>1136</v>
      </c>
    </row>
    <row r="35" spans="1:49" x14ac:dyDescent="0.3">
      <c r="A35" t="s">
        <v>126</v>
      </c>
      <c r="B35" s="7">
        <v>45816</v>
      </c>
      <c r="C35" t="s">
        <v>70</v>
      </c>
      <c r="D35" t="s">
        <v>1100</v>
      </c>
      <c r="E35" s="3" t="s">
        <v>1103</v>
      </c>
      <c r="F35" s="3">
        <v>4</v>
      </c>
      <c r="G35" t="s">
        <v>12</v>
      </c>
      <c r="H35" t="s">
        <v>1107</v>
      </c>
      <c r="I35" t="s">
        <v>44</v>
      </c>
      <c r="J35" t="s">
        <v>51</v>
      </c>
      <c r="K35" t="s">
        <v>10</v>
      </c>
      <c r="L35" t="s">
        <v>10</v>
      </c>
      <c r="M35" t="s">
        <v>10</v>
      </c>
      <c r="N35" t="s">
        <v>57</v>
      </c>
      <c r="O35" t="str">
        <f>INDEX(CoverageTable[Deductible Applies],MATCH(Table1820[[#This Row],[Coverage]],CoverageTable[Coverage],0))</f>
        <v>No</v>
      </c>
      <c r="P35" t="str">
        <f>INDEX(CoverageTable[Coverage Limit Applies],MATCH(Table1820[[#This Row],[Coverage]],CoverageTable[Coverage],0))</f>
        <v>Yes</v>
      </c>
      <c r="Q35" t="s">
        <v>10</v>
      </c>
      <c r="R35" t="s">
        <v>78</v>
      </c>
      <c r="S35" t="s">
        <v>57</v>
      </c>
      <c r="T35" t="s">
        <v>10</v>
      </c>
      <c r="U35" t="s">
        <v>10</v>
      </c>
      <c r="V35" t="s">
        <v>10</v>
      </c>
      <c r="W35" t="s">
        <v>10</v>
      </c>
      <c r="X35" s="11">
        <v>715.87006261648253</v>
      </c>
      <c r="Y35">
        <f>_xlfn.XLOOKUP(Table1820[[#This Row],[Coverage]],CoverageTable[Coverage],CoverageTable[Base Rate],,0)</f>
        <v>622</v>
      </c>
      <c r="Z35">
        <f>INDEX(Table16[Ageband Factor],MATCH(Table1820[[#This Row],[Ageband]],Table16[Ageband],0))</f>
        <v>1.07</v>
      </c>
      <c r="AA35">
        <f>VLOOKUP(Table1820[[#This Row],[Years Driving]],Table1[],2)</f>
        <v>0.93</v>
      </c>
      <c r="AB35">
        <f>_xlfn.XLOOKUP(Table1820[[#This Row],[At Fault Accidents]],Table2[At Fault Accidents],Table2[At Fault Accident Factor],,0)</f>
        <v>2.12</v>
      </c>
      <c r="AC35">
        <f>_xlfn.XLOOKUP(Table1820[[#This Row],[Usage-Based Insurance]],Table3[Usage-Based Insurance],Table3[Usage-Based Insurance Discount],,0)</f>
        <v>0.8</v>
      </c>
      <c r="AD35">
        <f>_xlfn.XLOOKUP(Table1820[[#This Row],[Yearly Miles]],Table4[Yearly Miles],Table4[Yearly Miles Factor],,0)</f>
        <v>0.93</v>
      </c>
      <c r="AE35">
        <f>_xlfn.XLOOKUP(Table1820[[#This Row],[City/Zip Code]],Table5[City/Zip Code],Table5[City/Zip Code Factor],,0)</f>
        <v>1.1599999999999999</v>
      </c>
      <c r="AF35">
        <f>_xlfn.XLOOKUP(Table1820[[#This Row],[Vehicle Price]],Table6[Vehicle Price],Table6[Vehicle Price Factor])</f>
        <v>1.28</v>
      </c>
      <c r="AG35">
        <f>_xlfn.XLOOKUP(Table1820[[#This Row],[Exotic Car]],Table7[Exotic Car],Table7[Exotic Car Factor],,0)</f>
        <v>1</v>
      </c>
      <c r="AH35">
        <f>_xlfn.XLOOKUP(Table1820[[#This Row],[Difficult Parts]],Table8[Difficult Parts],Table8[Difficult Parts Factor],,0)</f>
        <v>1</v>
      </c>
      <c r="AI35">
        <f>_xlfn.XLOOKUP(Table1820[[#This Row],[High Theft Rate]],Table9[High Theft Rate],Table9[High Theft Rate Factor],,0)</f>
        <v>1</v>
      </c>
      <c r="AJ35">
        <f>_xlfn.XLOOKUP(Table1820[[#This Row],[Advanced Safety Features]],Table10[Advanced Safety Features],Table10[Advanced Safety Features Factor],,0)</f>
        <v>0.88</v>
      </c>
      <c r="AK35">
        <f>_xlfn.XLOOKUP(Table1820[[#This Row],[Deductible]],Table12[Deductible],Table12[Deductible Factor],,0)</f>
        <v>1</v>
      </c>
      <c r="AL35">
        <f>_xlfn.XLOOKUP(Table1820[[#This Row],[Coverage Limit]],Table13[Coverage Limit],Table13[Coverage Limit Factor],,0)</f>
        <v>0.61</v>
      </c>
      <c r="AM35">
        <f>IF(Table1820[[#This Row],[Good Student Discount]]="Yes",'Rate Book'!$D$126,1)</f>
        <v>0.92</v>
      </c>
      <c r="AN35">
        <f>IF(Table1820[[#This Row],[Good Driver Discount]]="Yes",'Rate Book'!$D$127,1)</f>
        <v>1</v>
      </c>
      <c r="AO35">
        <f>IF(Table1820[[#This Row],[Multi Policy Discount]]="Yes",'Rate Book'!$D$128,1)</f>
        <v>1</v>
      </c>
      <c r="AP35">
        <f>IF(Table1820[[#This Row],[Loyal Customer Discount]]="Yes",'Rate Book'!$D$129,1)</f>
        <v>1</v>
      </c>
      <c r="AQ35">
        <f>IF(Table1820[[#This Row],[Organization Discount]]="Yes",'Rate Book'!$D$130,1)</f>
        <v>1</v>
      </c>
      <c r="AR35" cm="1">
        <f t="array" ref="AR35">IF(Table1820[[#This Row],[Effective Date]]&gt;=RateChangeTable[Effective Date],RateChangeTable[Rate Change Factor],1)</f>
        <v>1</v>
      </c>
      <c r="AS35" s="10">
        <f>PRODUCT(Table1820[[#This Row],[Base Rate]:[Rate Change Factor]])</f>
        <v>715.87006261648253</v>
      </c>
      <c r="AT35" s="9">
        <f>Table1820[[#This Row],[System-Generated Premium]]-Table1820[[#This Row],[Expected Premium]]</f>
        <v>0</v>
      </c>
      <c r="AU35" t="str">
        <f>IF(Table1820[[#This Row],[Difference]]=0,"PASS","FAIL")</f>
        <v>PASS</v>
      </c>
      <c r="AV35" s="9">
        <f>ABS(Table1820[[#This Row],[Difference]])</f>
        <v>0</v>
      </c>
      <c r="AW35" s="9" t="s">
        <v>1136</v>
      </c>
    </row>
    <row r="36" spans="1:49" x14ac:dyDescent="0.3">
      <c r="A36" t="s">
        <v>127</v>
      </c>
      <c r="B36" s="7">
        <v>46131</v>
      </c>
      <c r="C36" t="s">
        <v>74</v>
      </c>
      <c r="D36" t="s">
        <v>1102</v>
      </c>
      <c r="E36" s="3">
        <v>5</v>
      </c>
      <c r="F36" s="3">
        <v>1</v>
      </c>
      <c r="G36" t="s">
        <v>10</v>
      </c>
      <c r="H36" t="s">
        <v>1109</v>
      </c>
      <c r="I36" t="s">
        <v>38</v>
      </c>
      <c r="J36" t="s">
        <v>50</v>
      </c>
      <c r="K36" t="s">
        <v>10</v>
      </c>
      <c r="L36" t="s">
        <v>10</v>
      </c>
      <c r="M36" t="s">
        <v>10</v>
      </c>
      <c r="N36" t="s">
        <v>57</v>
      </c>
      <c r="O36" t="str">
        <f>INDEX(CoverageTable[Deductible Applies],MATCH(Table1820[[#This Row],[Coverage]],CoverageTable[Coverage],0))</f>
        <v>No</v>
      </c>
      <c r="P36" t="str">
        <f>INDEX(CoverageTable[Coverage Limit Applies],MATCH(Table1820[[#This Row],[Coverage]],CoverageTable[Coverage],0))</f>
        <v>Yes</v>
      </c>
      <c r="Q36" t="s">
        <v>10</v>
      </c>
      <c r="R36" t="s">
        <v>79</v>
      </c>
      <c r="S36" t="s">
        <v>10</v>
      </c>
      <c r="T36" t="s">
        <v>10</v>
      </c>
      <c r="U36" t="s">
        <v>10</v>
      </c>
      <c r="V36" t="s">
        <v>57</v>
      </c>
      <c r="W36" t="s">
        <v>10</v>
      </c>
      <c r="X36" s="11">
        <v>67.274244091794358</v>
      </c>
      <c r="Y36">
        <f>_xlfn.XLOOKUP(Table1820[[#This Row],[Coverage]],CoverageTable[Coverage],CoverageTable[Base Rate],,0)</f>
        <v>41</v>
      </c>
      <c r="Z36">
        <f>INDEX(Table16[Ageband Factor],MATCH(Table1820[[#This Row],[Ageband]],Table16[Ageband],0))</f>
        <v>1.27</v>
      </c>
      <c r="AA36">
        <f>VLOOKUP(Table1820[[#This Row],[Years Driving]],Table1[],2)</f>
        <v>1.07</v>
      </c>
      <c r="AB36">
        <f>_xlfn.XLOOKUP(Table1820[[#This Row],[At Fault Accidents]],Table2[At Fault Accidents],Table2[At Fault Accident Factor],,0)</f>
        <v>1.34</v>
      </c>
      <c r="AC36">
        <f>_xlfn.XLOOKUP(Table1820[[#This Row],[Usage-Based Insurance]],Table3[Usage-Based Insurance],Table3[Usage-Based Insurance Discount],,0)</f>
        <v>1</v>
      </c>
      <c r="AD36">
        <f>_xlfn.XLOOKUP(Table1820[[#This Row],[Yearly Miles]],Table4[Yearly Miles],Table4[Yearly Miles Factor],,0)</f>
        <v>1.18</v>
      </c>
      <c r="AE36">
        <f>_xlfn.XLOOKUP(Table1820[[#This Row],[City/Zip Code]],Table5[City/Zip Code],Table5[City/Zip Code Factor],,0)</f>
        <v>1.1200000000000001</v>
      </c>
      <c r="AF36">
        <f>_xlfn.XLOOKUP(Table1820[[#This Row],[Vehicle Price]],Table6[Vehicle Price],Table6[Vehicle Price Factor])</f>
        <v>1.08</v>
      </c>
      <c r="AG36">
        <f>_xlfn.XLOOKUP(Table1820[[#This Row],[Exotic Car]],Table7[Exotic Car],Table7[Exotic Car Factor],,0)</f>
        <v>1</v>
      </c>
      <c r="AH36">
        <f>_xlfn.XLOOKUP(Table1820[[#This Row],[Difficult Parts]],Table8[Difficult Parts],Table8[Difficult Parts Factor],,0)</f>
        <v>1</v>
      </c>
      <c r="AI36">
        <f>_xlfn.XLOOKUP(Table1820[[#This Row],[High Theft Rate]],Table9[High Theft Rate],Table9[High Theft Rate Factor],,0)</f>
        <v>1</v>
      </c>
      <c r="AJ36">
        <f>_xlfn.XLOOKUP(Table1820[[#This Row],[Advanced Safety Features]],Table10[Advanced Safety Features],Table10[Advanced Safety Features Factor],,0)</f>
        <v>0.88</v>
      </c>
      <c r="AK36">
        <f>_xlfn.XLOOKUP(Table1820[[#This Row],[Deductible]],Table12[Deductible],Table12[Deductible Factor],,0)</f>
        <v>1</v>
      </c>
      <c r="AL36">
        <f>_xlfn.XLOOKUP(Table1820[[#This Row],[Coverage Limit]],Table13[Coverage Limit],Table13[Coverage Limit Factor],,0)</f>
        <v>0.72</v>
      </c>
      <c r="AM36">
        <f>IF(Table1820[[#This Row],[Good Student Discount]]="Yes",'Rate Book'!$D$126,1)</f>
        <v>1</v>
      </c>
      <c r="AN36">
        <f>IF(Table1820[[#This Row],[Good Driver Discount]]="Yes",'Rate Book'!$D$127,1)</f>
        <v>1</v>
      </c>
      <c r="AO36">
        <f>IF(Table1820[[#This Row],[Multi Policy Discount]]="Yes",'Rate Book'!$D$128,1)</f>
        <v>1</v>
      </c>
      <c r="AP36">
        <f>IF(Table1820[[#This Row],[Loyal Customer Discount]]="Yes",'Rate Book'!$D$129,1)</f>
        <v>0.94</v>
      </c>
      <c r="AQ36">
        <f>IF(Table1820[[#This Row],[Organization Discount]]="Yes",'Rate Book'!$D$130,1)</f>
        <v>1</v>
      </c>
      <c r="AR36" cm="1">
        <f t="array" ref="AR36">IF(Table1820[[#This Row],[Effective Date]]&gt;=RateChangeTable[Effective Date],RateChangeTable[Rate Change Factor],1)</f>
        <v>1.06</v>
      </c>
      <c r="AS36" s="10">
        <f>PRODUCT(Table1820[[#This Row],[Base Rate]:[Rate Change Factor]])</f>
        <v>67.274244091794358</v>
      </c>
      <c r="AT36" s="9">
        <f>Table1820[[#This Row],[System-Generated Premium]]-Table1820[[#This Row],[Expected Premium]]</f>
        <v>0</v>
      </c>
      <c r="AU36" t="str">
        <f>IF(Table1820[[#This Row],[Difference]]=0,"PASS","FAIL")</f>
        <v>PASS</v>
      </c>
      <c r="AV36" s="9">
        <f>ABS(Table1820[[#This Row],[Difference]])</f>
        <v>0</v>
      </c>
      <c r="AW36" s="9" t="s">
        <v>1136</v>
      </c>
    </row>
    <row r="37" spans="1:49" x14ac:dyDescent="0.3">
      <c r="A37" t="s">
        <v>128</v>
      </c>
      <c r="B37" s="7">
        <v>45872</v>
      </c>
      <c r="C37" t="s">
        <v>71</v>
      </c>
      <c r="D37" t="s">
        <v>1100</v>
      </c>
      <c r="E37" s="3">
        <v>7</v>
      </c>
      <c r="F37" s="3">
        <v>0</v>
      </c>
      <c r="G37" t="s">
        <v>10</v>
      </c>
      <c r="H37" t="s">
        <v>1108</v>
      </c>
      <c r="I37" t="s">
        <v>32</v>
      </c>
      <c r="J37" t="s">
        <v>48</v>
      </c>
      <c r="K37" t="s">
        <v>10</v>
      </c>
      <c r="L37" t="s">
        <v>10</v>
      </c>
      <c r="M37" t="s">
        <v>10</v>
      </c>
      <c r="N37" t="s">
        <v>57</v>
      </c>
      <c r="O37" t="str">
        <f>INDEX(CoverageTable[Deductible Applies],MATCH(Table1820[[#This Row],[Coverage]],CoverageTable[Coverage],0))</f>
        <v>Yes</v>
      </c>
      <c r="P37" t="str">
        <f>INDEX(CoverageTable[Coverage Limit Applies],MATCH(Table1820[[#This Row],[Coverage]],CoverageTable[Coverage],0))</f>
        <v>No</v>
      </c>
      <c r="Q37" t="s">
        <v>78</v>
      </c>
      <c r="R37" t="s">
        <v>10</v>
      </c>
      <c r="S37" t="s">
        <v>10</v>
      </c>
      <c r="T37" t="s">
        <v>10</v>
      </c>
      <c r="U37" t="s">
        <v>57</v>
      </c>
      <c r="V37" t="s">
        <v>10</v>
      </c>
      <c r="W37" t="s">
        <v>10</v>
      </c>
      <c r="X37" s="11">
        <v>328.79612157638405</v>
      </c>
      <c r="Y37">
        <f>_xlfn.XLOOKUP(Table1820[[#This Row],[Coverage]],CoverageTable[Coverage],CoverageTable[Base Rate],,0)</f>
        <v>453</v>
      </c>
      <c r="Z37">
        <f>INDEX(Table16[Ageband Factor],MATCH(Table1820[[#This Row],[Ageband]],Table16[Ageband],0))</f>
        <v>1.07</v>
      </c>
      <c r="AA37">
        <f>VLOOKUP(Table1820[[#This Row],[Years Driving]],Table1[],2)</f>
        <v>0.95</v>
      </c>
      <c r="AB37">
        <f>_xlfn.XLOOKUP(Table1820[[#This Row],[At Fault Accidents]],Table2[At Fault Accidents],Table2[At Fault Accident Factor],,0)</f>
        <v>1</v>
      </c>
      <c r="AC37">
        <f>_xlfn.XLOOKUP(Table1820[[#This Row],[Usage-Based Insurance]],Table3[Usage-Based Insurance],Table3[Usage-Based Insurance Discount],,0)</f>
        <v>1</v>
      </c>
      <c r="AD37">
        <f>_xlfn.XLOOKUP(Table1820[[#This Row],[Yearly Miles]],Table4[Yearly Miles],Table4[Yearly Miles Factor],,0)</f>
        <v>1</v>
      </c>
      <c r="AE37">
        <f>_xlfn.XLOOKUP(Table1820[[#This Row],[City/Zip Code]],Table5[City/Zip Code],Table5[City/Zip Code Factor],,0)</f>
        <v>1.1200000000000001</v>
      </c>
      <c r="AF37">
        <f>_xlfn.XLOOKUP(Table1820[[#This Row],[Vehicle Price]],Table6[Vehicle Price],Table6[Vehicle Price Factor])</f>
        <v>0.82</v>
      </c>
      <c r="AG37">
        <f>_xlfn.XLOOKUP(Table1820[[#This Row],[Exotic Car]],Table7[Exotic Car],Table7[Exotic Car Factor],,0)</f>
        <v>1</v>
      </c>
      <c r="AH37">
        <f>_xlfn.XLOOKUP(Table1820[[#This Row],[Difficult Parts]],Table8[Difficult Parts],Table8[Difficult Parts Factor],,0)</f>
        <v>1</v>
      </c>
      <c r="AI37">
        <f>_xlfn.XLOOKUP(Table1820[[#This Row],[High Theft Rate]],Table9[High Theft Rate],Table9[High Theft Rate Factor],,0)</f>
        <v>1</v>
      </c>
      <c r="AJ37">
        <f>_xlfn.XLOOKUP(Table1820[[#This Row],[Advanced Safety Features]],Table10[Advanced Safety Features],Table10[Advanced Safety Features Factor],,0)</f>
        <v>0.88</v>
      </c>
      <c r="AK37">
        <f>_xlfn.XLOOKUP(Table1820[[#This Row],[Deductible]],Table12[Deductible],Table12[Deductible Factor],,0)</f>
        <v>0.95</v>
      </c>
      <c r="AL37">
        <f>_xlfn.XLOOKUP(Table1820[[#This Row],[Coverage Limit]],Table13[Coverage Limit],Table13[Coverage Limit Factor],,0)</f>
        <v>1</v>
      </c>
      <c r="AM37">
        <f>IF(Table1820[[#This Row],[Good Student Discount]]="Yes",'Rate Book'!$D$126,1)</f>
        <v>1</v>
      </c>
      <c r="AN37">
        <f>IF(Table1820[[#This Row],[Good Driver Discount]]="Yes",'Rate Book'!$D$127,1)</f>
        <v>1</v>
      </c>
      <c r="AO37">
        <f>IF(Table1820[[#This Row],[Multi Policy Discount]]="Yes",'Rate Book'!$D$128,1)</f>
        <v>0.93</v>
      </c>
      <c r="AP37">
        <f>IF(Table1820[[#This Row],[Loyal Customer Discount]]="Yes",'Rate Book'!$D$129,1)</f>
        <v>1</v>
      </c>
      <c r="AQ37">
        <f>IF(Table1820[[#This Row],[Organization Discount]]="Yes",'Rate Book'!$D$130,1)</f>
        <v>1</v>
      </c>
      <c r="AR37" cm="1">
        <f t="array" ref="AR37">IF(Table1820[[#This Row],[Effective Date]]&gt;=RateChangeTable[Effective Date],RateChangeTable[Rate Change Factor],1)</f>
        <v>1</v>
      </c>
      <c r="AS37" s="10">
        <f>PRODUCT(Table1820[[#This Row],[Base Rate]:[Rate Change Factor]])</f>
        <v>328.79612157638405</v>
      </c>
      <c r="AT37" s="9">
        <f>Table1820[[#This Row],[System-Generated Premium]]-Table1820[[#This Row],[Expected Premium]]</f>
        <v>0</v>
      </c>
      <c r="AU37" t="str">
        <f>IF(Table1820[[#This Row],[Difference]]=0,"PASS","FAIL")</f>
        <v>PASS</v>
      </c>
      <c r="AV37" s="9">
        <f>ABS(Table1820[[#This Row],[Difference]])</f>
        <v>0</v>
      </c>
      <c r="AW37" s="9" t="s">
        <v>1136</v>
      </c>
    </row>
    <row r="38" spans="1:49" x14ac:dyDescent="0.3">
      <c r="A38" t="s">
        <v>129</v>
      </c>
      <c r="B38" s="7">
        <v>46077</v>
      </c>
      <c r="C38" t="s">
        <v>70</v>
      </c>
      <c r="D38" t="s">
        <v>1100</v>
      </c>
      <c r="E38" s="3">
        <v>7</v>
      </c>
      <c r="F38" s="3">
        <v>3</v>
      </c>
      <c r="G38" t="s">
        <v>10</v>
      </c>
      <c r="H38" t="s">
        <v>1108</v>
      </c>
      <c r="I38" t="s">
        <v>24</v>
      </c>
      <c r="J38" t="s">
        <v>54</v>
      </c>
      <c r="K38" t="s">
        <v>10</v>
      </c>
      <c r="L38" t="s">
        <v>10</v>
      </c>
      <c r="M38" t="s">
        <v>10</v>
      </c>
      <c r="N38" t="s">
        <v>10</v>
      </c>
      <c r="O38" t="str">
        <f>INDEX(CoverageTable[Deductible Applies],MATCH(Table1820[[#This Row],[Coverage]],CoverageTable[Coverage],0))</f>
        <v>No</v>
      </c>
      <c r="P38" t="str">
        <f>INDEX(CoverageTable[Coverage Limit Applies],MATCH(Table1820[[#This Row],[Coverage]],CoverageTable[Coverage],0))</f>
        <v>Yes</v>
      </c>
      <c r="Q38" t="s">
        <v>10</v>
      </c>
      <c r="R38" t="s">
        <v>78</v>
      </c>
      <c r="S38" t="s">
        <v>10</v>
      </c>
      <c r="T38" t="s">
        <v>57</v>
      </c>
      <c r="U38" t="s">
        <v>10</v>
      </c>
      <c r="V38" t="s">
        <v>10</v>
      </c>
      <c r="W38" t="s">
        <v>10</v>
      </c>
      <c r="X38" s="11">
        <v>2261.6412711456724</v>
      </c>
      <c r="Y38">
        <f>_xlfn.XLOOKUP(Table1820[[#This Row],[Coverage]],CoverageTable[Coverage],CoverageTable[Base Rate],,0)</f>
        <v>622</v>
      </c>
      <c r="Z38">
        <f>INDEX(Table16[Ageband Factor],MATCH(Table1820[[#This Row],[Ageband]],Table16[Ageband],0))</f>
        <v>1.07</v>
      </c>
      <c r="AA38">
        <f>VLOOKUP(Table1820[[#This Row],[Years Driving]],Table1[],2)</f>
        <v>0.95</v>
      </c>
      <c r="AB38">
        <f>_xlfn.XLOOKUP(Table1820[[#This Row],[At Fault Accidents]],Table2[At Fault Accidents],Table2[At Fault Accident Factor],,0)</f>
        <v>1.82</v>
      </c>
      <c r="AC38">
        <f>_xlfn.XLOOKUP(Table1820[[#This Row],[Usage-Based Insurance]],Table3[Usage-Based Insurance],Table3[Usage-Based Insurance Discount],,0)</f>
        <v>1</v>
      </c>
      <c r="AD38">
        <f>_xlfn.XLOOKUP(Table1820[[#This Row],[Yearly Miles]],Table4[Yearly Miles],Table4[Yearly Miles Factor],,0)</f>
        <v>1</v>
      </c>
      <c r="AE38">
        <f>_xlfn.XLOOKUP(Table1820[[#This Row],[City/Zip Code]],Table5[City/Zip Code],Table5[City/Zip Code Factor],,0)</f>
        <v>1.19</v>
      </c>
      <c r="AF38">
        <f>_xlfn.XLOOKUP(Table1820[[#This Row],[Vehicle Price]],Table6[Vehicle Price],Table6[Vehicle Price Factor])</f>
        <v>2.87</v>
      </c>
      <c r="AG38">
        <f>_xlfn.XLOOKUP(Table1820[[#This Row],[Exotic Car]],Table7[Exotic Car],Table7[Exotic Car Factor],,0)</f>
        <v>1</v>
      </c>
      <c r="AH38">
        <f>_xlfn.XLOOKUP(Table1820[[#This Row],[Difficult Parts]],Table8[Difficult Parts],Table8[Difficult Parts Factor],,0)</f>
        <v>1</v>
      </c>
      <c r="AI38">
        <f>_xlfn.XLOOKUP(Table1820[[#This Row],[High Theft Rate]],Table9[High Theft Rate],Table9[High Theft Rate Factor],,0)</f>
        <v>1</v>
      </c>
      <c r="AJ38">
        <f>_xlfn.XLOOKUP(Table1820[[#This Row],[Advanced Safety Features]],Table10[Advanced Safety Features],Table10[Advanced Safety Features Factor],,0)</f>
        <v>1</v>
      </c>
      <c r="AK38">
        <f>_xlfn.XLOOKUP(Table1820[[#This Row],[Deductible]],Table12[Deductible],Table12[Deductible Factor],,0)</f>
        <v>1</v>
      </c>
      <c r="AL38">
        <f>_xlfn.XLOOKUP(Table1820[[#This Row],[Coverage Limit]],Table13[Coverage Limit],Table13[Coverage Limit Factor],,0)</f>
        <v>0.61</v>
      </c>
      <c r="AM38">
        <f>IF(Table1820[[#This Row],[Good Student Discount]]="Yes",'Rate Book'!$D$126,1)</f>
        <v>1</v>
      </c>
      <c r="AN38">
        <f>IF(Table1820[[#This Row],[Good Driver Discount]]="Yes",'Rate Book'!$D$127,1)</f>
        <v>0.89</v>
      </c>
      <c r="AO38">
        <f>IF(Table1820[[#This Row],[Multi Policy Discount]]="Yes",'Rate Book'!$D$128,1)</f>
        <v>1</v>
      </c>
      <c r="AP38">
        <f>IF(Table1820[[#This Row],[Loyal Customer Discount]]="Yes",'Rate Book'!$D$129,1)</f>
        <v>1</v>
      </c>
      <c r="AQ38">
        <f>IF(Table1820[[#This Row],[Organization Discount]]="Yes",'Rate Book'!$D$130,1)</f>
        <v>1</v>
      </c>
      <c r="AR38" cm="1">
        <f t="array" ref="AR38">IF(Table1820[[#This Row],[Effective Date]]&gt;=RateChangeTable[Effective Date],RateChangeTable[Rate Change Factor],1)</f>
        <v>1.06</v>
      </c>
      <c r="AS38" s="10">
        <f>PRODUCT(Table1820[[#This Row],[Base Rate]:[Rate Change Factor]])</f>
        <v>2261.6412711456724</v>
      </c>
      <c r="AT38" s="9">
        <f>Table1820[[#This Row],[System-Generated Premium]]-Table1820[[#This Row],[Expected Premium]]</f>
        <v>0</v>
      </c>
      <c r="AU38" t="str">
        <f>IF(Table1820[[#This Row],[Difference]]=0,"PASS","FAIL")</f>
        <v>PASS</v>
      </c>
      <c r="AV38" s="9">
        <f>ABS(Table1820[[#This Row],[Difference]])</f>
        <v>0</v>
      </c>
      <c r="AW38" s="9" t="s">
        <v>1136</v>
      </c>
    </row>
    <row r="39" spans="1:49" x14ac:dyDescent="0.3">
      <c r="A39" t="s">
        <v>130</v>
      </c>
      <c r="B39" s="7">
        <v>46113</v>
      </c>
      <c r="C39" t="s">
        <v>70</v>
      </c>
      <c r="D39" t="s">
        <v>1101</v>
      </c>
      <c r="E39" s="3">
        <v>2</v>
      </c>
      <c r="F39" s="3">
        <v>0</v>
      </c>
      <c r="G39" t="s">
        <v>10</v>
      </c>
      <c r="H39" t="s">
        <v>1109</v>
      </c>
      <c r="I39" t="s">
        <v>43</v>
      </c>
      <c r="J39" t="s">
        <v>52</v>
      </c>
      <c r="K39" t="s">
        <v>10</v>
      </c>
      <c r="L39" t="s">
        <v>10</v>
      </c>
      <c r="M39" t="s">
        <v>57</v>
      </c>
      <c r="N39" t="s">
        <v>10</v>
      </c>
      <c r="O39" t="str">
        <f>INDEX(CoverageTable[Deductible Applies],MATCH(Table1820[[#This Row],[Coverage]],CoverageTable[Coverage],0))</f>
        <v>No</v>
      </c>
      <c r="P39" t="str">
        <f>INDEX(CoverageTable[Coverage Limit Applies],MATCH(Table1820[[#This Row],[Coverage]],CoverageTable[Coverage],0))</f>
        <v>Yes</v>
      </c>
      <c r="Q39" t="s">
        <v>10</v>
      </c>
      <c r="R39" t="s">
        <v>79</v>
      </c>
      <c r="S39" t="s">
        <v>10</v>
      </c>
      <c r="T39" t="s">
        <v>10</v>
      </c>
      <c r="U39" t="s">
        <v>10</v>
      </c>
      <c r="V39" t="s">
        <v>10</v>
      </c>
      <c r="W39" t="s">
        <v>10</v>
      </c>
      <c r="X39" s="11">
        <v>1901.0237294441079</v>
      </c>
      <c r="Y39">
        <f>_xlfn.XLOOKUP(Table1820[[#This Row],[Coverage]],CoverageTable[Coverage],CoverageTable[Base Rate],,0)</f>
        <v>622</v>
      </c>
      <c r="Z39">
        <f>INDEX(Table16[Ageband Factor],MATCH(Table1820[[#This Row],[Ageband]],Table16[Ageband],0))</f>
        <v>1.1200000000000001</v>
      </c>
      <c r="AA39">
        <f>VLOOKUP(Table1820[[#This Row],[Years Driving]],Table1[],2)</f>
        <v>1.41</v>
      </c>
      <c r="AB39">
        <f>_xlfn.XLOOKUP(Table1820[[#This Row],[At Fault Accidents]],Table2[At Fault Accidents],Table2[At Fault Accident Factor],,0)</f>
        <v>1</v>
      </c>
      <c r="AC39">
        <f>_xlfn.XLOOKUP(Table1820[[#This Row],[Usage-Based Insurance]],Table3[Usage-Based Insurance],Table3[Usage-Based Insurance Discount],,0)</f>
        <v>1</v>
      </c>
      <c r="AD39">
        <f>_xlfn.XLOOKUP(Table1820[[#This Row],[Yearly Miles]],Table4[Yearly Miles],Table4[Yearly Miles Factor],,0)</f>
        <v>1.18</v>
      </c>
      <c r="AE39">
        <f>_xlfn.XLOOKUP(Table1820[[#This Row],[City/Zip Code]],Table5[City/Zip Code],Table5[City/Zip Code Factor],,0)</f>
        <v>1.18</v>
      </c>
      <c r="AF39">
        <f>_xlfn.XLOOKUP(Table1820[[#This Row],[Vehicle Price]],Table6[Vehicle Price],Table6[Vehicle Price Factor])</f>
        <v>1.57</v>
      </c>
      <c r="AG39">
        <f>_xlfn.XLOOKUP(Table1820[[#This Row],[Exotic Car]],Table7[Exotic Car],Table7[Exotic Car Factor],,0)</f>
        <v>1</v>
      </c>
      <c r="AH39">
        <f>_xlfn.XLOOKUP(Table1820[[#This Row],[Difficult Parts]],Table8[Difficult Parts],Table8[Difficult Parts Factor],,0)</f>
        <v>1</v>
      </c>
      <c r="AI39">
        <f>_xlfn.XLOOKUP(Table1820[[#This Row],[High Theft Rate]],Table9[High Theft Rate],Table9[High Theft Rate Factor],,0)</f>
        <v>1.1599999999999999</v>
      </c>
      <c r="AJ39">
        <f>_xlfn.XLOOKUP(Table1820[[#This Row],[Advanced Safety Features]],Table10[Advanced Safety Features],Table10[Advanced Safety Features Factor],,0)</f>
        <v>1</v>
      </c>
      <c r="AK39">
        <f>_xlfn.XLOOKUP(Table1820[[#This Row],[Deductible]],Table12[Deductible],Table12[Deductible Factor],,0)</f>
        <v>1</v>
      </c>
      <c r="AL39">
        <f>_xlfn.XLOOKUP(Table1820[[#This Row],[Coverage Limit]],Table13[Coverage Limit],Table13[Coverage Limit Factor],,0)</f>
        <v>0.72</v>
      </c>
      <c r="AM39">
        <f>IF(Table1820[[#This Row],[Good Student Discount]]="Yes",'Rate Book'!$D$126,1)</f>
        <v>1</v>
      </c>
      <c r="AN39">
        <f>IF(Table1820[[#This Row],[Good Driver Discount]]="Yes",'Rate Book'!$D$127,1)</f>
        <v>1</v>
      </c>
      <c r="AO39">
        <f>IF(Table1820[[#This Row],[Multi Policy Discount]]="Yes",'Rate Book'!$D$128,1)</f>
        <v>1</v>
      </c>
      <c r="AP39">
        <f>IF(Table1820[[#This Row],[Loyal Customer Discount]]="Yes",'Rate Book'!$D$129,1)</f>
        <v>1</v>
      </c>
      <c r="AQ39">
        <f>IF(Table1820[[#This Row],[Organization Discount]]="Yes",'Rate Book'!$D$130,1)</f>
        <v>1</v>
      </c>
      <c r="AR39" cm="1">
        <f t="array" ref="AR39">IF(Table1820[[#This Row],[Effective Date]]&gt;=RateChangeTable[Effective Date],RateChangeTable[Rate Change Factor],1)</f>
        <v>1.06</v>
      </c>
      <c r="AS39" s="10">
        <f>PRODUCT(Table1820[[#This Row],[Base Rate]:[Rate Change Factor]])</f>
        <v>1901.0237294441079</v>
      </c>
      <c r="AT39" s="9">
        <f>Table1820[[#This Row],[System-Generated Premium]]-Table1820[[#This Row],[Expected Premium]]</f>
        <v>0</v>
      </c>
      <c r="AU39" t="str">
        <f>IF(Table1820[[#This Row],[Difference]]=0,"PASS","FAIL")</f>
        <v>PASS</v>
      </c>
      <c r="AV39" s="9">
        <f>ABS(Table1820[[#This Row],[Difference]])</f>
        <v>0</v>
      </c>
      <c r="AW39" s="9" t="s">
        <v>1136</v>
      </c>
    </row>
    <row r="40" spans="1:49" x14ac:dyDescent="0.3">
      <c r="A40" t="s">
        <v>131</v>
      </c>
      <c r="B40" s="7">
        <v>46128</v>
      </c>
      <c r="C40" t="s">
        <v>70</v>
      </c>
      <c r="D40" t="s">
        <v>1099</v>
      </c>
      <c r="E40" s="3">
        <v>6</v>
      </c>
      <c r="F40" s="3">
        <v>2</v>
      </c>
      <c r="G40" t="s">
        <v>11</v>
      </c>
      <c r="H40" t="s">
        <v>1108</v>
      </c>
      <c r="I40" t="s">
        <v>39</v>
      </c>
      <c r="J40" t="s">
        <v>53</v>
      </c>
      <c r="K40" t="s">
        <v>10</v>
      </c>
      <c r="L40" t="s">
        <v>10</v>
      </c>
      <c r="M40" t="s">
        <v>10</v>
      </c>
      <c r="N40" t="s">
        <v>57</v>
      </c>
      <c r="O40" t="str">
        <f>INDEX(CoverageTable[Deductible Applies],MATCH(Table1820[[#This Row],[Coverage]],CoverageTable[Coverage],0))</f>
        <v>No</v>
      </c>
      <c r="P40" t="str">
        <f>INDEX(CoverageTable[Coverage Limit Applies],MATCH(Table1820[[#This Row],[Coverage]],CoverageTable[Coverage],0))</f>
        <v>Yes</v>
      </c>
      <c r="Q40" t="s">
        <v>10</v>
      </c>
      <c r="R40" t="s">
        <v>78</v>
      </c>
      <c r="S40" t="s">
        <v>10</v>
      </c>
      <c r="T40" t="s">
        <v>10</v>
      </c>
      <c r="U40" t="s">
        <v>10</v>
      </c>
      <c r="V40" t="s">
        <v>10</v>
      </c>
      <c r="W40" t="s">
        <v>57</v>
      </c>
      <c r="X40" s="11">
        <v>1102.8359628910482</v>
      </c>
      <c r="Y40">
        <f>_xlfn.XLOOKUP(Table1820[[#This Row],[Coverage]],CoverageTable[Coverage],CoverageTable[Base Rate],,0)</f>
        <v>622</v>
      </c>
      <c r="Z40">
        <f>INDEX(Table16[Ageband Factor],MATCH(Table1820[[#This Row],[Ageband]],Table16[Ageband],0))</f>
        <v>1</v>
      </c>
      <c r="AA40">
        <f>VLOOKUP(Table1820[[#This Row],[Years Driving]],Table1[],2)</f>
        <v>1</v>
      </c>
      <c r="AB40">
        <f>_xlfn.XLOOKUP(Table1820[[#This Row],[At Fault Accidents]],Table2[At Fault Accidents],Table2[At Fault Accident Factor],,0)</f>
        <v>1.55</v>
      </c>
      <c r="AC40">
        <f>_xlfn.XLOOKUP(Table1820[[#This Row],[Usage-Based Insurance]],Table3[Usage-Based Insurance],Table3[Usage-Based Insurance Discount],,0)</f>
        <v>0.95</v>
      </c>
      <c r="AD40">
        <f>_xlfn.XLOOKUP(Table1820[[#This Row],[Yearly Miles]],Table4[Yearly Miles],Table4[Yearly Miles Factor],,0)</f>
        <v>1</v>
      </c>
      <c r="AE40">
        <f>_xlfn.XLOOKUP(Table1820[[#This Row],[City/Zip Code]],Table5[City/Zip Code],Table5[City/Zip Code Factor],,0)</f>
        <v>1.08</v>
      </c>
      <c r="AF40">
        <f>_xlfn.XLOOKUP(Table1820[[#This Row],[Vehicle Price]],Table6[Vehicle Price],Table6[Vehicle Price Factor])</f>
        <v>2.02</v>
      </c>
      <c r="AG40">
        <f>_xlfn.XLOOKUP(Table1820[[#This Row],[Exotic Car]],Table7[Exotic Car],Table7[Exotic Car Factor],,0)</f>
        <v>1</v>
      </c>
      <c r="AH40">
        <f>_xlfn.XLOOKUP(Table1820[[#This Row],[Difficult Parts]],Table8[Difficult Parts],Table8[Difficult Parts Factor],,0)</f>
        <v>1</v>
      </c>
      <c r="AI40">
        <f>_xlfn.XLOOKUP(Table1820[[#This Row],[High Theft Rate]],Table9[High Theft Rate],Table9[High Theft Rate Factor],,0)</f>
        <v>1</v>
      </c>
      <c r="AJ40">
        <f>_xlfn.XLOOKUP(Table1820[[#This Row],[Advanced Safety Features]],Table10[Advanced Safety Features],Table10[Advanced Safety Features Factor],,0)</f>
        <v>0.88</v>
      </c>
      <c r="AK40">
        <f>_xlfn.XLOOKUP(Table1820[[#This Row],[Deductible]],Table12[Deductible],Table12[Deductible Factor],,0)</f>
        <v>1</v>
      </c>
      <c r="AL40">
        <f>_xlfn.XLOOKUP(Table1820[[#This Row],[Coverage Limit]],Table13[Coverage Limit],Table13[Coverage Limit Factor],,0)</f>
        <v>0.61</v>
      </c>
      <c r="AM40">
        <f>IF(Table1820[[#This Row],[Good Student Discount]]="Yes",'Rate Book'!$D$126,1)</f>
        <v>1</v>
      </c>
      <c r="AN40">
        <f>IF(Table1820[[#This Row],[Good Driver Discount]]="Yes",'Rate Book'!$D$127,1)</f>
        <v>1</v>
      </c>
      <c r="AO40">
        <f>IF(Table1820[[#This Row],[Multi Policy Discount]]="Yes",'Rate Book'!$D$128,1)</f>
        <v>1</v>
      </c>
      <c r="AP40">
        <f>IF(Table1820[[#This Row],[Loyal Customer Discount]]="Yes",'Rate Book'!$D$129,1)</f>
        <v>1</v>
      </c>
      <c r="AQ40">
        <f>IF(Table1820[[#This Row],[Organization Discount]]="Yes",'Rate Book'!$D$130,1)</f>
        <v>0.97</v>
      </c>
      <c r="AR40" cm="1">
        <f t="array" ref="AR40">IF(Table1820[[#This Row],[Effective Date]]&gt;=RateChangeTable[Effective Date],RateChangeTable[Rate Change Factor],1)</f>
        <v>1.06</v>
      </c>
      <c r="AS40" s="10">
        <f>PRODUCT(Table1820[[#This Row],[Base Rate]:[Rate Change Factor]])</f>
        <v>1102.8359628910482</v>
      </c>
      <c r="AT40" s="9">
        <f>Table1820[[#This Row],[System-Generated Premium]]-Table1820[[#This Row],[Expected Premium]]</f>
        <v>0</v>
      </c>
      <c r="AU40" t="str">
        <f>IF(Table1820[[#This Row],[Difference]]=0,"PASS","FAIL")</f>
        <v>PASS</v>
      </c>
      <c r="AV40" s="9">
        <f>ABS(Table1820[[#This Row],[Difference]])</f>
        <v>0</v>
      </c>
      <c r="AW40" s="9" t="s">
        <v>1136</v>
      </c>
    </row>
    <row r="41" spans="1:49" x14ac:dyDescent="0.3">
      <c r="A41" t="s">
        <v>132</v>
      </c>
      <c r="B41" s="7">
        <v>45901</v>
      </c>
      <c r="C41" t="s">
        <v>74</v>
      </c>
      <c r="D41" t="s">
        <v>1102</v>
      </c>
      <c r="E41" s="3">
        <v>1</v>
      </c>
      <c r="F41" s="3">
        <v>1</v>
      </c>
      <c r="G41" t="s">
        <v>11</v>
      </c>
      <c r="H41" t="s">
        <v>1106</v>
      </c>
      <c r="I41" t="s">
        <v>36</v>
      </c>
      <c r="J41" t="s">
        <v>49</v>
      </c>
      <c r="K41" t="s">
        <v>10</v>
      </c>
      <c r="L41" t="s">
        <v>10</v>
      </c>
      <c r="M41" t="s">
        <v>57</v>
      </c>
      <c r="N41" t="s">
        <v>10</v>
      </c>
      <c r="O41" t="str">
        <f>INDEX(CoverageTable[Deductible Applies],MATCH(Table1820[[#This Row],[Coverage]],CoverageTable[Coverage],0))</f>
        <v>No</v>
      </c>
      <c r="P41" t="str">
        <f>INDEX(CoverageTable[Coverage Limit Applies],MATCH(Table1820[[#This Row],[Coverage]],CoverageTable[Coverage],0))</f>
        <v>Yes</v>
      </c>
      <c r="Q41" t="s">
        <v>10</v>
      </c>
      <c r="R41" t="s">
        <v>79</v>
      </c>
      <c r="S41" t="s">
        <v>57</v>
      </c>
      <c r="T41" t="s">
        <v>57</v>
      </c>
      <c r="U41" t="s">
        <v>10</v>
      </c>
      <c r="V41" t="s">
        <v>10</v>
      </c>
      <c r="W41" t="s">
        <v>10</v>
      </c>
      <c r="X41" s="11">
        <v>57.948181454707772</v>
      </c>
      <c r="Y41">
        <f>_xlfn.XLOOKUP(Table1820[[#This Row],[Coverage]],CoverageTable[Coverage],CoverageTable[Base Rate],,0)</f>
        <v>41</v>
      </c>
      <c r="Z41">
        <f>INDEX(Table16[Ageband Factor],MATCH(Table1820[[#This Row],[Ageband]],Table16[Ageband],0))</f>
        <v>1.27</v>
      </c>
      <c r="AA41">
        <f>VLOOKUP(Table1820[[#This Row],[Years Driving]],Table1[],2)</f>
        <v>1.64</v>
      </c>
      <c r="AB41">
        <f>_xlfn.XLOOKUP(Table1820[[#This Row],[At Fault Accidents]],Table2[At Fault Accidents],Table2[At Fault Accident Factor],,0)</f>
        <v>1.34</v>
      </c>
      <c r="AC41">
        <f>_xlfn.XLOOKUP(Table1820[[#This Row],[Usage-Based Insurance]],Table3[Usage-Based Insurance],Table3[Usage-Based Insurance Discount],,0)</f>
        <v>0.95</v>
      </c>
      <c r="AD41">
        <f>_xlfn.XLOOKUP(Table1820[[#This Row],[Yearly Miles]],Table4[Yearly Miles],Table4[Yearly Miles Factor],,0)</f>
        <v>0.82</v>
      </c>
      <c r="AE41">
        <f>_xlfn.XLOOKUP(Table1820[[#This Row],[City/Zip Code]],Table5[City/Zip Code],Table5[City/Zip Code Factor],,0)</f>
        <v>0.98</v>
      </c>
      <c r="AF41">
        <f>_xlfn.XLOOKUP(Table1820[[#This Row],[Vehicle Price]],Table6[Vehicle Price],Table6[Vehicle Price Factor])</f>
        <v>0.97</v>
      </c>
      <c r="AG41">
        <f>_xlfn.XLOOKUP(Table1820[[#This Row],[Exotic Car]],Table7[Exotic Car],Table7[Exotic Car Factor],,0)</f>
        <v>1</v>
      </c>
      <c r="AH41">
        <f>_xlfn.XLOOKUP(Table1820[[#This Row],[Difficult Parts]],Table8[Difficult Parts],Table8[Difficult Parts Factor],,0)</f>
        <v>1</v>
      </c>
      <c r="AI41">
        <f>_xlfn.XLOOKUP(Table1820[[#This Row],[High Theft Rate]],Table9[High Theft Rate],Table9[High Theft Rate Factor],,0)</f>
        <v>1.1599999999999999</v>
      </c>
      <c r="AJ41">
        <f>_xlfn.XLOOKUP(Table1820[[#This Row],[Advanced Safety Features]],Table10[Advanced Safety Features],Table10[Advanced Safety Features Factor],,0)</f>
        <v>1</v>
      </c>
      <c r="AK41">
        <f>_xlfn.XLOOKUP(Table1820[[#This Row],[Deductible]],Table12[Deductible],Table12[Deductible Factor],,0)</f>
        <v>1</v>
      </c>
      <c r="AL41">
        <f>_xlfn.XLOOKUP(Table1820[[#This Row],[Coverage Limit]],Table13[Coverage Limit],Table13[Coverage Limit Factor],,0)</f>
        <v>0.72</v>
      </c>
      <c r="AM41">
        <f>IF(Table1820[[#This Row],[Good Student Discount]]="Yes",'Rate Book'!$D$126,1)</f>
        <v>0.92</v>
      </c>
      <c r="AN41">
        <f>IF(Table1820[[#This Row],[Good Driver Discount]]="Yes",'Rate Book'!$D$127,1)</f>
        <v>0.89</v>
      </c>
      <c r="AO41">
        <f>IF(Table1820[[#This Row],[Multi Policy Discount]]="Yes",'Rate Book'!$D$128,1)</f>
        <v>1</v>
      </c>
      <c r="AP41">
        <f>IF(Table1820[[#This Row],[Loyal Customer Discount]]="Yes",'Rate Book'!$D$129,1)</f>
        <v>1</v>
      </c>
      <c r="AQ41">
        <f>IF(Table1820[[#This Row],[Organization Discount]]="Yes",'Rate Book'!$D$130,1)</f>
        <v>1</v>
      </c>
      <c r="AR41" cm="1">
        <f t="array" ref="AR41">IF(Table1820[[#This Row],[Effective Date]]&gt;=RateChangeTable[Effective Date],RateChangeTable[Rate Change Factor],1)</f>
        <v>1</v>
      </c>
      <c r="AS41" s="10">
        <f>PRODUCT(Table1820[[#This Row],[Base Rate]:[Rate Change Factor]])</f>
        <v>57.948181454707772</v>
      </c>
      <c r="AT41" s="9">
        <f>Table1820[[#This Row],[System-Generated Premium]]-Table1820[[#This Row],[Expected Premium]]</f>
        <v>0</v>
      </c>
      <c r="AU41" t="str">
        <f>IF(Table1820[[#This Row],[Difference]]=0,"PASS","FAIL")</f>
        <v>PASS</v>
      </c>
      <c r="AV41" s="9">
        <f>ABS(Table1820[[#This Row],[Difference]])</f>
        <v>0</v>
      </c>
      <c r="AW41" s="9" t="s">
        <v>1136</v>
      </c>
    </row>
    <row r="42" spans="1:49" x14ac:dyDescent="0.3">
      <c r="A42" t="s">
        <v>133</v>
      </c>
      <c r="B42" s="7">
        <v>45992</v>
      </c>
      <c r="C42" t="s">
        <v>70</v>
      </c>
      <c r="D42" t="s">
        <v>1098</v>
      </c>
      <c r="E42" s="3">
        <v>7</v>
      </c>
      <c r="F42" s="3">
        <v>1</v>
      </c>
      <c r="G42" t="s">
        <v>10</v>
      </c>
      <c r="H42" t="s">
        <v>1106</v>
      </c>
      <c r="I42" t="s">
        <v>41</v>
      </c>
      <c r="J42" t="s">
        <v>51</v>
      </c>
      <c r="K42" t="s">
        <v>10</v>
      </c>
      <c r="L42" t="s">
        <v>10</v>
      </c>
      <c r="M42" t="s">
        <v>10</v>
      </c>
      <c r="N42" t="s">
        <v>57</v>
      </c>
      <c r="O42" t="str">
        <f>INDEX(CoverageTable[Deductible Applies],MATCH(Table1820[[#This Row],[Coverage]],CoverageTable[Coverage],0))</f>
        <v>No</v>
      </c>
      <c r="P42" t="str">
        <f>INDEX(CoverageTable[Coverage Limit Applies],MATCH(Table1820[[#This Row],[Coverage]],CoverageTable[Coverage],0))</f>
        <v>Yes</v>
      </c>
      <c r="Q42" t="s">
        <v>10</v>
      </c>
      <c r="R42" t="s">
        <v>78</v>
      </c>
      <c r="S42" t="s">
        <v>10</v>
      </c>
      <c r="T42" t="s">
        <v>57</v>
      </c>
      <c r="U42" t="s">
        <v>10</v>
      </c>
      <c r="V42" t="s">
        <v>10</v>
      </c>
      <c r="W42" t="s">
        <v>10</v>
      </c>
      <c r="X42" s="11">
        <v>561.62712649076173</v>
      </c>
      <c r="Y42">
        <f>_xlfn.XLOOKUP(Table1820[[#This Row],[Coverage]],CoverageTable[Coverage],CoverageTable[Base Rate],,0)</f>
        <v>622</v>
      </c>
      <c r="Z42">
        <f>INDEX(Table16[Ageband Factor],MATCH(Table1820[[#This Row],[Ageband]],Table16[Ageband],0))</f>
        <v>1.23</v>
      </c>
      <c r="AA42">
        <f>VLOOKUP(Table1820[[#This Row],[Years Driving]],Table1[],2)</f>
        <v>0.95</v>
      </c>
      <c r="AB42">
        <f>_xlfn.XLOOKUP(Table1820[[#This Row],[At Fault Accidents]],Table2[At Fault Accidents],Table2[At Fault Accident Factor],,0)</f>
        <v>1.34</v>
      </c>
      <c r="AC42">
        <f>_xlfn.XLOOKUP(Table1820[[#This Row],[Usage-Based Insurance]],Table3[Usage-Based Insurance],Table3[Usage-Based Insurance Discount],,0)</f>
        <v>1</v>
      </c>
      <c r="AD42">
        <f>_xlfn.XLOOKUP(Table1820[[#This Row],[Yearly Miles]],Table4[Yearly Miles],Table4[Yearly Miles Factor],,0)</f>
        <v>0.82</v>
      </c>
      <c r="AE42">
        <f>_xlfn.XLOOKUP(Table1820[[#This Row],[City/Zip Code]],Table5[City/Zip Code],Table5[City/Zip Code Factor],,0)</f>
        <v>1.1499999999999999</v>
      </c>
      <c r="AF42">
        <f>_xlfn.XLOOKUP(Table1820[[#This Row],[Vehicle Price]],Table6[Vehicle Price],Table6[Vehicle Price Factor])</f>
        <v>1.28</v>
      </c>
      <c r="AG42">
        <f>_xlfn.XLOOKUP(Table1820[[#This Row],[Exotic Car]],Table7[Exotic Car],Table7[Exotic Car Factor],,0)</f>
        <v>1</v>
      </c>
      <c r="AH42">
        <f>_xlfn.XLOOKUP(Table1820[[#This Row],[Difficult Parts]],Table8[Difficult Parts],Table8[Difficult Parts Factor],,0)</f>
        <v>1</v>
      </c>
      <c r="AI42">
        <f>_xlfn.XLOOKUP(Table1820[[#This Row],[High Theft Rate]],Table9[High Theft Rate],Table9[High Theft Rate Factor],,0)</f>
        <v>1</v>
      </c>
      <c r="AJ42">
        <f>_xlfn.XLOOKUP(Table1820[[#This Row],[Advanced Safety Features]],Table10[Advanced Safety Features],Table10[Advanced Safety Features Factor],,0)</f>
        <v>0.88</v>
      </c>
      <c r="AK42">
        <f>_xlfn.XLOOKUP(Table1820[[#This Row],[Deductible]],Table12[Deductible],Table12[Deductible Factor],,0)</f>
        <v>1</v>
      </c>
      <c r="AL42">
        <f>_xlfn.XLOOKUP(Table1820[[#This Row],[Coverage Limit]],Table13[Coverage Limit],Table13[Coverage Limit Factor],,0)</f>
        <v>0.61</v>
      </c>
      <c r="AM42">
        <f>IF(Table1820[[#This Row],[Good Student Discount]]="Yes",'Rate Book'!$D$126,1)</f>
        <v>1</v>
      </c>
      <c r="AN42">
        <f>IF(Table1820[[#This Row],[Good Driver Discount]]="Yes",'Rate Book'!$D$127,1)</f>
        <v>0.89</v>
      </c>
      <c r="AO42">
        <f>IF(Table1820[[#This Row],[Multi Policy Discount]]="Yes",'Rate Book'!$D$128,1)</f>
        <v>1</v>
      </c>
      <c r="AP42">
        <f>IF(Table1820[[#This Row],[Loyal Customer Discount]]="Yes",'Rate Book'!$D$129,1)</f>
        <v>1</v>
      </c>
      <c r="AQ42">
        <f>IF(Table1820[[#This Row],[Organization Discount]]="Yes",'Rate Book'!$D$130,1)</f>
        <v>1</v>
      </c>
      <c r="AR42" cm="1">
        <f t="array" ref="AR42">IF(Table1820[[#This Row],[Effective Date]]&gt;=RateChangeTable[Effective Date],RateChangeTable[Rate Change Factor],1)</f>
        <v>1</v>
      </c>
      <c r="AS42" s="10">
        <f>PRODUCT(Table1820[[#This Row],[Base Rate]:[Rate Change Factor]])</f>
        <v>561.62712649076173</v>
      </c>
      <c r="AT42" s="9">
        <f>Table1820[[#This Row],[System-Generated Premium]]-Table1820[[#This Row],[Expected Premium]]</f>
        <v>0</v>
      </c>
      <c r="AU42" t="str">
        <f>IF(Table1820[[#This Row],[Difference]]=0,"PASS","FAIL")</f>
        <v>PASS</v>
      </c>
      <c r="AV42" s="9">
        <f>ABS(Table1820[[#This Row],[Difference]])</f>
        <v>0</v>
      </c>
      <c r="AW42" s="9" t="s">
        <v>1136</v>
      </c>
    </row>
    <row r="43" spans="1:49" x14ac:dyDescent="0.3">
      <c r="A43" t="s">
        <v>134</v>
      </c>
      <c r="B43" s="7">
        <v>45994</v>
      </c>
      <c r="C43" t="s">
        <v>72</v>
      </c>
      <c r="D43" t="s">
        <v>1097</v>
      </c>
      <c r="E43" s="3" t="s">
        <v>1103</v>
      </c>
      <c r="F43" s="3">
        <v>4</v>
      </c>
      <c r="G43" t="s">
        <v>13</v>
      </c>
      <c r="H43" t="s">
        <v>1106</v>
      </c>
      <c r="I43" t="s">
        <v>32</v>
      </c>
      <c r="J43" t="s">
        <v>48</v>
      </c>
      <c r="K43" t="s">
        <v>10</v>
      </c>
      <c r="L43" t="s">
        <v>10</v>
      </c>
      <c r="M43" t="s">
        <v>10</v>
      </c>
      <c r="N43" t="s">
        <v>10</v>
      </c>
      <c r="O43" t="str">
        <f>INDEX(CoverageTable[Deductible Applies],MATCH(Table1820[[#This Row],[Coverage]],CoverageTable[Coverage],0))</f>
        <v>Yes</v>
      </c>
      <c r="P43" t="str">
        <f>INDEX(CoverageTable[Coverage Limit Applies],MATCH(Table1820[[#This Row],[Coverage]],CoverageTable[Coverage],0))</f>
        <v>No</v>
      </c>
      <c r="Q43" t="s">
        <v>79</v>
      </c>
      <c r="R43" t="s">
        <v>10</v>
      </c>
      <c r="S43" t="s">
        <v>10</v>
      </c>
      <c r="T43" t="s">
        <v>57</v>
      </c>
      <c r="U43" t="s">
        <v>10</v>
      </c>
      <c r="V43" t="s">
        <v>10</v>
      </c>
      <c r="W43" t="s">
        <v>10</v>
      </c>
      <c r="X43" s="11">
        <v>115.24085925499091</v>
      </c>
      <c r="Y43">
        <f>_xlfn.XLOOKUP(Table1820[[#This Row],[Coverage]],CoverageTable[Coverage],CoverageTable[Base Rate],,0)</f>
        <v>121</v>
      </c>
      <c r="Z43">
        <f>INDEX(Table16[Ageband Factor],MATCH(Table1820[[#This Row],[Ageband]],Table16[Ageband],0))</f>
        <v>1.32</v>
      </c>
      <c r="AA43">
        <f>VLOOKUP(Table1820[[#This Row],[Years Driving]],Table1[],2)</f>
        <v>0.93</v>
      </c>
      <c r="AB43">
        <f>_xlfn.XLOOKUP(Table1820[[#This Row],[At Fault Accidents]],Table2[At Fault Accidents],Table2[At Fault Accident Factor],,0)</f>
        <v>2.12</v>
      </c>
      <c r="AC43">
        <f>_xlfn.XLOOKUP(Table1820[[#This Row],[Usage-Based Insurance]],Table3[Usage-Based Insurance],Table3[Usage-Based Insurance Discount],,0)</f>
        <v>0.65</v>
      </c>
      <c r="AD43">
        <f>_xlfn.XLOOKUP(Table1820[[#This Row],[Yearly Miles]],Table4[Yearly Miles],Table4[Yearly Miles Factor],,0)</f>
        <v>0.82</v>
      </c>
      <c r="AE43">
        <f>_xlfn.XLOOKUP(Table1820[[#This Row],[City/Zip Code]],Table5[City/Zip Code],Table5[City/Zip Code Factor],,0)</f>
        <v>1.1200000000000001</v>
      </c>
      <c r="AF43">
        <f>_xlfn.XLOOKUP(Table1820[[#This Row],[Vehicle Price]],Table6[Vehicle Price],Table6[Vehicle Price Factor])</f>
        <v>0.82</v>
      </c>
      <c r="AG43">
        <f>_xlfn.XLOOKUP(Table1820[[#This Row],[Exotic Car]],Table7[Exotic Car],Table7[Exotic Car Factor],,0)</f>
        <v>1</v>
      </c>
      <c r="AH43">
        <f>_xlfn.XLOOKUP(Table1820[[#This Row],[Difficult Parts]],Table8[Difficult Parts],Table8[Difficult Parts Factor],,0)</f>
        <v>1</v>
      </c>
      <c r="AI43">
        <f>_xlfn.XLOOKUP(Table1820[[#This Row],[High Theft Rate]],Table9[High Theft Rate],Table9[High Theft Rate Factor],,0)</f>
        <v>1</v>
      </c>
      <c r="AJ43">
        <f>_xlfn.XLOOKUP(Table1820[[#This Row],[Advanced Safety Features]],Table10[Advanced Safety Features],Table10[Advanced Safety Features Factor],,0)</f>
        <v>1</v>
      </c>
      <c r="AK43">
        <f>_xlfn.XLOOKUP(Table1820[[#This Row],[Deductible]],Table12[Deductible],Table12[Deductible Factor],,0)</f>
        <v>0.84</v>
      </c>
      <c r="AL43">
        <f>_xlfn.XLOOKUP(Table1820[[#This Row],[Coverage Limit]],Table13[Coverage Limit],Table13[Coverage Limit Factor],,0)</f>
        <v>1</v>
      </c>
      <c r="AM43">
        <f>IF(Table1820[[#This Row],[Good Student Discount]]="Yes",'Rate Book'!$D$126,1)</f>
        <v>1</v>
      </c>
      <c r="AN43">
        <f>IF(Table1820[[#This Row],[Good Driver Discount]]="Yes",'Rate Book'!$D$127,1)</f>
        <v>0.89</v>
      </c>
      <c r="AO43">
        <f>IF(Table1820[[#This Row],[Multi Policy Discount]]="Yes",'Rate Book'!$D$128,1)</f>
        <v>1</v>
      </c>
      <c r="AP43">
        <f>IF(Table1820[[#This Row],[Loyal Customer Discount]]="Yes",'Rate Book'!$D$129,1)</f>
        <v>1</v>
      </c>
      <c r="AQ43">
        <f>IF(Table1820[[#This Row],[Organization Discount]]="Yes",'Rate Book'!$D$130,1)</f>
        <v>1</v>
      </c>
      <c r="AR43" cm="1">
        <f t="array" ref="AR43">IF(Table1820[[#This Row],[Effective Date]]&gt;=RateChangeTable[Effective Date],RateChangeTable[Rate Change Factor],1)</f>
        <v>1</v>
      </c>
      <c r="AS43" s="10">
        <f>PRODUCT(Table1820[[#This Row],[Base Rate]:[Rate Change Factor]])</f>
        <v>115.24085925499091</v>
      </c>
      <c r="AT43" s="9">
        <f>Table1820[[#This Row],[System-Generated Premium]]-Table1820[[#This Row],[Expected Premium]]</f>
        <v>0</v>
      </c>
      <c r="AU43" t="str">
        <f>IF(Table1820[[#This Row],[Difference]]=0,"PASS","FAIL")</f>
        <v>PASS</v>
      </c>
      <c r="AV43" s="9">
        <f>ABS(Table1820[[#This Row],[Difference]])</f>
        <v>0</v>
      </c>
      <c r="AW43" s="9" t="s">
        <v>1136</v>
      </c>
    </row>
    <row r="44" spans="1:49" x14ac:dyDescent="0.3">
      <c r="A44" t="s">
        <v>135</v>
      </c>
      <c r="B44" s="7">
        <v>45806</v>
      </c>
      <c r="C44" t="s">
        <v>71</v>
      </c>
      <c r="D44" t="s">
        <v>1101</v>
      </c>
      <c r="E44" s="3">
        <v>3</v>
      </c>
      <c r="F44" s="3">
        <v>4</v>
      </c>
      <c r="G44" t="s">
        <v>11</v>
      </c>
      <c r="H44" t="s">
        <v>1110</v>
      </c>
      <c r="I44" t="s">
        <v>32</v>
      </c>
      <c r="J44" t="s">
        <v>48</v>
      </c>
      <c r="K44" t="s">
        <v>10</v>
      </c>
      <c r="L44" t="s">
        <v>57</v>
      </c>
      <c r="M44" t="s">
        <v>10</v>
      </c>
      <c r="N44" t="s">
        <v>57</v>
      </c>
      <c r="O44" t="str">
        <f>INDEX(CoverageTable[Deductible Applies],MATCH(Table1820[[#This Row],[Coverage]],CoverageTable[Coverage],0))</f>
        <v>Yes</v>
      </c>
      <c r="P44" t="str">
        <f>INDEX(CoverageTable[Coverage Limit Applies],MATCH(Table1820[[#This Row],[Coverage]],CoverageTable[Coverage],0))</f>
        <v>No</v>
      </c>
      <c r="Q44" t="s">
        <v>79</v>
      </c>
      <c r="R44" t="s">
        <v>10</v>
      </c>
      <c r="S44" t="s">
        <v>10</v>
      </c>
      <c r="T44" t="s">
        <v>57</v>
      </c>
      <c r="U44" t="s">
        <v>57</v>
      </c>
      <c r="V44" t="s">
        <v>10</v>
      </c>
      <c r="W44" t="s">
        <v>10</v>
      </c>
      <c r="X44" s="11">
        <v>1110.3476455838561</v>
      </c>
      <c r="Y44">
        <f>_xlfn.XLOOKUP(Table1820[[#This Row],[Coverage]],CoverageTable[Coverage],CoverageTable[Base Rate],,0)</f>
        <v>453</v>
      </c>
      <c r="Z44">
        <f>INDEX(Table16[Ageband Factor],MATCH(Table1820[[#This Row],[Ageband]],Table16[Ageband],0))</f>
        <v>1.1200000000000001</v>
      </c>
      <c r="AA44">
        <f>VLOOKUP(Table1820[[#This Row],[Years Driving]],Table1[],2)</f>
        <v>1.22</v>
      </c>
      <c r="AB44">
        <f>_xlfn.XLOOKUP(Table1820[[#This Row],[At Fault Accidents]],Table2[At Fault Accidents],Table2[At Fault Accident Factor],,0)</f>
        <v>2.12</v>
      </c>
      <c r="AC44">
        <f>_xlfn.XLOOKUP(Table1820[[#This Row],[Usage-Based Insurance]],Table3[Usage-Based Insurance],Table3[Usage-Based Insurance Discount],,0)</f>
        <v>0.95</v>
      </c>
      <c r="AD44">
        <f>_xlfn.XLOOKUP(Table1820[[#This Row],[Yearly Miles]],Table4[Yearly Miles],Table4[Yearly Miles Factor],,0)</f>
        <v>1.31</v>
      </c>
      <c r="AE44">
        <f>_xlfn.XLOOKUP(Table1820[[#This Row],[City/Zip Code]],Table5[City/Zip Code],Table5[City/Zip Code Factor],,0)</f>
        <v>1.1200000000000001</v>
      </c>
      <c r="AF44">
        <f>_xlfn.XLOOKUP(Table1820[[#This Row],[Vehicle Price]],Table6[Vehicle Price],Table6[Vehicle Price Factor])</f>
        <v>0.82</v>
      </c>
      <c r="AG44">
        <f>_xlfn.XLOOKUP(Table1820[[#This Row],[Exotic Car]],Table7[Exotic Car],Table7[Exotic Car Factor],,0)</f>
        <v>1</v>
      </c>
      <c r="AH44">
        <f>_xlfn.XLOOKUP(Table1820[[#This Row],[Difficult Parts]],Table8[Difficult Parts],Table8[Difficult Parts Factor],,0)</f>
        <v>1.21</v>
      </c>
      <c r="AI44">
        <f>_xlfn.XLOOKUP(Table1820[[#This Row],[High Theft Rate]],Table9[High Theft Rate],Table9[High Theft Rate Factor],,0)</f>
        <v>1</v>
      </c>
      <c r="AJ44">
        <f>_xlfn.XLOOKUP(Table1820[[#This Row],[Advanced Safety Features]],Table10[Advanced Safety Features],Table10[Advanced Safety Features Factor],,0)</f>
        <v>0.88</v>
      </c>
      <c r="AK44">
        <f>_xlfn.XLOOKUP(Table1820[[#This Row],[Deductible]],Table12[Deductible],Table12[Deductible Factor],,0)</f>
        <v>0.84</v>
      </c>
      <c r="AL44">
        <f>_xlfn.XLOOKUP(Table1820[[#This Row],[Coverage Limit]],Table13[Coverage Limit],Table13[Coverage Limit Factor],,0)</f>
        <v>1</v>
      </c>
      <c r="AM44">
        <f>IF(Table1820[[#This Row],[Good Student Discount]]="Yes",'Rate Book'!$D$126,1)</f>
        <v>1</v>
      </c>
      <c r="AN44">
        <f>IF(Table1820[[#This Row],[Good Driver Discount]]="Yes",'Rate Book'!$D$127,1)</f>
        <v>0.89</v>
      </c>
      <c r="AO44">
        <f>IF(Table1820[[#This Row],[Multi Policy Discount]]="Yes",'Rate Book'!$D$128,1)</f>
        <v>0.93</v>
      </c>
      <c r="AP44">
        <f>IF(Table1820[[#This Row],[Loyal Customer Discount]]="Yes",'Rate Book'!$D$129,1)</f>
        <v>1</v>
      </c>
      <c r="AQ44">
        <f>IF(Table1820[[#This Row],[Organization Discount]]="Yes",'Rate Book'!$D$130,1)</f>
        <v>1</v>
      </c>
      <c r="AR44" cm="1">
        <f t="array" ref="AR44">IF(Table1820[[#This Row],[Effective Date]]&gt;=RateChangeTable[Effective Date],RateChangeTable[Rate Change Factor],1)</f>
        <v>1</v>
      </c>
      <c r="AS44" s="10">
        <f>PRODUCT(Table1820[[#This Row],[Base Rate]:[Rate Change Factor]])</f>
        <v>1110.3476455838561</v>
      </c>
      <c r="AT44" s="9">
        <f>Table1820[[#This Row],[System-Generated Premium]]-Table1820[[#This Row],[Expected Premium]]</f>
        <v>0</v>
      </c>
      <c r="AU44" t="str">
        <f>IF(Table1820[[#This Row],[Difference]]=0,"PASS","FAIL")</f>
        <v>PASS</v>
      </c>
      <c r="AV44" s="9">
        <f>ABS(Table1820[[#This Row],[Difference]])</f>
        <v>0</v>
      </c>
      <c r="AW44" s="9" t="s">
        <v>1136</v>
      </c>
    </row>
    <row r="45" spans="1:49" x14ac:dyDescent="0.3">
      <c r="A45" t="s">
        <v>136</v>
      </c>
      <c r="B45" s="7">
        <v>45781</v>
      </c>
      <c r="C45" t="s">
        <v>73</v>
      </c>
      <c r="D45" t="s">
        <v>1098</v>
      </c>
      <c r="E45" s="3" t="s">
        <v>1103</v>
      </c>
      <c r="F45" s="3">
        <v>0</v>
      </c>
      <c r="G45" t="s">
        <v>10</v>
      </c>
      <c r="H45" t="s">
        <v>1109</v>
      </c>
      <c r="I45" t="s">
        <v>29</v>
      </c>
      <c r="J45" t="s">
        <v>52</v>
      </c>
      <c r="K45" t="s">
        <v>10</v>
      </c>
      <c r="L45" t="s">
        <v>10</v>
      </c>
      <c r="M45" t="s">
        <v>10</v>
      </c>
      <c r="N45" t="s">
        <v>10</v>
      </c>
      <c r="O45" t="str">
        <f>INDEX(CoverageTable[Deductible Applies],MATCH(Table1820[[#This Row],[Coverage]],CoverageTable[Coverage],0))</f>
        <v>No</v>
      </c>
      <c r="P45" t="str">
        <f>INDEX(CoverageTable[Coverage Limit Applies],MATCH(Table1820[[#This Row],[Coverage]],CoverageTable[Coverage],0))</f>
        <v>Yes</v>
      </c>
      <c r="Q45" t="s">
        <v>10</v>
      </c>
      <c r="R45" t="s">
        <v>80</v>
      </c>
      <c r="S45" t="s">
        <v>10</v>
      </c>
      <c r="T45" t="s">
        <v>10</v>
      </c>
      <c r="U45" t="s">
        <v>10</v>
      </c>
      <c r="V45" t="s">
        <v>10</v>
      </c>
      <c r="W45" t="s">
        <v>10</v>
      </c>
      <c r="X45" s="11">
        <v>151.34570697355198</v>
      </c>
      <c r="Y45">
        <f>_xlfn.XLOOKUP(Table1820[[#This Row],[Coverage]],CoverageTable[Coverage],CoverageTable[Base Rate],,0)</f>
        <v>78</v>
      </c>
      <c r="Z45">
        <f>INDEX(Table16[Ageband Factor],MATCH(Table1820[[#This Row],[Ageband]],Table16[Ageband],0))</f>
        <v>1.23</v>
      </c>
      <c r="AA45">
        <f>VLOOKUP(Table1820[[#This Row],[Years Driving]],Table1[],2)</f>
        <v>0.93</v>
      </c>
      <c r="AB45">
        <f>_xlfn.XLOOKUP(Table1820[[#This Row],[At Fault Accidents]],Table2[At Fault Accidents],Table2[At Fault Accident Factor],,0)</f>
        <v>1</v>
      </c>
      <c r="AC45">
        <f>_xlfn.XLOOKUP(Table1820[[#This Row],[Usage-Based Insurance]],Table3[Usage-Based Insurance],Table3[Usage-Based Insurance Discount],,0)</f>
        <v>1</v>
      </c>
      <c r="AD45">
        <f>_xlfn.XLOOKUP(Table1820[[#This Row],[Yearly Miles]],Table4[Yearly Miles],Table4[Yearly Miles Factor],,0)</f>
        <v>1.18</v>
      </c>
      <c r="AE45">
        <f>_xlfn.XLOOKUP(Table1820[[#This Row],[City/Zip Code]],Table5[City/Zip Code],Table5[City/Zip Code Factor],,0)</f>
        <v>1.0900000000000001</v>
      </c>
      <c r="AF45">
        <f>_xlfn.XLOOKUP(Table1820[[#This Row],[Vehicle Price]],Table6[Vehicle Price],Table6[Vehicle Price Factor])</f>
        <v>1.57</v>
      </c>
      <c r="AG45">
        <f>_xlfn.XLOOKUP(Table1820[[#This Row],[Exotic Car]],Table7[Exotic Car],Table7[Exotic Car Factor],,0)</f>
        <v>1</v>
      </c>
      <c r="AH45">
        <f>_xlfn.XLOOKUP(Table1820[[#This Row],[Difficult Parts]],Table8[Difficult Parts],Table8[Difficult Parts Factor],,0)</f>
        <v>1</v>
      </c>
      <c r="AI45">
        <f>_xlfn.XLOOKUP(Table1820[[#This Row],[High Theft Rate]],Table9[High Theft Rate],Table9[High Theft Rate Factor],,0)</f>
        <v>1</v>
      </c>
      <c r="AJ45">
        <f>_xlfn.XLOOKUP(Table1820[[#This Row],[Advanced Safety Features]],Table10[Advanced Safety Features],Table10[Advanced Safety Features Factor],,0)</f>
        <v>1</v>
      </c>
      <c r="AK45">
        <f>_xlfn.XLOOKUP(Table1820[[#This Row],[Deductible]],Table12[Deductible],Table12[Deductible Factor],,0)</f>
        <v>1</v>
      </c>
      <c r="AL45">
        <f>_xlfn.XLOOKUP(Table1820[[#This Row],[Coverage Limit]],Table13[Coverage Limit],Table13[Coverage Limit Factor],,0)</f>
        <v>0.84</v>
      </c>
      <c r="AM45">
        <f>IF(Table1820[[#This Row],[Good Student Discount]]="Yes",'Rate Book'!$D$126,1)</f>
        <v>1</v>
      </c>
      <c r="AN45">
        <f>IF(Table1820[[#This Row],[Good Driver Discount]]="Yes",'Rate Book'!$D$127,1)</f>
        <v>1</v>
      </c>
      <c r="AO45">
        <f>IF(Table1820[[#This Row],[Multi Policy Discount]]="Yes",'Rate Book'!$D$128,1)</f>
        <v>1</v>
      </c>
      <c r="AP45">
        <f>IF(Table1820[[#This Row],[Loyal Customer Discount]]="Yes",'Rate Book'!$D$129,1)</f>
        <v>1</v>
      </c>
      <c r="AQ45">
        <f>IF(Table1820[[#This Row],[Organization Discount]]="Yes",'Rate Book'!$D$130,1)</f>
        <v>1</v>
      </c>
      <c r="AR45" cm="1">
        <f t="array" ref="AR45">IF(Table1820[[#This Row],[Effective Date]]&gt;=RateChangeTable[Effective Date],RateChangeTable[Rate Change Factor],1)</f>
        <v>1</v>
      </c>
      <c r="AS45" s="10">
        <f>PRODUCT(Table1820[[#This Row],[Base Rate]:[Rate Change Factor]])</f>
        <v>151.34570697355198</v>
      </c>
      <c r="AT45" s="9">
        <f>Table1820[[#This Row],[System-Generated Premium]]-Table1820[[#This Row],[Expected Premium]]</f>
        <v>0</v>
      </c>
      <c r="AU45" t="str">
        <f>IF(Table1820[[#This Row],[Difference]]=0,"PASS","FAIL")</f>
        <v>PASS</v>
      </c>
      <c r="AV45" s="9">
        <f>ABS(Table1820[[#This Row],[Difference]])</f>
        <v>0</v>
      </c>
      <c r="AW45" s="9" t="s">
        <v>1136</v>
      </c>
    </row>
    <row r="46" spans="1:49" x14ac:dyDescent="0.3">
      <c r="A46" t="s">
        <v>137</v>
      </c>
      <c r="B46" s="7">
        <v>45987</v>
      </c>
      <c r="C46" t="s">
        <v>70</v>
      </c>
      <c r="D46" t="s">
        <v>1099</v>
      </c>
      <c r="E46" s="3">
        <v>3</v>
      </c>
      <c r="F46" s="3">
        <v>1</v>
      </c>
      <c r="G46" t="s">
        <v>11</v>
      </c>
      <c r="H46" t="s">
        <v>1106</v>
      </c>
      <c r="I46" t="s">
        <v>27</v>
      </c>
      <c r="J46" t="s">
        <v>54</v>
      </c>
      <c r="K46" t="s">
        <v>10</v>
      </c>
      <c r="L46" t="s">
        <v>10</v>
      </c>
      <c r="M46" t="s">
        <v>57</v>
      </c>
      <c r="N46" t="s">
        <v>10</v>
      </c>
      <c r="O46" t="str">
        <f>INDEX(CoverageTable[Deductible Applies],MATCH(Table1820[[#This Row],[Coverage]],CoverageTable[Coverage],0))</f>
        <v>No</v>
      </c>
      <c r="P46" t="str">
        <f>INDEX(CoverageTable[Coverage Limit Applies],MATCH(Table1820[[#This Row],[Coverage]],CoverageTable[Coverage],0))</f>
        <v>Yes</v>
      </c>
      <c r="Q46" t="s">
        <v>10</v>
      </c>
      <c r="R46" t="s">
        <v>80</v>
      </c>
      <c r="S46" t="s">
        <v>10</v>
      </c>
      <c r="T46" t="s">
        <v>10</v>
      </c>
      <c r="U46" t="s">
        <v>10</v>
      </c>
      <c r="V46" t="s">
        <v>10</v>
      </c>
      <c r="W46" t="s">
        <v>10</v>
      </c>
      <c r="X46" s="11">
        <v>2082.2817702701573</v>
      </c>
      <c r="Y46">
        <f>_xlfn.XLOOKUP(Table1820[[#This Row],[Coverage]],CoverageTable[Coverage],CoverageTable[Base Rate],,0)</f>
        <v>622</v>
      </c>
      <c r="Z46">
        <f>INDEX(Table16[Ageband Factor],MATCH(Table1820[[#This Row],[Ageband]],Table16[Ageband],0))</f>
        <v>1</v>
      </c>
      <c r="AA46">
        <f>VLOOKUP(Table1820[[#This Row],[Years Driving]],Table1[],2)</f>
        <v>1.22</v>
      </c>
      <c r="AB46">
        <f>_xlfn.XLOOKUP(Table1820[[#This Row],[At Fault Accidents]],Table2[At Fault Accidents],Table2[At Fault Accident Factor],,0)</f>
        <v>1.34</v>
      </c>
      <c r="AC46">
        <f>_xlfn.XLOOKUP(Table1820[[#This Row],[Usage-Based Insurance]],Table3[Usage-Based Insurance],Table3[Usage-Based Insurance Discount],,0)</f>
        <v>0.95</v>
      </c>
      <c r="AD46">
        <f>_xlfn.XLOOKUP(Table1820[[#This Row],[Yearly Miles]],Table4[Yearly Miles],Table4[Yearly Miles Factor],,0)</f>
        <v>0.82</v>
      </c>
      <c r="AE46">
        <f>_xlfn.XLOOKUP(Table1820[[#This Row],[City/Zip Code]],Table5[City/Zip Code],Table5[City/Zip Code Factor],,0)</f>
        <v>0.94</v>
      </c>
      <c r="AF46">
        <f>_xlfn.XLOOKUP(Table1820[[#This Row],[Vehicle Price]],Table6[Vehicle Price],Table6[Vehicle Price Factor])</f>
        <v>2.87</v>
      </c>
      <c r="AG46">
        <f>_xlfn.XLOOKUP(Table1820[[#This Row],[Exotic Car]],Table7[Exotic Car],Table7[Exotic Car Factor],,0)</f>
        <v>1</v>
      </c>
      <c r="AH46">
        <f>_xlfn.XLOOKUP(Table1820[[#This Row],[Difficult Parts]],Table8[Difficult Parts],Table8[Difficult Parts Factor],,0)</f>
        <v>1</v>
      </c>
      <c r="AI46">
        <f>_xlfn.XLOOKUP(Table1820[[#This Row],[High Theft Rate]],Table9[High Theft Rate],Table9[High Theft Rate Factor],,0)</f>
        <v>1.1599999999999999</v>
      </c>
      <c r="AJ46">
        <f>_xlfn.XLOOKUP(Table1820[[#This Row],[Advanced Safety Features]],Table10[Advanced Safety Features],Table10[Advanced Safety Features Factor],,0)</f>
        <v>1</v>
      </c>
      <c r="AK46">
        <f>_xlfn.XLOOKUP(Table1820[[#This Row],[Deductible]],Table12[Deductible],Table12[Deductible Factor],,0)</f>
        <v>1</v>
      </c>
      <c r="AL46">
        <f>_xlfn.XLOOKUP(Table1820[[#This Row],[Coverage Limit]],Table13[Coverage Limit],Table13[Coverage Limit Factor],,0)</f>
        <v>0.84</v>
      </c>
      <c r="AM46">
        <f>IF(Table1820[[#This Row],[Good Student Discount]]="Yes",'Rate Book'!$D$126,1)</f>
        <v>1</v>
      </c>
      <c r="AN46">
        <f>IF(Table1820[[#This Row],[Good Driver Discount]]="Yes",'Rate Book'!$D$127,1)</f>
        <v>1</v>
      </c>
      <c r="AO46">
        <f>IF(Table1820[[#This Row],[Multi Policy Discount]]="Yes",'Rate Book'!$D$128,1)</f>
        <v>1</v>
      </c>
      <c r="AP46">
        <f>IF(Table1820[[#This Row],[Loyal Customer Discount]]="Yes",'Rate Book'!$D$129,1)</f>
        <v>1</v>
      </c>
      <c r="AQ46">
        <f>IF(Table1820[[#This Row],[Organization Discount]]="Yes",'Rate Book'!$D$130,1)</f>
        <v>1</v>
      </c>
      <c r="AR46" cm="1">
        <f t="array" ref="AR46">IF(Table1820[[#This Row],[Effective Date]]&gt;=RateChangeTable[Effective Date],RateChangeTable[Rate Change Factor],1)</f>
        <v>1</v>
      </c>
      <c r="AS46" s="10">
        <f>PRODUCT(Table1820[[#This Row],[Base Rate]:[Rate Change Factor]])</f>
        <v>2082.2817702701573</v>
      </c>
      <c r="AT46" s="9">
        <f>Table1820[[#This Row],[System-Generated Premium]]-Table1820[[#This Row],[Expected Premium]]</f>
        <v>0</v>
      </c>
      <c r="AU46" t="str">
        <f>IF(Table1820[[#This Row],[Difference]]=0,"PASS","FAIL")</f>
        <v>PASS</v>
      </c>
      <c r="AV46" s="9">
        <f>ABS(Table1820[[#This Row],[Difference]])</f>
        <v>0</v>
      </c>
      <c r="AW46" s="9" t="s">
        <v>1136</v>
      </c>
    </row>
    <row r="47" spans="1:49" x14ac:dyDescent="0.3">
      <c r="A47" t="s">
        <v>138</v>
      </c>
      <c r="B47" s="7">
        <v>45867</v>
      </c>
      <c r="C47" t="s">
        <v>74</v>
      </c>
      <c r="D47" t="s">
        <v>1101</v>
      </c>
      <c r="E47" s="3" t="s">
        <v>1103</v>
      </c>
      <c r="F47" s="3">
        <v>1</v>
      </c>
      <c r="G47" t="s">
        <v>13</v>
      </c>
      <c r="H47" t="s">
        <v>1109</v>
      </c>
      <c r="I47" t="s">
        <v>32</v>
      </c>
      <c r="J47" t="s">
        <v>50</v>
      </c>
      <c r="K47" t="s">
        <v>10</v>
      </c>
      <c r="L47" t="s">
        <v>10</v>
      </c>
      <c r="M47" t="s">
        <v>10</v>
      </c>
      <c r="N47" t="s">
        <v>10</v>
      </c>
      <c r="O47" t="str">
        <f>INDEX(CoverageTable[Deductible Applies],MATCH(Table1820[[#This Row],[Coverage]],CoverageTable[Coverage],0))</f>
        <v>No</v>
      </c>
      <c r="P47" t="str">
        <f>INDEX(CoverageTable[Coverage Limit Applies],MATCH(Table1820[[#This Row],[Coverage]],CoverageTable[Coverage],0))</f>
        <v>Yes</v>
      </c>
      <c r="Q47" t="s">
        <v>10</v>
      </c>
      <c r="R47" t="s">
        <v>78</v>
      </c>
      <c r="S47" t="s">
        <v>10</v>
      </c>
      <c r="T47" t="s">
        <v>57</v>
      </c>
      <c r="U47" t="s">
        <v>57</v>
      </c>
      <c r="V47" t="s">
        <v>10</v>
      </c>
      <c r="W47" t="s">
        <v>10</v>
      </c>
      <c r="X47" s="11">
        <v>26.805848493068265</v>
      </c>
      <c r="Y47">
        <f>_xlfn.XLOOKUP(Table1820[[#This Row],[Coverage]],CoverageTable[Coverage],CoverageTable[Base Rate],,0)</f>
        <v>41</v>
      </c>
      <c r="Z47">
        <f>INDEX(Table16[Ageband Factor],MATCH(Table1820[[#This Row],[Ageband]],Table16[Ageband],0))</f>
        <v>1.1200000000000001</v>
      </c>
      <c r="AA47">
        <f>VLOOKUP(Table1820[[#This Row],[Years Driving]],Table1[],2)</f>
        <v>0.93</v>
      </c>
      <c r="AB47">
        <f>_xlfn.XLOOKUP(Table1820[[#This Row],[At Fault Accidents]],Table2[At Fault Accidents],Table2[At Fault Accident Factor],,0)</f>
        <v>1.34</v>
      </c>
      <c r="AC47">
        <f>_xlfn.XLOOKUP(Table1820[[#This Row],[Usage-Based Insurance]],Table3[Usage-Based Insurance],Table3[Usage-Based Insurance Discount],,0)</f>
        <v>0.65</v>
      </c>
      <c r="AD47">
        <f>_xlfn.XLOOKUP(Table1820[[#This Row],[Yearly Miles]],Table4[Yearly Miles],Table4[Yearly Miles Factor],,0)</f>
        <v>1.18</v>
      </c>
      <c r="AE47">
        <f>_xlfn.XLOOKUP(Table1820[[#This Row],[City/Zip Code]],Table5[City/Zip Code],Table5[City/Zip Code Factor],,0)</f>
        <v>1.1200000000000001</v>
      </c>
      <c r="AF47">
        <f>_xlfn.XLOOKUP(Table1820[[#This Row],[Vehicle Price]],Table6[Vehicle Price],Table6[Vehicle Price Factor])</f>
        <v>1.08</v>
      </c>
      <c r="AG47">
        <f>_xlfn.XLOOKUP(Table1820[[#This Row],[Exotic Car]],Table7[Exotic Car],Table7[Exotic Car Factor],,0)</f>
        <v>1</v>
      </c>
      <c r="AH47">
        <f>_xlfn.XLOOKUP(Table1820[[#This Row],[Difficult Parts]],Table8[Difficult Parts],Table8[Difficult Parts Factor],,0)</f>
        <v>1</v>
      </c>
      <c r="AI47">
        <f>_xlfn.XLOOKUP(Table1820[[#This Row],[High Theft Rate]],Table9[High Theft Rate],Table9[High Theft Rate Factor],,0)</f>
        <v>1</v>
      </c>
      <c r="AJ47">
        <f>_xlfn.XLOOKUP(Table1820[[#This Row],[Advanced Safety Features]],Table10[Advanced Safety Features],Table10[Advanced Safety Features Factor],,0)</f>
        <v>1</v>
      </c>
      <c r="AK47">
        <f>_xlfn.XLOOKUP(Table1820[[#This Row],[Deductible]],Table12[Deductible],Table12[Deductible Factor],,0)</f>
        <v>1</v>
      </c>
      <c r="AL47">
        <f>_xlfn.XLOOKUP(Table1820[[#This Row],[Coverage Limit]],Table13[Coverage Limit],Table13[Coverage Limit Factor],,0)</f>
        <v>0.61</v>
      </c>
      <c r="AM47">
        <f>IF(Table1820[[#This Row],[Good Student Discount]]="Yes",'Rate Book'!$D$126,1)</f>
        <v>1</v>
      </c>
      <c r="AN47">
        <f>IF(Table1820[[#This Row],[Good Driver Discount]]="Yes",'Rate Book'!$D$127,1)</f>
        <v>0.89</v>
      </c>
      <c r="AO47">
        <f>IF(Table1820[[#This Row],[Multi Policy Discount]]="Yes",'Rate Book'!$D$128,1)</f>
        <v>0.93</v>
      </c>
      <c r="AP47">
        <f>IF(Table1820[[#This Row],[Loyal Customer Discount]]="Yes",'Rate Book'!$D$129,1)</f>
        <v>1</v>
      </c>
      <c r="AQ47">
        <f>IF(Table1820[[#This Row],[Organization Discount]]="Yes",'Rate Book'!$D$130,1)</f>
        <v>1</v>
      </c>
      <c r="AR47" cm="1">
        <f t="array" ref="AR47">IF(Table1820[[#This Row],[Effective Date]]&gt;=RateChangeTable[Effective Date],RateChangeTable[Rate Change Factor],1)</f>
        <v>1</v>
      </c>
      <c r="AS47" s="10">
        <f>PRODUCT(Table1820[[#This Row],[Base Rate]:[Rate Change Factor]])</f>
        <v>26.805848493068265</v>
      </c>
      <c r="AT47" s="9">
        <f>Table1820[[#This Row],[System-Generated Premium]]-Table1820[[#This Row],[Expected Premium]]</f>
        <v>0</v>
      </c>
      <c r="AU47" t="str">
        <f>IF(Table1820[[#This Row],[Difference]]=0,"PASS","FAIL")</f>
        <v>PASS</v>
      </c>
      <c r="AV47" s="9">
        <f>ABS(Table1820[[#This Row],[Difference]])</f>
        <v>0</v>
      </c>
      <c r="AW47" s="9" t="s">
        <v>1136</v>
      </c>
    </row>
    <row r="48" spans="1:49" x14ac:dyDescent="0.3">
      <c r="A48" t="s">
        <v>139</v>
      </c>
      <c r="B48" s="7">
        <v>45884</v>
      </c>
      <c r="C48" t="s">
        <v>70</v>
      </c>
      <c r="D48" t="s">
        <v>1101</v>
      </c>
      <c r="E48" s="3">
        <v>4</v>
      </c>
      <c r="F48" s="3">
        <v>3</v>
      </c>
      <c r="G48" t="s">
        <v>10</v>
      </c>
      <c r="H48" t="s">
        <v>1110</v>
      </c>
      <c r="I48" t="s">
        <v>40</v>
      </c>
      <c r="J48" t="s">
        <v>54</v>
      </c>
      <c r="K48" t="s">
        <v>10</v>
      </c>
      <c r="L48" t="s">
        <v>57</v>
      </c>
      <c r="M48" t="s">
        <v>10</v>
      </c>
      <c r="N48" t="s">
        <v>57</v>
      </c>
      <c r="O48" t="str">
        <f>INDEX(CoverageTable[Deductible Applies],MATCH(Table1820[[#This Row],[Coverage]],CoverageTable[Coverage],0))</f>
        <v>No</v>
      </c>
      <c r="P48" t="str">
        <f>INDEX(CoverageTable[Coverage Limit Applies],MATCH(Table1820[[#This Row],[Coverage]],CoverageTable[Coverage],0))</f>
        <v>Yes</v>
      </c>
      <c r="Q48" t="s">
        <v>10</v>
      </c>
      <c r="R48" t="s">
        <v>78</v>
      </c>
      <c r="S48" t="s">
        <v>57</v>
      </c>
      <c r="T48" t="s">
        <v>10</v>
      </c>
      <c r="U48" t="s">
        <v>57</v>
      </c>
      <c r="V48" t="s">
        <v>10</v>
      </c>
      <c r="W48" t="s">
        <v>10</v>
      </c>
      <c r="X48" s="11">
        <v>3320.6719939522754</v>
      </c>
      <c r="Y48">
        <f>_xlfn.XLOOKUP(Table1820[[#This Row],[Coverage]],CoverageTable[Coverage],CoverageTable[Base Rate],,0)</f>
        <v>622</v>
      </c>
      <c r="Z48">
        <f>INDEX(Table16[Ageband Factor],MATCH(Table1820[[#This Row],[Ageband]],Table16[Ageband],0))</f>
        <v>1.1200000000000001</v>
      </c>
      <c r="AA48">
        <f>VLOOKUP(Table1820[[#This Row],[Years Driving]],Table1[],2)</f>
        <v>1.1499999999999999</v>
      </c>
      <c r="AB48">
        <f>_xlfn.XLOOKUP(Table1820[[#This Row],[At Fault Accidents]],Table2[At Fault Accidents],Table2[At Fault Accident Factor],,0)</f>
        <v>1.82</v>
      </c>
      <c r="AC48">
        <f>_xlfn.XLOOKUP(Table1820[[#This Row],[Usage-Based Insurance]],Table3[Usage-Based Insurance],Table3[Usage-Based Insurance Discount],,0)</f>
        <v>1</v>
      </c>
      <c r="AD48">
        <f>_xlfn.XLOOKUP(Table1820[[#This Row],[Yearly Miles]],Table4[Yearly Miles],Table4[Yearly Miles Factor],,0)</f>
        <v>1.31</v>
      </c>
      <c r="AE48">
        <f>_xlfn.XLOOKUP(Table1820[[#This Row],[City/Zip Code]],Table5[City/Zip Code],Table5[City/Zip Code Factor],,0)</f>
        <v>1.0900000000000001</v>
      </c>
      <c r="AF48">
        <f>_xlfn.XLOOKUP(Table1820[[#This Row],[Vehicle Price]],Table6[Vehicle Price],Table6[Vehicle Price Factor])</f>
        <v>2.87</v>
      </c>
      <c r="AG48">
        <f>_xlfn.XLOOKUP(Table1820[[#This Row],[Exotic Car]],Table7[Exotic Car],Table7[Exotic Car Factor],,0)</f>
        <v>1</v>
      </c>
      <c r="AH48">
        <f>_xlfn.XLOOKUP(Table1820[[#This Row],[Difficult Parts]],Table8[Difficult Parts],Table8[Difficult Parts Factor],,0)</f>
        <v>1.21</v>
      </c>
      <c r="AI48">
        <f>_xlfn.XLOOKUP(Table1820[[#This Row],[High Theft Rate]],Table9[High Theft Rate],Table9[High Theft Rate Factor],,0)</f>
        <v>1</v>
      </c>
      <c r="AJ48">
        <f>_xlfn.XLOOKUP(Table1820[[#This Row],[Advanced Safety Features]],Table10[Advanced Safety Features],Table10[Advanced Safety Features Factor],,0)</f>
        <v>0.88</v>
      </c>
      <c r="AK48">
        <f>_xlfn.XLOOKUP(Table1820[[#This Row],[Deductible]],Table12[Deductible],Table12[Deductible Factor],,0)</f>
        <v>1</v>
      </c>
      <c r="AL48">
        <f>_xlfn.XLOOKUP(Table1820[[#This Row],[Coverage Limit]],Table13[Coverage Limit],Table13[Coverage Limit Factor],,0)</f>
        <v>0.61</v>
      </c>
      <c r="AM48">
        <f>IF(Table1820[[#This Row],[Good Student Discount]]="Yes",'Rate Book'!$D$126,1)</f>
        <v>0.92</v>
      </c>
      <c r="AN48">
        <f>IF(Table1820[[#This Row],[Good Driver Discount]]="Yes",'Rate Book'!$D$127,1)</f>
        <v>1</v>
      </c>
      <c r="AO48">
        <f>IF(Table1820[[#This Row],[Multi Policy Discount]]="Yes",'Rate Book'!$D$128,1)</f>
        <v>0.93</v>
      </c>
      <c r="AP48">
        <f>IF(Table1820[[#This Row],[Loyal Customer Discount]]="Yes",'Rate Book'!$D$129,1)</f>
        <v>1</v>
      </c>
      <c r="AQ48">
        <f>IF(Table1820[[#This Row],[Organization Discount]]="Yes",'Rate Book'!$D$130,1)</f>
        <v>1</v>
      </c>
      <c r="AR48" cm="1">
        <f t="array" ref="AR48">IF(Table1820[[#This Row],[Effective Date]]&gt;=RateChangeTable[Effective Date],RateChangeTable[Rate Change Factor],1)</f>
        <v>1</v>
      </c>
      <c r="AS48" s="10">
        <f>PRODUCT(Table1820[[#This Row],[Base Rate]:[Rate Change Factor]])</f>
        <v>3320.6719939522754</v>
      </c>
      <c r="AT48" s="9">
        <f>Table1820[[#This Row],[System-Generated Premium]]-Table1820[[#This Row],[Expected Premium]]</f>
        <v>0</v>
      </c>
      <c r="AU48" t="str">
        <f>IF(Table1820[[#This Row],[Difference]]=0,"PASS","FAIL")</f>
        <v>PASS</v>
      </c>
      <c r="AV48" s="9">
        <f>ABS(Table1820[[#This Row],[Difference]])</f>
        <v>0</v>
      </c>
      <c r="AW48" s="9" t="s">
        <v>1136</v>
      </c>
    </row>
    <row r="49" spans="1:49" x14ac:dyDescent="0.3">
      <c r="A49" t="s">
        <v>140</v>
      </c>
      <c r="B49" s="7">
        <v>45960</v>
      </c>
      <c r="C49" t="s">
        <v>70</v>
      </c>
      <c r="D49" t="s">
        <v>1102</v>
      </c>
      <c r="E49" s="3">
        <v>1</v>
      </c>
      <c r="F49" s="3">
        <v>1</v>
      </c>
      <c r="G49" t="s">
        <v>13</v>
      </c>
      <c r="H49" t="s">
        <v>1107</v>
      </c>
      <c r="I49" t="s">
        <v>40</v>
      </c>
      <c r="J49" t="s">
        <v>53</v>
      </c>
      <c r="K49" t="s">
        <v>10</v>
      </c>
      <c r="L49" t="s">
        <v>10</v>
      </c>
      <c r="M49" t="s">
        <v>10</v>
      </c>
      <c r="N49" t="s">
        <v>57</v>
      </c>
      <c r="O49" t="str">
        <f>INDEX(CoverageTable[Deductible Applies],MATCH(Table1820[[#This Row],[Coverage]],CoverageTable[Coverage],0))</f>
        <v>No</v>
      </c>
      <c r="P49" t="str">
        <f>INDEX(CoverageTable[Coverage Limit Applies],MATCH(Table1820[[#This Row],[Coverage]],CoverageTable[Coverage],0))</f>
        <v>Yes</v>
      </c>
      <c r="Q49" t="s">
        <v>10</v>
      </c>
      <c r="R49" t="s">
        <v>78</v>
      </c>
      <c r="S49" t="s">
        <v>10</v>
      </c>
      <c r="T49" t="s">
        <v>57</v>
      </c>
      <c r="U49" t="s">
        <v>57</v>
      </c>
      <c r="V49" t="s">
        <v>10</v>
      </c>
      <c r="W49" t="s">
        <v>10</v>
      </c>
      <c r="X49" s="11">
        <v>1026.6026642294407</v>
      </c>
      <c r="Y49">
        <f>_xlfn.XLOOKUP(Table1820[[#This Row],[Coverage]],CoverageTable[Coverage],CoverageTable[Base Rate],,0)</f>
        <v>622</v>
      </c>
      <c r="Z49">
        <f>INDEX(Table16[Ageband Factor],MATCH(Table1820[[#This Row],[Ageband]],Table16[Ageband],0))</f>
        <v>1.27</v>
      </c>
      <c r="AA49">
        <f>VLOOKUP(Table1820[[#This Row],[Years Driving]],Table1[],2)</f>
        <v>1.64</v>
      </c>
      <c r="AB49">
        <f>_xlfn.XLOOKUP(Table1820[[#This Row],[At Fault Accidents]],Table2[At Fault Accidents],Table2[At Fault Accident Factor],,0)</f>
        <v>1.34</v>
      </c>
      <c r="AC49">
        <f>_xlfn.XLOOKUP(Table1820[[#This Row],[Usage-Based Insurance]],Table3[Usage-Based Insurance],Table3[Usage-Based Insurance Discount],,0)</f>
        <v>0.65</v>
      </c>
      <c r="AD49">
        <f>_xlfn.XLOOKUP(Table1820[[#This Row],[Yearly Miles]],Table4[Yearly Miles],Table4[Yearly Miles Factor],,0)</f>
        <v>0.93</v>
      </c>
      <c r="AE49">
        <f>_xlfn.XLOOKUP(Table1820[[#This Row],[City/Zip Code]],Table5[City/Zip Code],Table5[City/Zip Code Factor],,0)</f>
        <v>1.0900000000000001</v>
      </c>
      <c r="AF49">
        <f>_xlfn.XLOOKUP(Table1820[[#This Row],[Vehicle Price]],Table6[Vehicle Price],Table6[Vehicle Price Factor])</f>
        <v>2.02</v>
      </c>
      <c r="AG49">
        <f>_xlfn.XLOOKUP(Table1820[[#This Row],[Exotic Car]],Table7[Exotic Car],Table7[Exotic Car Factor],,0)</f>
        <v>1</v>
      </c>
      <c r="AH49">
        <f>_xlfn.XLOOKUP(Table1820[[#This Row],[Difficult Parts]],Table8[Difficult Parts],Table8[Difficult Parts Factor],,0)</f>
        <v>1</v>
      </c>
      <c r="AI49">
        <f>_xlfn.XLOOKUP(Table1820[[#This Row],[High Theft Rate]],Table9[High Theft Rate],Table9[High Theft Rate Factor],,0)</f>
        <v>1</v>
      </c>
      <c r="AJ49">
        <f>_xlfn.XLOOKUP(Table1820[[#This Row],[Advanced Safety Features]],Table10[Advanced Safety Features],Table10[Advanced Safety Features Factor],,0)</f>
        <v>0.88</v>
      </c>
      <c r="AK49">
        <f>_xlfn.XLOOKUP(Table1820[[#This Row],[Deductible]],Table12[Deductible],Table12[Deductible Factor],,0)</f>
        <v>1</v>
      </c>
      <c r="AL49">
        <f>_xlfn.XLOOKUP(Table1820[[#This Row],[Coverage Limit]],Table13[Coverage Limit],Table13[Coverage Limit Factor],,0)</f>
        <v>0.61</v>
      </c>
      <c r="AM49">
        <f>IF(Table1820[[#This Row],[Good Student Discount]]="Yes",'Rate Book'!$D$126,1)</f>
        <v>1</v>
      </c>
      <c r="AN49">
        <f>IF(Table1820[[#This Row],[Good Driver Discount]]="Yes",'Rate Book'!$D$127,1)</f>
        <v>0.89</v>
      </c>
      <c r="AO49">
        <f>IF(Table1820[[#This Row],[Multi Policy Discount]]="Yes",'Rate Book'!$D$128,1)</f>
        <v>0.93</v>
      </c>
      <c r="AP49">
        <f>IF(Table1820[[#This Row],[Loyal Customer Discount]]="Yes",'Rate Book'!$D$129,1)</f>
        <v>1</v>
      </c>
      <c r="AQ49">
        <f>IF(Table1820[[#This Row],[Organization Discount]]="Yes",'Rate Book'!$D$130,1)</f>
        <v>1</v>
      </c>
      <c r="AR49" cm="1">
        <f t="array" ref="AR49">IF(Table1820[[#This Row],[Effective Date]]&gt;=RateChangeTable[Effective Date],RateChangeTable[Rate Change Factor],1)</f>
        <v>1</v>
      </c>
      <c r="AS49" s="10">
        <f>PRODUCT(Table1820[[#This Row],[Base Rate]:[Rate Change Factor]])</f>
        <v>1026.6026642294407</v>
      </c>
      <c r="AT49" s="9">
        <f>Table1820[[#This Row],[System-Generated Premium]]-Table1820[[#This Row],[Expected Premium]]</f>
        <v>0</v>
      </c>
      <c r="AU49" t="str">
        <f>IF(Table1820[[#This Row],[Difference]]=0,"PASS","FAIL")</f>
        <v>PASS</v>
      </c>
      <c r="AV49" s="9">
        <f>ABS(Table1820[[#This Row],[Difference]])</f>
        <v>0</v>
      </c>
      <c r="AW49" s="9" t="s">
        <v>1136</v>
      </c>
    </row>
    <row r="50" spans="1:49" x14ac:dyDescent="0.3">
      <c r="A50" t="s">
        <v>141</v>
      </c>
      <c r="B50" s="7">
        <v>45926</v>
      </c>
      <c r="C50" t="s">
        <v>71</v>
      </c>
      <c r="D50" t="s">
        <v>1098</v>
      </c>
      <c r="E50" s="3">
        <v>4</v>
      </c>
      <c r="F50" s="3">
        <v>0</v>
      </c>
      <c r="G50" t="s">
        <v>10</v>
      </c>
      <c r="H50" t="s">
        <v>1108</v>
      </c>
      <c r="I50" t="s">
        <v>23</v>
      </c>
      <c r="J50" t="s">
        <v>49</v>
      </c>
      <c r="K50" t="s">
        <v>10</v>
      </c>
      <c r="L50" t="s">
        <v>10</v>
      </c>
      <c r="M50" t="s">
        <v>10</v>
      </c>
      <c r="N50" t="s">
        <v>10</v>
      </c>
      <c r="O50" t="str">
        <f>INDEX(CoverageTable[Deductible Applies],MATCH(Table1820[[#This Row],[Coverage]],CoverageTable[Coverage],0))</f>
        <v>Yes</v>
      </c>
      <c r="P50" t="str">
        <f>INDEX(CoverageTable[Coverage Limit Applies],MATCH(Table1820[[#This Row],[Coverage]],CoverageTable[Coverage],0))</f>
        <v>No</v>
      </c>
      <c r="Q50" t="s">
        <v>79</v>
      </c>
      <c r="R50" t="s">
        <v>10</v>
      </c>
      <c r="S50" t="s">
        <v>10</v>
      </c>
      <c r="T50" t="s">
        <v>57</v>
      </c>
      <c r="U50" t="s">
        <v>57</v>
      </c>
      <c r="V50" t="s">
        <v>10</v>
      </c>
      <c r="W50" t="s">
        <v>10</v>
      </c>
      <c r="X50" s="11">
        <v>397.56940577791914</v>
      </c>
      <c r="Y50">
        <f>_xlfn.XLOOKUP(Table1820[[#This Row],[Coverage]],CoverageTable[Coverage],CoverageTable[Base Rate],,0)</f>
        <v>453</v>
      </c>
      <c r="Z50">
        <f>INDEX(Table16[Ageband Factor],MATCH(Table1820[[#This Row],[Ageband]],Table16[Ageband],0))</f>
        <v>1.23</v>
      </c>
      <c r="AA50">
        <f>VLOOKUP(Table1820[[#This Row],[Years Driving]],Table1[],2)</f>
        <v>1.1499999999999999</v>
      </c>
      <c r="AB50">
        <f>_xlfn.XLOOKUP(Table1820[[#This Row],[At Fault Accidents]],Table2[At Fault Accidents],Table2[At Fault Accident Factor],,0)</f>
        <v>1</v>
      </c>
      <c r="AC50">
        <f>_xlfn.XLOOKUP(Table1820[[#This Row],[Usage-Based Insurance]],Table3[Usage-Based Insurance],Table3[Usage-Based Insurance Discount],,0)</f>
        <v>1</v>
      </c>
      <c r="AD50">
        <f>_xlfn.XLOOKUP(Table1820[[#This Row],[Yearly Miles]],Table4[Yearly Miles],Table4[Yearly Miles Factor],,0)</f>
        <v>1</v>
      </c>
      <c r="AE50">
        <f>_xlfn.XLOOKUP(Table1820[[#This Row],[City/Zip Code]],Table5[City/Zip Code],Table5[City/Zip Code Factor],,0)</f>
        <v>0.92</v>
      </c>
      <c r="AF50">
        <f>_xlfn.XLOOKUP(Table1820[[#This Row],[Vehicle Price]],Table6[Vehicle Price],Table6[Vehicle Price Factor])</f>
        <v>0.97</v>
      </c>
      <c r="AG50">
        <f>_xlfn.XLOOKUP(Table1820[[#This Row],[Exotic Car]],Table7[Exotic Car],Table7[Exotic Car Factor],,0)</f>
        <v>1</v>
      </c>
      <c r="AH50">
        <f>_xlfn.XLOOKUP(Table1820[[#This Row],[Difficult Parts]],Table8[Difficult Parts],Table8[Difficult Parts Factor],,0)</f>
        <v>1</v>
      </c>
      <c r="AI50">
        <f>_xlfn.XLOOKUP(Table1820[[#This Row],[High Theft Rate]],Table9[High Theft Rate],Table9[High Theft Rate Factor],,0)</f>
        <v>1</v>
      </c>
      <c r="AJ50">
        <f>_xlfn.XLOOKUP(Table1820[[#This Row],[Advanced Safety Features]],Table10[Advanced Safety Features],Table10[Advanced Safety Features Factor],,0)</f>
        <v>1</v>
      </c>
      <c r="AK50">
        <f>_xlfn.XLOOKUP(Table1820[[#This Row],[Deductible]],Table12[Deductible],Table12[Deductible Factor],,0)</f>
        <v>0.84</v>
      </c>
      <c r="AL50">
        <f>_xlfn.XLOOKUP(Table1820[[#This Row],[Coverage Limit]],Table13[Coverage Limit],Table13[Coverage Limit Factor],,0)</f>
        <v>1</v>
      </c>
      <c r="AM50">
        <f>IF(Table1820[[#This Row],[Good Student Discount]]="Yes",'Rate Book'!$D$126,1)</f>
        <v>1</v>
      </c>
      <c r="AN50">
        <f>IF(Table1820[[#This Row],[Good Driver Discount]]="Yes",'Rate Book'!$D$127,1)</f>
        <v>0.89</v>
      </c>
      <c r="AO50">
        <f>IF(Table1820[[#This Row],[Multi Policy Discount]]="Yes",'Rate Book'!$D$128,1)</f>
        <v>0.93</v>
      </c>
      <c r="AP50">
        <f>IF(Table1820[[#This Row],[Loyal Customer Discount]]="Yes",'Rate Book'!$D$129,1)</f>
        <v>1</v>
      </c>
      <c r="AQ50">
        <f>IF(Table1820[[#This Row],[Organization Discount]]="Yes",'Rate Book'!$D$130,1)</f>
        <v>1</v>
      </c>
      <c r="AR50" cm="1">
        <f t="array" ref="AR50">IF(Table1820[[#This Row],[Effective Date]]&gt;=RateChangeTable[Effective Date],RateChangeTable[Rate Change Factor],1)</f>
        <v>1</v>
      </c>
      <c r="AS50" s="10">
        <f>PRODUCT(Table1820[[#This Row],[Base Rate]:[Rate Change Factor]])</f>
        <v>397.56940577791914</v>
      </c>
      <c r="AT50" s="9">
        <f>Table1820[[#This Row],[System-Generated Premium]]-Table1820[[#This Row],[Expected Premium]]</f>
        <v>0</v>
      </c>
      <c r="AU50" t="str">
        <f>IF(Table1820[[#This Row],[Difference]]=0,"PASS","FAIL")</f>
        <v>PASS</v>
      </c>
      <c r="AV50" s="9">
        <f>ABS(Table1820[[#This Row],[Difference]])</f>
        <v>0</v>
      </c>
      <c r="AW50" s="9" t="s">
        <v>1136</v>
      </c>
    </row>
    <row r="51" spans="1:49" x14ac:dyDescent="0.3">
      <c r="A51" t="s">
        <v>142</v>
      </c>
      <c r="B51" s="7">
        <v>45931</v>
      </c>
      <c r="C51" t="s">
        <v>73</v>
      </c>
      <c r="D51" t="s">
        <v>1098</v>
      </c>
      <c r="E51" s="3">
        <v>7</v>
      </c>
      <c r="F51" s="3">
        <v>3</v>
      </c>
      <c r="G51" t="s">
        <v>13</v>
      </c>
      <c r="H51" t="s">
        <v>1110</v>
      </c>
      <c r="I51" t="s">
        <v>24</v>
      </c>
      <c r="J51" t="s">
        <v>54</v>
      </c>
      <c r="K51" t="s">
        <v>10</v>
      </c>
      <c r="L51" t="s">
        <v>10</v>
      </c>
      <c r="M51" t="s">
        <v>10</v>
      </c>
      <c r="N51" t="s">
        <v>57</v>
      </c>
      <c r="O51" t="str">
        <f>INDEX(CoverageTable[Deductible Applies],MATCH(Table1820[[#This Row],[Coverage]],CoverageTable[Coverage],0))</f>
        <v>No</v>
      </c>
      <c r="P51" t="str">
        <f>INDEX(CoverageTable[Coverage Limit Applies],MATCH(Table1820[[#This Row],[Coverage]],CoverageTable[Coverage],0))</f>
        <v>Yes</v>
      </c>
      <c r="Q51" t="s">
        <v>10</v>
      </c>
      <c r="R51" t="s">
        <v>79</v>
      </c>
      <c r="S51" t="s">
        <v>57</v>
      </c>
      <c r="T51" t="s">
        <v>10</v>
      </c>
      <c r="U51" t="s">
        <v>10</v>
      </c>
      <c r="V51" t="s">
        <v>57</v>
      </c>
      <c r="W51" t="s">
        <v>10</v>
      </c>
      <c r="X51" s="11">
        <v>264.32550301967518</v>
      </c>
      <c r="Y51">
        <f>_xlfn.XLOOKUP(Table1820[[#This Row],[Coverage]],CoverageTable[Coverage],CoverageTable[Base Rate],,0)</f>
        <v>78</v>
      </c>
      <c r="Z51">
        <f>INDEX(Table16[Ageband Factor],MATCH(Table1820[[#This Row],[Ageband]],Table16[Ageband],0))</f>
        <v>1.23</v>
      </c>
      <c r="AA51">
        <f>VLOOKUP(Table1820[[#This Row],[Years Driving]],Table1[],2)</f>
        <v>0.95</v>
      </c>
      <c r="AB51">
        <f>_xlfn.XLOOKUP(Table1820[[#This Row],[At Fault Accidents]],Table2[At Fault Accidents],Table2[At Fault Accident Factor],,0)</f>
        <v>1.82</v>
      </c>
      <c r="AC51">
        <f>_xlfn.XLOOKUP(Table1820[[#This Row],[Usage-Based Insurance]],Table3[Usage-Based Insurance],Table3[Usage-Based Insurance Discount],,0)</f>
        <v>0.65</v>
      </c>
      <c r="AD51">
        <f>_xlfn.XLOOKUP(Table1820[[#This Row],[Yearly Miles]],Table4[Yearly Miles],Table4[Yearly Miles Factor],,0)</f>
        <v>1.31</v>
      </c>
      <c r="AE51">
        <f>_xlfn.XLOOKUP(Table1820[[#This Row],[City/Zip Code]],Table5[City/Zip Code],Table5[City/Zip Code Factor],,0)</f>
        <v>1.19</v>
      </c>
      <c r="AF51">
        <f>_xlfn.XLOOKUP(Table1820[[#This Row],[Vehicle Price]],Table6[Vehicle Price],Table6[Vehicle Price Factor])</f>
        <v>2.87</v>
      </c>
      <c r="AG51">
        <f>_xlfn.XLOOKUP(Table1820[[#This Row],[Exotic Car]],Table7[Exotic Car],Table7[Exotic Car Factor],,0)</f>
        <v>1</v>
      </c>
      <c r="AH51">
        <f>_xlfn.XLOOKUP(Table1820[[#This Row],[Difficult Parts]],Table8[Difficult Parts],Table8[Difficult Parts Factor],,0)</f>
        <v>1</v>
      </c>
      <c r="AI51">
        <f>_xlfn.XLOOKUP(Table1820[[#This Row],[High Theft Rate]],Table9[High Theft Rate],Table9[High Theft Rate Factor],,0)</f>
        <v>1</v>
      </c>
      <c r="AJ51">
        <f>_xlfn.XLOOKUP(Table1820[[#This Row],[Advanced Safety Features]],Table10[Advanced Safety Features],Table10[Advanced Safety Features Factor],,0)</f>
        <v>0.88</v>
      </c>
      <c r="AK51">
        <f>_xlfn.XLOOKUP(Table1820[[#This Row],[Deductible]],Table12[Deductible],Table12[Deductible Factor],,0)</f>
        <v>1</v>
      </c>
      <c r="AL51">
        <f>_xlfn.XLOOKUP(Table1820[[#This Row],[Coverage Limit]],Table13[Coverage Limit],Table13[Coverage Limit Factor],,0)</f>
        <v>0.72</v>
      </c>
      <c r="AM51">
        <f>IF(Table1820[[#This Row],[Good Student Discount]]="Yes",'Rate Book'!$D$126,1)</f>
        <v>0.92</v>
      </c>
      <c r="AN51">
        <f>IF(Table1820[[#This Row],[Good Driver Discount]]="Yes",'Rate Book'!$D$127,1)</f>
        <v>1</v>
      </c>
      <c r="AO51">
        <f>IF(Table1820[[#This Row],[Multi Policy Discount]]="Yes",'Rate Book'!$D$128,1)</f>
        <v>1</v>
      </c>
      <c r="AP51">
        <f>IF(Table1820[[#This Row],[Loyal Customer Discount]]="Yes",'Rate Book'!$D$129,1)</f>
        <v>0.94</v>
      </c>
      <c r="AQ51">
        <f>IF(Table1820[[#This Row],[Organization Discount]]="Yes",'Rate Book'!$D$130,1)</f>
        <v>1</v>
      </c>
      <c r="AR51" cm="1">
        <f t="array" ref="AR51">IF(Table1820[[#This Row],[Effective Date]]&gt;=RateChangeTable[Effective Date],RateChangeTable[Rate Change Factor],1)</f>
        <v>1</v>
      </c>
      <c r="AS51" s="10">
        <f>PRODUCT(Table1820[[#This Row],[Base Rate]:[Rate Change Factor]])</f>
        <v>264.32550301967518</v>
      </c>
      <c r="AT51" s="9">
        <f>Table1820[[#This Row],[System-Generated Premium]]-Table1820[[#This Row],[Expected Premium]]</f>
        <v>0</v>
      </c>
      <c r="AU51" t="str">
        <f>IF(Table1820[[#This Row],[Difference]]=0,"PASS","FAIL")</f>
        <v>PASS</v>
      </c>
      <c r="AV51" s="9">
        <f>ABS(Table1820[[#This Row],[Difference]])</f>
        <v>0</v>
      </c>
      <c r="AW51" s="9" t="s">
        <v>1136</v>
      </c>
    </row>
    <row r="52" spans="1:49" x14ac:dyDescent="0.3">
      <c r="A52" t="s">
        <v>143</v>
      </c>
      <c r="B52" s="7">
        <v>45817</v>
      </c>
      <c r="C52" t="s">
        <v>70</v>
      </c>
      <c r="D52" t="s">
        <v>1101</v>
      </c>
      <c r="E52" s="3">
        <v>6</v>
      </c>
      <c r="F52" s="3">
        <v>1</v>
      </c>
      <c r="G52" t="s">
        <v>10</v>
      </c>
      <c r="H52" t="s">
        <v>1108</v>
      </c>
      <c r="I52" t="s">
        <v>30</v>
      </c>
      <c r="J52" t="s">
        <v>49</v>
      </c>
      <c r="K52" t="s">
        <v>10</v>
      </c>
      <c r="L52" t="s">
        <v>57</v>
      </c>
      <c r="M52" t="s">
        <v>10</v>
      </c>
      <c r="N52" t="s">
        <v>57</v>
      </c>
      <c r="O52" t="str">
        <f>INDEX(CoverageTable[Deductible Applies],MATCH(Table1820[[#This Row],[Coverage]],CoverageTable[Coverage],0))</f>
        <v>No</v>
      </c>
      <c r="P52" t="str">
        <f>INDEX(CoverageTable[Coverage Limit Applies],MATCH(Table1820[[#This Row],[Coverage]],CoverageTable[Coverage],0))</f>
        <v>Yes</v>
      </c>
      <c r="Q52" t="s">
        <v>10</v>
      </c>
      <c r="R52" t="s">
        <v>78</v>
      </c>
      <c r="S52" t="s">
        <v>10</v>
      </c>
      <c r="T52" t="s">
        <v>57</v>
      </c>
      <c r="U52" t="s">
        <v>57</v>
      </c>
      <c r="V52" t="s">
        <v>10</v>
      </c>
      <c r="W52" t="s">
        <v>57</v>
      </c>
      <c r="X52" s="11">
        <v>481.64569037177597</v>
      </c>
      <c r="Y52">
        <f>_xlfn.XLOOKUP(Table1820[[#This Row],[Coverage]],CoverageTable[Coverage],CoverageTable[Base Rate],,0)</f>
        <v>622</v>
      </c>
      <c r="Z52">
        <f>INDEX(Table16[Ageband Factor],MATCH(Table1820[[#This Row],[Ageband]],Table16[Ageband],0))</f>
        <v>1.1200000000000001</v>
      </c>
      <c r="AA52">
        <f>VLOOKUP(Table1820[[#This Row],[Years Driving]],Table1[],2)</f>
        <v>1</v>
      </c>
      <c r="AB52">
        <f>_xlfn.XLOOKUP(Table1820[[#This Row],[At Fault Accidents]],Table2[At Fault Accidents],Table2[At Fault Accident Factor],,0)</f>
        <v>1.34</v>
      </c>
      <c r="AC52">
        <f>_xlfn.XLOOKUP(Table1820[[#This Row],[Usage-Based Insurance]],Table3[Usage-Based Insurance],Table3[Usage-Based Insurance Discount],,0)</f>
        <v>1</v>
      </c>
      <c r="AD52">
        <f>_xlfn.XLOOKUP(Table1820[[#This Row],[Yearly Miles]],Table4[Yearly Miles],Table4[Yearly Miles Factor],,0)</f>
        <v>1</v>
      </c>
      <c r="AE52">
        <f>_xlfn.XLOOKUP(Table1820[[#This Row],[City/Zip Code]],Table5[City/Zip Code],Table5[City/Zip Code Factor],,0)</f>
        <v>1.02</v>
      </c>
      <c r="AF52">
        <f>_xlfn.XLOOKUP(Table1820[[#This Row],[Vehicle Price]],Table6[Vehicle Price],Table6[Vehicle Price Factor])</f>
        <v>0.97</v>
      </c>
      <c r="AG52">
        <f>_xlfn.XLOOKUP(Table1820[[#This Row],[Exotic Car]],Table7[Exotic Car],Table7[Exotic Car Factor],,0)</f>
        <v>1</v>
      </c>
      <c r="AH52">
        <f>_xlfn.XLOOKUP(Table1820[[#This Row],[Difficult Parts]],Table8[Difficult Parts],Table8[Difficult Parts Factor],,0)</f>
        <v>1.21</v>
      </c>
      <c r="AI52">
        <f>_xlfn.XLOOKUP(Table1820[[#This Row],[High Theft Rate]],Table9[High Theft Rate],Table9[High Theft Rate Factor],,0)</f>
        <v>1</v>
      </c>
      <c r="AJ52">
        <f>_xlfn.XLOOKUP(Table1820[[#This Row],[Advanced Safety Features]],Table10[Advanced Safety Features],Table10[Advanced Safety Features Factor],,0)</f>
        <v>0.88</v>
      </c>
      <c r="AK52">
        <f>_xlfn.XLOOKUP(Table1820[[#This Row],[Deductible]],Table12[Deductible],Table12[Deductible Factor],,0)</f>
        <v>1</v>
      </c>
      <c r="AL52">
        <f>_xlfn.XLOOKUP(Table1820[[#This Row],[Coverage Limit]],Table13[Coverage Limit],Table13[Coverage Limit Factor],,0)</f>
        <v>0.61</v>
      </c>
      <c r="AM52">
        <f>IF(Table1820[[#This Row],[Good Student Discount]]="Yes",'Rate Book'!$D$126,1)</f>
        <v>1</v>
      </c>
      <c r="AN52">
        <f>IF(Table1820[[#This Row],[Good Driver Discount]]="Yes",'Rate Book'!$D$127,1)</f>
        <v>0.89</v>
      </c>
      <c r="AO52">
        <f>IF(Table1820[[#This Row],[Multi Policy Discount]]="Yes",'Rate Book'!$D$128,1)</f>
        <v>0.93</v>
      </c>
      <c r="AP52">
        <f>IF(Table1820[[#This Row],[Loyal Customer Discount]]="Yes",'Rate Book'!$D$129,1)</f>
        <v>1</v>
      </c>
      <c r="AQ52">
        <f>IF(Table1820[[#This Row],[Organization Discount]]="Yes",'Rate Book'!$D$130,1)</f>
        <v>0.97</v>
      </c>
      <c r="AR52" cm="1">
        <f t="array" ref="AR52">IF(Table1820[[#This Row],[Effective Date]]&gt;=RateChangeTable[Effective Date],RateChangeTable[Rate Change Factor],1)</f>
        <v>1</v>
      </c>
      <c r="AS52" s="10">
        <f>PRODUCT(Table1820[[#This Row],[Base Rate]:[Rate Change Factor]])</f>
        <v>481.64569037177597</v>
      </c>
      <c r="AT52" s="9">
        <f>Table1820[[#This Row],[System-Generated Premium]]-Table1820[[#This Row],[Expected Premium]]</f>
        <v>0</v>
      </c>
      <c r="AU52" t="str">
        <f>IF(Table1820[[#This Row],[Difference]]=0,"PASS","FAIL")</f>
        <v>PASS</v>
      </c>
      <c r="AV52" s="9">
        <f>ABS(Table1820[[#This Row],[Difference]])</f>
        <v>0</v>
      </c>
      <c r="AW52" s="9" t="s">
        <v>1136</v>
      </c>
    </row>
    <row r="53" spans="1:49" x14ac:dyDescent="0.3">
      <c r="A53" t="s">
        <v>144</v>
      </c>
      <c r="B53" s="7">
        <v>45970</v>
      </c>
      <c r="C53" t="s">
        <v>70</v>
      </c>
      <c r="D53" t="s">
        <v>1097</v>
      </c>
      <c r="E53" s="3">
        <v>2</v>
      </c>
      <c r="F53" s="3">
        <v>1</v>
      </c>
      <c r="G53" t="s">
        <v>11</v>
      </c>
      <c r="H53" t="s">
        <v>1109</v>
      </c>
      <c r="I53" t="s">
        <v>22</v>
      </c>
      <c r="J53" t="s">
        <v>49</v>
      </c>
      <c r="K53" t="s">
        <v>10</v>
      </c>
      <c r="L53" t="s">
        <v>10</v>
      </c>
      <c r="M53" t="s">
        <v>10</v>
      </c>
      <c r="N53" t="s">
        <v>10</v>
      </c>
      <c r="O53" t="str">
        <f>INDEX(CoverageTable[Deductible Applies],MATCH(Table1820[[#This Row],[Coverage]],CoverageTable[Coverage],0))</f>
        <v>No</v>
      </c>
      <c r="P53" t="str">
        <f>INDEX(CoverageTable[Coverage Limit Applies],MATCH(Table1820[[#This Row],[Coverage]],CoverageTable[Coverage],0))</f>
        <v>Yes</v>
      </c>
      <c r="Q53" t="s">
        <v>10</v>
      </c>
      <c r="R53" t="s">
        <v>78</v>
      </c>
      <c r="S53" t="s">
        <v>10</v>
      </c>
      <c r="T53" t="s">
        <v>10</v>
      </c>
      <c r="U53" t="s">
        <v>10</v>
      </c>
      <c r="V53" t="s">
        <v>10</v>
      </c>
      <c r="W53" t="s">
        <v>10</v>
      </c>
      <c r="X53" s="11">
        <v>1245.032760353474</v>
      </c>
      <c r="Y53">
        <f>_xlfn.XLOOKUP(Table1820[[#This Row],[Coverage]],CoverageTable[Coverage],CoverageTable[Base Rate],,0)</f>
        <v>622</v>
      </c>
      <c r="Z53">
        <f>INDEX(Table16[Ageband Factor],MATCH(Table1820[[#This Row],[Ageband]],Table16[Ageband],0))</f>
        <v>1.32</v>
      </c>
      <c r="AA53">
        <f>VLOOKUP(Table1820[[#This Row],[Years Driving]],Table1[],2)</f>
        <v>1.41</v>
      </c>
      <c r="AB53">
        <f>_xlfn.XLOOKUP(Table1820[[#This Row],[At Fault Accidents]],Table2[At Fault Accidents],Table2[At Fault Accident Factor],,0)</f>
        <v>1.34</v>
      </c>
      <c r="AC53">
        <f>_xlfn.XLOOKUP(Table1820[[#This Row],[Usage-Based Insurance]],Table3[Usage-Based Insurance],Table3[Usage-Based Insurance Discount],,0)</f>
        <v>0.95</v>
      </c>
      <c r="AD53">
        <f>_xlfn.XLOOKUP(Table1820[[#This Row],[Yearly Miles]],Table4[Yearly Miles],Table4[Yearly Miles Factor],,0)</f>
        <v>1.18</v>
      </c>
      <c r="AE53">
        <f>_xlfn.XLOOKUP(Table1820[[#This Row],[City/Zip Code]],Table5[City/Zip Code],Table5[City/Zip Code Factor],,0)</f>
        <v>1.21</v>
      </c>
      <c r="AF53">
        <f>_xlfn.XLOOKUP(Table1820[[#This Row],[Vehicle Price]],Table6[Vehicle Price],Table6[Vehicle Price Factor])</f>
        <v>0.97</v>
      </c>
      <c r="AG53">
        <f>_xlfn.XLOOKUP(Table1820[[#This Row],[Exotic Car]],Table7[Exotic Car],Table7[Exotic Car Factor],,0)</f>
        <v>1</v>
      </c>
      <c r="AH53">
        <f>_xlfn.XLOOKUP(Table1820[[#This Row],[Difficult Parts]],Table8[Difficult Parts],Table8[Difficult Parts Factor],,0)</f>
        <v>1</v>
      </c>
      <c r="AI53">
        <f>_xlfn.XLOOKUP(Table1820[[#This Row],[High Theft Rate]],Table9[High Theft Rate],Table9[High Theft Rate Factor],,0)</f>
        <v>1</v>
      </c>
      <c r="AJ53">
        <f>_xlfn.XLOOKUP(Table1820[[#This Row],[Advanced Safety Features]],Table10[Advanced Safety Features],Table10[Advanced Safety Features Factor],,0)</f>
        <v>1</v>
      </c>
      <c r="AK53">
        <f>_xlfn.XLOOKUP(Table1820[[#This Row],[Deductible]],Table12[Deductible],Table12[Deductible Factor],,0)</f>
        <v>1</v>
      </c>
      <c r="AL53">
        <f>_xlfn.XLOOKUP(Table1820[[#This Row],[Coverage Limit]],Table13[Coverage Limit],Table13[Coverage Limit Factor],,0)</f>
        <v>0.61</v>
      </c>
      <c r="AM53">
        <f>IF(Table1820[[#This Row],[Good Student Discount]]="Yes",'Rate Book'!$D$126,1)</f>
        <v>1</v>
      </c>
      <c r="AN53">
        <f>IF(Table1820[[#This Row],[Good Driver Discount]]="Yes",'Rate Book'!$D$127,1)</f>
        <v>1</v>
      </c>
      <c r="AO53">
        <f>IF(Table1820[[#This Row],[Multi Policy Discount]]="Yes",'Rate Book'!$D$128,1)</f>
        <v>1</v>
      </c>
      <c r="AP53">
        <f>IF(Table1820[[#This Row],[Loyal Customer Discount]]="Yes",'Rate Book'!$D$129,1)</f>
        <v>1</v>
      </c>
      <c r="AQ53">
        <f>IF(Table1820[[#This Row],[Organization Discount]]="Yes",'Rate Book'!$D$130,1)</f>
        <v>1</v>
      </c>
      <c r="AR53" cm="1">
        <f t="array" ref="AR53">IF(Table1820[[#This Row],[Effective Date]]&gt;=RateChangeTable[Effective Date],RateChangeTable[Rate Change Factor],1)</f>
        <v>1</v>
      </c>
      <c r="AS53" s="10">
        <f>PRODUCT(Table1820[[#This Row],[Base Rate]:[Rate Change Factor]])</f>
        <v>1245.032760353474</v>
      </c>
      <c r="AT53" s="9">
        <f>Table1820[[#This Row],[System-Generated Premium]]-Table1820[[#This Row],[Expected Premium]]</f>
        <v>0</v>
      </c>
      <c r="AU53" t="str">
        <f>IF(Table1820[[#This Row],[Difference]]=0,"PASS","FAIL")</f>
        <v>PASS</v>
      </c>
      <c r="AV53" s="9">
        <f>ABS(Table1820[[#This Row],[Difference]])</f>
        <v>0</v>
      </c>
      <c r="AW53" s="9" t="s">
        <v>1136</v>
      </c>
    </row>
    <row r="54" spans="1:49" x14ac:dyDescent="0.3">
      <c r="A54" t="s">
        <v>145</v>
      </c>
      <c r="B54" s="7">
        <v>46091</v>
      </c>
      <c r="C54" t="s">
        <v>71</v>
      </c>
      <c r="D54" t="s">
        <v>1101</v>
      </c>
      <c r="E54" s="3" t="s">
        <v>1103</v>
      </c>
      <c r="F54" s="3">
        <v>4</v>
      </c>
      <c r="G54" t="s">
        <v>11</v>
      </c>
      <c r="H54" t="s">
        <v>1108</v>
      </c>
      <c r="I54" t="s">
        <v>43</v>
      </c>
      <c r="J54" t="s">
        <v>48</v>
      </c>
      <c r="K54" t="s">
        <v>10</v>
      </c>
      <c r="L54" t="s">
        <v>57</v>
      </c>
      <c r="M54" t="s">
        <v>10</v>
      </c>
      <c r="N54" t="s">
        <v>10</v>
      </c>
      <c r="O54" t="str">
        <f>INDEX(CoverageTable[Deductible Applies],MATCH(Table1820[[#This Row],[Coverage]],CoverageTable[Coverage],0))</f>
        <v>Yes</v>
      </c>
      <c r="P54" t="str">
        <f>INDEX(CoverageTable[Coverage Limit Applies],MATCH(Table1820[[#This Row],[Coverage]],CoverageTable[Coverage],0))</f>
        <v>No</v>
      </c>
      <c r="Q54" t="s">
        <v>78</v>
      </c>
      <c r="R54" t="s">
        <v>10</v>
      </c>
      <c r="S54" t="s">
        <v>10</v>
      </c>
      <c r="T54" t="s">
        <v>10</v>
      </c>
      <c r="U54" t="s">
        <v>10</v>
      </c>
      <c r="V54" t="s">
        <v>57</v>
      </c>
      <c r="W54" t="s">
        <v>10</v>
      </c>
      <c r="X54" s="11">
        <v>1053.1668816042034</v>
      </c>
      <c r="Y54">
        <f>_xlfn.XLOOKUP(Table1820[[#This Row],[Coverage]],CoverageTable[Coverage],CoverageTable[Base Rate],,0)</f>
        <v>453</v>
      </c>
      <c r="Z54">
        <f>INDEX(Table16[Ageband Factor],MATCH(Table1820[[#This Row],[Ageband]],Table16[Ageband],0))</f>
        <v>1.1200000000000001</v>
      </c>
      <c r="AA54">
        <f>VLOOKUP(Table1820[[#This Row],[Years Driving]],Table1[],2)</f>
        <v>0.93</v>
      </c>
      <c r="AB54">
        <f>_xlfn.XLOOKUP(Table1820[[#This Row],[At Fault Accidents]],Table2[At Fault Accidents],Table2[At Fault Accident Factor],,0)</f>
        <v>2.12</v>
      </c>
      <c r="AC54">
        <f>_xlfn.XLOOKUP(Table1820[[#This Row],[Usage-Based Insurance]],Table3[Usage-Based Insurance],Table3[Usage-Based Insurance Discount],,0)</f>
        <v>0.95</v>
      </c>
      <c r="AD54">
        <f>_xlfn.XLOOKUP(Table1820[[#This Row],[Yearly Miles]],Table4[Yearly Miles],Table4[Yearly Miles Factor],,0)</f>
        <v>1</v>
      </c>
      <c r="AE54">
        <f>_xlfn.XLOOKUP(Table1820[[#This Row],[City/Zip Code]],Table5[City/Zip Code],Table5[City/Zip Code Factor],,0)</f>
        <v>1.18</v>
      </c>
      <c r="AF54">
        <f>_xlfn.XLOOKUP(Table1820[[#This Row],[Vehicle Price]],Table6[Vehicle Price],Table6[Vehicle Price Factor])</f>
        <v>0.82</v>
      </c>
      <c r="AG54">
        <f>_xlfn.XLOOKUP(Table1820[[#This Row],[Exotic Car]],Table7[Exotic Car],Table7[Exotic Car Factor],,0)</f>
        <v>1</v>
      </c>
      <c r="AH54">
        <f>_xlfn.XLOOKUP(Table1820[[#This Row],[Difficult Parts]],Table8[Difficult Parts],Table8[Difficult Parts Factor],,0)</f>
        <v>1.21</v>
      </c>
      <c r="AI54">
        <f>_xlfn.XLOOKUP(Table1820[[#This Row],[High Theft Rate]],Table9[High Theft Rate],Table9[High Theft Rate Factor],,0)</f>
        <v>1</v>
      </c>
      <c r="AJ54">
        <f>_xlfn.XLOOKUP(Table1820[[#This Row],[Advanced Safety Features]],Table10[Advanced Safety Features],Table10[Advanced Safety Features Factor],,0)</f>
        <v>1</v>
      </c>
      <c r="AK54">
        <f>_xlfn.XLOOKUP(Table1820[[#This Row],[Deductible]],Table12[Deductible],Table12[Deductible Factor],,0)</f>
        <v>0.95</v>
      </c>
      <c r="AL54">
        <f>_xlfn.XLOOKUP(Table1820[[#This Row],[Coverage Limit]],Table13[Coverage Limit],Table13[Coverage Limit Factor],,0)</f>
        <v>1</v>
      </c>
      <c r="AM54">
        <f>IF(Table1820[[#This Row],[Good Student Discount]]="Yes",'Rate Book'!$D$126,1)</f>
        <v>1</v>
      </c>
      <c r="AN54">
        <f>IF(Table1820[[#This Row],[Good Driver Discount]]="Yes",'Rate Book'!$D$127,1)</f>
        <v>1</v>
      </c>
      <c r="AO54">
        <f>IF(Table1820[[#This Row],[Multi Policy Discount]]="Yes",'Rate Book'!$D$128,1)</f>
        <v>1</v>
      </c>
      <c r="AP54">
        <f>IF(Table1820[[#This Row],[Loyal Customer Discount]]="Yes",'Rate Book'!$D$129,1)</f>
        <v>0.94</v>
      </c>
      <c r="AQ54">
        <f>IF(Table1820[[#This Row],[Organization Discount]]="Yes",'Rate Book'!$D$130,1)</f>
        <v>1</v>
      </c>
      <c r="AR54" cm="1">
        <f t="array" ref="AR54">IF(Table1820[[#This Row],[Effective Date]]&gt;=RateChangeTable[Effective Date],RateChangeTable[Rate Change Factor],1)</f>
        <v>1.06</v>
      </c>
      <c r="AS54" s="10">
        <f>PRODUCT(Table1820[[#This Row],[Base Rate]:[Rate Change Factor]])</f>
        <v>1053.1668816042034</v>
      </c>
      <c r="AT54" s="9">
        <f>Table1820[[#This Row],[System-Generated Premium]]-Table1820[[#This Row],[Expected Premium]]</f>
        <v>0</v>
      </c>
      <c r="AU54" t="str">
        <f>IF(Table1820[[#This Row],[Difference]]=0,"PASS","FAIL")</f>
        <v>PASS</v>
      </c>
      <c r="AV54" s="9">
        <f>ABS(Table1820[[#This Row],[Difference]])</f>
        <v>0</v>
      </c>
      <c r="AW54" s="9" t="s">
        <v>1136</v>
      </c>
    </row>
    <row r="55" spans="1:49" x14ac:dyDescent="0.3">
      <c r="A55" t="s">
        <v>146</v>
      </c>
      <c r="B55" s="7">
        <v>45990</v>
      </c>
      <c r="C55" t="s">
        <v>71</v>
      </c>
      <c r="D55" t="s">
        <v>1101</v>
      </c>
      <c r="E55" s="3">
        <v>3</v>
      </c>
      <c r="F55" s="3">
        <v>1</v>
      </c>
      <c r="G55" t="s">
        <v>13</v>
      </c>
      <c r="H55" t="s">
        <v>1108</v>
      </c>
      <c r="I55" t="s">
        <v>27</v>
      </c>
      <c r="J55" t="s">
        <v>48</v>
      </c>
      <c r="K55" t="s">
        <v>10</v>
      </c>
      <c r="L55" t="s">
        <v>10</v>
      </c>
      <c r="M55" t="s">
        <v>10</v>
      </c>
      <c r="N55" t="s">
        <v>10</v>
      </c>
      <c r="O55" t="str">
        <f>INDEX(CoverageTable[Deductible Applies],MATCH(Table1820[[#This Row],[Coverage]],CoverageTable[Coverage],0))</f>
        <v>Yes</v>
      </c>
      <c r="P55" t="str">
        <f>INDEX(CoverageTable[Coverage Limit Applies],MATCH(Table1820[[#This Row],[Coverage]],CoverageTable[Coverage],0))</f>
        <v>No</v>
      </c>
      <c r="Q55" t="s">
        <v>79</v>
      </c>
      <c r="R55" t="s">
        <v>10</v>
      </c>
      <c r="S55" t="s">
        <v>10</v>
      </c>
      <c r="T55" t="s">
        <v>10</v>
      </c>
      <c r="U55" t="s">
        <v>10</v>
      </c>
      <c r="V55" t="s">
        <v>10</v>
      </c>
      <c r="W55" t="s">
        <v>10</v>
      </c>
      <c r="X55" s="11">
        <v>349.07215120727039</v>
      </c>
      <c r="Y55">
        <f>_xlfn.XLOOKUP(Table1820[[#This Row],[Coverage]],CoverageTable[Coverage],CoverageTable[Base Rate],,0)</f>
        <v>453</v>
      </c>
      <c r="Z55">
        <f>INDEX(Table16[Ageband Factor],MATCH(Table1820[[#This Row],[Ageband]],Table16[Ageband],0))</f>
        <v>1.1200000000000001</v>
      </c>
      <c r="AA55">
        <f>VLOOKUP(Table1820[[#This Row],[Years Driving]],Table1[],2)</f>
        <v>1.22</v>
      </c>
      <c r="AB55">
        <f>_xlfn.XLOOKUP(Table1820[[#This Row],[At Fault Accidents]],Table2[At Fault Accidents],Table2[At Fault Accident Factor],,0)</f>
        <v>1.34</v>
      </c>
      <c r="AC55">
        <f>_xlfn.XLOOKUP(Table1820[[#This Row],[Usage-Based Insurance]],Table3[Usage-Based Insurance],Table3[Usage-Based Insurance Discount],,0)</f>
        <v>0.65</v>
      </c>
      <c r="AD55">
        <f>_xlfn.XLOOKUP(Table1820[[#This Row],[Yearly Miles]],Table4[Yearly Miles],Table4[Yearly Miles Factor],,0)</f>
        <v>1</v>
      </c>
      <c r="AE55">
        <f>_xlfn.XLOOKUP(Table1820[[#This Row],[City/Zip Code]],Table5[City/Zip Code],Table5[City/Zip Code Factor],,0)</f>
        <v>0.94</v>
      </c>
      <c r="AF55">
        <f>_xlfn.XLOOKUP(Table1820[[#This Row],[Vehicle Price]],Table6[Vehicle Price],Table6[Vehicle Price Factor])</f>
        <v>0.82</v>
      </c>
      <c r="AG55">
        <f>_xlfn.XLOOKUP(Table1820[[#This Row],[Exotic Car]],Table7[Exotic Car],Table7[Exotic Car Factor],,0)</f>
        <v>1</v>
      </c>
      <c r="AH55">
        <f>_xlfn.XLOOKUP(Table1820[[#This Row],[Difficult Parts]],Table8[Difficult Parts],Table8[Difficult Parts Factor],,0)</f>
        <v>1</v>
      </c>
      <c r="AI55">
        <f>_xlfn.XLOOKUP(Table1820[[#This Row],[High Theft Rate]],Table9[High Theft Rate],Table9[High Theft Rate Factor],,0)</f>
        <v>1</v>
      </c>
      <c r="AJ55">
        <f>_xlfn.XLOOKUP(Table1820[[#This Row],[Advanced Safety Features]],Table10[Advanced Safety Features],Table10[Advanced Safety Features Factor],,0)</f>
        <v>1</v>
      </c>
      <c r="AK55">
        <f>_xlfn.XLOOKUP(Table1820[[#This Row],[Deductible]],Table12[Deductible],Table12[Deductible Factor],,0)</f>
        <v>0.84</v>
      </c>
      <c r="AL55">
        <f>_xlfn.XLOOKUP(Table1820[[#This Row],[Coverage Limit]],Table13[Coverage Limit],Table13[Coverage Limit Factor],,0)</f>
        <v>1</v>
      </c>
      <c r="AM55">
        <f>IF(Table1820[[#This Row],[Good Student Discount]]="Yes",'Rate Book'!$D$126,1)</f>
        <v>1</v>
      </c>
      <c r="AN55">
        <f>IF(Table1820[[#This Row],[Good Driver Discount]]="Yes",'Rate Book'!$D$127,1)</f>
        <v>1</v>
      </c>
      <c r="AO55">
        <f>IF(Table1820[[#This Row],[Multi Policy Discount]]="Yes",'Rate Book'!$D$128,1)</f>
        <v>1</v>
      </c>
      <c r="AP55">
        <f>IF(Table1820[[#This Row],[Loyal Customer Discount]]="Yes",'Rate Book'!$D$129,1)</f>
        <v>1</v>
      </c>
      <c r="AQ55">
        <f>IF(Table1820[[#This Row],[Organization Discount]]="Yes",'Rate Book'!$D$130,1)</f>
        <v>1</v>
      </c>
      <c r="AR55" cm="1">
        <f t="array" ref="AR55">IF(Table1820[[#This Row],[Effective Date]]&gt;=RateChangeTable[Effective Date],RateChangeTable[Rate Change Factor],1)</f>
        <v>1</v>
      </c>
      <c r="AS55" s="10">
        <f>PRODUCT(Table1820[[#This Row],[Base Rate]:[Rate Change Factor]])</f>
        <v>349.07215120727039</v>
      </c>
      <c r="AT55" s="9">
        <f>Table1820[[#This Row],[System-Generated Premium]]-Table1820[[#This Row],[Expected Premium]]</f>
        <v>0</v>
      </c>
      <c r="AU55" t="str">
        <f>IF(Table1820[[#This Row],[Difference]]=0,"PASS","FAIL")</f>
        <v>PASS</v>
      </c>
      <c r="AV55" s="9">
        <f>ABS(Table1820[[#This Row],[Difference]])</f>
        <v>0</v>
      </c>
      <c r="AW55" s="9" t="s">
        <v>1136</v>
      </c>
    </row>
    <row r="56" spans="1:49" x14ac:dyDescent="0.3">
      <c r="A56" t="s">
        <v>147</v>
      </c>
      <c r="B56" s="7">
        <v>45863</v>
      </c>
      <c r="C56" t="s">
        <v>72</v>
      </c>
      <c r="D56" t="s">
        <v>1101</v>
      </c>
      <c r="E56" s="3">
        <v>4</v>
      </c>
      <c r="F56" s="3" t="s">
        <v>7</v>
      </c>
      <c r="G56" t="s">
        <v>10</v>
      </c>
      <c r="H56" t="s">
        <v>1110</v>
      </c>
      <c r="I56" t="s">
        <v>33</v>
      </c>
      <c r="J56" t="s">
        <v>50</v>
      </c>
      <c r="K56" t="s">
        <v>10</v>
      </c>
      <c r="L56" t="s">
        <v>10</v>
      </c>
      <c r="M56" t="s">
        <v>10</v>
      </c>
      <c r="N56" t="s">
        <v>10</v>
      </c>
      <c r="O56" t="str">
        <f>INDEX(CoverageTable[Deductible Applies],MATCH(Table1820[[#This Row],[Coverage]],CoverageTable[Coverage],0))</f>
        <v>Yes</v>
      </c>
      <c r="P56" t="str">
        <f>INDEX(CoverageTable[Coverage Limit Applies],MATCH(Table1820[[#This Row],[Coverage]],CoverageTable[Coverage],0))</f>
        <v>No</v>
      </c>
      <c r="Q56" t="s">
        <v>80</v>
      </c>
      <c r="R56" t="s">
        <v>10</v>
      </c>
      <c r="S56" t="s">
        <v>10</v>
      </c>
      <c r="T56" t="s">
        <v>10</v>
      </c>
      <c r="U56" t="s">
        <v>10</v>
      </c>
      <c r="V56" t="s">
        <v>10</v>
      </c>
      <c r="W56" t="s">
        <v>10</v>
      </c>
      <c r="X56" s="11">
        <v>399.96860742558738</v>
      </c>
      <c r="Y56">
        <f>_xlfn.XLOOKUP(Table1820[[#This Row],[Coverage]],CoverageTable[Coverage],CoverageTable[Base Rate],,0)</f>
        <v>121</v>
      </c>
      <c r="Z56">
        <f>INDEX(Table16[Ageband Factor],MATCH(Table1820[[#This Row],[Ageband]],Table16[Ageband],0))</f>
        <v>1.1200000000000001</v>
      </c>
      <c r="AA56">
        <f>VLOOKUP(Table1820[[#This Row],[Years Driving]],Table1[],2)</f>
        <v>1.1499999999999999</v>
      </c>
      <c r="AB56">
        <f>_xlfn.XLOOKUP(Table1820[[#This Row],[At Fault Accidents]],Table2[At Fault Accidents],Table2[At Fault Accident Factor],,0)</f>
        <v>2.4700000000000002</v>
      </c>
      <c r="AC56">
        <f>_xlfn.XLOOKUP(Table1820[[#This Row],[Usage-Based Insurance]],Table3[Usage-Based Insurance],Table3[Usage-Based Insurance Discount],,0)</f>
        <v>1</v>
      </c>
      <c r="AD56">
        <f>_xlfn.XLOOKUP(Table1820[[#This Row],[Yearly Miles]],Table4[Yearly Miles],Table4[Yearly Miles Factor],,0)</f>
        <v>1.31</v>
      </c>
      <c r="AE56">
        <f>_xlfn.XLOOKUP(Table1820[[#This Row],[City/Zip Code]],Table5[City/Zip Code],Table5[City/Zip Code Factor],,0)</f>
        <v>1.02</v>
      </c>
      <c r="AF56">
        <f>_xlfn.XLOOKUP(Table1820[[#This Row],[Vehicle Price]],Table6[Vehicle Price],Table6[Vehicle Price Factor])</f>
        <v>1.08</v>
      </c>
      <c r="AG56">
        <f>_xlfn.XLOOKUP(Table1820[[#This Row],[Exotic Car]],Table7[Exotic Car],Table7[Exotic Car Factor],,0)</f>
        <v>1</v>
      </c>
      <c r="AH56">
        <f>_xlfn.XLOOKUP(Table1820[[#This Row],[Difficult Parts]],Table8[Difficult Parts],Table8[Difficult Parts Factor],,0)</f>
        <v>1</v>
      </c>
      <c r="AI56">
        <f>_xlfn.XLOOKUP(Table1820[[#This Row],[High Theft Rate]],Table9[High Theft Rate],Table9[High Theft Rate Factor],,0)</f>
        <v>1</v>
      </c>
      <c r="AJ56">
        <f>_xlfn.XLOOKUP(Table1820[[#This Row],[Advanced Safety Features]],Table10[Advanced Safety Features],Table10[Advanced Safety Features Factor],,0)</f>
        <v>1</v>
      </c>
      <c r="AK56">
        <f>_xlfn.XLOOKUP(Table1820[[#This Row],[Deductible]],Table12[Deductible],Table12[Deductible Factor],,0)</f>
        <v>0.72</v>
      </c>
      <c r="AL56">
        <f>_xlfn.XLOOKUP(Table1820[[#This Row],[Coverage Limit]],Table13[Coverage Limit],Table13[Coverage Limit Factor],,0)</f>
        <v>1</v>
      </c>
      <c r="AM56">
        <f>IF(Table1820[[#This Row],[Good Student Discount]]="Yes",'Rate Book'!$D$126,1)</f>
        <v>1</v>
      </c>
      <c r="AN56">
        <f>IF(Table1820[[#This Row],[Good Driver Discount]]="Yes",'Rate Book'!$D$127,1)</f>
        <v>1</v>
      </c>
      <c r="AO56">
        <f>IF(Table1820[[#This Row],[Multi Policy Discount]]="Yes",'Rate Book'!$D$128,1)</f>
        <v>1</v>
      </c>
      <c r="AP56">
        <f>IF(Table1820[[#This Row],[Loyal Customer Discount]]="Yes",'Rate Book'!$D$129,1)</f>
        <v>1</v>
      </c>
      <c r="AQ56">
        <f>IF(Table1820[[#This Row],[Organization Discount]]="Yes",'Rate Book'!$D$130,1)</f>
        <v>1</v>
      </c>
      <c r="AR56" cm="1">
        <f t="array" ref="AR56">IF(Table1820[[#This Row],[Effective Date]]&gt;=RateChangeTable[Effective Date],RateChangeTable[Rate Change Factor],1)</f>
        <v>1</v>
      </c>
      <c r="AS56" s="10">
        <f>PRODUCT(Table1820[[#This Row],[Base Rate]:[Rate Change Factor]])</f>
        <v>399.96860742558738</v>
      </c>
      <c r="AT56" s="9">
        <f>Table1820[[#This Row],[System-Generated Premium]]-Table1820[[#This Row],[Expected Premium]]</f>
        <v>0</v>
      </c>
      <c r="AU56" t="str">
        <f>IF(Table1820[[#This Row],[Difference]]=0,"PASS","FAIL")</f>
        <v>PASS</v>
      </c>
      <c r="AV56" s="9">
        <f>ABS(Table1820[[#This Row],[Difference]])</f>
        <v>0</v>
      </c>
      <c r="AW56" s="9" t="s">
        <v>1136</v>
      </c>
    </row>
    <row r="57" spans="1:49" x14ac:dyDescent="0.3">
      <c r="A57" t="s">
        <v>148</v>
      </c>
      <c r="B57" s="7">
        <v>45847</v>
      </c>
      <c r="C57" t="s">
        <v>71</v>
      </c>
      <c r="D57" t="s">
        <v>1098</v>
      </c>
      <c r="E57" s="3">
        <v>7</v>
      </c>
      <c r="F57" s="3" t="s">
        <v>7</v>
      </c>
      <c r="G57" t="s">
        <v>10</v>
      </c>
      <c r="H57" t="s">
        <v>1108</v>
      </c>
      <c r="I57" t="s">
        <v>28</v>
      </c>
      <c r="J57" t="s">
        <v>48</v>
      </c>
      <c r="K57" t="s">
        <v>10</v>
      </c>
      <c r="L57" t="s">
        <v>10</v>
      </c>
      <c r="M57" t="s">
        <v>57</v>
      </c>
      <c r="N57" t="s">
        <v>57</v>
      </c>
      <c r="O57" t="str">
        <f>INDEX(CoverageTable[Deductible Applies],MATCH(Table1820[[#This Row],[Coverage]],CoverageTable[Coverage],0))</f>
        <v>Yes</v>
      </c>
      <c r="P57" t="str">
        <f>INDEX(CoverageTable[Coverage Limit Applies],MATCH(Table1820[[#This Row],[Coverage]],CoverageTable[Coverage],0))</f>
        <v>No</v>
      </c>
      <c r="Q57" t="s">
        <v>78</v>
      </c>
      <c r="R57" t="s">
        <v>10</v>
      </c>
      <c r="S57" t="s">
        <v>10</v>
      </c>
      <c r="T57" t="s">
        <v>57</v>
      </c>
      <c r="U57" t="s">
        <v>57</v>
      </c>
      <c r="V57" t="s">
        <v>57</v>
      </c>
      <c r="W57" t="s">
        <v>57</v>
      </c>
      <c r="X57" s="11">
        <v>745.41501987963056</v>
      </c>
      <c r="Y57">
        <f>_xlfn.XLOOKUP(Table1820[[#This Row],[Coverage]],CoverageTable[Coverage],CoverageTable[Base Rate],,0)</f>
        <v>453</v>
      </c>
      <c r="Z57">
        <f>INDEX(Table16[Ageband Factor],MATCH(Table1820[[#This Row],[Ageband]],Table16[Ageband],0))</f>
        <v>1.23</v>
      </c>
      <c r="AA57">
        <f>VLOOKUP(Table1820[[#This Row],[Years Driving]],Table1[],2)</f>
        <v>0.95</v>
      </c>
      <c r="AB57">
        <f>_xlfn.XLOOKUP(Table1820[[#This Row],[At Fault Accidents]],Table2[At Fault Accidents],Table2[At Fault Accident Factor],,0)</f>
        <v>2.4700000000000002</v>
      </c>
      <c r="AC57">
        <f>_xlfn.XLOOKUP(Table1820[[#This Row],[Usage-Based Insurance]],Table3[Usage-Based Insurance],Table3[Usage-Based Insurance Discount],,0)</f>
        <v>1</v>
      </c>
      <c r="AD57">
        <f>_xlfn.XLOOKUP(Table1820[[#This Row],[Yearly Miles]],Table4[Yearly Miles],Table4[Yearly Miles Factor],,0)</f>
        <v>1</v>
      </c>
      <c r="AE57">
        <f>_xlfn.XLOOKUP(Table1820[[#This Row],[City/Zip Code]],Table5[City/Zip Code],Table5[City/Zip Code Factor],,0)</f>
        <v>0.95</v>
      </c>
      <c r="AF57">
        <f>_xlfn.XLOOKUP(Table1820[[#This Row],[Vehicle Price]],Table6[Vehicle Price],Table6[Vehicle Price Factor])</f>
        <v>0.82</v>
      </c>
      <c r="AG57">
        <f>_xlfn.XLOOKUP(Table1820[[#This Row],[Exotic Car]],Table7[Exotic Car],Table7[Exotic Car Factor],,0)</f>
        <v>1</v>
      </c>
      <c r="AH57">
        <f>_xlfn.XLOOKUP(Table1820[[#This Row],[Difficult Parts]],Table8[Difficult Parts],Table8[Difficult Parts Factor],,0)</f>
        <v>1</v>
      </c>
      <c r="AI57">
        <f>_xlfn.XLOOKUP(Table1820[[#This Row],[High Theft Rate]],Table9[High Theft Rate],Table9[High Theft Rate Factor],,0)</f>
        <v>1.1599999999999999</v>
      </c>
      <c r="AJ57">
        <f>_xlfn.XLOOKUP(Table1820[[#This Row],[Advanced Safety Features]],Table10[Advanced Safety Features],Table10[Advanced Safety Features Factor],,0)</f>
        <v>0.88</v>
      </c>
      <c r="AK57">
        <f>_xlfn.XLOOKUP(Table1820[[#This Row],[Deductible]],Table12[Deductible],Table12[Deductible Factor],,0)</f>
        <v>0.95</v>
      </c>
      <c r="AL57">
        <f>_xlfn.XLOOKUP(Table1820[[#This Row],[Coverage Limit]],Table13[Coverage Limit],Table13[Coverage Limit Factor],,0)</f>
        <v>1</v>
      </c>
      <c r="AM57">
        <f>IF(Table1820[[#This Row],[Good Student Discount]]="Yes",'Rate Book'!$D$126,1)</f>
        <v>1</v>
      </c>
      <c r="AN57">
        <f>IF(Table1820[[#This Row],[Good Driver Discount]]="Yes",'Rate Book'!$D$127,1)</f>
        <v>0.89</v>
      </c>
      <c r="AO57">
        <f>IF(Table1820[[#This Row],[Multi Policy Discount]]="Yes",'Rate Book'!$D$128,1)</f>
        <v>0.93</v>
      </c>
      <c r="AP57">
        <f>IF(Table1820[[#This Row],[Loyal Customer Discount]]="Yes",'Rate Book'!$D$129,1)</f>
        <v>0.94</v>
      </c>
      <c r="AQ57">
        <f>IF(Table1820[[#This Row],[Organization Discount]]="Yes",'Rate Book'!$D$130,1)</f>
        <v>0.97</v>
      </c>
      <c r="AR57" cm="1">
        <f t="array" ref="AR57">IF(Table1820[[#This Row],[Effective Date]]&gt;=RateChangeTable[Effective Date],RateChangeTable[Rate Change Factor],1)</f>
        <v>1</v>
      </c>
      <c r="AS57" s="10">
        <f>PRODUCT(Table1820[[#This Row],[Base Rate]:[Rate Change Factor]])</f>
        <v>745.41501987963056</v>
      </c>
      <c r="AT57" s="9">
        <f>Table1820[[#This Row],[System-Generated Premium]]-Table1820[[#This Row],[Expected Premium]]</f>
        <v>0</v>
      </c>
      <c r="AU57" t="str">
        <f>IF(Table1820[[#This Row],[Difference]]=0,"PASS","FAIL")</f>
        <v>PASS</v>
      </c>
      <c r="AV57" s="9">
        <f>ABS(Table1820[[#This Row],[Difference]])</f>
        <v>0</v>
      </c>
      <c r="AW57" s="9" t="s">
        <v>1136</v>
      </c>
    </row>
    <row r="58" spans="1:49" x14ac:dyDescent="0.3">
      <c r="A58" t="s">
        <v>149</v>
      </c>
      <c r="B58" s="7">
        <v>46132</v>
      </c>
      <c r="C58" t="s">
        <v>71</v>
      </c>
      <c r="D58" t="s">
        <v>1099</v>
      </c>
      <c r="E58" s="3">
        <v>4</v>
      </c>
      <c r="F58" s="3">
        <v>1</v>
      </c>
      <c r="G58" t="s">
        <v>12</v>
      </c>
      <c r="H58" t="s">
        <v>1109</v>
      </c>
      <c r="I58" t="s">
        <v>35</v>
      </c>
      <c r="J58" t="s">
        <v>54</v>
      </c>
      <c r="K58" t="s">
        <v>10</v>
      </c>
      <c r="L58" t="s">
        <v>10</v>
      </c>
      <c r="M58" t="s">
        <v>57</v>
      </c>
      <c r="N58" t="s">
        <v>10</v>
      </c>
      <c r="O58" t="str">
        <f>INDEX(CoverageTable[Deductible Applies],MATCH(Table1820[[#This Row],[Coverage]],CoverageTable[Coverage],0))</f>
        <v>Yes</v>
      </c>
      <c r="P58" t="str">
        <f>INDEX(CoverageTable[Coverage Limit Applies],MATCH(Table1820[[#This Row],[Coverage]],CoverageTable[Coverage],0))</f>
        <v>No</v>
      </c>
      <c r="Q58" t="s">
        <v>78</v>
      </c>
      <c r="R58" t="s">
        <v>10</v>
      </c>
      <c r="S58" t="s">
        <v>10</v>
      </c>
      <c r="T58" t="s">
        <v>10</v>
      </c>
      <c r="U58" t="s">
        <v>10</v>
      </c>
      <c r="V58" t="s">
        <v>10</v>
      </c>
      <c r="W58" t="s">
        <v>10</v>
      </c>
      <c r="X58" s="11">
        <v>2474.3447758355351</v>
      </c>
      <c r="Y58">
        <f>_xlfn.XLOOKUP(Table1820[[#This Row],[Coverage]],CoverageTable[Coverage],CoverageTable[Base Rate],,0)</f>
        <v>453</v>
      </c>
      <c r="Z58">
        <f>INDEX(Table16[Ageband Factor],MATCH(Table1820[[#This Row],[Ageband]],Table16[Ageband],0))</f>
        <v>1</v>
      </c>
      <c r="AA58">
        <f>VLOOKUP(Table1820[[#This Row],[Years Driving]],Table1[],2)</f>
        <v>1.1499999999999999</v>
      </c>
      <c r="AB58">
        <f>_xlfn.XLOOKUP(Table1820[[#This Row],[At Fault Accidents]],Table2[At Fault Accidents],Table2[At Fault Accident Factor],,0)</f>
        <v>1.34</v>
      </c>
      <c r="AC58">
        <f>_xlfn.XLOOKUP(Table1820[[#This Row],[Usage-Based Insurance]],Table3[Usage-Based Insurance],Table3[Usage-Based Insurance Discount],,0)</f>
        <v>0.8</v>
      </c>
      <c r="AD58">
        <f>_xlfn.XLOOKUP(Table1820[[#This Row],[Yearly Miles]],Table4[Yearly Miles],Table4[Yearly Miles Factor],,0)</f>
        <v>1.18</v>
      </c>
      <c r="AE58">
        <f>_xlfn.XLOOKUP(Table1820[[#This Row],[City/Zip Code]],Table5[City/Zip Code],Table5[City/Zip Code Factor],,0)</f>
        <v>1.1200000000000001</v>
      </c>
      <c r="AF58">
        <f>_xlfn.XLOOKUP(Table1820[[#This Row],[Vehicle Price]],Table6[Vehicle Price],Table6[Vehicle Price Factor])</f>
        <v>2.87</v>
      </c>
      <c r="AG58">
        <f>_xlfn.XLOOKUP(Table1820[[#This Row],[Exotic Car]],Table7[Exotic Car],Table7[Exotic Car Factor],,0)</f>
        <v>1</v>
      </c>
      <c r="AH58">
        <f>_xlfn.XLOOKUP(Table1820[[#This Row],[Difficult Parts]],Table8[Difficult Parts],Table8[Difficult Parts Factor],,0)</f>
        <v>1</v>
      </c>
      <c r="AI58">
        <f>_xlfn.XLOOKUP(Table1820[[#This Row],[High Theft Rate]],Table9[High Theft Rate],Table9[High Theft Rate Factor],,0)</f>
        <v>1.1599999999999999</v>
      </c>
      <c r="AJ58">
        <f>_xlfn.XLOOKUP(Table1820[[#This Row],[Advanced Safety Features]],Table10[Advanced Safety Features],Table10[Advanced Safety Features Factor],,0)</f>
        <v>1</v>
      </c>
      <c r="AK58">
        <f>_xlfn.XLOOKUP(Table1820[[#This Row],[Deductible]],Table12[Deductible],Table12[Deductible Factor],,0)</f>
        <v>0.95</v>
      </c>
      <c r="AL58">
        <f>_xlfn.XLOOKUP(Table1820[[#This Row],[Coverage Limit]],Table13[Coverage Limit],Table13[Coverage Limit Factor],,0)</f>
        <v>1</v>
      </c>
      <c r="AM58">
        <f>IF(Table1820[[#This Row],[Good Student Discount]]="Yes",'Rate Book'!$D$126,1)</f>
        <v>1</v>
      </c>
      <c r="AN58">
        <f>IF(Table1820[[#This Row],[Good Driver Discount]]="Yes",'Rate Book'!$D$127,1)</f>
        <v>1</v>
      </c>
      <c r="AO58">
        <f>IF(Table1820[[#This Row],[Multi Policy Discount]]="Yes",'Rate Book'!$D$128,1)</f>
        <v>1</v>
      </c>
      <c r="AP58">
        <f>IF(Table1820[[#This Row],[Loyal Customer Discount]]="Yes",'Rate Book'!$D$129,1)</f>
        <v>1</v>
      </c>
      <c r="AQ58">
        <f>IF(Table1820[[#This Row],[Organization Discount]]="Yes",'Rate Book'!$D$130,1)</f>
        <v>1</v>
      </c>
      <c r="AR58" cm="1">
        <f t="array" ref="AR58">IF(Table1820[[#This Row],[Effective Date]]&gt;=RateChangeTable[Effective Date],RateChangeTable[Rate Change Factor],1)</f>
        <v>1.06</v>
      </c>
      <c r="AS58" s="10">
        <f>PRODUCT(Table1820[[#This Row],[Base Rate]:[Rate Change Factor]])</f>
        <v>2474.3447758355351</v>
      </c>
      <c r="AT58" s="9">
        <f>Table1820[[#This Row],[System-Generated Premium]]-Table1820[[#This Row],[Expected Premium]]</f>
        <v>0</v>
      </c>
      <c r="AU58" t="str">
        <f>IF(Table1820[[#This Row],[Difference]]=0,"PASS","FAIL")</f>
        <v>PASS</v>
      </c>
      <c r="AV58" s="9">
        <f>ABS(Table1820[[#This Row],[Difference]])</f>
        <v>0</v>
      </c>
      <c r="AW58" s="9" t="s">
        <v>1136</v>
      </c>
    </row>
    <row r="59" spans="1:49" x14ac:dyDescent="0.3">
      <c r="A59" t="s">
        <v>150</v>
      </c>
      <c r="B59" s="7">
        <v>45920</v>
      </c>
      <c r="C59" t="s">
        <v>70</v>
      </c>
      <c r="D59" t="s">
        <v>1098</v>
      </c>
      <c r="E59" s="3" t="s">
        <v>1103</v>
      </c>
      <c r="F59" s="3">
        <v>1</v>
      </c>
      <c r="G59" t="s">
        <v>10</v>
      </c>
      <c r="H59" t="s">
        <v>1106</v>
      </c>
      <c r="I59" t="s">
        <v>43</v>
      </c>
      <c r="J59" t="s">
        <v>51</v>
      </c>
      <c r="K59" t="s">
        <v>10</v>
      </c>
      <c r="L59" t="s">
        <v>10</v>
      </c>
      <c r="M59" t="s">
        <v>10</v>
      </c>
      <c r="N59" t="s">
        <v>57</v>
      </c>
      <c r="O59" t="str">
        <f>INDEX(CoverageTable[Deductible Applies],MATCH(Table1820[[#This Row],[Coverage]],CoverageTable[Coverage],0))</f>
        <v>No</v>
      </c>
      <c r="P59" t="str">
        <f>INDEX(CoverageTable[Coverage Limit Applies],MATCH(Table1820[[#This Row],[Coverage]],CoverageTable[Coverage],0))</f>
        <v>Yes</v>
      </c>
      <c r="Q59" t="s">
        <v>10</v>
      </c>
      <c r="R59" t="s">
        <v>80</v>
      </c>
      <c r="S59" t="s">
        <v>10</v>
      </c>
      <c r="T59" t="s">
        <v>10</v>
      </c>
      <c r="U59" t="s">
        <v>57</v>
      </c>
      <c r="V59" t="s">
        <v>10</v>
      </c>
      <c r="W59" t="s">
        <v>10</v>
      </c>
      <c r="X59" s="11">
        <v>811.77183512205806</v>
      </c>
      <c r="Y59">
        <f>_xlfn.XLOOKUP(Table1820[[#This Row],[Coverage]],CoverageTable[Coverage],CoverageTable[Base Rate],,0)</f>
        <v>622</v>
      </c>
      <c r="Z59">
        <f>INDEX(Table16[Ageband Factor],MATCH(Table1820[[#This Row],[Ageband]],Table16[Ageband],0))</f>
        <v>1.23</v>
      </c>
      <c r="AA59">
        <f>VLOOKUP(Table1820[[#This Row],[Years Driving]],Table1[],2)</f>
        <v>0.93</v>
      </c>
      <c r="AB59">
        <f>_xlfn.XLOOKUP(Table1820[[#This Row],[At Fault Accidents]],Table2[At Fault Accidents],Table2[At Fault Accident Factor],,0)</f>
        <v>1.34</v>
      </c>
      <c r="AC59">
        <f>_xlfn.XLOOKUP(Table1820[[#This Row],[Usage-Based Insurance]],Table3[Usage-Based Insurance],Table3[Usage-Based Insurance Discount],,0)</f>
        <v>1</v>
      </c>
      <c r="AD59">
        <f>_xlfn.XLOOKUP(Table1820[[#This Row],[Yearly Miles]],Table4[Yearly Miles],Table4[Yearly Miles Factor],,0)</f>
        <v>0.82</v>
      </c>
      <c r="AE59">
        <f>_xlfn.XLOOKUP(Table1820[[#This Row],[City/Zip Code]],Table5[City/Zip Code],Table5[City/Zip Code Factor],,0)</f>
        <v>1.18</v>
      </c>
      <c r="AF59">
        <f>_xlfn.XLOOKUP(Table1820[[#This Row],[Vehicle Price]],Table6[Vehicle Price],Table6[Vehicle Price Factor])</f>
        <v>1.28</v>
      </c>
      <c r="AG59">
        <f>_xlfn.XLOOKUP(Table1820[[#This Row],[Exotic Car]],Table7[Exotic Car],Table7[Exotic Car Factor],,0)</f>
        <v>1</v>
      </c>
      <c r="AH59">
        <f>_xlfn.XLOOKUP(Table1820[[#This Row],[Difficult Parts]],Table8[Difficult Parts],Table8[Difficult Parts Factor],,0)</f>
        <v>1</v>
      </c>
      <c r="AI59">
        <f>_xlfn.XLOOKUP(Table1820[[#This Row],[High Theft Rate]],Table9[High Theft Rate],Table9[High Theft Rate Factor],,0)</f>
        <v>1</v>
      </c>
      <c r="AJ59">
        <f>_xlfn.XLOOKUP(Table1820[[#This Row],[Advanced Safety Features]],Table10[Advanced Safety Features],Table10[Advanced Safety Features Factor],,0)</f>
        <v>0.88</v>
      </c>
      <c r="AK59">
        <f>_xlfn.XLOOKUP(Table1820[[#This Row],[Deductible]],Table12[Deductible],Table12[Deductible Factor],,0)</f>
        <v>1</v>
      </c>
      <c r="AL59">
        <f>_xlfn.XLOOKUP(Table1820[[#This Row],[Coverage Limit]],Table13[Coverage Limit],Table13[Coverage Limit Factor],,0)</f>
        <v>0.84</v>
      </c>
      <c r="AM59">
        <f>IF(Table1820[[#This Row],[Good Student Discount]]="Yes",'Rate Book'!$D$126,1)</f>
        <v>1</v>
      </c>
      <c r="AN59">
        <f>IF(Table1820[[#This Row],[Good Driver Discount]]="Yes",'Rate Book'!$D$127,1)</f>
        <v>1</v>
      </c>
      <c r="AO59">
        <f>IF(Table1820[[#This Row],[Multi Policy Discount]]="Yes",'Rate Book'!$D$128,1)</f>
        <v>0.93</v>
      </c>
      <c r="AP59">
        <f>IF(Table1820[[#This Row],[Loyal Customer Discount]]="Yes",'Rate Book'!$D$129,1)</f>
        <v>1</v>
      </c>
      <c r="AQ59">
        <f>IF(Table1820[[#This Row],[Organization Discount]]="Yes",'Rate Book'!$D$130,1)</f>
        <v>1</v>
      </c>
      <c r="AR59" cm="1">
        <f t="array" ref="AR59">IF(Table1820[[#This Row],[Effective Date]]&gt;=RateChangeTable[Effective Date],RateChangeTable[Rate Change Factor],1)</f>
        <v>1</v>
      </c>
      <c r="AS59" s="10">
        <f>PRODUCT(Table1820[[#This Row],[Base Rate]:[Rate Change Factor]])</f>
        <v>811.77183512205806</v>
      </c>
      <c r="AT59" s="9">
        <f>Table1820[[#This Row],[System-Generated Premium]]-Table1820[[#This Row],[Expected Premium]]</f>
        <v>0</v>
      </c>
      <c r="AU59" t="str">
        <f>IF(Table1820[[#This Row],[Difference]]=0,"PASS","FAIL")</f>
        <v>PASS</v>
      </c>
      <c r="AV59" s="9">
        <f>ABS(Table1820[[#This Row],[Difference]])</f>
        <v>0</v>
      </c>
      <c r="AW59" s="9" t="s">
        <v>1136</v>
      </c>
    </row>
    <row r="60" spans="1:49" x14ac:dyDescent="0.3">
      <c r="A60" t="s">
        <v>151</v>
      </c>
      <c r="B60" s="7">
        <v>45996</v>
      </c>
      <c r="C60" t="s">
        <v>70</v>
      </c>
      <c r="D60" t="s">
        <v>1101</v>
      </c>
      <c r="E60" s="3">
        <v>4</v>
      </c>
      <c r="F60" s="3">
        <v>0</v>
      </c>
      <c r="G60" t="s">
        <v>11</v>
      </c>
      <c r="H60" t="s">
        <v>1108</v>
      </c>
      <c r="I60" t="s">
        <v>35</v>
      </c>
      <c r="J60" t="s">
        <v>54</v>
      </c>
      <c r="K60" t="s">
        <v>10</v>
      </c>
      <c r="L60" t="s">
        <v>57</v>
      </c>
      <c r="M60" t="s">
        <v>10</v>
      </c>
      <c r="N60" t="s">
        <v>10</v>
      </c>
      <c r="O60" t="str">
        <f>INDEX(CoverageTable[Deductible Applies],MATCH(Table1820[[#This Row],[Coverage]],CoverageTable[Coverage],0))</f>
        <v>No</v>
      </c>
      <c r="P60" t="str">
        <f>INDEX(CoverageTable[Coverage Limit Applies],MATCH(Table1820[[#This Row],[Coverage]],CoverageTable[Coverage],0))</f>
        <v>Yes</v>
      </c>
      <c r="Q60" t="s">
        <v>10</v>
      </c>
      <c r="R60" t="s">
        <v>78</v>
      </c>
      <c r="S60" t="s">
        <v>10</v>
      </c>
      <c r="T60" t="s">
        <v>57</v>
      </c>
      <c r="U60" t="s">
        <v>10</v>
      </c>
      <c r="V60" t="s">
        <v>10</v>
      </c>
      <c r="W60" t="s">
        <v>10</v>
      </c>
      <c r="X60" s="11">
        <v>1607.0707045941365</v>
      </c>
      <c r="Y60">
        <f>_xlfn.XLOOKUP(Table1820[[#This Row],[Coverage]],CoverageTable[Coverage],CoverageTable[Base Rate],,0)</f>
        <v>622</v>
      </c>
      <c r="Z60">
        <f>INDEX(Table16[Ageband Factor],MATCH(Table1820[[#This Row],[Ageband]],Table16[Ageband],0))</f>
        <v>1.1200000000000001</v>
      </c>
      <c r="AA60">
        <f>VLOOKUP(Table1820[[#This Row],[Years Driving]],Table1[],2)</f>
        <v>1.1499999999999999</v>
      </c>
      <c r="AB60">
        <f>_xlfn.XLOOKUP(Table1820[[#This Row],[At Fault Accidents]],Table2[At Fault Accidents],Table2[At Fault Accident Factor],,0)</f>
        <v>1</v>
      </c>
      <c r="AC60">
        <f>_xlfn.XLOOKUP(Table1820[[#This Row],[Usage-Based Insurance]],Table3[Usage-Based Insurance],Table3[Usage-Based Insurance Discount],,0)</f>
        <v>0.95</v>
      </c>
      <c r="AD60">
        <f>_xlfn.XLOOKUP(Table1820[[#This Row],[Yearly Miles]],Table4[Yearly Miles],Table4[Yearly Miles Factor],,0)</f>
        <v>1</v>
      </c>
      <c r="AE60">
        <f>_xlfn.XLOOKUP(Table1820[[#This Row],[City/Zip Code]],Table5[City/Zip Code],Table5[City/Zip Code Factor],,0)</f>
        <v>1.1200000000000001</v>
      </c>
      <c r="AF60">
        <f>_xlfn.XLOOKUP(Table1820[[#This Row],[Vehicle Price]],Table6[Vehicle Price],Table6[Vehicle Price Factor])</f>
        <v>2.87</v>
      </c>
      <c r="AG60">
        <f>_xlfn.XLOOKUP(Table1820[[#This Row],[Exotic Car]],Table7[Exotic Car],Table7[Exotic Car Factor],,0)</f>
        <v>1</v>
      </c>
      <c r="AH60">
        <f>_xlfn.XLOOKUP(Table1820[[#This Row],[Difficult Parts]],Table8[Difficult Parts],Table8[Difficult Parts Factor],,0)</f>
        <v>1.21</v>
      </c>
      <c r="AI60">
        <f>_xlfn.XLOOKUP(Table1820[[#This Row],[High Theft Rate]],Table9[High Theft Rate],Table9[High Theft Rate Factor],,0)</f>
        <v>1</v>
      </c>
      <c r="AJ60">
        <f>_xlfn.XLOOKUP(Table1820[[#This Row],[Advanced Safety Features]],Table10[Advanced Safety Features],Table10[Advanced Safety Features Factor],,0)</f>
        <v>1</v>
      </c>
      <c r="AK60">
        <f>_xlfn.XLOOKUP(Table1820[[#This Row],[Deductible]],Table12[Deductible],Table12[Deductible Factor],,0)</f>
        <v>1</v>
      </c>
      <c r="AL60">
        <f>_xlfn.XLOOKUP(Table1820[[#This Row],[Coverage Limit]],Table13[Coverage Limit],Table13[Coverage Limit Factor],,0)</f>
        <v>0.61</v>
      </c>
      <c r="AM60">
        <f>IF(Table1820[[#This Row],[Good Student Discount]]="Yes",'Rate Book'!$D$126,1)</f>
        <v>1</v>
      </c>
      <c r="AN60">
        <f>IF(Table1820[[#This Row],[Good Driver Discount]]="Yes",'Rate Book'!$D$127,1)</f>
        <v>0.89</v>
      </c>
      <c r="AO60">
        <f>IF(Table1820[[#This Row],[Multi Policy Discount]]="Yes",'Rate Book'!$D$128,1)</f>
        <v>1</v>
      </c>
      <c r="AP60">
        <f>IF(Table1820[[#This Row],[Loyal Customer Discount]]="Yes",'Rate Book'!$D$129,1)</f>
        <v>1</v>
      </c>
      <c r="AQ60">
        <f>IF(Table1820[[#This Row],[Organization Discount]]="Yes",'Rate Book'!$D$130,1)</f>
        <v>1</v>
      </c>
      <c r="AR60" cm="1">
        <f t="array" ref="AR60">IF(Table1820[[#This Row],[Effective Date]]&gt;=RateChangeTable[Effective Date],RateChangeTable[Rate Change Factor],1)</f>
        <v>1</v>
      </c>
      <c r="AS60" s="10">
        <f>PRODUCT(Table1820[[#This Row],[Base Rate]:[Rate Change Factor]])</f>
        <v>1607.0707045941365</v>
      </c>
      <c r="AT60" s="9">
        <f>Table1820[[#This Row],[System-Generated Premium]]-Table1820[[#This Row],[Expected Premium]]</f>
        <v>0</v>
      </c>
      <c r="AU60" t="str">
        <f>IF(Table1820[[#This Row],[Difference]]=0,"PASS","FAIL")</f>
        <v>PASS</v>
      </c>
      <c r="AV60" s="9">
        <f>ABS(Table1820[[#This Row],[Difference]])</f>
        <v>0</v>
      </c>
      <c r="AW60" s="9" t="s">
        <v>1136</v>
      </c>
    </row>
    <row r="61" spans="1:49" x14ac:dyDescent="0.3">
      <c r="A61" t="s">
        <v>152</v>
      </c>
      <c r="B61" s="7">
        <v>46125</v>
      </c>
      <c r="C61" t="s">
        <v>71</v>
      </c>
      <c r="D61" t="s">
        <v>1101</v>
      </c>
      <c r="E61" s="3">
        <v>1</v>
      </c>
      <c r="F61" s="3">
        <v>1</v>
      </c>
      <c r="G61" t="s">
        <v>10</v>
      </c>
      <c r="H61" t="s">
        <v>1110</v>
      </c>
      <c r="I61" t="s">
        <v>33</v>
      </c>
      <c r="J61" t="s">
        <v>53</v>
      </c>
      <c r="K61" t="s">
        <v>57</v>
      </c>
      <c r="L61" t="s">
        <v>10</v>
      </c>
      <c r="M61" t="s">
        <v>10</v>
      </c>
      <c r="N61" t="s">
        <v>10</v>
      </c>
      <c r="O61" t="str">
        <f>INDEX(CoverageTable[Deductible Applies],MATCH(Table1820[[#This Row],[Coverage]],CoverageTable[Coverage],0))</f>
        <v>Yes</v>
      </c>
      <c r="P61" t="str">
        <f>INDEX(CoverageTable[Coverage Limit Applies],MATCH(Table1820[[#This Row],[Coverage]],CoverageTable[Coverage],0))</f>
        <v>No</v>
      </c>
      <c r="Q61" t="s">
        <v>79</v>
      </c>
      <c r="R61" t="s">
        <v>10</v>
      </c>
      <c r="S61" t="s">
        <v>10</v>
      </c>
      <c r="T61" t="s">
        <v>10</v>
      </c>
      <c r="U61" t="s">
        <v>57</v>
      </c>
      <c r="V61" t="s">
        <v>10</v>
      </c>
      <c r="W61" t="s">
        <v>10</v>
      </c>
      <c r="X61" s="11">
        <v>3189.8170677039043</v>
      </c>
      <c r="Y61">
        <f>_xlfn.XLOOKUP(Table1820[[#This Row],[Coverage]],CoverageTable[Coverage],CoverageTable[Base Rate],,0)</f>
        <v>453</v>
      </c>
      <c r="Z61">
        <f>INDEX(Table16[Ageband Factor],MATCH(Table1820[[#This Row],[Ageband]],Table16[Ageband],0))</f>
        <v>1.1200000000000001</v>
      </c>
      <c r="AA61">
        <f>VLOOKUP(Table1820[[#This Row],[Years Driving]],Table1[],2)</f>
        <v>1.64</v>
      </c>
      <c r="AB61">
        <f>_xlfn.XLOOKUP(Table1820[[#This Row],[At Fault Accidents]],Table2[At Fault Accidents],Table2[At Fault Accident Factor],,0)</f>
        <v>1.34</v>
      </c>
      <c r="AC61">
        <f>_xlfn.XLOOKUP(Table1820[[#This Row],[Usage-Based Insurance]],Table3[Usage-Based Insurance],Table3[Usage-Based Insurance Discount],,0)</f>
        <v>1</v>
      </c>
      <c r="AD61">
        <f>_xlfn.XLOOKUP(Table1820[[#This Row],[Yearly Miles]],Table4[Yearly Miles],Table4[Yearly Miles Factor],,0)</f>
        <v>1.31</v>
      </c>
      <c r="AE61">
        <f>_xlfn.XLOOKUP(Table1820[[#This Row],[City/Zip Code]],Table5[City/Zip Code],Table5[City/Zip Code Factor],,0)</f>
        <v>1.02</v>
      </c>
      <c r="AF61">
        <f>_xlfn.XLOOKUP(Table1820[[#This Row],[Vehicle Price]],Table6[Vehicle Price],Table6[Vehicle Price Factor])</f>
        <v>2.02</v>
      </c>
      <c r="AG61">
        <f>_xlfn.XLOOKUP(Table1820[[#This Row],[Exotic Car]],Table7[Exotic Car],Table7[Exotic Car Factor],,0)</f>
        <v>1.28</v>
      </c>
      <c r="AH61">
        <f>_xlfn.XLOOKUP(Table1820[[#This Row],[Difficult Parts]],Table8[Difficult Parts],Table8[Difficult Parts Factor],,0)</f>
        <v>1</v>
      </c>
      <c r="AI61">
        <f>_xlfn.XLOOKUP(Table1820[[#This Row],[High Theft Rate]],Table9[High Theft Rate],Table9[High Theft Rate Factor],,0)</f>
        <v>1</v>
      </c>
      <c r="AJ61">
        <f>_xlfn.XLOOKUP(Table1820[[#This Row],[Advanced Safety Features]],Table10[Advanced Safety Features],Table10[Advanced Safety Features Factor],,0)</f>
        <v>1</v>
      </c>
      <c r="AK61">
        <f>_xlfn.XLOOKUP(Table1820[[#This Row],[Deductible]],Table12[Deductible],Table12[Deductible Factor],,0)</f>
        <v>0.84</v>
      </c>
      <c r="AL61">
        <f>_xlfn.XLOOKUP(Table1820[[#This Row],[Coverage Limit]],Table13[Coverage Limit],Table13[Coverage Limit Factor],,0)</f>
        <v>1</v>
      </c>
      <c r="AM61">
        <f>IF(Table1820[[#This Row],[Good Student Discount]]="Yes",'Rate Book'!$D$126,1)</f>
        <v>1</v>
      </c>
      <c r="AN61">
        <f>IF(Table1820[[#This Row],[Good Driver Discount]]="Yes",'Rate Book'!$D$127,1)</f>
        <v>1</v>
      </c>
      <c r="AO61">
        <f>IF(Table1820[[#This Row],[Multi Policy Discount]]="Yes",'Rate Book'!$D$128,1)</f>
        <v>0.93</v>
      </c>
      <c r="AP61">
        <f>IF(Table1820[[#This Row],[Loyal Customer Discount]]="Yes",'Rate Book'!$D$129,1)</f>
        <v>1</v>
      </c>
      <c r="AQ61">
        <f>IF(Table1820[[#This Row],[Organization Discount]]="Yes",'Rate Book'!$D$130,1)</f>
        <v>1</v>
      </c>
      <c r="AR61" cm="1">
        <f t="array" ref="AR61">IF(Table1820[[#This Row],[Effective Date]]&gt;=RateChangeTable[Effective Date],RateChangeTable[Rate Change Factor],1)</f>
        <v>1.06</v>
      </c>
      <c r="AS61" s="10">
        <f>PRODUCT(Table1820[[#This Row],[Base Rate]:[Rate Change Factor]])</f>
        <v>3189.8170677039043</v>
      </c>
      <c r="AT61" s="9">
        <f>Table1820[[#This Row],[System-Generated Premium]]-Table1820[[#This Row],[Expected Premium]]</f>
        <v>0</v>
      </c>
      <c r="AU61" t="str">
        <f>IF(Table1820[[#This Row],[Difference]]=0,"PASS","FAIL")</f>
        <v>PASS</v>
      </c>
      <c r="AV61" s="9">
        <f>ABS(Table1820[[#This Row],[Difference]])</f>
        <v>0</v>
      </c>
      <c r="AW61" s="9" t="s">
        <v>1136</v>
      </c>
    </row>
    <row r="62" spans="1:49" x14ac:dyDescent="0.3">
      <c r="A62" t="s">
        <v>153</v>
      </c>
      <c r="B62" s="7">
        <v>46107</v>
      </c>
      <c r="C62" t="s">
        <v>70</v>
      </c>
      <c r="D62" t="s">
        <v>1101</v>
      </c>
      <c r="E62" s="3">
        <v>1</v>
      </c>
      <c r="F62" s="3">
        <v>4</v>
      </c>
      <c r="G62" t="s">
        <v>10</v>
      </c>
      <c r="H62" t="s">
        <v>1110</v>
      </c>
      <c r="I62" t="s">
        <v>32</v>
      </c>
      <c r="J62" t="s">
        <v>54</v>
      </c>
      <c r="K62" t="s">
        <v>10</v>
      </c>
      <c r="L62" t="s">
        <v>10</v>
      </c>
      <c r="M62" t="s">
        <v>57</v>
      </c>
      <c r="N62" t="s">
        <v>10</v>
      </c>
      <c r="O62" t="str">
        <f>INDEX(CoverageTable[Deductible Applies],MATCH(Table1820[[#This Row],[Coverage]],CoverageTable[Coverage],0))</f>
        <v>No</v>
      </c>
      <c r="P62" t="str">
        <f>INDEX(CoverageTable[Coverage Limit Applies],MATCH(Table1820[[#This Row],[Coverage]],CoverageTable[Coverage],0))</f>
        <v>Yes</v>
      </c>
      <c r="Q62" t="s">
        <v>10</v>
      </c>
      <c r="R62" t="s">
        <v>78</v>
      </c>
      <c r="S62" t="s">
        <v>57</v>
      </c>
      <c r="T62" t="s">
        <v>10</v>
      </c>
      <c r="U62" t="s">
        <v>10</v>
      </c>
      <c r="V62" t="s">
        <v>10</v>
      </c>
      <c r="W62" t="s">
        <v>10</v>
      </c>
      <c r="X62" s="11">
        <v>7037.8636433414285</v>
      </c>
      <c r="Y62">
        <f>_xlfn.XLOOKUP(Table1820[[#This Row],[Coverage]],CoverageTable[Coverage],CoverageTable[Base Rate],,0)</f>
        <v>622</v>
      </c>
      <c r="Z62">
        <f>INDEX(Table16[Ageband Factor],MATCH(Table1820[[#This Row],[Ageband]],Table16[Ageband],0))</f>
        <v>1.1200000000000001</v>
      </c>
      <c r="AA62">
        <f>VLOOKUP(Table1820[[#This Row],[Years Driving]],Table1[],2)</f>
        <v>1.64</v>
      </c>
      <c r="AB62">
        <f>_xlfn.XLOOKUP(Table1820[[#This Row],[At Fault Accidents]],Table2[At Fault Accidents],Table2[At Fault Accident Factor],,0)</f>
        <v>2.12</v>
      </c>
      <c r="AC62">
        <f>_xlfn.XLOOKUP(Table1820[[#This Row],[Usage-Based Insurance]],Table3[Usage-Based Insurance],Table3[Usage-Based Insurance Discount],,0)</f>
        <v>1</v>
      </c>
      <c r="AD62">
        <f>_xlfn.XLOOKUP(Table1820[[#This Row],[Yearly Miles]],Table4[Yearly Miles],Table4[Yearly Miles Factor],,0)</f>
        <v>1.31</v>
      </c>
      <c r="AE62">
        <f>_xlfn.XLOOKUP(Table1820[[#This Row],[City/Zip Code]],Table5[City/Zip Code],Table5[City/Zip Code Factor],,0)</f>
        <v>1.1200000000000001</v>
      </c>
      <c r="AF62">
        <f>_xlfn.XLOOKUP(Table1820[[#This Row],[Vehicle Price]],Table6[Vehicle Price],Table6[Vehicle Price Factor])</f>
        <v>2.87</v>
      </c>
      <c r="AG62">
        <f>_xlfn.XLOOKUP(Table1820[[#This Row],[Exotic Car]],Table7[Exotic Car],Table7[Exotic Car Factor],,0)</f>
        <v>1</v>
      </c>
      <c r="AH62">
        <f>_xlfn.XLOOKUP(Table1820[[#This Row],[Difficult Parts]],Table8[Difficult Parts],Table8[Difficult Parts Factor],,0)</f>
        <v>1</v>
      </c>
      <c r="AI62">
        <f>_xlfn.XLOOKUP(Table1820[[#This Row],[High Theft Rate]],Table9[High Theft Rate],Table9[High Theft Rate Factor],,0)</f>
        <v>1.1599999999999999</v>
      </c>
      <c r="AJ62">
        <f>_xlfn.XLOOKUP(Table1820[[#This Row],[Advanced Safety Features]],Table10[Advanced Safety Features],Table10[Advanced Safety Features Factor],,0)</f>
        <v>1</v>
      </c>
      <c r="AK62">
        <f>_xlfn.XLOOKUP(Table1820[[#This Row],[Deductible]],Table12[Deductible],Table12[Deductible Factor],,0)</f>
        <v>1</v>
      </c>
      <c r="AL62">
        <f>_xlfn.XLOOKUP(Table1820[[#This Row],[Coverage Limit]],Table13[Coverage Limit],Table13[Coverage Limit Factor],,0)</f>
        <v>0.61</v>
      </c>
      <c r="AM62">
        <f>IF(Table1820[[#This Row],[Good Student Discount]]="Yes",'Rate Book'!$D$126,1)</f>
        <v>0.92</v>
      </c>
      <c r="AN62">
        <f>IF(Table1820[[#This Row],[Good Driver Discount]]="Yes",'Rate Book'!$D$127,1)</f>
        <v>1</v>
      </c>
      <c r="AO62">
        <f>IF(Table1820[[#This Row],[Multi Policy Discount]]="Yes",'Rate Book'!$D$128,1)</f>
        <v>1</v>
      </c>
      <c r="AP62">
        <f>IF(Table1820[[#This Row],[Loyal Customer Discount]]="Yes",'Rate Book'!$D$129,1)</f>
        <v>1</v>
      </c>
      <c r="AQ62">
        <f>IF(Table1820[[#This Row],[Organization Discount]]="Yes",'Rate Book'!$D$130,1)</f>
        <v>1</v>
      </c>
      <c r="AR62" cm="1">
        <f t="array" ref="AR62">IF(Table1820[[#This Row],[Effective Date]]&gt;=RateChangeTable[Effective Date],RateChangeTable[Rate Change Factor],1)</f>
        <v>1.06</v>
      </c>
      <c r="AS62" s="10">
        <f>PRODUCT(Table1820[[#This Row],[Base Rate]:[Rate Change Factor]])</f>
        <v>7037.8636433414285</v>
      </c>
      <c r="AT62" s="9">
        <f>Table1820[[#This Row],[System-Generated Premium]]-Table1820[[#This Row],[Expected Premium]]</f>
        <v>0</v>
      </c>
      <c r="AU62" t="str">
        <f>IF(Table1820[[#This Row],[Difference]]=0,"PASS","FAIL")</f>
        <v>PASS</v>
      </c>
      <c r="AV62" s="9">
        <f>ABS(Table1820[[#This Row],[Difference]])</f>
        <v>0</v>
      </c>
      <c r="AW62" s="9" t="s">
        <v>1136</v>
      </c>
    </row>
    <row r="63" spans="1:49" x14ac:dyDescent="0.3">
      <c r="A63" t="s">
        <v>154</v>
      </c>
      <c r="B63" s="7">
        <v>46121</v>
      </c>
      <c r="C63" t="s">
        <v>71</v>
      </c>
      <c r="D63" t="s">
        <v>1099</v>
      </c>
      <c r="E63" s="3">
        <v>2</v>
      </c>
      <c r="F63" s="3">
        <v>2</v>
      </c>
      <c r="G63" t="s">
        <v>10</v>
      </c>
      <c r="H63" t="s">
        <v>1108</v>
      </c>
      <c r="I63" t="s">
        <v>35</v>
      </c>
      <c r="J63" t="s">
        <v>54</v>
      </c>
      <c r="K63" t="s">
        <v>10</v>
      </c>
      <c r="L63" t="s">
        <v>57</v>
      </c>
      <c r="M63" t="s">
        <v>57</v>
      </c>
      <c r="N63" t="s">
        <v>57</v>
      </c>
      <c r="O63" t="str">
        <f>INDEX(CoverageTable[Deductible Applies],MATCH(Table1820[[#This Row],[Coverage]],CoverageTable[Coverage],0))</f>
        <v>Yes</v>
      </c>
      <c r="P63" t="str">
        <f>INDEX(CoverageTable[Coverage Limit Applies],MATCH(Table1820[[#This Row],[Coverage]],CoverageTable[Coverage],0))</f>
        <v>No</v>
      </c>
      <c r="Q63" t="s">
        <v>78</v>
      </c>
      <c r="R63" t="s">
        <v>10</v>
      </c>
      <c r="S63" t="s">
        <v>10</v>
      </c>
      <c r="T63" t="s">
        <v>57</v>
      </c>
      <c r="U63" t="s">
        <v>57</v>
      </c>
      <c r="V63" t="s">
        <v>10</v>
      </c>
      <c r="W63" t="s">
        <v>10</v>
      </c>
      <c r="X63" s="11">
        <v>3276.2526836032243</v>
      </c>
      <c r="Y63">
        <f>_xlfn.XLOOKUP(Table1820[[#This Row],[Coverage]],CoverageTable[Coverage],CoverageTable[Base Rate],,0)</f>
        <v>453</v>
      </c>
      <c r="Z63">
        <f>INDEX(Table16[Ageband Factor],MATCH(Table1820[[#This Row],[Ageband]],Table16[Ageband],0))</f>
        <v>1</v>
      </c>
      <c r="AA63">
        <f>VLOOKUP(Table1820[[#This Row],[Years Driving]],Table1[],2)</f>
        <v>1.41</v>
      </c>
      <c r="AB63">
        <f>_xlfn.XLOOKUP(Table1820[[#This Row],[At Fault Accidents]],Table2[At Fault Accidents],Table2[At Fault Accident Factor],,0)</f>
        <v>1.55</v>
      </c>
      <c r="AC63">
        <f>_xlfn.XLOOKUP(Table1820[[#This Row],[Usage-Based Insurance]],Table3[Usage-Based Insurance],Table3[Usage-Based Insurance Discount],,0)</f>
        <v>1</v>
      </c>
      <c r="AD63">
        <f>_xlfn.XLOOKUP(Table1820[[#This Row],[Yearly Miles]],Table4[Yearly Miles],Table4[Yearly Miles Factor],,0)</f>
        <v>1</v>
      </c>
      <c r="AE63">
        <f>_xlfn.XLOOKUP(Table1820[[#This Row],[City/Zip Code]],Table5[City/Zip Code],Table5[City/Zip Code Factor],,0)</f>
        <v>1.1200000000000001</v>
      </c>
      <c r="AF63">
        <f>_xlfn.XLOOKUP(Table1820[[#This Row],[Vehicle Price]],Table6[Vehicle Price],Table6[Vehicle Price Factor])</f>
        <v>2.87</v>
      </c>
      <c r="AG63">
        <f>_xlfn.XLOOKUP(Table1820[[#This Row],[Exotic Car]],Table7[Exotic Car],Table7[Exotic Car Factor],,0)</f>
        <v>1</v>
      </c>
      <c r="AH63">
        <f>_xlfn.XLOOKUP(Table1820[[#This Row],[Difficult Parts]],Table8[Difficult Parts],Table8[Difficult Parts Factor],,0)</f>
        <v>1.21</v>
      </c>
      <c r="AI63">
        <f>_xlfn.XLOOKUP(Table1820[[#This Row],[High Theft Rate]],Table9[High Theft Rate],Table9[High Theft Rate Factor],,0)</f>
        <v>1.1599999999999999</v>
      </c>
      <c r="AJ63">
        <f>_xlfn.XLOOKUP(Table1820[[#This Row],[Advanced Safety Features]],Table10[Advanced Safety Features],Table10[Advanced Safety Features Factor],,0)</f>
        <v>0.88</v>
      </c>
      <c r="AK63">
        <f>_xlfn.XLOOKUP(Table1820[[#This Row],[Deductible]],Table12[Deductible],Table12[Deductible Factor],,0)</f>
        <v>0.95</v>
      </c>
      <c r="AL63">
        <f>_xlfn.XLOOKUP(Table1820[[#This Row],[Coverage Limit]],Table13[Coverage Limit],Table13[Coverage Limit Factor],,0)</f>
        <v>1</v>
      </c>
      <c r="AM63">
        <f>IF(Table1820[[#This Row],[Good Student Discount]]="Yes",'Rate Book'!$D$126,1)</f>
        <v>1</v>
      </c>
      <c r="AN63">
        <f>IF(Table1820[[#This Row],[Good Driver Discount]]="Yes",'Rate Book'!$D$127,1)</f>
        <v>0.89</v>
      </c>
      <c r="AO63">
        <f>IF(Table1820[[#This Row],[Multi Policy Discount]]="Yes",'Rate Book'!$D$128,1)</f>
        <v>0.93</v>
      </c>
      <c r="AP63">
        <f>IF(Table1820[[#This Row],[Loyal Customer Discount]]="Yes",'Rate Book'!$D$129,1)</f>
        <v>1</v>
      </c>
      <c r="AQ63">
        <f>IF(Table1820[[#This Row],[Organization Discount]]="Yes",'Rate Book'!$D$130,1)</f>
        <v>1</v>
      </c>
      <c r="AR63" cm="1">
        <f t="array" ref="AR63">IF(Table1820[[#This Row],[Effective Date]]&gt;=RateChangeTable[Effective Date],RateChangeTable[Rate Change Factor],1)</f>
        <v>1.06</v>
      </c>
      <c r="AS63" s="10">
        <f>PRODUCT(Table1820[[#This Row],[Base Rate]:[Rate Change Factor]])</f>
        <v>3276.2526836032243</v>
      </c>
      <c r="AT63" s="9">
        <f>Table1820[[#This Row],[System-Generated Premium]]-Table1820[[#This Row],[Expected Premium]]</f>
        <v>0</v>
      </c>
      <c r="AU63" t="str">
        <f>IF(Table1820[[#This Row],[Difference]]=0,"PASS","FAIL")</f>
        <v>PASS</v>
      </c>
      <c r="AV63" s="9">
        <f>ABS(Table1820[[#This Row],[Difference]])</f>
        <v>0</v>
      </c>
      <c r="AW63" s="9" t="s">
        <v>1136</v>
      </c>
    </row>
    <row r="64" spans="1:49" x14ac:dyDescent="0.3">
      <c r="A64" t="s">
        <v>155</v>
      </c>
      <c r="B64" s="7">
        <v>46081</v>
      </c>
      <c r="C64" t="s">
        <v>71</v>
      </c>
      <c r="D64" t="s">
        <v>1098</v>
      </c>
      <c r="E64" s="3">
        <v>5</v>
      </c>
      <c r="F64" s="3">
        <v>4</v>
      </c>
      <c r="G64" t="s">
        <v>13</v>
      </c>
      <c r="H64" t="s">
        <v>1110</v>
      </c>
      <c r="I64" t="s">
        <v>32</v>
      </c>
      <c r="J64" t="s">
        <v>51</v>
      </c>
      <c r="K64" t="s">
        <v>10</v>
      </c>
      <c r="L64" t="s">
        <v>10</v>
      </c>
      <c r="M64" t="s">
        <v>10</v>
      </c>
      <c r="N64" t="s">
        <v>10</v>
      </c>
      <c r="O64" t="str">
        <f>INDEX(CoverageTable[Deductible Applies],MATCH(Table1820[[#This Row],[Coverage]],CoverageTable[Coverage],0))</f>
        <v>Yes</v>
      </c>
      <c r="P64" t="str">
        <f>INDEX(CoverageTable[Coverage Limit Applies],MATCH(Table1820[[#This Row],[Coverage]],CoverageTable[Coverage],0))</f>
        <v>No</v>
      </c>
      <c r="Q64" t="s">
        <v>79</v>
      </c>
      <c r="R64" t="s">
        <v>10</v>
      </c>
      <c r="S64" t="s">
        <v>10</v>
      </c>
      <c r="T64" t="s">
        <v>10</v>
      </c>
      <c r="U64" t="s">
        <v>10</v>
      </c>
      <c r="V64" t="s">
        <v>10</v>
      </c>
      <c r="W64" t="s">
        <v>10</v>
      </c>
      <c r="X64" s="11">
        <v>1373.7912565926392</v>
      </c>
      <c r="Y64">
        <f>_xlfn.XLOOKUP(Table1820[[#This Row],[Coverage]],CoverageTable[Coverage],CoverageTable[Base Rate],,0)</f>
        <v>453</v>
      </c>
      <c r="Z64">
        <f>INDEX(Table16[Ageband Factor],MATCH(Table1820[[#This Row],[Ageband]],Table16[Ageband],0))</f>
        <v>1.23</v>
      </c>
      <c r="AA64">
        <f>VLOOKUP(Table1820[[#This Row],[Years Driving]],Table1[],2)</f>
        <v>1.07</v>
      </c>
      <c r="AB64">
        <f>_xlfn.XLOOKUP(Table1820[[#This Row],[At Fault Accidents]],Table2[At Fault Accidents],Table2[At Fault Accident Factor],,0)</f>
        <v>2.12</v>
      </c>
      <c r="AC64">
        <f>_xlfn.XLOOKUP(Table1820[[#This Row],[Usage-Based Insurance]],Table3[Usage-Based Insurance],Table3[Usage-Based Insurance Discount],,0)</f>
        <v>0.65</v>
      </c>
      <c r="AD64">
        <f>_xlfn.XLOOKUP(Table1820[[#This Row],[Yearly Miles]],Table4[Yearly Miles],Table4[Yearly Miles Factor],,0)</f>
        <v>1.31</v>
      </c>
      <c r="AE64">
        <f>_xlfn.XLOOKUP(Table1820[[#This Row],[City/Zip Code]],Table5[City/Zip Code],Table5[City/Zip Code Factor],,0)</f>
        <v>1.1200000000000001</v>
      </c>
      <c r="AF64">
        <f>_xlfn.XLOOKUP(Table1820[[#This Row],[Vehicle Price]],Table6[Vehicle Price],Table6[Vehicle Price Factor])</f>
        <v>1.28</v>
      </c>
      <c r="AG64">
        <f>_xlfn.XLOOKUP(Table1820[[#This Row],[Exotic Car]],Table7[Exotic Car],Table7[Exotic Car Factor],,0)</f>
        <v>1</v>
      </c>
      <c r="AH64">
        <f>_xlfn.XLOOKUP(Table1820[[#This Row],[Difficult Parts]],Table8[Difficult Parts],Table8[Difficult Parts Factor],,0)</f>
        <v>1</v>
      </c>
      <c r="AI64">
        <f>_xlfn.XLOOKUP(Table1820[[#This Row],[High Theft Rate]],Table9[High Theft Rate],Table9[High Theft Rate Factor],,0)</f>
        <v>1</v>
      </c>
      <c r="AJ64">
        <f>_xlfn.XLOOKUP(Table1820[[#This Row],[Advanced Safety Features]],Table10[Advanced Safety Features],Table10[Advanced Safety Features Factor],,0)</f>
        <v>1</v>
      </c>
      <c r="AK64">
        <f>_xlfn.XLOOKUP(Table1820[[#This Row],[Deductible]],Table12[Deductible],Table12[Deductible Factor],,0)</f>
        <v>0.84</v>
      </c>
      <c r="AL64">
        <f>_xlfn.XLOOKUP(Table1820[[#This Row],[Coverage Limit]],Table13[Coverage Limit],Table13[Coverage Limit Factor],,0)</f>
        <v>1</v>
      </c>
      <c r="AM64">
        <f>IF(Table1820[[#This Row],[Good Student Discount]]="Yes",'Rate Book'!$D$126,1)</f>
        <v>1</v>
      </c>
      <c r="AN64">
        <f>IF(Table1820[[#This Row],[Good Driver Discount]]="Yes",'Rate Book'!$D$127,1)</f>
        <v>1</v>
      </c>
      <c r="AO64">
        <f>IF(Table1820[[#This Row],[Multi Policy Discount]]="Yes",'Rate Book'!$D$128,1)</f>
        <v>1</v>
      </c>
      <c r="AP64">
        <f>IF(Table1820[[#This Row],[Loyal Customer Discount]]="Yes",'Rate Book'!$D$129,1)</f>
        <v>1</v>
      </c>
      <c r="AQ64">
        <f>IF(Table1820[[#This Row],[Organization Discount]]="Yes",'Rate Book'!$D$130,1)</f>
        <v>1</v>
      </c>
      <c r="AR64" cm="1">
        <f t="array" ref="AR64">IF(Table1820[[#This Row],[Effective Date]]&gt;=RateChangeTable[Effective Date],RateChangeTable[Rate Change Factor],1)</f>
        <v>1.06</v>
      </c>
      <c r="AS64" s="10">
        <f>PRODUCT(Table1820[[#This Row],[Base Rate]:[Rate Change Factor]])</f>
        <v>1373.7912565926392</v>
      </c>
      <c r="AT64" s="9">
        <f>Table1820[[#This Row],[System-Generated Premium]]-Table1820[[#This Row],[Expected Premium]]</f>
        <v>0</v>
      </c>
      <c r="AU64" t="str">
        <f>IF(Table1820[[#This Row],[Difference]]=0,"PASS","FAIL")</f>
        <v>PASS</v>
      </c>
      <c r="AV64" s="9">
        <f>ABS(Table1820[[#This Row],[Difference]])</f>
        <v>0</v>
      </c>
      <c r="AW64" s="9" t="s">
        <v>1136</v>
      </c>
    </row>
    <row r="65" spans="1:49" x14ac:dyDescent="0.3">
      <c r="A65" t="s">
        <v>156</v>
      </c>
      <c r="B65" s="7">
        <v>46104</v>
      </c>
      <c r="C65" t="s">
        <v>73</v>
      </c>
      <c r="D65" t="s">
        <v>1102</v>
      </c>
      <c r="E65" s="3">
        <v>4</v>
      </c>
      <c r="F65" s="3">
        <v>0</v>
      </c>
      <c r="G65" t="s">
        <v>12</v>
      </c>
      <c r="H65" t="s">
        <v>1109</v>
      </c>
      <c r="I65" t="s">
        <v>28</v>
      </c>
      <c r="J65" t="s">
        <v>54</v>
      </c>
      <c r="K65" t="s">
        <v>10</v>
      </c>
      <c r="L65" t="s">
        <v>10</v>
      </c>
      <c r="M65" t="s">
        <v>10</v>
      </c>
      <c r="N65" t="s">
        <v>10</v>
      </c>
      <c r="O65" t="str">
        <f>INDEX(CoverageTable[Deductible Applies],MATCH(Table1820[[#This Row],[Coverage]],CoverageTable[Coverage],0))</f>
        <v>No</v>
      </c>
      <c r="P65" t="str">
        <f>INDEX(CoverageTable[Coverage Limit Applies],MATCH(Table1820[[#This Row],[Coverage]],CoverageTable[Coverage],0))</f>
        <v>Yes</v>
      </c>
      <c r="Q65" t="s">
        <v>10</v>
      </c>
      <c r="R65" t="s">
        <v>80</v>
      </c>
      <c r="S65" t="s">
        <v>57</v>
      </c>
      <c r="T65" t="s">
        <v>57</v>
      </c>
      <c r="U65" t="s">
        <v>10</v>
      </c>
      <c r="V65" t="s">
        <v>10</v>
      </c>
      <c r="W65" t="s">
        <v>10</v>
      </c>
      <c r="X65" s="11">
        <v>213.76502288856869</v>
      </c>
      <c r="Y65">
        <f>_xlfn.XLOOKUP(Table1820[[#This Row],[Coverage]],CoverageTable[Coverage],CoverageTable[Base Rate],,0)</f>
        <v>78</v>
      </c>
      <c r="Z65">
        <f>INDEX(Table16[Ageband Factor],MATCH(Table1820[[#This Row],[Ageband]],Table16[Ageband],0))</f>
        <v>1.27</v>
      </c>
      <c r="AA65">
        <f>VLOOKUP(Table1820[[#This Row],[Years Driving]],Table1[],2)</f>
        <v>1.1499999999999999</v>
      </c>
      <c r="AB65">
        <f>_xlfn.XLOOKUP(Table1820[[#This Row],[At Fault Accidents]],Table2[At Fault Accidents],Table2[At Fault Accident Factor],,0)</f>
        <v>1</v>
      </c>
      <c r="AC65">
        <f>_xlfn.XLOOKUP(Table1820[[#This Row],[Usage-Based Insurance]],Table3[Usage-Based Insurance],Table3[Usage-Based Insurance Discount],,0)</f>
        <v>0.8</v>
      </c>
      <c r="AD65">
        <f>_xlfn.XLOOKUP(Table1820[[#This Row],[Yearly Miles]],Table4[Yearly Miles],Table4[Yearly Miles Factor],,0)</f>
        <v>1.18</v>
      </c>
      <c r="AE65">
        <f>_xlfn.XLOOKUP(Table1820[[#This Row],[City/Zip Code]],Table5[City/Zip Code],Table5[City/Zip Code Factor],,0)</f>
        <v>0.95</v>
      </c>
      <c r="AF65">
        <f>_xlfn.XLOOKUP(Table1820[[#This Row],[Vehicle Price]],Table6[Vehicle Price],Table6[Vehicle Price Factor])</f>
        <v>2.87</v>
      </c>
      <c r="AG65">
        <f>_xlfn.XLOOKUP(Table1820[[#This Row],[Exotic Car]],Table7[Exotic Car],Table7[Exotic Car Factor],,0)</f>
        <v>1</v>
      </c>
      <c r="AH65">
        <f>_xlfn.XLOOKUP(Table1820[[#This Row],[Difficult Parts]],Table8[Difficult Parts],Table8[Difficult Parts Factor],,0)</f>
        <v>1</v>
      </c>
      <c r="AI65">
        <f>_xlfn.XLOOKUP(Table1820[[#This Row],[High Theft Rate]],Table9[High Theft Rate],Table9[High Theft Rate Factor],,0)</f>
        <v>1</v>
      </c>
      <c r="AJ65">
        <f>_xlfn.XLOOKUP(Table1820[[#This Row],[Advanced Safety Features]],Table10[Advanced Safety Features],Table10[Advanced Safety Features Factor],,0)</f>
        <v>1</v>
      </c>
      <c r="AK65">
        <f>_xlfn.XLOOKUP(Table1820[[#This Row],[Deductible]],Table12[Deductible],Table12[Deductible Factor],,0)</f>
        <v>1</v>
      </c>
      <c r="AL65">
        <f>_xlfn.XLOOKUP(Table1820[[#This Row],[Coverage Limit]],Table13[Coverage Limit],Table13[Coverage Limit Factor],,0)</f>
        <v>0.84</v>
      </c>
      <c r="AM65">
        <f>IF(Table1820[[#This Row],[Good Student Discount]]="Yes",'Rate Book'!$D$126,1)</f>
        <v>0.92</v>
      </c>
      <c r="AN65">
        <f>IF(Table1820[[#This Row],[Good Driver Discount]]="Yes",'Rate Book'!$D$127,1)</f>
        <v>0.89</v>
      </c>
      <c r="AO65">
        <f>IF(Table1820[[#This Row],[Multi Policy Discount]]="Yes",'Rate Book'!$D$128,1)</f>
        <v>1</v>
      </c>
      <c r="AP65">
        <f>IF(Table1820[[#This Row],[Loyal Customer Discount]]="Yes",'Rate Book'!$D$129,1)</f>
        <v>1</v>
      </c>
      <c r="AQ65">
        <f>IF(Table1820[[#This Row],[Organization Discount]]="Yes",'Rate Book'!$D$130,1)</f>
        <v>1</v>
      </c>
      <c r="AR65" cm="1">
        <f t="array" ref="AR65">IF(Table1820[[#This Row],[Effective Date]]&gt;=RateChangeTable[Effective Date],RateChangeTable[Rate Change Factor],1)</f>
        <v>1.06</v>
      </c>
      <c r="AS65" s="10">
        <f>PRODUCT(Table1820[[#This Row],[Base Rate]:[Rate Change Factor]])</f>
        <v>213.76502288856869</v>
      </c>
      <c r="AT65" s="9">
        <f>Table1820[[#This Row],[System-Generated Premium]]-Table1820[[#This Row],[Expected Premium]]</f>
        <v>0</v>
      </c>
      <c r="AU65" t="str">
        <f>IF(Table1820[[#This Row],[Difference]]=0,"PASS","FAIL")</f>
        <v>PASS</v>
      </c>
      <c r="AV65" s="9">
        <f>ABS(Table1820[[#This Row],[Difference]])</f>
        <v>0</v>
      </c>
      <c r="AW65" s="9" t="s">
        <v>1136</v>
      </c>
    </row>
    <row r="66" spans="1:49" x14ac:dyDescent="0.3">
      <c r="A66" t="s">
        <v>157</v>
      </c>
      <c r="B66" s="7">
        <v>45833</v>
      </c>
      <c r="C66" t="s">
        <v>70</v>
      </c>
      <c r="D66" t="s">
        <v>1102</v>
      </c>
      <c r="E66" s="3">
        <v>7</v>
      </c>
      <c r="F66" s="3">
        <v>1</v>
      </c>
      <c r="G66" t="s">
        <v>13</v>
      </c>
      <c r="H66" t="s">
        <v>1107</v>
      </c>
      <c r="I66" t="s">
        <v>31</v>
      </c>
      <c r="J66" t="s">
        <v>48</v>
      </c>
      <c r="K66" t="s">
        <v>10</v>
      </c>
      <c r="L66" t="s">
        <v>10</v>
      </c>
      <c r="M66" t="s">
        <v>10</v>
      </c>
      <c r="N66" t="s">
        <v>57</v>
      </c>
      <c r="O66" t="str">
        <f>INDEX(CoverageTable[Deductible Applies],MATCH(Table1820[[#This Row],[Coverage]],CoverageTable[Coverage],0))</f>
        <v>No</v>
      </c>
      <c r="P66" t="str">
        <f>INDEX(CoverageTable[Coverage Limit Applies],MATCH(Table1820[[#This Row],[Coverage]],CoverageTable[Coverage],0))</f>
        <v>Yes</v>
      </c>
      <c r="Q66" t="s">
        <v>10</v>
      </c>
      <c r="R66" t="s">
        <v>80</v>
      </c>
      <c r="S66" t="s">
        <v>10</v>
      </c>
      <c r="T66" t="s">
        <v>57</v>
      </c>
      <c r="U66" t="s">
        <v>10</v>
      </c>
      <c r="V66" t="s">
        <v>57</v>
      </c>
      <c r="W66" t="s">
        <v>10</v>
      </c>
      <c r="X66" s="11">
        <v>342.16490589469817</v>
      </c>
      <c r="Y66">
        <f>_xlfn.XLOOKUP(Table1820[[#This Row],[Coverage]],CoverageTable[Coverage],CoverageTable[Base Rate],,0)</f>
        <v>622</v>
      </c>
      <c r="Z66">
        <f>INDEX(Table16[Ageband Factor],MATCH(Table1820[[#This Row],[Ageband]],Table16[Ageband],0))</f>
        <v>1.27</v>
      </c>
      <c r="AA66">
        <f>VLOOKUP(Table1820[[#This Row],[Years Driving]],Table1[],2)</f>
        <v>0.95</v>
      </c>
      <c r="AB66">
        <f>_xlfn.XLOOKUP(Table1820[[#This Row],[At Fault Accidents]],Table2[At Fault Accidents],Table2[At Fault Accident Factor],,0)</f>
        <v>1.34</v>
      </c>
      <c r="AC66">
        <f>_xlfn.XLOOKUP(Table1820[[#This Row],[Usage-Based Insurance]],Table3[Usage-Based Insurance],Table3[Usage-Based Insurance Discount],,0)</f>
        <v>0.65</v>
      </c>
      <c r="AD66">
        <f>_xlfn.XLOOKUP(Table1820[[#This Row],[Yearly Miles]],Table4[Yearly Miles],Table4[Yearly Miles Factor],,0)</f>
        <v>0.93</v>
      </c>
      <c r="AE66">
        <f>_xlfn.XLOOKUP(Table1820[[#This Row],[City/Zip Code]],Table5[City/Zip Code],Table5[City/Zip Code Factor],,0)</f>
        <v>1.1100000000000001</v>
      </c>
      <c r="AF66">
        <f>_xlfn.XLOOKUP(Table1820[[#This Row],[Vehicle Price]],Table6[Vehicle Price],Table6[Vehicle Price Factor])</f>
        <v>0.82</v>
      </c>
      <c r="AG66">
        <f>_xlfn.XLOOKUP(Table1820[[#This Row],[Exotic Car]],Table7[Exotic Car],Table7[Exotic Car Factor],,0)</f>
        <v>1</v>
      </c>
      <c r="AH66">
        <f>_xlfn.XLOOKUP(Table1820[[#This Row],[Difficult Parts]],Table8[Difficult Parts],Table8[Difficult Parts Factor],,0)</f>
        <v>1</v>
      </c>
      <c r="AI66">
        <f>_xlfn.XLOOKUP(Table1820[[#This Row],[High Theft Rate]],Table9[High Theft Rate],Table9[High Theft Rate Factor],,0)</f>
        <v>1</v>
      </c>
      <c r="AJ66">
        <f>_xlfn.XLOOKUP(Table1820[[#This Row],[Advanced Safety Features]],Table10[Advanced Safety Features],Table10[Advanced Safety Features Factor],,0)</f>
        <v>0.88</v>
      </c>
      <c r="AK66">
        <f>_xlfn.XLOOKUP(Table1820[[#This Row],[Deductible]],Table12[Deductible],Table12[Deductible Factor],,0)</f>
        <v>1</v>
      </c>
      <c r="AL66">
        <f>_xlfn.XLOOKUP(Table1820[[#This Row],[Coverage Limit]],Table13[Coverage Limit],Table13[Coverage Limit Factor],,0)</f>
        <v>0.84</v>
      </c>
      <c r="AM66">
        <f>IF(Table1820[[#This Row],[Good Student Discount]]="Yes",'Rate Book'!$D$126,1)</f>
        <v>1</v>
      </c>
      <c r="AN66">
        <f>IF(Table1820[[#This Row],[Good Driver Discount]]="Yes",'Rate Book'!$D$127,1)</f>
        <v>0.89</v>
      </c>
      <c r="AO66">
        <f>IF(Table1820[[#This Row],[Multi Policy Discount]]="Yes",'Rate Book'!$D$128,1)</f>
        <v>1</v>
      </c>
      <c r="AP66">
        <f>IF(Table1820[[#This Row],[Loyal Customer Discount]]="Yes",'Rate Book'!$D$129,1)</f>
        <v>0.94</v>
      </c>
      <c r="AQ66">
        <f>IF(Table1820[[#This Row],[Organization Discount]]="Yes",'Rate Book'!$D$130,1)</f>
        <v>1</v>
      </c>
      <c r="AR66" cm="1">
        <f t="array" ref="AR66">IF(Table1820[[#This Row],[Effective Date]]&gt;=RateChangeTable[Effective Date],RateChangeTable[Rate Change Factor],1)</f>
        <v>1</v>
      </c>
      <c r="AS66" s="10">
        <f>PRODUCT(Table1820[[#This Row],[Base Rate]:[Rate Change Factor]])</f>
        <v>342.16490589469817</v>
      </c>
      <c r="AT66" s="9">
        <f>Table1820[[#This Row],[System-Generated Premium]]-Table1820[[#This Row],[Expected Premium]]</f>
        <v>0</v>
      </c>
      <c r="AU66" t="str">
        <f>IF(Table1820[[#This Row],[Difference]]=0,"PASS","FAIL")</f>
        <v>PASS</v>
      </c>
      <c r="AV66" s="9">
        <f>ABS(Table1820[[#This Row],[Difference]])</f>
        <v>0</v>
      </c>
      <c r="AW66" s="9" t="s">
        <v>1136</v>
      </c>
    </row>
    <row r="67" spans="1:49" x14ac:dyDescent="0.3">
      <c r="A67" t="s">
        <v>158</v>
      </c>
      <c r="B67" s="7">
        <v>45989</v>
      </c>
      <c r="C67" t="s">
        <v>70</v>
      </c>
      <c r="D67" t="s">
        <v>1101</v>
      </c>
      <c r="E67" s="3">
        <v>1</v>
      </c>
      <c r="F67" s="3" t="s">
        <v>7</v>
      </c>
      <c r="G67" t="s">
        <v>10</v>
      </c>
      <c r="H67" t="s">
        <v>1106</v>
      </c>
      <c r="I67" t="s">
        <v>21</v>
      </c>
      <c r="J67" t="s">
        <v>53</v>
      </c>
      <c r="K67" t="s">
        <v>10</v>
      </c>
      <c r="L67" t="s">
        <v>10</v>
      </c>
      <c r="M67" t="s">
        <v>10</v>
      </c>
      <c r="N67" t="s">
        <v>10</v>
      </c>
      <c r="O67" t="str">
        <f>INDEX(CoverageTable[Deductible Applies],MATCH(Table1820[[#This Row],[Coverage]],CoverageTable[Coverage],0))</f>
        <v>No</v>
      </c>
      <c r="P67" t="str">
        <f>INDEX(CoverageTable[Coverage Limit Applies],MATCH(Table1820[[#This Row],[Coverage]],CoverageTable[Coverage],0))</f>
        <v>Yes</v>
      </c>
      <c r="Q67" t="s">
        <v>10</v>
      </c>
      <c r="R67" t="s">
        <v>78</v>
      </c>
      <c r="S67" t="s">
        <v>10</v>
      </c>
      <c r="T67" t="s">
        <v>10</v>
      </c>
      <c r="U67" t="s">
        <v>10</v>
      </c>
      <c r="V67" t="s">
        <v>10</v>
      </c>
      <c r="W67" t="s">
        <v>10</v>
      </c>
      <c r="X67" s="11">
        <v>3592.6491795289803</v>
      </c>
      <c r="Y67">
        <f>_xlfn.XLOOKUP(Table1820[[#This Row],[Coverage]],CoverageTable[Coverage],CoverageTable[Base Rate],,0)</f>
        <v>622</v>
      </c>
      <c r="Z67">
        <f>INDEX(Table16[Ageband Factor],MATCH(Table1820[[#This Row],[Ageband]],Table16[Ageband],0))</f>
        <v>1.1200000000000001</v>
      </c>
      <c r="AA67">
        <f>VLOOKUP(Table1820[[#This Row],[Years Driving]],Table1[],2)</f>
        <v>1.64</v>
      </c>
      <c r="AB67">
        <f>_xlfn.XLOOKUP(Table1820[[#This Row],[At Fault Accidents]],Table2[At Fault Accidents],Table2[At Fault Accident Factor],,0)</f>
        <v>2.4700000000000002</v>
      </c>
      <c r="AC67">
        <f>_xlfn.XLOOKUP(Table1820[[#This Row],[Usage-Based Insurance]],Table3[Usage-Based Insurance],Table3[Usage-Based Insurance Discount],,0)</f>
        <v>1</v>
      </c>
      <c r="AD67">
        <f>_xlfn.XLOOKUP(Table1820[[#This Row],[Yearly Miles]],Table4[Yearly Miles],Table4[Yearly Miles Factor],,0)</f>
        <v>0.82</v>
      </c>
      <c r="AE67">
        <f>_xlfn.XLOOKUP(Table1820[[#This Row],[City/Zip Code]],Table5[City/Zip Code],Table5[City/Zip Code Factor],,0)</f>
        <v>1.26</v>
      </c>
      <c r="AF67">
        <f>_xlfn.XLOOKUP(Table1820[[#This Row],[Vehicle Price]],Table6[Vehicle Price],Table6[Vehicle Price Factor])</f>
        <v>2.02</v>
      </c>
      <c r="AG67">
        <f>_xlfn.XLOOKUP(Table1820[[#This Row],[Exotic Car]],Table7[Exotic Car],Table7[Exotic Car Factor],,0)</f>
        <v>1</v>
      </c>
      <c r="AH67">
        <f>_xlfn.XLOOKUP(Table1820[[#This Row],[Difficult Parts]],Table8[Difficult Parts],Table8[Difficult Parts Factor],,0)</f>
        <v>1</v>
      </c>
      <c r="AI67">
        <f>_xlfn.XLOOKUP(Table1820[[#This Row],[High Theft Rate]],Table9[High Theft Rate],Table9[High Theft Rate Factor],,0)</f>
        <v>1</v>
      </c>
      <c r="AJ67">
        <f>_xlfn.XLOOKUP(Table1820[[#This Row],[Advanced Safety Features]],Table10[Advanced Safety Features],Table10[Advanced Safety Features Factor],,0)</f>
        <v>1</v>
      </c>
      <c r="AK67">
        <f>_xlfn.XLOOKUP(Table1820[[#This Row],[Deductible]],Table12[Deductible],Table12[Deductible Factor],,0)</f>
        <v>1</v>
      </c>
      <c r="AL67">
        <f>_xlfn.XLOOKUP(Table1820[[#This Row],[Coverage Limit]],Table13[Coverage Limit],Table13[Coverage Limit Factor],,0)</f>
        <v>0.61</v>
      </c>
      <c r="AM67">
        <f>IF(Table1820[[#This Row],[Good Student Discount]]="Yes",'Rate Book'!$D$126,1)</f>
        <v>1</v>
      </c>
      <c r="AN67">
        <f>IF(Table1820[[#This Row],[Good Driver Discount]]="Yes",'Rate Book'!$D$127,1)</f>
        <v>1</v>
      </c>
      <c r="AO67">
        <f>IF(Table1820[[#This Row],[Multi Policy Discount]]="Yes",'Rate Book'!$D$128,1)</f>
        <v>1</v>
      </c>
      <c r="AP67">
        <f>IF(Table1820[[#This Row],[Loyal Customer Discount]]="Yes",'Rate Book'!$D$129,1)</f>
        <v>1</v>
      </c>
      <c r="AQ67">
        <f>IF(Table1820[[#This Row],[Organization Discount]]="Yes",'Rate Book'!$D$130,1)</f>
        <v>1</v>
      </c>
      <c r="AR67" cm="1">
        <f t="array" ref="AR67">IF(Table1820[[#This Row],[Effective Date]]&gt;=RateChangeTable[Effective Date],RateChangeTable[Rate Change Factor],1)</f>
        <v>1</v>
      </c>
      <c r="AS67" s="10">
        <f>PRODUCT(Table1820[[#This Row],[Base Rate]:[Rate Change Factor]])</f>
        <v>3592.6491795289803</v>
      </c>
      <c r="AT67" s="9">
        <f>Table1820[[#This Row],[System-Generated Premium]]-Table1820[[#This Row],[Expected Premium]]</f>
        <v>0</v>
      </c>
      <c r="AU67" t="str">
        <f>IF(Table1820[[#This Row],[Difference]]=0,"PASS","FAIL")</f>
        <v>PASS</v>
      </c>
      <c r="AV67" s="9">
        <f>ABS(Table1820[[#This Row],[Difference]])</f>
        <v>0</v>
      </c>
      <c r="AW67" s="9" t="s">
        <v>1136</v>
      </c>
    </row>
    <row r="68" spans="1:49" x14ac:dyDescent="0.3">
      <c r="A68" t="s">
        <v>159</v>
      </c>
      <c r="B68" s="7">
        <v>45873</v>
      </c>
      <c r="C68" t="s">
        <v>70</v>
      </c>
      <c r="D68" t="s">
        <v>1098</v>
      </c>
      <c r="E68" s="3">
        <v>1</v>
      </c>
      <c r="F68" s="3">
        <v>1</v>
      </c>
      <c r="G68" t="s">
        <v>10</v>
      </c>
      <c r="H68" t="s">
        <v>1106</v>
      </c>
      <c r="I68" t="s">
        <v>37</v>
      </c>
      <c r="J68" t="s">
        <v>51</v>
      </c>
      <c r="K68" t="s">
        <v>57</v>
      </c>
      <c r="L68" t="s">
        <v>10</v>
      </c>
      <c r="M68" t="s">
        <v>10</v>
      </c>
      <c r="N68" t="s">
        <v>57</v>
      </c>
      <c r="O68" t="str">
        <f>INDEX(CoverageTable[Deductible Applies],MATCH(Table1820[[#This Row],[Coverage]],CoverageTable[Coverage],0))</f>
        <v>No</v>
      </c>
      <c r="P68" t="str">
        <f>INDEX(CoverageTable[Coverage Limit Applies],MATCH(Table1820[[#This Row],[Coverage]],CoverageTable[Coverage],0))</f>
        <v>Yes</v>
      </c>
      <c r="Q68" t="s">
        <v>10</v>
      </c>
      <c r="R68" t="s">
        <v>78</v>
      </c>
      <c r="S68" t="s">
        <v>10</v>
      </c>
      <c r="T68" t="s">
        <v>10</v>
      </c>
      <c r="U68" t="s">
        <v>10</v>
      </c>
      <c r="V68" t="s">
        <v>57</v>
      </c>
      <c r="W68" t="s">
        <v>57</v>
      </c>
      <c r="X68" s="11">
        <v>1205.0817992010986</v>
      </c>
      <c r="Y68">
        <f>_xlfn.XLOOKUP(Table1820[[#This Row],[Coverage]],CoverageTable[Coverage],CoverageTable[Base Rate],,0)</f>
        <v>622</v>
      </c>
      <c r="Z68">
        <f>INDEX(Table16[Ageband Factor],MATCH(Table1820[[#This Row],[Ageband]],Table16[Ageband],0))</f>
        <v>1.23</v>
      </c>
      <c r="AA68">
        <f>VLOOKUP(Table1820[[#This Row],[Years Driving]],Table1[],2)</f>
        <v>1.64</v>
      </c>
      <c r="AB68">
        <f>_xlfn.XLOOKUP(Table1820[[#This Row],[At Fault Accidents]],Table2[At Fault Accidents],Table2[At Fault Accident Factor],,0)</f>
        <v>1.34</v>
      </c>
      <c r="AC68">
        <f>_xlfn.XLOOKUP(Table1820[[#This Row],[Usage-Based Insurance]],Table3[Usage-Based Insurance],Table3[Usage-Based Insurance Discount],,0)</f>
        <v>1</v>
      </c>
      <c r="AD68">
        <f>_xlfn.XLOOKUP(Table1820[[#This Row],[Yearly Miles]],Table4[Yearly Miles],Table4[Yearly Miles Factor],,0)</f>
        <v>0.82</v>
      </c>
      <c r="AE68">
        <f>_xlfn.XLOOKUP(Table1820[[#This Row],[City/Zip Code]],Table5[City/Zip Code],Table5[City/Zip Code Factor],,0)</f>
        <v>1.0900000000000001</v>
      </c>
      <c r="AF68">
        <f>_xlfn.XLOOKUP(Table1820[[#This Row],[Vehicle Price]],Table6[Vehicle Price],Table6[Vehicle Price Factor])</f>
        <v>1.28</v>
      </c>
      <c r="AG68">
        <f>_xlfn.XLOOKUP(Table1820[[#This Row],[Exotic Car]],Table7[Exotic Car],Table7[Exotic Car Factor],,0)</f>
        <v>1.28</v>
      </c>
      <c r="AH68">
        <f>_xlfn.XLOOKUP(Table1820[[#This Row],[Difficult Parts]],Table8[Difficult Parts],Table8[Difficult Parts Factor],,0)</f>
        <v>1</v>
      </c>
      <c r="AI68">
        <f>_xlfn.XLOOKUP(Table1820[[#This Row],[High Theft Rate]],Table9[High Theft Rate],Table9[High Theft Rate Factor],,0)</f>
        <v>1</v>
      </c>
      <c r="AJ68">
        <f>_xlfn.XLOOKUP(Table1820[[#This Row],[Advanced Safety Features]],Table10[Advanced Safety Features],Table10[Advanced Safety Features Factor],,0)</f>
        <v>0.88</v>
      </c>
      <c r="AK68">
        <f>_xlfn.XLOOKUP(Table1820[[#This Row],[Deductible]],Table12[Deductible],Table12[Deductible Factor],,0)</f>
        <v>1</v>
      </c>
      <c r="AL68">
        <f>_xlfn.XLOOKUP(Table1820[[#This Row],[Coverage Limit]],Table13[Coverage Limit],Table13[Coverage Limit Factor],,0)</f>
        <v>0.61</v>
      </c>
      <c r="AM68">
        <f>IF(Table1820[[#This Row],[Good Student Discount]]="Yes",'Rate Book'!$D$126,1)</f>
        <v>1</v>
      </c>
      <c r="AN68">
        <f>IF(Table1820[[#This Row],[Good Driver Discount]]="Yes",'Rate Book'!$D$127,1)</f>
        <v>1</v>
      </c>
      <c r="AO68">
        <f>IF(Table1820[[#This Row],[Multi Policy Discount]]="Yes",'Rate Book'!$D$128,1)</f>
        <v>1</v>
      </c>
      <c r="AP68">
        <f>IF(Table1820[[#This Row],[Loyal Customer Discount]]="Yes",'Rate Book'!$D$129,1)</f>
        <v>0.94</v>
      </c>
      <c r="AQ68">
        <f>IF(Table1820[[#This Row],[Organization Discount]]="Yes",'Rate Book'!$D$130,1)</f>
        <v>0.97</v>
      </c>
      <c r="AR68" cm="1">
        <f t="array" ref="AR68">IF(Table1820[[#This Row],[Effective Date]]&gt;=RateChangeTable[Effective Date],RateChangeTable[Rate Change Factor],1)</f>
        <v>1</v>
      </c>
      <c r="AS68" s="10">
        <f>PRODUCT(Table1820[[#This Row],[Base Rate]:[Rate Change Factor]])</f>
        <v>1205.0817992010986</v>
      </c>
      <c r="AT68" s="9">
        <f>Table1820[[#This Row],[System-Generated Premium]]-Table1820[[#This Row],[Expected Premium]]</f>
        <v>0</v>
      </c>
      <c r="AU68" t="str">
        <f>IF(Table1820[[#This Row],[Difference]]=0,"PASS","FAIL")</f>
        <v>PASS</v>
      </c>
      <c r="AV68" s="9">
        <f>ABS(Table1820[[#This Row],[Difference]])</f>
        <v>0</v>
      </c>
      <c r="AW68" s="9" t="s">
        <v>1136</v>
      </c>
    </row>
    <row r="69" spans="1:49" x14ac:dyDescent="0.3">
      <c r="A69" t="s">
        <v>160</v>
      </c>
      <c r="B69" s="7">
        <v>45905</v>
      </c>
      <c r="C69" t="s">
        <v>70</v>
      </c>
      <c r="D69" t="s">
        <v>1099</v>
      </c>
      <c r="E69" s="3">
        <v>1</v>
      </c>
      <c r="F69" s="3">
        <v>0</v>
      </c>
      <c r="G69" t="s">
        <v>13</v>
      </c>
      <c r="H69" t="s">
        <v>1109</v>
      </c>
      <c r="I69" t="s">
        <v>41</v>
      </c>
      <c r="J69" t="s">
        <v>50</v>
      </c>
      <c r="K69" t="s">
        <v>10</v>
      </c>
      <c r="L69" t="s">
        <v>10</v>
      </c>
      <c r="M69" t="s">
        <v>10</v>
      </c>
      <c r="N69" t="s">
        <v>10</v>
      </c>
      <c r="O69" t="str">
        <f>INDEX(CoverageTable[Deductible Applies],MATCH(Table1820[[#This Row],[Coverage]],CoverageTable[Coverage],0))</f>
        <v>No</v>
      </c>
      <c r="P69" t="str">
        <f>INDEX(CoverageTable[Coverage Limit Applies],MATCH(Table1820[[#This Row],[Coverage]],CoverageTable[Coverage],0))</f>
        <v>Yes</v>
      </c>
      <c r="Q69" t="s">
        <v>10</v>
      </c>
      <c r="R69" t="s">
        <v>79</v>
      </c>
      <c r="S69" t="s">
        <v>10</v>
      </c>
      <c r="T69" t="s">
        <v>10</v>
      </c>
      <c r="U69" t="s">
        <v>10</v>
      </c>
      <c r="V69" t="s">
        <v>10</v>
      </c>
      <c r="W69" t="s">
        <v>10</v>
      </c>
      <c r="X69" s="11">
        <v>699.65459216639999</v>
      </c>
      <c r="Y69">
        <f>_xlfn.XLOOKUP(Table1820[[#This Row],[Coverage]],CoverageTable[Coverage],CoverageTable[Base Rate],,0)</f>
        <v>622</v>
      </c>
      <c r="Z69">
        <f>INDEX(Table16[Ageband Factor],MATCH(Table1820[[#This Row],[Ageband]],Table16[Ageband],0))</f>
        <v>1</v>
      </c>
      <c r="AA69">
        <f>VLOOKUP(Table1820[[#This Row],[Years Driving]],Table1[],2)</f>
        <v>1.64</v>
      </c>
      <c r="AB69">
        <f>_xlfn.XLOOKUP(Table1820[[#This Row],[At Fault Accidents]],Table2[At Fault Accidents],Table2[At Fault Accident Factor],,0)</f>
        <v>1</v>
      </c>
      <c r="AC69">
        <f>_xlfn.XLOOKUP(Table1820[[#This Row],[Usage-Based Insurance]],Table3[Usage-Based Insurance],Table3[Usage-Based Insurance Discount],,0)</f>
        <v>0.65</v>
      </c>
      <c r="AD69">
        <f>_xlfn.XLOOKUP(Table1820[[#This Row],[Yearly Miles]],Table4[Yearly Miles],Table4[Yearly Miles Factor],,0)</f>
        <v>1.18</v>
      </c>
      <c r="AE69">
        <f>_xlfn.XLOOKUP(Table1820[[#This Row],[City/Zip Code]],Table5[City/Zip Code],Table5[City/Zip Code Factor],,0)</f>
        <v>1.1499999999999999</v>
      </c>
      <c r="AF69">
        <f>_xlfn.XLOOKUP(Table1820[[#This Row],[Vehicle Price]],Table6[Vehicle Price],Table6[Vehicle Price Factor])</f>
        <v>1.08</v>
      </c>
      <c r="AG69">
        <f>_xlfn.XLOOKUP(Table1820[[#This Row],[Exotic Car]],Table7[Exotic Car],Table7[Exotic Car Factor],,0)</f>
        <v>1</v>
      </c>
      <c r="AH69">
        <f>_xlfn.XLOOKUP(Table1820[[#This Row],[Difficult Parts]],Table8[Difficult Parts],Table8[Difficult Parts Factor],,0)</f>
        <v>1</v>
      </c>
      <c r="AI69">
        <f>_xlfn.XLOOKUP(Table1820[[#This Row],[High Theft Rate]],Table9[High Theft Rate],Table9[High Theft Rate Factor],,0)</f>
        <v>1</v>
      </c>
      <c r="AJ69">
        <f>_xlfn.XLOOKUP(Table1820[[#This Row],[Advanced Safety Features]],Table10[Advanced Safety Features],Table10[Advanced Safety Features Factor],,0)</f>
        <v>1</v>
      </c>
      <c r="AK69">
        <f>_xlfn.XLOOKUP(Table1820[[#This Row],[Deductible]],Table12[Deductible],Table12[Deductible Factor],,0)</f>
        <v>1</v>
      </c>
      <c r="AL69">
        <f>_xlfn.XLOOKUP(Table1820[[#This Row],[Coverage Limit]],Table13[Coverage Limit],Table13[Coverage Limit Factor],,0)</f>
        <v>0.72</v>
      </c>
      <c r="AM69">
        <f>IF(Table1820[[#This Row],[Good Student Discount]]="Yes",'Rate Book'!$D$126,1)</f>
        <v>1</v>
      </c>
      <c r="AN69">
        <f>IF(Table1820[[#This Row],[Good Driver Discount]]="Yes",'Rate Book'!$D$127,1)</f>
        <v>1</v>
      </c>
      <c r="AO69">
        <f>IF(Table1820[[#This Row],[Multi Policy Discount]]="Yes",'Rate Book'!$D$128,1)</f>
        <v>1</v>
      </c>
      <c r="AP69">
        <f>IF(Table1820[[#This Row],[Loyal Customer Discount]]="Yes",'Rate Book'!$D$129,1)</f>
        <v>1</v>
      </c>
      <c r="AQ69">
        <f>IF(Table1820[[#This Row],[Organization Discount]]="Yes",'Rate Book'!$D$130,1)</f>
        <v>1</v>
      </c>
      <c r="AR69" cm="1">
        <f t="array" ref="AR69">IF(Table1820[[#This Row],[Effective Date]]&gt;=RateChangeTable[Effective Date],RateChangeTable[Rate Change Factor],1)</f>
        <v>1</v>
      </c>
      <c r="AS69" s="10">
        <f>PRODUCT(Table1820[[#This Row],[Base Rate]:[Rate Change Factor]])</f>
        <v>699.65459216639999</v>
      </c>
      <c r="AT69" s="9">
        <f>Table1820[[#This Row],[System-Generated Premium]]-Table1820[[#This Row],[Expected Premium]]</f>
        <v>0</v>
      </c>
      <c r="AU69" t="str">
        <f>IF(Table1820[[#This Row],[Difference]]=0,"PASS","FAIL")</f>
        <v>PASS</v>
      </c>
      <c r="AV69" s="9">
        <f>ABS(Table1820[[#This Row],[Difference]])</f>
        <v>0</v>
      </c>
      <c r="AW69" s="9" t="s">
        <v>1136</v>
      </c>
    </row>
    <row r="70" spans="1:49" x14ac:dyDescent="0.3">
      <c r="A70" t="s">
        <v>161</v>
      </c>
      <c r="B70" s="7">
        <v>45912</v>
      </c>
      <c r="C70" t="s">
        <v>70</v>
      </c>
      <c r="D70" t="s">
        <v>1100</v>
      </c>
      <c r="E70" s="3">
        <v>4</v>
      </c>
      <c r="F70" s="3">
        <v>0</v>
      </c>
      <c r="G70" t="s">
        <v>12</v>
      </c>
      <c r="H70" t="s">
        <v>1108</v>
      </c>
      <c r="I70" t="s">
        <v>38</v>
      </c>
      <c r="J70" t="s">
        <v>50</v>
      </c>
      <c r="K70" t="s">
        <v>10</v>
      </c>
      <c r="L70" t="s">
        <v>57</v>
      </c>
      <c r="M70" t="s">
        <v>10</v>
      </c>
      <c r="N70" t="s">
        <v>10</v>
      </c>
      <c r="O70" t="str">
        <f>INDEX(CoverageTable[Deductible Applies],MATCH(Table1820[[#This Row],[Coverage]],CoverageTable[Coverage],0))</f>
        <v>No</v>
      </c>
      <c r="P70" t="str">
        <f>INDEX(CoverageTable[Coverage Limit Applies],MATCH(Table1820[[#This Row],[Coverage]],CoverageTable[Coverage],0))</f>
        <v>Yes</v>
      </c>
      <c r="Q70" t="s">
        <v>10</v>
      </c>
      <c r="R70" t="s">
        <v>80</v>
      </c>
      <c r="S70" t="s">
        <v>57</v>
      </c>
      <c r="T70" t="s">
        <v>10</v>
      </c>
      <c r="U70" t="s">
        <v>57</v>
      </c>
      <c r="V70" t="s">
        <v>57</v>
      </c>
      <c r="W70" t="s">
        <v>10</v>
      </c>
      <c r="X70" s="11">
        <v>605.43434477212486</v>
      </c>
      <c r="Y70">
        <f>_xlfn.XLOOKUP(Table1820[[#This Row],[Coverage]],CoverageTable[Coverage],CoverageTable[Base Rate],,0)</f>
        <v>622</v>
      </c>
      <c r="Z70">
        <f>INDEX(Table16[Ageband Factor],MATCH(Table1820[[#This Row],[Ageband]],Table16[Ageband],0))</f>
        <v>1.07</v>
      </c>
      <c r="AA70">
        <f>VLOOKUP(Table1820[[#This Row],[Years Driving]],Table1[],2)</f>
        <v>1.1499999999999999</v>
      </c>
      <c r="AB70">
        <f>_xlfn.XLOOKUP(Table1820[[#This Row],[At Fault Accidents]],Table2[At Fault Accidents],Table2[At Fault Accident Factor],,0)</f>
        <v>1</v>
      </c>
      <c r="AC70">
        <f>_xlfn.XLOOKUP(Table1820[[#This Row],[Usage-Based Insurance]],Table3[Usage-Based Insurance],Table3[Usage-Based Insurance Discount],,0)</f>
        <v>0.8</v>
      </c>
      <c r="AD70">
        <f>_xlfn.XLOOKUP(Table1820[[#This Row],[Yearly Miles]],Table4[Yearly Miles],Table4[Yearly Miles Factor],,0)</f>
        <v>1</v>
      </c>
      <c r="AE70">
        <f>_xlfn.XLOOKUP(Table1820[[#This Row],[City/Zip Code]],Table5[City/Zip Code],Table5[City/Zip Code Factor],,0)</f>
        <v>1.1200000000000001</v>
      </c>
      <c r="AF70">
        <f>_xlfn.XLOOKUP(Table1820[[#This Row],[Vehicle Price]],Table6[Vehicle Price],Table6[Vehicle Price Factor])</f>
        <v>1.08</v>
      </c>
      <c r="AG70">
        <f>_xlfn.XLOOKUP(Table1820[[#This Row],[Exotic Car]],Table7[Exotic Car],Table7[Exotic Car Factor],,0)</f>
        <v>1</v>
      </c>
      <c r="AH70">
        <f>_xlfn.XLOOKUP(Table1820[[#This Row],[Difficult Parts]],Table8[Difficult Parts],Table8[Difficult Parts Factor],,0)</f>
        <v>1.21</v>
      </c>
      <c r="AI70">
        <f>_xlfn.XLOOKUP(Table1820[[#This Row],[High Theft Rate]],Table9[High Theft Rate],Table9[High Theft Rate Factor],,0)</f>
        <v>1</v>
      </c>
      <c r="AJ70">
        <f>_xlfn.XLOOKUP(Table1820[[#This Row],[Advanced Safety Features]],Table10[Advanced Safety Features],Table10[Advanced Safety Features Factor],,0)</f>
        <v>1</v>
      </c>
      <c r="AK70">
        <f>_xlfn.XLOOKUP(Table1820[[#This Row],[Deductible]],Table12[Deductible],Table12[Deductible Factor],,0)</f>
        <v>1</v>
      </c>
      <c r="AL70">
        <f>_xlfn.XLOOKUP(Table1820[[#This Row],[Coverage Limit]],Table13[Coverage Limit],Table13[Coverage Limit Factor],,0)</f>
        <v>0.84</v>
      </c>
      <c r="AM70">
        <f>IF(Table1820[[#This Row],[Good Student Discount]]="Yes",'Rate Book'!$D$126,1)</f>
        <v>0.92</v>
      </c>
      <c r="AN70">
        <f>IF(Table1820[[#This Row],[Good Driver Discount]]="Yes",'Rate Book'!$D$127,1)</f>
        <v>1</v>
      </c>
      <c r="AO70">
        <f>IF(Table1820[[#This Row],[Multi Policy Discount]]="Yes",'Rate Book'!$D$128,1)</f>
        <v>0.93</v>
      </c>
      <c r="AP70">
        <f>IF(Table1820[[#This Row],[Loyal Customer Discount]]="Yes",'Rate Book'!$D$129,1)</f>
        <v>0.94</v>
      </c>
      <c r="AQ70">
        <f>IF(Table1820[[#This Row],[Organization Discount]]="Yes",'Rate Book'!$D$130,1)</f>
        <v>1</v>
      </c>
      <c r="AR70" cm="1">
        <f t="array" ref="AR70">IF(Table1820[[#This Row],[Effective Date]]&gt;=RateChangeTable[Effective Date],RateChangeTable[Rate Change Factor],1)</f>
        <v>1</v>
      </c>
      <c r="AS70" s="10">
        <f>PRODUCT(Table1820[[#This Row],[Base Rate]:[Rate Change Factor]])</f>
        <v>605.43434477212486</v>
      </c>
      <c r="AT70" s="9">
        <f>Table1820[[#This Row],[System-Generated Premium]]-Table1820[[#This Row],[Expected Premium]]</f>
        <v>0</v>
      </c>
      <c r="AU70" t="str">
        <f>IF(Table1820[[#This Row],[Difference]]=0,"PASS","FAIL")</f>
        <v>PASS</v>
      </c>
      <c r="AV70" s="9">
        <f>ABS(Table1820[[#This Row],[Difference]])</f>
        <v>0</v>
      </c>
      <c r="AW70" s="9" t="s">
        <v>1136</v>
      </c>
    </row>
    <row r="71" spans="1:49" x14ac:dyDescent="0.3">
      <c r="A71" t="s">
        <v>162</v>
      </c>
      <c r="B71" s="7">
        <v>45783</v>
      </c>
      <c r="C71" t="s">
        <v>71</v>
      </c>
      <c r="D71" t="s">
        <v>1098</v>
      </c>
      <c r="E71" s="3" t="s">
        <v>1103</v>
      </c>
      <c r="F71" s="3">
        <v>1</v>
      </c>
      <c r="G71" t="s">
        <v>13</v>
      </c>
      <c r="H71" t="s">
        <v>1110</v>
      </c>
      <c r="I71" t="s">
        <v>25</v>
      </c>
      <c r="J71" t="s">
        <v>48</v>
      </c>
      <c r="K71" t="s">
        <v>10</v>
      </c>
      <c r="L71" t="s">
        <v>10</v>
      </c>
      <c r="M71" t="s">
        <v>10</v>
      </c>
      <c r="N71" t="s">
        <v>57</v>
      </c>
      <c r="O71" t="str">
        <f>INDEX(CoverageTable[Deductible Applies],MATCH(Table1820[[#This Row],[Coverage]],CoverageTable[Coverage],0))</f>
        <v>Yes</v>
      </c>
      <c r="P71" t="str">
        <f>INDEX(CoverageTable[Coverage Limit Applies],MATCH(Table1820[[#This Row],[Coverage]],CoverageTable[Coverage],0))</f>
        <v>No</v>
      </c>
      <c r="Q71" t="s">
        <v>79</v>
      </c>
      <c r="R71" t="s">
        <v>10</v>
      </c>
      <c r="S71" t="s">
        <v>10</v>
      </c>
      <c r="T71" t="s">
        <v>10</v>
      </c>
      <c r="U71" t="s">
        <v>10</v>
      </c>
      <c r="V71" t="s">
        <v>10</v>
      </c>
      <c r="W71" t="s">
        <v>10</v>
      </c>
      <c r="X71" s="11">
        <v>415.72822640508315</v>
      </c>
      <c r="Y71">
        <f>_xlfn.XLOOKUP(Table1820[[#This Row],[Coverage]],CoverageTable[Coverage],CoverageTable[Base Rate],,0)</f>
        <v>453</v>
      </c>
      <c r="Z71">
        <f>INDEX(Table16[Ageband Factor],MATCH(Table1820[[#This Row],[Ageband]],Table16[Ageband],0))</f>
        <v>1.23</v>
      </c>
      <c r="AA71">
        <f>VLOOKUP(Table1820[[#This Row],[Years Driving]],Table1[],2)</f>
        <v>0.93</v>
      </c>
      <c r="AB71">
        <f>_xlfn.XLOOKUP(Table1820[[#This Row],[At Fault Accidents]],Table2[At Fault Accidents],Table2[At Fault Accident Factor],,0)</f>
        <v>1.34</v>
      </c>
      <c r="AC71">
        <f>_xlfn.XLOOKUP(Table1820[[#This Row],[Usage-Based Insurance]],Table3[Usage-Based Insurance],Table3[Usage-Based Insurance Discount],,0)</f>
        <v>0.65</v>
      </c>
      <c r="AD71">
        <f>_xlfn.XLOOKUP(Table1820[[#This Row],[Yearly Miles]],Table4[Yearly Miles],Table4[Yearly Miles Factor],,0)</f>
        <v>1.31</v>
      </c>
      <c r="AE71">
        <f>_xlfn.XLOOKUP(Table1820[[#This Row],[City/Zip Code]],Table5[City/Zip Code],Table5[City/Zip Code Factor],,0)</f>
        <v>1.1599999999999999</v>
      </c>
      <c r="AF71">
        <f>_xlfn.XLOOKUP(Table1820[[#This Row],[Vehicle Price]],Table6[Vehicle Price],Table6[Vehicle Price Factor])</f>
        <v>0.82</v>
      </c>
      <c r="AG71">
        <f>_xlfn.XLOOKUP(Table1820[[#This Row],[Exotic Car]],Table7[Exotic Car],Table7[Exotic Car Factor],,0)</f>
        <v>1</v>
      </c>
      <c r="AH71">
        <f>_xlfn.XLOOKUP(Table1820[[#This Row],[Difficult Parts]],Table8[Difficult Parts],Table8[Difficult Parts Factor],,0)</f>
        <v>1</v>
      </c>
      <c r="AI71">
        <f>_xlfn.XLOOKUP(Table1820[[#This Row],[High Theft Rate]],Table9[High Theft Rate],Table9[High Theft Rate Factor],,0)</f>
        <v>1</v>
      </c>
      <c r="AJ71">
        <f>_xlfn.XLOOKUP(Table1820[[#This Row],[Advanced Safety Features]],Table10[Advanced Safety Features],Table10[Advanced Safety Features Factor],,0)</f>
        <v>0.88</v>
      </c>
      <c r="AK71">
        <f>_xlfn.XLOOKUP(Table1820[[#This Row],[Deductible]],Table12[Deductible],Table12[Deductible Factor],,0)</f>
        <v>0.84</v>
      </c>
      <c r="AL71">
        <f>_xlfn.XLOOKUP(Table1820[[#This Row],[Coverage Limit]],Table13[Coverage Limit],Table13[Coverage Limit Factor],,0)</f>
        <v>1</v>
      </c>
      <c r="AM71">
        <f>IF(Table1820[[#This Row],[Good Student Discount]]="Yes",'Rate Book'!$D$126,1)</f>
        <v>1</v>
      </c>
      <c r="AN71">
        <f>IF(Table1820[[#This Row],[Good Driver Discount]]="Yes",'Rate Book'!$D$127,1)</f>
        <v>1</v>
      </c>
      <c r="AO71">
        <f>IF(Table1820[[#This Row],[Multi Policy Discount]]="Yes",'Rate Book'!$D$128,1)</f>
        <v>1</v>
      </c>
      <c r="AP71">
        <f>IF(Table1820[[#This Row],[Loyal Customer Discount]]="Yes",'Rate Book'!$D$129,1)</f>
        <v>1</v>
      </c>
      <c r="AQ71">
        <f>IF(Table1820[[#This Row],[Organization Discount]]="Yes",'Rate Book'!$D$130,1)</f>
        <v>1</v>
      </c>
      <c r="AR71" cm="1">
        <f t="array" ref="AR71">IF(Table1820[[#This Row],[Effective Date]]&gt;=RateChangeTable[Effective Date],RateChangeTable[Rate Change Factor],1)</f>
        <v>1</v>
      </c>
      <c r="AS71" s="10">
        <f>PRODUCT(Table1820[[#This Row],[Base Rate]:[Rate Change Factor]])</f>
        <v>415.72822640508315</v>
      </c>
      <c r="AT71" s="9">
        <f>Table1820[[#This Row],[System-Generated Premium]]-Table1820[[#This Row],[Expected Premium]]</f>
        <v>0</v>
      </c>
      <c r="AU71" t="str">
        <f>IF(Table1820[[#This Row],[Difference]]=0,"PASS","FAIL")</f>
        <v>PASS</v>
      </c>
      <c r="AV71" s="9">
        <f>ABS(Table1820[[#This Row],[Difference]])</f>
        <v>0</v>
      </c>
      <c r="AW71" s="9" t="s">
        <v>1136</v>
      </c>
    </row>
    <row r="72" spans="1:49" x14ac:dyDescent="0.3">
      <c r="A72" t="s">
        <v>163</v>
      </c>
      <c r="B72" s="7">
        <v>45859</v>
      </c>
      <c r="C72" t="s">
        <v>70</v>
      </c>
      <c r="D72" t="s">
        <v>1097</v>
      </c>
      <c r="E72" s="3">
        <v>4</v>
      </c>
      <c r="F72" s="3">
        <v>3</v>
      </c>
      <c r="G72" t="s">
        <v>13</v>
      </c>
      <c r="H72" t="s">
        <v>1110</v>
      </c>
      <c r="I72" t="s">
        <v>28</v>
      </c>
      <c r="J72" t="s">
        <v>52</v>
      </c>
      <c r="K72" t="s">
        <v>10</v>
      </c>
      <c r="L72" t="s">
        <v>10</v>
      </c>
      <c r="M72" t="s">
        <v>10</v>
      </c>
      <c r="N72" t="s">
        <v>10</v>
      </c>
      <c r="O72" t="str">
        <f>INDEX(CoverageTable[Deductible Applies],MATCH(Table1820[[#This Row],[Coverage]],CoverageTable[Coverage],0))</f>
        <v>No</v>
      </c>
      <c r="P72" t="str">
        <f>INDEX(CoverageTable[Coverage Limit Applies],MATCH(Table1820[[#This Row],[Coverage]],CoverageTable[Coverage],0))</f>
        <v>Yes</v>
      </c>
      <c r="Q72" t="s">
        <v>10</v>
      </c>
      <c r="R72" t="s">
        <v>80</v>
      </c>
      <c r="S72" t="s">
        <v>10</v>
      </c>
      <c r="T72" t="s">
        <v>10</v>
      </c>
      <c r="U72" t="s">
        <v>57</v>
      </c>
      <c r="V72" t="s">
        <v>10</v>
      </c>
      <c r="W72" t="s">
        <v>10</v>
      </c>
      <c r="X72" s="11">
        <v>1704.9187573171594</v>
      </c>
      <c r="Y72">
        <f>_xlfn.XLOOKUP(Table1820[[#This Row],[Coverage]],CoverageTable[Coverage],CoverageTable[Base Rate],,0)</f>
        <v>622</v>
      </c>
      <c r="Z72">
        <f>INDEX(Table16[Ageband Factor],MATCH(Table1820[[#This Row],[Ageband]],Table16[Ageband],0))</f>
        <v>1.32</v>
      </c>
      <c r="AA72">
        <f>VLOOKUP(Table1820[[#This Row],[Years Driving]],Table1[],2)</f>
        <v>1.1499999999999999</v>
      </c>
      <c r="AB72">
        <f>_xlfn.XLOOKUP(Table1820[[#This Row],[At Fault Accidents]],Table2[At Fault Accidents],Table2[At Fault Accident Factor],,0)</f>
        <v>1.82</v>
      </c>
      <c r="AC72">
        <f>_xlfn.XLOOKUP(Table1820[[#This Row],[Usage-Based Insurance]],Table3[Usage-Based Insurance],Table3[Usage-Based Insurance Discount],,0)</f>
        <v>0.65</v>
      </c>
      <c r="AD72">
        <f>_xlfn.XLOOKUP(Table1820[[#This Row],[Yearly Miles]],Table4[Yearly Miles],Table4[Yearly Miles Factor],,0)</f>
        <v>1.31</v>
      </c>
      <c r="AE72">
        <f>_xlfn.XLOOKUP(Table1820[[#This Row],[City/Zip Code]],Table5[City/Zip Code],Table5[City/Zip Code Factor],,0)</f>
        <v>0.95</v>
      </c>
      <c r="AF72">
        <f>_xlfn.XLOOKUP(Table1820[[#This Row],[Vehicle Price]],Table6[Vehicle Price],Table6[Vehicle Price Factor])</f>
        <v>1.57</v>
      </c>
      <c r="AG72">
        <f>_xlfn.XLOOKUP(Table1820[[#This Row],[Exotic Car]],Table7[Exotic Car],Table7[Exotic Car Factor],,0)</f>
        <v>1</v>
      </c>
      <c r="AH72">
        <f>_xlfn.XLOOKUP(Table1820[[#This Row],[Difficult Parts]],Table8[Difficult Parts],Table8[Difficult Parts Factor],,0)</f>
        <v>1</v>
      </c>
      <c r="AI72">
        <f>_xlfn.XLOOKUP(Table1820[[#This Row],[High Theft Rate]],Table9[High Theft Rate],Table9[High Theft Rate Factor],,0)</f>
        <v>1</v>
      </c>
      <c r="AJ72">
        <f>_xlfn.XLOOKUP(Table1820[[#This Row],[Advanced Safety Features]],Table10[Advanced Safety Features],Table10[Advanced Safety Features Factor],,0)</f>
        <v>1</v>
      </c>
      <c r="AK72">
        <f>_xlfn.XLOOKUP(Table1820[[#This Row],[Deductible]],Table12[Deductible],Table12[Deductible Factor],,0)</f>
        <v>1</v>
      </c>
      <c r="AL72">
        <f>_xlfn.XLOOKUP(Table1820[[#This Row],[Coverage Limit]],Table13[Coverage Limit],Table13[Coverage Limit Factor],,0)</f>
        <v>0.84</v>
      </c>
      <c r="AM72">
        <f>IF(Table1820[[#This Row],[Good Student Discount]]="Yes",'Rate Book'!$D$126,1)</f>
        <v>1</v>
      </c>
      <c r="AN72">
        <f>IF(Table1820[[#This Row],[Good Driver Discount]]="Yes",'Rate Book'!$D$127,1)</f>
        <v>1</v>
      </c>
      <c r="AO72">
        <f>IF(Table1820[[#This Row],[Multi Policy Discount]]="Yes",'Rate Book'!$D$128,1)</f>
        <v>0.93</v>
      </c>
      <c r="AP72">
        <f>IF(Table1820[[#This Row],[Loyal Customer Discount]]="Yes",'Rate Book'!$D$129,1)</f>
        <v>1</v>
      </c>
      <c r="AQ72">
        <f>IF(Table1820[[#This Row],[Organization Discount]]="Yes",'Rate Book'!$D$130,1)</f>
        <v>1</v>
      </c>
      <c r="AR72" cm="1">
        <f t="array" ref="AR72">IF(Table1820[[#This Row],[Effective Date]]&gt;=RateChangeTable[Effective Date],RateChangeTable[Rate Change Factor],1)</f>
        <v>1</v>
      </c>
      <c r="AS72" s="10">
        <f>PRODUCT(Table1820[[#This Row],[Base Rate]:[Rate Change Factor]])</f>
        <v>1704.9187573171594</v>
      </c>
      <c r="AT72" s="9">
        <f>Table1820[[#This Row],[System-Generated Premium]]-Table1820[[#This Row],[Expected Premium]]</f>
        <v>0</v>
      </c>
      <c r="AU72" t="str">
        <f>IF(Table1820[[#This Row],[Difference]]=0,"PASS","FAIL")</f>
        <v>PASS</v>
      </c>
      <c r="AV72" s="9">
        <f>ABS(Table1820[[#This Row],[Difference]])</f>
        <v>0</v>
      </c>
      <c r="AW72" s="9" t="s">
        <v>1136</v>
      </c>
    </row>
    <row r="73" spans="1:49" x14ac:dyDescent="0.3">
      <c r="A73" t="s">
        <v>164</v>
      </c>
      <c r="B73" s="7">
        <v>46044</v>
      </c>
      <c r="C73" t="s">
        <v>70</v>
      </c>
      <c r="D73" t="s">
        <v>1100</v>
      </c>
      <c r="E73" s="3">
        <v>2</v>
      </c>
      <c r="F73" s="3">
        <v>0</v>
      </c>
      <c r="G73" t="s">
        <v>10</v>
      </c>
      <c r="H73" t="s">
        <v>1107</v>
      </c>
      <c r="I73" t="s">
        <v>26</v>
      </c>
      <c r="J73" t="s">
        <v>53</v>
      </c>
      <c r="K73" t="s">
        <v>10</v>
      </c>
      <c r="L73" t="s">
        <v>57</v>
      </c>
      <c r="M73" t="s">
        <v>10</v>
      </c>
      <c r="N73" t="s">
        <v>57</v>
      </c>
      <c r="O73" t="str">
        <f>INDEX(CoverageTable[Deductible Applies],MATCH(Table1820[[#This Row],[Coverage]],CoverageTable[Coverage],0))</f>
        <v>No</v>
      </c>
      <c r="P73" t="str">
        <f>INDEX(CoverageTable[Coverage Limit Applies],MATCH(Table1820[[#This Row],[Coverage]],CoverageTable[Coverage],0))</f>
        <v>Yes</v>
      </c>
      <c r="Q73" t="s">
        <v>10</v>
      </c>
      <c r="R73" t="s">
        <v>80</v>
      </c>
      <c r="S73" t="s">
        <v>10</v>
      </c>
      <c r="T73" t="s">
        <v>10</v>
      </c>
      <c r="U73" t="s">
        <v>10</v>
      </c>
      <c r="V73" t="s">
        <v>10</v>
      </c>
      <c r="W73" t="s">
        <v>57</v>
      </c>
      <c r="X73" s="11">
        <v>1864.4483699706975</v>
      </c>
      <c r="Y73">
        <f>_xlfn.XLOOKUP(Table1820[[#This Row],[Coverage]],CoverageTable[Coverage],CoverageTable[Base Rate],,0)</f>
        <v>622</v>
      </c>
      <c r="Z73">
        <f>INDEX(Table16[Ageband Factor],MATCH(Table1820[[#This Row],[Ageband]],Table16[Ageband],0))</f>
        <v>1.07</v>
      </c>
      <c r="AA73">
        <f>VLOOKUP(Table1820[[#This Row],[Years Driving]],Table1[],2)</f>
        <v>1.41</v>
      </c>
      <c r="AB73">
        <f>_xlfn.XLOOKUP(Table1820[[#This Row],[At Fault Accidents]],Table2[At Fault Accidents],Table2[At Fault Accident Factor],,0)</f>
        <v>1</v>
      </c>
      <c r="AC73">
        <f>_xlfn.XLOOKUP(Table1820[[#This Row],[Usage-Based Insurance]],Table3[Usage-Based Insurance],Table3[Usage-Based Insurance Discount],,0)</f>
        <v>1</v>
      </c>
      <c r="AD73">
        <f>_xlfn.XLOOKUP(Table1820[[#This Row],[Yearly Miles]],Table4[Yearly Miles],Table4[Yearly Miles Factor],,0)</f>
        <v>0.93</v>
      </c>
      <c r="AE73">
        <f>_xlfn.XLOOKUP(Table1820[[#This Row],[City/Zip Code]],Table5[City/Zip Code],Table5[City/Zip Code Factor],,0)</f>
        <v>1.1499999999999999</v>
      </c>
      <c r="AF73">
        <f>_xlfn.XLOOKUP(Table1820[[#This Row],[Vehicle Price]],Table6[Vehicle Price],Table6[Vehicle Price Factor])</f>
        <v>2.02</v>
      </c>
      <c r="AG73">
        <f>_xlfn.XLOOKUP(Table1820[[#This Row],[Exotic Car]],Table7[Exotic Car],Table7[Exotic Car Factor],,0)</f>
        <v>1</v>
      </c>
      <c r="AH73">
        <f>_xlfn.XLOOKUP(Table1820[[#This Row],[Difficult Parts]],Table8[Difficult Parts],Table8[Difficult Parts Factor],,0)</f>
        <v>1.21</v>
      </c>
      <c r="AI73">
        <f>_xlfn.XLOOKUP(Table1820[[#This Row],[High Theft Rate]],Table9[High Theft Rate],Table9[High Theft Rate Factor],,0)</f>
        <v>1</v>
      </c>
      <c r="AJ73">
        <f>_xlfn.XLOOKUP(Table1820[[#This Row],[Advanced Safety Features]],Table10[Advanced Safety Features],Table10[Advanced Safety Features Factor],,0)</f>
        <v>0.88</v>
      </c>
      <c r="AK73">
        <f>_xlfn.XLOOKUP(Table1820[[#This Row],[Deductible]],Table12[Deductible],Table12[Deductible Factor],,0)</f>
        <v>1</v>
      </c>
      <c r="AL73">
        <f>_xlfn.XLOOKUP(Table1820[[#This Row],[Coverage Limit]],Table13[Coverage Limit],Table13[Coverage Limit Factor],,0)</f>
        <v>0.84</v>
      </c>
      <c r="AM73">
        <f>IF(Table1820[[#This Row],[Good Student Discount]]="Yes",'Rate Book'!$D$126,1)</f>
        <v>1</v>
      </c>
      <c r="AN73">
        <f>IF(Table1820[[#This Row],[Good Driver Discount]]="Yes",'Rate Book'!$D$127,1)</f>
        <v>1</v>
      </c>
      <c r="AO73">
        <f>IF(Table1820[[#This Row],[Multi Policy Discount]]="Yes",'Rate Book'!$D$128,1)</f>
        <v>1</v>
      </c>
      <c r="AP73">
        <f>IF(Table1820[[#This Row],[Loyal Customer Discount]]="Yes",'Rate Book'!$D$129,1)</f>
        <v>1</v>
      </c>
      <c r="AQ73">
        <f>IF(Table1820[[#This Row],[Organization Discount]]="Yes",'Rate Book'!$D$130,1)</f>
        <v>0.97</v>
      </c>
      <c r="AR73" cm="1">
        <f t="array" ref="AR73">IF(Table1820[[#This Row],[Effective Date]]&gt;=RateChangeTable[Effective Date],RateChangeTable[Rate Change Factor],1)</f>
        <v>1.06</v>
      </c>
      <c r="AS73" s="10">
        <f>PRODUCT(Table1820[[#This Row],[Base Rate]:[Rate Change Factor]])</f>
        <v>1864.4483699706975</v>
      </c>
      <c r="AT73" s="9">
        <f>Table1820[[#This Row],[System-Generated Premium]]-Table1820[[#This Row],[Expected Premium]]</f>
        <v>0</v>
      </c>
      <c r="AU73" t="str">
        <f>IF(Table1820[[#This Row],[Difference]]=0,"PASS","FAIL")</f>
        <v>PASS</v>
      </c>
      <c r="AV73" s="9">
        <f>ABS(Table1820[[#This Row],[Difference]])</f>
        <v>0</v>
      </c>
      <c r="AW73" s="9" t="s">
        <v>1136</v>
      </c>
    </row>
    <row r="74" spans="1:49" x14ac:dyDescent="0.3">
      <c r="A74" t="s">
        <v>165</v>
      </c>
      <c r="B74" s="7">
        <v>45985</v>
      </c>
      <c r="C74" t="s">
        <v>71</v>
      </c>
      <c r="D74" t="s">
        <v>1102</v>
      </c>
      <c r="E74" s="3">
        <v>4</v>
      </c>
      <c r="F74" s="3">
        <v>4</v>
      </c>
      <c r="G74" t="s">
        <v>10</v>
      </c>
      <c r="H74" t="s">
        <v>1106</v>
      </c>
      <c r="I74" t="s">
        <v>32</v>
      </c>
      <c r="J74" t="s">
        <v>53</v>
      </c>
      <c r="K74" t="s">
        <v>57</v>
      </c>
      <c r="L74" t="s">
        <v>10</v>
      </c>
      <c r="M74" t="s">
        <v>10</v>
      </c>
      <c r="N74" t="s">
        <v>57</v>
      </c>
      <c r="O74" t="str">
        <f>INDEX(CoverageTable[Deductible Applies],MATCH(Table1820[[#This Row],[Coverage]],CoverageTable[Coverage],0))</f>
        <v>Yes</v>
      </c>
      <c r="P74" t="str">
        <f>INDEX(CoverageTable[Coverage Limit Applies],MATCH(Table1820[[#This Row],[Coverage]],CoverageTable[Coverage],0))</f>
        <v>No</v>
      </c>
      <c r="Q74" t="s">
        <v>79</v>
      </c>
      <c r="R74" t="s">
        <v>10</v>
      </c>
      <c r="S74" t="s">
        <v>10</v>
      </c>
      <c r="T74" t="s">
        <v>57</v>
      </c>
      <c r="U74" t="s">
        <v>57</v>
      </c>
      <c r="V74" t="s">
        <v>10</v>
      </c>
      <c r="W74" t="s">
        <v>10</v>
      </c>
      <c r="X74" s="11">
        <v>2037.8102942881194</v>
      </c>
      <c r="Y74">
        <f>_xlfn.XLOOKUP(Table1820[[#This Row],[Coverage]],CoverageTable[Coverage],CoverageTable[Base Rate],,0)</f>
        <v>453</v>
      </c>
      <c r="Z74">
        <f>INDEX(Table16[Ageband Factor],MATCH(Table1820[[#This Row],[Ageband]],Table16[Ageband],0))</f>
        <v>1.27</v>
      </c>
      <c r="AA74">
        <f>VLOOKUP(Table1820[[#This Row],[Years Driving]],Table1[],2)</f>
        <v>1.1499999999999999</v>
      </c>
      <c r="AB74">
        <f>_xlfn.XLOOKUP(Table1820[[#This Row],[At Fault Accidents]],Table2[At Fault Accidents],Table2[At Fault Accident Factor],,0)</f>
        <v>2.12</v>
      </c>
      <c r="AC74">
        <f>_xlfn.XLOOKUP(Table1820[[#This Row],[Usage-Based Insurance]],Table3[Usage-Based Insurance],Table3[Usage-Based Insurance Discount],,0)</f>
        <v>1</v>
      </c>
      <c r="AD74">
        <f>_xlfn.XLOOKUP(Table1820[[#This Row],[Yearly Miles]],Table4[Yearly Miles],Table4[Yearly Miles Factor],,0)</f>
        <v>0.82</v>
      </c>
      <c r="AE74">
        <f>_xlfn.XLOOKUP(Table1820[[#This Row],[City/Zip Code]],Table5[City/Zip Code],Table5[City/Zip Code Factor],,0)</f>
        <v>1.1200000000000001</v>
      </c>
      <c r="AF74">
        <f>_xlfn.XLOOKUP(Table1820[[#This Row],[Vehicle Price]],Table6[Vehicle Price],Table6[Vehicle Price Factor])</f>
        <v>2.02</v>
      </c>
      <c r="AG74">
        <f>_xlfn.XLOOKUP(Table1820[[#This Row],[Exotic Car]],Table7[Exotic Car],Table7[Exotic Car Factor],,0)</f>
        <v>1.28</v>
      </c>
      <c r="AH74">
        <f>_xlfn.XLOOKUP(Table1820[[#This Row],[Difficult Parts]],Table8[Difficult Parts],Table8[Difficult Parts Factor],,0)</f>
        <v>1</v>
      </c>
      <c r="AI74">
        <f>_xlfn.XLOOKUP(Table1820[[#This Row],[High Theft Rate]],Table9[High Theft Rate],Table9[High Theft Rate Factor],,0)</f>
        <v>1</v>
      </c>
      <c r="AJ74">
        <f>_xlfn.XLOOKUP(Table1820[[#This Row],[Advanced Safety Features]],Table10[Advanced Safety Features],Table10[Advanced Safety Features Factor],,0)</f>
        <v>0.88</v>
      </c>
      <c r="AK74">
        <f>_xlfn.XLOOKUP(Table1820[[#This Row],[Deductible]],Table12[Deductible],Table12[Deductible Factor],,0)</f>
        <v>0.84</v>
      </c>
      <c r="AL74">
        <f>_xlfn.XLOOKUP(Table1820[[#This Row],[Coverage Limit]],Table13[Coverage Limit],Table13[Coverage Limit Factor],,0)</f>
        <v>1</v>
      </c>
      <c r="AM74">
        <f>IF(Table1820[[#This Row],[Good Student Discount]]="Yes",'Rate Book'!$D$126,1)</f>
        <v>1</v>
      </c>
      <c r="AN74">
        <f>IF(Table1820[[#This Row],[Good Driver Discount]]="Yes",'Rate Book'!$D$127,1)</f>
        <v>0.89</v>
      </c>
      <c r="AO74">
        <f>IF(Table1820[[#This Row],[Multi Policy Discount]]="Yes",'Rate Book'!$D$128,1)</f>
        <v>0.93</v>
      </c>
      <c r="AP74">
        <f>IF(Table1820[[#This Row],[Loyal Customer Discount]]="Yes",'Rate Book'!$D$129,1)</f>
        <v>1</v>
      </c>
      <c r="AQ74">
        <f>IF(Table1820[[#This Row],[Organization Discount]]="Yes",'Rate Book'!$D$130,1)</f>
        <v>1</v>
      </c>
      <c r="AR74" cm="1">
        <f t="array" ref="AR74">IF(Table1820[[#This Row],[Effective Date]]&gt;=RateChangeTable[Effective Date],RateChangeTable[Rate Change Factor],1)</f>
        <v>1</v>
      </c>
      <c r="AS74" s="10">
        <f>PRODUCT(Table1820[[#This Row],[Base Rate]:[Rate Change Factor]])</f>
        <v>2037.8102942881194</v>
      </c>
      <c r="AT74" s="9">
        <f>Table1820[[#This Row],[System-Generated Premium]]-Table1820[[#This Row],[Expected Premium]]</f>
        <v>0</v>
      </c>
      <c r="AU74" t="str">
        <f>IF(Table1820[[#This Row],[Difference]]=0,"PASS","FAIL")</f>
        <v>PASS</v>
      </c>
      <c r="AV74" s="9">
        <f>ABS(Table1820[[#This Row],[Difference]])</f>
        <v>0</v>
      </c>
      <c r="AW74" s="9" t="s">
        <v>1136</v>
      </c>
    </row>
    <row r="75" spans="1:49" x14ac:dyDescent="0.3">
      <c r="A75" t="s">
        <v>166</v>
      </c>
      <c r="B75" s="7">
        <v>46002</v>
      </c>
      <c r="C75" t="s">
        <v>70</v>
      </c>
      <c r="D75" t="s">
        <v>1101</v>
      </c>
      <c r="E75" s="3">
        <v>1</v>
      </c>
      <c r="F75" s="3">
        <v>3</v>
      </c>
      <c r="G75" t="s">
        <v>10</v>
      </c>
      <c r="H75" t="s">
        <v>1110</v>
      </c>
      <c r="I75" t="s">
        <v>29</v>
      </c>
      <c r="J75" t="s">
        <v>48</v>
      </c>
      <c r="K75" t="s">
        <v>10</v>
      </c>
      <c r="L75" t="s">
        <v>10</v>
      </c>
      <c r="M75" t="s">
        <v>10</v>
      </c>
      <c r="N75" t="s">
        <v>57</v>
      </c>
      <c r="O75" t="str">
        <f>INDEX(CoverageTable[Deductible Applies],MATCH(Table1820[[#This Row],[Coverage]],CoverageTable[Coverage],0))</f>
        <v>No</v>
      </c>
      <c r="P75" t="str">
        <f>INDEX(CoverageTable[Coverage Limit Applies],MATCH(Table1820[[#This Row],[Coverage]],CoverageTable[Coverage],0))</f>
        <v>Yes</v>
      </c>
      <c r="Q75" t="s">
        <v>10</v>
      </c>
      <c r="R75" t="s">
        <v>78</v>
      </c>
      <c r="S75" t="s">
        <v>10</v>
      </c>
      <c r="T75" t="s">
        <v>10</v>
      </c>
      <c r="U75" t="s">
        <v>10</v>
      </c>
      <c r="V75" t="s">
        <v>10</v>
      </c>
      <c r="W75" t="s">
        <v>10</v>
      </c>
      <c r="X75" s="11">
        <v>1306.9163661153091</v>
      </c>
      <c r="Y75">
        <f>_xlfn.XLOOKUP(Table1820[[#This Row],[Coverage]],CoverageTable[Coverage],CoverageTable[Base Rate],,0)</f>
        <v>622</v>
      </c>
      <c r="Z75">
        <f>INDEX(Table16[Ageband Factor],MATCH(Table1820[[#This Row],[Ageband]],Table16[Ageband],0))</f>
        <v>1.1200000000000001</v>
      </c>
      <c r="AA75">
        <f>VLOOKUP(Table1820[[#This Row],[Years Driving]],Table1[],2)</f>
        <v>1.64</v>
      </c>
      <c r="AB75">
        <f>_xlfn.XLOOKUP(Table1820[[#This Row],[At Fault Accidents]],Table2[At Fault Accidents],Table2[At Fault Accident Factor],,0)</f>
        <v>1.82</v>
      </c>
      <c r="AC75">
        <f>_xlfn.XLOOKUP(Table1820[[#This Row],[Usage-Based Insurance]],Table3[Usage-Based Insurance],Table3[Usage-Based Insurance Discount],,0)</f>
        <v>1</v>
      </c>
      <c r="AD75">
        <f>_xlfn.XLOOKUP(Table1820[[#This Row],[Yearly Miles]],Table4[Yearly Miles],Table4[Yearly Miles Factor],,0)</f>
        <v>1.31</v>
      </c>
      <c r="AE75">
        <f>_xlfn.XLOOKUP(Table1820[[#This Row],[City/Zip Code]],Table5[City/Zip Code],Table5[City/Zip Code Factor],,0)</f>
        <v>1.0900000000000001</v>
      </c>
      <c r="AF75">
        <f>_xlfn.XLOOKUP(Table1820[[#This Row],[Vehicle Price]],Table6[Vehicle Price],Table6[Vehicle Price Factor])</f>
        <v>0.82</v>
      </c>
      <c r="AG75">
        <f>_xlfn.XLOOKUP(Table1820[[#This Row],[Exotic Car]],Table7[Exotic Car],Table7[Exotic Car Factor],,0)</f>
        <v>1</v>
      </c>
      <c r="AH75">
        <f>_xlfn.XLOOKUP(Table1820[[#This Row],[Difficult Parts]],Table8[Difficult Parts],Table8[Difficult Parts Factor],,0)</f>
        <v>1</v>
      </c>
      <c r="AI75">
        <f>_xlfn.XLOOKUP(Table1820[[#This Row],[High Theft Rate]],Table9[High Theft Rate],Table9[High Theft Rate Factor],,0)</f>
        <v>1</v>
      </c>
      <c r="AJ75">
        <f>_xlfn.XLOOKUP(Table1820[[#This Row],[Advanced Safety Features]],Table10[Advanced Safety Features],Table10[Advanced Safety Features Factor],,0)</f>
        <v>0.88</v>
      </c>
      <c r="AK75">
        <f>_xlfn.XLOOKUP(Table1820[[#This Row],[Deductible]],Table12[Deductible],Table12[Deductible Factor],,0)</f>
        <v>1</v>
      </c>
      <c r="AL75">
        <f>_xlfn.XLOOKUP(Table1820[[#This Row],[Coverage Limit]],Table13[Coverage Limit],Table13[Coverage Limit Factor],,0)</f>
        <v>0.61</v>
      </c>
      <c r="AM75">
        <f>IF(Table1820[[#This Row],[Good Student Discount]]="Yes",'Rate Book'!$D$126,1)</f>
        <v>1</v>
      </c>
      <c r="AN75">
        <f>IF(Table1820[[#This Row],[Good Driver Discount]]="Yes",'Rate Book'!$D$127,1)</f>
        <v>1</v>
      </c>
      <c r="AO75">
        <f>IF(Table1820[[#This Row],[Multi Policy Discount]]="Yes",'Rate Book'!$D$128,1)</f>
        <v>1</v>
      </c>
      <c r="AP75">
        <f>IF(Table1820[[#This Row],[Loyal Customer Discount]]="Yes",'Rate Book'!$D$129,1)</f>
        <v>1</v>
      </c>
      <c r="AQ75">
        <f>IF(Table1820[[#This Row],[Organization Discount]]="Yes",'Rate Book'!$D$130,1)</f>
        <v>1</v>
      </c>
      <c r="AR75" cm="1">
        <f t="array" ref="AR75">IF(Table1820[[#This Row],[Effective Date]]&gt;=RateChangeTable[Effective Date],RateChangeTable[Rate Change Factor],1)</f>
        <v>1</v>
      </c>
      <c r="AS75" s="10">
        <f>PRODUCT(Table1820[[#This Row],[Base Rate]:[Rate Change Factor]])</f>
        <v>1306.9163661153091</v>
      </c>
      <c r="AT75" s="9">
        <f>Table1820[[#This Row],[System-Generated Premium]]-Table1820[[#This Row],[Expected Premium]]</f>
        <v>0</v>
      </c>
      <c r="AU75" t="str">
        <f>IF(Table1820[[#This Row],[Difference]]=0,"PASS","FAIL")</f>
        <v>PASS</v>
      </c>
      <c r="AV75" s="9">
        <f>ABS(Table1820[[#This Row],[Difference]])</f>
        <v>0</v>
      </c>
      <c r="AW75" s="9" t="s">
        <v>1136</v>
      </c>
    </row>
    <row r="76" spans="1:49" x14ac:dyDescent="0.3">
      <c r="A76" t="s">
        <v>167</v>
      </c>
      <c r="B76" s="7">
        <v>46089</v>
      </c>
      <c r="C76" t="s">
        <v>71</v>
      </c>
      <c r="D76" t="s">
        <v>1100</v>
      </c>
      <c r="E76" s="3">
        <v>5</v>
      </c>
      <c r="F76" s="3">
        <v>4</v>
      </c>
      <c r="G76" t="s">
        <v>10</v>
      </c>
      <c r="H76" t="s">
        <v>1107</v>
      </c>
      <c r="I76" t="s">
        <v>34</v>
      </c>
      <c r="J76" t="s">
        <v>52</v>
      </c>
      <c r="K76" t="s">
        <v>10</v>
      </c>
      <c r="L76" t="s">
        <v>57</v>
      </c>
      <c r="M76" t="s">
        <v>57</v>
      </c>
      <c r="N76" t="s">
        <v>57</v>
      </c>
      <c r="O76" t="str">
        <f>INDEX(CoverageTable[Deductible Applies],MATCH(Table1820[[#This Row],[Coverage]],CoverageTable[Coverage],0))</f>
        <v>Yes</v>
      </c>
      <c r="P76" t="str">
        <f>INDEX(CoverageTable[Coverage Limit Applies],MATCH(Table1820[[#This Row],[Coverage]],CoverageTable[Coverage],0))</f>
        <v>No</v>
      </c>
      <c r="Q76" t="s">
        <v>78</v>
      </c>
      <c r="R76" t="s">
        <v>10</v>
      </c>
      <c r="S76" t="s">
        <v>10</v>
      </c>
      <c r="T76" t="s">
        <v>10</v>
      </c>
      <c r="U76" t="s">
        <v>10</v>
      </c>
      <c r="V76" t="s">
        <v>10</v>
      </c>
      <c r="W76" t="s">
        <v>10</v>
      </c>
      <c r="X76" s="11">
        <v>3115.0449642073172</v>
      </c>
      <c r="Y76">
        <f>_xlfn.XLOOKUP(Table1820[[#This Row],[Coverage]],CoverageTable[Coverage],CoverageTable[Base Rate],,0)</f>
        <v>453</v>
      </c>
      <c r="Z76">
        <f>INDEX(Table16[Ageband Factor],MATCH(Table1820[[#This Row],[Ageband]],Table16[Ageband],0))</f>
        <v>1.07</v>
      </c>
      <c r="AA76">
        <f>VLOOKUP(Table1820[[#This Row],[Years Driving]],Table1[],2)</f>
        <v>1.07</v>
      </c>
      <c r="AB76">
        <f>_xlfn.XLOOKUP(Table1820[[#This Row],[At Fault Accidents]],Table2[At Fault Accidents],Table2[At Fault Accident Factor],,0)</f>
        <v>2.12</v>
      </c>
      <c r="AC76">
        <f>_xlfn.XLOOKUP(Table1820[[#This Row],[Usage-Based Insurance]],Table3[Usage-Based Insurance],Table3[Usage-Based Insurance Discount],,0)</f>
        <v>1</v>
      </c>
      <c r="AD76">
        <f>_xlfn.XLOOKUP(Table1820[[#This Row],[Yearly Miles]],Table4[Yearly Miles],Table4[Yearly Miles Factor],,0)</f>
        <v>0.93</v>
      </c>
      <c r="AE76">
        <f>_xlfn.XLOOKUP(Table1820[[#This Row],[City/Zip Code]],Table5[City/Zip Code],Table5[City/Zip Code Factor],,0)</f>
        <v>1.56</v>
      </c>
      <c r="AF76">
        <f>_xlfn.XLOOKUP(Table1820[[#This Row],[Vehicle Price]],Table6[Vehicle Price],Table6[Vehicle Price Factor])</f>
        <v>1.57</v>
      </c>
      <c r="AG76">
        <f>_xlfn.XLOOKUP(Table1820[[#This Row],[Exotic Car]],Table7[Exotic Car],Table7[Exotic Car Factor],,0)</f>
        <v>1</v>
      </c>
      <c r="AH76">
        <f>_xlfn.XLOOKUP(Table1820[[#This Row],[Difficult Parts]],Table8[Difficult Parts],Table8[Difficult Parts Factor],,0)</f>
        <v>1.21</v>
      </c>
      <c r="AI76">
        <f>_xlfn.XLOOKUP(Table1820[[#This Row],[High Theft Rate]],Table9[High Theft Rate],Table9[High Theft Rate Factor],,0)</f>
        <v>1.1599999999999999</v>
      </c>
      <c r="AJ76">
        <f>_xlfn.XLOOKUP(Table1820[[#This Row],[Advanced Safety Features]],Table10[Advanced Safety Features],Table10[Advanced Safety Features Factor],,0)</f>
        <v>0.88</v>
      </c>
      <c r="AK76">
        <f>_xlfn.XLOOKUP(Table1820[[#This Row],[Deductible]],Table12[Deductible],Table12[Deductible Factor],,0)</f>
        <v>0.95</v>
      </c>
      <c r="AL76">
        <f>_xlfn.XLOOKUP(Table1820[[#This Row],[Coverage Limit]],Table13[Coverage Limit],Table13[Coverage Limit Factor],,0)</f>
        <v>1</v>
      </c>
      <c r="AM76">
        <f>IF(Table1820[[#This Row],[Good Student Discount]]="Yes",'Rate Book'!$D$126,1)</f>
        <v>1</v>
      </c>
      <c r="AN76">
        <f>IF(Table1820[[#This Row],[Good Driver Discount]]="Yes",'Rate Book'!$D$127,1)</f>
        <v>1</v>
      </c>
      <c r="AO76">
        <f>IF(Table1820[[#This Row],[Multi Policy Discount]]="Yes",'Rate Book'!$D$128,1)</f>
        <v>1</v>
      </c>
      <c r="AP76">
        <f>IF(Table1820[[#This Row],[Loyal Customer Discount]]="Yes",'Rate Book'!$D$129,1)</f>
        <v>1</v>
      </c>
      <c r="AQ76">
        <f>IF(Table1820[[#This Row],[Organization Discount]]="Yes",'Rate Book'!$D$130,1)</f>
        <v>1</v>
      </c>
      <c r="AR76" cm="1">
        <f t="array" ref="AR76">IF(Table1820[[#This Row],[Effective Date]]&gt;=RateChangeTable[Effective Date],RateChangeTable[Rate Change Factor],1)</f>
        <v>1.06</v>
      </c>
      <c r="AS76" s="10">
        <f>PRODUCT(Table1820[[#This Row],[Base Rate]:[Rate Change Factor]])</f>
        <v>3115.0449642073172</v>
      </c>
      <c r="AT76" s="9">
        <f>Table1820[[#This Row],[System-Generated Premium]]-Table1820[[#This Row],[Expected Premium]]</f>
        <v>0</v>
      </c>
      <c r="AU76" t="str">
        <f>IF(Table1820[[#This Row],[Difference]]=0,"PASS","FAIL")</f>
        <v>PASS</v>
      </c>
      <c r="AV76" s="9">
        <f>ABS(Table1820[[#This Row],[Difference]])</f>
        <v>0</v>
      </c>
      <c r="AW76" s="9" t="s">
        <v>1136</v>
      </c>
    </row>
    <row r="77" spans="1:49" x14ac:dyDescent="0.3">
      <c r="A77" t="s">
        <v>168</v>
      </c>
      <c r="B77" s="7">
        <v>46110</v>
      </c>
      <c r="C77" t="s">
        <v>70</v>
      </c>
      <c r="D77" t="s">
        <v>1102</v>
      </c>
      <c r="E77" s="3">
        <v>5</v>
      </c>
      <c r="F77" s="3">
        <v>0</v>
      </c>
      <c r="G77" t="s">
        <v>10</v>
      </c>
      <c r="H77" t="s">
        <v>1110</v>
      </c>
      <c r="I77" t="s">
        <v>23</v>
      </c>
      <c r="J77" t="s">
        <v>48</v>
      </c>
      <c r="K77" t="s">
        <v>10</v>
      </c>
      <c r="L77" t="s">
        <v>57</v>
      </c>
      <c r="M77" t="s">
        <v>57</v>
      </c>
      <c r="N77" t="s">
        <v>10</v>
      </c>
      <c r="O77" t="str">
        <f>INDEX(CoverageTable[Deductible Applies],MATCH(Table1820[[#This Row],[Coverage]],CoverageTable[Coverage],0))</f>
        <v>No</v>
      </c>
      <c r="P77" t="str">
        <f>INDEX(CoverageTable[Coverage Limit Applies],MATCH(Table1820[[#This Row],[Coverage]],CoverageTable[Coverage],0))</f>
        <v>Yes</v>
      </c>
      <c r="Q77" t="s">
        <v>10</v>
      </c>
      <c r="R77" t="s">
        <v>80</v>
      </c>
      <c r="S77" t="s">
        <v>57</v>
      </c>
      <c r="T77" t="s">
        <v>57</v>
      </c>
      <c r="U77" t="s">
        <v>10</v>
      </c>
      <c r="V77" t="s">
        <v>10</v>
      </c>
      <c r="W77" t="s">
        <v>10</v>
      </c>
      <c r="X77" s="11">
        <v>854.78561238374573</v>
      </c>
      <c r="Y77">
        <f>_xlfn.XLOOKUP(Table1820[[#This Row],[Coverage]],CoverageTable[Coverage],CoverageTable[Base Rate],,0)</f>
        <v>622</v>
      </c>
      <c r="Z77">
        <f>INDEX(Table16[Ageband Factor],MATCH(Table1820[[#This Row],[Ageband]],Table16[Ageband],0))</f>
        <v>1.27</v>
      </c>
      <c r="AA77">
        <f>VLOOKUP(Table1820[[#This Row],[Years Driving]],Table1[],2)</f>
        <v>1.07</v>
      </c>
      <c r="AB77">
        <f>_xlfn.XLOOKUP(Table1820[[#This Row],[At Fault Accidents]],Table2[At Fault Accidents],Table2[At Fault Accident Factor],,0)</f>
        <v>1</v>
      </c>
      <c r="AC77">
        <f>_xlfn.XLOOKUP(Table1820[[#This Row],[Usage-Based Insurance]],Table3[Usage-Based Insurance],Table3[Usage-Based Insurance Discount],,0)</f>
        <v>1</v>
      </c>
      <c r="AD77">
        <f>_xlfn.XLOOKUP(Table1820[[#This Row],[Yearly Miles]],Table4[Yearly Miles],Table4[Yearly Miles Factor],,0)</f>
        <v>1.31</v>
      </c>
      <c r="AE77">
        <f>_xlfn.XLOOKUP(Table1820[[#This Row],[City/Zip Code]],Table5[City/Zip Code],Table5[City/Zip Code Factor],,0)</f>
        <v>0.92</v>
      </c>
      <c r="AF77">
        <f>_xlfn.XLOOKUP(Table1820[[#This Row],[Vehicle Price]],Table6[Vehicle Price],Table6[Vehicle Price Factor])</f>
        <v>0.82</v>
      </c>
      <c r="AG77">
        <f>_xlfn.XLOOKUP(Table1820[[#This Row],[Exotic Car]],Table7[Exotic Car],Table7[Exotic Car Factor],,0)</f>
        <v>1</v>
      </c>
      <c r="AH77">
        <f>_xlfn.XLOOKUP(Table1820[[#This Row],[Difficult Parts]],Table8[Difficult Parts],Table8[Difficult Parts Factor],,0)</f>
        <v>1.21</v>
      </c>
      <c r="AI77">
        <f>_xlfn.XLOOKUP(Table1820[[#This Row],[High Theft Rate]],Table9[High Theft Rate],Table9[High Theft Rate Factor],,0)</f>
        <v>1.1599999999999999</v>
      </c>
      <c r="AJ77">
        <f>_xlfn.XLOOKUP(Table1820[[#This Row],[Advanced Safety Features]],Table10[Advanced Safety Features],Table10[Advanced Safety Features Factor],,0)</f>
        <v>1</v>
      </c>
      <c r="AK77">
        <f>_xlfn.XLOOKUP(Table1820[[#This Row],[Deductible]],Table12[Deductible],Table12[Deductible Factor],,0)</f>
        <v>1</v>
      </c>
      <c r="AL77">
        <f>_xlfn.XLOOKUP(Table1820[[#This Row],[Coverage Limit]],Table13[Coverage Limit],Table13[Coverage Limit Factor],,0)</f>
        <v>0.84</v>
      </c>
      <c r="AM77">
        <f>IF(Table1820[[#This Row],[Good Student Discount]]="Yes",'Rate Book'!$D$126,1)</f>
        <v>0.92</v>
      </c>
      <c r="AN77">
        <f>IF(Table1820[[#This Row],[Good Driver Discount]]="Yes",'Rate Book'!$D$127,1)</f>
        <v>0.89</v>
      </c>
      <c r="AO77">
        <f>IF(Table1820[[#This Row],[Multi Policy Discount]]="Yes",'Rate Book'!$D$128,1)</f>
        <v>1</v>
      </c>
      <c r="AP77">
        <f>IF(Table1820[[#This Row],[Loyal Customer Discount]]="Yes",'Rate Book'!$D$129,1)</f>
        <v>1</v>
      </c>
      <c r="AQ77">
        <f>IF(Table1820[[#This Row],[Organization Discount]]="Yes",'Rate Book'!$D$130,1)</f>
        <v>1</v>
      </c>
      <c r="AR77" cm="1">
        <f t="array" ref="AR77">IF(Table1820[[#This Row],[Effective Date]]&gt;=RateChangeTable[Effective Date],RateChangeTable[Rate Change Factor],1)</f>
        <v>1.06</v>
      </c>
      <c r="AS77" s="10">
        <f>PRODUCT(Table1820[[#This Row],[Base Rate]:[Rate Change Factor]])</f>
        <v>854.78561238374573</v>
      </c>
      <c r="AT77" s="9">
        <f>Table1820[[#This Row],[System-Generated Premium]]-Table1820[[#This Row],[Expected Premium]]</f>
        <v>0</v>
      </c>
      <c r="AU77" t="str">
        <f>IF(Table1820[[#This Row],[Difference]]=0,"PASS","FAIL")</f>
        <v>PASS</v>
      </c>
      <c r="AV77" s="9">
        <f>ABS(Table1820[[#This Row],[Difference]])</f>
        <v>0</v>
      </c>
      <c r="AW77" s="9" t="s">
        <v>1136</v>
      </c>
    </row>
    <row r="78" spans="1:49" x14ac:dyDescent="0.3">
      <c r="A78" t="s">
        <v>169</v>
      </c>
      <c r="B78" s="7">
        <v>46131</v>
      </c>
      <c r="C78" t="s">
        <v>74</v>
      </c>
      <c r="D78" t="s">
        <v>1102</v>
      </c>
      <c r="E78" s="3">
        <v>2</v>
      </c>
      <c r="F78" s="3">
        <v>4</v>
      </c>
      <c r="G78" t="s">
        <v>13</v>
      </c>
      <c r="H78" t="s">
        <v>1109</v>
      </c>
      <c r="I78" t="s">
        <v>36</v>
      </c>
      <c r="J78" t="s">
        <v>50</v>
      </c>
      <c r="K78" t="s">
        <v>10</v>
      </c>
      <c r="L78" t="s">
        <v>57</v>
      </c>
      <c r="M78" t="s">
        <v>10</v>
      </c>
      <c r="N78" t="s">
        <v>57</v>
      </c>
      <c r="O78" t="str">
        <f>INDEX(CoverageTable[Deductible Applies],MATCH(Table1820[[#This Row],[Coverage]],CoverageTable[Coverage],0))</f>
        <v>No</v>
      </c>
      <c r="P78" t="str">
        <f>INDEX(CoverageTable[Coverage Limit Applies],MATCH(Table1820[[#This Row],[Coverage]],CoverageTable[Coverage],0))</f>
        <v>Yes</v>
      </c>
      <c r="Q78" t="s">
        <v>10</v>
      </c>
      <c r="R78" t="s">
        <v>80</v>
      </c>
      <c r="S78" t="s">
        <v>10</v>
      </c>
      <c r="T78" t="s">
        <v>10</v>
      </c>
      <c r="U78" t="s">
        <v>57</v>
      </c>
      <c r="V78" t="s">
        <v>10</v>
      </c>
      <c r="W78" t="s">
        <v>57</v>
      </c>
      <c r="X78" s="11">
        <v>108.06762895895812</v>
      </c>
      <c r="Y78">
        <f>_xlfn.XLOOKUP(Table1820[[#This Row],[Coverage]],CoverageTable[Coverage],CoverageTable[Base Rate],,0)</f>
        <v>41</v>
      </c>
      <c r="Z78">
        <f>INDEX(Table16[Ageband Factor],MATCH(Table1820[[#This Row],[Ageband]],Table16[Ageband],0))</f>
        <v>1.27</v>
      </c>
      <c r="AA78">
        <f>VLOOKUP(Table1820[[#This Row],[Years Driving]],Table1[],2)</f>
        <v>1.41</v>
      </c>
      <c r="AB78">
        <f>_xlfn.XLOOKUP(Table1820[[#This Row],[At Fault Accidents]],Table2[At Fault Accidents],Table2[At Fault Accident Factor],,0)</f>
        <v>2.12</v>
      </c>
      <c r="AC78">
        <f>_xlfn.XLOOKUP(Table1820[[#This Row],[Usage-Based Insurance]],Table3[Usage-Based Insurance],Table3[Usage-Based Insurance Discount],,0)</f>
        <v>0.65</v>
      </c>
      <c r="AD78">
        <f>_xlfn.XLOOKUP(Table1820[[#This Row],[Yearly Miles]],Table4[Yearly Miles],Table4[Yearly Miles Factor],,0)</f>
        <v>1.18</v>
      </c>
      <c r="AE78">
        <f>_xlfn.XLOOKUP(Table1820[[#This Row],[City/Zip Code]],Table5[City/Zip Code],Table5[City/Zip Code Factor],,0)</f>
        <v>0.98</v>
      </c>
      <c r="AF78">
        <f>_xlfn.XLOOKUP(Table1820[[#This Row],[Vehicle Price]],Table6[Vehicle Price],Table6[Vehicle Price Factor])</f>
        <v>1.08</v>
      </c>
      <c r="AG78">
        <f>_xlfn.XLOOKUP(Table1820[[#This Row],[Exotic Car]],Table7[Exotic Car],Table7[Exotic Car Factor],,0)</f>
        <v>1</v>
      </c>
      <c r="AH78">
        <f>_xlfn.XLOOKUP(Table1820[[#This Row],[Difficult Parts]],Table8[Difficult Parts],Table8[Difficult Parts Factor],,0)</f>
        <v>1.21</v>
      </c>
      <c r="AI78">
        <f>_xlfn.XLOOKUP(Table1820[[#This Row],[High Theft Rate]],Table9[High Theft Rate],Table9[High Theft Rate Factor],,0)</f>
        <v>1</v>
      </c>
      <c r="AJ78">
        <f>_xlfn.XLOOKUP(Table1820[[#This Row],[Advanced Safety Features]],Table10[Advanced Safety Features],Table10[Advanced Safety Features Factor],,0)</f>
        <v>0.88</v>
      </c>
      <c r="AK78">
        <f>_xlfn.XLOOKUP(Table1820[[#This Row],[Deductible]],Table12[Deductible],Table12[Deductible Factor],,0)</f>
        <v>1</v>
      </c>
      <c r="AL78">
        <f>_xlfn.XLOOKUP(Table1820[[#This Row],[Coverage Limit]],Table13[Coverage Limit],Table13[Coverage Limit Factor],,0)</f>
        <v>0.84</v>
      </c>
      <c r="AM78">
        <f>IF(Table1820[[#This Row],[Good Student Discount]]="Yes",'Rate Book'!$D$126,1)</f>
        <v>1</v>
      </c>
      <c r="AN78">
        <f>IF(Table1820[[#This Row],[Good Driver Discount]]="Yes",'Rate Book'!$D$127,1)</f>
        <v>1</v>
      </c>
      <c r="AO78">
        <f>IF(Table1820[[#This Row],[Multi Policy Discount]]="Yes",'Rate Book'!$D$128,1)</f>
        <v>0.93</v>
      </c>
      <c r="AP78">
        <f>IF(Table1820[[#This Row],[Loyal Customer Discount]]="Yes",'Rate Book'!$D$129,1)</f>
        <v>1</v>
      </c>
      <c r="AQ78">
        <f>IF(Table1820[[#This Row],[Organization Discount]]="Yes",'Rate Book'!$D$130,1)</f>
        <v>0.97</v>
      </c>
      <c r="AR78" cm="1">
        <f t="array" ref="AR78">IF(Table1820[[#This Row],[Effective Date]]&gt;=RateChangeTable[Effective Date],RateChangeTable[Rate Change Factor],1)</f>
        <v>1.06</v>
      </c>
      <c r="AS78" s="10">
        <f>PRODUCT(Table1820[[#This Row],[Base Rate]:[Rate Change Factor]])</f>
        <v>108.06762895895812</v>
      </c>
      <c r="AT78" s="9">
        <f>Table1820[[#This Row],[System-Generated Premium]]-Table1820[[#This Row],[Expected Premium]]</f>
        <v>0</v>
      </c>
      <c r="AU78" t="str">
        <f>IF(Table1820[[#This Row],[Difference]]=0,"PASS","FAIL")</f>
        <v>PASS</v>
      </c>
      <c r="AV78" s="9">
        <f>ABS(Table1820[[#This Row],[Difference]])</f>
        <v>0</v>
      </c>
      <c r="AW78" s="9" t="s">
        <v>1136</v>
      </c>
    </row>
    <row r="79" spans="1:49" x14ac:dyDescent="0.3">
      <c r="A79" t="s">
        <v>170</v>
      </c>
      <c r="B79" s="7">
        <v>46118</v>
      </c>
      <c r="C79" t="s">
        <v>70</v>
      </c>
      <c r="D79" t="s">
        <v>1102</v>
      </c>
      <c r="E79" s="3">
        <v>1</v>
      </c>
      <c r="F79" s="3">
        <v>3</v>
      </c>
      <c r="G79" t="s">
        <v>10</v>
      </c>
      <c r="H79" t="s">
        <v>1107</v>
      </c>
      <c r="I79" t="s">
        <v>36</v>
      </c>
      <c r="J79" t="s">
        <v>48</v>
      </c>
      <c r="K79" t="s">
        <v>10</v>
      </c>
      <c r="L79" t="s">
        <v>10</v>
      </c>
      <c r="M79" t="s">
        <v>10</v>
      </c>
      <c r="N79" t="s">
        <v>10</v>
      </c>
      <c r="O79" t="str">
        <f>INDEX(CoverageTable[Deductible Applies],MATCH(Table1820[[#This Row],[Coverage]],CoverageTable[Coverage],0))</f>
        <v>No</v>
      </c>
      <c r="P79" t="str">
        <f>INDEX(CoverageTable[Coverage Limit Applies],MATCH(Table1820[[#This Row],[Coverage]],CoverageTable[Coverage],0))</f>
        <v>Yes</v>
      </c>
      <c r="Q79" t="s">
        <v>10</v>
      </c>
      <c r="R79" t="s">
        <v>79</v>
      </c>
      <c r="S79" t="s">
        <v>10</v>
      </c>
      <c r="T79" t="s">
        <v>10</v>
      </c>
      <c r="U79" t="s">
        <v>10</v>
      </c>
      <c r="V79" t="s">
        <v>10</v>
      </c>
      <c r="W79" t="s">
        <v>10</v>
      </c>
      <c r="X79" s="11">
        <v>1344.8398824049098</v>
      </c>
      <c r="Y79">
        <f>_xlfn.XLOOKUP(Table1820[[#This Row],[Coverage]],CoverageTable[Coverage],CoverageTable[Base Rate],,0)</f>
        <v>622</v>
      </c>
      <c r="Z79">
        <f>INDEX(Table16[Ageband Factor],MATCH(Table1820[[#This Row],[Ageband]],Table16[Ageband],0))</f>
        <v>1.27</v>
      </c>
      <c r="AA79">
        <f>VLOOKUP(Table1820[[#This Row],[Years Driving]],Table1[],2)</f>
        <v>1.64</v>
      </c>
      <c r="AB79">
        <f>_xlfn.XLOOKUP(Table1820[[#This Row],[At Fault Accidents]],Table2[At Fault Accidents],Table2[At Fault Accident Factor],,0)</f>
        <v>1.82</v>
      </c>
      <c r="AC79">
        <f>_xlfn.XLOOKUP(Table1820[[#This Row],[Usage-Based Insurance]],Table3[Usage-Based Insurance],Table3[Usage-Based Insurance Discount],,0)</f>
        <v>1</v>
      </c>
      <c r="AD79">
        <f>_xlfn.XLOOKUP(Table1820[[#This Row],[Yearly Miles]],Table4[Yearly Miles],Table4[Yearly Miles Factor],,0)</f>
        <v>0.93</v>
      </c>
      <c r="AE79">
        <f>_xlfn.XLOOKUP(Table1820[[#This Row],[City/Zip Code]],Table5[City/Zip Code],Table5[City/Zip Code Factor],,0)</f>
        <v>0.98</v>
      </c>
      <c r="AF79">
        <f>_xlfn.XLOOKUP(Table1820[[#This Row],[Vehicle Price]],Table6[Vehicle Price],Table6[Vehicle Price Factor])</f>
        <v>0.82</v>
      </c>
      <c r="AG79">
        <f>_xlfn.XLOOKUP(Table1820[[#This Row],[Exotic Car]],Table7[Exotic Car],Table7[Exotic Car Factor],,0)</f>
        <v>1</v>
      </c>
      <c r="AH79">
        <f>_xlfn.XLOOKUP(Table1820[[#This Row],[Difficult Parts]],Table8[Difficult Parts],Table8[Difficult Parts Factor],,0)</f>
        <v>1</v>
      </c>
      <c r="AI79">
        <f>_xlfn.XLOOKUP(Table1820[[#This Row],[High Theft Rate]],Table9[High Theft Rate],Table9[High Theft Rate Factor],,0)</f>
        <v>1</v>
      </c>
      <c r="AJ79">
        <f>_xlfn.XLOOKUP(Table1820[[#This Row],[Advanced Safety Features]],Table10[Advanced Safety Features],Table10[Advanced Safety Features Factor],,0)</f>
        <v>1</v>
      </c>
      <c r="AK79">
        <f>_xlfn.XLOOKUP(Table1820[[#This Row],[Deductible]],Table12[Deductible],Table12[Deductible Factor],,0)</f>
        <v>1</v>
      </c>
      <c r="AL79">
        <f>_xlfn.XLOOKUP(Table1820[[#This Row],[Coverage Limit]],Table13[Coverage Limit],Table13[Coverage Limit Factor],,0)</f>
        <v>0.72</v>
      </c>
      <c r="AM79">
        <f>IF(Table1820[[#This Row],[Good Student Discount]]="Yes",'Rate Book'!$D$126,1)</f>
        <v>1</v>
      </c>
      <c r="AN79">
        <f>IF(Table1820[[#This Row],[Good Driver Discount]]="Yes",'Rate Book'!$D$127,1)</f>
        <v>1</v>
      </c>
      <c r="AO79">
        <f>IF(Table1820[[#This Row],[Multi Policy Discount]]="Yes",'Rate Book'!$D$128,1)</f>
        <v>1</v>
      </c>
      <c r="AP79">
        <f>IF(Table1820[[#This Row],[Loyal Customer Discount]]="Yes",'Rate Book'!$D$129,1)</f>
        <v>1</v>
      </c>
      <c r="AQ79">
        <f>IF(Table1820[[#This Row],[Organization Discount]]="Yes",'Rate Book'!$D$130,1)</f>
        <v>1</v>
      </c>
      <c r="AR79" cm="1">
        <f t="array" ref="AR79">IF(Table1820[[#This Row],[Effective Date]]&gt;=RateChangeTable[Effective Date],RateChangeTable[Rate Change Factor],1)</f>
        <v>1.06</v>
      </c>
      <c r="AS79" s="10">
        <f>PRODUCT(Table1820[[#This Row],[Base Rate]:[Rate Change Factor]])</f>
        <v>1344.8398824049098</v>
      </c>
      <c r="AT79" s="9">
        <f>Table1820[[#This Row],[System-Generated Premium]]-Table1820[[#This Row],[Expected Premium]]</f>
        <v>0</v>
      </c>
      <c r="AU79" t="str">
        <f>IF(Table1820[[#This Row],[Difference]]=0,"PASS","FAIL")</f>
        <v>PASS</v>
      </c>
      <c r="AV79" s="9">
        <f>ABS(Table1820[[#This Row],[Difference]])</f>
        <v>0</v>
      </c>
      <c r="AW79" s="9" t="s">
        <v>1136</v>
      </c>
    </row>
    <row r="80" spans="1:49" x14ac:dyDescent="0.3">
      <c r="A80" t="s">
        <v>171</v>
      </c>
      <c r="B80" s="7">
        <v>45895</v>
      </c>
      <c r="C80" t="s">
        <v>70</v>
      </c>
      <c r="D80" t="s">
        <v>1097</v>
      </c>
      <c r="E80" s="3">
        <v>2</v>
      </c>
      <c r="F80" s="3">
        <v>1</v>
      </c>
      <c r="G80" t="s">
        <v>12</v>
      </c>
      <c r="H80" t="s">
        <v>1110</v>
      </c>
      <c r="I80" t="s">
        <v>29</v>
      </c>
      <c r="J80" t="s">
        <v>52</v>
      </c>
      <c r="K80" t="s">
        <v>10</v>
      </c>
      <c r="L80" t="s">
        <v>10</v>
      </c>
      <c r="M80" t="s">
        <v>10</v>
      </c>
      <c r="N80" t="s">
        <v>10</v>
      </c>
      <c r="O80" t="str">
        <f>INDEX(CoverageTable[Deductible Applies],MATCH(Table1820[[#This Row],[Coverage]],CoverageTable[Coverage],0))</f>
        <v>No</v>
      </c>
      <c r="P80" t="str">
        <f>INDEX(CoverageTable[Coverage Limit Applies],MATCH(Table1820[[#This Row],[Coverage]],CoverageTable[Coverage],0))</f>
        <v>Yes</v>
      </c>
      <c r="Q80" t="s">
        <v>10</v>
      </c>
      <c r="R80" t="s">
        <v>80</v>
      </c>
      <c r="S80" t="s">
        <v>10</v>
      </c>
      <c r="T80" t="s">
        <v>10</v>
      </c>
      <c r="U80" t="s">
        <v>57</v>
      </c>
      <c r="V80" t="s">
        <v>10</v>
      </c>
      <c r="W80" t="s">
        <v>10</v>
      </c>
      <c r="X80" s="11">
        <v>2173.3911511983742</v>
      </c>
      <c r="Y80">
        <f>_xlfn.XLOOKUP(Table1820[[#This Row],[Coverage]],CoverageTable[Coverage],CoverageTable[Base Rate],,0)</f>
        <v>622</v>
      </c>
      <c r="Z80">
        <f>INDEX(Table16[Ageband Factor],MATCH(Table1820[[#This Row],[Ageband]],Table16[Ageband],0))</f>
        <v>1.32</v>
      </c>
      <c r="AA80">
        <f>VLOOKUP(Table1820[[#This Row],[Years Driving]],Table1[],2)</f>
        <v>1.41</v>
      </c>
      <c r="AB80">
        <f>_xlfn.XLOOKUP(Table1820[[#This Row],[At Fault Accidents]],Table2[At Fault Accidents],Table2[At Fault Accident Factor],,0)</f>
        <v>1.34</v>
      </c>
      <c r="AC80">
        <f>_xlfn.XLOOKUP(Table1820[[#This Row],[Usage-Based Insurance]],Table3[Usage-Based Insurance],Table3[Usage-Based Insurance Discount],,0)</f>
        <v>0.8</v>
      </c>
      <c r="AD80">
        <f>_xlfn.XLOOKUP(Table1820[[#This Row],[Yearly Miles]],Table4[Yearly Miles],Table4[Yearly Miles Factor],,0)</f>
        <v>1.31</v>
      </c>
      <c r="AE80">
        <f>_xlfn.XLOOKUP(Table1820[[#This Row],[City/Zip Code]],Table5[City/Zip Code],Table5[City/Zip Code Factor],,0)</f>
        <v>1.0900000000000001</v>
      </c>
      <c r="AF80">
        <f>_xlfn.XLOOKUP(Table1820[[#This Row],[Vehicle Price]],Table6[Vehicle Price],Table6[Vehicle Price Factor])</f>
        <v>1.57</v>
      </c>
      <c r="AG80">
        <f>_xlfn.XLOOKUP(Table1820[[#This Row],[Exotic Car]],Table7[Exotic Car],Table7[Exotic Car Factor],,0)</f>
        <v>1</v>
      </c>
      <c r="AH80">
        <f>_xlfn.XLOOKUP(Table1820[[#This Row],[Difficult Parts]],Table8[Difficult Parts],Table8[Difficult Parts Factor],,0)</f>
        <v>1</v>
      </c>
      <c r="AI80">
        <f>_xlfn.XLOOKUP(Table1820[[#This Row],[High Theft Rate]],Table9[High Theft Rate],Table9[High Theft Rate Factor],,0)</f>
        <v>1</v>
      </c>
      <c r="AJ80">
        <f>_xlfn.XLOOKUP(Table1820[[#This Row],[Advanced Safety Features]],Table10[Advanced Safety Features],Table10[Advanced Safety Features Factor],,0)</f>
        <v>1</v>
      </c>
      <c r="AK80">
        <f>_xlfn.XLOOKUP(Table1820[[#This Row],[Deductible]],Table12[Deductible],Table12[Deductible Factor],,0)</f>
        <v>1</v>
      </c>
      <c r="AL80">
        <f>_xlfn.XLOOKUP(Table1820[[#This Row],[Coverage Limit]],Table13[Coverage Limit],Table13[Coverage Limit Factor],,0)</f>
        <v>0.84</v>
      </c>
      <c r="AM80">
        <f>IF(Table1820[[#This Row],[Good Student Discount]]="Yes",'Rate Book'!$D$126,1)</f>
        <v>1</v>
      </c>
      <c r="AN80">
        <f>IF(Table1820[[#This Row],[Good Driver Discount]]="Yes",'Rate Book'!$D$127,1)</f>
        <v>1</v>
      </c>
      <c r="AO80">
        <f>IF(Table1820[[#This Row],[Multi Policy Discount]]="Yes",'Rate Book'!$D$128,1)</f>
        <v>0.93</v>
      </c>
      <c r="AP80">
        <f>IF(Table1820[[#This Row],[Loyal Customer Discount]]="Yes",'Rate Book'!$D$129,1)</f>
        <v>1</v>
      </c>
      <c r="AQ80">
        <f>IF(Table1820[[#This Row],[Organization Discount]]="Yes",'Rate Book'!$D$130,1)</f>
        <v>1</v>
      </c>
      <c r="AR80" cm="1">
        <f t="array" ref="AR80">IF(Table1820[[#This Row],[Effective Date]]&gt;=RateChangeTable[Effective Date],RateChangeTable[Rate Change Factor],1)</f>
        <v>1</v>
      </c>
      <c r="AS80" s="10">
        <f>PRODUCT(Table1820[[#This Row],[Base Rate]:[Rate Change Factor]])</f>
        <v>2173.3911511983742</v>
      </c>
      <c r="AT80" s="9">
        <f>Table1820[[#This Row],[System-Generated Premium]]-Table1820[[#This Row],[Expected Premium]]</f>
        <v>0</v>
      </c>
      <c r="AU80" t="str">
        <f>IF(Table1820[[#This Row],[Difference]]=0,"PASS","FAIL")</f>
        <v>PASS</v>
      </c>
      <c r="AV80" s="9">
        <f>ABS(Table1820[[#This Row],[Difference]])</f>
        <v>0</v>
      </c>
      <c r="AW80" s="9" t="s">
        <v>1136</v>
      </c>
    </row>
    <row r="81" spans="1:49" x14ac:dyDescent="0.3">
      <c r="A81" t="s">
        <v>172</v>
      </c>
      <c r="B81" s="7">
        <v>45994</v>
      </c>
      <c r="C81" t="s">
        <v>71</v>
      </c>
      <c r="D81" t="s">
        <v>1100</v>
      </c>
      <c r="E81" s="3">
        <v>7</v>
      </c>
      <c r="F81" s="3">
        <v>0</v>
      </c>
      <c r="G81" t="s">
        <v>10</v>
      </c>
      <c r="H81" t="s">
        <v>1106</v>
      </c>
      <c r="I81" t="s">
        <v>30</v>
      </c>
      <c r="J81" t="s">
        <v>50</v>
      </c>
      <c r="K81" t="s">
        <v>10</v>
      </c>
      <c r="L81" t="s">
        <v>10</v>
      </c>
      <c r="M81" t="s">
        <v>10</v>
      </c>
      <c r="N81" t="s">
        <v>10</v>
      </c>
      <c r="O81" t="str">
        <f>INDEX(CoverageTable[Deductible Applies],MATCH(Table1820[[#This Row],[Coverage]],CoverageTable[Coverage],0))</f>
        <v>Yes</v>
      </c>
      <c r="P81" t="str">
        <f>INDEX(CoverageTable[Coverage Limit Applies],MATCH(Table1820[[#This Row],[Coverage]],CoverageTable[Coverage],0))</f>
        <v>No</v>
      </c>
      <c r="Q81" t="s">
        <v>80</v>
      </c>
      <c r="R81" t="s">
        <v>10</v>
      </c>
      <c r="S81" t="s">
        <v>10</v>
      </c>
      <c r="T81" t="s">
        <v>57</v>
      </c>
      <c r="U81" t="s">
        <v>10</v>
      </c>
      <c r="V81" t="s">
        <v>57</v>
      </c>
      <c r="W81" t="s">
        <v>10</v>
      </c>
      <c r="X81" s="11">
        <v>266.54000000000002</v>
      </c>
      <c r="Y81">
        <f>_xlfn.XLOOKUP(Table1820[[#This Row],[Coverage]],CoverageTable[Coverage],CoverageTable[Base Rate],,0)</f>
        <v>453</v>
      </c>
      <c r="Z81">
        <f>INDEX(Table16[Ageband Factor],MATCH(Table1820[[#This Row],[Ageband]],Table16[Ageband],0))</f>
        <v>1.07</v>
      </c>
      <c r="AA81">
        <f>VLOOKUP(Table1820[[#This Row],[Years Driving]],Table1[],2)</f>
        <v>0.95</v>
      </c>
      <c r="AB81">
        <f>_xlfn.XLOOKUP(Table1820[[#This Row],[At Fault Accidents]],Table2[At Fault Accidents],Table2[At Fault Accident Factor],,0)</f>
        <v>1</v>
      </c>
      <c r="AC81">
        <f>_xlfn.XLOOKUP(Table1820[[#This Row],[Usage-Based Insurance]],Table3[Usage-Based Insurance],Table3[Usage-Based Insurance Discount],,0)</f>
        <v>1</v>
      </c>
      <c r="AD81">
        <f>_xlfn.XLOOKUP(Table1820[[#This Row],[Yearly Miles]],Table4[Yearly Miles],Table4[Yearly Miles Factor],,0)</f>
        <v>0.82</v>
      </c>
      <c r="AE81">
        <f>_xlfn.XLOOKUP(Table1820[[#This Row],[City/Zip Code]],Table5[City/Zip Code],Table5[City/Zip Code Factor],,0)</f>
        <v>1.02</v>
      </c>
      <c r="AF81">
        <f>_xlfn.XLOOKUP(Table1820[[#This Row],[Vehicle Price]],Table6[Vehicle Price],Table6[Vehicle Price Factor])</f>
        <v>1.08</v>
      </c>
      <c r="AG81">
        <f>_xlfn.XLOOKUP(Table1820[[#This Row],[Exotic Car]],Table7[Exotic Car],Table7[Exotic Car Factor],,0)</f>
        <v>1</v>
      </c>
      <c r="AH81">
        <f>_xlfn.XLOOKUP(Table1820[[#This Row],[Difficult Parts]],Table8[Difficult Parts],Table8[Difficult Parts Factor],,0)</f>
        <v>1</v>
      </c>
      <c r="AI81">
        <f>_xlfn.XLOOKUP(Table1820[[#This Row],[High Theft Rate]],Table9[High Theft Rate],Table9[High Theft Rate Factor],,0)</f>
        <v>1</v>
      </c>
      <c r="AJ81">
        <f>_xlfn.XLOOKUP(Table1820[[#This Row],[Advanced Safety Features]],Table10[Advanced Safety Features],Table10[Advanced Safety Features Factor],,0)</f>
        <v>1</v>
      </c>
      <c r="AK81">
        <f>_xlfn.XLOOKUP(Table1820[[#This Row],[Deductible]],Table12[Deductible],Table12[Deductible Factor],,0)</f>
        <v>0.72</v>
      </c>
      <c r="AL81">
        <f>_xlfn.XLOOKUP(Table1820[[#This Row],[Coverage Limit]],Table13[Coverage Limit],Table13[Coverage Limit Factor],,0)</f>
        <v>1</v>
      </c>
      <c r="AM81">
        <f>IF(Table1820[[#This Row],[Good Student Discount]]="Yes",'Rate Book'!$D$126,1)</f>
        <v>1</v>
      </c>
      <c r="AN81">
        <f>IF(Table1820[[#This Row],[Good Driver Discount]]="Yes",'Rate Book'!$D$127,1)</f>
        <v>0.89</v>
      </c>
      <c r="AO81">
        <f>IF(Table1820[[#This Row],[Multi Policy Discount]]="Yes",'Rate Book'!$D$128,1)</f>
        <v>1</v>
      </c>
      <c r="AP81">
        <f>IF(Table1820[[#This Row],[Loyal Customer Discount]]="Yes",'Rate Book'!$D$129,1)</f>
        <v>0.94</v>
      </c>
      <c r="AQ81">
        <f>IF(Table1820[[#This Row],[Organization Discount]]="Yes",'Rate Book'!$D$130,1)</f>
        <v>1</v>
      </c>
      <c r="AR81" cm="1">
        <f t="array" ref="AR81">IF(Table1820[[#This Row],[Effective Date]]&gt;=RateChangeTable[Effective Date],RateChangeTable[Rate Change Factor],1)</f>
        <v>1</v>
      </c>
      <c r="AS81" s="10">
        <f>PRODUCT(Table1820[[#This Row],[Base Rate]:[Rate Change Factor]])</f>
        <v>250.54960436331149</v>
      </c>
      <c r="AT81" s="9">
        <f>Table1820[[#This Row],[System-Generated Premium]]-Table1820[[#This Row],[Expected Premium]]</f>
        <v>15.990395636688532</v>
      </c>
      <c r="AU81" t="str">
        <f>IF(Table1820[[#This Row],[Difference]]=0,"PASS","FAIL")</f>
        <v>FAIL</v>
      </c>
      <c r="AV81" s="9">
        <f>ABS(Table1820[[#This Row],[Difference]])</f>
        <v>15.990395636688532</v>
      </c>
      <c r="AW81" s="9" t="s">
        <v>1140</v>
      </c>
    </row>
    <row r="82" spans="1:49" x14ac:dyDescent="0.3">
      <c r="A82" t="s">
        <v>173</v>
      </c>
      <c r="B82" s="7">
        <v>46005</v>
      </c>
      <c r="C82" t="s">
        <v>71</v>
      </c>
      <c r="D82" t="s">
        <v>1099</v>
      </c>
      <c r="E82" s="3" t="s">
        <v>1103</v>
      </c>
      <c r="F82" s="3">
        <v>4</v>
      </c>
      <c r="G82" t="s">
        <v>11</v>
      </c>
      <c r="H82" t="s">
        <v>1110</v>
      </c>
      <c r="I82" t="s">
        <v>30</v>
      </c>
      <c r="J82" t="s">
        <v>50</v>
      </c>
      <c r="K82" t="s">
        <v>10</v>
      </c>
      <c r="L82" t="s">
        <v>10</v>
      </c>
      <c r="M82" t="s">
        <v>10</v>
      </c>
      <c r="N82" t="s">
        <v>10</v>
      </c>
      <c r="O82" t="str">
        <f>INDEX(CoverageTable[Deductible Applies],MATCH(Table1820[[#This Row],[Coverage]],CoverageTable[Coverage],0))</f>
        <v>Yes</v>
      </c>
      <c r="P82" t="str">
        <f>INDEX(CoverageTable[Coverage Limit Applies],MATCH(Table1820[[#This Row],[Coverage]],CoverageTable[Coverage],0))</f>
        <v>No</v>
      </c>
      <c r="Q82" t="s">
        <v>80</v>
      </c>
      <c r="R82" t="s">
        <v>10</v>
      </c>
      <c r="S82" t="s">
        <v>10</v>
      </c>
      <c r="T82" t="s">
        <v>57</v>
      </c>
      <c r="U82" t="s">
        <v>10</v>
      </c>
      <c r="V82" t="s">
        <v>10</v>
      </c>
      <c r="W82" t="s">
        <v>57</v>
      </c>
      <c r="X82" s="11">
        <v>761.07959259782206</v>
      </c>
      <c r="Y82">
        <f>_xlfn.XLOOKUP(Table1820[[#This Row],[Coverage]],CoverageTable[Coverage],CoverageTable[Base Rate],,0)</f>
        <v>453</v>
      </c>
      <c r="Z82">
        <f>INDEX(Table16[Ageband Factor],MATCH(Table1820[[#This Row],[Ageband]],Table16[Ageband],0))</f>
        <v>1</v>
      </c>
      <c r="AA82">
        <f>VLOOKUP(Table1820[[#This Row],[Years Driving]],Table1[],2)</f>
        <v>0.93</v>
      </c>
      <c r="AB82">
        <f>_xlfn.XLOOKUP(Table1820[[#This Row],[At Fault Accidents]],Table2[At Fault Accidents],Table2[At Fault Accident Factor],,0)</f>
        <v>2.12</v>
      </c>
      <c r="AC82">
        <f>_xlfn.XLOOKUP(Table1820[[#This Row],[Usage-Based Insurance]],Table3[Usage-Based Insurance],Table3[Usage-Based Insurance Discount],,0)</f>
        <v>0.95</v>
      </c>
      <c r="AD82">
        <f>_xlfn.XLOOKUP(Table1820[[#This Row],[Yearly Miles]],Table4[Yearly Miles],Table4[Yearly Miles Factor],,0)</f>
        <v>1.31</v>
      </c>
      <c r="AE82">
        <f>_xlfn.XLOOKUP(Table1820[[#This Row],[City/Zip Code]],Table5[City/Zip Code],Table5[City/Zip Code Factor],,0)</f>
        <v>1.02</v>
      </c>
      <c r="AF82">
        <f>_xlfn.XLOOKUP(Table1820[[#This Row],[Vehicle Price]],Table6[Vehicle Price],Table6[Vehicle Price Factor])</f>
        <v>1.08</v>
      </c>
      <c r="AG82">
        <f>_xlfn.XLOOKUP(Table1820[[#This Row],[Exotic Car]],Table7[Exotic Car],Table7[Exotic Car Factor],,0)</f>
        <v>1</v>
      </c>
      <c r="AH82">
        <f>_xlfn.XLOOKUP(Table1820[[#This Row],[Difficult Parts]],Table8[Difficult Parts],Table8[Difficult Parts Factor],,0)</f>
        <v>1</v>
      </c>
      <c r="AI82">
        <f>_xlfn.XLOOKUP(Table1820[[#This Row],[High Theft Rate]],Table9[High Theft Rate],Table9[High Theft Rate Factor],,0)</f>
        <v>1</v>
      </c>
      <c r="AJ82">
        <f>_xlfn.XLOOKUP(Table1820[[#This Row],[Advanced Safety Features]],Table10[Advanced Safety Features],Table10[Advanced Safety Features Factor],,0)</f>
        <v>1</v>
      </c>
      <c r="AK82">
        <f>_xlfn.XLOOKUP(Table1820[[#This Row],[Deductible]],Table12[Deductible],Table12[Deductible Factor],,0)</f>
        <v>0.72</v>
      </c>
      <c r="AL82">
        <f>_xlfn.XLOOKUP(Table1820[[#This Row],[Coverage Limit]],Table13[Coverage Limit],Table13[Coverage Limit Factor],,0)</f>
        <v>1</v>
      </c>
      <c r="AM82">
        <f>IF(Table1820[[#This Row],[Good Student Discount]]="Yes",'Rate Book'!$D$126,1)</f>
        <v>1</v>
      </c>
      <c r="AN82">
        <f>IF(Table1820[[#This Row],[Good Driver Discount]]="Yes",'Rate Book'!$D$127,1)</f>
        <v>0.89</v>
      </c>
      <c r="AO82">
        <f>IF(Table1820[[#This Row],[Multi Policy Discount]]="Yes",'Rate Book'!$D$128,1)</f>
        <v>1</v>
      </c>
      <c r="AP82">
        <f>IF(Table1820[[#This Row],[Loyal Customer Discount]]="Yes",'Rate Book'!$D$129,1)</f>
        <v>1</v>
      </c>
      <c r="AQ82">
        <f>IF(Table1820[[#This Row],[Organization Discount]]="Yes",'Rate Book'!$D$130,1)</f>
        <v>0.97</v>
      </c>
      <c r="AR82" cm="1">
        <f t="array" ref="AR82">IF(Table1820[[#This Row],[Effective Date]]&gt;=RateChangeTable[Effective Date],RateChangeTable[Rate Change Factor],1)</f>
        <v>1</v>
      </c>
      <c r="AS82" s="10">
        <f>PRODUCT(Table1820[[#This Row],[Base Rate]:[Rate Change Factor]])</f>
        <v>761.07959259782206</v>
      </c>
      <c r="AT82" s="9">
        <f>Table1820[[#This Row],[System-Generated Premium]]-Table1820[[#This Row],[Expected Premium]]</f>
        <v>0</v>
      </c>
      <c r="AU82" t="str">
        <f>IF(Table1820[[#This Row],[Difference]]=0,"PASS","FAIL")</f>
        <v>PASS</v>
      </c>
      <c r="AV82" s="9">
        <f>ABS(Table1820[[#This Row],[Difference]])</f>
        <v>0</v>
      </c>
      <c r="AW82" s="9" t="s">
        <v>1136</v>
      </c>
    </row>
    <row r="83" spans="1:49" x14ac:dyDescent="0.3">
      <c r="A83" t="s">
        <v>174</v>
      </c>
      <c r="B83" s="7">
        <v>45992</v>
      </c>
      <c r="C83" t="s">
        <v>72</v>
      </c>
      <c r="D83" t="s">
        <v>1097</v>
      </c>
      <c r="E83" s="3">
        <v>2</v>
      </c>
      <c r="F83" s="3" t="s">
        <v>7</v>
      </c>
      <c r="G83" t="s">
        <v>10</v>
      </c>
      <c r="H83" t="s">
        <v>1106</v>
      </c>
      <c r="I83" t="s">
        <v>40</v>
      </c>
      <c r="J83" t="s">
        <v>51</v>
      </c>
      <c r="K83" t="s">
        <v>10</v>
      </c>
      <c r="L83" t="s">
        <v>10</v>
      </c>
      <c r="M83" t="s">
        <v>57</v>
      </c>
      <c r="N83" t="s">
        <v>57</v>
      </c>
      <c r="O83" t="str">
        <f>INDEX(CoverageTable[Deductible Applies],MATCH(Table1820[[#This Row],[Coverage]],CoverageTable[Coverage],0))</f>
        <v>Yes</v>
      </c>
      <c r="P83" t="str">
        <f>INDEX(CoverageTable[Coverage Limit Applies],MATCH(Table1820[[#This Row],[Coverage]],CoverageTable[Coverage],0))</f>
        <v>No</v>
      </c>
      <c r="Q83" t="s">
        <v>80</v>
      </c>
      <c r="R83" t="s">
        <v>10</v>
      </c>
      <c r="S83" t="s">
        <v>10</v>
      </c>
      <c r="T83" t="s">
        <v>57</v>
      </c>
      <c r="U83" t="s">
        <v>10</v>
      </c>
      <c r="V83" t="s">
        <v>10</v>
      </c>
      <c r="W83" t="s">
        <v>10</v>
      </c>
      <c r="X83" s="11">
        <v>416.28316885383833</v>
      </c>
      <c r="Y83">
        <f>_xlfn.XLOOKUP(Table1820[[#This Row],[Coverage]],CoverageTable[Coverage],CoverageTable[Base Rate],,0)</f>
        <v>121</v>
      </c>
      <c r="Z83">
        <f>INDEX(Table16[Ageband Factor],MATCH(Table1820[[#This Row],[Ageband]],Table16[Ageband],0))</f>
        <v>1.32</v>
      </c>
      <c r="AA83">
        <f>VLOOKUP(Table1820[[#This Row],[Years Driving]],Table1[],2)</f>
        <v>1.41</v>
      </c>
      <c r="AB83">
        <f>_xlfn.XLOOKUP(Table1820[[#This Row],[At Fault Accidents]],Table2[At Fault Accidents],Table2[At Fault Accident Factor],,0)</f>
        <v>2.4700000000000002</v>
      </c>
      <c r="AC83">
        <f>_xlfn.XLOOKUP(Table1820[[#This Row],[Usage-Based Insurance]],Table3[Usage-Based Insurance],Table3[Usage-Based Insurance Discount],,0)</f>
        <v>1</v>
      </c>
      <c r="AD83">
        <f>_xlfn.XLOOKUP(Table1820[[#This Row],[Yearly Miles]],Table4[Yearly Miles],Table4[Yearly Miles Factor],,0)</f>
        <v>0.82</v>
      </c>
      <c r="AE83">
        <f>_xlfn.XLOOKUP(Table1820[[#This Row],[City/Zip Code]],Table5[City/Zip Code],Table5[City/Zip Code Factor],,0)</f>
        <v>1.0900000000000001</v>
      </c>
      <c r="AF83">
        <f>_xlfn.XLOOKUP(Table1820[[#This Row],[Vehicle Price]],Table6[Vehicle Price],Table6[Vehicle Price Factor])</f>
        <v>1.28</v>
      </c>
      <c r="AG83">
        <f>_xlfn.XLOOKUP(Table1820[[#This Row],[Exotic Car]],Table7[Exotic Car],Table7[Exotic Car Factor],,0)</f>
        <v>1</v>
      </c>
      <c r="AH83">
        <f>_xlfn.XLOOKUP(Table1820[[#This Row],[Difficult Parts]],Table8[Difficult Parts],Table8[Difficult Parts Factor],,0)</f>
        <v>1</v>
      </c>
      <c r="AI83">
        <f>_xlfn.XLOOKUP(Table1820[[#This Row],[High Theft Rate]],Table9[High Theft Rate],Table9[High Theft Rate Factor],,0)</f>
        <v>1.1599999999999999</v>
      </c>
      <c r="AJ83">
        <f>_xlfn.XLOOKUP(Table1820[[#This Row],[Advanced Safety Features]],Table10[Advanced Safety Features],Table10[Advanced Safety Features Factor],,0)</f>
        <v>0.88</v>
      </c>
      <c r="AK83">
        <f>_xlfn.XLOOKUP(Table1820[[#This Row],[Deductible]],Table12[Deductible],Table12[Deductible Factor],,0)</f>
        <v>0.72</v>
      </c>
      <c r="AL83">
        <f>_xlfn.XLOOKUP(Table1820[[#This Row],[Coverage Limit]],Table13[Coverage Limit],Table13[Coverage Limit Factor],,0)</f>
        <v>1</v>
      </c>
      <c r="AM83">
        <f>IF(Table1820[[#This Row],[Good Student Discount]]="Yes",'Rate Book'!$D$126,1)</f>
        <v>1</v>
      </c>
      <c r="AN83">
        <f>IF(Table1820[[#This Row],[Good Driver Discount]]="Yes",'Rate Book'!$D$127,1)</f>
        <v>0.89</v>
      </c>
      <c r="AO83">
        <f>IF(Table1820[[#This Row],[Multi Policy Discount]]="Yes",'Rate Book'!$D$128,1)</f>
        <v>1</v>
      </c>
      <c r="AP83">
        <f>IF(Table1820[[#This Row],[Loyal Customer Discount]]="Yes",'Rate Book'!$D$129,1)</f>
        <v>1</v>
      </c>
      <c r="AQ83">
        <f>IF(Table1820[[#This Row],[Organization Discount]]="Yes",'Rate Book'!$D$130,1)</f>
        <v>1</v>
      </c>
      <c r="AR83" cm="1">
        <f t="array" ref="AR83">IF(Table1820[[#This Row],[Effective Date]]&gt;=RateChangeTable[Effective Date],RateChangeTable[Rate Change Factor],1)</f>
        <v>1</v>
      </c>
      <c r="AS83" s="10">
        <f>PRODUCT(Table1820[[#This Row],[Base Rate]:[Rate Change Factor]])</f>
        <v>416.28316885383833</v>
      </c>
      <c r="AT83" s="9">
        <f>Table1820[[#This Row],[System-Generated Premium]]-Table1820[[#This Row],[Expected Premium]]</f>
        <v>0</v>
      </c>
      <c r="AU83" t="str">
        <f>IF(Table1820[[#This Row],[Difference]]=0,"PASS","FAIL")</f>
        <v>PASS</v>
      </c>
      <c r="AV83" s="9">
        <f>ABS(Table1820[[#This Row],[Difference]])</f>
        <v>0</v>
      </c>
      <c r="AW83" s="9" t="s">
        <v>1136</v>
      </c>
    </row>
    <row r="84" spans="1:49" x14ac:dyDescent="0.3">
      <c r="A84" t="s">
        <v>175</v>
      </c>
      <c r="B84" s="7">
        <v>45803</v>
      </c>
      <c r="C84" t="s">
        <v>71</v>
      </c>
      <c r="D84" t="s">
        <v>1097</v>
      </c>
      <c r="E84" s="3">
        <v>7</v>
      </c>
      <c r="F84" s="3">
        <v>0</v>
      </c>
      <c r="G84" t="s">
        <v>13</v>
      </c>
      <c r="H84" t="s">
        <v>1107</v>
      </c>
      <c r="I84" t="s">
        <v>31</v>
      </c>
      <c r="J84" t="s">
        <v>49</v>
      </c>
      <c r="K84" t="s">
        <v>57</v>
      </c>
      <c r="L84" t="s">
        <v>10</v>
      </c>
      <c r="M84" t="s">
        <v>57</v>
      </c>
      <c r="N84" t="s">
        <v>10</v>
      </c>
      <c r="O84" t="str">
        <f>INDEX(CoverageTable[Deductible Applies],MATCH(Table1820[[#This Row],[Coverage]],CoverageTable[Coverage],0))</f>
        <v>Yes</v>
      </c>
      <c r="P84" t="str">
        <f>INDEX(CoverageTable[Coverage Limit Applies],MATCH(Table1820[[#This Row],[Coverage]],CoverageTable[Coverage],0))</f>
        <v>No</v>
      </c>
      <c r="Q84" t="s">
        <v>78</v>
      </c>
      <c r="R84" t="s">
        <v>10</v>
      </c>
      <c r="S84" t="s">
        <v>10</v>
      </c>
      <c r="T84" t="s">
        <v>10</v>
      </c>
      <c r="U84" t="s">
        <v>10</v>
      </c>
      <c r="V84" t="s">
        <v>10</v>
      </c>
      <c r="W84" t="s">
        <v>10</v>
      </c>
      <c r="X84" s="11">
        <v>521.52882974836314</v>
      </c>
      <c r="Y84">
        <f>_xlfn.XLOOKUP(Table1820[[#This Row],[Coverage]],CoverageTable[Coverage],CoverageTable[Base Rate],,0)</f>
        <v>453</v>
      </c>
      <c r="Z84">
        <f>INDEX(Table16[Ageband Factor],MATCH(Table1820[[#This Row],[Ageband]],Table16[Ageband],0))</f>
        <v>1.32</v>
      </c>
      <c r="AA84">
        <f>VLOOKUP(Table1820[[#This Row],[Years Driving]],Table1[],2)</f>
        <v>0.95</v>
      </c>
      <c r="AB84">
        <f>_xlfn.XLOOKUP(Table1820[[#This Row],[At Fault Accidents]],Table2[At Fault Accidents],Table2[At Fault Accident Factor],,0)</f>
        <v>1</v>
      </c>
      <c r="AC84">
        <f>_xlfn.XLOOKUP(Table1820[[#This Row],[Usage-Based Insurance]],Table3[Usage-Based Insurance],Table3[Usage-Based Insurance Discount],,0)</f>
        <v>0.65</v>
      </c>
      <c r="AD84">
        <f>_xlfn.XLOOKUP(Table1820[[#This Row],[Yearly Miles]],Table4[Yearly Miles],Table4[Yearly Miles Factor],,0)</f>
        <v>0.93</v>
      </c>
      <c r="AE84">
        <f>_xlfn.XLOOKUP(Table1820[[#This Row],[City/Zip Code]],Table5[City/Zip Code],Table5[City/Zip Code Factor],,0)</f>
        <v>1.1100000000000001</v>
      </c>
      <c r="AF84">
        <f>_xlfn.XLOOKUP(Table1820[[#This Row],[Vehicle Price]],Table6[Vehicle Price],Table6[Vehicle Price Factor])</f>
        <v>0.97</v>
      </c>
      <c r="AG84">
        <f>_xlfn.XLOOKUP(Table1820[[#This Row],[Exotic Car]],Table7[Exotic Car],Table7[Exotic Car Factor],,0)</f>
        <v>1.28</v>
      </c>
      <c r="AH84">
        <f>_xlfn.XLOOKUP(Table1820[[#This Row],[Difficult Parts]],Table8[Difficult Parts],Table8[Difficult Parts Factor],,0)</f>
        <v>1</v>
      </c>
      <c r="AI84">
        <f>_xlfn.XLOOKUP(Table1820[[#This Row],[High Theft Rate]],Table9[High Theft Rate],Table9[High Theft Rate Factor],,0)</f>
        <v>1.1599999999999999</v>
      </c>
      <c r="AJ84">
        <f>_xlfn.XLOOKUP(Table1820[[#This Row],[Advanced Safety Features]],Table10[Advanced Safety Features],Table10[Advanced Safety Features Factor],,0)</f>
        <v>1</v>
      </c>
      <c r="AK84">
        <f>_xlfn.XLOOKUP(Table1820[[#This Row],[Deductible]],Table12[Deductible],Table12[Deductible Factor],,0)</f>
        <v>0.95</v>
      </c>
      <c r="AL84">
        <f>_xlfn.XLOOKUP(Table1820[[#This Row],[Coverage Limit]],Table13[Coverage Limit],Table13[Coverage Limit Factor],,0)</f>
        <v>1</v>
      </c>
      <c r="AM84">
        <f>IF(Table1820[[#This Row],[Good Student Discount]]="Yes",'Rate Book'!$D$126,1)</f>
        <v>1</v>
      </c>
      <c r="AN84">
        <f>IF(Table1820[[#This Row],[Good Driver Discount]]="Yes",'Rate Book'!$D$127,1)</f>
        <v>1</v>
      </c>
      <c r="AO84">
        <f>IF(Table1820[[#This Row],[Multi Policy Discount]]="Yes",'Rate Book'!$D$128,1)</f>
        <v>1</v>
      </c>
      <c r="AP84">
        <f>IF(Table1820[[#This Row],[Loyal Customer Discount]]="Yes",'Rate Book'!$D$129,1)</f>
        <v>1</v>
      </c>
      <c r="AQ84">
        <f>IF(Table1820[[#This Row],[Organization Discount]]="Yes",'Rate Book'!$D$130,1)</f>
        <v>1</v>
      </c>
      <c r="AR84" cm="1">
        <f t="array" ref="AR84">IF(Table1820[[#This Row],[Effective Date]]&gt;=RateChangeTable[Effective Date],RateChangeTable[Rate Change Factor],1)</f>
        <v>1</v>
      </c>
      <c r="AS84" s="10">
        <f>PRODUCT(Table1820[[#This Row],[Base Rate]:[Rate Change Factor]])</f>
        <v>521.52882974836314</v>
      </c>
      <c r="AT84" s="9">
        <f>Table1820[[#This Row],[System-Generated Premium]]-Table1820[[#This Row],[Expected Premium]]</f>
        <v>0</v>
      </c>
      <c r="AU84" t="str">
        <f>IF(Table1820[[#This Row],[Difference]]=0,"PASS","FAIL")</f>
        <v>PASS</v>
      </c>
      <c r="AV84" s="9">
        <f>ABS(Table1820[[#This Row],[Difference]])</f>
        <v>0</v>
      </c>
      <c r="AW84" s="9" t="s">
        <v>1136</v>
      </c>
    </row>
    <row r="85" spans="1:49" x14ac:dyDescent="0.3">
      <c r="A85" t="s">
        <v>176</v>
      </c>
      <c r="B85" s="7">
        <v>46129</v>
      </c>
      <c r="C85" t="s">
        <v>71</v>
      </c>
      <c r="D85" t="s">
        <v>1098</v>
      </c>
      <c r="E85" s="3" t="s">
        <v>1103</v>
      </c>
      <c r="F85" s="3">
        <v>1</v>
      </c>
      <c r="G85" t="s">
        <v>13</v>
      </c>
      <c r="H85" t="s">
        <v>1109</v>
      </c>
      <c r="I85" t="s">
        <v>36</v>
      </c>
      <c r="J85" t="s">
        <v>53</v>
      </c>
      <c r="K85" t="s">
        <v>10</v>
      </c>
      <c r="L85" t="s">
        <v>10</v>
      </c>
      <c r="M85" t="s">
        <v>10</v>
      </c>
      <c r="N85" t="s">
        <v>10</v>
      </c>
      <c r="O85" t="str">
        <f>INDEX(CoverageTable[Deductible Applies],MATCH(Table1820[[#This Row],[Coverage]],CoverageTable[Coverage],0))</f>
        <v>Yes</v>
      </c>
      <c r="P85" t="str">
        <f>INDEX(CoverageTable[Coverage Limit Applies],MATCH(Table1820[[#This Row],[Coverage]],CoverageTable[Coverage],0))</f>
        <v>No</v>
      </c>
      <c r="Q85" t="s">
        <v>80</v>
      </c>
      <c r="R85" t="s">
        <v>10</v>
      </c>
      <c r="S85" t="s">
        <v>10</v>
      </c>
      <c r="T85" t="s">
        <v>57</v>
      </c>
      <c r="U85" t="s">
        <v>57</v>
      </c>
      <c r="V85" t="s">
        <v>10</v>
      </c>
      <c r="W85" t="s">
        <v>57</v>
      </c>
      <c r="X85" s="11">
        <v>646.02142382759564</v>
      </c>
      <c r="Y85">
        <f>_xlfn.XLOOKUP(Table1820[[#This Row],[Coverage]],CoverageTable[Coverage],CoverageTable[Base Rate],,0)</f>
        <v>453</v>
      </c>
      <c r="Z85">
        <f>INDEX(Table16[Ageband Factor],MATCH(Table1820[[#This Row],[Ageband]],Table16[Ageband],0))</f>
        <v>1.23</v>
      </c>
      <c r="AA85">
        <f>VLOOKUP(Table1820[[#This Row],[Years Driving]],Table1[],2)</f>
        <v>0.93</v>
      </c>
      <c r="AB85">
        <f>_xlfn.XLOOKUP(Table1820[[#This Row],[At Fault Accidents]],Table2[At Fault Accidents],Table2[At Fault Accident Factor],,0)</f>
        <v>1.34</v>
      </c>
      <c r="AC85">
        <f>_xlfn.XLOOKUP(Table1820[[#This Row],[Usage-Based Insurance]],Table3[Usage-Based Insurance],Table3[Usage-Based Insurance Discount],,0)</f>
        <v>0.65</v>
      </c>
      <c r="AD85">
        <f>_xlfn.XLOOKUP(Table1820[[#This Row],[Yearly Miles]],Table4[Yearly Miles],Table4[Yearly Miles Factor],,0)</f>
        <v>1.18</v>
      </c>
      <c r="AE85">
        <f>_xlfn.XLOOKUP(Table1820[[#This Row],[City/Zip Code]],Table5[City/Zip Code],Table5[City/Zip Code Factor],,0)</f>
        <v>0.98</v>
      </c>
      <c r="AF85">
        <f>_xlfn.XLOOKUP(Table1820[[#This Row],[Vehicle Price]],Table6[Vehicle Price],Table6[Vehicle Price Factor])</f>
        <v>2.02</v>
      </c>
      <c r="AG85">
        <f>_xlfn.XLOOKUP(Table1820[[#This Row],[Exotic Car]],Table7[Exotic Car],Table7[Exotic Car Factor],,0)</f>
        <v>1</v>
      </c>
      <c r="AH85">
        <f>_xlfn.XLOOKUP(Table1820[[#This Row],[Difficult Parts]],Table8[Difficult Parts],Table8[Difficult Parts Factor],,0)</f>
        <v>1</v>
      </c>
      <c r="AI85">
        <f>_xlfn.XLOOKUP(Table1820[[#This Row],[High Theft Rate]],Table9[High Theft Rate],Table9[High Theft Rate Factor],,0)</f>
        <v>1</v>
      </c>
      <c r="AJ85">
        <f>_xlfn.XLOOKUP(Table1820[[#This Row],[Advanced Safety Features]],Table10[Advanced Safety Features],Table10[Advanced Safety Features Factor],,0)</f>
        <v>1</v>
      </c>
      <c r="AK85">
        <f>_xlfn.XLOOKUP(Table1820[[#This Row],[Deductible]],Table12[Deductible],Table12[Deductible Factor],,0)</f>
        <v>0.72</v>
      </c>
      <c r="AL85">
        <f>_xlfn.XLOOKUP(Table1820[[#This Row],[Coverage Limit]],Table13[Coverage Limit],Table13[Coverage Limit Factor],,0)</f>
        <v>1</v>
      </c>
      <c r="AM85">
        <f>IF(Table1820[[#This Row],[Good Student Discount]]="Yes",'Rate Book'!$D$126,1)</f>
        <v>1</v>
      </c>
      <c r="AN85">
        <f>IF(Table1820[[#This Row],[Good Driver Discount]]="Yes",'Rate Book'!$D$127,1)</f>
        <v>0.89</v>
      </c>
      <c r="AO85">
        <f>IF(Table1820[[#This Row],[Multi Policy Discount]]="Yes",'Rate Book'!$D$128,1)</f>
        <v>0.93</v>
      </c>
      <c r="AP85">
        <f>IF(Table1820[[#This Row],[Loyal Customer Discount]]="Yes",'Rate Book'!$D$129,1)</f>
        <v>1</v>
      </c>
      <c r="AQ85">
        <f>IF(Table1820[[#This Row],[Organization Discount]]="Yes",'Rate Book'!$D$130,1)</f>
        <v>0.97</v>
      </c>
      <c r="AR85" cm="1">
        <f t="array" ref="AR85">IF(Table1820[[#This Row],[Effective Date]]&gt;=RateChangeTable[Effective Date],RateChangeTable[Rate Change Factor],1)</f>
        <v>1.06</v>
      </c>
      <c r="AS85" s="10">
        <f>PRODUCT(Table1820[[#This Row],[Base Rate]:[Rate Change Factor]])</f>
        <v>646.02142382759564</v>
      </c>
      <c r="AT85" s="9">
        <f>Table1820[[#This Row],[System-Generated Premium]]-Table1820[[#This Row],[Expected Premium]]</f>
        <v>0</v>
      </c>
      <c r="AU85" t="str">
        <f>IF(Table1820[[#This Row],[Difference]]=0,"PASS","FAIL")</f>
        <v>PASS</v>
      </c>
      <c r="AV85" s="9">
        <f>ABS(Table1820[[#This Row],[Difference]])</f>
        <v>0</v>
      </c>
      <c r="AW85" s="9" t="s">
        <v>1136</v>
      </c>
    </row>
    <row r="86" spans="1:49" x14ac:dyDescent="0.3">
      <c r="A86" t="s">
        <v>177</v>
      </c>
      <c r="B86" s="7">
        <v>45916</v>
      </c>
      <c r="C86" t="s">
        <v>70</v>
      </c>
      <c r="D86" t="s">
        <v>1099</v>
      </c>
      <c r="E86" s="3">
        <v>1</v>
      </c>
      <c r="F86" s="3" t="s">
        <v>7</v>
      </c>
      <c r="G86" t="s">
        <v>12</v>
      </c>
      <c r="H86" t="s">
        <v>1109</v>
      </c>
      <c r="I86" t="s">
        <v>21</v>
      </c>
      <c r="J86" t="s">
        <v>50</v>
      </c>
      <c r="K86" t="s">
        <v>10</v>
      </c>
      <c r="L86" t="s">
        <v>57</v>
      </c>
      <c r="M86" t="s">
        <v>10</v>
      </c>
      <c r="N86" t="s">
        <v>10</v>
      </c>
      <c r="O86" t="str">
        <f>INDEX(CoverageTable[Deductible Applies],MATCH(Table1820[[#This Row],[Coverage]],CoverageTable[Coverage],0))</f>
        <v>No</v>
      </c>
      <c r="P86" t="str">
        <f>INDEX(CoverageTable[Coverage Limit Applies],MATCH(Table1820[[#This Row],[Coverage]],CoverageTable[Coverage],0))</f>
        <v>Yes</v>
      </c>
      <c r="Q86" t="s">
        <v>10</v>
      </c>
      <c r="R86" t="s">
        <v>78</v>
      </c>
      <c r="S86" t="s">
        <v>57</v>
      </c>
      <c r="T86" t="s">
        <v>10</v>
      </c>
      <c r="U86" t="s">
        <v>10</v>
      </c>
      <c r="V86" t="s">
        <v>10</v>
      </c>
      <c r="W86" t="s">
        <v>10</v>
      </c>
      <c r="X86" s="11">
        <v>2197.8624718584529</v>
      </c>
      <c r="Y86">
        <f>_xlfn.XLOOKUP(Table1820[[#This Row],[Coverage]],CoverageTable[Coverage],CoverageTable[Base Rate],,0)</f>
        <v>622</v>
      </c>
      <c r="Z86">
        <f>INDEX(Table16[Ageband Factor],MATCH(Table1820[[#This Row],[Ageband]],Table16[Ageband],0))</f>
        <v>1</v>
      </c>
      <c r="AA86">
        <f>VLOOKUP(Table1820[[#This Row],[Years Driving]],Table1[],2)</f>
        <v>1.64</v>
      </c>
      <c r="AB86">
        <f>_xlfn.XLOOKUP(Table1820[[#This Row],[At Fault Accidents]],Table2[At Fault Accidents],Table2[At Fault Accident Factor],,0)</f>
        <v>2.4700000000000002</v>
      </c>
      <c r="AC86">
        <f>_xlfn.XLOOKUP(Table1820[[#This Row],[Usage-Based Insurance]],Table3[Usage-Based Insurance],Table3[Usage-Based Insurance Discount],,0)</f>
        <v>0.8</v>
      </c>
      <c r="AD86">
        <f>_xlfn.XLOOKUP(Table1820[[#This Row],[Yearly Miles]],Table4[Yearly Miles],Table4[Yearly Miles Factor],,0)</f>
        <v>1.18</v>
      </c>
      <c r="AE86">
        <f>_xlfn.XLOOKUP(Table1820[[#This Row],[City/Zip Code]],Table5[City/Zip Code],Table5[City/Zip Code Factor],,0)</f>
        <v>1.26</v>
      </c>
      <c r="AF86">
        <f>_xlfn.XLOOKUP(Table1820[[#This Row],[Vehicle Price]],Table6[Vehicle Price],Table6[Vehicle Price Factor])</f>
        <v>1.08</v>
      </c>
      <c r="AG86">
        <f>_xlfn.XLOOKUP(Table1820[[#This Row],[Exotic Car]],Table7[Exotic Car],Table7[Exotic Car Factor],,0)</f>
        <v>1</v>
      </c>
      <c r="AH86">
        <f>_xlfn.XLOOKUP(Table1820[[#This Row],[Difficult Parts]],Table8[Difficult Parts],Table8[Difficult Parts Factor],,0)</f>
        <v>1.21</v>
      </c>
      <c r="AI86">
        <f>_xlfn.XLOOKUP(Table1820[[#This Row],[High Theft Rate]],Table9[High Theft Rate],Table9[High Theft Rate Factor],,0)</f>
        <v>1</v>
      </c>
      <c r="AJ86">
        <f>_xlfn.XLOOKUP(Table1820[[#This Row],[Advanced Safety Features]],Table10[Advanced Safety Features],Table10[Advanced Safety Features Factor],,0)</f>
        <v>1</v>
      </c>
      <c r="AK86">
        <f>_xlfn.XLOOKUP(Table1820[[#This Row],[Deductible]],Table12[Deductible],Table12[Deductible Factor],,0)</f>
        <v>1</v>
      </c>
      <c r="AL86">
        <f>_xlfn.XLOOKUP(Table1820[[#This Row],[Coverage Limit]],Table13[Coverage Limit],Table13[Coverage Limit Factor],,0)</f>
        <v>0.61</v>
      </c>
      <c r="AM86">
        <f>IF(Table1820[[#This Row],[Good Student Discount]]="Yes",'Rate Book'!$D$126,1)</f>
        <v>0.92</v>
      </c>
      <c r="AN86">
        <f>IF(Table1820[[#This Row],[Good Driver Discount]]="Yes",'Rate Book'!$D$127,1)</f>
        <v>1</v>
      </c>
      <c r="AO86">
        <f>IF(Table1820[[#This Row],[Multi Policy Discount]]="Yes",'Rate Book'!$D$128,1)</f>
        <v>1</v>
      </c>
      <c r="AP86">
        <f>IF(Table1820[[#This Row],[Loyal Customer Discount]]="Yes",'Rate Book'!$D$129,1)</f>
        <v>1</v>
      </c>
      <c r="AQ86">
        <f>IF(Table1820[[#This Row],[Organization Discount]]="Yes",'Rate Book'!$D$130,1)</f>
        <v>1</v>
      </c>
      <c r="AR86" cm="1">
        <f t="array" ref="AR86">IF(Table1820[[#This Row],[Effective Date]]&gt;=RateChangeTable[Effective Date],RateChangeTable[Rate Change Factor],1)</f>
        <v>1</v>
      </c>
      <c r="AS86" s="10">
        <f>PRODUCT(Table1820[[#This Row],[Base Rate]:[Rate Change Factor]])</f>
        <v>2197.8624718584529</v>
      </c>
      <c r="AT86" s="9">
        <f>Table1820[[#This Row],[System-Generated Premium]]-Table1820[[#This Row],[Expected Premium]]</f>
        <v>0</v>
      </c>
      <c r="AU86" t="str">
        <f>IF(Table1820[[#This Row],[Difference]]=0,"PASS","FAIL")</f>
        <v>PASS</v>
      </c>
      <c r="AV86" s="9">
        <f>ABS(Table1820[[#This Row],[Difference]])</f>
        <v>0</v>
      </c>
      <c r="AW86" s="9" t="s">
        <v>1136</v>
      </c>
    </row>
    <row r="87" spans="1:49" x14ac:dyDescent="0.3">
      <c r="A87" t="s">
        <v>178</v>
      </c>
      <c r="B87" s="7">
        <v>45780</v>
      </c>
      <c r="C87" t="s">
        <v>71</v>
      </c>
      <c r="D87" t="s">
        <v>1097</v>
      </c>
      <c r="E87" s="3">
        <v>7</v>
      </c>
      <c r="F87" s="3">
        <v>1</v>
      </c>
      <c r="G87" t="s">
        <v>13</v>
      </c>
      <c r="H87" t="s">
        <v>1106</v>
      </c>
      <c r="I87" t="s">
        <v>31</v>
      </c>
      <c r="J87" t="s">
        <v>48</v>
      </c>
      <c r="K87" t="s">
        <v>10</v>
      </c>
      <c r="L87" t="s">
        <v>10</v>
      </c>
      <c r="M87" t="s">
        <v>10</v>
      </c>
      <c r="N87" t="s">
        <v>10</v>
      </c>
      <c r="O87" t="str">
        <f>INDEX(CoverageTable[Deductible Applies],MATCH(Table1820[[#This Row],[Coverage]],CoverageTable[Coverage],0))</f>
        <v>Yes</v>
      </c>
      <c r="P87" t="str">
        <f>INDEX(CoverageTable[Coverage Limit Applies],MATCH(Table1820[[#This Row],[Coverage]],CoverageTable[Coverage],0))</f>
        <v>No</v>
      </c>
      <c r="Q87" t="s">
        <v>78</v>
      </c>
      <c r="R87" t="s">
        <v>10</v>
      </c>
      <c r="S87" t="s">
        <v>57</v>
      </c>
      <c r="T87" t="s">
        <v>10</v>
      </c>
      <c r="U87" t="s">
        <v>57</v>
      </c>
      <c r="V87" t="s">
        <v>10</v>
      </c>
      <c r="W87" t="s">
        <v>57</v>
      </c>
      <c r="X87" s="11">
        <v>291.15931738913463</v>
      </c>
      <c r="Y87">
        <f>_xlfn.XLOOKUP(Table1820[[#This Row],[Coverage]],CoverageTable[Coverage],CoverageTable[Base Rate],,0)</f>
        <v>453</v>
      </c>
      <c r="Z87">
        <f>INDEX(Table16[Ageband Factor],MATCH(Table1820[[#This Row],[Ageband]],Table16[Ageband],0))</f>
        <v>1.32</v>
      </c>
      <c r="AA87">
        <f>VLOOKUP(Table1820[[#This Row],[Years Driving]],Table1[],2)</f>
        <v>0.95</v>
      </c>
      <c r="AB87">
        <f>_xlfn.XLOOKUP(Table1820[[#This Row],[At Fault Accidents]],Table2[At Fault Accidents],Table2[At Fault Accident Factor],,0)</f>
        <v>1.34</v>
      </c>
      <c r="AC87">
        <f>_xlfn.XLOOKUP(Table1820[[#This Row],[Usage-Based Insurance]],Table3[Usage-Based Insurance],Table3[Usage-Based Insurance Discount],,0)</f>
        <v>0.65</v>
      </c>
      <c r="AD87">
        <f>_xlfn.XLOOKUP(Table1820[[#This Row],[Yearly Miles]],Table4[Yearly Miles],Table4[Yearly Miles Factor],,0)</f>
        <v>0.82</v>
      </c>
      <c r="AE87">
        <f>_xlfn.XLOOKUP(Table1820[[#This Row],[City/Zip Code]],Table5[City/Zip Code],Table5[City/Zip Code Factor],,0)</f>
        <v>1.1100000000000001</v>
      </c>
      <c r="AF87">
        <f>_xlfn.XLOOKUP(Table1820[[#This Row],[Vehicle Price]],Table6[Vehicle Price],Table6[Vehicle Price Factor])</f>
        <v>0.82</v>
      </c>
      <c r="AG87">
        <f>_xlfn.XLOOKUP(Table1820[[#This Row],[Exotic Car]],Table7[Exotic Car],Table7[Exotic Car Factor],,0)</f>
        <v>1</v>
      </c>
      <c r="AH87">
        <f>_xlfn.XLOOKUP(Table1820[[#This Row],[Difficult Parts]],Table8[Difficult Parts],Table8[Difficult Parts Factor],,0)</f>
        <v>1</v>
      </c>
      <c r="AI87">
        <f>_xlfn.XLOOKUP(Table1820[[#This Row],[High Theft Rate]],Table9[High Theft Rate],Table9[High Theft Rate Factor],,0)</f>
        <v>1</v>
      </c>
      <c r="AJ87">
        <f>_xlfn.XLOOKUP(Table1820[[#This Row],[Advanced Safety Features]],Table10[Advanced Safety Features],Table10[Advanced Safety Features Factor],,0)</f>
        <v>1</v>
      </c>
      <c r="AK87">
        <f>_xlfn.XLOOKUP(Table1820[[#This Row],[Deductible]],Table12[Deductible],Table12[Deductible Factor],,0)</f>
        <v>0.95</v>
      </c>
      <c r="AL87">
        <f>_xlfn.XLOOKUP(Table1820[[#This Row],[Coverage Limit]],Table13[Coverage Limit],Table13[Coverage Limit Factor],,0)</f>
        <v>1</v>
      </c>
      <c r="AM87">
        <f>IF(Table1820[[#This Row],[Good Student Discount]]="Yes",'Rate Book'!$D$126,1)</f>
        <v>0.92</v>
      </c>
      <c r="AN87">
        <f>IF(Table1820[[#This Row],[Good Driver Discount]]="Yes",'Rate Book'!$D$127,1)</f>
        <v>1</v>
      </c>
      <c r="AO87">
        <f>IF(Table1820[[#This Row],[Multi Policy Discount]]="Yes",'Rate Book'!$D$128,1)</f>
        <v>0.93</v>
      </c>
      <c r="AP87">
        <f>IF(Table1820[[#This Row],[Loyal Customer Discount]]="Yes",'Rate Book'!$D$129,1)</f>
        <v>1</v>
      </c>
      <c r="AQ87">
        <f>IF(Table1820[[#This Row],[Organization Discount]]="Yes",'Rate Book'!$D$130,1)</f>
        <v>0.97</v>
      </c>
      <c r="AR87" cm="1">
        <f t="array" ref="AR87">IF(Table1820[[#This Row],[Effective Date]]&gt;=RateChangeTable[Effective Date],RateChangeTable[Rate Change Factor],1)</f>
        <v>1</v>
      </c>
      <c r="AS87" s="10">
        <f>PRODUCT(Table1820[[#This Row],[Base Rate]:[Rate Change Factor]])</f>
        <v>291.15931738913463</v>
      </c>
      <c r="AT87" s="9">
        <f>Table1820[[#This Row],[System-Generated Premium]]-Table1820[[#This Row],[Expected Premium]]</f>
        <v>0</v>
      </c>
      <c r="AU87" t="str">
        <f>IF(Table1820[[#This Row],[Difference]]=0,"PASS","FAIL")</f>
        <v>PASS</v>
      </c>
      <c r="AV87" s="9">
        <f>ABS(Table1820[[#This Row],[Difference]])</f>
        <v>0</v>
      </c>
      <c r="AW87" s="9" t="s">
        <v>1136</v>
      </c>
    </row>
    <row r="88" spans="1:49" x14ac:dyDescent="0.3">
      <c r="A88" t="s">
        <v>179</v>
      </c>
      <c r="B88" s="7">
        <v>45854</v>
      </c>
      <c r="C88" t="s">
        <v>72</v>
      </c>
      <c r="D88" t="s">
        <v>1099</v>
      </c>
      <c r="E88" s="3">
        <v>2</v>
      </c>
      <c r="F88" s="3">
        <v>4</v>
      </c>
      <c r="G88" t="s">
        <v>12</v>
      </c>
      <c r="H88" t="s">
        <v>1110</v>
      </c>
      <c r="I88" t="s">
        <v>43</v>
      </c>
      <c r="J88" t="s">
        <v>49</v>
      </c>
      <c r="K88" t="s">
        <v>10</v>
      </c>
      <c r="L88" t="s">
        <v>10</v>
      </c>
      <c r="M88" t="s">
        <v>10</v>
      </c>
      <c r="N88" t="s">
        <v>57</v>
      </c>
      <c r="O88" t="str">
        <f>INDEX(CoverageTable[Deductible Applies],MATCH(Table1820[[#This Row],[Coverage]],CoverageTable[Coverage],0))</f>
        <v>Yes</v>
      </c>
      <c r="P88" t="str">
        <f>INDEX(CoverageTable[Coverage Limit Applies],MATCH(Table1820[[#This Row],[Coverage]],CoverageTable[Coverage],0))</f>
        <v>No</v>
      </c>
      <c r="Q88" t="s">
        <v>79</v>
      </c>
      <c r="R88" t="s">
        <v>10</v>
      </c>
      <c r="S88" t="s">
        <v>10</v>
      </c>
      <c r="T88" t="s">
        <v>10</v>
      </c>
      <c r="U88" t="s">
        <v>10</v>
      </c>
      <c r="V88" t="s">
        <v>10</v>
      </c>
      <c r="W88" t="s">
        <v>10</v>
      </c>
      <c r="X88" s="11">
        <v>320.71356275670831</v>
      </c>
      <c r="Y88">
        <f>_xlfn.XLOOKUP(Table1820[[#This Row],[Coverage]],CoverageTable[Coverage],CoverageTable[Base Rate],,0)</f>
        <v>121</v>
      </c>
      <c r="Z88">
        <f>INDEX(Table16[Ageband Factor],MATCH(Table1820[[#This Row],[Ageband]],Table16[Ageband],0))</f>
        <v>1</v>
      </c>
      <c r="AA88">
        <f>VLOOKUP(Table1820[[#This Row],[Years Driving]],Table1[],2)</f>
        <v>1.41</v>
      </c>
      <c r="AB88">
        <f>_xlfn.XLOOKUP(Table1820[[#This Row],[At Fault Accidents]],Table2[At Fault Accidents],Table2[At Fault Accident Factor],,0)</f>
        <v>2.12</v>
      </c>
      <c r="AC88">
        <f>_xlfn.XLOOKUP(Table1820[[#This Row],[Usage-Based Insurance]],Table3[Usage-Based Insurance],Table3[Usage-Based Insurance Discount],,0)</f>
        <v>0.8</v>
      </c>
      <c r="AD88">
        <f>_xlfn.XLOOKUP(Table1820[[#This Row],[Yearly Miles]],Table4[Yearly Miles],Table4[Yearly Miles Factor],,0)</f>
        <v>1.31</v>
      </c>
      <c r="AE88">
        <f>_xlfn.XLOOKUP(Table1820[[#This Row],[City/Zip Code]],Table5[City/Zip Code],Table5[City/Zip Code Factor],,0)</f>
        <v>1.18</v>
      </c>
      <c r="AF88">
        <f>_xlfn.XLOOKUP(Table1820[[#This Row],[Vehicle Price]],Table6[Vehicle Price],Table6[Vehicle Price Factor])</f>
        <v>0.97</v>
      </c>
      <c r="AG88">
        <f>_xlfn.XLOOKUP(Table1820[[#This Row],[Exotic Car]],Table7[Exotic Car],Table7[Exotic Car Factor],,0)</f>
        <v>1</v>
      </c>
      <c r="AH88">
        <f>_xlfn.XLOOKUP(Table1820[[#This Row],[Difficult Parts]],Table8[Difficult Parts],Table8[Difficult Parts Factor],,0)</f>
        <v>1</v>
      </c>
      <c r="AI88">
        <f>_xlfn.XLOOKUP(Table1820[[#This Row],[High Theft Rate]],Table9[High Theft Rate],Table9[High Theft Rate Factor],,0)</f>
        <v>1</v>
      </c>
      <c r="AJ88">
        <f>_xlfn.XLOOKUP(Table1820[[#This Row],[Advanced Safety Features]],Table10[Advanced Safety Features],Table10[Advanced Safety Features Factor],,0)</f>
        <v>0.88</v>
      </c>
      <c r="AK88">
        <f>_xlfn.XLOOKUP(Table1820[[#This Row],[Deductible]],Table12[Deductible],Table12[Deductible Factor],,0)</f>
        <v>0.84</v>
      </c>
      <c r="AL88">
        <f>_xlfn.XLOOKUP(Table1820[[#This Row],[Coverage Limit]],Table13[Coverage Limit],Table13[Coverage Limit Factor],,0)</f>
        <v>1</v>
      </c>
      <c r="AM88">
        <f>IF(Table1820[[#This Row],[Good Student Discount]]="Yes",'Rate Book'!$D$126,1)</f>
        <v>1</v>
      </c>
      <c r="AN88">
        <f>IF(Table1820[[#This Row],[Good Driver Discount]]="Yes",'Rate Book'!$D$127,1)</f>
        <v>1</v>
      </c>
      <c r="AO88">
        <f>IF(Table1820[[#This Row],[Multi Policy Discount]]="Yes",'Rate Book'!$D$128,1)</f>
        <v>1</v>
      </c>
      <c r="AP88">
        <f>IF(Table1820[[#This Row],[Loyal Customer Discount]]="Yes",'Rate Book'!$D$129,1)</f>
        <v>1</v>
      </c>
      <c r="AQ88">
        <f>IF(Table1820[[#This Row],[Organization Discount]]="Yes",'Rate Book'!$D$130,1)</f>
        <v>1</v>
      </c>
      <c r="AR88" cm="1">
        <f t="array" ref="AR88">IF(Table1820[[#This Row],[Effective Date]]&gt;=RateChangeTable[Effective Date],RateChangeTable[Rate Change Factor],1)</f>
        <v>1</v>
      </c>
      <c r="AS88" s="10">
        <f>PRODUCT(Table1820[[#This Row],[Base Rate]:[Rate Change Factor]])</f>
        <v>320.71356275670831</v>
      </c>
      <c r="AT88" s="9">
        <f>Table1820[[#This Row],[System-Generated Premium]]-Table1820[[#This Row],[Expected Premium]]</f>
        <v>0</v>
      </c>
      <c r="AU88" t="str">
        <f>IF(Table1820[[#This Row],[Difference]]=0,"PASS","FAIL")</f>
        <v>PASS</v>
      </c>
      <c r="AV88" s="9">
        <f>ABS(Table1820[[#This Row],[Difference]])</f>
        <v>0</v>
      </c>
      <c r="AW88" s="9" t="s">
        <v>1136</v>
      </c>
    </row>
    <row r="89" spans="1:49" x14ac:dyDescent="0.3">
      <c r="A89" t="s">
        <v>180</v>
      </c>
      <c r="B89" s="7">
        <v>45960</v>
      </c>
      <c r="C89" t="s">
        <v>71</v>
      </c>
      <c r="D89" t="s">
        <v>1099</v>
      </c>
      <c r="E89" s="3">
        <v>7</v>
      </c>
      <c r="F89" s="3" t="s">
        <v>7</v>
      </c>
      <c r="G89" t="s">
        <v>10</v>
      </c>
      <c r="H89" t="s">
        <v>1110</v>
      </c>
      <c r="I89" t="s">
        <v>39</v>
      </c>
      <c r="J89" t="s">
        <v>48</v>
      </c>
      <c r="K89" t="s">
        <v>10</v>
      </c>
      <c r="L89" t="s">
        <v>10</v>
      </c>
      <c r="M89" t="s">
        <v>10</v>
      </c>
      <c r="N89" t="s">
        <v>57</v>
      </c>
      <c r="O89" t="str">
        <f>INDEX(CoverageTable[Deductible Applies],MATCH(Table1820[[#This Row],[Coverage]],CoverageTable[Coverage],0))</f>
        <v>Yes</v>
      </c>
      <c r="P89" t="str">
        <f>INDEX(CoverageTable[Coverage Limit Applies],MATCH(Table1820[[#This Row],[Coverage]],CoverageTable[Coverage],0))</f>
        <v>No</v>
      </c>
      <c r="Q89" t="s">
        <v>78</v>
      </c>
      <c r="R89" t="s">
        <v>10</v>
      </c>
      <c r="S89" t="s">
        <v>10</v>
      </c>
      <c r="T89" t="s">
        <v>10</v>
      </c>
      <c r="U89" t="s">
        <v>57</v>
      </c>
      <c r="V89" t="s">
        <v>10</v>
      </c>
      <c r="W89" t="s">
        <v>10</v>
      </c>
      <c r="X89" s="11">
        <v>958.77541674856684</v>
      </c>
      <c r="Y89">
        <f>_xlfn.XLOOKUP(Table1820[[#This Row],[Coverage]],CoverageTable[Coverage],CoverageTable[Base Rate],,0)</f>
        <v>453</v>
      </c>
      <c r="Z89">
        <f>INDEX(Table16[Ageband Factor],MATCH(Table1820[[#This Row],[Ageband]],Table16[Ageband],0))</f>
        <v>1</v>
      </c>
      <c r="AA89">
        <f>VLOOKUP(Table1820[[#This Row],[Years Driving]],Table1[],2)</f>
        <v>0.95</v>
      </c>
      <c r="AB89">
        <f>_xlfn.XLOOKUP(Table1820[[#This Row],[At Fault Accidents]],Table2[At Fault Accidents],Table2[At Fault Accident Factor],,0)</f>
        <v>2.4700000000000002</v>
      </c>
      <c r="AC89">
        <f>_xlfn.XLOOKUP(Table1820[[#This Row],[Usage-Based Insurance]],Table3[Usage-Based Insurance],Table3[Usage-Based Insurance Discount],,0)</f>
        <v>1</v>
      </c>
      <c r="AD89">
        <f>_xlfn.XLOOKUP(Table1820[[#This Row],[Yearly Miles]],Table4[Yearly Miles],Table4[Yearly Miles Factor],,0)</f>
        <v>1.31</v>
      </c>
      <c r="AE89">
        <f>_xlfn.XLOOKUP(Table1820[[#This Row],[City/Zip Code]],Table5[City/Zip Code],Table5[City/Zip Code Factor],,0)</f>
        <v>1.08</v>
      </c>
      <c r="AF89">
        <f>_xlfn.XLOOKUP(Table1820[[#This Row],[Vehicle Price]],Table6[Vehicle Price],Table6[Vehicle Price Factor])</f>
        <v>0.82</v>
      </c>
      <c r="AG89">
        <f>_xlfn.XLOOKUP(Table1820[[#This Row],[Exotic Car]],Table7[Exotic Car],Table7[Exotic Car Factor],,0)</f>
        <v>1</v>
      </c>
      <c r="AH89">
        <f>_xlfn.XLOOKUP(Table1820[[#This Row],[Difficult Parts]],Table8[Difficult Parts],Table8[Difficult Parts Factor],,0)</f>
        <v>1</v>
      </c>
      <c r="AI89">
        <f>_xlfn.XLOOKUP(Table1820[[#This Row],[High Theft Rate]],Table9[High Theft Rate],Table9[High Theft Rate Factor],,0)</f>
        <v>1</v>
      </c>
      <c r="AJ89">
        <f>_xlfn.XLOOKUP(Table1820[[#This Row],[Advanced Safety Features]],Table10[Advanced Safety Features],Table10[Advanced Safety Features Factor],,0)</f>
        <v>0.88</v>
      </c>
      <c r="AK89">
        <f>_xlfn.XLOOKUP(Table1820[[#This Row],[Deductible]],Table12[Deductible],Table12[Deductible Factor],,0)</f>
        <v>0.95</v>
      </c>
      <c r="AL89">
        <f>_xlfn.XLOOKUP(Table1820[[#This Row],[Coverage Limit]],Table13[Coverage Limit],Table13[Coverage Limit Factor],,0)</f>
        <v>1</v>
      </c>
      <c r="AM89">
        <f>IF(Table1820[[#This Row],[Good Student Discount]]="Yes",'Rate Book'!$D$126,1)</f>
        <v>1</v>
      </c>
      <c r="AN89">
        <f>IF(Table1820[[#This Row],[Good Driver Discount]]="Yes",'Rate Book'!$D$127,1)</f>
        <v>1</v>
      </c>
      <c r="AO89">
        <f>IF(Table1820[[#This Row],[Multi Policy Discount]]="Yes",'Rate Book'!$D$128,1)</f>
        <v>0.93</v>
      </c>
      <c r="AP89">
        <f>IF(Table1820[[#This Row],[Loyal Customer Discount]]="Yes",'Rate Book'!$D$129,1)</f>
        <v>1</v>
      </c>
      <c r="AQ89">
        <f>IF(Table1820[[#This Row],[Organization Discount]]="Yes",'Rate Book'!$D$130,1)</f>
        <v>1</v>
      </c>
      <c r="AR89" cm="1">
        <f t="array" ref="AR89">IF(Table1820[[#This Row],[Effective Date]]&gt;=RateChangeTable[Effective Date],RateChangeTable[Rate Change Factor],1)</f>
        <v>1</v>
      </c>
      <c r="AS89" s="10">
        <f>PRODUCT(Table1820[[#This Row],[Base Rate]:[Rate Change Factor]])</f>
        <v>958.77541674856684</v>
      </c>
      <c r="AT89" s="9">
        <f>Table1820[[#This Row],[System-Generated Premium]]-Table1820[[#This Row],[Expected Premium]]</f>
        <v>0</v>
      </c>
      <c r="AU89" t="str">
        <f>IF(Table1820[[#This Row],[Difference]]=0,"PASS","FAIL")</f>
        <v>PASS</v>
      </c>
      <c r="AV89" s="9">
        <f>ABS(Table1820[[#This Row],[Difference]])</f>
        <v>0</v>
      </c>
      <c r="AW89" s="9" t="s">
        <v>1136</v>
      </c>
    </row>
    <row r="90" spans="1:49" x14ac:dyDescent="0.3">
      <c r="A90" t="s">
        <v>181</v>
      </c>
      <c r="B90" s="7">
        <v>46035</v>
      </c>
      <c r="C90" t="s">
        <v>71</v>
      </c>
      <c r="D90" t="s">
        <v>1097</v>
      </c>
      <c r="E90" s="3">
        <v>1</v>
      </c>
      <c r="F90" s="3">
        <v>1</v>
      </c>
      <c r="G90" t="s">
        <v>10</v>
      </c>
      <c r="H90" t="s">
        <v>1110</v>
      </c>
      <c r="I90" t="s">
        <v>31</v>
      </c>
      <c r="J90" t="s">
        <v>51</v>
      </c>
      <c r="K90" t="s">
        <v>10</v>
      </c>
      <c r="L90" t="s">
        <v>10</v>
      </c>
      <c r="M90" t="s">
        <v>10</v>
      </c>
      <c r="N90" t="s">
        <v>57</v>
      </c>
      <c r="O90" t="str">
        <f>INDEX(CoverageTable[Deductible Applies],MATCH(Table1820[[#This Row],[Coverage]],CoverageTable[Coverage],0))</f>
        <v>Yes</v>
      </c>
      <c r="P90" t="str">
        <f>INDEX(CoverageTable[Coverage Limit Applies],MATCH(Table1820[[#This Row],[Coverage]],CoverageTable[Coverage],0))</f>
        <v>No</v>
      </c>
      <c r="Q90" t="s">
        <v>78</v>
      </c>
      <c r="R90" t="s">
        <v>10</v>
      </c>
      <c r="S90" t="s">
        <v>10</v>
      </c>
      <c r="T90" t="s">
        <v>57</v>
      </c>
      <c r="U90" t="s">
        <v>10</v>
      </c>
      <c r="V90" t="s">
        <v>10</v>
      </c>
      <c r="W90" t="s">
        <v>10</v>
      </c>
      <c r="X90" s="11">
        <v>1928.9775492981169</v>
      </c>
      <c r="Y90">
        <f>_xlfn.XLOOKUP(Table1820[[#This Row],[Coverage]],CoverageTable[Coverage],CoverageTable[Base Rate],,0)</f>
        <v>453</v>
      </c>
      <c r="Z90">
        <f>INDEX(Table16[Ageband Factor],MATCH(Table1820[[#This Row],[Ageband]],Table16[Ageband],0))</f>
        <v>1.32</v>
      </c>
      <c r="AA90">
        <f>VLOOKUP(Table1820[[#This Row],[Years Driving]],Table1[],2)</f>
        <v>1.64</v>
      </c>
      <c r="AB90">
        <f>_xlfn.XLOOKUP(Table1820[[#This Row],[At Fault Accidents]],Table2[At Fault Accidents],Table2[At Fault Accident Factor],,0)</f>
        <v>1.34</v>
      </c>
      <c r="AC90">
        <f>_xlfn.XLOOKUP(Table1820[[#This Row],[Usage-Based Insurance]],Table3[Usage-Based Insurance],Table3[Usage-Based Insurance Discount],,0)</f>
        <v>1</v>
      </c>
      <c r="AD90">
        <f>_xlfn.XLOOKUP(Table1820[[#This Row],[Yearly Miles]],Table4[Yearly Miles],Table4[Yearly Miles Factor],,0)</f>
        <v>1.31</v>
      </c>
      <c r="AE90">
        <f>_xlfn.XLOOKUP(Table1820[[#This Row],[City/Zip Code]],Table5[City/Zip Code],Table5[City/Zip Code Factor],,0)</f>
        <v>1.1100000000000001</v>
      </c>
      <c r="AF90">
        <f>_xlfn.XLOOKUP(Table1820[[#This Row],[Vehicle Price]],Table6[Vehicle Price],Table6[Vehicle Price Factor])</f>
        <v>1.28</v>
      </c>
      <c r="AG90">
        <f>_xlfn.XLOOKUP(Table1820[[#This Row],[Exotic Car]],Table7[Exotic Car],Table7[Exotic Car Factor],,0)</f>
        <v>1</v>
      </c>
      <c r="AH90">
        <f>_xlfn.XLOOKUP(Table1820[[#This Row],[Difficult Parts]],Table8[Difficult Parts],Table8[Difficult Parts Factor],,0)</f>
        <v>1</v>
      </c>
      <c r="AI90">
        <f>_xlfn.XLOOKUP(Table1820[[#This Row],[High Theft Rate]],Table9[High Theft Rate],Table9[High Theft Rate Factor],,0)</f>
        <v>1</v>
      </c>
      <c r="AJ90">
        <f>_xlfn.XLOOKUP(Table1820[[#This Row],[Advanced Safety Features]],Table10[Advanced Safety Features],Table10[Advanced Safety Features Factor],,0)</f>
        <v>0.88</v>
      </c>
      <c r="AK90">
        <f>_xlfn.XLOOKUP(Table1820[[#This Row],[Deductible]],Table12[Deductible],Table12[Deductible Factor],,0)</f>
        <v>0.95</v>
      </c>
      <c r="AL90">
        <f>_xlfn.XLOOKUP(Table1820[[#This Row],[Coverage Limit]],Table13[Coverage Limit],Table13[Coverage Limit Factor],,0)</f>
        <v>1</v>
      </c>
      <c r="AM90">
        <f>IF(Table1820[[#This Row],[Good Student Discount]]="Yes",'Rate Book'!$D$126,1)</f>
        <v>1</v>
      </c>
      <c r="AN90">
        <f>IF(Table1820[[#This Row],[Good Driver Discount]]="Yes",'Rate Book'!$D$127,1)</f>
        <v>0.89</v>
      </c>
      <c r="AO90">
        <f>IF(Table1820[[#This Row],[Multi Policy Discount]]="Yes",'Rate Book'!$D$128,1)</f>
        <v>1</v>
      </c>
      <c r="AP90">
        <f>IF(Table1820[[#This Row],[Loyal Customer Discount]]="Yes",'Rate Book'!$D$129,1)</f>
        <v>1</v>
      </c>
      <c r="AQ90">
        <f>IF(Table1820[[#This Row],[Organization Discount]]="Yes",'Rate Book'!$D$130,1)</f>
        <v>1</v>
      </c>
      <c r="AR90" cm="1">
        <f t="array" ref="AR90">IF(Table1820[[#This Row],[Effective Date]]&gt;=RateChangeTable[Effective Date],RateChangeTable[Rate Change Factor],1)</f>
        <v>1.06</v>
      </c>
      <c r="AS90" s="10">
        <f>PRODUCT(Table1820[[#This Row],[Base Rate]:[Rate Change Factor]])</f>
        <v>1928.9775492981169</v>
      </c>
      <c r="AT90" s="9">
        <f>Table1820[[#This Row],[System-Generated Premium]]-Table1820[[#This Row],[Expected Premium]]</f>
        <v>0</v>
      </c>
      <c r="AU90" t="str">
        <f>IF(Table1820[[#This Row],[Difference]]=0,"PASS","FAIL")</f>
        <v>PASS</v>
      </c>
      <c r="AV90" s="9">
        <f>ABS(Table1820[[#This Row],[Difference]])</f>
        <v>0</v>
      </c>
      <c r="AW90" s="9" t="s">
        <v>1136</v>
      </c>
    </row>
    <row r="91" spans="1:49" x14ac:dyDescent="0.3">
      <c r="A91" t="s">
        <v>182</v>
      </c>
      <c r="B91" s="7">
        <v>45854</v>
      </c>
      <c r="C91" t="s">
        <v>70</v>
      </c>
      <c r="D91" t="s">
        <v>1099</v>
      </c>
      <c r="E91" s="3" t="s">
        <v>1103</v>
      </c>
      <c r="F91" s="3">
        <v>0</v>
      </c>
      <c r="G91" t="s">
        <v>11</v>
      </c>
      <c r="H91" t="s">
        <v>1108</v>
      </c>
      <c r="I91" t="s">
        <v>28</v>
      </c>
      <c r="J91" t="s">
        <v>48</v>
      </c>
      <c r="K91" t="s">
        <v>10</v>
      </c>
      <c r="L91" t="s">
        <v>10</v>
      </c>
      <c r="M91" t="s">
        <v>10</v>
      </c>
      <c r="N91" t="s">
        <v>10</v>
      </c>
      <c r="O91" t="str">
        <f>INDEX(CoverageTable[Deductible Applies],MATCH(Table1820[[#This Row],[Coverage]],CoverageTable[Coverage],0))</f>
        <v>No</v>
      </c>
      <c r="P91" t="str">
        <f>INDEX(CoverageTable[Coverage Limit Applies],MATCH(Table1820[[#This Row],[Coverage]],CoverageTable[Coverage],0))</f>
        <v>Yes</v>
      </c>
      <c r="Q91" t="s">
        <v>10</v>
      </c>
      <c r="R91" t="s">
        <v>79</v>
      </c>
      <c r="S91" t="s">
        <v>10</v>
      </c>
      <c r="T91" t="s">
        <v>10</v>
      </c>
      <c r="U91" t="s">
        <v>10</v>
      </c>
      <c r="V91" t="s">
        <v>57</v>
      </c>
      <c r="W91" t="s">
        <v>10</v>
      </c>
      <c r="X91" s="11">
        <v>289.73085380639998</v>
      </c>
      <c r="Y91">
        <f>_xlfn.XLOOKUP(Table1820[[#This Row],[Coverage]],CoverageTable[Coverage],CoverageTable[Base Rate],,0)</f>
        <v>622</v>
      </c>
      <c r="Z91">
        <f>INDEX(Table16[Ageband Factor],MATCH(Table1820[[#This Row],[Ageband]],Table16[Ageband],0))</f>
        <v>1</v>
      </c>
      <c r="AA91">
        <f>VLOOKUP(Table1820[[#This Row],[Years Driving]],Table1[],2)</f>
        <v>0.93</v>
      </c>
      <c r="AB91">
        <f>_xlfn.XLOOKUP(Table1820[[#This Row],[At Fault Accidents]],Table2[At Fault Accidents],Table2[At Fault Accident Factor],,0)</f>
        <v>1</v>
      </c>
      <c r="AC91">
        <f>_xlfn.XLOOKUP(Table1820[[#This Row],[Usage-Based Insurance]],Table3[Usage-Based Insurance],Table3[Usage-Based Insurance Discount],,0)</f>
        <v>0.95</v>
      </c>
      <c r="AD91">
        <f>_xlfn.XLOOKUP(Table1820[[#This Row],[Yearly Miles]],Table4[Yearly Miles],Table4[Yearly Miles Factor],,0)</f>
        <v>1</v>
      </c>
      <c r="AE91">
        <f>_xlfn.XLOOKUP(Table1820[[#This Row],[City/Zip Code]],Table5[City/Zip Code],Table5[City/Zip Code Factor],,0)</f>
        <v>0.95</v>
      </c>
      <c r="AF91">
        <f>_xlfn.XLOOKUP(Table1820[[#This Row],[Vehicle Price]],Table6[Vehicle Price],Table6[Vehicle Price Factor])</f>
        <v>0.82</v>
      </c>
      <c r="AG91">
        <f>_xlfn.XLOOKUP(Table1820[[#This Row],[Exotic Car]],Table7[Exotic Car],Table7[Exotic Car Factor],,0)</f>
        <v>1</v>
      </c>
      <c r="AH91">
        <f>_xlfn.XLOOKUP(Table1820[[#This Row],[Difficult Parts]],Table8[Difficult Parts],Table8[Difficult Parts Factor],,0)</f>
        <v>1</v>
      </c>
      <c r="AI91">
        <f>_xlfn.XLOOKUP(Table1820[[#This Row],[High Theft Rate]],Table9[High Theft Rate],Table9[High Theft Rate Factor],,0)</f>
        <v>1</v>
      </c>
      <c r="AJ91">
        <f>_xlfn.XLOOKUP(Table1820[[#This Row],[Advanced Safety Features]],Table10[Advanced Safety Features],Table10[Advanced Safety Features Factor],,0)</f>
        <v>1</v>
      </c>
      <c r="AK91">
        <f>_xlfn.XLOOKUP(Table1820[[#This Row],[Deductible]],Table12[Deductible],Table12[Deductible Factor],,0)</f>
        <v>1</v>
      </c>
      <c r="AL91">
        <f>_xlfn.XLOOKUP(Table1820[[#This Row],[Coverage Limit]],Table13[Coverage Limit],Table13[Coverage Limit Factor],,0)</f>
        <v>0.72</v>
      </c>
      <c r="AM91">
        <f>IF(Table1820[[#This Row],[Good Student Discount]]="Yes",'Rate Book'!$D$126,1)</f>
        <v>1</v>
      </c>
      <c r="AN91">
        <f>IF(Table1820[[#This Row],[Good Driver Discount]]="Yes",'Rate Book'!$D$127,1)</f>
        <v>1</v>
      </c>
      <c r="AO91">
        <f>IF(Table1820[[#This Row],[Multi Policy Discount]]="Yes",'Rate Book'!$D$128,1)</f>
        <v>1</v>
      </c>
      <c r="AP91">
        <f>IF(Table1820[[#This Row],[Loyal Customer Discount]]="Yes",'Rate Book'!$D$129,1)</f>
        <v>0.94</v>
      </c>
      <c r="AQ91">
        <f>IF(Table1820[[#This Row],[Organization Discount]]="Yes",'Rate Book'!$D$130,1)</f>
        <v>1</v>
      </c>
      <c r="AR91" cm="1">
        <f t="array" ref="AR91">IF(Table1820[[#This Row],[Effective Date]]&gt;=RateChangeTable[Effective Date],RateChangeTable[Rate Change Factor],1)</f>
        <v>1</v>
      </c>
      <c r="AS91" s="10">
        <f>PRODUCT(Table1820[[#This Row],[Base Rate]:[Rate Change Factor]])</f>
        <v>289.73085380639998</v>
      </c>
      <c r="AT91" s="9">
        <f>Table1820[[#This Row],[System-Generated Premium]]-Table1820[[#This Row],[Expected Premium]]</f>
        <v>0</v>
      </c>
      <c r="AU91" t="str">
        <f>IF(Table1820[[#This Row],[Difference]]=0,"PASS","FAIL")</f>
        <v>PASS</v>
      </c>
      <c r="AV91" s="9">
        <f>ABS(Table1820[[#This Row],[Difference]])</f>
        <v>0</v>
      </c>
      <c r="AW91" s="9" t="s">
        <v>1136</v>
      </c>
    </row>
    <row r="92" spans="1:49" x14ac:dyDescent="0.3">
      <c r="A92" t="s">
        <v>183</v>
      </c>
      <c r="B92" s="7">
        <v>45931</v>
      </c>
      <c r="C92" t="s">
        <v>71</v>
      </c>
      <c r="D92" t="s">
        <v>1097</v>
      </c>
      <c r="E92" s="3">
        <v>2</v>
      </c>
      <c r="F92" s="3" t="s">
        <v>7</v>
      </c>
      <c r="G92" t="s">
        <v>10</v>
      </c>
      <c r="H92" t="s">
        <v>1108</v>
      </c>
      <c r="I92" t="s">
        <v>44</v>
      </c>
      <c r="J92" t="s">
        <v>54</v>
      </c>
      <c r="K92" t="s">
        <v>10</v>
      </c>
      <c r="L92" t="s">
        <v>57</v>
      </c>
      <c r="M92" t="s">
        <v>10</v>
      </c>
      <c r="N92" t="s">
        <v>57</v>
      </c>
      <c r="O92" t="str">
        <f>INDEX(CoverageTable[Deductible Applies],MATCH(Table1820[[#This Row],[Coverage]],CoverageTable[Coverage],0))</f>
        <v>Yes</v>
      </c>
      <c r="P92" t="str">
        <f>INDEX(CoverageTable[Coverage Limit Applies],MATCH(Table1820[[#This Row],[Coverage]],CoverageTable[Coverage],0))</f>
        <v>No</v>
      </c>
      <c r="Q92" t="s">
        <v>78</v>
      </c>
      <c r="R92" t="s">
        <v>10</v>
      </c>
      <c r="S92" t="s">
        <v>10</v>
      </c>
      <c r="T92" t="s">
        <v>10</v>
      </c>
      <c r="U92" t="s">
        <v>10</v>
      </c>
      <c r="V92" t="s">
        <v>10</v>
      </c>
      <c r="W92" t="s">
        <v>10</v>
      </c>
      <c r="X92" s="11">
        <v>7013.2566606874607</v>
      </c>
      <c r="Y92">
        <f>_xlfn.XLOOKUP(Table1820[[#This Row],[Coverage]],CoverageTable[Coverage],CoverageTable[Base Rate],,0)</f>
        <v>453</v>
      </c>
      <c r="Z92">
        <f>INDEX(Table16[Ageband Factor],MATCH(Table1820[[#This Row],[Ageband]],Table16[Ageband],0))</f>
        <v>1.32</v>
      </c>
      <c r="AA92">
        <f>VLOOKUP(Table1820[[#This Row],[Years Driving]],Table1[],2)</f>
        <v>1.41</v>
      </c>
      <c r="AB92">
        <f>_xlfn.XLOOKUP(Table1820[[#This Row],[At Fault Accidents]],Table2[At Fault Accidents],Table2[At Fault Accident Factor],,0)</f>
        <v>2.4700000000000002</v>
      </c>
      <c r="AC92">
        <f>_xlfn.XLOOKUP(Table1820[[#This Row],[Usage-Based Insurance]],Table3[Usage-Based Insurance],Table3[Usage-Based Insurance Discount],,0)</f>
        <v>1</v>
      </c>
      <c r="AD92">
        <f>_xlfn.XLOOKUP(Table1820[[#This Row],[Yearly Miles]],Table4[Yearly Miles],Table4[Yearly Miles Factor],,0)</f>
        <v>1</v>
      </c>
      <c r="AE92">
        <f>_xlfn.XLOOKUP(Table1820[[#This Row],[City/Zip Code]],Table5[City/Zip Code],Table5[City/Zip Code Factor],,0)</f>
        <v>1.1599999999999999</v>
      </c>
      <c r="AF92">
        <f>_xlfn.XLOOKUP(Table1820[[#This Row],[Vehicle Price]],Table6[Vehicle Price],Table6[Vehicle Price Factor])</f>
        <v>2.87</v>
      </c>
      <c r="AG92">
        <f>_xlfn.XLOOKUP(Table1820[[#This Row],[Exotic Car]],Table7[Exotic Car],Table7[Exotic Car Factor],,0)</f>
        <v>1</v>
      </c>
      <c r="AH92">
        <f>_xlfn.XLOOKUP(Table1820[[#This Row],[Difficult Parts]],Table8[Difficult Parts],Table8[Difficult Parts Factor],,0)</f>
        <v>1.21</v>
      </c>
      <c r="AI92">
        <f>_xlfn.XLOOKUP(Table1820[[#This Row],[High Theft Rate]],Table9[High Theft Rate],Table9[High Theft Rate Factor],,0)</f>
        <v>1</v>
      </c>
      <c r="AJ92">
        <f>_xlfn.XLOOKUP(Table1820[[#This Row],[Advanced Safety Features]],Table10[Advanced Safety Features],Table10[Advanced Safety Features Factor],,0)</f>
        <v>0.88</v>
      </c>
      <c r="AK92">
        <f>_xlfn.XLOOKUP(Table1820[[#This Row],[Deductible]],Table12[Deductible],Table12[Deductible Factor],,0)</f>
        <v>0.95</v>
      </c>
      <c r="AL92">
        <f>_xlfn.XLOOKUP(Table1820[[#This Row],[Coverage Limit]],Table13[Coverage Limit],Table13[Coverage Limit Factor],,0)</f>
        <v>1</v>
      </c>
      <c r="AM92">
        <f>IF(Table1820[[#This Row],[Good Student Discount]]="Yes",'Rate Book'!$D$126,1)</f>
        <v>1</v>
      </c>
      <c r="AN92">
        <f>IF(Table1820[[#This Row],[Good Driver Discount]]="Yes",'Rate Book'!$D$127,1)</f>
        <v>1</v>
      </c>
      <c r="AO92">
        <f>IF(Table1820[[#This Row],[Multi Policy Discount]]="Yes",'Rate Book'!$D$128,1)</f>
        <v>1</v>
      </c>
      <c r="AP92">
        <f>IF(Table1820[[#This Row],[Loyal Customer Discount]]="Yes",'Rate Book'!$D$129,1)</f>
        <v>1</v>
      </c>
      <c r="AQ92">
        <f>IF(Table1820[[#This Row],[Organization Discount]]="Yes",'Rate Book'!$D$130,1)</f>
        <v>1</v>
      </c>
      <c r="AR92" cm="1">
        <f t="array" ref="AR92">IF(Table1820[[#This Row],[Effective Date]]&gt;=RateChangeTable[Effective Date],RateChangeTable[Rate Change Factor],1)</f>
        <v>1</v>
      </c>
      <c r="AS92" s="10">
        <f>PRODUCT(Table1820[[#This Row],[Base Rate]:[Rate Change Factor]])</f>
        <v>7013.2566606874607</v>
      </c>
      <c r="AT92" s="9">
        <f>Table1820[[#This Row],[System-Generated Premium]]-Table1820[[#This Row],[Expected Premium]]</f>
        <v>0</v>
      </c>
      <c r="AU92" t="str">
        <f>IF(Table1820[[#This Row],[Difference]]=0,"PASS","FAIL")</f>
        <v>PASS</v>
      </c>
      <c r="AV92" s="9">
        <f>ABS(Table1820[[#This Row],[Difference]])</f>
        <v>0</v>
      </c>
      <c r="AW92" s="9" t="s">
        <v>1136</v>
      </c>
    </row>
    <row r="93" spans="1:49" x14ac:dyDescent="0.3">
      <c r="A93" t="s">
        <v>184</v>
      </c>
      <c r="B93" s="7">
        <v>46020</v>
      </c>
      <c r="C93" t="s">
        <v>70</v>
      </c>
      <c r="D93" t="s">
        <v>1099</v>
      </c>
      <c r="E93" s="3">
        <v>7</v>
      </c>
      <c r="F93" s="3" t="s">
        <v>7</v>
      </c>
      <c r="G93" t="s">
        <v>10</v>
      </c>
      <c r="H93" t="s">
        <v>1107</v>
      </c>
      <c r="I93" t="s">
        <v>43</v>
      </c>
      <c r="J93" t="s">
        <v>48</v>
      </c>
      <c r="K93" t="s">
        <v>10</v>
      </c>
      <c r="L93" t="s">
        <v>10</v>
      </c>
      <c r="M93" t="s">
        <v>10</v>
      </c>
      <c r="N93" t="s">
        <v>10</v>
      </c>
      <c r="O93" t="str">
        <f>INDEX(CoverageTable[Deductible Applies],MATCH(Table1820[[#This Row],[Coverage]],CoverageTable[Coverage],0))</f>
        <v>No</v>
      </c>
      <c r="P93" t="str">
        <f>INDEX(CoverageTable[Coverage Limit Applies],MATCH(Table1820[[#This Row],[Coverage]],CoverageTable[Coverage],0))</f>
        <v>Yes</v>
      </c>
      <c r="Q93" t="s">
        <v>10</v>
      </c>
      <c r="R93" t="s">
        <v>78</v>
      </c>
      <c r="S93" t="s">
        <v>10</v>
      </c>
      <c r="T93" t="s">
        <v>10</v>
      </c>
      <c r="U93" t="s">
        <v>57</v>
      </c>
      <c r="V93" t="s">
        <v>10</v>
      </c>
      <c r="W93" t="s">
        <v>57</v>
      </c>
      <c r="X93" s="11">
        <v>722.72698286027276</v>
      </c>
      <c r="Y93">
        <f>_xlfn.XLOOKUP(Table1820[[#This Row],[Coverage]],CoverageTable[Coverage],CoverageTable[Base Rate],,0)</f>
        <v>622</v>
      </c>
      <c r="Z93">
        <f>INDEX(Table16[Ageband Factor],MATCH(Table1820[[#This Row],[Ageband]],Table16[Ageband],0))</f>
        <v>1</v>
      </c>
      <c r="AA93">
        <f>VLOOKUP(Table1820[[#This Row],[Years Driving]],Table1[],2)</f>
        <v>0.95</v>
      </c>
      <c r="AB93">
        <f>_xlfn.XLOOKUP(Table1820[[#This Row],[At Fault Accidents]],Table2[At Fault Accidents],Table2[At Fault Accident Factor],,0)</f>
        <v>2.4700000000000002</v>
      </c>
      <c r="AC93">
        <f>_xlfn.XLOOKUP(Table1820[[#This Row],[Usage-Based Insurance]],Table3[Usage-Based Insurance],Table3[Usage-Based Insurance Discount],,0)</f>
        <v>1</v>
      </c>
      <c r="AD93">
        <f>_xlfn.XLOOKUP(Table1820[[#This Row],[Yearly Miles]],Table4[Yearly Miles],Table4[Yearly Miles Factor],,0)</f>
        <v>0.93</v>
      </c>
      <c r="AE93">
        <f>_xlfn.XLOOKUP(Table1820[[#This Row],[City/Zip Code]],Table5[City/Zip Code],Table5[City/Zip Code Factor],,0)</f>
        <v>1.18</v>
      </c>
      <c r="AF93">
        <f>_xlfn.XLOOKUP(Table1820[[#This Row],[Vehicle Price]],Table6[Vehicle Price],Table6[Vehicle Price Factor])</f>
        <v>0.82</v>
      </c>
      <c r="AG93">
        <f>_xlfn.XLOOKUP(Table1820[[#This Row],[Exotic Car]],Table7[Exotic Car],Table7[Exotic Car Factor],,0)</f>
        <v>1</v>
      </c>
      <c r="AH93">
        <f>_xlfn.XLOOKUP(Table1820[[#This Row],[Difficult Parts]],Table8[Difficult Parts],Table8[Difficult Parts Factor],,0)</f>
        <v>1</v>
      </c>
      <c r="AI93">
        <f>_xlfn.XLOOKUP(Table1820[[#This Row],[High Theft Rate]],Table9[High Theft Rate],Table9[High Theft Rate Factor],,0)</f>
        <v>1</v>
      </c>
      <c r="AJ93">
        <f>_xlfn.XLOOKUP(Table1820[[#This Row],[Advanced Safety Features]],Table10[Advanced Safety Features],Table10[Advanced Safety Features Factor],,0)</f>
        <v>1</v>
      </c>
      <c r="AK93">
        <f>_xlfn.XLOOKUP(Table1820[[#This Row],[Deductible]],Table12[Deductible],Table12[Deductible Factor],,0)</f>
        <v>1</v>
      </c>
      <c r="AL93">
        <f>_xlfn.XLOOKUP(Table1820[[#This Row],[Coverage Limit]],Table13[Coverage Limit],Table13[Coverage Limit Factor],,0)</f>
        <v>0.61</v>
      </c>
      <c r="AM93">
        <f>IF(Table1820[[#This Row],[Good Student Discount]]="Yes",'Rate Book'!$D$126,1)</f>
        <v>1</v>
      </c>
      <c r="AN93">
        <f>IF(Table1820[[#This Row],[Good Driver Discount]]="Yes",'Rate Book'!$D$127,1)</f>
        <v>1</v>
      </c>
      <c r="AO93">
        <f>IF(Table1820[[#This Row],[Multi Policy Discount]]="Yes",'Rate Book'!$D$128,1)</f>
        <v>0.93</v>
      </c>
      <c r="AP93">
        <f>IF(Table1820[[#This Row],[Loyal Customer Discount]]="Yes",'Rate Book'!$D$129,1)</f>
        <v>1</v>
      </c>
      <c r="AQ93">
        <f>IF(Table1820[[#This Row],[Organization Discount]]="Yes",'Rate Book'!$D$130,1)</f>
        <v>0.97</v>
      </c>
      <c r="AR93" cm="1">
        <f t="array" ref="AR93">IF(Table1820[[#This Row],[Effective Date]]&gt;=RateChangeTable[Effective Date],RateChangeTable[Rate Change Factor],1)</f>
        <v>1</v>
      </c>
      <c r="AS93" s="10">
        <f>PRODUCT(Table1820[[#This Row],[Base Rate]:[Rate Change Factor]])</f>
        <v>722.72698286027276</v>
      </c>
      <c r="AT93" s="9">
        <f>Table1820[[#This Row],[System-Generated Premium]]-Table1820[[#This Row],[Expected Premium]]</f>
        <v>0</v>
      </c>
      <c r="AU93" t="str">
        <f>IF(Table1820[[#This Row],[Difference]]=0,"PASS","FAIL")</f>
        <v>PASS</v>
      </c>
      <c r="AV93" s="9">
        <f>ABS(Table1820[[#This Row],[Difference]])</f>
        <v>0</v>
      </c>
      <c r="AW93" s="9" t="s">
        <v>1136</v>
      </c>
    </row>
    <row r="94" spans="1:49" x14ac:dyDescent="0.3">
      <c r="A94" t="s">
        <v>185</v>
      </c>
      <c r="B94" s="7">
        <v>45872</v>
      </c>
      <c r="C94" t="s">
        <v>73</v>
      </c>
      <c r="D94" t="s">
        <v>1100</v>
      </c>
      <c r="E94" s="3">
        <v>2</v>
      </c>
      <c r="F94" s="3">
        <v>0</v>
      </c>
      <c r="G94" t="s">
        <v>10</v>
      </c>
      <c r="H94" t="s">
        <v>1108</v>
      </c>
      <c r="I94" t="s">
        <v>34</v>
      </c>
      <c r="J94" t="s">
        <v>52</v>
      </c>
      <c r="K94" t="s">
        <v>10</v>
      </c>
      <c r="L94" t="s">
        <v>10</v>
      </c>
      <c r="M94" t="s">
        <v>10</v>
      </c>
      <c r="N94" t="s">
        <v>10</v>
      </c>
      <c r="O94" t="str">
        <f>INDEX(CoverageTable[Deductible Applies],MATCH(Table1820[[#This Row],[Coverage]],CoverageTable[Coverage],0))</f>
        <v>No</v>
      </c>
      <c r="P94" t="str">
        <f>INDEX(CoverageTable[Coverage Limit Applies],MATCH(Table1820[[#This Row],[Coverage]],CoverageTable[Coverage],0))</f>
        <v>Yes</v>
      </c>
      <c r="Q94" t="s">
        <v>10</v>
      </c>
      <c r="R94" t="s">
        <v>79</v>
      </c>
      <c r="S94" t="s">
        <v>10</v>
      </c>
      <c r="T94" t="s">
        <v>10</v>
      </c>
      <c r="U94" t="s">
        <v>10</v>
      </c>
      <c r="V94" t="s">
        <v>10</v>
      </c>
      <c r="W94" t="s">
        <v>10</v>
      </c>
      <c r="X94" s="11">
        <v>207.51726752639999</v>
      </c>
      <c r="Y94">
        <f>_xlfn.XLOOKUP(Table1820[[#This Row],[Coverage]],CoverageTable[Coverage],CoverageTable[Base Rate],,0)</f>
        <v>78</v>
      </c>
      <c r="Z94">
        <f>INDEX(Table16[Ageband Factor],MATCH(Table1820[[#This Row],[Ageband]],Table16[Ageband],0))</f>
        <v>1.07</v>
      </c>
      <c r="AA94">
        <f>VLOOKUP(Table1820[[#This Row],[Years Driving]],Table1[],2)</f>
        <v>1.41</v>
      </c>
      <c r="AB94">
        <f>_xlfn.XLOOKUP(Table1820[[#This Row],[At Fault Accidents]],Table2[At Fault Accidents],Table2[At Fault Accident Factor],,0)</f>
        <v>1</v>
      </c>
      <c r="AC94">
        <f>_xlfn.XLOOKUP(Table1820[[#This Row],[Usage-Based Insurance]],Table3[Usage-Based Insurance],Table3[Usage-Based Insurance Discount],,0)</f>
        <v>1</v>
      </c>
      <c r="AD94">
        <f>_xlfn.XLOOKUP(Table1820[[#This Row],[Yearly Miles]],Table4[Yearly Miles],Table4[Yearly Miles Factor],,0)</f>
        <v>1</v>
      </c>
      <c r="AE94">
        <f>_xlfn.XLOOKUP(Table1820[[#This Row],[City/Zip Code]],Table5[City/Zip Code],Table5[City/Zip Code Factor],,0)</f>
        <v>1.56</v>
      </c>
      <c r="AF94">
        <f>_xlfn.XLOOKUP(Table1820[[#This Row],[Vehicle Price]],Table6[Vehicle Price],Table6[Vehicle Price Factor])</f>
        <v>1.57</v>
      </c>
      <c r="AG94">
        <f>_xlfn.XLOOKUP(Table1820[[#This Row],[Exotic Car]],Table7[Exotic Car],Table7[Exotic Car Factor],,0)</f>
        <v>1</v>
      </c>
      <c r="AH94">
        <f>_xlfn.XLOOKUP(Table1820[[#This Row],[Difficult Parts]],Table8[Difficult Parts],Table8[Difficult Parts Factor],,0)</f>
        <v>1</v>
      </c>
      <c r="AI94">
        <f>_xlfn.XLOOKUP(Table1820[[#This Row],[High Theft Rate]],Table9[High Theft Rate],Table9[High Theft Rate Factor],,0)</f>
        <v>1</v>
      </c>
      <c r="AJ94">
        <f>_xlfn.XLOOKUP(Table1820[[#This Row],[Advanced Safety Features]],Table10[Advanced Safety Features],Table10[Advanced Safety Features Factor],,0)</f>
        <v>1</v>
      </c>
      <c r="AK94">
        <f>_xlfn.XLOOKUP(Table1820[[#This Row],[Deductible]],Table12[Deductible],Table12[Deductible Factor],,0)</f>
        <v>1</v>
      </c>
      <c r="AL94">
        <f>_xlfn.XLOOKUP(Table1820[[#This Row],[Coverage Limit]],Table13[Coverage Limit],Table13[Coverage Limit Factor],,0)</f>
        <v>0.72</v>
      </c>
      <c r="AM94">
        <f>IF(Table1820[[#This Row],[Good Student Discount]]="Yes",'Rate Book'!$D$126,1)</f>
        <v>1</v>
      </c>
      <c r="AN94">
        <f>IF(Table1820[[#This Row],[Good Driver Discount]]="Yes",'Rate Book'!$D$127,1)</f>
        <v>1</v>
      </c>
      <c r="AO94">
        <f>IF(Table1820[[#This Row],[Multi Policy Discount]]="Yes",'Rate Book'!$D$128,1)</f>
        <v>1</v>
      </c>
      <c r="AP94">
        <f>IF(Table1820[[#This Row],[Loyal Customer Discount]]="Yes",'Rate Book'!$D$129,1)</f>
        <v>1</v>
      </c>
      <c r="AQ94">
        <f>IF(Table1820[[#This Row],[Organization Discount]]="Yes",'Rate Book'!$D$130,1)</f>
        <v>1</v>
      </c>
      <c r="AR94" cm="1">
        <f t="array" ref="AR94">IF(Table1820[[#This Row],[Effective Date]]&gt;=RateChangeTable[Effective Date],RateChangeTable[Rate Change Factor],1)</f>
        <v>1</v>
      </c>
      <c r="AS94" s="10">
        <f>PRODUCT(Table1820[[#This Row],[Base Rate]:[Rate Change Factor]])</f>
        <v>207.51726752639999</v>
      </c>
      <c r="AT94" s="9">
        <f>Table1820[[#This Row],[System-Generated Premium]]-Table1820[[#This Row],[Expected Premium]]</f>
        <v>0</v>
      </c>
      <c r="AU94" t="str">
        <f>IF(Table1820[[#This Row],[Difference]]=0,"PASS","FAIL")</f>
        <v>PASS</v>
      </c>
      <c r="AV94" s="9">
        <f>ABS(Table1820[[#This Row],[Difference]])</f>
        <v>0</v>
      </c>
      <c r="AW94" s="9" t="s">
        <v>1136</v>
      </c>
    </row>
    <row r="95" spans="1:49" x14ac:dyDescent="0.3">
      <c r="A95" t="s">
        <v>186</v>
      </c>
      <c r="B95" s="7">
        <v>46069</v>
      </c>
      <c r="C95" t="s">
        <v>73</v>
      </c>
      <c r="D95" t="s">
        <v>1101</v>
      </c>
      <c r="E95" s="3" t="s">
        <v>1103</v>
      </c>
      <c r="F95" s="3">
        <v>1</v>
      </c>
      <c r="G95" t="s">
        <v>11</v>
      </c>
      <c r="H95" t="s">
        <v>1110</v>
      </c>
      <c r="I95" t="s">
        <v>34</v>
      </c>
      <c r="J95" t="s">
        <v>48</v>
      </c>
      <c r="K95" t="s">
        <v>10</v>
      </c>
      <c r="L95" t="s">
        <v>57</v>
      </c>
      <c r="M95" t="s">
        <v>10</v>
      </c>
      <c r="N95" t="s">
        <v>57</v>
      </c>
      <c r="O95" t="str">
        <f>INDEX(CoverageTable[Deductible Applies],MATCH(Table1820[[#This Row],[Coverage]],CoverageTable[Coverage],0))</f>
        <v>No</v>
      </c>
      <c r="P95" t="str">
        <f>INDEX(CoverageTable[Coverage Limit Applies],MATCH(Table1820[[#This Row],[Coverage]],CoverageTable[Coverage],0))</f>
        <v>Yes</v>
      </c>
      <c r="Q95" t="s">
        <v>10</v>
      </c>
      <c r="R95" t="s">
        <v>79</v>
      </c>
      <c r="S95" t="s">
        <v>10</v>
      </c>
      <c r="T95" t="s">
        <v>57</v>
      </c>
      <c r="U95" t="s">
        <v>10</v>
      </c>
      <c r="V95" t="s">
        <v>10</v>
      </c>
      <c r="W95" t="s">
        <v>10</v>
      </c>
      <c r="X95" s="11">
        <v>125.35167304234071</v>
      </c>
      <c r="Y95">
        <f>_xlfn.XLOOKUP(Table1820[[#This Row],[Coverage]],CoverageTable[Coverage],CoverageTable[Base Rate],,0)</f>
        <v>78</v>
      </c>
      <c r="Z95">
        <f>INDEX(Table16[Ageband Factor],MATCH(Table1820[[#This Row],[Ageband]],Table16[Ageband],0))</f>
        <v>1.1200000000000001</v>
      </c>
      <c r="AA95">
        <f>VLOOKUP(Table1820[[#This Row],[Years Driving]],Table1[],2)</f>
        <v>0.93</v>
      </c>
      <c r="AB95">
        <f>_xlfn.XLOOKUP(Table1820[[#This Row],[At Fault Accidents]],Table2[At Fault Accidents],Table2[At Fault Accident Factor],,0)</f>
        <v>1.34</v>
      </c>
      <c r="AC95">
        <f>_xlfn.XLOOKUP(Table1820[[#This Row],[Usage-Based Insurance]],Table3[Usage-Based Insurance],Table3[Usage-Based Insurance Discount],,0)</f>
        <v>0.95</v>
      </c>
      <c r="AD95">
        <f>_xlfn.XLOOKUP(Table1820[[#This Row],[Yearly Miles]],Table4[Yearly Miles],Table4[Yearly Miles Factor],,0)</f>
        <v>1.31</v>
      </c>
      <c r="AE95">
        <f>_xlfn.XLOOKUP(Table1820[[#This Row],[City/Zip Code]],Table5[City/Zip Code],Table5[City/Zip Code Factor],,0)</f>
        <v>1.56</v>
      </c>
      <c r="AF95">
        <f>_xlfn.XLOOKUP(Table1820[[#This Row],[Vehicle Price]],Table6[Vehicle Price],Table6[Vehicle Price Factor])</f>
        <v>0.82</v>
      </c>
      <c r="AG95">
        <f>_xlfn.XLOOKUP(Table1820[[#This Row],[Exotic Car]],Table7[Exotic Car],Table7[Exotic Car Factor],,0)</f>
        <v>1</v>
      </c>
      <c r="AH95">
        <f>_xlfn.XLOOKUP(Table1820[[#This Row],[Difficult Parts]],Table8[Difficult Parts],Table8[Difficult Parts Factor],,0)</f>
        <v>1.21</v>
      </c>
      <c r="AI95">
        <f>_xlfn.XLOOKUP(Table1820[[#This Row],[High Theft Rate]],Table9[High Theft Rate],Table9[High Theft Rate Factor],,0)</f>
        <v>1</v>
      </c>
      <c r="AJ95">
        <f>_xlfn.XLOOKUP(Table1820[[#This Row],[Advanced Safety Features]],Table10[Advanced Safety Features],Table10[Advanced Safety Features Factor],,0)</f>
        <v>0.88</v>
      </c>
      <c r="AK95">
        <f>_xlfn.XLOOKUP(Table1820[[#This Row],[Deductible]],Table12[Deductible],Table12[Deductible Factor],,0)</f>
        <v>1</v>
      </c>
      <c r="AL95">
        <f>_xlfn.XLOOKUP(Table1820[[#This Row],[Coverage Limit]],Table13[Coverage Limit],Table13[Coverage Limit Factor],,0)</f>
        <v>0.72</v>
      </c>
      <c r="AM95">
        <f>IF(Table1820[[#This Row],[Good Student Discount]]="Yes",'Rate Book'!$D$126,1)</f>
        <v>1</v>
      </c>
      <c r="AN95">
        <f>IF(Table1820[[#This Row],[Good Driver Discount]]="Yes",'Rate Book'!$D$127,1)</f>
        <v>0.89</v>
      </c>
      <c r="AO95">
        <f>IF(Table1820[[#This Row],[Multi Policy Discount]]="Yes",'Rate Book'!$D$128,1)</f>
        <v>1</v>
      </c>
      <c r="AP95">
        <f>IF(Table1820[[#This Row],[Loyal Customer Discount]]="Yes",'Rate Book'!$D$129,1)</f>
        <v>1</v>
      </c>
      <c r="AQ95">
        <f>IF(Table1820[[#This Row],[Organization Discount]]="Yes",'Rate Book'!$D$130,1)</f>
        <v>1</v>
      </c>
      <c r="AR95" cm="1">
        <f t="array" ref="AR95">IF(Table1820[[#This Row],[Effective Date]]&gt;=RateChangeTable[Effective Date],RateChangeTable[Rate Change Factor],1)</f>
        <v>1.06</v>
      </c>
      <c r="AS95" s="10">
        <f>PRODUCT(Table1820[[#This Row],[Base Rate]:[Rate Change Factor]])</f>
        <v>125.35167304234071</v>
      </c>
      <c r="AT95" s="9">
        <f>Table1820[[#This Row],[System-Generated Premium]]-Table1820[[#This Row],[Expected Premium]]</f>
        <v>0</v>
      </c>
      <c r="AU95" t="str">
        <f>IF(Table1820[[#This Row],[Difference]]=0,"PASS","FAIL")</f>
        <v>PASS</v>
      </c>
      <c r="AV95" s="9">
        <f>ABS(Table1820[[#This Row],[Difference]])</f>
        <v>0</v>
      </c>
      <c r="AW95" s="9" t="s">
        <v>1136</v>
      </c>
    </row>
    <row r="96" spans="1:49" x14ac:dyDescent="0.3">
      <c r="A96" t="s">
        <v>187</v>
      </c>
      <c r="B96" s="7">
        <v>45823</v>
      </c>
      <c r="C96" t="s">
        <v>71</v>
      </c>
      <c r="D96" t="s">
        <v>1099</v>
      </c>
      <c r="E96" s="3">
        <v>2</v>
      </c>
      <c r="F96" s="3">
        <v>3</v>
      </c>
      <c r="G96" t="s">
        <v>10</v>
      </c>
      <c r="H96" t="s">
        <v>1110</v>
      </c>
      <c r="I96" t="s">
        <v>24</v>
      </c>
      <c r="J96" t="s">
        <v>54</v>
      </c>
      <c r="K96" t="s">
        <v>10</v>
      </c>
      <c r="L96" t="s">
        <v>10</v>
      </c>
      <c r="M96" t="s">
        <v>10</v>
      </c>
      <c r="N96" t="s">
        <v>10</v>
      </c>
      <c r="O96" t="str">
        <f>INDEX(CoverageTable[Deductible Applies],MATCH(Table1820[[#This Row],[Coverage]],CoverageTable[Coverage],0))</f>
        <v>Yes</v>
      </c>
      <c r="P96" t="str">
        <f>INDEX(CoverageTable[Coverage Limit Applies],MATCH(Table1820[[#This Row],[Coverage]],CoverageTable[Coverage],0))</f>
        <v>No</v>
      </c>
      <c r="Q96" t="s">
        <v>78</v>
      </c>
      <c r="R96" t="s">
        <v>10</v>
      </c>
      <c r="S96" t="s">
        <v>10</v>
      </c>
      <c r="T96" t="s">
        <v>10</v>
      </c>
      <c r="U96" t="s">
        <v>10</v>
      </c>
      <c r="V96" t="s">
        <v>10</v>
      </c>
      <c r="W96" t="s">
        <v>10</v>
      </c>
      <c r="X96" s="11">
        <v>4940.9727842393095</v>
      </c>
      <c r="Y96">
        <f>_xlfn.XLOOKUP(Table1820[[#This Row],[Coverage]],CoverageTable[Coverage],CoverageTable[Base Rate],,0)</f>
        <v>453</v>
      </c>
      <c r="Z96">
        <f>INDEX(Table16[Ageband Factor],MATCH(Table1820[[#This Row],[Ageband]],Table16[Ageband],0))</f>
        <v>1</v>
      </c>
      <c r="AA96">
        <f>VLOOKUP(Table1820[[#This Row],[Years Driving]],Table1[],2)</f>
        <v>1.41</v>
      </c>
      <c r="AB96">
        <f>_xlfn.XLOOKUP(Table1820[[#This Row],[At Fault Accidents]],Table2[At Fault Accidents],Table2[At Fault Accident Factor],,0)</f>
        <v>1.82</v>
      </c>
      <c r="AC96">
        <f>_xlfn.XLOOKUP(Table1820[[#This Row],[Usage-Based Insurance]],Table3[Usage-Based Insurance],Table3[Usage-Based Insurance Discount],,0)</f>
        <v>1</v>
      </c>
      <c r="AD96">
        <f>_xlfn.XLOOKUP(Table1820[[#This Row],[Yearly Miles]],Table4[Yearly Miles],Table4[Yearly Miles Factor],,0)</f>
        <v>1.31</v>
      </c>
      <c r="AE96">
        <f>_xlfn.XLOOKUP(Table1820[[#This Row],[City/Zip Code]],Table5[City/Zip Code],Table5[City/Zip Code Factor],,0)</f>
        <v>1.19</v>
      </c>
      <c r="AF96">
        <f>_xlfn.XLOOKUP(Table1820[[#This Row],[Vehicle Price]],Table6[Vehicle Price],Table6[Vehicle Price Factor])</f>
        <v>2.87</v>
      </c>
      <c r="AG96">
        <f>_xlfn.XLOOKUP(Table1820[[#This Row],[Exotic Car]],Table7[Exotic Car],Table7[Exotic Car Factor],,0)</f>
        <v>1</v>
      </c>
      <c r="AH96">
        <f>_xlfn.XLOOKUP(Table1820[[#This Row],[Difficult Parts]],Table8[Difficult Parts],Table8[Difficult Parts Factor],,0)</f>
        <v>1</v>
      </c>
      <c r="AI96">
        <f>_xlfn.XLOOKUP(Table1820[[#This Row],[High Theft Rate]],Table9[High Theft Rate],Table9[High Theft Rate Factor],,0)</f>
        <v>1</v>
      </c>
      <c r="AJ96">
        <f>_xlfn.XLOOKUP(Table1820[[#This Row],[Advanced Safety Features]],Table10[Advanced Safety Features],Table10[Advanced Safety Features Factor],,0)</f>
        <v>1</v>
      </c>
      <c r="AK96">
        <f>_xlfn.XLOOKUP(Table1820[[#This Row],[Deductible]],Table12[Deductible],Table12[Deductible Factor],,0)</f>
        <v>0.95</v>
      </c>
      <c r="AL96">
        <f>_xlfn.XLOOKUP(Table1820[[#This Row],[Coverage Limit]],Table13[Coverage Limit],Table13[Coverage Limit Factor],,0)</f>
        <v>1</v>
      </c>
      <c r="AM96">
        <f>IF(Table1820[[#This Row],[Good Student Discount]]="Yes",'Rate Book'!$D$126,1)</f>
        <v>1</v>
      </c>
      <c r="AN96">
        <f>IF(Table1820[[#This Row],[Good Driver Discount]]="Yes",'Rate Book'!$D$127,1)</f>
        <v>1</v>
      </c>
      <c r="AO96">
        <f>IF(Table1820[[#This Row],[Multi Policy Discount]]="Yes",'Rate Book'!$D$128,1)</f>
        <v>1</v>
      </c>
      <c r="AP96">
        <f>IF(Table1820[[#This Row],[Loyal Customer Discount]]="Yes",'Rate Book'!$D$129,1)</f>
        <v>1</v>
      </c>
      <c r="AQ96">
        <f>IF(Table1820[[#This Row],[Organization Discount]]="Yes",'Rate Book'!$D$130,1)</f>
        <v>1</v>
      </c>
      <c r="AR96" cm="1">
        <f t="array" ref="AR96">IF(Table1820[[#This Row],[Effective Date]]&gt;=RateChangeTable[Effective Date],RateChangeTable[Rate Change Factor],1)</f>
        <v>1</v>
      </c>
      <c r="AS96" s="10">
        <f>PRODUCT(Table1820[[#This Row],[Base Rate]:[Rate Change Factor]])</f>
        <v>4940.9727842393095</v>
      </c>
      <c r="AT96" s="9">
        <f>Table1820[[#This Row],[System-Generated Premium]]-Table1820[[#This Row],[Expected Premium]]</f>
        <v>0</v>
      </c>
      <c r="AU96" t="str">
        <f>IF(Table1820[[#This Row],[Difference]]=0,"PASS","FAIL")</f>
        <v>PASS</v>
      </c>
      <c r="AV96" s="9">
        <f>ABS(Table1820[[#This Row],[Difference]])</f>
        <v>0</v>
      </c>
      <c r="AW96" s="9" t="s">
        <v>1136</v>
      </c>
    </row>
    <row r="97" spans="1:49" x14ac:dyDescent="0.3">
      <c r="A97" t="s">
        <v>188</v>
      </c>
      <c r="B97" s="7">
        <v>45805</v>
      </c>
      <c r="C97" t="s">
        <v>74</v>
      </c>
      <c r="D97" t="s">
        <v>1102</v>
      </c>
      <c r="E97" s="3">
        <v>6</v>
      </c>
      <c r="F97" s="3">
        <v>0</v>
      </c>
      <c r="G97" t="s">
        <v>10</v>
      </c>
      <c r="H97" t="s">
        <v>1108</v>
      </c>
      <c r="I97" t="s">
        <v>27</v>
      </c>
      <c r="J97" t="s">
        <v>50</v>
      </c>
      <c r="K97" t="s">
        <v>10</v>
      </c>
      <c r="L97" t="s">
        <v>10</v>
      </c>
      <c r="M97" t="s">
        <v>10</v>
      </c>
      <c r="N97" t="s">
        <v>10</v>
      </c>
      <c r="O97" t="str">
        <f>INDEX(CoverageTable[Deductible Applies],MATCH(Table1820[[#This Row],[Coverage]],CoverageTable[Coverage],0))</f>
        <v>No</v>
      </c>
      <c r="P97" t="str">
        <f>INDEX(CoverageTable[Coverage Limit Applies],MATCH(Table1820[[#This Row],[Coverage]],CoverageTable[Coverage],0))</f>
        <v>Yes</v>
      </c>
      <c r="Q97" t="s">
        <v>10</v>
      </c>
      <c r="R97" t="s">
        <v>79</v>
      </c>
      <c r="S97" t="s">
        <v>10</v>
      </c>
      <c r="T97" t="s">
        <v>57</v>
      </c>
      <c r="U97" t="s">
        <v>57</v>
      </c>
      <c r="V97" t="s">
        <v>57</v>
      </c>
      <c r="W97" t="s">
        <v>10</v>
      </c>
      <c r="X97" s="11">
        <v>29.612323963895037</v>
      </c>
      <c r="Y97">
        <f>_xlfn.XLOOKUP(Table1820[[#This Row],[Coverage]],CoverageTable[Coverage],CoverageTable[Base Rate],,0)</f>
        <v>41</v>
      </c>
      <c r="Z97">
        <f>INDEX(Table16[Ageband Factor],MATCH(Table1820[[#This Row],[Ageband]],Table16[Ageband],0))</f>
        <v>1.27</v>
      </c>
      <c r="AA97">
        <f>VLOOKUP(Table1820[[#This Row],[Years Driving]],Table1[],2)</f>
        <v>1</v>
      </c>
      <c r="AB97">
        <f>_xlfn.XLOOKUP(Table1820[[#This Row],[At Fault Accidents]],Table2[At Fault Accidents],Table2[At Fault Accident Factor],,0)</f>
        <v>1</v>
      </c>
      <c r="AC97">
        <f>_xlfn.XLOOKUP(Table1820[[#This Row],[Usage-Based Insurance]],Table3[Usage-Based Insurance],Table3[Usage-Based Insurance Discount],,0)</f>
        <v>1</v>
      </c>
      <c r="AD97">
        <f>_xlfn.XLOOKUP(Table1820[[#This Row],[Yearly Miles]],Table4[Yearly Miles],Table4[Yearly Miles Factor],,0)</f>
        <v>1</v>
      </c>
      <c r="AE97">
        <f>_xlfn.XLOOKUP(Table1820[[#This Row],[City/Zip Code]],Table5[City/Zip Code],Table5[City/Zip Code Factor],,0)</f>
        <v>0.94</v>
      </c>
      <c r="AF97">
        <f>_xlfn.XLOOKUP(Table1820[[#This Row],[Vehicle Price]],Table6[Vehicle Price],Table6[Vehicle Price Factor])</f>
        <v>1.08</v>
      </c>
      <c r="AG97">
        <f>_xlfn.XLOOKUP(Table1820[[#This Row],[Exotic Car]],Table7[Exotic Car],Table7[Exotic Car Factor],,0)</f>
        <v>1</v>
      </c>
      <c r="AH97">
        <f>_xlfn.XLOOKUP(Table1820[[#This Row],[Difficult Parts]],Table8[Difficult Parts],Table8[Difficult Parts Factor],,0)</f>
        <v>1</v>
      </c>
      <c r="AI97">
        <f>_xlfn.XLOOKUP(Table1820[[#This Row],[High Theft Rate]],Table9[High Theft Rate],Table9[High Theft Rate Factor],,0)</f>
        <v>1</v>
      </c>
      <c r="AJ97">
        <f>_xlfn.XLOOKUP(Table1820[[#This Row],[Advanced Safety Features]],Table10[Advanced Safety Features],Table10[Advanced Safety Features Factor],,0)</f>
        <v>1</v>
      </c>
      <c r="AK97">
        <f>_xlfn.XLOOKUP(Table1820[[#This Row],[Deductible]],Table12[Deductible],Table12[Deductible Factor],,0)</f>
        <v>1</v>
      </c>
      <c r="AL97">
        <f>_xlfn.XLOOKUP(Table1820[[#This Row],[Coverage Limit]],Table13[Coverage Limit],Table13[Coverage Limit Factor],,0)</f>
        <v>0.72</v>
      </c>
      <c r="AM97">
        <f>IF(Table1820[[#This Row],[Good Student Discount]]="Yes",'Rate Book'!$D$126,1)</f>
        <v>1</v>
      </c>
      <c r="AN97">
        <f>IF(Table1820[[#This Row],[Good Driver Discount]]="Yes",'Rate Book'!$D$127,1)</f>
        <v>0.89</v>
      </c>
      <c r="AO97">
        <f>IF(Table1820[[#This Row],[Multi Policy Discount]]="Yes",'Rate Book'!$D$128,1)</f>
        <v>0.93</v>
      </c>
      <c r="AP97">
        <f>IF(Table1820[[#This Row],[Loyal Customer Discount]]="Yes",'Rate Book'!$D$129,1)</f>
        <v>0.94</v>
      </c>
      <c r="AQ97">
        <f>IF(Table1820[[#This Row],[Organization Discount]]="Yes",'Rate Book'!$D$130,1)</f>
        <v>1</v>
      </c>
      <c r="AR97" cm="1">
        <f t="array" ref="AR97">IF(Table1820[[#This Row],[Effective Date]]&gt;=RateChangeTable[Effective Date],RateChangeTable[Rate Change Factor],1)</f>
        <v>1</v>
      </c>
      <c r="AS97" s="10">
        <f>PRODUCT(Table1820[[#This Row],[Base Rate]:[Rate Change Factor]])</f>
        <v>29.612323963895037</v>
      </c>
      <c r="AT97" s="9">
        <f>Table1820[[#This Row],[System-Generated Premium]]-Table1820[[#This Row],[Expected Premium]]</f>
        <v>0</v>
      </c>
      <c r="AU97" t="str">
        <f>IF(Table1820[[#This Row],[Difference]]=0,"PASS","FAIL")</f>
        <v>PASS</v>
      </c>
      <c r="AV97" s="9">
        <f>ABS(Table1820[[#This Row],[Difference]])</f>
        <v>0</v>
      </c>
      <c r="AW97" s="9" t="s">
        <v>1136</v>
      </c>
    </row>
    <row r="98" spans="1:49" x14ac:dyDescent="0.3">
      <c r="A98" t="s">
        <v>189</v>
      </c>
      <c r="B98" s="7">
        <v>46049</v>
      </c>
      <c r="C98" t="s">
        <v>71</v>
      </c>
      <c r="D98" t="s">
        <v>1098</v>
      </c>
      <c r="E98" s="3">
        <v>1</v>
      </c>
      <c r="F98" s="3">
        <v>0</v>
      </c>
      <c r="G98" t="s">
        <v>10</v>
      </c>
      <c r="H98" t="s">
        <v>1108</v>
      </c>
      <c r="I98" t="s">
        <v>28</v>
      </c>
      <c r="J98" t="s">
        <v>51</v>
      </c>
      <c r="K98" t="s">
        <v>10</v>
      </c>
      <c r="L98" t="s">
        <v>10</v>
      </c>
      <c r="M98" t="s">
        <v>10</v>
      </c>
      <c r="N98" t="s">
        <v>57</v>
      </c>
      <c r="O98" t="str">
        <f>INDEX(CoverageTable[Deductible Applies],MATCH(Table1820[[#This Row],[Coverage]],CoverageTable[Coverage],0))</f>
        <v>Yes</v>
      </c>
      <c r="P98" t="str">
        <f>INDEX(CoverageTable[Coverage Limit Applies],MATCH(Table1820[[#This Row],[Coverage]],CoverageTable[Coverage],0))</f>
        <v>No</v>
      </c>
      <c r="Q98" t="s">
        <v>79</v>
      </c>
      <c r="R98" t="s">
        <v>10</v>
      </c>
      <c r="S98" t="s">
        <v>10</v>
      </c>
      <c r="T98" t="s">
        <v>10</v>
      </c>
      <c r="U98" t="s">
        <v>57</v>
      </c>
      <c r="V98" t="s">
        <v>10</v>
      </c>
      <c r="W98" t="s">
        <v>10</v>
      </c>
      <c r="X98" s="11">
        <v>809.71373925988746</v>
      </c>
      <c r="Y98">
        <f>_xlfn.XLOOKUP(Table1820[[#This Row],[Coverage]],CoverageTable[Coverage],CoverageTable[Base Rate],,0)</f>
        <v>453</v>
      </c>
      <c r="Z98">
        <f>INDEX(Table16[Ageband Factor],MATCH(Table1820[[#This Row],[Ageband]],Table16[Ageband],0))</f>
        <v>1.23</v>
      </c>
      <c r="AA98">
        <f>VLOOKUP(Table1820[[#This Row],[Years Driving]],Table1[],2)</f>
        <v>1.64</v>
      </c>
      <c r="AB98">
        <f>_xlfn.XLOOKUP(Table1820[[#This Row],[At Fault Accidents]],Table2[At Fault Accidents],Table2[At Fault Accident Factor],,0)</f>
        <v>1</v>
      </c>
      <c r="AC98">
        <f>_xlfn.XLOOKUP(Table1820[[#This Row],[Usage-Based Insurance]],Table3[Usage-Based Insurance],Table3[Usage-Based Insurance Discount],,0)</f>
        <v>1</v>
      </c>
      <c r="AD98">
        <f>_xlfn.XLOOKUP(Table1820[[#This Row],[Yearly Miles]],Table4[Yearly Miles],Table4[Yearly Miles Factor],,0)</f>
        <v>1</v>
      </c>
      <c r="AE98">
        <f>_xlfn.XLOOKUP(Table1820[[#This Row],[City/Zip Code]],Table5[City/Zip Code],Table5[City/Zip Code Factor],,0)</f>
        <v>0.95</v>
      </c>
      <c r="AF98">
        <f>_xlfn.XLOOKUP(Table1820[[#This Row],[Vehicle Price]],Table6[Vehicle Price],Table6[Vehicle Price Factor])</f>
        <v>1.28</v>
      </c>
      <c r="AG98">
        <f>_xlfn.XLOOKUP(Table1820[[#This Row],[Exotic Car]],Table7[Exotic Car],Table7[Exotic Car Factor],,0)</f>
        <v>1</v>
      </c>
      <c r="AH98">
        <f>_xlfn.XLOOKUP(Table1820[[#This Row],[Difficult Parts]],Table8[Difficult Parts],Table8[Difficult Parts Factor],,0)</f>
        <v>1</v>
      </c>
      <c r="AI98">
        <f>_xlfn.XLOOKUP(Table1820[[#This Row],[High Theft Rate]],Table9[High Theft Rate],Table9[High Theft Rate Factor],,0)</f>
        <v>1</v>
      </c>
      <c r="AJ98">
        <f>_xlfn.XLOOKUP(Table1820[[#This Row],[Advanced Safety Features]],Table10[Advanced Safety Features],Table10[Advanced Safety Features Factor],,0)</f>
        <v>0.88</v>
      </c>
      <c r="AK98">
        <f>_xlfn.XLOOKUP(Table1820[[#This Row],[Deductible]],Table12[Deductible],Table12[Deductible Factor],,0)</f>
        <v>0.84</v>
      </c>
      <c r="AL98">
        <f>_xlfn.XLOOKUP(Table1820[[#This Row],[Coverage Limit]],Table13[Coverage Limit],Table13[Coverage Limit Factor],,0)</f>
        <v>1</v>
      </c>
      <c r="AM98">
        <f>IF(Table1820[[#This Row],[Good Student Discount]]="Yes",'Rate Book'!$D$126,1)</f>
        <v>1</v>
      </c>
      <c r="AN98">
        <f>IF(Table1820[[#This Row],[Good Driver Discount]]="Yes",'Rate Book'!$D$127,1)</f>
        <v>1</v>
      </c>
      <c r="AO98">
        <f>IF(Table1820[[#This Row],[Multi Policy Discount]]="Yes",'Rate Book'!$D$128,1)</f>
        <v>0.93</v>
      </c>
      <c r="AP98">
        <f>IF(Table1820[[#This Row],[Loyal Customer Discount]]="Yes",'Rate Book'!$D$129,1)</f>
        <v>1</v>
      </c>
      <c r="AQ98">
        <f>IF(Table1820[[#This Row],[Organization Discount]]="Yes",'Rate Book'!$D$130,1)</f>
        <v>1</v>
      </c>
      <c r="AR98" cm="1">
        <f t="array" ref="AR98">IF(Table1820[[#This Row],[Effective Date]]&gt;=RateChangeTable[Effective Date],RateChangeTable[Rate Change Factor],1)</f>
        <v>1.06</v>
      </c>
      <c r="AS98" s="10">
        <f>PRODUCT(Table1820[[#This Row],[Base Rate]:[Rate Change Factor]])</f>
        <v>809.71373925988746</v>
      </c>
      <c r="AT98" s="9">
        <f>Table1820[[#This Row],[System-Generated Premium]]-Table1820[[#This Row],[Expected Premium]]</f>
        <v>0</v>
      </c>
      <c r="AU98" t="str">
        <f>IF(Table1820[[#This Row],[Difference]]=0,"PASS","FAIL")</f>
        <v>PASS</v>
      </c>
      <c r="AV98" s="9">
        <f>ABS(Table1820[[#This Row],[Difference]])</f>
        <v>0</v>
      </c>
      <c r="AW98" s="9" t="s">
        <v>1136</v>
      </c>
    </row>
    <row r="99" spans="1:49" x14ac:dyDescent="0.3">
      <c r="A99" t="s">
        <v>190</v>
      </c>
      <c r="B99" s="7">
        <v>46108</v>
      </c>
      <c r="C99" t="s">
        <v>74</v>
      </c>
      <c r="D99" t="s">
        <v>1100</v>
      </c>
      <c r="E99" s="3" t="s">
        <v>1103</v>
      </c>
      <c r="F99" s="3">
        <v>4</v>
      </c>
      <c r="G99" t="s">
        <v>11</v>
      </c>
      <c r="H99" t="s">
        <v>1108</v>
      </c>
      <c r="I99" t="s">
        <v>33</v>
      </c>
      <c r="J99" t="s">
        <v>50</v>
      </c>
      <c r="K99" t="s">
        <v>10</v>
      </c>
      <c r="L99" t="s">
        <v>10</v>
      </c>
      <c r="M99" t="s">
        <v>10</v>
      </c>
      <c r="N99" t="s">
        <v>57</v>
      </c>
      <c r="O99" t="str">
        <f>INDEX(CoverageTable[Deductible Applies],MATCH(Table1820[[#This Row],[Coverage]],CoverageTable[Coverage],0))</f>
        <v>No</v>
      </c>
      <c r="P99" t="str">
        <f>INDEX(CoverageTable[Coverage Limit Applies],MATCH(Table1820[[#This Row],[Coverage]],CoverageTable[Coverage],0))</f>
        <v>Yes</v>
      </c>
      <c r="Q99" t="s">
        <v>10</v>
      </c>
      <c r="R99" t="s">
        <v>79</v>
      </c>
      <c r="S99" t="s">
        <v>10</v>
      </c>
      <c r="T99" t="s">
        <v>57</v>
      </c>
      <c r="U99" t="s">
        <v>10</v>
      </c>
      <c r="V99" t="s">
        <v>10</v>
      </c>
      <c r="W99" t="s">
        <v>10</v>
      </c>
      <c r="X99" s="11">
        <v>54.105948762999766</v>
      </c>
      <c r="Y99">
        <f>_xlfn.XLOOKUP(Table1820[[#This Row],[Coverage]],CoverageTable[Coverage],CoverageTable[Base Rate],,0)</f>
        <v>41</v>
      </c>
      <c r="Z99">
        <f>INDEX(Table16[Ageband Factor],MATCH(Table1820[[#This Row],[Ageband]],Table16[Ageband],0))</f>
        <v>1.07</v>
      </c>
      <c r="AA99">
        <f>VLOOKUP(Table1820[[#This Row],[Years Driving]],Table1[],2)</f>
        <v>0.93</v>
      </c>
      <c r="AB99">
        <f>_xlfn.XLOOKUP(Table1820[[#This Row],[At Fault Accidents]],Table2[At Fault Accidents],Table2[At Fault Accident Factor],,0)</f>
        <v>2.12</v>
      </c>
      <c r="AC99">
        <f>_xlfn.XLOOKUP(Table1820[[#This Row],[Usage-Based Insurance]],Table3[Usage-Based Insurance],Table3[Usage-Based Insurance Discount],,0)</f>
        <v>0.95</v>
      </c>
      <c r="AD99">
        <f>_xlfn.XLOOKUP(Table1820[[#This Row],[Yearly Miles]],Table4[Yearly Miles],Table4[Yearly Miles Factor],,0)</f>
        <v>1</v>
      </c>
      <c r="AE99">
        <f>_xlfn.XLOOKUP(Table1820[[#This Row],[City/Zip Code]],Table5[City/Zip Code],Table5[City/Zip Code Factor],,0)</f>
        <v>1.02</v>
      </c>
      <c r="AF99">
        <f>_xlfn.XLOOKUP(Table1820[[#This Row],[Vehicle Price]],Table6[Vehicle Price],Table6[Vehicle Price Factor])</f>
        <v>1.08</v>
      </c>
      <c r="AG99">
        <f>_xlfn.XLOOKUP(Table1820[[#This Row],[Exotic Car]],Table7[Exotic Car],Table7[Exotic Car Factor],,0)</f>
        <v>1</v>
      </c>
      <c r="AH99">
        <f>_xlfn.XLOOKUP(Table1820[[#This Row],[Difficult Parts]],Table8[Difficult Parts],Table8[Difficult Parts Factor],,0)</f>
        <v>1</v>
      </c>
      <c r="AI99">
        <f>_xlfn.XLOOKUP(Table1820[[#This Row],[High Theft Rate]],Table9[High Theft Rate],Table9[High Theft Rate Factor],,0)</f>
        <v>1</v>
      </c>
      <c r="AJ99">
        <f>_xlfn.XLOOKUP(Table1820[[#This Row],[Advanced Safety Features]],Table10[Advanced Safety Features],Table10[Advanced Safety Features Factor],,0)</f>
        <v>0.88</v>
      </c>
      <c r="AK99">
        <f>_xlfn.XLOOKUP(Table1820[[#This Row],[Deductible]],Table12[Deductible],Table12[Deductible Factor],,0)</f>
        <v>1</v>
      </c>
      <c r="AL99">
        <f>_xlfn.XLOOKUP(Table1820[[#This Row],[Coverage Limit]],Table13[Coverage Limit],Table13[Coverage Limit Factor],,0)</f>
        <v>0.72</v>
      </c>
      <c r="AM99">
        <f>IF(Table1820[[#This Row],[Good Student Discount]]="Yes",'Rate Book'!$D$126,1)</f>
        <v>1</v>
      </c>
      <c r="AN99">
        <f>IF(Table1820[[#This Row],[Good Driver Discount]]="Yes",'Rate Book'!$D$127,1)</f>
        <v>0.89</v>
      </c>
      <c r="AO99">
        <f>IF(Table1820[[#This Row],[Multi Policy Discount]]="Yes",'Rate Book'!$D$128,1)</f>
        <v>1</v>
      </c>
      <c r="AP99">
        <f>IF(Table1820[[#This Row],[Loyal Customer Discount]]="Yes",'Rate Book'!$D$129,1)</f>
        <v>1</v>
      </c>
      <c r="AQ99">
        <f>IF(Table1820[[#This Row],[Organization Discount]]="Yes",'Rate Book'!$D$130,1)</f>
        <v>1</v>
      </c>
      <c r="AR99" cm="1">
        <f t="array" ref="AR99">IF(Table1820[[#This Row],[Effective Date]]&gt;=RateChangeTable[Effective Date],RateChangeTable[Rate Change Factor],1)</f>
        <v>1.06</v>
      </c>
      <c r="AS99" s="10">
        <f>PRODUCT(Table1820[[#This Row],[Base Rate]:[Rate Change Factor]])</f>
        <v>54.105948762999766</v>
      </c>
      <c r="AT99" s="9">
        <f>Table1820[[#This Row],[System-Generated Premium]]-Table1820[[#This Row],[Expected Premium]]</f>
        <v>0</v>
      </c>
      <c r="AU99" t="str">
        <f>IF(Table1820[[#This Row],[Difference]]=0,"PASS","FAIL")</f>
        <v>PASS</v>
      </c>
      <c r="AV99" s="9">
        <f>ABS(Table1820[[#This Row],[Difference]])</f>
        <v>0</v>
      </c>
      <c r="AW99" s="9" t="s">
        <v>1136</v>
      </c>
    </row>
    <row r="100" spans="1:49" x14ac:dyDescent="0.3">
      <c r="A100" t="s">
        <v>191</v>
      </c>
      <c r="B100" s="7">
        <v>46005</v>
      </c>
      <c r="C100" t="s">
        <v>70</v>
      </c>
      <c r="D100" t="s">
        <v>1097</v>
      </c>
      <c r="E100" s="3">
        <v>5</v>
      </c>
      <c r="F100" s="3">
        <v>0</v>
      </c>
      <c r="G100" t="s">
        <v>11</v>
      </c>
      <c r="H100" t="s">
        <v>1108</v>
      </c>
      <c r="I100" t="s">
        <v>27</v>
      </c>
      <c r="J100" t="s">
        <v>49</v>
      </c>
      <c r="K100" t="s">
        <v>10</v>
      </c>
      <c r="L100" t="s">
        <v>10</v>
      </c>
      <c r="M100" t="s">
        <v>10</v>
      </c>
      <c r="N100" t="s">
        <v>10</v>
      </c>
      <c r="O100" t="str">
        <f>INDEX(CoverageTable[Deductible Applies],MATCH(Table1820[[#This Row],[Coverage]],CoverageTable[Coverage],0))</f>
        <v>No</v>
      </c>
      <c r="P100" t="str">
        <f>INDEX(CoverageTable[Coverage Limit Applies],MATCH(Table1820[[#This Row],[Coverage]],CoverageTable[Coverage],0))</f>
        <v>Yes</v>
      </c>
      <c r="Q100" t="s">
        <v>10</v>
      </c>
      <c r="R100" t="s">
        <v>79</v>
      </c>
      <c r="S100" t="s">
        <v>57</v>
      </c>
      <c r="T100" t="s">
        <v>57</v>
      </c>
      <c r="U100" t="s">
        <v>10</v>
      </c>
      <c r="V100" t="s">
        <v>10</v>
      </c>
      <c r="W100" t="s">
        <v>10</v>
      </c>
      <c r="X100" s="11">
        <v>448.6230846382856</v>
      </c>
      <c r="Y100">
        <f>_xlfn.XLOOKUP(Table1820[[#This Row],[Coverage]],CoverageTable[Coverage],CoverageTable[Base Rate],,0)</f>
        <v>622</v>
      </c>
      <c r="Z100">
        <f>INDEX(Table16[Ageband Factor],MATCH(Table1820[[#This Row],[Ageband]],Table16[Ageband],0))</f>
        <v>1.32</v>
      </c>
      <c r="AA100">
        <f>VLOOKUP(Table1820[[#This Row],[Years Driving]],Table1[],2)</f>
        <v>1.07</v>
      </c>
      <c r="AB100">
        <f>_xlfn.XLOOKUP(Table1820[[#This Row],[At Fault Accidents]],Table2[At Fault Accidents],Table2[At Fault Accident Factor],,0)</f>
        <v>1</v>
      </c>
      <c r="AC100">
        <f>_xlfn.XLOOKUP(Table1820[[#This Row],[Usage-Based Insurance]],Table3[Usage-Based Insurance],Table3[Usage-Based Insurance Discount],,0)</f>
        <v>0.95</v>
      </c>
      <c r="AD100">
        <f>_xlfn.XLOOKUP(Table1820[[#This Row],[Yearly Miles]],Table4[Yearly Miles],Table4[Yearly Miles Factor],,0)</f>
        <v>1</v>
      </c>
      <c r="AE100">
        <f>_xlfn.XLOOKUP(Table1820[[#This Row],[City/Zip Code]],Table5[City/Zip Code],Table5[City/Zip Code Factor],,0)</f>
        <v>0.94</v>
      </c>
      <c r="AF100">
        <f>_xlfn.XLOOKUP(Table1820[[#This Row],[Vehicle Price]],Table6[Vehicle Price],Table6[Vehicle Price Factor])</f>
        <v>0.97</v>
      </c>
      <c r="AG100">
        <f>_xlfn.XLOOKUP(Table1820[[#This Row],[Exotic Car]],Table7[Exotic Car],Table7[Exotic Car Factor],,0)</f>
        <v>1</v>
      </c>
      <c r="AH100">
        <f>_xlfn.XLOOKUP(Table1820[[#This Row],[Difficult Parts]],Table8[Difficult Parts],Table8[Difficult Parts Factor],,0)</f>
        <v>1</v>
      </c>
      <c r="AI100">
        <f>_xlfn.XLOOKUP(Table1820[[#This Row],[High Theft Rate]],Table9[High Theft Rate],Table9[High Theft Rate Factor],,0)</f>
        <v>1</v>
      </c>
      <c r="AJ100">
        <f>_xlfn.XLOOKUP(Table1820[[#This Row],[Advanced Safety Features]],Table10[Advanced Safety Features],Table10[Advanced Safety Features Factor],,0)</f>
        <v>1</v>
      </c>
      <c r="AK100">
        <f>_xlfn.XLOOKUP(Table1820[[#This Row],[Deductible]],Table12[Deductible],Table12[Deductible Factor],,0)</f>
        <v>1</v>
      </c>
      <c r="AL100">
        <f>_xlfn.XLOOKUP(Table1820[[#This Row],[Coverage Limit]],Table13[Coverage Limit],Table13[Coverage Limit Factor],,0)</f>
        <v>0.72</v>
      </c>
      <c r="AM100">
        <f>IF(Table1820[[#This Row],[Good Student Discount]]="Yes",'Rate Book'!$D$126,1)</f>
        <v>0.92</v>
      </c>
      <c r="AN100">
        <f>IF(Table1820[[#This Row],[Good Driver Discount]]="Yes",'Rate Book'!$D$127,1)</f>
        <v>0.89</v>
      </c>
      <c r="AO100">
        <f>IF(Table1820[[#This Row],[Multi Policy Discount]]="Yes",'Rate Book'!$D$128,1)</f>
        <v>1</v>
      </c>
      <c r="AP100">
        <f>IF(Table1820[[#This Row],[Loyal Customer Discount]]="Yes",'Rate Book'!$D$129,1)</f>
        <v>1</v>
      </c>
      <c r="AQ100">
        <f>IF(Table1820[[#This Row],[Organization Discount]]="Yes",'Rate Book'!$D$130,1)</f>
        <v>1</v>
      </c>
      <c r="AR100" cm="1">
        <f t="array" ref="AR100">IF(Table1820[[#This Row],[Effective Date]]&gt;=RateChangeTable[Effective Date],RateChangeTable[Rate Change Factor],1)</f>
        <v>1</v>
      </c>
      <c r="AS100" s="10">
        <f>PRODUCT(Table1820[[#This Row],[Base Rate]:[Rate Change Factor]])</f>
        <v>448.6230846382856</v>
      </c>
      <c r="AT100" s="9">
        <f>Table1820[[#This Row],[System-Generated Premium]]-Table1820[[#This Row],[Expected Premium]]</f>
        <v>0</v>
      </c>
      <c r="AU100" t="str">
        <f>IF(Table1820[[#This Row],[Difference]]=0,"PASS","FAIL")</f>
        <v>PASS</v>
      </c>
      <c r="AV100" s="9">
        <f>ABS(Table1820[[#This Row],[Difference]])</f>
        <v>0</v>
      </c>
      <c r="AW100" s="9" t="s">
        <v>1136</v>
      </c>
    </row>
    <row r="101" spans="1:49" x14ac:dyDescent="0.3">
      <c r="A101" t="s">
        <v>192</v>
      </c>
      <c r="B101" s="7">
        <v>45826</v>
      </c>
      <c r="C101" t="s">
        <v>70</v>
      </c>
      <c r="D101" t="s">
        <v>1097</v>
      </c>
      <c r="E101" s="3">
        <v>3</v>
      </c>
      <c r="F101" s="3">
        <v>1</v>
      </c>
      <c r="G101" t="s">
        <v>10</v>
      </c>
      <c r="H101" t="s">
        <v>1107</v>
      </c>
      <c r="I101" t="s">
        <v>35</v>
      </c>
      <c r="J101" t="s">
        <v>52</v>
      </c>
      <c r="K101" t="s">
        <v>10</v>
      </c>
      <c r="L101" t="s">
        <v>10</v>
      </c>
      <c r="M101" t="s">
        <v>10</v>
      </c>
      <c r="N101" t="s">
        <v>57</v>
      </c>
      <c r="O101" t="str">
        <f>INDEX(CoverageTable[Deductible Applies],MATCH(Table1820[[#This Row],[Coverage]],CoverageTable[Coverage],0))</f>
        <v>No</v>
      </c>
      <c r="P101" t="str">
        <f>INDEX(CoverageTable[Coverage Limit Applies],MATCH(Table1820[[#This Row],[Coverage]],CoverageTable[Coverage],0))</f>
        <v>Yes</v>
      </c>
      <c r="Q101" t="s">
        <v>10</v>
      </c>
      <c r="R101" t="s">
        <v>79</v>
      </c>
      <c r="S101" t="s">
        <v>10</v>
      </c>
      <c r="T101" t="s">
        <v>57</v>
      </c>
      <c r="U101" t="s">
        <v>10</v>
      </c>
      <c r="V101" t="s">
        <v>10</v>
      </c>
      <c r="W101" t="s">
        <v>10</v>
      </c>
      <c r="X101" s="11">
        <v>1237.7551551137592</v>
      </c>
      <c r="Y101">
        <f>_xlfn.XLOOKUP(Table1820[[#This Row],[Coverage]],CoverageTable[Coverage],CoverageTable[Base Rate],,0)</f>
        <v>622</v>
      </c>
      <c r="Z101">
        <f>INDEX(Table16[Ageband Factor],MATCH(Table1820[[#This Row],[Ageband]],Table16[Ageband],0))</f>
        <v>1.32</v>
      </c>
      <c r="AA101">
        <f>VLOOKUP(Table1820[[#This Row],[Years Driving]],Table1[],2)</f>
        <v>1.22</v>
      </c>
      <c r="AB101">
        <f>_xlfn.XLOOKUP(Table1820[[#This Row],[At Fault Accidents]],Table2[At Fault Accidents],Table2[At Fault Accident Factor],,0)</f>
        <v>1.34</v>
      </c>
      <c r="AC101">
        <f>_xlfn.XLOOKUP(Table1820[[#This Row],[Usage-Based Insurance]],Table3[Usage-Based Insurance],Table3[Usage-Based Insurance Discount],,0)</f>
        <v>1</v>
      </c>
      <c r="AD101">
        <f>_xlfn.XLOOKUP(Table1820[[#This Row],[Yearly Miles]],Table4[Yearly Miles],Table4[Yearly Miles Factor],,0)</f>
        <v>0.93</v>
      </c>
      <c r="AE101">
        <f>_xlfn.XLOOKUP(Table1820[[#This Row],[City/Zip Code]],Table5[City/Zip Code],Table5[City/Zip Code Factor],,0)</f>
        <v>1.1200000000000001</v>
      </c>
      <c r="AF101">
        <f>_xlfn.XLOOKUP(Table1820[[#This Row],[Vehicle Price]],Table6[Vehicle Price],Table6[Vehicle Price Factor])</f>
        <v>1.57</v>
      </c>
      <c r="AG101">
        <f>_xlfn.XLOOKUP(Table1820[[#This Row],[Exotic Car]],Table7[Exotic Car],Table7[Exotic Car Factor],,0)</f>
        <v>1</v>
      </c>
      <c r="AH101">
        <f>_xlfn.XLOOKUP(Table1820[[#This Row],[Difficult Parts]],Table8[Difficult Parts],Table8[Difficult Parts Factor],,0)</f>
        <v>1</v>
      </c>
      <c r="AI101">
        <f>_xlfn.XLOOKUP(Table1820[[#This Row],[High Theft Rate]],Table9[High Theft Rate],Table9[High Theft Rate Factor],,0)</f>
        <v>1</v>
      </c>
      <c r="AJ101">
        <f>_xlfn.XLOOKUP(Table1820[[#This Row],[Advanced Safety Features]],Table10[Advanced Safety Features],Table10[Advanced Safety Features Factor],,0)</f>
        <v>0.88</v>
      </c>
      <c r="AK101">
        <f>_xlfn.XLOOKUP(Table1820[[#This Row],[Deductible]],Table12[Deductible],Table12[Deductible Factor],,0)</f>
        <v>1</v>
      </c>
      <c r="AL101">
        <f>_xlfn.XLOOKUP(Table1820[[#This Row],[Coverage Limit]],Table13[Coverage Limit],Table13[Coverage Limit Factor],,0)</f>
        <v>0.72</v>
      </c>
      <c r="AM101">
        <f>IF(Table1820[[#This Row],[Good Student Discount]]="Yes",'Rate Book'!$D$126,1)</f>
        <v>1</v>
      </c>
      <c r="AN101">
        <f>IF(Table1820[[#This Row],[Good Driver Discount]]="Yes",'Rate Book'!$D$127,1)</f>
        <v>0.89</v>
      </c>
      <c r="AO101">
        <f>IF(Table1820[[#This Row],[Multi Policy Discount]]="Yes",'Rate Book'!$D$128,1)</f>
        <v>1</v>
      </c>
      <c r="AP101">
        <f>IF(Table1820[[#This Row],[Loyal Customer Discount]]="Yes",'Rate Book'!$D$129,1)</f>
        <v>1</v>
      </c>
      <c r="AQ101">
        <f>IF(Table1820[[#This Row],[Organization Discount]]="Yes",'Rate Book'!$D$130,1)</f>
        <v>1</v>
      </c>
      <c r="AR101" cm="1">
        <f t="array" ref="AR101">IF(Table1820[[#This Row],[Effective Date]]&gt;=RateChangeTable[Effective Date],RateChangeTable[Rate Change Factor],1)</f>
        <v>1</v>
      </c>
      <c r="AS101" s="10">
        <f>PRODUCT(Table1820[[#This Row],[Base Rate]:[Rate Change Factor]])</f>
        <v>1237.7551551137592</v>
      </c>
      <c r="AT101" s="9">
        <f>Table1820[[#This Row],[System-Generated Premium]]-Table1820[[#This Row],[Expected Premium]]</f>
        <v>0</v>
      </c>
      <c r="AU101" t="str">
        <f>IF(Table1820[[#This Row],[Difference]]=0,"PASS","FAIL")</f>
        <v>PASS</v>
      </c>
      <c r="AV101" s="9">
        <f>ABS(Table1820[[#This Row],[Difference]])</f>
        <v>0</v>
      </c>
      <c r="AW101" s="9" t="s">
        <v>1136</v>
      </c>
    </row>
    <row r="102" spans="1:49" x14ac:dyDescent="0.3">
      <c r="A102" t="s">
        <v>193</v>
      </c>
      <c r="B102" s="7">
        <v>45879</v>
      </c>
      <c r="C102" t="s">
        <v>70</v>
      </c>
      <c r="D102" t="s">
        <v>1099</v>
      </c>
      <c r="E102" s="3" t="s">
        <v>1103</v>
      </c>
      <c r="F102" s="3" t="s">
        <v>7</v>
      </c>
      <c r="G102" t="s">
        <v>10</v>
      </c>
      <c r="H102" t="s">
        <v>1107</v>
      </c>
      <c r="I102" t="s">
        <v>40</v>
      </c>
      <c r="J102" t="s">
        <v>49</v>
      </c>
      <c r="K102" t="s">
        <v>10</v>
      </c>
      <c r="L102" t="s">
        <v>57</v>
      </c>
      <c r="M102" t="s">
        <v>10</v>
      </c>
      <c r="N102" t="s">
        <v>57</v>
      </c>
      <c r="O102" t="str">
        <f>INDEX(CoverageTable[Deductible Applies],MATCH(Table1820[[#This Row],[Coverage]],CoverageTable[Coverage],0))</f>
        <v>No</v>
      </c>
      <c r="P102" t="str">
        <f>INDEX(CoverageTable[Coverage Limit Applies],MATCH(Table1820[[#This Row],[Coverage]],CoverageTable[Coverage],0))</f>
        <v>Yes</v>
      </c>
      <c r="Q102" t="s">
        <v>10</v>
      </c>
      <c r="R102" t="s">
        <v>78</v>
      </c>
      <c r="S102" t="s">
        <v>10</v>
      </c>
      <c r="T102" t="s">
        <v>10</v>
      </c>
      <c r="U102" t="s">
        <v>57</v>
      </c>
      <c r="V102" t="s">
        <v>10</v>
      </c>
      <c r="W102" t="s">
        <v>10</v>
      </c>
      <c r="X102" s="11">
        <v>848.65718665945974</v>
      </c>
      <c r="Y102">
        <f>_xlfn.XLOOKUP(Table1820[[#This Row],[Coverage]],CoverageTable[Coverage],CoverageTable[Base Rate],,0)</f>
        <v>622</v>
      </c>
      <c r="Z102">
        <f>INDEX(Table16[Ageband Factor],MATCH(Table1820[[#This Row],[Ageband]],Table16[Ageband],0))</f>
        <v>1</v>
      </c>
      <c r="AA102">
        <f>VLOOKUP(Table1820[[#This Row],[Years Driving]],Table1[],2)</f>
        <v>0.93</v>
      </c>
      <c r="AB102">
        <f>_xlfn.XLOOKUP(Table1820[[#This Row],[At Fault Accidents]],Table2[At Fault Accidents],Table2[At Fault Accident Factor],,0)</f>
        <v>2.4700000000000002</v>
      </c>
      <c r="AC102">
        <f>_xlfn.XLOOKUP(Table1820[[#This Row],[Usage-Based Insurance]],Table3[Usage-Based Insurance],Table3[Usage-Based Insurance Discount],,0)</f>
        <v>1</v>
      </c>
      <c r="AD102">
        <f>_xlfn.XLOOKUP(Table1820[[#This Row],[Yearly Miles]],Table4[Yearly Miles],Table4[Yearly Miles Factor],,0)</f>
        <v>0.93</v>
      </c>
      <c r="AE102">
        <f>_xlfn.XLOOKUP(Table1820[[#This Row],[City/Zip Code]],Table5[City/Zip Code],Table5[City/Zip Code Factor],,0)</f>
        <v>1.0900000000000001</v>
      </c>
      <c r="AF102">
        <f>_xlfn.XLOOKUP(Table1820[[#This Row],[Vehicle Price]],Table6[Vehicle Price],Table6[Vehicle Price Factor])</f>
        <v>0.97</v>
      </c>
      <c r="AG102">
        <f>_xlfn.XLOOKUP(Table1820[[#This Row],[Exotic Car]],Table7[Exotic Car],Table7[Exotic Car Factor],,0)</f>
        <v>1</v>
      </c>
      <c r="AH102">
        <f>_xlfn.XLOOKUP(Table1820[[#This Row],[Difficult Parts]],Table8[Difficult Parts],Table8[Difficult Parts Factor],,0)</f>
        <v>1.21</v>
      </c>
      <c r="AI102">
        <f>_xlfn.XLOOKUP(Table1820[[#This Row],[High Theft Rate]],Table9[High Theft Rate],Table9[High Theft Rate Factor],,0)</f>
        <v>1</v>
      </c>
      <c r="AJ102">
        <f>_xlfn.XLOOKUP(Table1820[[#This Row],[Advanced Safety Features]],Table10[Advanced Safety Features],Table10[Advanced Safety Features Factor],,0)</f>
        <v>0.88</v>
      </c>
      <c r="AK102">
        <f>_xlfn.XLOOKUP(Table1820[[#This Row],[Deductible]],Table12[Deductible],Table12[Deductible Factor],,0)</f>
        <v>1</v>
      </c>
      <c r="AL102">
        <f>_xlfn.XLOOKUP(Table1820[[#This Row],[Coverage Limit]],Table13[Coverage Limit],Table13[Coverage Limit Factor],,0)</f>
        <v>0.61</v>
      </c>
      <c r="AM102">
        <f>IF(Table1820[[#This Row],[Good Student Discount]]="Yes",'Rate Book'!$D$126,1)</f>
        <v>1</v>
      </c>
      <c r="AN102">
        <f>IF(Table1820[[#This Row],[Good Driver Discount]]="Yes",'Rate Book'!$D$127,1)</f>
        <v>1</v>
      </c>
      <c r="AO102">
        <f>IF(Table1820[[#This Row],[Multi Policy Discount]]="Yes",'Rate Book'!$D$128,1)</f>
        <v>0.93</v>
      </c>
      <c r="AP102">
        <f>IF(Table1820[[#This Row],[Loyal Customer Discount]]="Yes",'Rate Book'!$D$129,1)</f>
        <v>1</v>
      </c>
      <c r="AQ102">
        <f>IF(Table1820[[#This Row],[Organization Discount]]="Yes",'Rate Book'!$D$130,1)</f>
        <v>1</v>
      </c>
      <c r="AR102" cm="1">
        <f t="array" ref="AR102">IF(Table1820[[#This Row],[Effective Date]]&gt;=RateChangeTable[Effective Date],RateChangeTable[Rate Change Factor],1)</f>
        <v>1</v>
      </c>
      <c r="AS102" s="10">
        <f>PRODUCT(Table1820[[#This Row],[Base Rate]:[Rate Change Factor]])</f>
        <v>848.65718665945974</v>
      </c>
      <c r="AT102" s="9">
        <f>Table1820[[#This Row],[System-Generated Premium]]-Table1820[[#This Row],[Expected Premium]]</f>
        <v>0</v>
      </c>
      <c r="AU102" t="str">
        <f>IF(Table1820[[#This Row],[Difference]]=0,"PASS","FAIL")</f>
        <v>PASS</v>
      </c>
      <c r="AV102" s="9">
        <f>ABS(Table1820[[#This Row],[Difference]])</f>
        <v>0</v>
      </c>
      <c r="AW102" s="9" t="s">
        <v>1136</v>
      </c>
    </row>
    <row r="103" spans="1:49" x14ac:dyDescent="0.3">
      <c r="A103" t="s">
        <v>194</v>
      </c>
      <c r="B103" s="7">
        <v>46071</v>
      </c>
      <c r="C103" t="s">
        <v>72</v>
      </c>
      <c r="D103" t="s">
        <v>1100</v>
      </c>
      <c r="E103" s="3" t="s">
        <v>1103</v>
      </c>
      <c r="F103" s="3">
        <v>2</v>
      </c>
      <c r="G103" t="s">
        <v>13</v>
      </c>
      <c r="H103" t="s">
        <v>1107</v>
      </c>
      <c r="I103" t="s">
        <v>40</v>
      </c>
      <c r="J103" t="s">
        <v>53</v>
      </c>
      <c r="K103" t="s">
        <v>10</v>
      </c>
      <c r="L103" t="s">
        <v>10</v>
      </c>
      <c r="M103" t="s">
        <v>10</v>
      </c>
      <c r="N103" t="s">
        <v>10</v>
      </c>
      <c r="O103" t="str">
        <f>INDEX(CoverageTable[Deductible Applies],MATCH(Table1820[[#This Row],[Coverage]],CoverageTable[Coverage],0))</f>
        <v>Yes</v>
      </c>
      <c r="P103" t="str">
        <f>INDEX(CoverageTable[Coverage Limit Applies],MATCH(Table1820[[#This Row],[Coverage]],CoverageTable[Coverage],0))</f>
        <v>No</v>
      </c>
      <c r="Q103" t="s">
        <v>80</v>
      </c>
      <c r="R103" t="s">
        <v>10</v>
      </c>
      <c r="S103" t="s">
        <v>10</v>
      </c>
      <c r="T103" t="s">
        <v>10</v>
      </c>
      <c r="U103" t="s">
        <v>57</v>
      </c>
      <c r="V103" t="s">
        <v>10</v>
      </c>
      <c r="W103" t="s">
        <v>10</v>
      </c>
      <c r="X103" s="11">
        <v>176.31094677281769</v>
      </c>
      <c r="Y103">
        <f>_xlfn.XLOOKUP(Table1820[[#This Row],[Coverage]],CoverageTable[Coverage],CoverageTable[Base Rate],,0)</f>
        <v>121</v>
      </c>
      <c r="Z103">
        <f>INDEX(Table16[Ageband Factor],MATCH(Table1820[[#This Row],[Ageband]],Table16[Ageband],0))</f>
        <v>1.07</v>
      </c>
      <c r="AA103">
        <f>VLOOKUP(Table1820[[#This Row],[Years Driving]],Table1[],2)</f>
        <v>0.93</v>
      </c>
      <c r="AB103">
        <f>_xlfn.XLOOKUP(Table1820[[#This Row],[At Fault Accidents]],Table2[At Fault Accidents],Table2[At Fault Accident Factor],,0)</f>
        <v>1.55</v>
      </c>
      <c r="AC103">
        <f>_xlfn.XLOOKUP(Table1820[[#This Row],[Usage-Based Insurance]],Table3[Usage-Based Insurance],Table3[Usage-Based Insurance Discount],,0)</f>
        <v>0.65</v>
      </c>
      <c r="AD103">
        <f>_xlfn.XLOOKUP(Table1820[[#This Row],[Yearly Miles]],Table4[Yearly Miles],Table4[Yearly Miles Factor],,0)</f>
        <v>0.93</v>
      </c>
      <c r="AE103">
        <f>_xlfn.XLOOKUP(Table1820[[#This Row],[City/Zip Code]],Table5[City/Zip Code],Table5[City/Zip Code Factor],,0)</f>
        <v>1.0900000000000001</v>
      </c>
      <c r="AF103">
        <f>_xlfn.XLOOKUP(Table1820[[#This Row],[Vehicle Price]],Table6[Vehicle Price],Table6[Vehicle Price Factor])</f>
        <v>2.02</v>
      </c>
      <c r="AG103">
        <f>_xlfn.XLOOKUP(Table1820[[#This Row],[Exotic Car]],Table7[Exotic Car],Table7[Exotic Car Factor],,0)</f>
        <v>1</v>
      </c>
      <c r="AH103">
        <f>_xlfn.XLOOKUP(Table1820[[#This Row],[Difficult Parts]],Table8[Difficult Parts],Table8[Difficult Parts Factor],,0)</f>
        <v>1</v>
      </c>
      <c r="AI103">
        <f>_xlfn.XLOOKUP(Table1820[[#This Row],[High Theft Rate]],Table9[High Theft Rate],Table9[High Theft Rate Factor],,0)</f>
        <v>1</v>
      </c>
      <c r="AJ103">
        <f>_xlfn.XLOOKUP(Table1820[[#This Row],[Advanced Safety Features]],Table10[Advanced Safety Features],Table10[Advanced Safety Features Factor],,0)</f>
        <v>1</v>
      </c>
      <c r="AK103">
        <f>_xlfn.XLOOKUP(Table1820[[#This Row],[Deductible]],Table12[Deductible],Table12[Deductible Factor],,0)</f>
        <v>0.72</v>
      </c>
      <c r="AL103">
        <f>_xlfn.XLOOKUP(Table1820[[#This Row],[Coverage Limit]],Table13[Coverage Limit],Table13[Coverage Limit Factor],,0)</f>
        <v>1</v>
      </c>
      <c r="AM103">
        <f>IF(Table1820[[#This Row],[Good Student Discount]]="Yes",'Rate Book'!$D$126,1)</f>
        <v>1</v>
      </c>
      <c r="AN103">
        <f>IF(Table1820[[#This Row],[Good Driver Discount]]="Yes",'Rate Book'!$D$127,1)</f>
        <v>1</v>
      </c>
      <c r="AO103">
        <f>IF(Table1820[[#This Row],[Multi Policy Discount]]="Yes",'Rate Book'!$D$128,1)</f>
        <v>0.93</v>
      </c>
      <c r="AP103">
        <f>IF(Table1820[[#This Row],[Loyal Customer Discount]]="Yes",'Rate Book'!$D$129,1)</f>
        <v>1</v>
      </c>
      <c r="AQ103">
        <f>IF(Table1820[[#This Row],[Organization Discount]]="Yes",'Rate Book'!$D$130,1)</f>
        <v>1</v>
      </c>
      <c r="AR103" cm="1">
        <f t="array" ref="AR103">IF(Table1820[[#This Row],[Effective Date]]&gt;=RateChangeTable[Effective Date],RateChangeTable[Rate Change Factor],1)</f>
        <v>1.06</v>
      </c>
      <c r="AS103" s="10">
        <f>PRODUCT(Table1820[[#This Row],[Base Rate]:[Rate Change Factor]])</f>
        <v>176.31094677281769</v>
      </c>
      <c r="AT103" s="9">
        <f>Table1820[[#This Row],[System-Generated Premium]]-Table1820[[#This Row],[Expected Premium]]</f>
        <v>0</v>
      </c>
      <c r="AU103" t="str">
        <f>IF(Table1820[[#This Row],[Difference]]=0,"PASS","FAIL")</f>
        <v>PASS</v>
      </c>
      <c r="AV103" s="9">
        <f>ABS(Table1820[[#This Row],[Difference]])</f>
        <v>0</v>
      </c>
      <c r="AW103" s="9" t="s">
        <v>1136</v>
      </c>
    </row>
    <row r="104" spans="1:49" x14ac:dyDescent="0.3">
      <c r="A104" t="s">
        <v>195</v>
      </c>
      <c r="B104" s="7">
        <v>45789</v>
      </c>
      <c r="C104" t="s">
        <v>71</v>
      </c>
      <c r="D104" t="s">
        <v>1097</v>
      </c>
      <c r="E104" s="3">
        <v>3</v>
      </c>
      <c r="F104" s="3">
        <v>4</v>
      </c>
      <c r="G104" t="s">
        <v>12</v>
      </c>
      <c r="H104" t="s">
        <v>1106</v>
      </c>
      <c r="I104" t="s">
        <v>33</v>
      </c>
      <c r="J104" t="s">
        <v>49</v>
      </c>
      <c r="K104" t="s">
        <v>10</v>
      </c>
      <c r="L104" t="s">
        <v>10</v>
      </c>
      <c r="M104" t="s">
        <v>57</v>
      </c>
      <c r="N104" t="s">
        <v>10</v>
      </c>
      <c r="O104" t="str">
        <f>INDEX(CoverageTable[Deductible Applies],MATCH(Table1820[[#This Row],[Coverage]],CoverageTable[Coverage],0))</f>
        <v>Yes</v>
      </c>
      <c r="P104" t="str">
        <f>INDEX(CoverageTable[Coverage Limit Applies],MATCH(Table1820[[#This Row],[Coverage]],CoverageTable[Coverage],0))</f>
        <v>No</v>
      </c>
      <c r="Q104" t="s">
        <v>79</v>
      </c>
      <c r="R104" t="s">
        <v>10</v>
      </c>
      <c r="S104" t="s">
        <v>10</v>
      </c>
      <c r="T104" t="s">
        <v>57</v>
      </c>
      <c r="U104" t="s">
        <v>57</v>
      </c>
      <c r="V104" t="s">
        <v>10</v>
      </c>
      <c r="W104" t="s">
        <v>10</v>
      </c>
      <c r="X104" s="11">
        <v>809.56887118160523</v>
      </c>
      <c r="Y104">
        <f>_xlfn.XLOOKUP(Table1820[[#This Row],[Coverage]],CoverageTable[Coverage],CoverageTable[Base Rate],,0)</f>
        <v>453</v>
      </c>
      <c r="Z104">
        <f>INDEX(Table16[Ageband Factor],MATCH(Table1820[[#This Row],[Ageband]],Table16[Ageband],0))</f>
        <v>1.32</v>
      </c>
      <c r="AA104">
        <f>VLOOKUP(Table1820[[#This Row],[Years Driving]],Table1[],2)</f>
        <v>1.22</v>
      </c>
      <c r="AB104">
        <f>_xlfn.XLOOKUP(Table1820[[#This Row],[At Fault Accidents]],Table2[At Fault Accidents],Table2[At Fault Accident Factor],,0)</f>
        <v>2.12</v>
      </c>
      <c r="AC104">
        <f>_xlfn.XLOOKUP(Table1820[[#This Row],[Usage-Based Insurance]],Table3[Usage-Based Insurance],Table3[Usage-Based Insurance Discount],,0)</f>
        <v>0.8</v>
      </c>
      <c r="AD104">
        <f>_xlfn.XLOOKUP(Table1820[[#This Row],[Yearly Miles]],Table4[Yearly Miles],Table4[Yearly Miles Factor],,0)</f>
        <v>0.82</v>
      </c>
      <c r="AE104">
        <f>_xlfn.XLOOKUP(Table1820[[#This Row],[City/Zip Code]],Table5[City/Zip Code],Table5[City/Zip Code Factor],,0)</f>
        <v>1.02</v>
      </c>
      <c r="AF104">
        <f>_xlfn.XLOOKUP(Table1820[[#This Row],[Vehicle Price]],Table6[Vehicle Price],Table6[Vehicle Price Factor])</f>
        <v>0.97</v>
      </c>
      <c r="AG104">
        <f>_xlfn.XLOOKUP(Table1820[[#This Row],[Exotic Car]],Table7[Exotic Car],Table7[Exotic Car Factor],,0)</f>
        <v>1</v>
      </c>
      <c r="AH104">
        <f>_xlfn.XLOOKUP(Table1820[[#This Row],[Difficult Parts]],Table8[Difficult Parts],Table8[Difficult Parts Factor],,0)</f>
        <v>1</v>
      </c>
      <c r="AI104">
        <f>_xlfn.XLOOKUP(Table1820[[#This Row],[High Theft Rate]],Table9[High Theft Rate],Table9[High Theft Rate Factor],,0)</f>
        <v>1.1599999999999999</v>
      </c>
      <c r="AJ104">
        <f>_xlfn.XLOOKUP(Table1820[[#This Row],[Advanced Safety Features]],Table10[Advanced Safety Features],Table10[Advanced Safety Features Factor],,0)</f>
        <v>1</v>
      </c>
      <c r="AK104">
        <f>_xlfn.XLOOKUP(Table1820[[#This Row],[Deductible]],Table12[Deductible],Table12[Deductible Factor],,0)</f>
        <v>0.84</v>
      </c>
      <c r="AL104">
        <f>_xlfn.XLOOKUP(Table1820[[#This Row],[Coverage Limit]],Table13[Coverage Limit],Table13[Coverage Limit Factor],,0)</f>
        <v>1</v>
      </c>
      <c r="AM104">
        <f>IF(Table1820[[#This Row],[Good Student Discount]]="Yes",'Rate Book'!$D$126,1)</f>
        <v>1</v>
      </c>
      <c r="AN104">
        <f>IF(Table1820[[#This Row],[Good Driver Discount]]="Yes",'Rate Book'!$D$127,1)</f>
        <v>0.89</v>
      </c>
      <c r="AO104">
        <f>IF(Table1820[[#This Row],[Multi Policy Discount]]="Yes",'Rate Book'!$D$128,1)</f>
        <v>0.93</v>
      </c>
      <c r="AP104">
        <f>IF(Table1820[[#This Row],[Loyal Customer Discount]]="Yes",'Rate Book'!$D$129,1)</f>
        <v>1</v>
      </c>
      <c r="AQ104">
        <f>IF(Table1820[[#This Row],[Organization Discount]]="Yes",'Rate Book'!$D$130,1)</f>
        <v>1</v>
      </c>
      <c r="AR104" cm="1">
        <f t="array" ref="AR104">IF(Table1820[[#This Row],[Effective Date]]&gt;=RateChangeTable[Effective Date],RateChangeTable[Rate Change Factor],1)</f>
        <v>1</v>
      </c>
      <c r="AS104" s="10">
        <f>PRODUCT(Table1820[[#This Row],[Base Rate]:[Rate Change Factor]])</f>
        <v>809.56887118160523</v>
      </c>
      <c r="AT104" s="9">
        <f>Table1820[[#This Row],[System-Generated Premium]]-Table1820[[#This Row],[Expected Premium]]</f>
        <v>0</v>
      </c>
      <c r="AU104" t="str">
        <f>IF(Table1820[[#This Row],[Difference]]=0,"PASS","FAIL")</f>
        <v>PASS</v>
      </c>
      <c r="AV104" s="9">
        <f>ABS(Table1820[[#This Row],[Difference]])</f>
        <v>0</v>
      </c>
      <c r="AW104" s="9" t="s">
        <v>1136</v>
      </c>
    </row>
    <row r="105" spans="1:49" x14ac:dyDescent="0.3">
      <c r="A105" t="s">
        <v>196</v>
      </c>
      <c r="B105" s="7">
        <v>46055</v>
      </c>
      <c r="C105" t="s">
        <v>70</v>
      </c>
      <c r="D105" t="s">
        <v>1098</v>
      </c>
      <c r="E105" s="3" t="s">
        <v>1103</v>
      </c>
      <c r="F105" s="3">
        <v>0</v>
      </c>
      <c r="G105" t="s">
        <v>10</v>
      </c>
      <c r="H105" t="s">
        <v>1106</v>
      </c>
      <c r="I105" t="s">
        <v>38</v>
      </c>
      <c r="J105" t="s">
        <v>48</v>
      </c>
      <c r="K105" t="s">
        <v>57</v>
      </c>
      <c r="L105" t="s">
        <v>10</v>
      </c>
      <c r="M105" t="s">
        <v>10</v>
      </c>
      <c r="N105" t="s">
        <v>10</v>
      </c>
      <c r="O105" t="str">
        <f>INDEX(CoverageTable[Deductible Applies],MATCH(Table1820[[#This Row],[Coverage]],CoverageTable[Coverage],0))</f>
        <v>No</v>
      </c>
      <c r="P105" t="str">
        <f>INDEX(CoverageTable[Coverage Limit Applies],MATCH(Table1820[[#This Row],[Coverage]],CoverageTable[Coverage],0))</f>
        <v>Yes</v>
      </c>
      <c r="Q105" t="s">
        <v>10</v>
      </c>
      <c r="R105" t="s">
        <v>80</v>
      </c>
      <c r="S105" t="s">
        <v>57</v>
      </c>
      <c r="T105" t="s">
        <v>57</v>
      </c>
      <c r="U105" t="s">
        <v>57</v>
      </c>
      <c r="V105" t="s">
        <v>10</v>
      </c>
      <c r="W105" t="s">
        <v>10</v>
      </c>
      <c r="X105" s="11">
        <v>465.02904129215028</v>
      </c>
      <c r="Y105">
        <f>_xlfn.XLOOKUP(Table1820[[#This Row],[Coverage]],CoverageTable[Coverage],CoverageTable[Base Rate],,0)</f>
        <v>622</v>
      </c>
      <c r="Z105">
        <f>INDEX(Table16[Ageband Factor],MATCH(Table1820[[#This Row],[Ageband]],Table16[Ageband],0))</f>
        <v>1.23</v>
      </c>
      <c r="AA105">
        <f>VLOOKUP(Table1820[[#This Row],[Years Driving]],Table1[],2)</f>
        <v>0.93</v>
      </c>
      <c r="AB105">
        <f>_xlfn.XLOOKUP(Table1820[[#This Row],[At Fault Accidents]],Table2[At Fault Accidents],Table2[At Fault Accident Factor],,0)</f>
        <v>1</v>
      </c>
      <c r="AC105">
        <f>_xlfn.XLOOKUP(Table1820[[#This Row],[Usage-Based Insurance]],Table3[Usage-Based Insurance],Table3[Usage-Based Insurance Discount],,0)</f>
        <v>1</v>
      </c>
      <c r="AD105">
        <f>_xlfn.XLOOKUP(Table1820[[#This Row],[Yearly Miles]],Table4[Yearly Miles],Table4[Yearly Miles Factor],,0)</f>
        <v>0.82</v>
      </c>
      <c r="AE105">
        <f>_xlfn.XLOOKUP(Table1820[[#This Row],[City/Zip Code]],Table5[City/Zip Code],Table5[City/Zip Code Factor],,0)</f>
        <v>1.1200000000000001</v>
      </c>
      <c r="AF105">
        <f>_xlfn.XLOOKUP(Table1820[[#This Row],[Vehicle Price]],Table6[Vehicle Price],Table6[Vehicle Price Factor])</f>
        <v>0.82</v>
      </c>
      <c r="AG105">
        <f>_xlfn.XLOOKUP(Table1820[[#This Row],[Exotic Car]],Table7[Exotic Car],Table7[Exotic Car Factor],,0)</f>
        <v>1.28</v>
      </c>
      <c r="AH105">
        <f>_xlfn.XLOOKUP(Table1820[[#This Row],[Difficult Parts]],Table8[Difficult Parts],Table8[Difficult Parts Factor],,0)</f>
        <v>1</v>
      </c>
      <c r="AI105">
        <f>_xlfn.XLOOKUP(Table1820[[#This Row],[High Theft Rate]],Table9[High Theft Rate],Table9[High Theft Rate Factor],,0)</f>
        <v>1</v>
      </c>
      <c r="AJ105">
        <f>_xlfn.XLOOKUP(Table1820[[#This Row],[Advanced Safety Features]],Table10[Advanced Safety Features],Table10[Advanced Safety Features Factor],,0)</f>
        <v>1</v>
      </c>
      <c r="AK105">
        <f>_xlfn.XLOOKUP(Table1820[[#This Row],[Deductible]],Table12[Deductible],Table12[Deductible Factor],,0)</f>
        <v>1</v>
      </c>
      <c r="AL105">
        <f>_xlfn.XLOOKUP(Table1820[[#This Row],[Coverage Limit]],Table13[Coverage Limit],Table13[Coverage Limit Factor],,0)</f>
        <v>0.84</v>
      </c>
      <c r="AM105">
        <f>IF(Table1820[[#This Row],[Good Student Discount]]="Yes",'Rate Book'!$D$126,1)</f>
        <v>0.92</v>
      </c>
      <c r="AN105">
        <f>IF(Table1820[[#This Row],[Good Driver Discount]]="Yes",'Rate Book'!$D$127,1)</f>
        <v>0.89</v>
      </c>
      <c r="AO105">
        <f>IF(Table1820[[#This Row],[Multi Policy Discount]]="Yes",'Rate Book'!$D$128,1)</f>
        <v>0.93</v>
      </c>
      <c r="AP105">
        <f>IF(Table1820[[#This Row],[Loyal Customer Discount]]="Yes",'Rate Book'!$D$129,1)</f>
        <v>1</v>
      </c>
      <c r="AQ105">
        <f>IF(Table1820[[#This Row],[Organization Discount]]="Yes",'Rate Book'!$D$130,1)</f>
        <v>1</v>
      </c>
      <c r="AR105" cm="1">
        <f t="array" ref="AR105">IF(Table1820[[#This Row],[Effective Date]]&gt;=RateChangeTable[Effective Date],RateChangeTable[Rate Change Factor],1)</f>
        <v>1.06</v>
      </c>
      <c r="AS105" s="10">
        <f>PRODUCT(Table1820[[#This Row],[Base Rate]:[Rate Change Factor]])</f>
        <v>465.02904129215028</v>
      </c>
      <c r="AT105" s="9">
        <f>Table1820[[#This Row],[System-Generated Premium]]-Table1820[[#This Row],[Expected Premium]]</f>
        <v>0</v>
      </c>
      <c r="AU105" t="str">
        <f>IF(Table1820[[#This Row],[Difference]]=0,"PASS","FAIL")</f>
        <v>PASS</v>
      </c>
      <c r="AV105" s="9">
        <f>ABS(Table1820[[#This Row],[Difference]])</f>
        <v>0</v>
      </c>
      <c r="AW105" s="9" t="s">
        <v>1136</v>
      </c>
    </row>
    <row r="106" spans="1:49" x14ac:dyDescent="0.3">
      <c r="A106" t="s">
        <v>197</v>
      </c>
      <c r="B106" s="7">
        <v>45964</v>
      </c>
      <c r="C106" t="s">
        <v>70</v>
      </c>
      <c r="D106" t="s">
        <v>1102</v>
      </c>
      <c r="E106" s="3">
        <v>3</v>
      </c>
      <c r="F106" s="3" t="s">
        <v>7</v>
      </c>
      <c r="G106" t="s">
        <v>10</v>
      </c>
      <c r="H106" t="s">
        <v>1106</v>
      </c>
      <c r="I106" t="s">
        <v>40</v>
      </c>
      <c r="J106" t="s">
        <v>53</v>
      </c>
      <c r="K106" t="s">
        <v>10</v>
      </c>
      <c r="L106" t="s">
        <v>10</v>
      </c>
      <c r="M106" t="s">
        <v>10</v>
      </c>
      <c r="N106" t="s">
        <v>10</v>
      </c>
      <c r="O106" t="str">
        <f>INDEX(CoverageTable[Deductible Applies],MATCH(Table1820[[#This Row],[Coverage]],CoverageTable[Coverage],0))</f>
        <v>No</v>
      </c>
      <c r="P106" t="str">
        <f>INDEX(CoverageTable[Coverage Limit Applies],MATCH(Table1820[[#This Row],[Coverage]],CoverageTable[Coverage],0))</f>
        <v>Yes</v>
      </c>
      <c r="Q106" t="s">
        <v>10</v>
      </c>
      <c r="R106" t="s">
        <v>80</v>
      </c>
      <c r="S106" t="s">
        <v>10</v>
      </c>
      <c r="T106" t="s">
        <v>57</v>
      </c>
      <c r="U106" t="s">
        <v>10</v>
      </c>
      <c r="V106" t="s">
        <v>10</v>
      </c>
      <c r="W106" t="s">
        <v>10</v>
      </c>
      <c r="X106" s="11">
        <v>3213.0087040560043</v>
      </c>
      <c r="Y106">
        <f>_xlfn.XLOOKUP(Table1820[[#This Row],[Coverage]],CoverageTable[Coverage],CoverageTable[Base Rate],,0)</f>
        <v>622</v>
      </c>
      <c r="Z106">
        <f>INDEX(Table16[Ageband Factor],MATCH(Table1820[[#This Row],[Ageband]],Table16[Ageband],0))</f>
        <v>1.27</v>
      </c>
      <c r="AA106">
        <f>VLOOKUP(Table1820[[#This Row],[Years Driving]],Table1[],2)</f>
        <v>1.22</v>
      </c>
      <c r="AB106">
        <f>_xlfn.XLOOKUP(Table1820[[#This Row],[At Fault Accidents]],Table2[At Fault Accidents],Table2[At Fault Accident Factor],,0)</f>
        <v>2.4700000000000002</v>
      </c>
      <c r="AC106">
        <f>_xlfn.XLOOKUP(Table1820[[#This Row],[Usage-Based Insurance]],Table3[Usage-Based Insurance],Table3[Usage-Based Insurance Discount],,0)</f>
        <v>1</v>
      </c>
      <c r="AD106">
        <f>_xlfn.XLOOKUP(Table1820[[#This Row],[Yearly Miles]],Table4[Yearly Miles],Table4[Yearly Miles Factor],,0)</f>
        <v>0.82</v>
      </c>
      <c r="AE106">
        <f>_xlfn.XLOOKUP(Table1820[[#This Row],[City/Zip Code]],Table5[City/Zip Code],Table5[City/Zip Code Factor],,0)</f>
        <v>1.0900000000000001</v>
      </c>
      <c r="AF106">
        <f>_xlfn.XLOOKUP(Table1820[[#This Row],[Vehicle Price]],Table6[Vehicle Price],Table6[Vehicle Price Factor])</f>
        <v>2.02</v>
      </c>
      <c r="AG106">
        <f>_xlfn.XLOOKUP(Table1820[[#This Row],[Exotic Car]],Table7[Exotic Car],Table7[Exotic Car Factor],,0)</f>
        <v>1</v>
      </c>
      <c r="AH106">
        <f>_xlfn.XLOOKUP(Table1820[[#This Row],[Difficult Parts]],Table8[Difficult Parts],Table8[Difficult Parts Factor],,0)</f>
        <v>1</v>
      </c>
      <c r="AI106">
        <f>_xlfn.XLOOKUP(Table1820[[#This Row],[High Theft Rate]],Table9[High Theft Rate],Table9[High Theft Rate Factor],,0)</f>
        <v>1</v>
      </c>
      <c r="AJ106">
        <f>_xlfn.XLOOKUP(Table1820[[#This Row],[Advanced Safety Features]],Table10[Advanced Safety Features],Table10[Advanced Safety Features Factor],,0)</f>
        <v>1</v>
      </c>
      <c r="AK106">
        <f>_xlfn.XLOOKUP(Table1820[[#This Row],[Deductible]],Table12[Deductible],Table12[Deductible Factor],,0)</f>
        <v>1</v>
      </c>
      <c r="AL106">
        <f>_xlfn.XLOOKUP(Table1820[[#This Row],[Coverage Limit]],Table13[Coverage Limit],Table13[Coverage Limit Factor],,0)</f>
        <v>0.84</v>
      </c>
      <c r="AM106">
        <f>IF(Table1820[[#This Row],[Good Student Discount]]="Yes",'Rate Book'!$D$126,1)</f>
        <v>1</v>
      </c>
      <c r="AN106">
        <f>IF(Table1820[[#This Row],[Good Driver Discount]]="Yes",'Rate Book'!$D$127,1)</f>
        <v>0.89</v>
      </c>
      <c r="AO106">
        <f>IF(Table1820[[#This Row],[Multi Policy Discount]]="Yes",'Rate Book'!$D$128,1)</f>
        <v>1</v>
      </c>
      <c r="AP106">
        <f>IF(Table1820[[#This Row],[Loyal Customer Discount]]="Yes",'Rate Book'!$D$129,1)</f>
        <v>1</v>
      </c>
      <c r="AQ106">
        <f>IF(Table1820[[#This Row],[Organization Discount]]="Yes",'Rate Book'!$D$130,1)</f>
        <v>1</v>
      </c>
      <c r="AR106" cm="1">
        <f t="array" ref="AR106">IF(Table1820[[#This Row],[Effective Date]]&gt;=RateChangeTable[Effective Date],RateChangeTable[Rate Change Factor],1)</f>
        <v>1</v>
      </c>
      <c r="AS106" s="10">
        <f>PRODUCT(Table1820[[#This Row],[Base Rate]:[Rate Change Factor]])</f>
        <v>3213.0087040560043</v>
      </c>
      <c r="AT106" s="9">
        <f>Table1820[[#This Row],[System-Generated Premium]]-Table1820[[#This Row],[Expected Premium]]</f>
        <v>0</v>
      </c>
      <c r="AU106" t="str">
        <f>IF(Table1820[[#This Row],[Difference]]=0,"PASS","FAIL")</f>
        <v>PASS</v>
      </c>
      <c r="AV106" s="9">
        <f>ABS(Table1820[[#This Row],[Difference]])</f>
        <v>0</v>
      </c>
      <c r="AW106" s="9" t="s">
        <v>1136</v>
      </c>
    </row>
    <row r="107" spans="1:49" x14ac:dyDescent="0.3">
      <c r="A107" t="s">
        <v>198</v>
      </c>
      <c r="B107" s="7">
        <v>46092</v>
      </c>
      <c r="C107" t="s">
        <v>71</v>
      </c>
      <c r="D107" t="s">
        <v>1099</v>
      </c>
      <c r="E107" s="3">
        <v>7</v>
      </c>
      <c r="F107" s="3">
        <v>1</v>
      </c>
      <c r="G107" t="s">
        <v>11</v>
      </c>
      <c r="H107" t="s">
        <v>1110</v>
      </c>
      <c r="I107" t="s">
        <v>33</v>
      </c>
      <c r="J107" t="s">
        <v>54</v>
      </c>
      <c r="K107" t="s">
        <v>10</v>
      </c>
      <c r="L107" t="s">
        <v>57</v>
      </c>
      <c r="M107" t="s">
        <v>10</v>
      </c>
      <c r="N107" t="s">
        <v>10</v>
      </c>
      <c r="O107" t="str">
        <f>INDEX(CoverageTable[Deductible Applies],MATCH(Table1820[[#This Row],[Coverage]],CoverageTable[Coverage],0))</f>
        <v>Yes</v>
      </c>
      <c r="P107" t="str">
        <f>INDEX(CoverageTable[Coverage Limit Applies],MATCH(Table1820[[#This Row],[Coverage]],CoverageTable[Coverage],0))</f>
        <v>No</v>
      </c>
      <c r="Q107" t="s">
        <v>80</v>
      </c>
      <c r="R107" t="s">
        <v>10</v>
      </c>
      <c r="S107" t="s">
        <v>10</v>
      </c>
      <c r="T107" t="s">
        <v>10</v>
      </c>
      <c r="U107" t="s">
        <v>10</v>
      </c>
      <c r="V107" t="s">
        <v>57</v>
      </c>
      <c r="W107" t="s">
        <v>10</v>
      </c>
      <c r="X107" s="11">
        <v>1823.707401631387</v>
      </c>
      <c r="Y107">
        <f>_xlfn.XLOOKUP(Table1820[[#This Row],[Coverage]],CoverageTable[Coverage],CoverageTable[Base Rate],,0)</f>
        <v>453</v>
      </c>
      <c r="Z107">
        <f>INDEX(Table16[Ageband Factor],MATCH(Table1820[[#This Row],[Ageband]],Table16[Ageband],0))</f>
        <v>1</v>
      </c>
      <c r="AA107">
        <f>VLOOKUP(Table1820[[#This Row],[Years Driving]],Table1[],2)</f>
        <v>0.95</v>
      </c>
      <c r="AB107">
        <f>_xlfn.XLOOKUP(Table1820[[#This Row],[At Fault Accidents]],Table2[At Fault Accidents],Table2[At Fault Accident Factor],,0)</f>
        <v>1.34</v>
      </c>
      <c r="AC107">
        <f>_xlfn.XLOOKUP(Table1820[[#This Row],[Usage-Based Insurance]],Table3[Usage-Based Insurance],Table3[Usage-Based Insurance Discount],,0)</f>
        <v>0.95</v>
      </c>
      <c r="AD107">
        <f>_xlfn.XLOOKUP(Table1820[[#This Row],[Yearly Miles]],Table4[Yearly Miles],Table4[Yearly Miles Factor],,0)</f>
        <v>1.31</v>
      </c>
      <c r="AE107">
        <f>_xlfn.XLOOKUP(Table1820[[#This Row],[City/Zip Code]],Table5[City/Zip Code],Table5[City/Zip Code Factor],,0)</f>
        <v>1.02</v>
      </c>
      <c r="AF107">
        <f>_xlfn.XLOOKUP(Table1820[[#This Row],[Vehicle Price]],Table6[Vehicle Price],Table6[Vehicle Price Factor])</f>
        <v>2.87</v>
      </c>
      <c r="AG107">
        <f>_xlfn.XLOOKUP(Table1820[[#This Row],[Exotic Car]],Table7[Exotic Car],Table7[Exotic Car Factor],,0)</f>
        <v>1</v>
      </c>
      <c r="AH107">
        <f>_xlfn.XLOOKUP(Table1820[[#This Row],[Difficult Parts]],Table8[Difficult Parts],Table8[Difficult Parts Factor],,0)</f>
        <v>1.21</v>
      </c>
      <c r="AI107">
        <f>_xlfn.XLOOKUP(Table1820[[#This Row],[High Theft Rate]],Table9[High Theft Rate],Table9[High Theft Rate Factor],,0)</f>
        <v>1</v>
      </c>
      <c r="AJ107">
        <f>_xlfn.XLOOKUP(Table1820[[#This Row],[Advanced Safety Features]],Table10[Advanced Safety Features],Table10[Advanced Safety Features Factor],,0)</f>
        <v>1</v>
      </c>
      <c r="AK107">
        <f>_xlfn.XLOOKUP(Table1820[[#This Row],[Deductible]],Table12[Deductible],Table12[Deductible Factor],,0)</f>
        <v>0.72</v>
      </c>
      <c r="AL107">
        <f>_xlfn.XLOOKUP(Table1820[[#This Row],[Coverage Limit]],Table13[Coverage Limit],Table13[Coverage Limit Factor],,0)</f>
        <v>1</v>
      </c>
      <c r="AM107">
        <f>IF(Table1820[[#This Row],[Good Student Discount]]="Yes",'Rate Book'!$D$126,1)</f>
        <v>1</v>
      </c>
      <c r="AN107">
        <f>IF(Table1820[[#This Row],[Good Driver Discount]]="Yes",'Rate Book'!$D$127,1)</f>
        <v>1</v>
      </c>
      <c r="AO107">
        <f>IF(Table1820[[#This Row],[Multi Policy Discount]]="Yes",'Rate Book'!$D$128,1)</f>
        <v>1</v>
      </c>
      <c r="AP107">
        <f>IF(Table1820[[#This Row],[Loyal Customer Discount]]="Yes",'Rate Book'!$D$129,1)</f>
        <v>0.94</v>
      </c>
      <c r="AQ107">
        <f>IF(Table1820[[#This Row],[Organization Discount]]="Yes",'Rate Book'!$D$130,1)</f>
        <v>1</v>
      </c>
      <c r="AR107" cm="1">
        <f t="array" ref="AR107">IF(Table1820[[#This Row],[Effective Date]]&gt;=RateChangeTable[Effective Date],RateChangeTable[Rate Change Factor],1)</f>
        <v>1.06</v>
      </c>
      <c r="AS107" s="10">
        <f>PRODUCT(Table1820[[#This Row],[Base Rate]:[Rate Change Factor]])</f>
        <v>1823.707401631387</v>
      </c>
      <c r="AT107" s="9">
        <f>Table1820[[#This Row],[System-Generated Premium]]-Table1820[[#This Row],[Expected Premium]]</f>
        <v>0</v>
      </c>
      <c r="AU107" t="str">
        <f>IF(Table1820[[#This Row],[Difference]]=0,"PASS","FAIL")</f>
        <v>PASS</v>
      </c>
      <c r="AV107" s="9">
        <f>ABS(Table1820[[#This Row],[Difference]])</f>
        <v>0</v>
      </c>
      <c r="AW107" s="9" t="s">
        <v>1136</v>
      </c>
    </row>
    <row r="108" spans="1:49" x14ac:dyDescent="0.3">
      <c r="A108" t="s">
        <v>199</v>
      </c>
      <c r="B108" s="7">
        <v>45792</v>
      </c>
      <c r="C108" t="s">
        <v>70</v>
      </c>
      <c r="D108" t="s">
        <v>1102</v>
      </c>
      <c r="E108" s="3">
        <v>4</v>
      </c>
      <c r="F108" s="3">
        <v>1</v>
      </c>
      <c r="G108" t="s">
        <v>11</v>
      </c>
      <c r="H108" t="s">
        <v>1109</v>
      </c>
      <c r="I108" t="s">
        <v>27</v>
      </c>
      <c r="J108" t="s">
        <v>50</v>
      </c>
      <c r="K108" t="s">
        <v>10</v>
      </c>
      <c r="L108" t="s">
        <v>10</v>
      </c>
      <c r="M108" t="s">
        <v>10</v>
      </c>
      <c r="N108" t="s">
        <v>57</v>
      </c>
      <c r="O108" t="str">
        <f>INDEX(CoverageTable[Deductible Applies],MATCH(Table1820[[#This Row],[Coverage]],CoverageTable[Coverage],0))</f>
        <v>No</v>
      </c>
      <c r="P108" t="str">
        <f>INDEX(CoverageTable[Coverage Limit Applies],MATCH(Table1820[[#This Row],[Coverage]],CoverageTable[Coverage],0))</f>
        <v>Yes</v>
      </c>
      <c r="Q108" t="s">
        <v>10</v>
      </c>
      <c r="R108" t="s">
        <v>79</v>
      </c>
      <c r="S108" t="s">
        <v>57</v>
      </c>
      <c r="T108" t="s">
        <v>57</v>
      </c>
      <c r="U108" t="s">
        <v>57</v>
      </c>
      <c r="V108" t="s">
        <v>57</v>
      </c>
      <c r="W108" t="s">
        <v>10</v>
      </c>
      <c r="X108" s="11">
        <v>628.28656169699855</v>
      </c>
      <c r="Y108">
        <f>_xlfn.XLOOKUP(Table1820[[#This Row],[Coverage]],CoverageTable[Coverage],CoverageTable[Base Rate],,0)</f>
        <v>622</v>
      </c>
      <c r="Z108">
        <f>INDEX(Table16[Ageband Factor],MATCH(Table1820[[#This Row],[Ageband]],Table16[Ageband],0))</f>
        <v>1.27</v>
      </c>
      <c r="AA108">
        <f>VLOOKUP(Table1820[[#This Row],[Years Driving]],Table1[],2)</f>
        <v>1.1499999999999999</v>
      </c>
      <c r="AB108">
        <f>_xlfn.XLOOKUP(Table1820[[#This Row],[At Fault Accidents]],Table2[At Fault Accidents],Table2[At Fault Accident Factor],,0)</f>
        <v>1.34</v>
      </c>
      <c r="AC108">
        <f>_xlfn.XLOOKUP(Table1820[[#This Row],[Usage-Based Insurance]],Table3[Usage-Based Insurance],Table3[Usage-Based Insurance Discount],,0)</f>
        <v>0.95</v>
      </c>
      <c r="AD108">
        <f>_xlfn.XLOOKUP(Table1820[[#This Row],[Yearly Miles]],Table4[Yearly Miles],Table4[Yearly Miles Factor],,0)</f>
        <v>1.18</v>
      </c>
      <c r="AE108">
        <f>_xlfn.XLOOKUP(Table1820[[#This Row],[City/Zip Code]],Table5[City/Zip Code],Table5[City/Zip Code Factor],,0)</f>
        <v>0.94</v>
      </c>
      <c r="AF108">
        <f>_xlfn.XLOOKUP(Table1820[[#This Row],[Vehicle Price]],Table6[Vehicle Price],Table6[Vehicle Price Factor])</f>
        <v>1.08</v>
      </c>
      <c r="AG108">
        <f>_xlfn.XLOOKUP(Table1820[[#This Row],[Exotic Car]],Table7[Exotic Car],Table7[Exotic Car Factor],,0)</f>
        <v>1</v>
      </c>
      <c r="AH108">
        <f>_xlfn.XLOOKUP(Table1820[[#This Row],[Difficult Parts]],Table8[Difficult Parts],Table8[Difficult Parts Factor],,0)</f>
        <v>1</v>
      </c>
      <c r="AI108">
        <f>_xlfn.XLOOKUP(Table1820[[#This Row],[High Theft Rate]],Table9[High Theft Rate],Table9[High Theft Rate Factor],,0)</f>
        <v>1</v>
      </c>
      <c r="AJ108">
        <f>_xlfn.XLOOKUP(Table1820[[#This Row],[Advanced Safety Features]],Table10[Advanced Safety Features],Table10[Advanced Safety Features Factor],,0)</f>
        <v>0.88</v>
      </c>
      <c r="AK108">
        <f>_xlfn.XLOOKUP(Table1820[[#This Row],[Deductible]],Table12[Deductible],Table12[Deductible Factor],,0)</f>
        <v>1</v>
      </c>
      <c r="AL108">
        <f>_xlfn.XLOOKUP(Table1820[[#This Row],[Coverage Limit]],Table13[Coverage Limit],Table13[Coverage Limit Factor],,0)</f>
        <v>0.72</v>
      </c>
      <c r="AM108">
        <f>IF(Table1820[[#This Row],[Good Student Discount]]="Yes",'Rate Book'!$D$126,1)</f>
        <v>0.92</v>
      </c>
      <c r="AN108">
        <f>IF(Table1820[[#This Row],[Good Driver Discount]]="Yes",'Rate Book'!$D$127,1)</f>
        <v>0.89</v>
      </c>
      <c r="AO108">
        <f>IF(Table1820[[#This Row],[Multi Policy Discount]]="Yes",'Rate Book'!$D$128,1)</f>
        <v>0.93</v>
      </c>
      <c r="AP108">
        <f>IF(Table1820[[#This Row],[Loyal Customer Discount]]="Yes",'Rate Book'!$D$129,1)</f>
        <v>0.94</v>
      </c>
      <c r="AQ108">
        <f>IF(Table1820[[#This Row],[Organization Discount]]="Yes",'Rate Book'!$D$130,1)</f>
        <v>1</v>
      </c>
      <c r="AR108" cm="1">
        <f t="array" ref="AR108">IF(Table1820[[#This Row],[Effective Date]]&gt;=RateChangeTable[Effective Date],RateChangeTable[Rate Change Factor],1)</f>
        <v>1</v>
      </c>
      <c r="AS108" s="10">
        <f>PRODUCT(Table1820[[#This Row],[Base Rate]:[Rate Change Factor]])</f>
        <v>628.28656169699855</v>
      </c>
      <c r="AT108" s="9">
        <f>Table1820[[#This Row],[System-Generated Premium]]-Table1820[[#This Row],[Expected Premium]]</f>
        <v>0</v>
      </c>
      <c r="AU108" t="str">
        <f>IF(Table1820[[#This Row],[Difference]]=0,"PASS","FAIL")</f>
        <v>PASS</v>
      </c>
      <c r="AV108" s="9">
        <f>ABS(Table1820[[#This Row],[Difference]])</f>
        <v>0</v>
      </c>
      <c r="AW108" s="9" t="s">
        <v>1136</v>
      </c>
    </row>
    <row r="109" spans="1:49" x14ac:dyDescent="0.3">
      <c r="A109" t="s">
        <v>200</v>
      </c>
      <c r="B109" s="7">
        <v>46143</v>
      </c>
      <c r="C109" t="s">
        <v>72</v>
      </c>
      <c r="D109" t="s">
        <v>1102</v>
      </c>
      <c r="E109" s="3">
        <v>2</v>
      </c>
      <c r="F109" s="3">
        <v>1</v>
      </c>
      <c r="G109" t="s">
        <v>11</v>
      </c>
      <c r="H109" t="s">
        <v>1106</v>
      </c>
      <c r="I109" t="s">
        <v>23</v>
      </c>
      <c r="J109" t="s">
        <v>52</v>
      </c>
      <c r="K109" t="s">
        <v>10</v>
      </c>
      <c r="L109" t="s">
        <v>57</v>
      </c>
      <c r="M109" t="s">
        <v>10</v>
      </c>
      <c r="N109" t="s">
        <v>10</v>
      </c>
      <c r="O109" t="str">
        <f>INDEX(CoverageTable[Deductible Applies],MATCH(Table1820[[#This Row],[Coverage]],CoverageTable[Coverage],0))</f>
        <v>Yes</v>
      </c>
      <c r="P109" t="str">
        <f>INDEX(CoverageTable[Coverage Limit Applies],MATCH(Table1820[[#This Row],[Coverage]],CoverageTable[Coverage],0))</f>
        <v>No</v>
      </c>
      <c r="Q109" t="s">
        <v>79</v>
      </c>
      <c r="R109" t="s">
        <v>10</v>
      </c>
      <c r="S109" t="s">
        <v>10</v>
      </c>
      <c r="T109" t="s">
        <v>10</v>
      </c>
      <c r="U109" t="s">
        <v>10</v>
      </c>
      <c r="V109" t="s">
        <v>10</v>
      </c>
      <c r="W109" t="s">
        <v>10</v>
      </c>
      <c r="X109" s="11">
        <v>351.97227993685954</v>
      </c>
      <c r="Y109">
        <f>_xlfn.XLOOKUP(Table1820[[#This Row],[Coverage]],CoverageTable[Coverage],CoverageTable[Base Rate],,0)</f>
        <v>121</v>
      </c>
      <c r="Z109">
        <f>INDEX(Table16[Ageband Factor],MATCH(Table1820[[#This Row],[Ageband]],Table16[Ageband],0))</f>
        <v>1.27</v>
      </c>
      <c r="AA109">
        <f>VLOOKUP(Table1820[[#This Row],[Years Driving]],Table1[],2)</f>
        <v>1.41</v>
      </c>
      <c r="AB109">
        <f>_xlfn.XLOOKUP(Table1820[[#This Row],[At Fault Accidents]],Table2[At Fault Accidents],Table2[At Fault Accident Factor],,0)</f>
        <v>1.34</v>
      </c>
      <c r="AC109">
        <f>_xlfn.XLOOKUP(Table1820[[#This Row],[Usage-Based Insurance]],Table3[Usage-Based Insurance],Table3[Usage-Based Insurance Discount],,0)</f>
        <v>0.95</v>
      </c>
      <c r="AD109">
        <f>_xlfn.XLOOKUP(Table1820[[#This Row],[Yearly Miles]],Table4[Yearly Miles],Table4[Yearly Miles Factor],,0)</f>
        <v>0.82</v>
      </c>
      <c r="AE109">
        <f>_xlfn.XLOOKUP(Table1820[[#This Row],[City/Zip Code]],Table5[City/Zip Code],Table5[City/Zip Code Factor],,0)</f>
        <v>0.92</v>
      </c>
      <c r="AF109">
        <f>_xlfn.XLOOKUP(Table1820[[#This Row],[Vehicle Price]],Table6[Vehicle Price],Table6[Vehicle Price Factor])</f>
        <v>1.57</v>
      </c>
      <c r="AG109">
        <f>_xlfn.XLOOKUP(Table1820[[#This Row],[Exotic Car]],Table7[Exotic Car],Table7[Exotic Car Factor],,0)</f>
        <v>1</v>
      </c>
      <c r="AH109">
        <f>_xlfn.XLOOKUP(Table1820[[#This Row],[Difficult Parts]],Table8[Difficult Parts],Table8[Difficult Parts Factor],,0)</f>
        <v>1.21</v>
      </c>
      <c r="AI109">
        <f>_xlfn.XLOOKUP(Table1820[[#This Row],[High Theft Rate]],Table9[High Theft Rate],Table9[High Theft Rate Factor],,0)</f>
        <v>1</v>
      </c>
      <c r="AJ109">
        <f>_xlfn.XLOOKUP(Table1820[[#This Row],[Advanced Safety Features]],Table10[Advanced Safety Features],Table10[Advanced Safety Features Factor],,0)</f>
        <v>1</v>
      </c>
      <c r="AK109">
        <f>_xlfn.XLOOKUP(Table1820[[#This Row],[Deductible]],Table12[Deductible],Table12[Deductible Factor],,0)</f>
        <v>0.84</v>
      </c>
      <c r="AL109">
        <f>_xlfn.XLOOKUP(Table1820[[#This Row],[Coverage Limit]],Table13[Coverage Limit],Table13[Coverage Limit Factor],,0)</f>
        <v>1</v>
      </c>
      <c r="AM109">
        <f>IF(Table1820[[#This Row],[Good Student Discount]]="Yes",'Rate Book'!$D$126,1)</f>
        <v>1</v>
      </c>
      <c r="AN109">
        <f>IF(Table1820[[#This Row],[Good Driver Discount]]="Yes",'Rate Book'!$D$127,1)</f>
        <v>1</v>
      </c>
      <c r="AO109">
        <f>IF(Table1820[[#This Row],[Multi Policy Discount]]="Yes",'Rate Book'!$D$128,1)</f>
        <v>1</v>
      </c>
      <c r="AP109">
        <f>IF(Table1820[[#This Row],[Loyal Customer Discount]]="Yes",'Rate Book'!$D$129,1)</f>
        <v>1</v>
      </c>
      <c r="AQ109">
        <f>IF(Table1820[[#This Row],[Organization Discount]]="Yes",'Rate Book'!$D$130,1)</f>
        <v>1</v>
      </c>
      <c r="AR109" cm="1">
        <f t="array" ref="AR109">IF(Table1820[[#This Row],[Effective Date]]&gt;=RateChangeTable[Effective Date],RateChangeTable[Rate Change Factor],1)</f>
        <v>1.06</v>
      </c>
      <c r="AS109" s="10">
        <f>PRODUCT(Table1820[[#This Row],[Base Rate]:[Rate Change Factor]])</f>
        <v>351.97227993685954</v>
      </c>
      <c r="AT109" s="9">
        <f>Table1820[[#This Row],[System-Generated Premium]]-Table1820[[#This Row],[Expected Premium]]</f>
        <v>0</v>
      </c>
      <c r="AU109" t="str">
        <f>IF(Table1820[[#This Row],[Difference]]=0,"PASS","FAIL")</f>
        <v>PASS</v>
      </c>
      <c r="AV109" s="9">
        <f>ABS(Table1820[[#This Row],[Difference]])</f>
        <v>0</v>
      </c>
      <c r="AW109" s="9" t="s">
        <v>1136</v>
      </c>
    </row>
    <row r="110" spans="1:49" x14ac:dyDescent="0.3">
      <c r="A110" t="s">
        <v>201</v>
      </c>
      <c r="B110" s="7">
        <v>45882</v>
      </c>
      <c r="C110" t="s">
        <v>73</v>
      </c>
      <c r="D110" t="s">
        <v>1101</v>
      </c>
      <c r="E110" s="3">
        <v>4</v>
      </c>
      <c r="F110" s="3">
        <v>1</v>
      </c>
      <c r="G110" t="s">
        <v>11</v>
      </c>
      <c r="H110" t="s">
        <v>1108</v>
      </c>
      <c r="I110" t="s">
        <v>29</v>
      </c>
      <c r="J110" t="s">
        <v>50</v>
      </c>
      <c r="K110" t="s">
        <v>10</v>
      </c>
      <c r="L110" t="s">
        <v>57</v>
      </c>
      <c r="M110" t="s">
        <v>10</v>
      </c>
      <c r="N110" t="s">
        <v>57</v>
      </c>
      <c r="O110" t="str">
        <f>INDEX(CoverageTable[Deductible Applies],MATCH(Table1820[[#This Row],[Coverage]],CoverageTable[Coverage],0))</f>
        <v>No</v>
      </c>
      <c r="P110" t="str">
        <f>INDEX(CoverageTable[Coverage Limit Applies],MATCH(Table1820[[#This Row],[Coverage]],CoverageTable[Coverage],0))</f>
        <v>Yes</v>
      </c>
      <c r="Q110" t="s">
        <v>10</v>
      </c>
      <c r="R110" t="s">
        <v>78</v>
      </c>
      <c r="S110" t="s">
        <v>10</v>
      </c>
      <c r="T110" t="s">
        <v>57</v>
      </c>
      <c r="U110" t="s">
        <v>57</v>
      </c>
      <c r="V110" t="s">
        <v>10</v>
      </c>
      <c r="W110" t="s">
        <v>57</v>
      </c>
      <c r="X110" s="11">
        <v>78.51121344600412</v>
      </c>
      <c r="Y110">
        <f>_xlfn.XLOOKUP(Table1820[[#This Row],[Coverage]],CoverageTable[Coverage],CoverageTable[Base Rate],,0)</f>
        <v>78</v>
      </c>
      <c r="Z110">
        <f>INDEX(Table16[Ageband Factor],MATCH(Table1820[[#This Row],[Ageband]],Table16[Ageband],0))</f>
        <v>1.1200000000000001</v>
      </c>
      <c r="AA110">
        <f>VLOOKUP(Table1820[[#This Row],[Years Driving]],Table1[],2)</f>
        <v>1.1499999999999999</v>
      </c>
      <c r="AB110">
        <f>_xlfn.XLOOKUP(Table1820[[#This Row],[At Fault Accidents]],Table2[At Fault Accidents],Table2[At Fault Accident Factor],,0)</f>
        <v>1.34</v>
      </c>
      <c r="AC110">
        <f>_xlfn.XLOOKUP(Table1820[[#This Row],[Usage-Based Insurance]],Table3[Usage-Based Insurance],Table3[Usage-Based Insurance Discount],,0)</f>
        <v>0.95</v>
      </c>
      <c r="AD110">
        <f>_xlfn.XLOOKUP(Table1820[[#This Row],[Yearly Miles]],Table4[Yearly Miles],Table4[Yearly Miles Factor],,0)</f>
        <v>1</v>
      </c>
      <c r="AE110">
        <f>_xlfn.XLOOKUP(Table1820[[#This Row],[City/Zip Code]],Table5[City/Zip Code],Table5[City/Zip Code Factor],,0)</f>
        <v>1.0900000000000001</v>
      </c>
      <c r="AF110">
        <f>_xlfn.XLOOKUP(Table1820[[#This Row],[Vehicle Price]],Table6[Vehicle Price],Table6[Vehicle Price Factor])</f>
        <v>1.08</v>
      </c>
      <c r="AG110">
        <f>_xlfn.XLOOKUP(Table1820[[#This Row],[Exotic Car]],Table7[Exotic Car],Table7[Exotic Car Factor],,0)</f>
        <v>1</v>
      </c>
      <c r="AH110">
        <f>_xlfn.XLOOKUP(Table1820[[#This Row],[Difficult Parts]],Table8[Difficult Parts],Table8[Difficult Parts Factor],,0)</f>
        <v>1.21</v>
      </c>
      <c r="AI110">
        <f>_xlfn.XLOOKUP(Table1820[[#This Row],[High Theft Rate]],Table9[High Theft Rate],Table9[High Theft Rate Factor],,0)</f>
        <v>1</v>
      </c>
      <c r="AJ110">
        <f>_xlfn.XLOOKUP(Table1820[[#This Row],[Advanced Safety Features]],Table10[Advanced Safety Features],Table10[Advanced Safety Features Factor],,0)</f>
        <v>0.88</v>
      </c>
      <c r="AK110">
        <f>_xlfn.XLOOKUP(Table1820[[#This Row],[Deductible]],Table12[Deductible],Table12[Deductible Factor],,0)</f>
        <v>1</v>
      </c>
      <c r="AL110">
        <f>_xlfn.XLOOKUP(Table1820[[#This Row],[Coverage Limit]],Table13[Coverage Limit],Table13[Coverage Limit Factor],,0)</f>
        <v>0.61</v>
      </c>
      <c r="AM110">
        <f>IF(Table1820[[#This Row],[Good Student Discount]]="Yes",'Rate Book'!$D$126,1)</f>
        <v>1</v>
      </c>
      <c r="AN110">
        <f>IF(Table1820[[#This Row],[Good Driver Discount]]="Yes",'Rate Book'!$D$127,1)</f>
        <v>0.89</v>
      </c>
      <c r="AO110">
        <f>IF(Table1820[[#This Row],[Multi Policy Discount]]="Yes",'Rate Book'!$D$128,1)</f>
        <v>0.93</v>
      </c>
      <c r="AP110">
        <f>IF(Table1820[[#This Row],[Loyal Customer Discount]]="Yes",'Rate Book'!$D$129,1)</f>
        <v>1</v>
      </c>
      <c r="AQ110">
        <f>IF(Table1820[[#This Row],[Organization Discount]]="Yes",'Rate Book'!$D$130,1)</f>
        <v>0.97</v>
      </c>
      <c r="AR110" cm="1">
        <f t="array" ref="AR110">IF(Table1820[[#This Row],[Effective Date]]&gt;=RateChangeTable[Effective Date],RateChangeTable[Rate Change Factor],1)</f>
        <v>1</v>
      </c>
      <c r="AS110" s="10">
        <f>PRODUCT(Table1820[[#This Row],[Base Rate]:[Rate Change Factor]])</f>
        <v>78.51121344600412</v>
      </c>
      <c r="AT110" s="9">
        <f>Table1820[[#This Row],[System-Generated Premium]]-Table1820[[#This Row],[Expected Premium]]</f>
        <v>0</v>
      </c>
      <c r="AU110" t="str">
        <f>IF(Table1820[[#This Row],[Difference]]=0,"PASS","FAIL")</f>
        <v>PASS</v>
      </c>
      <c r="AV110" s="9">
        <f>ABS(Table1820[[#This Row],[Difference]])</f>
        <v>0</v>
      </c>
      <c r="AW110" s="9" t="s">
        <v>1136</v>
      </c>
    </row>
    <row r="111" spans="1:49" x14ac:dyDescent="0.3">
      <c r="A111" t="s">
        <v>202</v>
      </c>
      <c r="B111" s="7">
        <v>45955</v>
      </c>
      <c r="C111" t="s">
        <v>70</v>
      </c>
      <c r="D111" t="s">
        <v>1101</v>
      </c>
      <c r="E111" s="3">
        <v>5</v>
      </c>
      <c r="F111" s="3">
        <v>1</v>
      </c>
      <c r="G111" t="s">
        <v>10</v>
      </c>
      <c r="H111" t="s">
        <v>1110</v>
      </c>
      <c r="I111" t="s">
        <v>28</v>
      </c>
      <c r="J111" t="s">
        <v>50</v>
      </c>
      <c r="K111" t="s">
        <v>10</v>
      </c>
      <c r="L111" t="s">
        <v>10</v>
      </c>
      <c r="M111" t="s">
        <v>10</v>
      </c>
      <c r="N111" t="s">
        <v>57</v>
      </c>
      <c r="O111" t="str">
        <f>INDEX(CoverageTable[Deductible Applies],MATCH(Table1820[[#This Row],[Coverage]],CoverageTable[Coverage],0))</f>
        <v>No</v>
      </c>
      <c r="P111" t="str">
        <f>INDEX(CoverageTable[Coverage Limit Applies],MATCH(Table1820[[#This Row],[Coverage]],CoverageTable[Coverage],0))</f>
        <v>Yes</v>
      </c>
      <c r="Q111" t="s">
        <v>10</v>
      </c>
      <c r="R111" t="s">
        <v>78</v>
      </c>
      <c r="S111" t="s">
        <v>10</v>
      </c>
      <c r="T111" t="s">
        <v>10</v>
      </c>
      <c r="U111" t="s">
        <v>10</v>
      </c>
      <c r="V111" t="s">
        <v>10</v>
      </c>
      <c r="W111" t="s">
        <v>10</v>
      </c>
      <c r="X111" s="11">
        <v>720.65623263382452</v>
      </c>
      <c r="Y111">
        <f>_xlfn.XLOOKUP(Table1820[[#This Row],[Coverage]],CoverageTable[Coverage],CoverageTable[Base Rate],,0)</f>
        <v>622</v>
      </c>
      <c r="Z111">
        <f>INDEX(Table16[Ageband Factor],MATCH(Table1820[[#This Row],[Ageband]],Table16[Ageband],0))</f>
        <v>1.1200000000000001</v>
      </c>
      <c r="AA111">
        <f>VLOOKUP(Table1820[[#This Row],[Years Driving]],Table1[],2)</f>
        <v>1.07</v>
      </c>
      <c r="AB111">
        <f>_xlfn.XLOOKUP(Table1820[[#This Row],[At Fault Accidents]],Table2[At Fault Accidents],Table2[At Fault Accident Factor],,0)</f>
        <v>1.34</v>
      </c>
      <c r="AC111">
        <f>_xlfn.XLOOKUP(Table1820[[#This Row],[Usage-Based Insurance]],Table3[Usage-Based Insurance],Table3[Usage-Based Insurance Discount],,0)</f>
        <v>1</v>
      </c>
      <c r="AD111">
        <f>_xlfn.XLOOKUP(Table1820[[#This Row],[Yearly Miles]],Table4[Yearly Miles],Table4[Yearly Miles Factor],,0)</f>
        <v>1.31</v>
      </c>
      <c r="AE111">
        <f>_xlfn.XLOOKUP(Table1820[[#This Row],[City/Zip Code]],Table5[City/Zip Code],Table5[City/Zip Code Factor],,0)</f>
        <v>0.95</v>
      </c>
      <c r="AF111">
        <f>_xlfn.XLOOKUP(Table1820[[#This Row],[Vehicle Price]],Table6[Vehicle Price],Table6[Vehicle Price Factor])</f>
        <v>1.08</v>
      </c>
      <c r="AG111">
        <f>_xlfn.XLOOKUP(Table1820[[#This Row],[Exotic Car]],Table7[Exotic Car],Table7[Exotic Car Factor],,0)</f>
        <v>1</v>
      </c>
      <c r="AH111">
        <f>_xlfn.XLOOKUP(Table1820[[#This Row],[Difficult Parts]],Table8[Difficult Parts],Table8[Difficult Parts Factor],,0)</f>
        <v>1</v>
      </c>
      <c r="AI111">
        <f>_xlfn.XLOOKUP(Table1820[[#This Row],[High Theft Rate]],Table9[High Theft Rate],Table9[High Theft Rate Factor],,0)</f>
        <v>1</v>
      </c>
      <c r="AJ111">
        <f>_xlfn.XLOOKUP(Table1820[[#This Row],[Advanced Safety Features]],Table10[Advanced Safety Features],Table10[Advanced Safety Features Factor],,0)</f>
        <v>0.88</v>
      </c>
      <c r="AK111">
        <f>_xlfn.XLOOKUP(Table1820[[#This Row],[Deductible]],Table12[Deductible],Table12[Deductible Factor],,0)</f>
        <v>1</v>
      </c>
      <c r="AL111">
        <f>_xlfn.XLOOKUP(Table1820[[#This Row],[Coverage Limit]],Table13[Coverage Limit],Table13[Coverage Limit Factor],,0)</f>
        <v>0.61</v>
      </c>
      <c r="AM111">
        <f>IF(Table1820[[#This Row],[Good Student Discount]]="Yes",'Rate Book'!$D$126,1)</f>
        <v>1</v>
      </c>
      <c r="AN111">
        <f>IF(Table1820[[#This Row],[Good Driver Discount]]="Yes",'Rate Book'!$D$127,1)</f>
        <v>1</v>
      </c>
      <c r="AO111">
        <f>IF(Table1820[[#This Row],[Multi Policy Discount]]="Yes",'Rate Book'!$D$128,1)</f>
        <v>1</v>
      </c>
      <c r="AP111">
        <f>IF(Table1820[[#This Row],[Loyal Customer Discount]]="Yes",'Rate Book'!$D$129,1)</f>
        <v>1</v>
      </c>
      <c r="AQ111">
        <f>IF(Table1820[[#This Row],[Organization Discount]]="Yes",'Rate Book'!$D$130,1)</f>
        <v>1</v>
      </c>
      <c r="AR111" cm="1">
        <f t="array" ref="AR111">IF(Table1820[[#This Row],[Effective Date]]&gt;=RateChangeTable[Effective Date],RateChangeTable[Rate Change Factor],1)</f>
        <v>1</v>
      </c>
      <c r="AS111" s="10">
        <f>PRODUCT(Table1820[[#This Row],[Base Rate]:[Rate Change Factor]])</f>
        <v>720.65623263382452</v>
      </c>
      <c r="AT111" s="9">
        <f>Table1820[[#This Row],[System-Generated Premium]]-Table1820[[#This Row],[Expected Premium]]</f>
        <v>0</v>
      </c>
      <c r="AU111" t="str">
        <f>IF(Table1820[[#This Row],[Difference]]=0,"PASS","FAIL")</f>
        <v>PASS</v>
      </c>
      <c r="AV111" s="9">
        <f>ABS(Table1820[[#This Row],[Difference]])</f>
        <v>0</v>
      </c>
      <c r="AW111" s="9" t="s">
        <v>1136</v>
      </c>
    </row>
    <row r="112" spans="1:49" x14ac:dyDescent="0.3">
      <c r="A112" t="s">
        <v>203</v>
      </c>
      <c r="B112" s="7">
        <v>46078</v>
      </c>
      <c r="C112" t="s">
        <v>70</v>
      </c>
      <c r="D112" t="s">
        <v>1099</v>
      </c>
      <c r="E112" s="3">
        <v>1</v>
      </c>
      <c r="F112" s="3">
        <v>0</v>
      </c>
      <c r="G112" t="s">
        <v>10</v>
      </c>
      <c r="H112" t="s">
        <v>1109</v>
      </c>
      <c r="I112" t="s">
        <v>32</v>
      </c>
      <c r="J112" t="s">
        <v>52</v>
      </c>
      <c r="K112" t="s">
        <v>10</v>
      </c>
      <c r="L112" t="s">
        <v>10</v>
      </c>
      <c r="M112" t="s">
        <v>10</v>
      </c>
      <c r="N112" t="s">
        <v>57</v>
      </c>
      <c r="O112" t="str">
        <f>INDEX(CoverageTable[Deductible Applies],MATCH(Table1820[[#This Row],[Coverage]],CoverageTable[Coverage],0))</f>
        <v>No</v>
      </c>
      <c r="P112" t="str">
        <f>INDEX(CoverageTable[Coverage Limit Applies],MATCH(Table1820[[#This Row],[Coverage]],CoverageTable[Coverage],0))</f>
        <v>Yes</v>
      </c>
      <c r="Q112" t="s">
        <v>10</v>
      </c>
      <c r="R112" t="s">
        <v>80</v>
      </c>
      <c r="S112" t="s">
        <v>10</v>
      </c>
      <c r="T112" t="s">
        <v>10</v>
      </c>
      <c r="U112" t="s">
        <v>57</v>
      </c>
      <c r="V112" t="s">
        <v>10</v>
      </c>
      <c r="W112" t="s">
        <v>57</v>
      </c>
      <c r="X112" s="11">
        <v>1496.0855262744717</v>
      </c>
      <c r="Y112">
        <f>_xlfn.XLOOKUP(Table1820[[#This Row],[Coverage]],CoverageTable[Coverage],CoverageTable[Base Rate],,0)</f>
        <v>622</v>
      </c>
      <c r="Z112">
        <f>INDEX(Table16[Ageband Factor],MATCH(Table1820[[#This Row],[Ageband]],Table16[Ageband],0))</f>
        <v>1</v>
      </c>
      <c r="AA112">
        <f>VLOOKUP(Table1820[[#This Row],[Years Driving]],Table1[],2)</f>
        <v>1.64</v>
      </c>
      <c r="AB112">
        <f>_xlfn.XLOOKUP(Table1820[[#This Row],[At Fault Accidents]],Table2[At Fault Accidents],Table2[At Fault Accident Factor],,0)</f>
        <v>1</v>
      </c>
      <c r="AC112">
        <f>_xlfn.XLOOKUP(Table1820[[#This Row],[Usage-Based Insurance]],Table3[Usage-Based Insurance],Table3[Usage-Based Insurance Discount],,0)</f>
        <v>1</v>
      </c>
      <c r="AD112">
        <f>_xlfn.XLOOKUP(Table1820[[#This Row],[Yearly Miles]],Table4[Yearly Miles],Table4[Yearly Miles Factor],,0)</f>
        <v>1.18</v>
      </c>
      <c r="AE112">
        <f>_xlfn.XLOOKUP(Table1820[[#This Row],[City/Zip Code]],Table5[City/Zip Code],Table5[City/Zip Code Factor],,0)</f>
        <v>1.1200000000000001</v>
      </c>
      <c r="AF112">
        <f>_xlfn.XLOOKUP(Table1820[[#This Row],[Vehicle Price]],Table6[Vehicle Price],Table6[Vehicle Price Factor])</f>
        <v>1.57</v>
      </c>
      <c r="AG112">
        <f>_xlfn.XLOOKUP(Table1820[[#This Row],[Exotic Car]],Table7[Exotic Car],Table7[Exotic Car Factor],,0)</f>
        <v>1</v>
      </c>
      <c r="AH112">
        <f>_xlfn.XLOOKUP(Table1820[[#This Row],[Difficult Parts]],Table8[Difficult Parts],Table8[Difficult Parts Factor],,0)</f>
        <v>1</v>
      </c>
      <c r="AI112">
        <f>_xlfn.XLOOKUP(Table1820[[#This Row],[High Theft Rate]],Table9[High Theft Rate],Table9[High Theft Rate Factor],,0)</f>
        <v>1</v>
      </c>
      <c r="AJ112">
        <f>_xlfn.XLOOKUP(Table1820[[#This Row],[Advanced Safety Features]],Table10[Advanced Safety Features],Table10[Advanced Safety Features Factor],,0)</f>
        <v>0.88</v>
      </c>
      <c r="AK112">
        <f>_xlfn.XLOOKUP(Table1820[[#This Row],[Deductible]],Table12[Deductible],Table12[Deductible Factor],,0)</f>
        <v>1</v>
      </c>
      <c r="AL112">
        <f>_xlfn.XLOOKUP(Table1820[[#This Row],[Coverage Limit]],Table13[Coverage Limit],Table13[Coverage Limit Factor],,0)</f>
        <v>0.84</v>
      </c>
      <c r="AM112">
        <f>IF(Table1820[[#This Row],[Good Student Discount]]="Yes",'Rate Book'!$D$126,1)</f>
        <v>1</v>
      </c>
      <c r="AN112">
        <f>IF(Table1820[[#This Row],[Good Driver Discount]]="Yes",'Rate Book'!$D$127,1)</f>
        <v>1</v>
      </c>
      <c r="AO112">
        <f>IF(Table1820[[#This Row],[Multi Policy Discount]]="Yes",'Rate Book'!$D$128,1)</f>
        <v>0.93</v>
      </c>
      <c r="AP112">
        <f>IF(Table1820[[#This Row],[Loyal Customer Discount]]="Yes",'Rate Book'!$D$129,1)</f>
        <v>1</v>
      </c>
      <c r="AQ112">
        <f>IF(Table1820[[#This Row],[Organization Discount]]="Yes",'Rate Book'!$D$130,1)</f>
        <v>0.97</v>
      </c>
      <c r="AR112" cm="1">
        <f t="array" ref="AR112">IF(Table1820[[#This Row],[Effective Date]]&gt;=RateChangeTable[Effective Date],RateChangeTable[Rate Change Factor],1)</f>
        <v>1.06</v>
      </c>
      <c r="AS112" s="10">
        <f>PRODUCT(Table1820[[#This Row],[Base Rate]:[Rate Change Factor]])</f>
        <v>1496.0855262744717</v>
      </c>
      <c r="AT112" s="9">
        <f>Table1820[[#This Row],[System-Generated Premium]]-Table1820[[#This Row],[Expected Premium]]</f>
        <v>0</v>
      </c>
      <c r="AU112" t="str">
        <f>IF(Table1820[[#This Row],[Difference]]=0,"PASS","FAIL")</f>
        <v>PASS</v>
      </c>
      <c r="AV112" s="9">
        <f>ABS(Table1820[[#This Row],[Difference]])</f>
        <v>0</v>
      </c>
      <c r="AW112" s="9" t="s">
        <v>1136</v>
      </c>
    </row>
    <row r="113" spans="1:49" x14ac:dyDescent="0.3">
      <c r="A113" t="s">
        <v>204</v>
      </c>
      <c r="B113" s="7">
        <v>45837</v>
      </c>
      <c r="C113" t="s">
        <v>71</v>
      </c>
      <c r="D113" t="s">
        <v>1098</v>
      </c>
      <c r="E113" s="3">
        <v>1</v>
      </c>
      <c r="F113" s="3">
        <v>3</v>
      </c>
      <c r="G113" t="s">
        <v>10</v>
      </c>
      <c r="H113" t="s">
        <v>1108</v>
      </c>
      <c r="I113" t="s">
        <v>28</v>
      </c>
      <c r="J113" t="s">
        <v>53</v>
      </c>
      <c r="K113" t="s">
        <v>10</v>
      </c>
      <c r="L113" t="s">
        <v>10</v>
      </c>
      <c r="M113" t="s">
        <v>10</v>
      </c>
      <c r="N113" t="s">
        <v>10</v>
      </c>
      <c r="O113" t="str">
        <f>INDEX(CoverageTable[Deductible Applies],MATCH(Table1820[[#This Row],[Coverage]],CoverageTable[Coverage],0))</f>
        <v>Yes</v>
      </c>
      <c r="P113" t="str">
        <f>INDEX(CoverageTable[Coverage Limit Applies],MATCH(Table1820[[#This Row],[Coverage]],CoverageTable[Coverage],0))</f>
        <v>No</v>
      </c>
      <c r="Q113" t="s">
        <v>79</v>
      </c>
      <c r="R113" t="s">
        <v>10</v>
      </c>
      <c r="S113" t="s">
        <v>10</v>
      </c>
      <c r="T113" t="s">
        <v>10</v>
      </c>
      <c r="U113" t="s">
        <v>57</v>
      </c>
      <c r="V113" t="s">
        <v>10</v>
      </c>
      <c r="W113" t="s">
        <v>10</v>
      </c>
      <c r="X113" s="11">
        <v>2493.1921960554337</v>
      </c>
      <c r="Y113">
        <f>_xlfn.XLOOKUP(Table1820[[#This Row],[Coverage]],CoverageTable[Coverage],CoverageTable[Base Rate],,0)</f>
        <v>453</v>
      </c>
      <c r="Z113">
        <f>INDEX(Table16[Ageband Factor],MATCH(Table1820[[#This Row],[Ageband]],Table16[Ageband],0))</f>
        <v>1.23</v>
      </c>
      <c r="AA113">
        <f>VLOOKUP(Table1820[[#This Row],[Years Driving]],Table1[],2)</f>
        <v>1.64</v>
      </c>
      <c r="AB113">
        <f>_xlfn.XLOOKUP(Table1820[[#This Row],[At Fault Accidents]],Table2[At Fault Accidents],Table2[At Fault Accident Factor],,0)</f>
        <v>1.82</v>
      </c>
      <c r="AC113">
        <f>_xlfn.XLOOKUP(Table1820[[#This Row],[Usage-Based Insurance]],Table3[Usage-Based Insurance],Table3[Usage-Based Insurance Discount],,0)</f>
        <v>1</v>
      </c>
      <c r="AD113">
        <f>_xlfn.XLOOKUP(Table1820[[#This Row],[Yearly Miles]],Table4[Yearly Miles],Table4[Yearly Miles Factor],,0)</f>
        <v>1</v>
      </c>
      <c r="AE113">
        <f>_xlfn.XLOOKUP(Table1820[[#This Row],[City/Zip Code]],Table5[City/Zip Code],Table5[City/Zip Code Factor],,0)</f>
        <v>0.95</v>
      </c>
      <c r="AF113">
        <f>_xlfn.XLOOKUP(Table1820[[#This Row],[Vehicle Price]],Table6[Vehicle Price],Table6[Vehicle Price Factor])</f>
        <v>2.02</v>
      </c>
      <c r="AG113">
        <f>_xlfn.XLOOKUP(Table1820[[#This Row],[Exotic Car]],Table7[Exotic Car],Table7[Exotic Car Factor],,0)</f>
        <v>1</v>
      </c>
      <c r="AH113">
        <f>_xlfn.XLOOKUP(Table1820[[#This Row],[Difficult Parts]],Table8[Difficult Parts],Table8[Difficult Parts Factor],,0)</f>
        <v>1</v>
      </c>
      <c r="AI113">
        <f>_xlfn.XLOOKUP(Table1820[[#This Row],[High Theft Rate]],Table9[High Theft Rate],Table9[High Theft Rate Factor],,0)</f>
        <v>1</v>
      </c>
      <c r="AJ113">
        <f>_xlfn.XLOOKUP(Table1820[[#This Row],[Advanced Safety Features]],Table10[Advanced Safety Features],Table10[Advanced Safety Features Factor],,0)</f>
        <v>1</v>
      </c>
      <c r="AK113">
        <f>_xlfn.XLOOKUP(Table1820[[#This Row],[Deductible]],Table12[Deductible],Table12[Deductible Factor],,0)</f>
        <v>0.84</v>
      </c>
      <c r="AL113">
        <f>_xlfn.XLOOKUP(Table1820[[#This Row],[Coverage Limit]],Table13[Coverage Limit],Table13[Coverage Limit Factor],,0)</f>
        <v>1</v>
      </c>
      <c r="AM113">
        <f>IF(Table1820[[#This Row],[Good Student Discount]]="Yes",'Rate Book'!$D$126,1)</f>
        <v>1</v>
      </c>
      <c r="AN113">
        <f>IF(Table1820[[#This Row],[Good Driver Discount]]="Yes",'Rate Book'!$D$127,1)</f>
        <v>1</v>
      </c>
      <c r="AO113">
        <f>IF(Table1820[[#This Row],[Multi Policy Discount]]="Yes",'Rate Book'!$D$128,1)</f>
        <v>0.93</v>
      </c>
      <c r="AP113">
        <f>IF(Table1820[[#This Row],[Loyal Customer Discount]]="Yes",'Rate Book'!$D$129,1)</f>
        <v>1</v>
      </c>
      <c r="AQ113">
        <f>IF(Table1820[[#This Row],[Organization Discount]]="Yes",'Rate Book'!$D$130,1)</f>
        <v>1</v>
      </c>
      <c r="AR113" cm="1">
        <f t="array" ref="AR113">IF(Table1820[[#This Row],[Effective Date]]&gt;=RateChangeTable[Effective Date],RateChangeTable[Rate Change Factor],1)</f>
        <v>1</v>
      </c>
      <c r="AS113" s="10">
        <f>PRODUCT(Table1820[[#This Row],[Base Rate]:[Rate Change Factor]])</f>
        <v>2493.1921960554337</v>
      </c>
      <c r="AT113" s="9">
        <f>Table1820[[#This Row],[System-Generated Premium]]-Table1820[[#This Row],[Expected Premium]]</f>
        <v>0</v>
      </c>
      <c r="AU113" t="str">
        <f>IF(Table1820[[#This Row],[Difference]]=0,"PASS","FAIL")</f>
        <v>PASS</v>
      </c>
      <c r="AV113" s="9">
        <f>ABS(Table1820[[#This Row],[Difference]])</f>
        <v>0</v>
      </c>
      <c r="AW113" s="9" t="s">
        <v>1136</v>
      </c>
    </row>
    <row r="114" spans="1:49" x14ac:dyDescent="0.3">
      <c r="A114" t="s">
        <v>205</v>
      </c>
      <c r="B114" s="7">
        <v>45792</v>
      </c>
      <c r="C114" t="s">
        <v>72</v>
      </c>
      <c r="D114" t="s">
        <v>1098</v>
      </c>
      <c r="E114" s="3">
        <v>2</v>
      </c>
      <c r="F114" s="3" t="s">
        <v>7</v>
      </c>
      <c r="G114" t="s">
        <v>10</v>
      </c>
      <c r="H114" t="s">
        <v>1107</v>
      </c>
      <c r="I114" t="s">
        <v>30</v>
      </c>
      <c r="J114" t="s">
        <v>48</v>
      </c>
      <c r="K114" t="s">
        <v>10</v>
      </c>
      <c r="L114" t="s">
        <v>10</v>
      </c>
      <c r="M114" t="s">
        <v>10</v>
      </c>
      <c r="N114" t="s">
        <v>57</v>
      </c>
      <c r="O114" t="str">
        <f>INDEX(CoverageTable[Deductible Applies],MATCH(Table1820[[#This Row],[Coverage]],CoverageTable[Coverage],0))</f>
        <v>Yes</v>
      </c>
      <c r="P114" t="str">
        <f>INDEX(CoverageTable[Coverage Limit Applies],MATCH(Table1820[[#This Row],[Coverage]],CoverageTable[Coverage],0))</f>
        <v>No</v>
      </c>
      <c r="Q114" t="s">
        <v>79</v>
      </c>
      <c r="R114" t="s">
        <v>10</v>
      </c>
      <c r="S114" t="s">
        <v>10</v>
      </c>
      <c r="T114" t="s">
        <v>57</v>
      </c>
      <c r="U114" t="s">
        <v>10</v>
      </c>
      <c r="V114" t="s">
        <v>10</v>
      </c>
      <c r="W114" t="s">
        <v>10</v>
      </c>
      <c r="X114" s="11">
        <v>265.25005658945673</v>
      </c>
      <c r="Y114">
        <f>_xlfn.XLOOKUP(Table1820[[#This Row],[Coverage]],CoverageTable[Coverage],CoverageTable[Base Rate],,0)</f>
        <v>121</v>
      </c>
      <c r="Z114">
        <f>INDEX(Table16[Ageband Factor],MATCH(Table1820[[#This Row],[Ageband]],Table16[Ageband],0))</f>
        <v>1.23</v>
      </c>
      <c r="AA114">
        <f>VLOOKUP(Table1820[[#This Row],[Years Driving]],Table1[],2)</f>
        <v>1.41</v>
      </c>
      <c r="AB114">
        <f>_xlfn.XLOOKUP(Table1820[[#This Row],[At Fault Accidents]],Table2[At Fault Accidents],Table2[At Fault Accident Factor],,0)</f>
        <v>2.4700000000000002</v>
      </c>
      <c r="AC114">
        <f>_xlfn.XLOOKUP(Table1820[[#This Row],[Usage-Based Insurance]],Table3[Usage-Based Insurance],Table3[Usage-Based Insurance Discount],,0)</f>
        <v>1</v>
      </c>
      <c r="AD114">
        <f>_xlfn.XLOOKUP(Table1820[[#This Row],[Yearly Miles]],Table4[Yearly Miles],Table4[Yearly Miles Factor],,0)</f>
        <v>0.93</v>
      </c>
      <c r="AE114">
        <f>_xlfn.XLOOKUP(Table1820[[#This Row],[City/Zip Code]],Table5[City/Zip Code],Table5[City/Zip Code Factor],,0)</f>
        <v>1.02</v>
      </c>
      <c r="AF114">
        <f>_xlfn.XLOOKUP(Table1820[[#This Row],[Vehicle Price]],Table6[Vehicle Price],Table6[Vehicle Price Factor])</f>
        <v>0.82</v>
      </c>
      <c r="AG114">
        <f>_xlfn.XLOOKUP(Table1820[[#This Row],[Exotic Car]],Table7[Exotic Car],Table7[Exotic Car Factor],,0)</f>
        <v>1</v>
      </c>
      <c r="AH114">
        <f>_xlfn.XLOOKUP(Table1820[[#This Row],[Difficult Parts]],Table8[Difficult Parts],Table8[Difficult Parts Factor],,0)</f>
        <v>1</v>
      </c>
      <c r="AI114">
        <f>_xlfn.XLOOKUP(Table1820[[#This Row],[High Theft Rate]],Table9[High Theft Rate],Table9[High Theft Rate Factor],,0)</f>
        <v>1</v>
      </c>
      <c r="AJ114">
        <f>_xlfn.XLOOKUP(Table1820[[#This Row],[Advanced Safety Features]],Table10[Advanced Safety Features],Table10[Advanced Safety Features Factor],,0)</f>
        <v>0.88</v>
      </c>
      <c r="AK114">
        <f>_xlfn.XLOOKUP(Table1820[[#This Row],[Deductible]],Table12[Deductible],Table12[Deductible Factor],,0)</f>
        <v>0.84</v>
      </c>
      <c r="AL114">
        <f>_xlfn.XLOOKUP(Table1820[[#This Row],[Coverage Limit]],Table13[Coverage Limit],Table13[Coverage Limit Factor],,0)</f>
        <v>1</v>
      </c>
      <c r="AM114">
        <f>IF(Table1820[[#This Row],[Good Student Discount]]="Yes",'Rate Book'!$D$126,1)</f>
        <v>1</v>
      </c>
      <c r="AN114">
        <f>IF(Table1820[[#This Row],[Good Driver Discount]]="Yes",'Rate Book'!$D$127,1)</f>
        <v>0.89</v>
      </c>
      <c r="AO114">
        <f>IF(Table1820[[#This Row],[Multi Policy Discount]]="Yes",'Rate Book'!$D$128,1)</f>
        <v>1</v>
      </c>
      <c r="AP114">
        <f>IF(Table1820[[#This Row],[Loyal Customer Discount]]="Yes",'Rate Book'!$D$129,1)</f>
        <v>1</v>
      </c>
      <c r="AQ114">
        <f>IF(Table1820[[#This Row],[Organization Discount]]="Yes",'Rate Book'!$D$130,1)</f>
        <v>1</v>
      </c>
      <c r="AR114" cm="1">
        <f t="array" ref="AR114">IF(Table1820[[#This Row],[Effective Date]]&gt;=RateChangeTable[Effective Date],RateChangeTable[Rate Change Factor],1)</f>
        <v>1</v>
      </c>
      <c r="AS114" s="10">
        <f>PRODUCT(Table1820[[#This Row],[Base Rate]:[Rate Change Factor]])</f>
        <v>265.25005658945673</v>
      </c>
      <c r="AT114" s="9">
        <f>Table1820[[#This Row],[System-Generated Premium]]-Table1820[[#This Row],[Expected Premium]]</f>
        <v>0</v>
      </c>
      <c r="AU114" t="str">
        <f>IF(Table1820[[#This Row],[Difference]]=0,"PASS","FAIL")</f>
        <v>PASS</v>
      </c>
      <c r="AV114" s="9">
        <f>ABS(Table1820[[#This Row],[Difference]])</f>
        <v>0</v>
      </c>
      <c r="AW114" s="9" t="s">
        <v>1136</v>
      </c>
    </row>
    <row r="115" spans="1:49" x14ac:dyDescent="0.3">
      <c r="A115" t="s">
        <v>206</v>
      </c>
      <c r="B115" s="7">
        <v>46089</v>
      </c>
      <c r="C115" t="s">
        <v>73</v>
      </c>
      <c r="D115" t="s">
        <v>1102</v>
      </c>
      <c r="E115" s="3">
        <v>1</v>
      </c>
      <c r="F115" s="3" t="s">
        <v>7</v>
      </c>
      <c r="G115" t="s">
        <v>12</v>
      </c>
      <c r="H115" t="s">
        <v>1107</v>
      </c>
      <c r="I115" t="s">
        <v>34</v>
      </c>
      <c r="J115" t="s">
        <v>48</v>
      </c>
      <c r="K115" t="s">
        <v>10</v>
      </c>
      <c r="L115" t="s">
        <v>57</v>
      </c>
      <c r="M115" t="s">
        <v>10</v>
      </c>
      <c r="N115" t="s">
        <v>10</v>
      </c>
      <c r="O115" t="str">
        <f>INDEX(CoverageTable[Deductible Applies],MATCH(Table1820[[#This Row],[Coverage]],CoverageTable[Coverage],0))</f>
        <v>No</v>
      </c>
      <c r="P115" t="str">
        <f>INDEX(CoverageTable[Coverage Limit Applies],MATCH(Table1820[[#This Row],[Coverage]],CoverageTable[Coverage],0))</f>
        <v>Yes</v>
      </c>
      <c r="Q115" t="s">
        <v>10</v>
      </c>
      <c r="R115" t="s">
        <v>80</v>
      </c>
      <c r="S115" t="s">
        <v>10</v>
      </c>
      <c r="T115" t="s">
        <v>10</v>
      </c>
      <c r="U115" t="s">
        <v>10</v>
      </c>
      <c r="V115" t="s">
        <v>57</v>
      </c>
      <c r="W115" t="s">
        <v>10</v>
      </c>
      <c r="X115" s="11">
        <v>386.76653215273075</v>
      </c>
      <c r="Y115">
        <f>_xlfn.XLOOKUP(Table1820[[#This Row],[Coverage]],CoverageTable[Coverage],CoverageTable[Base Rate],,0)</f>
        <v>78</v>
      </c>
      <c r="Z115">
        <f>INDEX(Table16[Ageband Factor],MATCH(Table1820[[#This Row],[Ageband]],Table16[Ageband],0))</f>
        <v>1.27</v>
      </c>
      <c r="AA115">
        <f>VLOOKUP(Table1820[[#This Row],[Years Driving]],Table1[],2)</f>
        <v>1.64</v>
      </c>
      <c r="AB115">
        <f>_xlfn.XLOOKUP(Table1820[[#This Row],[At Fault Accidents]],Table2[At Fault Accidents],Table2[At Fault Accident Factor],,0)</f>
        <v>2.4700000000000002</v>
      </c>
      <c r="AC115">
        <f>_xlfn.XLOOKUP(Table1820[[#This Row],[Usage-Based Insurance]],Table3[Usage-Based Insurance],Table3[Usage-Based Insurance Discount],,0)</f>
        <v>0.8</v>
      </c>
      <c r="AD115">
        <f>_xlfn.XLOOKUP(Table1820[[#This Row],[Yearly Miles]],Table4[Yearly Miles],Table4[Yearly Miles Factor],,0)</f>
        <v>0.93</v>
      </c>
      <c r="AE115">
        <f>_xlfn.XLOOKUP(Table1820[[#This Row],[City/Zip Code]],Table5[City/Zip Code],Table5[City/Zip Code Factor],,0)</f>
        <v>1.56</v>
      </c>
      <c r="AF115">
        <f>_xlfn.XLOOKUP(Table1820[[#This Row],[Vehicle Price]],Table6[Vehicle Price],Table6[Vehicle Price Factor])</f>
        <v>0.82</v>
      </c>
      <c r="AG115">
        <f>_xlfn.XLOOKUP(Table1820[[#This Row],[Exotic Car]],Table7[Exotic Car],Table7[Exotic Car Factor],,0)</f>
        <v>1</v>
      </c>
      <c r="AH115">
        <f>_xlfn.XLOOKUP(Table1820[[#This Row],[Difficult Parts]],Table8[Difficult Parts],Table8[Difficult Parts Factor],,0)</f>
        <v>1.21</v>
      </c>
      <c r="AI115">
        <f>_xlfn.XLOOKUP(Table1820[[#This Row],[High Theft Rate]],Table9[High Theft Rate],Table9[High Theft Rate Factor],,0)</f>
        <v>1</v>
      </c>
      <c r="AJ115">
        <f>_xlfn.XLOOKUP(Table1820[[#This Row],[Advanced Safety Features]],Table10[Advanced Safety Features],Table10[Advanced Safety Features Factor],,0)</f>
        <v>1</v>
      </c>
      <c r="AK115">
        <f>_xlfn.XLOOKUP(Table1820[[#This Row],[Deductible]],Table12[Deductible],Table12[Deductible Factor],,0)</f>
        <v>1</v>
      </c>
      <c r="AL115">
        <f>_xlfn.XLOOKUP(Table1820[[#This Row],[Coverage Limit]],Table13[Coverage Limit],Table13[Coverage Limit Factor],,0)</f>
        <v>0.84</v>
      </c>
      <c r="AM115">
        <f>IF(Table1820[[#This Row],[Good Student Discount]]="Yes",'Rate Book'!$D$126,1)</f>
        <v>1</v>
      </c>
      <c r="AN115">
        <f>IF(Table1820[[#This Row],[Good Driver Discount]]="Yes",'Rate Book'!$D$127,1)</f>
        <v>1</v>
      </c>
      <c r="AO115">
        <f>IF(Table1820[[#This Row],[Multi Policy Discount]]="Yes",'Rate Book'!$D$128,1)</f>
        <v>1</v>
      </c>
      <c r="AP115">
        <f>IF(Table1820[[#This Row],[Loyal Customer Discount]]="Yes",'Rate Book'!$D$129,1)</f>
        <v>0.94</v>
      </c>
      <c r="AQ115">
        <f>IF(Table1820[[#This Row],[Organization Discount]]="Yes",'Rate Book'!$D$130,1)</f>
        <v>1</v>
      </c>
      <c r="AR115" cm="1">
        <f t="array" ref="AR115">IF(Table1820[[#This Row],[Effective Date]]&gt;=RateChangeTable[Effective Date],RateChangeTable[Rate Change Factor],1)</f>
        <v>1.06</v>
      </c>
      <c r="AS115" s="10">
        <f>PRODUCT(Table1820[[#This Row],[Base Rate]:[Rate Change Factor]])</f>
        <v>386.76653215273075</v>
      </c>
      <c r="AT115" s="9">
        <f>Table1820[[#This Row],[System-Generated Premium]]-Table1820[[#This Row],[Expected Premium]]</f>
        <v>0</v>
      </c>
      <c r="AU115" t="str">
        <f>IF(Table1820[[#This Row],[Difference]]=0,"PASS","FAIL")</f>
        <v>PASS</v>
      </c>
      <c r="AV115" s="9">
        <f>ABS(Table1820[[#This Row],[Difference]])</f>
        <v>0</v>
      </c>
      <c r="AW115" s="9" t="s">
        <v>1136</v>
      </c>
    </row>
    <row r="116" spans="1:49" x14ac:dyDescent="0.3">
      <c r="A116" t="s">
        <v>207</v>
      </c>
      <c r="B116" s="7">
        <v>45942</v>
      </c>
      <c r="C116" t="s">
        <v>73</v>
      </c>
      <c r="D116" t="s">
        <v>1099</v>
      </c>
      <c r="E116" s="3">
        <v>1</v>
      </c>
      <c r="F116" s="3">
        <v>1</v>
      </c>
      <c r="G116" t="s">
        <v>10</v>
      </c>
      <c r="H116" t="s">
        <v>1110</v>
      </c>
      <c r="I116" t="s">
        <v>27</v>
      </c>
      <c r="J116" t="s">
        <v>52</v>
      </c>
      <c r="K116" t="s">
        <v>10</v>
      </c>
      <c r="L116" t="s">
        <v>57</v>
      </c>
      <c r="M116" t="s">
        <v>10</v>
      </c>
      <c r="N116" t="s">
        <v>57</v>
      </c>
      <c r="O116" t="str">
        <f>INDEX(CoverageTable[Deductible Applies],MATCH(Table1820[[#This Row],[Coverage]],CoverageTable[Coverage],0))</f>
        <v>No</v>
      </c>
      <c r="P116" t="str">
        <f>INDEX(CoverageTable[Coverage Limit Applies],MATCH(Table1820[[#This Row],[Coverage]],CoverageTable[Coverage],0))</f>
        <v>Yes</v>
      </c>
      <c r="Q116" t="s">
        <v>10</v>
      </c>
      <c r="R116" t="s">
        <v>79</v>
      </c>
      <c r="S116" t="s">
        <v>10</v>
      </c>
      <c r="T116" t="s">
        <v>10</v>
      </c>
      <c r="U116" t="s">
        <v>10</v>
      </c>
      <c r="V116" t="s">
        <v>10</v>
      </c>
      <c r="W116" t="s">
        <v>57</v>
      </c>
      <c r="X116" s="11">
        <v>246.44177260970653</v>
      </c>
      <c r="Y116">
        <f>_xlfn.XLOOKUP(Table1820[[#This Row],[Coverage]],CoverageTable[Coverage],CoverageTable[Base Rate],,0)</f>
        <v>78</v>
      </c>
      <c r="Z116">
        <f>INDEX(Table16[Ageband Factor],MATCH(Table1820[[#This Row],[Ageband]],Table16[Ageband],0))</f>
        <v>1</v>
      </c>
      <c r="AA116">
        <f>VLOOKUP(Table1820[[#This Row],[Years Driving]],Table1[],2)</f>
        <v>1.64</v>
      </c>
      <c r="AB116">
        <f>_xlfn.XLOOKUP(Table1820[[#This Row],[At Fault Accidents]],Table2[At Fault Accidents],Table2[At Fault Accident Factor],,0)</f>
        <v>1.34</v>
      </c>
      <c r="AC116">
        <f>_xlfn.XLOOKUP(Table1820[[#This Row],[Usage-Based Insurance]],Table3[Usage-Based Insurance],Table3[Usage-Based Insurance Discount],,0)</f>
        <v>1</v>
      </c>
      <c r="AD116">
        <f>_xlfn.XLOOKUP(Table1820[[#This Row],[Yearly Miles]],Table4[Yearly Miles],Table4[Yearly Miles Factor],,0)</f>
        <v>1.31</v>
      </c>
      <c r="AE116">
        <f>_xlfn.XLOOKUP(Table1820[[#This Row],[City/Zip Code]],Table5[City/Zip Code],Table5[City/Zip Code Factor],,0)</f>
        <v>0.94</v>
      </c>
      <c r="AF116">
        <f>_xlfn.XLOOKUP(Table1820[[#This Row],[Vehicle Price]],Table6[Vehicle Price],Table6[Vehicle Price Factor])</f>
        <v>1.57</v>
      </c>
      <c r="AG116">
        <f>_xlfn.XLOOKUP(Table1820[[#This Row],[Exotic Car]],Table7[Exotic Car],Table7[Exotic Car Factor],,0)</f>
        <v>1</v>
      </c>
      <c r="AH116">
        <f>_xlfn.XLOOKUP(Table1820[[#This Row],[Difficult Parts]],Table8[Difficult Parts],Table8[Difficult Parts Factor],,0)</f>
        <v>1.21</v>
      </c>
      <c r="AI116">
        <f>_xlfn.XLOOKUP(Table1820[[#This Row],[High Theft Rate]],Table9[High Theft Rate],Table9[High Theft Rate Factor],,0)</f>
        <v>1</v>
      </c>
      <c r="AJ116">
        <f>_xlfn.XLOOKUP(Table1820[[#This Row],[Advanced Safety Features]],Table10[Advanced Safety Features],Table10[Advanced Safety Features Factor],,0)</f>
        <v>0.88</v>
      </c>
      <c r="AK116">
        <f>_xlfn.XLOOKUP(Table1820[[#This Row],[Deductible]],Table12[Deductible],Table12[Deductible Factor],,0)</f>
        <v>1</v>
      </c>
      <c r="AL116">
        <f>_xlfn.XLOOKUP(Table1820[[#This Row],[Coverage Limit]],Table13[Coverage Limit],Table13[Coverage Limit Factor],,0)</f>
        <v>0.72</v>
      </c>
      <c r="AM116">
        <f>IF(Table1820[[#This Row],[Good Student Discount]]="Yes",'Rate Book'!$D$126,1)</f>
        <v>1</v>
      </c>
      <c r="AN116">
        <f>IF(Table1820[[#This Row],[Good Driver Discount]]="Yes",'Rate Book'!$D$127,1)</f>
        <v>1</v>
      </c>
      <c r="AO116">
        <f>IF(Table1820[[#This Row],[Multi Policy Discount]]="Yes",'Rate Book'!$D$128,1)</f>
        <v>1</v>
      </c>
      <c r="AP116">
        <f>IF(Table1820[[#This Row],[Loyal Customer Discount]]="Yes",'Rate Book'!$D$129,1)</f>
        <v>1</v>
      </c>
      <c r="AQ116">
        <f>IF(Table1820[[#This Row],[Organization Discount]]="Yes",'Rate Book'!$D$130,1)</f>
        <v>0.97</v>
      </c>
      <c r="AR116" cm="1">
        <f t="array" ref="AR116">IF(Table1820[[#This Row],[Effective Date]]&gt;=RateChangeTable[Effective Date],RateChangeTable[Rate Change Factor],1)</f>
        <v>1</v>
      </c>
      <c r="AS116" s="10">
        <f>PRODUCT(Table1820[[#This Row],[Base Rate]:[Rate Change Factor]])</f>
        <v>246.44177260970653</v>
      </c>
      <c r="AT116" s="9">
        <f>Table1820[[#This Row],[System-Generated Premium]]-Table1820[[#This Row],[Expected Premium]]</f>
        <v>0</v>
      </c>
      <c r="AU116" t="str">
        <f>IF(Table1820[[#This Row],[Difference]]=0,"PASS","FAIL")</f>
        <v>PASS</v>
      </c>
      <c r="AV116" s="9">
        <f>ABS(Table1820[[#This Row],[Difference]])</f>
        <v>0</v>
      </c>
      <c r="AW116" s="9" t="s">
        <v>1136</v>
      </c>
    </row>
    <row r="117" spans="1:49" x14ac:dyDescent="0.3">
      <c r="A117" t="s">
        <v>208</v>
      </c>
      <c r="B117" s="7">
        <v>45828</v>
      </c>
      <c r="C117" t="s">
        <v>70</v>
      </c>
      <c r="D117" t="s">
        <v>1102</v>
      </c>
      <c r="E117" s="3">
        <v>4</v>
      </c>
      <c r="F117" s="3">
        <v>0</v>
      </c>
      <c r="G117" t="s">
        <v>12</v>
      </c>
      <c r="H117" t="s">
        <v>1107</v>
      </c>
      <c r="I117" t="s">
        <v>38</v>
      </c>
      <c r="J117" t="s">
        <v>53</v>
      </c>
      <c r="K117" t="s">
        <v>10</v>
      </c>
      <c r="L117" t="s">
        <v>10</v>
      </c>
      <c r="M117" t="s">
        <v>10</v>
      </c>
      <c r="N117" t="s">
        <v>10</v>
      </c>
      <c r="O117" t="str">
        <f>INDEX(CoverageTable[Deductible Applies],MATCH(Table1820[[#This Row],[Coverage]],CoverageTable[Coverage],0))</f>
        <v>No</v>
      </c>
      <c r="P117" t="str">
        <f>INDEX(CoverageTable[Coverage Limit Applies],MATCH(Table1820[[#This Row],[Coverage]],CoverageTable[Coverage],0))</f>
        <v>Yes</v>
      </c>
      <c r="Q117" t="s">
        <v>10</v>
      </c>
      <c r="R117" t="s">
        <v>78</v>
      </c>
      <c r="S117" t="s">
        <v>10</v>
      </c>
      <c r="T117" t="s">
        <v>57</v>
      </c>
      <c r="U117" t="s">
        <v>10</v>
      </c>
      <c r="V117" t="s">
        <v>10</v>
      </c>
      <c r="W117" t="s">
        <v>10</v>
      </c>
      <c r="X117" s="11">
        <v>830.14530363174163</v>
      </c>
      <c r="Y117">
        <f>_xlfn.XLOOKUP(Table1820[[#This Row],[Coverage]],CoverageTable[Coverage],CoverageTable[Base Rate],,0)</f>
        <v>622</v>
      </c>
      <c r="Z117">
        <f>INDEX(Table16[Ageband Factor],MATCH(Table1820[[#This Row],[Ageband]],Table16[Ageband],0))</f>
        <v>1.27</v>
      </c>
      <c r="AA117">
        <f>VLOOKUP(Table1820[[#This Row],[Years Driving]],Table1[],2)</f>
        <v>1.1499999999999999</v>
      </c>
      <c r="AB117">
        <f>_xlfn.XLOOKUP(Table1820[[#This Row],[At Fault Accidents]],Table2[At Fault Accidents],Table2[At Fault Accident Factor],,0)</f>
        <v>1</v>
      </c>
      <c r="AC117">
        <f>_xlfn.XLOOKUP(Table1820[[#This Row],[Usage-Based Insurance]],Table3[Usage-Based Insurance],Table3[Usage-Based Insurance Discount],,0)</f>
        <v>0.8</v>
      </c>
      <c r="AD117">
        <f>_xlfn.XLOOKUP(Table1820[[#This Row],[Yearly Miles]],Table4[Yearly Miles],Table4[Yearly Miles Factor],,0)</f>
        <v>0.93</v>
      </c>
      <c r="AE117">
        <f>_xlfn.XLOOKUP(Table1820[[#This Row],[City/Zip Code]],Table5[City/Zip Code],Table5[City/Zip Code Factor],,0)</f>
        <v>1.1200000000000001</v>
      </c>
      <c r="AF117">
        <f>_xlfn.XLOOKUP(Table1820[[#This Row],[Vehicle Price]],Table6[Vehicle Price],Table6[Vehicle Price Factor])</f>
        <v>2.02</v>
      </c>
      <c r="AG117">
        <f>_xlfn.XLOOKUP(Table1820[[#This Row],[Exotic Car]],Table7[Exotic Car],Table7[Exotic Car Factor],,0)</f>
        <v>1</v>
      </c>
      <c r="AH117">
        <f>_xlfn.XLOOKUP(Table1820[[#This Row],[Difficult Parts]],Table8[Difficult Parts],Table8[Difficult Parts Factor],,0)</f>
        <v>1</v>
      </c>
      <c r="AI117">
        <f>_xlfn.XLOOKUP(Table1820[[#This Row],[High Theft Rate]],Table9[High Theft Rate],Table9[High Theft Rate Factor],,0)</f>
        <v>1</v>
      </c>
      <c r="AJ117">
        <f>_xlfn.XLOOKUP(Table1820[[#This Row],[Advanced Safety Features]],Table10[Advanced Safety Features],Table10[Advanced Safety Features Factor],,0)</f>
        <v>1</v>
      </c>
      <c r="AK117">
        <f>_xlfn.XLOOKUP(Table1820[[#This Row],[Deductible]],Table12[Deductible],Table12[Deductible Factor],,0)</f>
        <v>1</v>
      </c>
      <c r="AL117">
        <f>_xlfn.XLOOKUP(Table1820[[#This Row],[Coverage Limit]],Table13[Coverage Limit],Table13[Coverage Limit Factor],,0)</f>
        <v>0.61</v>
      </c>
      <c r="AM117">
        <f>IF(Table1820[[#This Row],[Good Student Discount]]="Yes",'Rate Book'!$D$126,1)</f>
        <v>1</v>
      </c>
      <c r="AN117">
        <f>IF(Table1820[[#This Row],[Good Driver Discount]]="Yes",'Rate Book'!$D$127,1)</f>
        <v>0.89</v>
      </c>
      <c r="AO117">
        <f>IF(Table1820[[#This Row],[Multi Policy Discount]]="Yes",'Rate Book'!$D$128,1)</f>
        <v>1</v>
      </c>
      <c r="AP117">
        <f>IF(Table1820[[#This Row],[Loyal Customer Discount]]="Yes",'Rate Book'!$D$129,1)</f>
        <v>1</v>
      </c>
      <c r="AQ117">
        <f>IF(Table1820[[#This Row],[Organization Discount]]="Yes",'Rate Book'!$D$130,1)</f>
        <v>1</v>
      </c>
      <c r="AR117" cm="1">
        <f t="array" ref="AR117">IF(Table1820[[#This Row],[Effective Date]]&gt;=RateChangeTable[Effective Date],RateChangeTable[Rate Change Factor],1)</f>
        <v>1</v>
      </c>
      <c r="AS117" s="10">
        <f>PRODUCT(Table1820[[#This Row],[Base Rate]:[Rate Change Factor]])</f>
        <v>830.14530363174163</v>
      </c>
      <c r="AT117" s="9">
        <f>Table1820[[#This Row],[System-Generated Premium]]-Table1820[[#This Row],[Expected Premium]]</f>
        <v>0</v>
      </c>
      <c r="AU117" t="str">
        <f>IF(Table1820[[#This Row],[Difference]]=0,"PASS","FAIL")</f>
        <v>PASS</v>
      </c>
      <c r="AV117" s="9">
        <f>ABS(Table1820[[#This Row],[Difference]])</f>
        <v>0</v>
      </c>
      <c r="AW117" s="9" t="s">
        <v>1136</v>
      </c>
    </row>
    <row r="118" spans="1:49" x14ac:dyDescent="0.3">
      <c r="A118" t="s">
        <v>209</v>
      </c>
      <c r="B118" s="7">
        <v>45794</v>
      </c>
      <c r="C118" t="s">
        <v>70</v>
      </c>
      <c r="D118" t="s">
        <v>1101</v>
      </c>
      <c r="E118" s="3">
        <v>3</v>
      </c>
      <c r="F118" s="3" t="s">
        <v>7</v>
      </c>
      <c r="G118" t="s">
        <v>10</v>
      </c>
      <c r="H118" t="s">
        <v>1109</v>
      </c>
      <c r="I118" t="s">
        <v>37</v>
      </c>
      <c r="J118" t="s">
        <v>49</v>
      </c>
      <c r="K118" t="s">
        <v>10</v>
      </c>
      <c r="L118" t="s">
        <v>10</v>
      </c>
      <c r="M118" t="s">
        <v>10</v>
      </c>
      <c r="N118" t="s">
        <v>57</v>
      </c>
      <c r="O118" t="str">
        <f>INDEX(CoverageTable[Deductible Applies],MATCH(Table1820[[#This Row],[Coverage]],CoverageTable[Coverage],0))</f>
        <v>No</v>
      </c>
      <c r="P118" t="str">
        <f>INDEX(CoverageTable[Coverage Limit Applies],MATCH(Table1820[[#This Row],[Coverage]],CoverageTable[Coverage],0))</f>
        <v>Yes</v>
      </c>
      <c r="Q118" t="s">
        <v>10</v>
      </c>
      <c r="R118" t="s">
        <v>80</v>
      </c>
      <c r="S118" t="s">
        <v>10</v>
      </c>
      <c r="T118" t="s">
        <v>10</v>
      </c>
      <c r="U118" t="s">
        <v>10</v>
      </c>
      <c r="V118" t="s">
        <v>10</v>
      </c>
      <c r="W118" t="s">
        <v>10</v>
      </c>
      <c r="X118" s="11">
        <v>1936.0090763260744</v>
      </c>
      <c r="Y118">
        <f>_xlfn.XLOOKUP(Table1820[[#This Row],[Coverage]],CoverageTable[Coverage],CoverageTable[Base Rate],,0)</f>
        <v>622</v>
      </c>
      <c r="Z118">
        <f>INDEX(Table16[Ageband Factor],MATCH(Table1820[[#This Row],[Ageband]],Table16[Ageband],0))</f>
        <v>1.1200000000000001</v>
      </c>
      <c r="AA118">
        <f>VLOOKUP(Table1820[[#This Row],[Years Driving]],Table1[],2)</f>
        <v>1.22</v>
      </c>
      <c r="AB118">
        <f>_xlfn.XLOOKUP(Table1820[[#This Row],[At Fault Accidents]],Table2[At Fault Accidents],Table2[At Fault Accident Factor],,0)</f>
        <v>2.4700000000000002</v>
      </c>
      <c r="AC118">
        <f>_xlfn.XLOOKUP(Table1820[[#This Row],[Usage-Based Insurance]],Table3[Usage-Based Insurance],Table3[Usage-Based Insurance Discount],,0)</f>
        <v>1</v>
      </c>
      <c r="AD118">
        <f>_xlfn.XLOOKUP(Table1820[[#This Row],[Yearly Miles]],Table4[Yearly Miles],Table4[Yearly Miles Factor],,0)</f>
        <v>1.18</v>
      </c>
      <c r="AE118">
        <f>_xlfn.XLOOKUP(Table1820[[#This Row],[City/Zip Code]],Table5[City/Zip Code],Table5[City/Zip Code Factor],,0)</f>
        <v>1.0900000000000001</v>
      </c>
      <c r="AF118">
        <f>_xlfn.XLOOKUP(Table1820[[#This Row],[Vehicle Price]],Table6[Vehicle Price],Table6[Vehicle Price Factor])</f>
        <v>0.97</v>
      </c>
      <c r="AG118">
        <f>_xlfn.XLOOKUP(Table1820[[#This Row],[Exotic Car]],Table7[Exotic Car],Table7[Exotic Car Factor],,0)</f>
        <v>1</v>
      </c>
      <c r="AH118">
        <f>_xlfn.XLOOKUP(Table1820[[#This Row],[Difficult Parts]],Table8[Difficult Parts],Table8[Difficult Parts Factor],,0)</f>
        <v>1</v>
      </c>
      <c r="AI118">
        <f>_xlfn.XLOOKUP(Table1820[[#This Row],[High Theft Rate]],Table9[High Theft Rate],Table9[High Theft Rate Factor],,0)</f>
        <v>1</v>
      </c>
      <c r="AJ118">
        <f>_xlfn.XLOOKUP(Table1820[[#This Row],[Advanced Safety Features]],Table10[Advanced Safety Features],Table10[Advanced Safety Features Factor],,0)</f>
        <v>0.88</v>
      </c>
      <c r="AK118">
        <f>_xlfn.XLOOKUP(Table1820[[#This Row],[Deductible]],Table12[Deductible],Table12[Deductible Factor],,0)</f>
        <v>1</v>
      </c>
      <c r="AL118">
        <f>_xlfn.XLOOKUP(Table1820[[#This Row],[Coverage Limit]],Table13[Coverage Limit],Table13[Coverage Limit Factor],,0)</f>
        <v>0.84</v>
      </c>
      <c r="AM118">
        <f>IF(Table1820[[#This Row],[Good Student Discount]]="Yes",'Rate Book'!$D$126,1)</f>
        <v>1</v>
      </c>
      <c r="AN118">
        <f>IF(Table1820[[#This Row],[Good Driver Discount]]="Yes",'Rate Book'!$D$127,1)</f>
        <v>1</v>
      </c>
      <c r="AO118">
        <f>IF(Table1820[[#This Row],[Multi Policy Discount]]="Yes",'Rate Book'!$D$128,1)</f>
        <v>1</v>
      </c>
      <c r="AP118">
        <f>IF(Table1820[[#This Row],[Loyal Customer Discount]]="Yes",'Rate Book'!$D$129,1)</f>
        <v>1</v>
      </c>
      <c r="AQ118">
        <f>IF(Table1820[[#This Row],[Organization Discount]]="Yes",'Rate Book'!$D$130,1)</f>
        <v>1</v>
      </c>
      <c r="AR118" cm="1">
        <f t="array" ref="AR118">IF(Table1820[[#This Row],[Effective Date]]&gt;=RateChangeTable[Effective Date],RateChangeTable[Rate Change Factor],1)</f>
        <v>1</v>
      </c>
      <c r="AS118" s="10">
        <f>PRODUCT(Table1820[[#This Row],[Base Rate]:[Rate Change Factor]])</f>
        <v>1936.0090763260744</v>
      </c>
      <c r="AT118" s="9">
        <f>Table1820[[#This Row],[System-Generated Premium]]-Table1820[[#This Row],[Expected Premium]]</f>
        <v>0</v>
      </c>
      <c r="AU118" t="str">
        <f>IF(Table1820[[#This Row],[Difference]]=0,"PASS","FAIL")</f>
        <v>PASS</v>
      </c>
      <c r="AV118" s="9">
        <f>ABS(Table1820[[#This Row],[Difference]])</f>
        <v>0</v>
      </c>
      <c r="AW118" s="9" t="s">
        <v>1136</v>
      </c>
    </row>
    <row r="119" spans="1:49" x14ac:dyDescent="0.3">
      <c r="A119" t="s">
        <v>210</v>
      </c>
      <c r="B119" s="7">
        <v>46054</v>
      </c>
      <c r="C119" t="s">
        <v>72</v>
      </c>
      <c r="D119" t="s">
        <v>1098</v>
      </c>
      <c r="E119" s="3">
        <v>5</v>
      </c>
      <c r="F119" s="3">
        <v>1</v>
      </c>
      <c r="G119" t="s">
        <v>13</v>
      </c>
      <c r="H119" t="s">
        <v>1106</v>
      </c>
      <c r="I119" t="s">
        <v>34</v>
      </c>
      <c r="J119" t="s">
        <v>54</v>
      </c>
      <c r="K119" t="s">
        <v>10</v>
      </c>
      <c r="L119" t="s">
        <v>10</v>
      </c>
      <c r="M119" t="s">
        <v>10</v>
      </c>
      <c r="N119" t="s">
        <v>10</v>
      </c>
      <c r="O119" t="str">
        <f>INDEX(CoverageTable[Deductible Applies],MATCH(Table1820[[#This Row],[Coverage]],CoverageTable[Coverage],0))</f>
        <v>Yes</v>
      </c>
      <c r="P119" t="str">
        <f>INDEX(CoverageTable[Coverage Limit Applies],MATCH(Table1820[[#This Row],[Coverage]],CoverageTable[Coverage],0))</f>
        <v>No</v>
      </c>
      <c r="Q119" t="s">
        <v>80</v>
      </c>
      <c r="R119" t="s">
        <v>10</v>
      </c>
      <c r="S119" t="s">
        <v>10</v>
      </c>
      <c r="T119" t="s">
        <v>57</v>
      </c>
      <c r="U119" t="s">
        <v>10</v>
      </c>
      <c r="V119" t="s">
        <v>10</v>
      </c>
      <c r="W119" t="s">
        <v>10</v>
      </c>
      <c r="X119" s="11">
        <v>345.89248802850051</v>
      </c>
      <c r="Y119">
        <f>_xlfn.XLOOKUP(Table1820[[#This Row],[Coverage]],CoverageTable[Coverage],CoverageTable[Base Rate],,0)</f>
        <v>121</v>
      </c>
      <c r="Z119">
        <f>INDEX(Table16[Ageband Factor],MATCH(Table1820[[#This Row],[Ageband]],Table16[Ageband],0))</f>
        <v>1.23</v>
      </c>
      <c r="AA119">
        <f>VLOOKUP(Table1820[[#This Row],[Years Driving]],Table1[],2)</f>
        <v>1.07</v>
      </c>
      <c r="AB119">
        <f>_xlfn.XLOOKUP(Table1820[[#This Row],[At Fault Accidents]],Table2[At Fault Accidents],Table2[At Fault Accident Factor],,0)</f>
        <v>1.34</v>
      </c>
      <c r="AC119">
        <f>_xlfn.XLOOKUP(Table1820[[#This Row],[Usage-Based Insurance]],Table3[Usage-Based Insurance],Table3[Usage-Based Insurance Discount],,0)</f>
        <v>0.65</v>
      </c>
      <c r="AD119">
        <f>_xlfn.XLOOKUP(Table1820[[#This Row],[Yearly Miles]],Table4[Yearly Miles],Table4[Yearly Miles Factor],,0)</f>
        <v>0.82</v>
      </c>
      <c r="AE119">
        <f>_xlfn.XLOOKUP(Table1820[[#This Row],[City/Zip Code]],Table5[City/Zip Code],Table5[City/Zip Code Factor],,0)</f>
        <v>1.56</v>
      </c>
      <c r="AF119">
        <f>_xlfn.XLOOKUP(Table1820[[#This Row],[Vehicle Price]],Table6[Vehicle Price],Table6[Vehicle Price Factor])</f>
        <v>2.87</v>
      </c>
      <c r="AG119">
        <f>_xlfn.XLOOKUP(Table1820[[#This Row],[Exotic Car]],Table7[Exotic Car],Table7[Exotic Car Factor],,0)</f>
        <v>1</v>
      </c>
      <c r="AH119">
        <f>_xlfn.XLOOKUP(Table1820[[#This Row],[Difficult Parts]],Table8[Difficult Parts],Table8[Difficult Parts Factor],,0)</f>
        <v>1</v>
      </c>
      <c r="AI119">
        <f>_xlfn.XLOOKUP(Table1820[[#This Row],[High Theft Rate]],Table9[High Theft Rate],Table9[High Theft Rate Factor],,0)</f>
        <v>1</v>
      </c>
      <c r="AJ119">
        <f>_xlfn.XLOOKUP(Table1820[[#This Row],[Advanced Safety Features]],Table10[Advanced Safety Features],Table10[Advanced Safety Features Factor],,0)</f>
        <v>1</v>
      </c>
      <c r="AK119">
        <f>_xlfn.XLOOKUP(Table1820[[#This Row],[Deductible]],Table12[Deductible],Table12[Deductible Factor],,0)</f>
        <v>0.72</v>
      </c>
      <c r="AL119">
        <f>_xlfn.XLOOKUP(Table1820[[#This Row],[Coverage Limit]],Table13[Coverage Limit],Table13[Coverage Limit Factor],,0)</f>
        <v>1</v>
      </c>
      <c r="AM119">
        <f>IF(Table1820[[#This Row],[Good Student Discount]]="Yes",'Rate Book'!$D$126,1)</f>
        <v>1</v>
      </c>
      <c r="AN119">
        <f>IF(Table1820[[#This Row],[Good Driver Discount]]="Yes",'Rate Book'!$D$127,1)</f>
        <v>0.89</v>
      </c>
      <c r="AO119">
        <f>IF(Table1820[[#This Row],[Multi Policy Discount]]="Yes",'Rate Book'!$D$128,1)</f>
        <v>1</v>
      </c>
      <c r="AP119">
        <f>IF(Table1820[[#This Row],[Loyal Customer Discount]]="Yes",'Rate Book'!$D$129,1)</f>
        <v>1</v>
      </c>
      <c r="AQ119">
        <f>IF(Table1820[[#This Row],[Organization Discount]]="Yes",'Rate Book'!$D$130,1)</f>
        <v>1</v>
      </c>
      <c r="AR119" cm="1">
        <f t="array" ref="AR119">IF(Table1820[[#This Row],[Effective Date]]&gt;=RateChangeTable[Effective Date],RateChangeTable[Rate Change Factor],1)</f>
        <v>1.06</v>
      </c>
      <c r="AS119" s="10">
        <f>PRODUCT(Table1820[[#This Row],[Base Rate]:[Rate Change Factor]])</f>
        <v>345.89248802850051</v>
      </c>
      <c r="AT119" s="9">
        <f>Table1820[[#This Row],[System-Generated Premium]]-Table1820[[#This Row],[Expected Premium]]</f>
        <v>0</v>
      </c>
      <c r="AU119" t="str">
        <f>IF(Table1820[[#This Row],[Difference]]=0,"PASS","FAIL")</f>
        <v>PASS</v>
      </c>
      <c r="AV119" s="9">
        <f>ABS(Table1820[[#This Row],[Difference]])</f>
        <v>0</v>
      </c>
      <c r="AW119" s="9" t="s">
        <v>1136</v>
      </c>
    </row>
    <row r="120" spans="1:49" x14ac:dyDescent="0.3">
      <c r="A120" t="s">
        <v>211</v>
      </c>
      <c r="B120" s="7">
        <v>45859</v>
      </c>
      <c r="C120" t="s">
        <v>70</v>
      </c>
      <c r="D120" t="s">
        <v>1098</v>
      </c>
      <c r="E120" s="3">
        <v>1</v>
      </c>
      <c r="F120" s="3">
        <v>4</v>
      </c>
      <c r="G120" t="s">
        <v>11</v>
      </c>
      <c r="H120" t="s">
        <v>1106</v>
      </c>
      <c r="I120" t="s">
        <v>43</v>
      </c>
      <c r="J120" t="s">
        <v>52</v>
      </c>
      <c r="K120" t="s">
        <v>10</v>
      </c>
      <c r="L120" t="s">
        <v>10</v>
      </c>
      <c r="M120" t="s">
        <v>10</v>
      </c>
      <c r="N120" t="s">
        <v>10</v>
      </c>
      <c r="O120" t="str">
        <f>INDEX(CoverageTable[Deductible Applies],MATCH(Table1820[[#This Row],[Coverage]],CoverageTable[Coverage],0))</f>
        <v>No</v>
      </c>
      <c r="P120" t="str">
        <f>INDEX(CoverageTable[Coverage Limit Applies],MATCH(Table1820[[#This Row],[Coverage]],CoverageTable[Coverage],0))</f>
        <v>Yes</v>
      </c>
      <c r="Q120" t="s">
        <v>10</v>
      </c>
      <c r="R120" t="s">
        <v>78</v>
      </c>
      <c r="S120" t="s">
        <v>10</v>
      </c>
      <c r="T120" t="s">
        <v>10</v>
      </c>
      <c r="U120" t="s">
        <v>57</v>
      </c>
      <c r="V120" t="s">
        <v>10</v>
      </c>
      <c r="W120" t="s">
        <v>10</v>
      </c>
      <c r="X120" s="11">
        <v>2177.7454049987718</v>
      </c>
      <c r="Y120">
        <f>_xlfn.XLOOKUP(Table1820[[#This Row],[Coverage]],CoverageTable[Coverage],CoverageTable[Base Rate],,0)</f>
        <v>622</v>
      </c>
      <c r="Z120">
        <f>INDEX(Table16[Ageband Factor],MATCH(Table1820[[#This Row],[Ageband]],Table16[Ageband],0))</f>
        <v>1.23</v>
      </c>
      <c r="AA120">
        <f>VLOOKUP(Table1820[[#This Row],[Years Driving]],Table1[],2)</f>
        <v>1.64</v>
      </c>
      <c r="AB120">
        <f>_xlfn.XLOOKUP(Table1820[[#This Row],[At Fault Accidents]],Table2[At Fault Accidents],Table2[At Fault Accident Factor],,0)</f>
        <v>2.12</v>
      </c>
      <c r="AC120">
        <f>_xlfn.XLOOKUP(Table1820[[#This Row],[Usage-Based Insurance]],Table3[Usage-Based Insurance],Table3[Usage-Based Insurance Discount],,0)</f>
        <v>0.95</v>
      </c>
      <c r="AD120">
        <f>_xlfn.XLOOKUP(Table1820[[#This Row],[Yearly Miles]],Table4[Yearly Miles],Table4[Yearly Miles Factor],,0)</f>
        <v>0.82</v>
      </c>
      <c r="AE120">
        <f>_xlfn.XLOOKUP(Table1820[[#This Row],[City/Zip Code]],Table5[City/Zip Code],Table5[City/Zip Code Factor],,0)</f>
        <v>1.18</v>
      </c>
      <c r="AF120">
        <f>_xlfn.XLOOKUP(Table1820[[#This Row],[Vehicle Price]],Table6[Vehicle Price],Table6[Vehicle Price Factor])</f>
        <v>1.57</v>
      </c>
      <c r="AG120">
        <f>_xlfn.XLOOKUP(Table1820[[#This Row],[Exotic Car]],Table7[Exotic Car],Table7[Exotic Car Factor],,0)</f>
        <v>1</v>
      </c>
      <c r="AH120">
        <f>_xlfn.XLOOKUP(Table1820[[#This Row],[Difficult Parts]],Table8[Difficult Parts],Table8[Difficult Parts Factor],,0)</f>
        <v>1</v>
      </c>
      <c r="AI120">
        <f>_xlfn.XLOOKUP(Table1820[[#This Row],[High Theft Rate]],Table9[High Theft Rate],Table9[High Theft Rate Factor],,0)</f>
        <v>1</v>
      </c>
      <c r="AJ120">
        <f>_xlfn.XLOOKUP(Table1820[[#This Row],[Advanced Safety Features]],Table10[Advanced Safety Features],Table10[Advanced Safety Features Factor],,0)</f>
        <v>1</v>
      </c>
      <c r="AK120">
        <f>_xlfn.XLOOKUP(Table1820[[#This Row],[Deductible]],Table12[Deductible],Table12[Deductible Factor],,0)</f>
        <v>1</v>
      </c>
      <c r="AL120">
        <f>_xlfn.XLOOKUP(Table1820[[#This Row],[Coverage Limit]],Table13[Coverage Limit],Table13[Coverage Limit Factor],,0)</f>
        <v>0.61</v>
      </c>
      <c r="AM120">
        <f>IF(Table1820[[#This Row],[Good Student Discount]]="Yes",'Rate Book'!$D$126,1)</f>
        <v>1</v>
      </c>
      <c r="AN120">
        <f>IF(Table1820[[#This Row],[Good Driver Discount]]="Yes",'Rate Book'!$D$127,1)</f>
        <v>1</v>
      </c>
      <c r="AO120">
        <f>IF(Table1820[[#This Row],[Multi Policy Discount]]="Yes",'Rate Book'!$D$128,1)</f>
        <v>0.93</v>
      </c>
      <c r="AP120">
        <f>IF(Table1820[[#This Row],[Loyal Customer Discount]]="Yes",'Rate Book'!$D$129,1)</f>
        <v>1</v>
      </c>
      <c r="AQ120">
        <f>IF(Table1820[[#This Row],[Organization Discount]]="Yes",'Rate Book'!$D$130,1)</f>
        <v>1</v>
      </c>
      <c r="AR120" cm="1">
        <f t="array" ref="AR120">IF(Table1820[[#This Row],[Effective Date]]&gt;=RateChangeTable[Effective Date],RateChangeTable[Rate Change Factor],1)</f>
        <v>1</v>
      </c>
      <c r="AS120" s="10">
        <f>PRODUCT(Table1820[[#This Row],[Base Rate]:[Rate Change Factor]])</f>
        <v>2177.7454049987718</v>
      </c>
      <c r="AT120" s="9">
        <f>Table1820[[#This Row],[System-Generated Premium]]-Table1820[[#This Row],[Expected Premium]]</f>
        <v>0</v>
      </c>
      <c r="AU120" t="str">
        <f>IF(Table1820[[#This Row],[Difference]]=0,"PASS","FAIL")</f>
        <v>PASS</v>
      </c>
      <c r="AV120" s="9">
        <f>ABS(Table1820[[#This Row],[Difference]])</f>
        <v>0</v>
      </c>
      <c r="AW120" s="9" t="s">
        <v>1136</v>
      </c>
    </row>
    <row r="121" spans="1:49" x14ac:dyDescent="0.3">
      <c r="A121" t="s">
        <v>212</v>
      </c>
      <c r="B121" s="7">
        <v>46073</v>
      </c>
      <c r="C121" t="s">
        <v>70</v>
      </c>
      <c r="D121" t="s">
        <v>1099</v>
      </c>
      <c r="E121" s="3">
        <v>6</v>
      </c>
      <c r="F121" s="3">
        <v>1</v>
      </c>
      <c r="G121" t="s">
        <v>13</v>
      </c>
      <c r="H121" t="s">
        <v>1107</v>
      </c>
      <c r="I121" t="s">
        <v>42</v>
      </c>
      <c r="J121" t="s">
        <v>54</v>
      </c>
      <c r="K121" t="s">
        <v>10</v>
      </c>
      <c r="L121" t="s">
        <v>10</v>
      </c>
      <c r="M121" t="s">
        <v>57</v>
      </c>
      <c r="N121" t="s">
        <v>57</v>
      </c>
      <c r="O121" t="str">
        <f>INDEX(CoverageTable[Deductible Applies],MATCH(Table1820[[#This Row],[Coverage]],CoverageTable[Coverage],0))</f>
        <v>No</v>
      </c>
      <c r="P121" t="str">
        <f>INDEX(CoverageTable[Coverage Limit Applies],MATCH(Table1820[[#This Row],[Coverage]],CoverageTable[Coverage],0))</f>
        <v>Yes</v>
      </c>
      <c r="Q121" t="s">
        <v>10</v>
      </c>
      <c r="R121" t="s">
        <v>79</v>
      </c>
      <c r="S121" t="s">
        <v>10</v>
      </c>
      <c r="T121" t="s">
        <v>57</v>
      </c>
      <c r="U121" t="s">
        <v>10</v>
      </c>
      <c r="V121" t="s">
        <v>10</v>
      </c>
      <c r="W121" t="s">
        <v>57</v>
      </c>
      <c r="X121" s="11">
        <v>1176.7914904573765</v>
      </c>
      <c r="Y121">
        <f>_xlfn.XLOOKUP(Table1820[[#This Row],[Coverage]],CoverageTable[Coverage],CoverageTable[Base Rate],,0)</f>
        <v>622</v>
      </c>
      <c r="Z121">
        <f>INDEX(Table16[Ageband Factor],MATCH(Table1820[[#This Row],[Ageband]],Table16[Ageband],0))</f>
        <v>1</v>
      </c>
      <c r="AA121">
        <f>VLOOKUP(Table1820[[#This Row],[Years Driving]],Table1[],2)</f>
        <v>1</v>
      </c>
      <c r="AB121">
        <f>_xlfn.XLOOKUP(Table1820[[#This Row],[At Fault Accidents]],Table2[At Fault Accidents],Table2[At Fault Accident Factor],,0)</f>
        <v>1.34</v>
      </c>
      <c r="AC121">
        <f>_xlfn.XLOOKUP(Table1820[[#This Row],[Usage-Based Insurance]],Table3[Usage-Based Insurance],Table3[Usage-Based Insurance Discount],,0)</f>
        <v>0.65</v>
      </c>
      <c r="AD121">
        <f>_xlfn.XLOOKUP(Table1820[[#This Row],[Yearly Miles]],Table4[Yearly Miles],Table4[Yearly Miles Factor],,0)</f>
        <v>0.93</v>
      </c>
      <c r="AE121">
        <f>_xlfn.XLOOKUP(Table1820[[#This Row],[City/Zip Code]],Table5[City/Zip Code],Table5[City/Zip Code Factor],,0)</f>
        <v>1.21</v>
      </c>
      <c r="AF121">
        <f>_xlfn.XLOOKUP(Table1820[[#This Row],[Vehicle Price]],Table6[Vehicle Price],Table6[Vehicle Price Factor])</f>
        <v>2.87</v>
      </c>
      <c r="AG121">
        <f>_xlfn.XLOOKUP(Table1820[[#This Row],[Exotic Car]],Table7[Exotic Car],Table7[Exotic Car Factor],,0)</f>
        <v>1</v>
      </c>
      <c r="AH121">
        <f>_xlfn.XLOOKUP(Table1820[[#This Row],[Difficult Parts]],Table8[Difficult Parts],Table8[Difficult Parts Factor],,0)</f>
        <v>1</v>
      </c>
      <c r="AI121">
        <f>_xlfn.XLOOKUP(Table1820[[#This Row],[High Theft Rate]],Table9[High Theft Rate],Table9[High Theft Rate Factor],,0)</f>
        <v>1.1599999999999999</v>
      </c>
      <c r="AJ121">
        <f>_xlfn.XLOOKUP(Table1820[[#This Row],[Advanced Safety Features]],Table10[Advanced Safety Features],Table10[Advanced Safety Features Factor],,0)</f>
        <v>0.88</v>
      </c>
      <c r="AK121">
        <f>_xlfn.XLOOKUP(Table1820[[#This Row],[Deductible]],Table12[Deductible],Table12[Deductible Factor],,0)</f>
        <v>1</v>
      </c>
      <c r="AL121">
        <f>_xlfn.XLOOKUP(Table1820[[#This Row],[Coverage Limit]],Table13[Coverage Limit],Table13[Coverage Limit Factor],,0)</f>
        <v>0.72</v>
      </c>
      <c r="AM121">
        <f>IF(Table1820[[#This Row],[Good Student Discount]]="Yes",'Rate Book'!$D$126,1)</f>
        <v>1</v>
      </c>
      <c r="AN121">
        <f>IF(Table1820[[#This Row],[Good Driver Discount]]="Yes",'Rate Book'!$D$127,1)</f>
        <v>0.89</v>
      </c>
      <c r="AO121">
        <f>IF(Table1820[[#This Row],[Multi Policy Discount]]="Yes",'Rate Book'!$D$128,1)</f>
        <v>1</v>
      </c>
      <c r="AP121">
        <f>IF(Table1820[[#This Row],[Loyal Customer Discount]]="Yes",'Rate Book'!$D$129,1)</f>
        <v>1</v>
      </c>
      <c r="AQ121">
        <f>IF(Table1820[[#This Row],[Organization Discount]]="Yes",'Rate Book'!$D$130,1)</f>
        <v>0.97</v>
      </c>
      <c r="AR121" cm="1">
        <f t="array" ref="AR121">IF(Table1820[[#This Row],[Effective Date]]&gt;=RateChangeTable[Effective Date],RateChangeTable[Rate Change Factor],1)</f>
        <v>1.06</v>
      </c>
      <c r="AS121" s="10">
        <f>PRODUCT(Table1820[[#This Row],[Base Rate]:[Rate Change Factor]])</f>
        <v>1176.7914904573765</v>
      </c>
      <c r="AT121" s="9">
        <f>Table1820[[#This Row],[System-Generated Premium]]-Table1820[[#This Row],[Expected Premium]]</f>
        <v>0</v>
      </c>
      <c r="AU121" t="str">
        <f>IF(Table1820[[#This Row],[Difference]]=0,"PASS","FAIL")</f>
        <v>PASS</v>
      </c>
      <c r="AV121" s="9">
        <f>ABS(Table1820[[#This Row],[Difference]])</f>
        <v>0</v>
      </c>
      <c r="AW121" s="9" t="s">
        <v>1136</v>
      </c>
    </row>
    <row r="122" spans="1:49" x14ac:dyDescent="0.3">
      <c r="A122" t="s">
        <v>213</v>
      </c>
      <c r="B122" s="7">
        <v>46090</v>
      </c>
      <c r="C122" t="s">
        <v>71</v>
      </c>
      <c r="D122" t="s">
        <v>1101</v>
      </c>
      <c r="E122" s="3">
        <v>4</v>
      </c>
      <c r="F122" s="3">
        <v>3</v>
      </c>
      <c r="G122" t="s">
        <v>10</v>
      </c>
      <c r="H122" t="s">
        <v>1108</v>
      </c>
      <c r="I122" t="s">
        <v>26</v>
      </c>
      <c r="J122" t="s">
        <v>54</v>
      </c>
      <c r="K122" t="s">
        <v>10</v>
      </c>
      <c r="L122" t="s">
        <v>10</v>
      </c>
      <c r="M122" t="s">
        <v>57</v>
      </c>
      <c r="N122" t="s">
        <v>57</v>
      </c>
      <c r="O122" t="str">
        <f>INDEX(CoverageTable[Deductible Applies],MATCH(Table1820[[#This Row],[Coverage]],CoverageTable[Coverage],0))</f>
        <v>Yes</v>
      </c>
      <c r="P122" t="str">
        <f>INDEX(CoverageTable[Coverage Limit Applies],MATCH(Table1820[[#This Row],[Coverage]],CoverageTable[Coverage],0))</f>
        <v>No</v>
      </c>
      <c r="Q122" t="s">
        <v>78</v>
      </c>
      <c r="R122" t="s">
        <v>10</v>
      </c>
      <c r="S122" t="s">
        <v>10</v>
      </c>
      <c r="T122" t="s">
        <v>57</v>
      </c>
      <c r="U122" t="s">
        <v>10</v>
      </c>
      <c r="V122" t="s">
        <v>10</v>
      </c>
      <c r="W122" t="s">
        <v>10</v>
      </c>
      <c r="X122" s="11">
        <v>3206.4563242420154</v>
      </c>
      <c r="Y122">
        <f>_xlfn.XLOOKUP(Table1820[[#This Row],[Coverage]],CoverageTable[Coverage],CoverageTable[Base Rate],,0)</f>
        <v>453</v>
      </c>
      <c r="Z122">
        <f>INDEX(Table16[Ageband Factor],MATCH(Table1820[[#This Row],[Ageband]],Table16[Ageband],0))</f>
        <v>1.1200000000000001</v>
      </c>
      <c r="AA122">
        <f>VLOOKUP(Table1820[[#This Row],[Years Driving]],Table1[],2)</f>
        <v>1.1499999999999999</v>
      </c>
      <c r="AB122">
        <f>_xlfn.XLOOKUP(Table1820[[#This Row],[At Fault Accidents]],Table2[At Fault Accidents],Table2[At Fault Accident Factor],,0)</f>
        <v>1.82</v>
      </c>
      <c r="AC122">
        <f>_xlfn.XLOOKUP(Table1820[[#This Row],[Usage-Based Insurance]],Table3[Usage-Based Insurance],Table3[Usage-Based Insurance Discount],,0)</f>
        <v>1</v>
      </c>
      <c r="AD122">
        <f>_xlfn.XLOOKUP(Table1820[[#This Row],[Yearly Miles]],Table4[Yearly Miles],Table4[Yearly Miles Factor],,0)</f>
        <v>1</v>
      </c>
      <c r="AE122">
        <f>_xlfn.XLOOKUP(Table1820[[#This Row],[City/Zip Code]],Table5[City/Zip Code],Table5[City/Zip Code Factor],,0)</f>
        <v>1.1499999999999999</v>
      </c>
      <c r="AF122">
        <f>_xlfn.XLOOKUP(Table1820[[#This Row],[Vehicle Price]],Table6[Vehicle Price],Table6[Vehicle Price Factor])</f>
        <v>2.87</v>
      </c>
      <c r="AG122">
        <f>_xlfn.XLOOKUP(Table1820[[#This Row],[Exotic Car]],Table7[Exotic Car],Table7[Exotic Car Factor],,0)</f>
        <v>1</v>
      </c>
      <c r="AH122">
        <f>_xlfn.XLOOKUP(Table1820[[#This Row],[Difficult Parts]],Table8[Difficult Parts],Table8[Difficult Parts Factor],,0)</f>
        <v>1</v>
      </c>
      <c r="AI122">
        <f>_xlfn.XLOOKUP(Table1820[[#This Row],[High Theft Rate]],Table9[High Theft Rate],Table9[High Theft Rate Factor],,0)</f>
        <v>1.1599999999999999</v>
      </c>
      <c r="AJ122">
        <f>_xlfn.XLOOKUP(Table1820[[#This Row],[Advanced Safety Features]],Table10[Advanced Safety Features],Table10[Advanced Safety Features Factor],,0)</f>
        <v>0.88</v>
      </c>
      <c r="AK122">
        <f>_xlfn.XLOOKUP(Table1820[[#This Row],[Deductible]],Table12[Deductible],Table12[Deductible Factor],,0)</f>
        <v>0.95</v>
      </c>
      <c r="AL122">
        <f>_xlfn.XLOOKUP(Table1820[[#This Row],[Coverage Limit]],Table13[Coverage Limit],Table13[Coverage Limit Factor],,0)</f>
        <v>1</v>
      </c>
      <c r="AM122">
        <f>IF(Table1820[[#This Row],[Good Student Discount]]="Yes",'Rate Book'!$D$126,1)</f>
        <v>1</v>
      </c>
      <c r="AN122">
        <f>IF(Table1820[[#This Row],[Good Driver Discount]]="Yes",'Rate Book'!$D$127,1)</f>
        <v>0.89</v>
      </c>
      <c r="AO122">
        <f>IF(Table1820[[#This Row],[Multi Policy Discount]]="Yes",'Rate Book'!$D$128,1)</f>
        <v>1</v>
      </c>
      <c r="AP122">
        <f>IF(Table1820[[#This Row],[Loyal Customer Discount]]="Yes",'Rate Book'!$D$129,1)</f>
        <v>1</v>
      </c>
      <c r="AQ122">
        <f>IF(Table1820[[#This Row],[Organization Discount]]="Yes",'Rate Book'!$D$130,1)</f>
        <v>1</v>
      </c>
      <c r="AR122" cm="1">
        <f t="array" ref="AR122">IF(Table1820[[#This Row],[Effective Date]]&gt;=RateChangeTable[Effective Date],RateChangeTable[Rate Change Factor],1)</f>
        <v>1.06</v>
      </c>
      <c r="AS122" s="10">
        <f>PRODUCT(Table1820[[#This Row],[Base Rate]:[Rate Change Factor]])</f>
        <v>3206.4563242420154</v>
      </c>
      <c r="AT122" s="9">
        <f>Table1820[[#This Row],[System-Generated Premium]]-Table1820[[#This Row],[Expected Premium]]</f>
        <v>0</v>
      </c>
      <c r="AU122" t="str">
        <f>IF(Table1820[[#This Row],[Difference]]=0,"PASS","FAIL")</f>
        <v>PASS</v>
      </c>
      <c r="AV122" s="9">
        <f>ABS(Table1820[[#This Row],[Difference]])</f>
        <v>0</v>
      </c>
      <c r="AW122" s="9" t="s">
        <v>1136</v>
      </c>
    </row>
    <row r="123" spans="1:49" x14ac:dyDescent="0.3">
      <c r="A123" t="s">
        <v>214</v>
      </c>
      <c r="B123" s="7">
        <v>45839</v>
      </c>
      <c r="C123" t="s">
        <v>71</v>
      </c>
      <c r="D123" t="s">
        <v>1098</v>
      </c>
      <c r="E123" s="3" t="s">
        <v>1103</v>
      </c>
      <c r="F123" s="3">
        <v>3</v>
      </c>
      <c r="G123" t="s">
        <v>10</v>
      </c>
      <c r="H123" t="s">
        <v>1108</v>
      </c>
      <c r="I123" t="s">
        <v>39</v>
      </c>
      <c r="J123" t="s">
        <v>49</v>
      </c>
      <c r="K123" t="s">
        <v>10</v>
      </c>
      <c r="L123" t="s">
        <v>10</v>
      </c>
      <c r="M123" t="s">
        <v>10</v>
      </c>
      <c r="N123" t="s">
        <v>57</v>
      </c>
      <c r="O123" t="str">
        <f>INDEX(CoverageTable[Deductible Applies],MATCH(Table1820[[#This Row],[Coverage]],CoverageTable[Coverage],0))</f>
        <v>Yes</v>
      </c>
      <c r="P123" t="str">
        <f>INDEX(CoverageTable[Coverage Limit Applies],MATCH(Table1820[[#This Row],[Coverage]],CoverageTable[Coverage],0))</f>
        <v>No</v>
      </c>
      <c r="Q123" t="s">
        <v>80</v>
      </c>
      <c r="R123" t="s">
        <v>10</v>
      </c>
      <c r="S123" t="s">
        <v>10</v>
      </c>
      <c r="T123" t="s">
        <v>10</v>
      </c>
      <c r="U123" t="s">
        <v>10</v>
      </c>
      <c r="V123" t="s">
        <v>10</v>
      </c>
      <c r="W123" t="s">
        <v>10</v>
      </c>
      <c r="X123" s="11">
        <v>625.9913156815719</v>
      </c>
      <c r="Y123">
        <f>_xlfn.XLOOKUP(Table1820[[#This Row],[Coverage]],CoverageTable[Coverage],CoverageTable[Base Rate],,0)</f>
        <v>453</v>
      </c>
      <c r="Z123">
        <f>INDEX(Table16[Ageband Factor],MATCH(Table1820[[#This Row],[Ageband]],Table16[Ageband],0))</f>
        <v>1.23</v>
      </c>
      <c r="AA123">
        <f>VLOOKUP(Table1820[[#This Row],[Years Driving]],Table1[],2)</f>
        <v>0.93</v>
      </c>
      <c r="AB123">
        <f>_xlfn.XLOOKUP(Table1820[[#This Row],[At Fault Accidents]],Table2[At Fault Accidents],Table2[At Fault Accident Factor],,0)</f>
        <v>1.82</v>
      </c>
      <c r="AC123">
        <f>_xlfn.XLOOKUP(Table1820[[#This Row],[Usage-Based Insurance]],Table3[Usage-Based Insurance],Table3[Usage-Based Insurance Discount],,0)</f>
        <v>1</v>
      </c>
      <c r="AD123">
        <f>_xlfn.XLOOKUP(Table1820[[#This Row],[Yearly Miles]],Table4[Yearly Miles],Table4[Yearly Miles Factor],,0)</f>
        <v>1</v>
      </c>
      <c r="AE123">
        <f>_xlfn.XLOOKUP(Table1820[[#This Row],[City/Zip Code]],Table5[City/Zip Code],Table5[City/Zip Code Factor],,0)</f>
        <v>1.08</v>
      </c>
      <c r="AF123">
        <f>_xlfn.XLOOKUP(Table1820[[#This Row],[Vehicle Price]],Table6[Vehicle Price],Table6[Vehicle Price Factor])</f>
        <v>0.97</v>
      </c>
      <c r="AG123">
        <f>_xlfn.XLOOKUP(Table1820[[#This Row],[Exotic Car]],Table7[Exotic Car],Table7[Exotic Car Factor],,0)</f>
        <v>1</v>
      </c>
      <c r="AH123">
        <f>_xlfn.XLOOKUP(Table1820[[#This Row],[Difficult Parts]],Table8[Difficult Parts],Table8[Difficult Parts Factor],,0)</f>
        <v>1</v>
      </c>
      <c r="AI123">
        <f>_xlfn.XLOOKUP(Table1820[[#This Row],[High Theft Rate]],Table9[High Theft Rate],Table9[High Theft Rate Factor],,0)</f>
        <v>1</v>
      </c>
      <c r="AJ123">
        <f>_xlfn.XLOOKUP(Table1820[[#This Row],[Advanced Safety Features]],Table10[Advanced Safety Features],Table10[Advanced Safety Features Factor],,0)</f>
        <v>0.88</v>
      </c>
      <c r="AK123">
        <f>_xlfn.XLOOKUP(Table1820[[#This Row],[Deductible]],Table12[Deductible],Table12[Deductible Factor],,0)</f>
        <v>0.72</v>
      </c>
      <c r="AL123">
        <f>_xlfn.XLOOKUP(Table1820[[#This Row],[Coverage Limit]],Table13[Coverage Limit],Table13[Coverage Limit Factor],,0)</f>
        <v>1</v>
      </c>
      <c r="AM123">
        <f>IF(Table1820[[#This Row],[Good Student Discount]]="Yes",'Rate Book'!$D$126,1)</f>
        <v>1</v>
      </c>
      <c r="AN123">
        <f>IF(Table1820[[#This Row],[Good Driver Discount]]="Yes",'Rate Book'!$D$127,1)</f>
        <v>1</v>
      </c>
      <c r="AO123">
        <f>IF(Table1820[[#This Row],[Multi Policy Discount]]="Yes",'Rate Book'!$D$128,1)</f>
        <v>1</v>
      </c>
      <c r="AP123">
        <f>IF(Table1820[[#This Row],[Loyal Customer Discount]]="Yes",'Rate Book'!$D$129,1)</f>
        <v>1</v>
      </c>
      <c r="AQ123">
        <f>IF(Table1820[[#This Row],[Organization Discount]]="Yes",'Rate Book'!$D$130,1)</f>
        <v>1</v>
      </c>
      <c r="AR123" cm="1">
        <f t="array" ref="AR123">IF(Table1820[[#This Row],[Effective Date]]&gt;=RateChangeTable[Effective Date],RateChangeTable[Rate Change Factor],1)</f>
        <v>1</v>
      </c>
      <c r="AS123" s="10">
        <f>PRODUCT(Table1820[[#This Row],[Base Rate]:[Rate Change Factor]])</f>
        <v>625.9913156815719</v>
      </c>
      <c r="AT123" s="9">
        <f>Table1820[[#This Row],[System-Generated Premium]]-Table1820[[#This Row],[Expected Premium]]</f>
        <v>0</v>
      </c>
      <c r="AU123" t="str">
        <f>IF(Table1820[[#This Row],[Difference]]=0,"PASS","FAIL")</f>
        <v>PASS</v>
      </c>
      <c r="AV123" s="9">
        <f>ABS(Table1820[[#This Row],[Difference]])</f>
        <v>0</v>
      </c>
      <c r="AW123" s="9" t="s">
        <v>1136</v>
      </c>
    </row>
    <row r="124" spans="1:49" x14ac:dyDescent="0.3">
      <c r="A124" t="s">
        <v>215</v>
      </c>
      <c r="B124" s="7">
        <v>45968</v>
      </c>
      <c r="C124" t="s">
        <v>73</v>
      </c>
      <c r="D124" t="s">
        <v>1099</v>
      </c>
      <c r="E124" s="3">
        <v>5</v>
      </c>
      <c r="F124" s="3">
        <v>2</v>
      </c>
      <c r="G124" t="s">
        <v>10</v>
      </c>
      <c r="H124" t="s">
        <v>1109</v>
      </c>
      <c r="I124" t="s">
        <v>42</v>
      </c>
      <c r="J124" t="s">
        <v>51</v>
      </c>
      <c r="K124" t="s">
        <v>10</v>
      </c>
      <c r="L124" t="s">
        <v>10</v>
      </c>
      <c r="M124" t="s">
        <v>57</v>
      </c>
      <c r="N124" t="s">
        <v>57</v>
      </c>
      <c r="O124" t="str">
        <f>INDEX(CoverageTable[Deductible Applies],MATCH(Table1820[[#This Row],[Coverage]],CoverageTable[Coverage],0))</f>
        <v>No</v>
      </c>
      <c r="P124" t="str">
        <f>INDEX(CoverageTable[Coverage Limit Applies],MATCH(Table1820[[#This Row],[Coverage]],CoverageTable[Coverage],0))</f>
        <v>Yes</v>
      </c>
      <c r="Q124" t="s">
        <v>10</v>
      </c>
      <c r="R124" t="s">
        <v>79</v>
      </c>
      <c r="S124" t="s">
        <v>10</v>
      </c>
      <c r="T124" t="s">
        <v>10</v>
      </c>
      <c r="U124" t="s">
        <v>10</v>
      </c>
      <c r="V124" t="s">
        <v>10</v>
      </c>
      <c r="W124" t="s">
        <v>10</v>
      </c>
      <c r="X124" s="11">
        <v>173.7643113871442</v>
      </c>
      <c r="Y124">
        <f>_xlfn.XLOOKUP(Table1820[[#This Row],[Coverage]],CoverageTable[Coverage],CoverageTable[Base Rate],,0)</f>
        <v>78</v>
      </c>
      <c r="Z124">
        <f>INDEX(Table16[Ageband Factor],MATCH(Table1820[[#This Row],[Ageband]],Table16[Ageband],0))</f>
        <v>1</v>
      </c>
      <c r="AA124">
        <f>VLOOKUP(Table1820[[#This Row],[Years Driving]],Table1[],2)</f>
        <v>1.07</v>
      </c>
      <c r="AB124">
        <f>_xlfn.XLOOKUP(Table1820[[#This Row],[At Fault Accidents]],Table2[At Fault Accidents],Table2[At Fault Accident Factor],,0)</f>
        <v>1.55</v>
      </c>
      <c r="AC124">
        <f>_xlfn.XLOOKUP(Table1820[[#This Row],[Usage-Based Insurance]],Table3[Usage-Based Insurance],Table3[Usage-Based Insurance Discount],,0)</f>
        <v>1</v>
      </c>
      <c r="AD124">
        <f>_xlfn.XLOOKUP(Table1820[[#This Row],[Yearly Miles]],Table4[Yearly Miles],Table4[Yearly Miles Factor],,0)</f>
        <v>1.18</v>
      </c>
      <c r="AE124">
        <f>_xlfn.XLOOKUP(Table1820[[#This Row],[City/Zip Code]],Table5[City/Zip Code],Table5[City/Zip Code Factor],,0)</f>
        <v>1.21</v>
      </c>
      <c r="AF124">
        <f>_xlfn.XLOOKUP(Table1820[[#This Row],[Vehicle Price]],Table6[Vehicle Price],Table6[Vehicle Price Factor])</f>
        <v>1.28</v>
      </c>
      <c r="AG124">
        <f>_xlfn.XLOOKUP(Table1820[[#This Row],[Exotic Car]],Table7[Exotic Car],Table7[Exotic Car Factor],,0)</f>
        <v>1</v>
      </c>
      <c r="AH124">
        <f>_xlfn.XLOOKUP(Table1820[[#This Row],[Difficult Parts]],Table8[Difficult Parts],Table8[Difficult Parts Factor],,0)</f>
        <v>1</v>
      </c>
      <c r="AI124">
        <f>_xlfn.XLOOKUP(Table1820[[#This Row],[High Theft Rate]],Table9[High Theft Rate],Table9[High Theft Rate Factor],,0)</f>
        <v>1.1599999999999999</v>
      </c>
      <c r="AJ124">
        <f>_xlfn.XLOOKUP(Table1820[[#This Row],[Advanced Safety Features]],Table10[Advanced Safety Features],Table10[Advanced Safety Features Factor],,0)</f>
        <v>0.88</v>
      </c>
      <c r="AK124">
        <f>_xlfn.XLOOKUP(Table1820[[#This Row],[Deductible]],Table12[Deductible],Table12[Deductible Factor],,0)</f>
        <v>1</v>
      </c>
      <c r="AL124">
        <f>_xlfn.XLOOKUP(Table1820[[#This Row],[Coverage Limit]],Table13[Coverage Limit],Table13[Coverage Limit Factor],,0)</f>
        <v>0.72</v>
      </c>
      <c r="AM124">
        <f>IF(Table1820[[#This Row],[Good Student Discount]]="Yes",'Rate Book'!$D$126,1)</f>
        <v>1</v>
      </c>
      <c r="AN124">
        <f>IF(Table1820[[#This Row],[Good Driver Discount]]="Yes",'Rate Book'!$D$127,1)</f>
        <v>1</v>
      </c>
      <c r="AO124">
        <f>IF(Table1820[[#This Row],[Multi Policy Discount]]="Yes",'Rate Book'!$D$128,1)</f>
        <v>1</v>
      </c>
      <c r="AP124">
        <f>IF(Table1820[[#This Row],[Loyal Customer Discount]]="Yes",'Rate Book'!$D$129,1)</f>
        <v>1</v>
      </c>
      <c r="AQ124">
        <f>IF(Table1820[[#This Row],[Organization Discount]]="Yes",'Rate Book'!$D$130,1)</f>
        <v>1</v>
      </c>
      <c r="AR124" cm="1">
        <f t="array" ref="AR124">IF(Table1820[[#This Row],[Effective Date]]&gt;=RateChangeTable[Effective Date],RateChangeTable[Rate Change Factor],1)</f>
        <v>1</v>
      </c>
      <c r="AS124" s="10">
        <f>PRODUCT(Table1820[[#This Row],[Base Rate]:[Rate Change Factor]])</f>
        <v>173.7643113871442</v>
      </c>
      <c r="AT124" s="9">
        <f>Table1820[[#This Row],[System-Generated Premium]]-Table1820[[#This Row],[Expected Premium]]</f>
        <v>0</v>
      </c>
      <c r="AU124" t="str">
        <f>IF(Table1820[[#This Row],[Difference]]=0,"PASS","FAIL")</f>
        <v>PASS</v>
      </c>
      <c r="AV124" s="9">
        <f>ABS(Table1820[[#This Row],[Difference]])</f>
        <v>0</v>
      </c>
      <c r="AW124" s="9" t="s">
        <v>1136</v>
      </c>
    </row>
    <row r="125" spans="1:49" x14ac:dyDescent="0.3">
      <c r="A125" t="s">
        <v>216</v>
      </c>
      <c r="B125" s="7">
        <v>46010</v>
      </c>
      <c r="C125" t="s">
        <v>70</v>
      </c>
      <c r="D125" t="s">
        <v>1101</v>
      </c>
      <c r="E125" s="3">
        <v>3</v>
      </c>
      <c r="F125" s="3">
        <v>2</v>
      </c>
      <c r="G125" t="s">
        <v>12</v>
      </c>
      <c r="H125" t="s">
        <v>1107</v>
      </c>
      <c r="I125" t="s">
        <v>25</v>
      </c>
      <c r="J125" t="s">
        <v>50</v>
      </c>
      <c r="K125" t="s">
        <v>10</v>
      </c>
      <c r="L125" t="s">
        <v>10</v>
      </c>
      <c r="M125" t="s">
        <v>10</v>
      </c>
      <c r="N125" t="s">
        <v>57</v>
      </c>
      <c r="O125" t="str">
        <f>INDEX(CoverageTable[Deductible Applies],MATCH(Table1820[[#This Row],[Coverage]],CoverageTable[Coverage],0))</f>
        <v>No</v>
      </c>
      <c r="P125" t="str">
        <f>INDEX(CoverageTable[Coverage Limit Applies],MATCH(Table1820[[#This Row],[Coverage]],CoverageTable[Coverage],0))</f>
        <v>Yes</v>
      </c>
      <c r="Q125" t="s">
        <v>10</v>
      </c>
      <c r="R125" t="s">
        <v>80</v>
      </c>
      <c r="S125" t="s">
        <v>10</v>
      </c>
      <c r="T125" t="s">
        <v>10</v>
      </c>
      <c r="U125" t="s">
        <v>10</v>
      </c>
      <c r="V125" t="s">
        <v>57</v>
      </c>
      <c r="W125" t="s">
        <v>10</v>
      </c>
      <c r="X125" s="11">
        <v>853.18739052915112</v>
      </c>
      <c r="Y125">
        <f>_xlfn.XLOOKUP(Table1820[[#This Row],[Coverage]],CoverageTable[Coverage],CoverageTable[Base Rate],,0)</f>
        <v>622</v>
      </c>
      <c r="Z125">
        <f>INDEX(Table16[Ageband Factor],MATCH(Table1820[[#This Row],[Ageband]],Table16[Ageband],0))</f>
        <v>1.1200000000000001</v>
      </c>
      <c r="AA125">
        <f>VLOOKUP(Table1820[[#This Row],[Years Driving]],Table1[],2)</f>
        <v>1.22</v>
      </c>
      <c r="AB125">
        <f>_xlfn.XLOOKUP(Table1820[[#This Row],[At Fault Accidents]],Table2[At Fault Accidents],Table2[At Fault Accident Factor],,0)</f>
        <v>1.55</v>
      </c>
      <c r="AC125">
        <f>_xlfn.XLOOKUP(Table1820[[#This Row],[Usage-Based Insurance]],Table3[Usage-Based Insurance],Table3[Usage-Based Insurance Discount],,0)</f>
        <v>0.8</v>
      </c>
      <c r="AD125">
        <f>_xlfn.XLOOKUP(Table1820[[#This Row],[Yearly Miles]],Table4[Yearly Miles],Table4[Yearly Miles Factor],,0)</f>
        <v>0.93</v>
      </c>
      <c r="AE125">
        <f>_xlfn.XLOOKUP(Table1820[[#This Row],[City/Zip Code]],Table5[City/Zip Code],Table5[City/Zip Code Factor],,0)</f>
        <v>1.1599999999999999</v>
      </c>
      <c r="AF125">
        <f>_xlfn.XLOOKUP(Table1820[[#This Row],[Vehicle Price]],Table6[Vehicle Price],Table6[Vehicle Price Factor])</f>
        <v>1.08</v>
      </c>
      <c r="AG125">
        <f>_xlfn.XLOOKUP(Table1820[[#This Row],[Exotic Car]],Table7[Exotic Car],Table7[Exotic Car Factor],,0)</f>
        <v>1</v>
      </c>
      <c r="AH125">
        <f>_xlfn.XLOOKUP(Table1820[[#This Row],[Difficult Parts]],Table8[Difficult Parts],Table8[Difficult Parts Factor],,0)</f>
        <v>1</v>
      </c>
      <c r="AI125">
        <f>_xlfn.XLOOKUP(Table1820[[#This Row],[High Theft Rate]],Table9[High Theft Rate],Table9[High Theft Rate Factor],,0)</f>
        <v>1</v>
      </c>
      <c r="AJ125">
        <f>_xlfn.XLOOKUP(Table1820[[#This Row],[Advanced Safety Features]],Table10[Advanced Safety Features],Table10[Advanced Safety Features Factor],,0)</f>
        <v>0.88</v>
      </c>
      <c r="AK125">
        <f>_xlfn.XLOOKUP(Table1820[[#This Row],[Deductible]],Table12[Deductible],Table12[Deductible Factor],,0)</f>
        <v>1</v>
      </c>
      <c r="AL125">
        <f>_xlfn.XLOOKUP(Table1820[[#This Row],[Coverage Limit]],Table13[Coverage Limit],Table13[Coverage Limit Factor],,0)</f>
        <v>0.84</v>
      </c>
      <c r="AM125">
        <f>IF(Table1820[[#This Row],[Good Student Discount]]="Yes",'Rate Book'!$D$126,1)</f>
        <v>1</v>
      </c>
      <c r="AN125">
        <f>IF(Table1820[[#This Row],[Good Driver Discount]]="Yes",'Rate Book'!$D$127,1)</f>
        <v>1</v>
      </c>
      <c r="AO125">
        <f>IF(Table1820[[#This Row],[Multi Policy Discount]]="Yes",'Rate Book'!$D$128,1)</f>
        <v>1</v>
      </c>
      <c r="AP125">
        <f>IF(Table1820[[#This Row],[Loyal Customer Discount]]="Yes",'Rate Book'!$D$129,1)</f>
        <v>0.94</v>
      </c>
      <c r="AQ125">
        <f>IF(Table1820[[#This Row],[Organization Discount]]="Yes",'Rate Book'!$D$130,1)</f>
        <v>1</v>
      </c>
      <c r="AR125" cm="1">
        <f t="array" ref="AR125">IF(Table1820[[#This Row],[Effective Date]]&gt;=RateChangeTable[Effective Date],RateChangeTable[Rate Change Factor],1)</f>
        <v>1</v>
      </c>
      <c r="AS125" s="10">
        <f>PRODUCT(Table1820[[#This Row],[Base Rate]:[Rate Change Factor]])</f>
        <v>853.18739052915112</v>
      </c>
      <c r="AT125" s="9">
        <f>Table1820[[#This Row],[System-Generated Premium]]-Table1820[[#This Row],[Expected Premium]]</f>
        <v>0</v>
      </c>
      <c r="AU125" t="str">
        <f>IF(Table1820[[#This Row],[Difference]]=0,"PASS","FAIL")</f>
        <v>PASS</v>
      </c>
      <c r="AV125" s="9">
        <f>ABS(Table1820[[#This Row],[Difference]])</f>
        <v>0</v>
      </c>
      <c r="AW125" s="9" t="s">
        <v>1136</v>
      </c>
    </row>
    <row r="126" spans="1:49" x14ac:dyDescent="0.3">
      <c r="A126" t="s">
        <v>217</v>
      </c>
      <c r="B126" s="7">
        <v>46073</v>
      </c>
      <c r="C126" t="s">
        <v>71</v>
      </c>
      <c r="D126" t="s">
        <v>1098</v>
      </c>
      <c r="E126" s="3">
        <v>4</v>
      </c>
      <c r="F126" s="3">
        <v>1</v>
      </c>
      <c r="G126" t="s">
        <v>10</v>
      </c>
      <c r="H126" t="s">
        <v>1109</v>
      </c>
      <c r="I126" t="s">
        <v>33</v>
      </c>
      <c r="J126" t="s">
        <v>54</v>
      </c>
      <c r="K126" t="s">
        <v>10</v>
      </c>
      <c r="L126" t="s">
        <v>10</v>
      </c>
      <c r="M126" t="s">
        <v>10</v>
      </c>
      <c r="N126" t="s">
        <v>57</v>
      </c>
      <c r="O126" t="str">
        <f>INDEX(CoverageTable[Deductible Applies],MATCH(Table1820[[#This Row],[Coverage]],CoverageTable[Coverage],0))</f>
        <v>Yes</v>
      </c>
      <c r="P126" t="str">
        <f>INDEX(CoverageTable[Coverage Limit Applies],MATCH(Table1820[[#This Row],[Coverage]],CoverageTable[Coverage],0))</f>
        <v>No</v>
      </c>
      <c r="Q126" t="s">
        <v>80</v>
      </c>
      <c r="R126" t="s">
        <v>10</v>
      </c>
      <c r="S126" t="s">
        <v>10</v>
      </c>
      <c r="T126" t="s">
        <v>10</v>
      </c>
      <c r="U126" t="s">
        <v>10</v>
      </c>
      <c r="V126" t="s">
        <v>57</v>
      </c>
      <c r="W126" t="s">
        <v>10</v>
      </c>
      <c r="X126" s="11">
        <v>1872.4874492048814</v>
      </c>
      <c r="Y126">
        <f>_xlfn.XLOOKUP(Table1820[[#This Row],[Coverage]],CoverageTable[Coverage],CoverageTable[Base Rate],,0)</f>
        <v>453</v>
      </c>
      <c r="Z126">
        <f>INDEX(Table16[Ageband Factor],MATCH(Table1820[[#This Row],[Ageband]],Table16[Ageband],0))</f>
        <v>1.23</v>
      </c>
      <c r="AA126">
        <f>VLOOKUP(Table1820[[#This Row],[Years Driving]],Table1[],2)</f>
        <v>1.1499999999999999</v>
      </c>
      <c r="AB126">
        <f>_xlfn.XLOOKUP(Table1820[[#This Row],[At Fault Accidents]],Table2[At Fault Accidents],Table2[At Fault Accident Factor],,0)</f>
        <v>1.34</v>
      </c>
      <c r="AC126">
        <f>_xlfn.XLOOKUP(Table1820[[#This Row],[Usage-Based Insurance]],Table3[Usage-Based Insurance],Table3[Usage-Based Insurance Discount],,0)</f>
        <v>1</v>
      </c>
      <c r="AD126">
        <f>_xlfn.XLOOKUP(Table1820[[#This Row],[Yearly Miles]],Table4[Yearly Miles],Table4[Yearly Miles Factor],,0)</f>
        <v>1.18</v>
      </c>
      <c r="AE126">
        <f>_xlfn.XLOOKUP(Table1820[[#This Row],[City/Zip Code]],Table5[City/Zip Code],Table5[City/Zip Code Factor],,0)</f>
        <v>1.02</v>
      </c>
      <c r="AF126">
        <f>_xlfn.XLOOKUP(Table1820[[#This Row],[Vehicle Price]],Table6[Vehicle Price],Table6[Vehicle Price Factor])</f>
        <v>2.87</v>
      </c>
      <c r="AG126">
        <f>_xlfn.XLOOKUP(Table1820[[#This Row],[Exotic Car]],Table7[Exotic Car],Table7[Exotic Car Factor],,0)</f>
        <v>1</v>
      </c>
      <c r="AH126">
        <f>_xlfn.XLOOKUP(Table1820[[#This Row],[Difficult Parts]],Table8[Difficult Parts],Table8[Difficult Parts Factor],,0)</f>
        <v>1</v>
      </c>
      <c r="AI126">
        <f>_xlfn.XLOOKUP(Table1820[[#This Row],[High Theft Rate]],Table9[High Theft Rate],Table9[High Theft Rate Factor],,0)</f>
        <v>1</v>
      </c>
      <c r="AJ126">
        <f>_xlfn.XLOOKUP(Table1820[[#This Row],[Advanced Safety Features]],Table10[Advanced Safety Features],Table10[Advanced Safety Features Factor],,0)</f>
        <v>0.88</v>
      </c>
      <c r="AK126">
        <f>_xlfn.XLOOKUP(Table1820[[#This Row],[Deductible]],Table12[Deductible],Table12[Deductible Factor],,0)</f>
        <v>0.72</v>
      </c>
      <c r="AL126">
        <f>_xlfn.XLOOKUP(Table1820[[#This Row],[Coverage Limit]],Table13[Coverage Limit],Table13[Coverage Limit Factor],,0)</f>
        <v>1</v>
      </c>
      <c r="AM126">
        <f>IF(Table1820[[#This Row],[Good Student Discount]]="Yes",'Rate Book'!$D$126,1)</f>
        <v>1</v>
      </c>
      <c r="AN126">
        <f>IF(Table1820[[#This Row],[Good Driver Discount]]="Yes",'Rate Book'!$D$127,1)</f>
        <v>1</v>
      </c>
      <c r="AO126">
        <f>IF(Table1820[[#This Row],[Multi Policy Discount]]="Yes",'Rate Book'!$D$128,1)</f>
        <v>1</v>
      </c>
      <c r="AP126">
        <f>IF(Table1820[[#This Row],[Loyal Customer Discount]]="Yes",'Rate Book'!$D$129,1)</f>
        <v>0.94</v>
      </c>
      <c r="AQ126">
        <f>IF(Table1820[[#This Row],[Organization Discount]]="Yes",'Rate Book'!$D$130,1)</f>
        <v>1</v>
      </c>
      <c r="AR126" cm="1">
        <f t="array" ref="AR126">IF(Table1820[[#This Row],[Effective Date]]&gt;=RateChangeTable[Effective Date],RateChangeTable[Rate Change Factor],1)</f>
        <v>1.06</v>
      </c>
      <c r="AS126" s="10">
        <f>PRODUCT(Table1820[[#This Row],[Base Rate]:[Rate Change Factor]])</f>
        <v>1872.4874492048814</v>
      </c>
      <c r="AT126" s="9">
        <f>Table1820[[#This Row],[System-Generated Premium]]-Table1820[[#This Row],[Expected Premium]]</f>
        <v>0</v>
      </c>
      <c r="AU126" t="str">
        <f>IF(Table1820[[#This Row],[Difference]]=0,"PASS","FAIL")</f>
        <v>PASS</v>
      </c>
      <c r="AV126" s="9">
        <f>ABS(Table1820[[#This Row],[Difference]])</f>
        <v>0</v>
      </c>
      <c r="AW126" s="9" t="s">
        <v>1136</v>
      </c>
    </row>
    <row r="127" spans="1:49" x14ac:dyDescent="0.3">
      <c r="A127" t="s">
        <v>218</v>
      </c>
      <c r="B127" s="7">
        <v>46143</v>
      </c>
      <c r="C127" t="s">
        <v>70</v>
      </c>
      <c r="D127" t="s">
        <v>1098</v>
      </c>
      <c r="E127" s="3">
        <v>1</v>
      </c>
      <c r="F127" s="3" t="s">
        <v>7</v>
      </c>
      <c r="G127" t="s">
        <v>13</v>
      </c>
      <c r="H127" t="s">
        <v>1109</v>
      </c>
      <c r="I127" t="s">
        <v>40</v>
      </c>
      <c r="J127" t="s">
        <v>52</v>
      </c>
      <c r="K127" t="s">
        <v>10</v>
      </c>
      <c r="L127" t="s">
        <v>10</v>
      </c>
      <c r="M127" t="s">
        <v>10</v>
      </c>
      <c r="N127" t="s">
        <v>10</v>
      </c>
      <c r="O127" t="str">
        <f>INDEX(CoverageTable[Deductible Applies],MATCH(Table1820[[#This Row],[Coverage]],CoverageTable[Coverage],0))</f>
        <v>No</v>
      </c>
      <c r="P127" t="str">
        <f>INDEX(CoverageTable[Coverage Limit Applies],MATCH(Table1820[[#This Row],[Coverage]],CoverageTable[Coverage],0))</f>
        <v>Yes</v>
      </c>
      <c r="Q127" t="s">
        <v>10</v>
      </c>
      <c r="R127" t="s">
        <v>78</v>
      </c>
      <c r="S127" t="s">
        <v>10</v>
      </c>
      <c r="T127" t="s">
        <v>10</v>
      </c>
      <c r="U127" t="s">
        <v>10</v>
      </c>
      <c r="V127" t="s">
        <v>10</v>
      </c>
      <c r="W127" t="s">
        <v>10</v>
      </c>
      <c r="X127" s="11">
        <v>2630.2286982351425</v>
      </c>
      <c r="Y127">
        <f>_xlfn.XLOOKUP(Table1820[[#This Row],[Coverage]],CoverageTable[Coverage],CoverageTable[Base Rate],,0)</f>
        <v>622</v>
      </c>
      <c r="Z127">
        <f>INDEX(Table16[Ageband Factor],MATCH(Table1820[[#This Row],[Ageband]],Table16[Ageband],0))</f>
        <v>1.23</v>
      </c>
      <c r="AA127">
        <f>VLOOKUP(Table1820[[#This Row],[Years Driving]],Table1[],2)</f>
        <v>1.64</v>
      </c>
      <c r="AB127">
        <f>_xlfn.XLOOKUP(Table1820[[#This Row],[At Fault Accidents]],Table2[At Fault Accidents],Table2[At Fault Accident Factor],,0)</f>
        <v>2.4700000000000002</v>
      </c>
      <c r="AC127">
        <f>_xlfn.XLOOKUP(Table1820[[#This Row],[Usage-Based Insurance]],Table3[Usage-Based Insurance],Table3[Usage-Based Insurance Discount],,0)</f>
        <v>0.65</v>
      </c>
      <c r="AD127">
        <f>_xlfn.XLOOKUP(Table1820[[#This Row],[Yearly Miles]],Table4[Yearly Miles],Table4[Yearly Miles Factor],,0)</f>
        <v>1.18</v>
      </c>
      <c r="AE127">
        <f>_xlfn.XLOOKUP(Table1820[[#This Row],[City/Zip Code]],Table5[City/Zip Code],Table5[City/Zip Code Factor],,0)</f>
        <v>1.0900000000000001</v>
      </c>
      <c r="AF127">
        <f>_xlfn.XLOOKUP(Table1820[[#This Row],[Vehicle Price]],Table6[Vehicle Price],Table6[Vehicle Price Factor])</f>
        <v>1.57</v>
      </c>
      <c r="AG127">
        <f>_xlfn.XLOOKUP(Table1820[[#This Row],[Exotic Car]],Table7[Exotic Car],Table7[Exotic Car Factor],,0)</f>
        <v>1</v>
      </c>
      <c r="AH127">
        <f>_xlfn.XLOOKUP(Table1820[[#This Row],[Difficult Parts]],Table8[Difficult Parts],Table8[Difficult Parts Factor],,0)</f>
        <v>1</v>
      </c>
      <c r="AI127">
        <f>_xlfn.XLOOKUP(Table1820[[#This Row],[High Theft Rate]],Table9[High Theft Rate],Table9[High Theft Rate Factor],,0)</f>
        <v>1</v>
      </c>
      <c r="AJ127">
        <f>_xlfn.XLOOKUP(Table1820[[#This Row],[Advanced Safety Features]],Table10[Advanced Safety Features],Table10[Advanced Safety Features Factor],,0)</f>
        <v>1</v>
      </c>
      <c r="AK127">
        <f>_xlfn.XLOOKUP(Table1820[[#This Row],[Deductible]],Table12[Deductible],Table12[Deductible Factor],,0)</f>
        <v>1</v>
      </c>
      <c r="AL127">
        <f>_xlfn.XLOOKUP(Table1820[[#This Row],[Coverage Limit]],Table13[Coverage Limit],Table13[Coverage Limit Factor],,0)</f>
        <v>0.61</v>
      </c>
      <c r="AM127">
        <f>IF(Table1820[[#This Row],[Good Student Discount]]="Yes",'Rate Book'!$D$126,1)</f>
        <v>1</v>
      </c>
      <c r="AN127">
        <f>IF(Table1820[[#This Row],[Good Driver Discount]]="Yes",'Rate Book'!$D$127,1)</f>
        <v>1</v>
      </c>
      <c r="AO127">
        <f>IF(Table1820[[#This Row],[Multi Policy Discount]]="Yes",'Rate Book'!$D$128,1)</f>
        <v>1</v>
      </c>
      <c r="AP127">
        <f>IF(Table1820[[#This Row],[Loyal Customer Discount]]="Yes",'Rate Book'!$D$129,1)</f>
        <v>1</v>
      </c>
      <c r="AQ127">
        <f>IF(Table1820[[#This Row],[Organization Discount]]="Yes",'Rate Book'!$D$130,1)</f>
        <v>1</v>
      </c>
      <c r="AR127" cm="1">
        <f t="array" ref="AR127">IF(Table1820[[#This Row],[Effective Date]]&gt;=RateChangeTable[Effective Date],RateChangeTable[Rate Change Factor],1)</f>
        <v>1.06</v>
      </c>
      <c r="AS127" s="10">
        <f>PRODUCT(Table1820[[#This Row],[Base Rate]:[Rate Change Factor]])</f>
        <v>2630.2286982351425</v>
      </c>
      <c r="AT127" s="9">
        <f>Table1820[[#This Row],[System-Generated Premium]]-Table1820[[#This Row],[Expected Premium]]</f>
        <v>0</v>
      </c>
      <c r="AU127" t="str">
        <f>IF(Table1820[[#This Row],[Difference]]=0,"PASS","FAIL")</f>
        <v>PASS</v>
      </c>
      <c r="AV127" s="9">
        <f>ABS(Table1820[[#This Row],[Difference]])</f>
        <v>0</v>
      </c>
      <c r="AW127" s="9" t="s">
        <v>1136</v>
      </c>
    </row>
    <row r="128" spans="1:49" x14ac:dyDescent="0.3">
      <c r="A128" t="s">
        <v>219</v>
      </c>
      <c r="B128" s="7">
        <v>45928</v>
      </c>
      <c r="C128" t="s">
        <v>70</v>
      </c>
      <c r="D128" t="s">
        <v>1102</v>
      </c>
      <c r="E128" s="3">
        <v>4</v>
      </c>
      <c r="F128" s="3" t="s">
        <v>7</v>
      </c>
      <c r="G128" t="s">
        <v>10</v>
      </c>
      <c r="H128" t="s">
        <v>1109</v>
      </c>
      <c r="I128" t="s">
        <v>25</v>
      </c>
      <c r="J128" t="s">
        <v>52</v>
      </c>
      <c r="K128" t="s">
        <v>10</v>
      </c>
      <c r="L128" t="s">
        <v>10</v>
      </c>
      <c r="M128" t="s">
        <v>10</v>
      </c>
      <c r="N128" t="s">
        <v>10</v>
      </c>
      <c r="O128" t="str">
        <f>INDEX(CoverageTable[Deductible Applies],MATCH(Table1820[[#This Row],[Coverage]],CoverageTable[Coverage],0))</f>
        <v>No</v>
      </c>
      <c r="P128" t="str">
        <f>INDEX(CoverageTable[Coverage Limit Applies],MATCH(Table1820[[#This Row],[Coverage]],CoverageTable[Coverage],0))</f>
        <v>Yes</v>
      </c>
      <c r="Q128" t="s">
        <v>10</v>
      </c>
      <c r="R128" t="s">
        <v>80</v>
      </c>
      <c r="S128" t="s">
        <v>57</v>
      </c>
      <c r="T128" t="s">
        <v>57</v>
      </c>
      <c r="U128" t="s">
        <v>10</v>
      </c>
      <c r="V128" t="s">
        <v>10</v>
      </c>
      <c r="W128" t="s">
        <v>10</v>
      </c>
      <c r="X128" s="11">
        <v>3316.5432735610648</v>
      </c>
      <c r="Y128">
        <f>_xlfn.XLOOKUP(Table1820[[#This Row],[Coverage]],CoverageTable[Coverage],CoverageTable[Base Rate],,0)</f>
        <v>622</v>
      </c>
      <c r="Z128">
        <f>INDEX(Table16[Ageband Factor],MATCH(Table1820[[#This Row],[Ageband]],Table16[Ageband],0))</f>
        <v>1.27</v>
      </c>
      <c r="AA128">
        <f>VLOOKUP(Table1820[[#This Row],[Years Driving]],Table1[],2)</f>
        <v>1.1499999999999999</v>
      </c>
      <c r="AB128">
        <f>_xlfn.XLOOKUP(Table1820[[#This Row],[At Fault Accidents]],Table2[At Fault Accidents],Table2[At Fault Accident Factor],,0)</f>
        <v>2.4700000000000002</v>
      </c>
      <c r="AC128">
        <f>_xlfn.XLOOKUP(Table1820[[#This Row],[Usage-Based Insurance]],Table3[Usage-Based Insurance],Table3[Usage-Based Insurance Discount],,0)</f>
        <v>1</v>
      </c>
      <c r="AD128">
        <f>_xlfn.XLOOKUP(Table1820[[#This Row],[Yearly Miles]],Table4[Yearly Miles],Table4[Yearly Miles Factor],,0)</f>
        <v>1.18</v>
      </c>
      <c r="AE128">
        <f>_xlfn.XLOOKUP(Table1820[[#This Row],[City/Zip Code]],Table5[City/Zip Code],Table5[City/Zip Code Factor],,0)</f>
        <v>1.1599999999999999</v>
      </c>
      <c r="AF128">
        <f>_xlfn.XLOOKUP(Table1820[[#This Row],[Vehicle Price]],Table6[Vehicle Price],Table6[Vehicle Price Factor])</f>
        <v>1.57</v>
      </c>
      <c r="AG128">
        <f>_xlfn.XLOOKUP(Table1820[[#This Row],[Exotic Car]],Table7[Exotic Car],Table7[Exotic Car Factor],,0)</f>
        <v>1</v>
      </c>
      <c r="AH128">
        <f>_xlfn.XLOOKUP(Table1820[[#This Row],[Difficult Parts]],Table8[Difficult Parts],Table8[Difficult Parts Factor],,0)</f>
        <v>1</v>
      </c>
      <c r="AI128">
        <f>_xlfn.XLOOKUP(Table1820[[#This Row],[High Theft Rate]],Table9[High Theft Rate],Table9[High Theft Rate Factor],,0)</f>
        <v>1</v>
      </c>
      <c r="AJ128">
        <f>_xlfn.XLOOKUP(Table1820[[#This Row],[Advanced Safety Features]],Table10[Advanced Safety Features],Table10[Advanced Safety Features Factor],,0)</f>
        <v>1</v>
      </c>
      <c r="AK128">
        <f>_xlfn.XLOOKUP(Table1820[[#This Row],[Deductible]],Table12[Deductible],Table12[Deductible Factor],,0)</f>
        <v>1</v>
      </c>
      <c r="AL128">
        <f>_xlfn.XLOOKUP(Table1820[[#This Row],[Coverage Limit]],Table13[Coverage Limit],Table13[Coverage Limit Factor],,0)</f>
        <v>0.84</v>
      </c>
      <c r="AM128">
        <f>IF(Table1820[[#This Row],[Good Student Discount]]="Yes",'Rate Book'!$D$126,1)</f>
        <v>0.92</v>
      </c>
      <c r="AN128">
        <f>IF(Table1820[[#This Row],[Good Driver Discount]]="Yes",'Rate Book'!$D$127,1)</f>
        <v>0.89</v>
      </c>
      <c r="AO128">
        <f>IF(Table1820[[#This Row],[Multi Policy Discount]]="Yes",'Rate Book'!$D$128,1)</f>
        <v>1</v>
      </c>
      <c r="AP128">
        <f>IF(Table1820[[#This Row],[Loyal Customer Discount]]="Yes",'Rate Book'!$D$129,1)</f>
        <v>1</v>
      </c>
      <c r="AQ128">
        <f>IF(Table1820[[#This Row],[Organization Discount]]="Yes",'Rate Book'!$D$130,1)</f>
        <v>1</v>
      </c>
      <c r="AR128" cm="1">
        <f t="array" ref="AR128">IF(Table1820[[#This Row],[Effective Date]]&gt;=RateChangeTable[Effective Date],RateChangeTable[Rate Change Factor],1)</f>
        <v>1</v>
      </c>
      <c r="AS128" s="10">
        <f>PRODUCT(Table1820[[#This Row],[Base Rate]:[Rate Change Factor]])</f>
        <v>3316.5432735610648</v>
      </c>
      <c r="AT128" s="9">
        <f>Table1820[[#This Row],[System-Generated Premium]]-Table1820[[#This Row],[Expected Premium]]</f>
        <v>0</v>
      </c>
      <c r="AU128" t="str">
        <f>IF(Table1820[[#This Row],[Difference]]=0,"PASS","FAIL")</f>
        <v>PASS</v>
      </c>
      <c r="AV128" s="9">
        <f>ABS(Table1820[[#This Row],[Difference]])</f>
        <v>0</v>
      </c>
      <c r="AW128" s="9" t="s">
        <v>1136</v>
      </c>
    </row>
    <row r="129" spans="1:49" x14ac:dyDescent="0.3">
      <c r="A129" t="s">
        <v>220</v>
      </c>
      <c r="B129" s="7">
        <v>45848</v>
      </c>
      <c r="C129" t="s">
        <v>72</v>
      </c>
      <c r="D129" t="s">
        <v>1098</v>
      </c>
      <c r="E129" s="3">
        <v>1</v>
      </c>
      <c r="F129" s="3">
        <v>2</v>
      </c>
      <c r="G129" t="s">
        <v>12</v>
      </c>
      <c r="H129" t="s">
        <v>1110</v>
      </c>
      <c r="I129" t="s">
        <v>39</v>
      </c>
      <c r="J129" t="s">
        <v>51</v>
      </c>
      <c r="K129" t="s">
        <v>10</v>
      </c>
      <c r="L129" t="s">
        <v>10</v>
      </c>
      <c r="M129" t="s">
        <v>10</v>
      </c>
      <c r="N129" t="s">
        <v>57</v>
      </c>
      <c r="O129" t="str">
        <f>INDEX(CoverageTable[Deductible Applies],MATCH(Table1820[[#This Row],[Coverage]],CoverageTable[Coverage],0))</f>
        <v>Yes</v>
      </c>
      <c r="P129" t="str">
        <f>INDEX(CoverageTable[Coverage Limit Applies],MATCH(Table1820[[#This Row],[Coverage]],CoverageTable[Coverage],0))</f>
        <v>No</v>
      </c>
      <c r="Q129" t="s">
        <v>80</v>
      </c>
      <c r="R129" t="s">
        <v>10</v>
      </c>
      <c r="S129" t="s">
        <v>57</v>
      </c>
      <c r="T129" t="s">
        <v>10</v>
      </c>
      <c r="U129" t="s">
        <v>10</v>
      </c>
      <c r="V129" t="s">
        <v>57</v>
      </c>
      <c r="W129" t="s">
        <v>10</v>
      </c>
      <c r="X129" s="11">
        <v>300.32527628961753</v>
      </c>
      <c r="Y129">
        <f>_xlfn.XLOOKUP(Table1820[[#This Row],[Coverage]],CoverageTable[Coverage],CoverageTable[Base Rate],,0)</f>
        <v>121</v>
      </c>
      <c r="Z129">
        <f>INDEX(Table16[Ageband Factor],MATCH(Table1820[[#This Row],[Ageband]],Table16[Ageband],0))</f>
        <v>1.23</v>
      </c>
      <c r="AA129">
        <f>VLOOKUP(Table1820[[#This Row],[Years Driving]],Table1[],2)</f>
        <v>1.64</v>
      </c>
      <c r="AB129">
        <f>_xlfn.XLOOKUP(Table1820[[#This Row],[At Fault Accidents]],Table2[At Fault Accidents],Table2[At Fault Accident Factor],,0)</f>
        <v>1.55</v>
      </c>
      <c r="AC129">
        <f>_xlfn.XLOOKUP(Table1820[[#This Row],[Usage-Based Insurance]],Table3[Usage-Based Insurance],Table3[Usage-Based Insurance Discount],,0)</f>
        <v>0.8</v>
      </c>
      <c r="AD129">
        <f>_xlfn.XLOOKUP(Table1820[[#This Row],[Yearly Miles]],Table4[Yearly Miles],Table4[Yearly Miles Factor],,0)</f>
        <v>1.31</v>
      </c>
      <c r="AE129">
        <f>_xlfn.XLOOKUP(Table1820[[#This Row],[City/Zip Code]],Table5[City/Zip Code],Table5[City/Zip Code Factor],,0)</f>
        <v>1.08</v>
      </c>
      <c r="AF129">
        <f>_xlfn.XLOOKUP(Table1820[[#This Row],[Vehicle Price]],Table6[Vehicle Price],Table6[Vehicle Price Factor])</f>
        <v>1.28</v>
      </c>
      <c r="AG129">
        <f>_xlfn.XLOOKUP(Table1820[[#This Row],[Exotic Car]],Table7[Exotic Car],Table7[Exotic Car Factor],,0)</f>
        <v>1</v>
      </c>
      <c r="AH129">
        <f>_xlfn.XLOOKUP(Table1820[[#This Row],[Difficult Parts]],Table8[Difficult Parts],Table8[Difficult Parts Factor],,0)</f>
        <v>1</v>
      </c>
      <c r="AI129">
        <f>_xlfn.XLOOKUP(Table1820[[#This Row],[High Theft Rate]],Table9[High Theft Rate],Table9[High Theft Rate Factor],,0)</f>
        <v>1</v>
      </c>
      <c r="AJ129">
        <f>_xlfn.XLOOKUP(Table1820[[#This Row],[Advanced Safety Features]],Table10[Advanced Safety Features],Table10[Advanced Safety Features Factor],,0)</f>
        <v>0.88</v>
      </c>
      <c r="AK129">
        <f>_xlfn.XLOOKUP(Table1820[[#This Row],[Deductible]],Table12[Deductible],Table12[Deductible Factor],,0)</f>
        <v>0.72</v>
      </c>
      <c r="AL129">
        <f>_xlfn.XLOOKUP(Table1820[[#This Row],[Coverage Limit]],Table13[Coverage Limit],Table13[Coverage Limit Factor],,0)</f>
        <v>1</v>
      </c>
      <c r="AM129">
        <f>IF(Table1820[[#This Row],[Good Student Discount]]="Yes",'Rate Book'!$D$126,1)</f>
        <v>0.92</v>
      </c>
      <c r="AN129">
        <f>IF(Table1820[[#This Row],[Good Driver Discount]]="Yes",'Rate Book'!$D$127,1)</f>
        <v>1</v>
      </c>
      <c r="AO129">
        <f>IF(Table1820[[#This Row],[Multi Policy Discount]]="Yes",'Rate Book'!$D$128,1)</f>
        <v>1</v>
      </c>
      <c r="AP129">
        <f>IF(Table1820[[#This Row],[Loyal Customer Discount]]="Yes",'Rate Book'!$D$129,1)</f>
        <v>0.94</v>
      </c>
      <c r="AQ129">
        <f>IF(Table1820[[#This Row],[Organization Discount]]="Yes",'Rate Book'!$D$130,1)</f>
        <v>1</v>
      </c>
      <c r="AR129" cm="1">
        <f t="array" ref="AR129">IF(Table1820[[#This Row],[Effective Date]]&gt;=RateChangeTable[Effective Date],RateChangeTable[Rate Change Factor],1)</f>
        <v>1</v>
      </c>
      <c r="AS129" s="10">
        <f>PRODUCT(Table1820[[#This Row],[Base Rate]:[Rate Change Factor]])</f>
        <v>300.32527628961753</v>
      </c>
      <c r="AT129" s="9">
        <f>Table1820[[#This Row],[System-Generated Premium]]-Table1820[[#This Row],[Expected Premium]]</f>
        <v>0</v>
      </c>
      <c r="AU129" t="str">
        <f>IF(Table1820[[#This Row],[Difference]]=0,"PASS","FAIL")</f>
        <v>PASS</v>
      </c>
      <c r="AV129" s="9">
        <f>ABS(Table1820[[#This Row],[Difference]])</f>
        <v>0</v>
      </c>
      <c r="AW129" s="9" t="s">
        <v>1136</v>
      </c>
    </row>
    <row r="130" spans="1:49" x14ac:dyDescent="0.3">
      <c r="A130" t="s">
        <v>221</v>
      </c>
      <c r="B130" s="7">
        <v>45802</v>
      </c>
      <c r="C130" t="s">
        <v>70</v>
      </c>
      <c r="D130" t="s">
        <v>1097</v>
      </c>
      <c r="E130" s="3">
        <v>3</v>
      </c>
      <c r="F130" s="3">
        <v>4</v>
      </c>
      <c r="G130" t="s">
        <v>12</v>
      </c>
      <c r="H130" t="s">
        <v>1108</v>
      </c>
      <c r="I130" t="s">
        <v>43</v>
      </c>
      <c r="J130" t="s">
        <v>50</v>
      </c>
      <c r="K130" t="s">
        <v>10</v>
      </c>
      <c r="L130" t="s">
        <v>10</v>
      </c>
      <c r="M130" t="s">
        <v>10</v>
      </c>
      <c r="N130" t="s">
        <v>10</v>
      </c>
      <c r="O130" t="str">
        <f>INDEX(CoverageTable[Deductible Applies],MATCH(Table1820[[#This Row],[Coverage]],CoverageTable[Coverage],0))</f>
        <v>No</v>
      </c>
      <c r="P130" t="str">
        <f>INDEX(CoverageTable[Coverage Limit Applies],MATCH(Table1820[[#This Row],[Coverage]],CoverageTable[Coverage],0))</f>
        <v>Yes</v>
      </c>
      <c r="Q130" t="s">
        <v>10</v>
      </c>
      <c r="R130" t="s">
        <v>80</v>
      </c>
      <c r="S130" t="s">
        <v>10</v>
      </c>
      <c r="T130" t="s">
        <v>57</v>
      </c>
      <c r="U130" t="s">
        <v>57</v>
      </c>
      <c r="V130" t="s">
        <v>10</v>
      </c>
      <c r="W130" t="s">
        <v>10</v>
      </c>
      <c r="X130" s="11">
        <v>1505.2477910260452</v>
      </c>
      <c r="Y130">
        <f>_xlfn.XLOOKUP(Table1820[[#This Row],[Coverage]],CoverageTable[Coverage],CoverageTable[Base Rate],,0)</f>
        <v>622</v>
      </c>
      <c r="Z130">
        <f>INDEX(Table16[Ageband Factor],MATCH(Table1820[[#This Row],[Ageband]],Table16[Ageband],0))</f>
        <v>1.32</v>
      </c>
      <c r="AA130">
        <f>VLOOKUP(Table1820[[#This Row],[Years Driving]],Table1[],2)</f>
        <v>1.22</v>
      </c>
      <c r="AB130">
        <f>_xlfn.XLOOKUP(Table1820[[#This Row],[At Fault Accidents]],Table2[At Fault Accidents],Table2[At Fault Accident Factor],,0)</f>
        <v>2.12</v>
      </c>
      <c r="AC130">
        <f>_xlfn.XLOOKUP(Table1820[[#This Row],[Usage-Based Insurance]],Table3[Usage-Based Insurance],Table3[Usage-Based Insurance Discount],,0)</f>
        <v>0.8</v>
      </c>
      <c r="AD130">
        <f>_xlfn.XLOOKUP(Table1820[[#This Row],[Yearly Miles]],Table4[Yearly Miles],Table4[Yearly Miles Factor],,0)</f>
        <v>1</v>
      </c>
      <c r="AE130">
        <f>_xlfn.XLOOKUP(Table1820[[#This Row],[City/Zip Code]],Table5[City/Zip Code],Table5[City/Zip Code Factor],,0)</f>
        <v>1.18</v>
      </c>
      <c r="AF130">
        <f>_xlfn.XLOOKUP(Table1820[[#This Row],[Vehicle Price]],Table6[Vehicle Price],Table6[Vehicle Price Factor])</f>
        <v>1.08</v>
      </c>
      <c r="AG130">
        <f>_xlfn.XLOOKUP(Table1820[[#This Row],[Exotic Car]],Table7[Exotic Car],Table7[Exotic Car Factor],,0)</f>
        <v>1</v>
      </c>
      <c r="AH130">
        <f>_xlfn.XLOOKUP(Table1820[[#This Row],[Difficult Parts]],Table8[Difficult Parts],Table8[Difficult Parts Factor],,0)</f>
        <v>1</v>
      </c>
      <c r="AI130">
        <f>_xlfn.XLOOKUP(Table1820[[#This Row],[High Theft Rate]],Table9[High Theft Rate],Table9[High Theft Rate Factor],,0)</f>
        <v>1</v>
      </c>
      <c r="AJ130">
        <f>_xlfn.XLOOKUP(Table1820[[#This Row],[Advanced Safety Features]],Table10[Advanced Safety Features],Table10[Advanced Safety Features Factor],,0)</f>
        <v>1</v>
      </c>
      <c r="AK130">
        <f>_xlfn.XLOOKUP(Table1820[[#This Row],[Deductible]],Table12[Deductible],Table12[Deductible Factor],,0)</f>
        <v>1</v>
      </c>
      <c r="AL130">
        <f>_xlfn.XLOOKUP(Table1820[[#This Row],[Coverage Limit]],Table13[Coverage Limit],Table13[Coverage Limit Factor],,0)</f>
        <v>0.84</v>
      </c>
      <c r="AM130">
        <f>IF(Table1820[[#This Row],[Good Student Discount]]="Yes",'Rate Book'!$D$126,1)</f>
        <v>1</v>
      </c>
      <c r="AN130">
        <f>IF(Table1820[[#This Row],[Good Driver Discount]]="Yes",'Rate Book'!$D$127,1)</f>
        <v>0.89</v>
      </c>
      <c r="AO130">
        <f>IF(Table1820[[#This Row],[Multi Policy Discount]]="Yes",'Rate Book'!$D$128,1)</f>
        <v>0.93</v>
      </c>
      <c r="AP130">
        <f>IF(Table1820[[#This Row],[Loyal Customer Discount]]="Yes",'Rate Book'!$D$129,1)</f>
        <v>1</v>
      </c>
      <c r="AQ130">
        <f>IF(Table1820[[#This Row],[Organization Discount]]="Yes",'Rate Book'!$D$130,1)</f>
        <v>1</v>
      </c>
      <c r="AR130" cm="1">
        <f t="array" ref="AR130">IF(Table1820[[#This Row],[Effective Date]]&gt;=RateChangeTable[Effective Date],RateChangeTable[Rate Change Factor],1)</f>
        <v>1</v>
      </c>
      <c r="AS130" s="10">
        <f>PRODUCT(Table1820[[#This Row],[Base Rate]:[Rate Change Factor]])</f>
        <v>1505.2477910260452</v>
      </c>
      <c r="AT130" s="9">
        <f>Table1820[[#This Row],[System-Generated Premium]]-Table1820[[#This Row],[Expected Premium]]</f>
        <v>0</v>
      </c>
      <c r="AU130" t="str">
        <f>IF(Table1820[[#This Row],[Difference]]=0,"PASS","FAIL")</f>
        <v>PASS</v>
      </c>
      <c r="AV130" s="9">
        <f>ABS(Table1820[[#This Row],[Difference]])</f>
        <v>0</v>
      </c>
      <c r="AW130" s="9" t="s">
        <v>1136</v>
      </c>
    </row>
    <row r="131" spans="1:49" x14ac:dyDescent="0.3">
      <c r="A131" t="s">
        <v>222</v>
      </c>
      <c r="B131" s="7">
        <v>46080</v>
      </c>
      <c r="C131" t="s">
        <v>74</v>
      </c>
      <c r="D131" t="s">
        <v>1100</v>
      </c>
      <c r="E131" s="3">
        <v>2</v>
      </c>
      <c r="F131" s="3">
        <v>1</v>
      </c>
      <c r="G131" t="s">
        <v>10</v>
      </c>
      <c r="H131" t="s">
        <v>1108</v>
      </c>
      <c r="I131" t="s">
        <v>34</v>
      </c>
      <c r="J131" t="s">
        <v>49</v>
      </c>
      <c r="K131" t="s">
        <v>57</v>
      </c>
      <c r="L131" t="s">
        <v>10</v>
      </c>
      <c r="M131" t="s">
        <v>10</v>
      </c>
      <c r="N131" t="s">
        <v>10</v>
      </c>
      <c r="O131" t="str">
        <f>INDEX(CoverageTable[Deductible Applies],MATCH(Table1820[[#This Row],[Coverage]],CoverageTable[Coverage],0))</f>
        <v>No</v>
      </c>
      <c r="P131" t="str">
        <f>INDEX(CoverageTable[Coverage Limit Applies],MATCH(Table1820[[#This Row],[Coverage]],CoverageTable[Coverage],0))</f>
        <v>Yes</v>
      </c>
      <c r="Q131" t="s">
        <v>10</v>
      </c>
      <c r="R131" t="s">
        <v>78</v>
      </c>
      <c r="S131" t="s">
        <v>10</v>
      </c>
      <c r="T131" t="s">
        <v>57</v>
      </c>
      <c r="U131" t="s">
        <v>57</v>
      </c>
      <c r="V131" t="s">
        <v>10</v>
      </c>
      <c r="W131" t="s">
        <v>10</v>
      </c>
      <c r="X131" s="11">
        <v>85.922420546313276</v>
      </c>
      <c r="Y131">
        <f>_xlfn.XLOOKUP(Table1820[[#This Row],[Coverage]],CoverageTable[Coverage],CoverageTable[Base Rate],,0)</f>
        <v>41</v>
      </c>
      <c r="Z131">
        <f>INDEX(Table16[Ageband Factor],MATCH(Table1820[[#This Row],[Ageband]],Table16[Ageband],0))</f>
        <v>1.07</v>
      </c>
      <c r="AA131">
        <f>VLOOKUP(Table1820[[#This Row],[Years Driving]],Table1[],2)</f>
        <v>1.41</v>
      </c>
      <c r="AB131">
        <f>_xlfn.XLOOKUP(Table1820[[#This Row],[At Fault Accidents]],Table2[At Fault Accidents],Table2[At Fault Accident Factor],,0)</f>
        <v>1.34</v>
      </c>
      <c r="AC131">
        <f>_xlfn.XLOOKUP(Table1820[[#This Row],[Usage-Based Insurance]],Table3[Usage-Based Insurance],Table3[Usage-Based Insurance Discount],,0)</f>
        <v>1</v>
      </c>
      <c r="AD131">
        <f>_xlfn.XLOOKUP(Table1820[[#This Row],[Yearly Miles]],Table4[Yearly Miles],Table4[Yearly Miles Factor],,0)</f>
        <v>1</v>
      </c>
      <c r="AE131">
        <f>_xlfn.XLOOKUP(Table1820[[#This Row],[City/Zip Code]],Table5[City/Zip Code],Table5[City/Zip Code Factor],,0)</f>
        <v>1.56</v>
      </c>
      <c r="AF131">
        <f>_xlfn.XLOOKUP(Table1820[[#This Row],[Vehicle Price]],Table6[Vehicle Price],Table6[Vehicle Price Factor])</f>
        <v>0.97</v>
      </c>
      <c r="AG131">
        <f>_xlfn.XLOOKUP(Table1820[[#This Row],[Exotic Car]],Table7[Exotic Car],Table7[Exotic Car Factor],,0)</f>
        <v>1.28</v>
      </c>
      <c r="AH131">
        <f>_xlfn.XLOOKUP(Table1820[[#This Row],[Difficult Parts]],Table8[Difficult Parts],Table8[Difficult Parts Factor],,0)</f>
        <v>1</v>
      </c>
      <c r="AI131">
        <f>_xlfn.XLOOKUP(Table1820[[#This Row],[High Theft Rate]],Table9[High Theft Rate],Table9[High Theft Rate Factor],,0)</f>
        <v>1</v>
      </c>
      <c r="AJ131">
        <f>_xlfn.XLOOKUP(Table1820[[#This Row],[Advanced Safety Features]],Table10[Advanced Safety Features],Table10[Advanced Safety Features Factor],,0)</f>
        <v>1</v>
      </c>
      <c r="AK131">
        <f>_xlfn.XLOOKUP(Table1820[[#This Row],[Deductible]],Table12[Deductible],Table12[Deductible Factor],,0)</f>
        <v>1</v>
      </c>
      <c r="AL131">
        <f>_xlfn.XLOOKUP(Table1820[[#This Row],[Coverage Limit]],Table13[Coverage Limit],Table13[Coverage Limit Factor],,0)</f>
        <v>0.61</v>
      </c>
      <c r="AM131">
        <f>IF(Table1820[[#This Row],[Good Student Discount]]="Yes",'Rate Book'!$D$126,1)</f>
        <v>1</v>
      </c>
      <c r="AN131">
        <f>IF(Table1820[[#This Row],[Good Driver Discount]]="Yes",'Rate Book'!$D$127,1)</f>
        <v>0.89</v>
      </c>
      <c r="AO131">
        <f>IF(Table1820[[#This Row],[Multi Policy Discount]]="Yes",'Rate Book'!$D$128,1)</f>
        <v>0.93</v>
      </c>
      <c r="AP131">
        <f>IF(Table1820[[#This Row],[Loyal Customer Discount]]="Yes",'Rate Book'!$D$129,1)</f>
        <v>1</v>
      </c>
      <c r="AQ131">
        <f>IF(Table1820[[#This Row],[Organization Discount]]="Yes",'Rate Book'!$D$130,1)</f>
        <v>1</v>
      </c>
      <c r="AR131" cm="1">
        <f t="array" ref="AR131">IF(Table1820[[#This Row],[Effective Date]]&gt;=RateChangeTable[Effective Date],RateChangeTable[Rate Change Factor],1)</f>
        <v>1.06</v>
      </c>
      <c r="AS131" s="10">
        <f>PRODUCT(Table1820[[#This Row],[Base Rate]:[Rate Change Factor]])</f>
        <v>85.922420546313276</v>
      </c>
      <c r="AT131" s="9">
        <f>Table1820[[#This Row],[System-Generated Premium]]-Table1820[[#This Row],[Expected Premium]]</f>
        <v>0</v>
      </c>
      <c r="AU131" t="str">
        <f>IF(Table1820[[#This Row],[Difference]]=0,"PASS","FAIL")</f>
        <v>PASS</v>
      </c>
      <c r="AV131" s="9">
        <f>ABS(Table1820[[#This Row],[Difference]])</f>
        <v>0</v>
      </c>
      <c r="AW131" s="9" t="s">
        <v>1136</v>
      </c>
    </row>
    <row r="132" spans="1:49" x14ac:dyDescent="0.3">
      <c r="A132" t="s">
        <v>223</v>
      </c>
      <c r="B132" s="7">
        <v>45878</v>
      </c>
      <c r="C132" t="s">
        <v>70</v>
      </c>
      <c r="D132" t="s">
        <v>1098</v>
      </c>
      <c r="E132" s="3">
        <v>5</v>
      </c>
      <c r="F132" s="3">
        <v>0</v>
      </c>
      <c r="G132" t="s">
        <v>12</v>
      </c>
      <c r="H132" t="s">
        <v>1108</v>
      </c>
      <c r="I132" t="s">
        <v>31</v>
      </c>
      <c r="J132" t="s">
        <v>52</v>
      </c>
      <c r="K132" t="s">
        <v>10</v>
      </c>
      <c r="L132" t="s">
        <v>10</v>
      </c>
      <c r="M132" t="s">
        <v>10</v>
      </c>
      <c r="N132" t="s">
        <v>10</v>
      </c>
      <c r="O132" t="str">
        <f>INDEX(CoverageTable[Deductible Applies],MATCH(Table1820[[#This Row],[Coverage]],CoverageTable[Coverage],0))</f>
        <v>No</v>
      </c>
      <c r="P132" t="str">
        <f>INDEX(CoverageTable[Coverage Limit Applies],MATCH(Table1820[[#This Row],[Coverage]],CoverageTable[Coverage],0))</f>
        <v>Yes</v>
      </c>
      <c r="Q132" t="s">
        <v>10</v>
      </c>
      <c r="R132" t="s">
        <v>79</v>
      </c>
      <c r="S132" t="s">
        <v>57</v>
      </c>
      <c r="T132" t="s">
        <v>10</v>
      </c>
      <c r="U132" t="s">
        <v>10</v>
      </c>
      <c r="V132" t="s">
        <v>10</v>
      </c>
      <c r="W132" t="s">
        <v>10</v>
      </c>
      <c r="X132" s="11">
        <v>755.98332424289299</v>
      </c>
      <c r="Y132">
        <f>_xlfn.XLOOKUP(Table1820[[#This Row],[Coverage]],CoverageTable[Coverage],CoverageTable[Base Rate],,0)</f>
        <v>622</v>
      </c>
      <c r="Z132">
        <f>INDEX(Table16[Ageband Factor],MATCH(Table1820[[#This Row],[Ageband]],Table16[Ageband],0))</f>
        <v>1.23</v>
      </c>
      <c r="AA132">
        <f>VLOOKUP(Table1820[[#This Row],[Years Driving]],Table1[],2)</f>
        <v>1.07</v>
      </c>
      <c r="AB132">
        <f>_xlfn.XLOOKUP(Table1820[[#This Row],[At Fault Accidents]],Table2[At Fault Accidents],Table2[At Fault Accident Factor],,0)</f>
        <v>1</v>
      </c>
      <c r="AC132">
        <f>_xlfn.XLOOKUP(Table1820[[#This Row],[Usage-Based Insurance]],Table3[Usage-Based Insurance],Table3[Usage-Based Insurance Discount],,0)</f>
        <v>0.8</v>
      </c>
      <c r="AD132">
        <f>_xlfn.XLOOKUP(Table1820[[#This Row],[Yearly Miles]],Table4[Yearly Miles],Table4[Yearly Miles Factor],,0)</f>
        <v>1</v>
      </c>
      <c r="AE132">
        <f>_xlfn.XLOOKUP(Table1820[[#This Row],[City/Zip Code]],Table5[City/Zip Code],Table5[City/Zip Code Factor],,0)</f>
        <v>1.1100000000000001</v>
      </c>
      <c r="AF132">
        <f>_xlfn.XLOOKUP(Table1820[[#This Row],[Vehicle Price]],Table6[Vehicle Price],Table6[Vehicle Price Factor])</f>
        <v>1.57</v>
      </c>
      <c r="AG132">
        <f>_xlfn.XLOOKUP(Table1820[[#This Row],[Exotic Car]],Table7[Exotic Car],Table7[Exotic Car Factor],,0)</f>
        <v>1</v>
      </c>
      <c r="AH132">
        <f>_xlfn.XLOOKUP(Table1820[[#This Row],[Difficult Parts]],Table8[Difficult Parts],Table8[Difficult Parts Factor],,0)</f>
        <v>1</v>
      </c>
      <c r="AI132">
        <f>_xlfn.XLOOKUP(Table1820[[#This Row],[High Theft Rate]],Table9[High Theft Rate],Table9[High Theft Rate Factor],,0)</f>
        <v>1</v>
      </c>
      <c r="AJ132">
        <f>_xlfn.XLOOKUP(Table1820[[#This Row],[Advanced Safety Features]],Table10[Advanced Safety Features],Table10[Advanced Safety Features Factor],,0)</f>
        <v>1</v>
      </c>
      <c r="AK132">
        <f>_xlfn.XLOOKUP(Table1820[[#This Row],[Deductible]],Table12[Deductible],Table12[Deductible Factor],,0)</f>
        <v>1</v>
      </c>
      <c r="AL132">
        <f>_xlfn.XLOOKUP(Table1820[[#This Row],[Coverage Limit]],Table13[Coverage Limit],Table13[Coverage Limit Factor],,0)</f>
        <v>0.72</v>
      </c>
      <c r="AM132">
        <f>IF(Table1820[[#This Row],[Good Student Discount]]="Yes",'Rate Book'!$D$126,1)</f>
        <v>0.92</v>
      </c>
      <c r="AN132">
        <f>IF(Table1820[[#This Row],[Good Driver Discount]]="Yes",'Rate Book'!$D$127,1)</f>
        <v>1</v>
      </c>
      <c r="AO132">
        <f>IF(Table1820[[#This Row],[Multi Policy Discount]]="Yes",'Rate Book'!$D$128,1)</f>
        <v>1</v>
      </c>
      <c r="AP132">
        <f>IF(Table1820[[#This Row],[Loyal Customer Discount]]="Yes",'Rate Book'!$D$129,1)</f>
        <v>1</v>
      </c>
      <c r="AQ132">
        <f>IF(Table1820[[#This Row],[Organization Discount]]="Yes",'Rate Book'!$D$130,1)</f>
        <v>1</v>
      </c>
      <c r="AR132" cm="1">
        <f t="array" ref="AR132">IF(Table1820[[#This Row],[Effective Date]]&gt;=RateChangeTable[Effective Date],RateChangeTable[Rate Change Factor],1)</f>
        <v>1</v>
      </c>
      <c r="AS132" s="10">
        <f>PRODUCT(Table1820[[#This Row],[Base Rate]:[Rate Change Factor]])</f>
        <v>755.98332424289299</v>
      </c>
      <c r="AT132" s="9">
        <f>Table1820[[#This Row],[System-Generated Premium]]-Table1820[[#This Row],[Expected Premium]]</f>
        <v>0</v>
      </c>
      <c r="AU132" t="str">
        <f>IF(Table1820[[#This Row],[Difference]]=0,"PASS","FAIL")</f>
        <v>PASS</v>
      </c>
      <c r="AV132" s="9">
        <f>ABS(Table1820[[#This Row],[Difference]])</f>
        <v>0</v>
      </c>
      <c r="AW132" s="9" t="s">
        <v>1136</v>
      </c>
    </row>
    <row r="133" spans="1:49" x14ac:dyDescent="0.3">
      <c r="A133" t="s">
        <v>224</v>
      </c>
      <c r="B133" s="7">
        <v>45946</v>
      </c>
      <c r="C133" t="s">
        <v>70</v>
      </c>
      <c r="D133" t="s">
        <v>1102</v>
      </c>
      <c r="E133" s="3">
        <v>4</v>
      </c>
      <c r="F133" s="3">
        <v>1</v>
      </c>
      <c r="G133" t="s">
        <v>10</v>
      </c>
      <c r="H133" t="s">
        <v>1108</v>
      </c>
      <c r="I133" t="s">
        <v>43</v>
      </c>
      <c r="J133" t="s">
        <v>48</v>
      </c>
      <c r="K133" t="s">
        <v>10</v>
      </c>
      <c r="L133" t="s">
        <v>10</v>
      </c>
      <c r="M133" t="s">
        <v>10</v>
      </c>
      <c r="N133" t="s">
        <v>10</v>
      </c>
      <c r="O133" t="str">
        <f>INDEX(CoverageTable[Deductible Applies],MATCH(Table1820[[#This Row],[Coverage]],CoverageTable[Coverage],0))</f>
        <v>No</v>
      </c>
      <c r="P133" t="str">
        <f>INDEX(CoverageTable[Coverage Limit Applies],MATCH(Table1820[[#This Row],[Coverage]],CoverageTable[Coverage],0))</f>
        <v>Yes</v>
      </c>
      <c r="Q133" t="s">
        <v>10</v>
      </c>
      <c r="R133" t="s">
        <v>80</v>
      </c>
      <c r="S133" t="s">
        <v>10</v>
      </c>
      <c r="T133" t="s">
        <v>57</v>
      </c>
      <c r="U133" t="s">
        <v>10</v>
      </c>
      <c r="V133" t="s">
        <v>10</v>
      </c>
      <c r="W133" t="s">
        <v>10</v>
      </c>
      <c r="X133" s="11">
        <v>880.56596773871036</v>
      </c>
      <c r="Y133">
        <f>_xlfn.XLOOKUP(Table1820[[#This Row],[Coverage]],CoverageTable[Coverage],CoverageTable[Base Rate],,0)</f>
        <v>622</v>
      </c>
      <c r="Z133">
        <f>INDEX(Table16[Ageband Factor],MATCH(Table1820[[#This Row],[Ageband]],Table16[Ageband],0))</f>
        <v>1.27</v>
      </c>
      <c r="AA133">
        <f>VLOOKUP(Table1820[[#This Row],[Years Driving]],Table1[],2)</f>
        <v>1.1499999999999999</v>
      </c>
      <c r="AB133">
        <f>_xlfn.XLOOKUP(Table1820[[#This Row],[At Fault Accidents]],Table2[At Fault Accidents],Table2[At Fault Accident Factor],,0)</f>
        <v>1.34</v>
      </c>
      <c r="AC133">
        <f>_xlfn.XLOOKUP(Table1820[[#This Row],[Usage-Based Insurance]],Table3[Usage-Based Insurance],Table3[Usage-Based Insurance Discount],,0)</f>
        <v>1</v>
      </c>
      <c r="AD133">
        <f>_xlfn.XLOOKUP(Table1820[[#This Row],[Yearly Miles]],Table4[Yearly Miles],Table4[Yearly Miles Factor],,0)</f>
        <v>1</v>
      </c>
      <c r="AE133">
        <f>_xlfn.XLOOKUP(Table1820[[#This Row],[City/Zip Code]],Table5[City/Zip Code],Table5[City/Zip Code Factor],,0)</f>
        <v>1.18</v>
      </c>
      <c r="AF133">
        <f>_xlfn.XLOOKUP(Table1820[[#This Row],[Vehicle Price]],Table6[Vehicle Price],Table6[Vehicle Price Factor])</f>
        <v>0.82</v>
      </c>
      <c r="AG133">
        <f>_xlfn.XLOOKUP(Table1820[[#This Row],[Exotic Car]],Table7[Exotic Car],Table7[Exotic Car Factor],,0)</f>
        <v>1</v>
      </c>
      <c r="AH133">
        <f>_xlfn.XLOOKUP(Table1820[[#This Row],[Difficult Parts]],Table8[Difficult Parts],Table8[Difficult Parts Factor],,0)</f>
        <v>1</v>
      </c>
      <c r="AI133">
        <f>_xlfn.XLOOKUP(Table1820[[#This Row],[High Theft Rate]],Table9[High Theft Rate],Table9[High Theft Rate Factor],,0)</f>
        <v>1</v>
      </c>
      <c r="AJ133">
        <f>_xlfn.XLOOKUP(Table1820[[#This Row],[Advanced Safety Features]],Table10[Advanced Safety Features],Table10[Advanced Safety Features Factor],,0)</f>
        <v>1</v>
      </c>
      <c r="AK133">
        <f>_xlfn.XLOOKUP(Table1820[[#This Row],[Deductible]],Table12[Deductible],Table12[Deductible Factor],,0)</f>
        <v>1</v>
      </c>
      <c r="AL133">
        <f>_xlfn.XLOOKUP(Table1820[[#This Row],[Coverage Limit]],Table13[Coverage Limit],Table13[Coverage Limit Factor],,0)</f>
        <v>0.84</v>
      </c>
      <c r="AM133">
        <f>IF(Table1820[[#This Row],[Good Student Discount]]="Yes",'Rate Book'!$D$126,1)</f>
        <v>1</v>
      </c>
      <c r="AN133">
        <f>IF(Table1820[[#This Row],[Good Driver Discount]]="Yes",'Rate Book'!$D$127,1)</f>
        <v>0.89</v>
      </c>
      <c r="AO133">
        <f>IF(Table1820[[#This Row],[Multi Policy Discount]]="Yes",'Rate Book'!$D$128,1)</f>
        <v>1</v>
      </c>
      <c r="AP133">
        <f>IF(Table1820[[#This Row],[Loyal Customer Discount]]="Yes",'Rate Book'!$D$129,1)</f>
        <v>1</v>
      </c>
      <c r="AQ133">
        <f>IF(Table1820[[#This Row],[Organization Discount]]="Yes",'Rate Book'!$D$130,1)</f>
        <v>1</v>
      </c>
      <c r="AR133" cm="1">
        <f t="array" ref="AR133">IF(Table1820[[#This Row],[Effective Date]]&gt;=RateChangeTable[Effective Date],RateChangeTable[Rate Change Factor],1)</f>
        <v>1</v>
      </c>
      <c r="AS133" s="10">
        <f>PRODUCT(Table1820[[#This Row],[Base Rate]:[Rate Change Factor]])</f>
        <v>880.56596773871036</v>
      </c>
      <c r="AT133" s="9">
        <f>Table1820[[#This Row],[System-Generated Premium]]-Table1820[[#This Row],[Expected Premium]]</f>
        <v>0</v>
      </c>
      <c r="AU133" t="str">
        <f>IF(Table1820[[#This Row],[Difference]]=0,"PASS","FAIL")</f>
        <v>PASS</v>
      </c>
      <c r="AV133" s="9">
        <f>ABS(Table1820[[#This Row],[Difference]])</f>
        <v>0</v>
      </c>
      <c r="AW133" s="9" t="s">
        <v>1136</v>
      </c>
    </row>
    <row r="134" spans="1:49" x14ac:dyDescent="0.3">
      <c r="A134" t="s">
        <v>225</v>
      </c>
      <c r="B134" s="7">
        <v>45877</v>
      </c>
      <c r="C134" t="s">
        <v>74</v>
      </c>
      <c r="D134" t="s">
        <v>1101</v>
      </c>
      <c r="E134" s="3">
        <v>4</v>
      </c>
      <c r="F134" s="3">
        <v>0</v>
      </c>
      <c r="G134" t="s">
        <v>10</v>
      </c>
      <c r="H134" t="s">
        <v>1108</v>
      </c>
      <c r="I134" t="s">
        <v>31</v>
      </c>
      <c r="J134" t="s">
        <v>54</v>
      </c>
      <c r="K134" t="s">
        <v>10</v>
      </c>
      <c r="L134" t="s">
        <v>10</v>
      </c>
      <c r="M134" t="s">
        <v>10</v>
      </c>
      <c r="N134" t="s">
        <v>57</v>
      </c>
      <c r="O134" t="str">
        <f>INDEX(CoverageTable[Deductible Applies],MATCH(Table1820[[#This Row],[Coverage]],CoverageTable[Coverage],0))</f>
        <v>No</v>
      </c>
      <c r="P134" t="str">
        <f>INDEX(CoverageTable[Coverage Limit Applies],MATCH(Table1820[[#This Row],[Coverage]],CoverageTable[Coverage],0))</f>
        <v>Yes</v>
      </c>
      <c r="Q134" t="s">
        <v>10</v>
      </c>
      <c r="R134" t="s">
        <v>78</v>
      </c>
      <c r="S134" t="s">
        <v>10</v>
      </c>
      <c r="T134" t="s">
        <v>10</v>
      </c>
      <c r="U134" t="s">
        <v>10</v>
      </c>
      <c r="V134" t="s">
        <v>57</v>
      </c>
      <c r="W134" t="s">
        <v>10</v>
      </c>
      <c r="X134" s="11">
        <v>84.887737006195223</v>
      </c>
      <c r="Y134">
        <f>_xlfn.XLOOKUP(Table1820[[#This Row],[Coverage]],CoverageTable[Coverage],CoverageTable[Base Rate],,0)</f>
        <v>41</v>
      </c>
      <c r="Z134">
        <f>INDEX(Table16[Ageband Factor],MATCH(Table1820[[#This Row],[Ageband]],Table16[Ageband],0))</f>
        <v>1.1200000000000001</v>
      </c>
      <c r="AA134">
        <f>VLOOKUP(Table1820[[#This Row],[Years Driving]],Table1[],2)</f>
        <v>1.1499999999999999</v>
      </c>
      <c r="AB134">
        <f>_xlfn.XLOOKUP(Table1820[[#This Row],[At Fault Accidents]],Table2[At Fault Accidents],Table2[At Fault Accident Factor],,0)</f>
        <v>1</v>
      </c>
      <c r="AC134">
        <f>_xlfn.XLOOKUP(Table1820[[#This Row],[Usage-Based Insurance]],Table3[Usage-Based Insurance],Table3[Usage-Based Insurance Discount],,0)</f>
        <v>1</v>
      </c>
      <c r="AD134">
        <f>_xlfn.XLOOKUP(Table1820[[#This Row],[Yearly Miles]],Table4[Yearly Miles],Table4[Yearly Miles Factor],,0)</f>
        <v>1</v>
      </c>
      <c r="AE134">
        <f>_xlfn.XLOOKUP(Table1820[[#This Row],[City/Zip Code]],Table5[City/Zip Code],Table5[City/Zip Code Factor],,0)</f>
        <v>1.1100000000000001</v>
      </c>
      <c r="AF134">
        <f>_xlfn.XLOOKUP(Table1820[[#This Row],[Vehicle Price]],Table6[Vehicle Price],Table6[Vehicle Price Factor])</f>
        <v>2.87</v>
      </c>
      <c r="AG134">
        <f>_xlfn.XLOOKUP(Table1820[[#This Row],[Exotic Car]],Table7[Exotic Car],Table7[Exotic Car Factor],,0)</f>
        <v>1</v>
      </c>
      <c r="AH134">
        <f>_xlfn.XLOOKUP(Table1820[[#This Row],[Difficult Parts]],Table8[Difficult Parts],Table8[Difficult Parts Factor],,0)</f>
        <v>1</v>
      </c>
      <c r="AI134">
        <f>_xlfn.XLOOKUP(Table1820[[#This Row],[High Theft Rate]],Table9[High Theft Rate],Table9[High Theft Rate Factor],,0)</f>
        <v>1</v>
      </c>
      <c r="AJ134">
        <f>_xlfn.XLOOKUP(Table1820[[#This Row],[Advanced Safety Features]],Table10[Advanced Safety Features],Table10[Advanced Safety Features Factor],,0)</f>
        <v>0.88</v>
      </c>
      <c r="AK134">
        <f>_xlfn.XLOOKUP(Table1820[[#This Row],[Deductible]],Table12[Deductible],Table12[Deductible Factor],,0)</f>
        <v>1</v>
      </c>
      <c r="AL134">
        <f>_xlfn.XLOOKUP(Table1820[[#This Row],[Coverage Limit]],Table13[Coverage Limit],Table13[Coverage Limit Factor],,0)</f>
        <v>0.61</v>
      </c>
      <c r="AM134">
        <f>IF(Table1820[[#This Row],[Good Student Discount]]="Yes",'Rate Book'!$D$126,1)</f>
        <v>1</v>
      </c>
      <c r="AN134">
        <f>IF(Table1820[[#This Row],[Good Driver Discount]]="Yes",'Rate Book'!$D$127,1)</f>
        <v>1</v>
      </c>
      <c r="AO134">
        <f>IF(Table1820[[#This Row],[Multi Policy Discount]]="Yes",'Rate Book'!$D$128,1)</f>
        <v>1</v>
      </c>
      <c r="AP134">
        <f>IF(Table1820[[#This Row],[Loyal Customer Discount]]="Yes",'Rate Book'!$D$129,1)</f>
        <v>0.94</v>
      </c>
      <c r="AQ134">
        <f>IF(Table1820[[#This Row],[Organization Discount]]="Yes",'Rate Book'!$D$130,1)</f>
        <v>1</v>
      </c>
      <c r="AR134" cm="1">
        <f t="array" ref="AR134">IF(Table1820[[#This Row],[Effective Date]]&gt;=RateChangeTable[Effective Date],RateChangeTable[Rate Change Factor],1)</f>
        <v>1</v>
      </c>
      <c r="AS134" s="10">
        <f>PRODUCT(Table1820[[#This Row],[Base Rate]:[Rate Change Factor]])</f>
        <v>84.887737006195223</v>
      </c>
      <c r="AT134" s="9">
        <f>Table1820[[#This Row],[System-Generated Premium]]-Table1820[[#This Row],[Expected Premium]]</f>
        <v>0</v>
      </c>
      <c r="AU134" t="str">
        <f>IF(Table1820[[#This Row],[Difference]]=0,"PASS","FAIL")</f>
        <v>PASS</v>
      </c>
      <c r="AV134" s="9">
        <f>ABS(Table1820[[#This Row],[Difference]])</f>
        <v>0</v>
      </c>
      <c r="AW134" s="9" t="s">
        <v>1136</v>
      </c>
    </row>
    <row r="135" spans="1:49" x14ac:dyDescent="0.3">
      <c r="A135" t="s">
        <v>226</v>
      </c>
      <c r="B135" s="7">
        <v>45807</v>
      </c>
      <c r="C135" t="s">
        <v>72</v>
      </c>
      <c r="D135" t="s">
        <v>1097</v>
      </c>
      <c r="E135" s="3">
        <v>6</v>
      </c>
      <c r="F135" s="3">
        <v>1</v>
      </c>
      <c r="G135" t="s">
        <v>10</v>
      </c>
      <c r="H135" t="s">
        <v>1106</v>
      </c>
      <c r="I135" t="s">
        <v>42</v>
      </c>
      <c r="J135" t="s">
        <v>51</v>
      </c>
      <c r="K135" t="s">
        <v>10</v>
      </c>
      <c r="L135" t="s">
        <v>10</v>
      </c>
      <c r="M135" t="s">
        <v>57</v>
      </c>
      <c r="N135" t="s">
        <v>10</v>
      </c>
      <c r="O135" t="str">
        <f>INDEX(CoverageTable[Deductible Applies],MATCH(Table1820[[#This Row],[Coverage]],CoverageTable[Coverage],0))</f>
        <v>Yes</v>
      </c>
      <c r="P135" t="str">
        <f>INDEX(CoverageTable[Coverage Limit Applies],MATCH(Table1820[[#This Row],[Coverage]],CoverageTable[Coverage],0))</f>
        <v>No</v>
      </c>
      <c r="Q135" t="s">
        <v>80</v>
      </c>
      <c r="R135" t="s">
        <v>10</v>
      </c>
      <c r="S135" t="s">
        <v>10</v>
      </c>
      <c r="T135" t="s">
        <v>57</v>
      </c>
      <c r="U135" t="s">
        <v>10</v>
      </c>
      <c r="V135" t="s">
        <v>10</v>
      </c>
      <c r="W135" t="s">
        <v>10</v>
      </c>
      <c r="X135" s="11">
        <v>202.04764114871247</v>
      </c>
      <c r="Y135">
        <f>_xlfn.XLOOKUP(Table1820[[#This Row],[Coverage]],CoverageTable[Coverage],CoverageTable[Base Rate],,0)</f>
        <v>121</v>
      </c>
      <c r="Z135">
        <f>INDEX(Table16[Ageband Factor],MATCH(Table1820[[#This Row],[Ageband]],Table16[Ageband],0))</f>
        <v>1.32</v>
      </c>
      <c r="AA135">
        <f>VLOOKUP(Table1820[[#This Row],[Years Driving]],Table1[],2)</f>
        <v>1</v>
      </c>
      <c r="AB135">
        <f>_xlfn.XLOOKUP(Table1820[[#This Row],[At Fault Accidents]],Table2[At Fault Accidents],Table2[At Fault Accident Factor],,0)</f>
        <v>1.34</v>
      </c>
      <c r="AC135">
        <f>_xlfn.XLOOKUP(Table1820[[#This Row],[Usage-Based Insurance]],Table3[Usage-Based Insurance],Table3[Usage-Based Insurance Discount],,0)</f>
        <v>1</v>
      </c>
      <c r="AD135">
        <f>_xlfn.XLOOKUP(Table1820[[#This Row],[Yearly Miles]],Table4[Yearly Miles],Table4[Yearly Miles Factor],,0)</f>
        <v>0.82</v>
      </c>
      <c r="AE135">
        <f>_xlfn.XLOOKUP(Table1820[[#This Row],[City/Zip Code]],Table5[City/Zip Code],Table5[City/Zip Code Factor],,0)</f>
        <v>1.21</v>
      </c>
      <c r="AF135">
        <f>_xlfn.XLOOKUP(Table1820[[#This Row],[Vehicle Price]],Table6[Vehicle Price],Table6[Vehicle Price Factor])</f>
        <v>1.28</v>
      </c>
      <c r="AG135">
        <f>_xlfn.XLOOKUP(Table1820[[#This Row],[Exotic Car]],Table7[Exotic Car],Table7[Exotic Car Factor],,0)</f>
        <v>1</v>
      </c>
      <c r="AH135">
        <f>_xlfn.XLOOKUP(Table1820[[#This Row],[Difficult Parts]],Table8[Difficult Parts],Table8[Difficult Parts Factor],,0)</f>
        <v>1</v>
      </c>
      <c r="AI135">
        <f>_xlfn.XLOOKUP(Table1820[[#This Row],[High Theft Rate]],Table9[High Theft Rate],Table9[High Theft Rate Factor],,0)</f>
        <v>1.1599999999999999</v>
      </c>
      <c r="AJ135">
        <f>_xlfn.XLOOKUP(Table1820[[#This Row],[Advanced Safety Features]],Table10[Advanced Safety Features],Table10[Advanced Safety Features Factor],,0)</f>
        <v>1</v>
      </c>
      <c r="AK135">
        <f>_xlfn.XLOOKUP(Table1820[[#This Row],[Deductible]],Table12[Deductible],Table12[Deductible Factor],,0)</f>
        <v>0.72</v>
      </c>
      <c r="AL135">
        <f>_xlfn.XLOOKUP(Table1820[[#This Row],[Coverage Limit]],Table13[Coverage Limit],Table13[Coverage Limit Factor],,0)</f>
        <v>1</v>
      </c>
      <c r="AM135">
        <f>IF(Table1820[[#This Row],[Good Student Discount]]="Yes",'Rate Book'!$D$126,1)</f>
        <v>1</v>
      </c>
      <c r="AN135">
        <f>IF(Table1820[[#This Row],[Good Driver Discount]]="Yes",'Rate Book'!$D$127,1)</f>
        <v>0.89</v>
      </c>
      <c r="AO135">
        <f>IF(Table1820[[#This Row],[Multi Policy Discount]]="Yes",'Rate Book'!$D$128,1)</f>
        <v>1</v>
      </c>
      <c r="AP135">
        <f>IF(Table1820[[#This Row],[Loyal Customer Discount]]="Yes",'Rate Book'!$D$129,1)</f>
        <v>1</v>
      </c>
      <c r="AQ135">
        <f>IF(Table1820[[#This Row],[Organization Discount]]="Yes",'Rate Book'!$D$130,1)</f>
        <v>1</v>
      </c>
      <c r="AR135" cm="1">
        <f t="array" ref="AR135">IF(Table1820[[#This Row],[Effective Date]]&gt;=RateChangeTable[Effective Date],RateChangeTable[Rate Change Factor],1)</f>
        <v>1</v>
      </c>
      <c r="AS135" s="10">
        <f>PRODUCT(Table1820[[#This Row],[Base Rate]:[Rate Change Factor]])</f>
        <v>202.04764114871247</v>
      </c>
      <c r="AT135" s="9">
        <f>Table1820[[#This Row],[System-Generated Premium]]-Table1820[[#This Row],[Expected Premium]]</f>
        <v>0</v>
      </c>
      <c r="AU135" t="str">
        <f>IF(Table1820[[#This Row],[Difference]]=0,"PASS","FAIL")</f>
        <v>PASS</v>
      </c>
      <c r="AV135" s="9">
        <f>ABS(Table1820[[#This Row],[Difference]])</f>
        <v>0</v>
      </c>
      <c r="AW135" s="9" t="s">
        <v>1136</v>
      </c>
    </row>
    <row r="136" spans="1:49" x14ac:dyDescent="0.3">
      <c r="A136" t="s">
        <v>227</v>
      </c>
      <c r="B136" s="7">
        <v>45831</v>
      </c>
      <c r="C136" t="s">
        <v>73</v>
      </c>
      <c r="D136" t="s">
        <v>1097</v>
      </c>
      <c r="E136" s="3">
        <v>6</v>
      </c>
      <c r="F136" s="3">
        <v>0</v>
      </c>
      <c r="G136" t="s">
        <v>12</v>
      </c>
      <c r="H136" t="s">
        <v>1107</v>
      </c>
      <c r="I136" t="s">
        <v>25</v>
      </c>
      <c r="J136" t="s">
        <v>54</v>
      </c>
      <c r="K136" t="s">
        <v>10</v>
      </c>
      <c r="L136" t="s">
        <v>10</v>
      </c>
      <c r="M136" t="s">
        <v>10</v>
      </c>
      <c r="N136" t="s">
        <v>57</v>
      </c>
      <c r="O136" t="str">
        <f>INDEX(CoverageTable[Deductible Applies],MATCH(Table1820[[#This Row],[Coverage]],CoverageTable[Coverage],0))</f>
        <v>No</v>
      </c>
      <c r="P136" t="str">
        <f>INDEX(CoverageTable[Coverage Limit Applies],MATCH(Table1820[[#This Row],[Coverage]],CoverageTable[Coverage],0))</f>
        <v>Yes</v>
      </c>
      <c r="Q136" t="s">
        <v>10</v>
      </c>
      <c r="R136" t="s">
        <v>80</v>
      </c>
      <c r="S136" t="s">
        <v>10</v>
      </c>
      <c r="T136" t="s">
        <v>10</v>
      </c>
      <c r="U136" t="s">
        <v>57</v>
      </c>
      <c r="V136" t="s">
        <v>57</v>
      </c>
      <c r="W136" t="s">
        <v>10</v>
      </c>
      <c r="X136" s="11">
        <v>164.7988268499424</v>
      </c>
      <c r="Y136">
        <f>_xlfn.XLOOKUP(Table1820[[#This Row],[Coverage]],CoverageTable[Coverage],CoverageTable[Base Rate],,0)</f>
        <v>78</v>
      </c>
      <c r="Z136">
        <f>INDEX(Table16[Ageband Factor],MATCH(Table1820[[#This Row],[Ageband]],Table16[Ageband],0))</f>
        <v>1.32</v>
      </c>
      <c r="AA136">
        <f>VLOOKUP(Table1820[[#This Row],[Years Driving]],Table1[],2)</f>
        <v>1</v>
      </c>
      <c r="AB136">
        <f>_xlfn.XLOOKUP(Table1820[[#This Row],[At Fault Accidents]],Table2[At Fault Accidents],Table2[At Fault Accident Factor],,0)</f>
        <v>1</v>
      </c>
      <c r="AC136">
        <f>_xlfn.XLOOKUP(Table1820[[#This Row],[Usage-Based Insurance]],Table3[Usage-Based Insurance],Table3[Usage-Based Insurance Discount],,0)</f>
        <v>0.8</v>
      </c>
      <c r="AD136">
        <f>_xlfn.XLOOKUP(Table1820[[#This Row],[Yearly Miles]],Table4[Yearly Miles],Table4[Yearly Miles Factor],,0)</f>
        <v>0.93</v>
      </c>
      <c r="AE136">
        <f>_xlfn.XLOOKUP(Table1820[[#This Row],[City/Zip Code]],Table5[City/Zip Code],Table5[City/Zip Code Factor],,0)</f>
        <v>1.1599999999999999</v>
      </c>
      <c r="AF136">
        <f>_xlfn.XLOOKUP(Table1820[[#This Row],[Vehicle Price]],Table6[Vehicle Price],Table6[Vehicle Price Factor])</f>
        <v>2.87</v>
      </c>
      <c r="AG136">
        <f>_xlfn.XLOOKUP(Table1820[[#This Row],[Exotic Car]],Table7[Exotic Car],Table7[Exotic Car Factor],,0)</f>
        <v>1</v>
      </c>
      <c r="AH136">
        <f>_xlfn.XLOOKUP(Table1820[[#This Row],[Difficult Parts]],Table8[Difficult Parts],Table8[Difficult Parts Factor],,0)</f>
        <v>1</v>
      </c>
      <c r="AI136">
        <f>_xlfn.XLOOKUP(Table1820[[#This Row],[High Theft Rate]],Table9[High Theft Rate],Table9[High Theft Rate Factor],,0)</f>
        <v>1</v>
      </c>
      <c r="AJ136">
        <f>_xlfn.XLOOKUP(Table1820[[#This Row],[Advanced Safety Features]],Table10[Advanced Safety Features],Table10[Advanced Safety Features Factor],,0)</f>
        <v>0.88</v>
      </c>
      <c r="AK136">
        <f>_xlfn.XLOOKUP(Table1820[[#This Row],[Deductible]],Table12[Deductible],Table12[Deductible Factor],,0)</f>
        <v>1</v>
      </c>
      <c r="AL136">
        <f>_xlfn.XLOOKUP(Table1820[[#This Row],[Coverage Limit]],Table13[Coverage Limit],Table13[Coverage Limit Factor],,0)</f>
        <v>0.84</v>
      </c>
      <c r="AM136">
        <f>IF(Table1820[[#This Row],[Good Student Discount]]="Yes",'Rate Book'!$D$126,1)</f>
        <v>1</v>
      </c>
      <c r="AN136">
        <f>IF(Table1820[[#This Row],[Good Driver Discount]]="Yes",'Rate Book'!$D$127,1)</f>
        <v>1</v>
      </c>
      <c r="AO136">
        <f>IF(Table1820[[#This Row],[Multi Policy Discount]]="Yes",'Rate Book'!$D$128,1)</f>
        <v>0.93</v>
      </c>
      <c r="AP136">
        <f>IF(Table1820[[#This Row],[Loyal Customer Discount]]="Yes",'Rate Book'!$D$129,1)</f>
        <v>0.94</v>
      </c>
      <c r="AQ136">
        <f>IF(Table1820[[#This Row],[Organization Discount]]="Yes",'Rate Book'!$D$130,1)</f>
        <v>1</v>
      </c>
      <c r="AR136" cm="1">
        <f t="array" ref="AR136">IF(Table1820[[#This Row],[Effective Date]]&gt;=RateChangeTable[Effective Date],RateChangeTable[Rate Change Factor],1)</f>
        <v>1</v>
      </c>
      <c r="AS136" s="10">
        <f>PRODUCT(Table1820[[#This Row],[Base Rate]:[Rate Change Factor]])</f>
        <v>164.7988268499424</v>
      </c>
      <c r="AT136" s="9">
        <f>Table1820[[#This Row],[System-Generated Premium]]-Table1820[[#This Row],[Expected Premium]]</f>
        <v>0</v>
      </c>
      <c r="AU136" t="str">
        <f>IF(Table1820[[#This Row],[Difference]]=0,"PASS","FAIL")</f>
        <v>PASS</v>
      </c>
      <c r="AV136" s="9">
        <f>ABS(Table1820[[#This Row],[Difference]])</f>
        <v>0</v>
      </c>
      <c r="AW136" s="9" t="s">
        <v>1136</v>
      </c>
    </row>
    <row r="137" spans="1:49" x14ac:dyDescent="0.3">
      <c r="A137" t="s">
        <v>228</v>
      </c>
      <c r="B137" s="7">
        <v>45801</v>
      </c>
      <c r="C137" t="s">
        <v>70</v>
      </c>
      <c r="D137" t="s">
        <v>1099</v>
      </c>
      <c r="E137" s="3">
        <v>6</v>
      </c>
      <c r="F137" s="3">
        <v>1</v>
      </c>
      <c r="G137" t="s">
        <v>13</v>
      </c>
      <c r="H137" t="s">
        <v>1110</v>
      </c>
      <c r="I137" t="s">
        <v>34</v>
      </c>
      <c r="J137" t="s">
        <v>48</v>
      </c>
      <c r="K137" t="s">
        <v>10</v>
      </c>
      <c r="L137" t="s">
        <v>10</v>
      </c>
      <c r="M137" t="s">
        <v>10</v>
      </c>
      <c r="N137" t="s">
        <v>10</v>
      </c>
      <c r="O137" t="str">
        <f>INDEX(CoverageTable[Deductible Applies],MATCH(Table1820[[#This Row],[Coverage]],CoverageTable[Coverage],0))</f>
        <v>No</v>
      </c>
      <c r="P137" t="str">
        <f>INDEX(CoverageTable[Coverage Limit Applies],MATCH(Table1820[[#This Row],[Coverage]],CoverageTable[Coverage],0))</f>
        <v>Yes</v>
      </c>
      <c r="Q137" t="s">
        <v>10</v>
      </c>
      <c r="R137" t="s">
        <v>79</v>
      </c>
      <c r="S137" t="s">
        <v>10</v>
      </c>
      <c r="T137" t="s">
        <v>57</v>
      </c>
      <c r="U137" t="s">
        <v>10</v>
      </c>
      <c r="V137" t="s">
        <v>10</v>
      </c>
      <c r="W137" t="s">
        <v>10</v>
      </c>
      <c r="X137" s="11">
        <v>581.75589021937935</v>
      </c>
      <c r="Y137">
        <f>_xlfn.XLOOKUP(Table1820[[#This Row],[Coverage]],CoverageTable[Coverage],CoverageTable[Base Rate],,0)</f>
        <v>622</v>
      </c>
      <c r="Z137">
        <f>INDEX(Table16[Ageband Factor],MATCH(Table1820[[#This Row],[Ageband]],Table16[Ageband],0))</f>
        <v>1</v>
      </c>
      <c r="AA137">
        <f>VLOOKUP(Table1820[[#This Row],[Years Driving]],Table1[],2)</f>
        <v>1</v>
      </c>
      <c r="AB137">
        <f>_xlfn.XLOOKUP(Table1820[[#This Row],[At Fault Accidents]],Table2[At Fault Accidents],Table2[At Fault Accident Factor],,0)</f>
        <v>1.34</v>
      </c>
      <c r="AC137">
        <f>_xlfn.XLOOKUP(Table1820[[#This Row],[Usage-Based Insurance]],Table3[Usage-Based Insurance],Table3[Usage-Based Insurance Discount],,0)</f>
        <v>0.65</v>
      </c>
      <c r="AD137">
        <f>_xlfn.XLOOKUP(Table1820[[#This Row],[Yearly Miles]],Table4[Yearly Miles],Table4[Yearly Miles Factor],,0)</f>
        <v>1.31</v>
      </c>
      <c r="AE137">
        <f>_xlfn.XLOOKUP(Table1820[[#This Row],[City/Zip Code]],Table5[City/Zip Code],Table5[City/Zip Code Factor],,0)</f>
        <v>1.56</v>
      </c>
      <c r="AF137">
        <f>_xlfn.XLOOKUP(Table1820[[#This Row],[Vehicle Price]],Table6[Vehicle Price],Table6[Vehicle Price Factor])</f>
        <v>0.82</v>
      </c>
      <c r="AG137">
        <f>_xlfn.XLOOKUP(Table1820[[#This Row],[Exotic Car]],Table7[Exotic Car],Table7[Exotic Car Factor],,0)</f>
        <v>1</v>
      </c>
      <c r="AH137">
        <f>_xlfn.XLOOKUP(Table1820[[#This Row],[Difficult Parts]],Table8[Difficult Parts],Table8[Difficult Parts Factor],,0)</f>
        <v>1</v>
      </c>
      <c r="AI137">
        <f>_xlfn.XLOOKUP(Table1820[[#This Row],[High Theft Rate]],Table9[High Theft Rate],Table9[High Theft Rate Factor],,0)</f>
        <v>1</v>
      </c>
      <c r="AJ137">
        <f>_xlfn.XLOOKUP(Table1820[[#This Row],[Advanced Safety Features]],Table10[Advanced Safety Features],Table10[Advanced Safety Features Factor],,0)</f>
        <v>1</v>
      </c>
      <c r="AK137">
        <f>_xlfn.XLOOKUP(Table1820[[#This Row],[Deductible]],Table12[Deductible],Table12[Deductible Factor],,0)</f>
        <v>1</v>
      </c>
      <c r="AL137">
        <f>_xlfn.XLOOKUP(Table1820[[#This Row],[Coverage Limit]],Table13[Coverage Limit],Table13[Coverage Limit Factor],,0)</f>
        <v>0.72</v>
      </c>
      <c r="AM137">
        <f>IF(Table1820[[#This Row],[Good Student Discount]]="Yes",'Rate Book'!$D$126,1)</f>
        <v>1</v>
      </c>
      <c r="AN137">
        <f>IF(Table1820[[#This Row],[Good Driver Discount]]="Yes",'Rate Book'!$D$127,1)</f>
        <v>0.89</v>
      </c>
      <c r="AO137">
        <f>IF(Table1820[[#This Row],[Multi Policy Discount]]="Yes",'Rate Book'!$D$128,1)</f>
        <v>1</v>
      </c>
      <c r="AP137">
        <f>IF(Table1820[[#This Row],[Loyal Customer Discount]]="Yes",'Rate Book'!$D$129,1)</f>
        <v>1</v>
      </c>
      <c r="AQ137">
        <f>IF(Table1820[[#This Row],[Organization Discount]]="Yes",'Rate Book'!$D$130,1)</f>
        <v>1</v>
      </c>
      <c r="AR137" cm="1">
        <f t="array" ref="AR137">IF(Table1820[[#This Row],[Effective Date]]&gt;=RateChangeTable[Effective Date],RateChangeTable[Rate Change Factor],1)</f>
        <v>1</v>
      </c>
      <c r="AS137" s="10">
        <f>PRODUCT(Table1820[[#This Row],[Base Rate]:[Rate Change Factor]])</f>
        <v>581.75589021937935</v>
      </c>
      <c r="AT137" s="9">
        <f>Table1820[[#This Row],[System-Generated Premium]]-Table1820[[#This Row],[Expected Premium]]</f>
        <v>0</v>
      </c>
      <c r="AU137" t="str">
        <f>IF(Table1820[[#This Row],[Difference]]=0,"PASS","FAIL")</f>
        <v>PASS</v>
      </c>
      <c r="AV137" s="9">
        <f>ABS(Table1820[[#This Row],[Difference]])</f>
        <v>0</v>
      </c>
      <c r="AW137" s="9" t="s">
        <v>1136</v>
      </c>
    </row>
    <row r="138" spans="1:49" x14ac:dyDescent="0.3">
      <c r="A138" t="s">
        <v>229</v>
      </c>
      <c r="B138" s="7">
        <v>45885</v>
      </c>
      <c r="C138" t="s">
        <v>73</v>
      </c>
      <c r="D138" t="s">
        <v>1100</v>
      </c>
      <c r="E138" s="3">
        <v>3</v>
      </c>
      <c r="F138" s="3">
        <v>1</v>
      </c>
      <c r="G138" t="s">
        <v>10</v>
      </c>
      <c r="H138" t="s">
        <v>1109</v>
      </c>
      <c r="I138" t="s">
        <v>39</v>
      </c>
      <c r="J138" t="s">
        <v>51</v>
      </c>
      <c r="K138" t="s">
        <v>10</v>
      </c>
      <c r="L138" t="s">
        <v>10</v>
      </c>
      <c r="M138" t="s">
        <v>10</v>
      </c>
      <c r="N138" t="s">
        <v>57</v>
      </c>
      <c r="O138" t="str">
        <f>INDEX(CoverageTable[Deductible Applies],MATCH(Table1820[[#This Row],[Coverage]],CoverageTable[Coverage],0))</f>
        <v>No</v>
      </c>
      <c r="P138" t="str">
        <f>INDEX(CoverageTable[Coverage Limit Applies],MATCH(Table1820[[#This Row],[Coverage]],CoverageTable[Coverage],0))</f>
        <v>Yes</v>
      </c>
      <c r="Q138" t="s">
        <v>10</v>
      </c>
      <c r="R138" t="s">
        <v>78</v>
      </c>
      <c r="S138" t="s">
        <v>57</v>
      </c>
      <c r="T138" t="s">
        <v>57</v>
      </c>
      <c r="U138" t="s">
        <v>10</v>
      </c>
      <c r="V138" t="s">
        <v>10</v>
      </c>
      <c r="W138" t="s">
        <v>10</v>
      </c>
      <c r="X138" s="11">
        <v>97.824825754311718</v>
      </c>
      <c r="Y138">
        <f>_xlfn.XLOOKUP(Table1820[[#This Row],[Coverage]],CoverageTable[Coverage],CoverageTable[Base Rate],,0)</f>
        <v>78</v>
      </c>
      <c r="Z138">
        <f>INDEX(Table16[Ageband Factor],MATCH(Table1820[[#This Row],[Ageband]],Table16[Ageband],0))</f>
        <v>1.07</v>
      </c>
      <c r="AA138">
        <f>VLOOKUP(Table1820[[#This Row],[Years Driving]],Table1[],2)</f>
        <v>1.22</v>
      </c>
      <c r="AB138">
        <f>_xlfn.XLOOKUP(Table1820[[#This Row],[At Fault Accidents]],Table2[At Fault Accidents],Table2[At Fault Accident Factor],,0)</f>
        <v>1.34</v>
      </c>
      <c r="AC138">
        <f>_xlfn.XLOOKUP(Table1820[[#This Row],[Usage-Based Insurance]],Table3[Usage-Based Insurance],Table3[Usage-Based Insurance Discount],,0)</f>
        <v>1</v>
      </c>
      <c r="AD138">
        <f>_xlfn.XLOOKUP(Table1820[[#This Row],[Yearly Miles]],Table4[Yearly Miles],Table4[Yearly Miles Factor],,0)</f>
        <v>1.18</v>
      </c>
      <c r="AE138">
        <f>_xlfn.XLOOKUP(Table1820[[#This Row],[City/Zip Code]],Table5[City/Zip Code],Table5[City/Zip Code Factor],,0)</f>
        <v>1.08</v>
      </c>
      <c r="AF138">
        <f>_xlfn.XLOOKUP(Table1820[[#This Row],[Vehicle Price]],Table6[Vehicle Price],Table6[Vehicle Price Factor])</f>
        <v>1.28</v>
      </c>
      <c r="AG138">
        <f>_xlfn.XLOOKUP(Table1820[[#This Row],[Exotic Car]],Table7[Exotic Car],Table7[Exotic Car Factor],,0)</f>
        <v>1</v>
      </c>
      <c r="AH138">
        <f>_xlfn.XLOOKUP(Table1820[[#This Row],[Difficult Parts]],Table8[Difficult Parts],Table8[Difficult Parts Factor],,0)</f>
        <v>1</v>
      </c>
      <c r="AI138">
        <f>_xlfn.XLOOKUP(Table1820[[#This Row],[High Theft Rate]],Table9[High Theft Rate],Table9[High Theft Rate Factor],,0)</f>
        <v>1</v>
      </c>
      <c r="AJ138">
        <f>_xlfn.XLOOKUP(Table1820[[#This Row],[Advanced Safety Features]],Table10[Advanced Safety Features],Table10[Advanced Safety Features Factor],,0)</f>
        <v>0.88</v>
      </c>
      <c r="AK138">
        <f>_xlfn.XLOOKUP(Table1820[[#This Row],[Deductible]],Table12[Deductible],Table12[Deductible Factor],,0)</f>
        <v>1</v>
      </c>
      <c r="AL138">
        <f>_xlfn.XLOOKUP(Table1820[[#This Row],[Coverage Limit]],Table13[Coverage Limit],Table13[Coverage Limit Factor],,0)</f>
        <v>0.61</v>
      </c>
      <c r="AM138">
        <f>IF(Table1820[[#This Row],[Good Student Discount]]="Yes",'Rate Book'!$D$126,1)</f>
        <v>0.92</v>
      </c>
      <c r="AN138">
        <f>IF(Table1820[[#This Row],[Good Driver Discount]]="Yes",'Rate Book'!$D$127,1)</f>
        <v>0.89</v>
      </c>
      <c r="AO138">
        <f>IF(Table1820[[#This Row],[Multi Policy Discount]]="Yes",'Rate Book'!$D$128,1)</f>
        <v>1</v>
      </c>
      <c r="AP138">
        <f>IF(Table1820[[#This Row],[Loyal Customer Discount]]="Yes",'Rate Book'!$D$129,1)</f>
        <v>1</v>
      </c>
      <c r="AQ138">
        <f>IF(Table1820[[#This Row],[Organization Discount]]="Yes",'Rate Book'!$D$130,1)</f>
        <v>1</v>
      </c>
      <c r="AR138" cm="1">
        <f t="array" ref="AR138">IF(Table1820[[#This Row],[Effective Date]]&gt;=RateChangeTable[Effective Date],RateChangeTable[Rate Change Factor],1)</f>
        <v>1</v>
      </c>
      <c r="AS138" s="10">
        <f>PRODUCT(Table1820[[#This Row],[Base Rate]:[Rate Change Factor]])</f>
        <v>97.824825754311718</v>
      </c>
      <c r="AT138" s="9">
        <f>Table1820[[#This Row],[System-Generated Premium]]-Table1820[[#This Row],[Expected Premium]]</f>
        <v>0</v>
      </c>
      <c r="AU138" t="str">
        <f>IF(Table1820[[#This Row],[Difference]]=0,"PASS","FAIL")</f>
        <v>PASS</v>
      </c>
      <c r="AV138" s="9">
        <f>ABS(Table1820[[#This Row],[Difference]])</f>
        <v>0</v>
      </c>
      <c r="AW138" s="9" t="s">
        <v>1136</v>
      </c>
    </row>
    <row r="139" spans="1:49" x14ac:dyDescent="0.3">
      <c r="A139" t="s">
        <v>230</v>
      </c>
      <c r="B139" s="7">
        <v>46129</v>
      </c>
      <c r="C139" t="s">
        <v>70</v>
      </c>
      <c r="D139" t="s">
        <v>1098</v>
      </c>
      <c r="E139" s="3">
        <v>1</v>
      </c>
      <c r="F139" s="3">
        <v>0</v>
      </c>
      <c r="G139" t="s">
        <v>10</v>
      </c>
      <c r="H139" t="s">
        <v>1107</v>
      </c>
      <c r="I139" t="s">
        <v>32</v>
      </c>
      <c r="J139" t="s">
        <v>49</v>
      </c>
      <c r="K139" t="s">
        <v>57</v>
      </c>
      <c r="L139" t="s">
        <v>57</v>
      </c>
      <c r="M139" t="s">
        <v>10</v>
      </c>
      <c r="N139" t="s">
        <v>57</v>
      </c>
      <c r="O139" t="str">
        <f>INDEX(CoverageTable[Deductible Applies],MATCH(Table1820[[#This Row],[Coverage]],CoverageTable[Coverage],0))</f>
        <v>No</v>
      </c>
      <c r="P139" t="str">
        <f>INDEX(CoverageTable[Coverage Limit Applies],MATCH(Table1820[[#This Row],[Coverage]],CoverageTable[Coverage],0))</f>
        <v>Yes</v>
      </c>
      <c r="Q139" t="s">
        <v>10</v>
      </c>
      <c r="R139" t="s">
        <v>79</v>
      </c>
      <c r="S139" t="s">
        <v>10</v>
      </c>
      <c r="T139" t="s">
        <v>10</v>
      </c>
      <c r="U139" t="s">
        <v>10</v>
      </c>
      <c r="V139" t="s">
        <v>10</v>
      </c>
      <c r="W139" t="s">
        <v>57</v>
      </c>
      <c r="X139" s="11">
        <v>1279.0872142305027</v>
      </c>
      <c r="Y139">
        <f>_xlfn.XLOOKUP(Table1820[[#This Row],[Coverage]],CoverageTable[Coverage],CoverageTable[Base Rate],,0)</f>
        <v>622</v>
      </c>
      <c r="Z139">
        <f>INDEX(Table16[Ageband Factor],MATCH(Table1820[[#This Row],[Ageband]],Table16[Ageband],0))</f>
        <v>1.23</v>
      </c>
      <c r="AA139">
        <f>VLOOKUP(Table1820[[#This Row],[Years Driving]],Table1[],2)</f>
        <v>1.64</v>
      </c>
      <c r="AB139">
        <f>_xlfn.XLOOKUP(Table1820[[#This Row],[At Fault Accidents]],Table2[At Fault Accidents],Table2[At Fault Accident Factor],,0)</f>
        <v>1</v>
      </c>
      <c r="AC139">
        <f>_xlfn.XLOOKUP(Table1820[[#This Row],[Usage-Based Insurance]],Table3[Usage-Based Insurance],Table3[Usage-Based Insurance Discount],,0)</f>
        <v>1</v>
      </c>
      <c r="AD139">
        <f>_xlfn.XLOOKUP(Table1820[[#This Row],[Yearly Miles]],Table4[Yearly Miles],Table4[Yearly Miles Factor],,0)</f>
        <v>0.93</v>
      </c>
      <c r="AE139">
        <f>_xlfn.XLOOKUP(Table1820[[#This Row],[City/Zip Code]],Table5[City/Zip Code],Table5[City/Zip Code Factor],,0)</f>
        <v>1.1200000000000001</v>
      </c>
      <c r="AF139">
        <f>_xlfn.XLOOKUP(Table1820[[#This Row],[Vehicle Price]],Table6[Vehicle Price],Table6[Vehicle Price Factor])</f>
        <v>0.97</v>
      </c>
      <c r="AG139">
        <f>_xlfn.XLOOKUP(Table1820[[#This Row],[Exotic Car]],Table7[Exotic Car],Table7[Exotic Car Factor],,0)</f>
        <v>1.28</v>
      </c>
      <c r="AH139">
        <f>_xlfn.XLOOKUP(Table1820[[#This Row],[Difficult Parts]],Table8[Difficult Parts],Table8[Difficult Parts Factor],,0)</f>
        <v>1.21</v>
      </c>
      <c r="AI139">
        <f>_xlfn.XLOOKUP(Table1820[[#This Row],[High Theft Rate]],Table9[High Theft Rate],Table9[High Theft Rate Factor],,0)</f>
        <v>1</v>
      </c>
      <c r="AJ139">
        <f>_xlfn.XLOOKUP(Table1820[[#This Row],[Advanced Safety Features]],Table10[Advanced Safety Features],Table10[Advanced Safety Features Factor],,0)</f>
        <v>0.88</v>
      </c>
      <c r="AK139">
        <f>_xlfn.XLOOKUP(Table1820[[#This Row],[Deductible]],Table12[Deductible],Table12[Deductible Factor],,0)</f>
        <v>1</v>
      </c>
      <c r="AL139">
        <f>_xlfn.XLOOKUP(Table1820[[#This Row],[Coverage Limit]],Table13[Coverage Limit],Table13[Coverage Limit Factor],,0)</f>
        <v>0.72</v>
      </c>
      <c r="AM139">
        <f>IF(Table1820[[#This Row],[Good Student Discount]]="Yes",'Rate Book'!$D$126,1)</f>
        <v>1</v>
      </c>
      <c r="AN139">
        <f>IF(Table1820[[#This Row],[Good Driver Discount]]="Yes",'Rate Book'!$D$127,1)</f>
        <v>1</v>
      </c>
      <c r="AO139">
        <f>IF(Table1820[[#This Row],[Multi Policy Discount]]="Yes",'Rate Book'!$D$128,1)</f>
        <v>1</v>
      </c>
      <c r="AP139">
        <f>IF(Table1820[[#This Row],[Loyal Customer Discount]]="Yes",'Rate Book'!$D$129,1)</f>
        <v>1</v>
      </c>
      <c r="AQ139">
        <f>IF(Table1820[[#This Row],[Organization Discount]]="Yes",'Rate Book'!$D$130,1)</f>
        <v>0.97</v>
      </c>
      <c r="AR139" cm="1">
        <f t="array" ref="AR139">IF(Table1820[[#This Row],[Effective Date]]&gt;=RateChangeTable[Effective Date],RateChangeTable[Rate Change Factor],1)</f>
        <v>1.06</v>
      </c>
      <c r="AS139" s="10">
        <f>PRODUCT(Table1820[[#This Row],[Base Rate]:[Rate Change Factor]])</f>
        <v>1279.0872142305027</v>
      </c>
      <c r="AT139" s="9">
        <f>Table1820[[#This Row],[System-Generated Premium]]-Table1820[[#This Row],[Expected Premium]]</f>
        <v>0</v>
      </c>
      <c r="AU139" t="str">
        <f>IF(Table1820[[#This Row],[Difference]]=0,"PASS","FAIL")</f>
        <v>PASS</v>
      </c>
      <c r="AV139" s="9">
        <f>ABS(Table1820[[#This Row],[Difference]])</f>
        <v>0</v>
      </c>
      <c r="AW139" s="9" t="s">
        <v>1136</v>
      </c>
    </row>
    <row r="140" spans="1:49" x14ac:dyDescent="0.3">
      <c r="A140" t="s">
        <v>231</v>
      </c>
      <c r="B140" s="7">
        <v>45985</v>
      </c>
      <c r="C140" t="s">
        <v>71</v>
      </c>
      <c r="D140" t="s">
        <v>1097</v>
      </c>
      <c r="E140" s="3">
        <v>2</v>
      </c>
      <c r="F140" s="3" t="s">
        <v>7</v>
      </c>
      <c r="G140" t="s">
        <v>10</v>
      </c>
      <c r="H140" t="s">
        <v>1106</v>
      </c>
      <c r="I140" t="s">
        <v>44</v>
      </c>
      <c r="J140" t="s">
        <v>50</v>
      </c>
      <c r="K140" t="s">
        <v>10</v>
      </c>
      <c r="L140" t="s">
        <v>10</v>
      </c>
      <c r="M140" t="s">
        <v>10</v>
      </c>
      <c r="N140" t="s">
        <v>10</v>
      </c>
      <c r="O140" t="str">
        <f>INDEX(CoverageTable[Deductible Applies],MATCH(Table1820[[#This Row],[Coverage]],CoverageTable[Coverage],0))</f>
        <v>Yes</v>
      </c>
      <c r="P140" t="str">
        <f>INDEX(CoverageTable[Coverage Limit Applies],MATCH(Table1820[[#This Row],[Coverage]],CoverageTable[Coverage],0))</f>
        <v>No</v>
      </c>
      <c r="Q140" t="s">
        <v>79</v>
      </c>
      <c r="R140" t="s">
        <v>10</v>
      </c>
      <c r="S140" t="s">
        <v>10</v>
      </c>
      <c r="T140" t="s">
        <v>10</v>
      </c>
      <c r="U140" t="s">
        <v>10</v>
      </c>
      <c r="V140" t="s">
        <v>10</v>
      </c>
      <c r="W140" t="s">
        <v>57</v>
      </c>
      <c r="X140" s="11">
        <v>1743.15022604362</v>
      </c>
      <c r="Y140">
        <f>_xlfn.XLOOKUP(Table1820[[#This Row],[Coverage]],CoverageTable[Coverage],CoverageTable[Base Rate],,0)</f>
        <v>453</v>
      </c>
      <c r="Z140">
        <f>INDEX(Table16[Ageband Factor],MATCH(Table1820[[#This Row],[Ageband]],Table16[Ageband],0))</f>
        <v>1.32</v>
      </c>
      <c r="AA140">
        <f>VLOOKUP(Table1820[[#This Row],[Years Driving]],Table1[],2)</f>
        <v>1.41</v>
      </c>
      <c r="AB140">
        <f>_xlfn.XLOOKUP(Table1820[[#This Row],[At Fault Accidents]],Table2[At Fault Accidents],Table2[At Fault Accident Factor],,0)</f>
        <v>2.4700000000000002</v>
      </c>
      <c r="AC140">
        <f>_xlfn.XLOOKUP(Table1820[[#This Row],[Usage-Based Insurance]],Table3[Usage-Based Insurance],Table3[Usage-Based Insurance Discount],,0)</f>
        <v>1</v>
      </c>
      <c r="AD140">
        <f>_xlfn.XLOOKUP(Table1820[[#This Row],[Yearly Miles]],Table4[Yearly Miles],Table4[Yearly Miles Factor],,0)</f>
        <v>0.82</v>
      </c>
      <c r="AE140">
        <f>_xlfn.XLOOKUP(Table1820[[#This Row],[City/Zip Code]],Table5[City/Zip Code],Table5[City/Zip Code Factor],,0)</f>
        <v>1.1599999999999999</v>
      </c>
      <c r="AF140">
        <f>_xlfn.XLOOKUP(Table1820[[#This Row],[Vehicle Price]],Table6[Vehicle Price],Table6[Vehicle Price Factor])</f>
        <v>1.08</v>
      </c>
      <c r="AG140">
        <f>_xlfn.XLOOKUP(Table1820[[#This Row],[Exotic Car]],Table7[Exotic Car],Table7[Exotic Car Factor],,0)</f>
        <v>1</v>
      </c>
      <c r="AH140">
        <f>_xlfn.XLOOKUP(Table1820[[#This Row],[Difficult Parts]],Table8[Difficult Parts],Table8[Difficult Parts Factor],,0)</f>
        <v>1</v>
      </c>
      <c r="AI140">
        <f>_xlfn.XLOOKUP(Table1820[[#This Row],[High Theft Rate]],Table9[High Theft Rate],Table9[High Theft Rate Factor],,0)</f>
        <v>1</v>
      </c>
      <c r="AJ140">
        <f>_xlfn.XLOOKUP(Table1820[[#This Row],[Advanced Safety Features]],Table10[Advanced Safety Features],Table10[Advanced Safety Features Factor],,0)</f>
        <v>1</v>
      </c>
      <c r="AK140">
        <f>_xlfn.XLOOKUP(Table1820[[#This Row],[Deductible]],Table12[Deductible],Table12[Deductible Factor],,0)</f>
        <v>0.84</v>
      </c>
      <c r="AL140">
        <f>_xlfn.XLOOKUP(Table1820[[#This Row],[Coverage Limit]],Table13[Coverage Limit],Table13[Coverage Limit Factor],,0)</f>
        <v>1</v>
      </c>
      <c r="AM140">
        <f>IF(Table1820[[#This Row],[Good Student Discount]]="Yes",'Rate Book'!$D$126,1)</f>
        <v>1</v>
      </c>
      <c r="AN140">
        <f>IF(Table1820[[#This Row],[Good Driver Discount]]="Yes",'Rate Book'!$D$127,1)</f>
        <v>1</v>
      </c>
      <c r="AO140">
        <f>IF(Table1820[[#This Row],[Multi Policy Discount]]="Yes",'Rate Book'!$D$128,1)</f>
        <v>1</v>
      </c>
      <c r="AP140">
        <f>IF(Table1820[[#This Row],[Loyal Customer Discount]]="Yes",'Rate Book'!$D$129,1)</f>
        <v>1</v>
      </c>
      <c r="AQ140">
        <f>IF(Table1820[[#This Row],[Organization Discount]]="Yes",'Rate Book'!$D$130,1)</f>
        <v>0.97</v>
      </c>
      <c r="AR140" cm="1">
        <f t="array" ref="AR140">IF(Table1820[[#This Row],[Effective Date]]&gt;=RateChangeTable[Effective Date],RateChangeTable[Rate Change Factor],1)</f>
        <v>1</v>
      </c>
      <c r="AS140" s="10">
        <f>PRODUCT(Table1820[[#This Row],[Base Rate]:[Rate Change Factor]])</f>
        <v>1743.15022604362</v>
      </c>
      <c r="AT140" s="9">
        <f>Table1820[[#This Row],[System-Generated Premium]]-Table1820[[#This Row],[Expected Premium]]</f>
        <v>0</v>
      </c>
      <c r="AU140" t="str">
        <f>IF(Table1820[[#This Row],[Difference]]=0,"PASS","FAIL")</f>
        <v>PASS</v>
      </c>
      <c r="AV140" s="9">
        <f>ABS(Table1820[[#This Row],[Difference]])</f>
        <v>0</v>
      </c>
      <c r="AW140" s="9" t="s">
        <v>1136</v>
      </c>
    </row>
    <row r="141" spans="1:49" x14ac:dyDescent="0.3">
      <c r="A141" t="s">
        <v>232</v>
      </c>
      <c r="B141" s="7">
        <v>45808</v>
      </c>
      <c r="C141" t="s">
        <v>71</v>
      </c>
      <c r="D141" t="s">
        <v>1100</v>
      </c>
      <c r="E141" s="3">
        <v>1</v>
      </c>
      <c r="F141" s="3">
        <v>3</v>
      </c>
      <c r="G141" t="s">
        <v>10</v>
      </c>
      <c r="H141" t="s">
        <v>1107</v>
      </c>
      <c r="I141" t="s">
        <v>26</v>
      </c>
      <c r="J141" t="s">
        <v>53</v>
      </c>
      <c r="K141" t="s">
        <v>10</v>
      </c>
      <c r="L141" t="s">
        <v>10</v>
      </c>
      <c r="M141" t="s">
        <v>57</v>
      </c>
      <c r="N141" t="s">
        <v>10</v>
      </c>
      <c r="O141" t="str">
        <f>INDEX(CoverageTable[Deductible Applies],MATCH(Table1820[[#This Row],[Coverage]],CoverageTable[Coverage],0))</f>
        <v>Yes</v>
      </c>
      <c r="P141" t="str">
        <f>INDEX(CoverageTable[Coverage Limit Applies],MATCH(Table1820[[#This Row],[Coverage]],CoverageTable[Coverage],0))</f>
        <v>No</v>
      </c>
      <c r="Q141" t="s">
        <v>80</v>
      </c>
      <c r="R141" t="s">
        <v>10</v>
      </c>
      <c r="S141" t="s">
        <v>10</v>
      </c>
      <c r="T141" t="s">
        <v>57</v>
      </c>
      <c r="U141" t="s">
        <v>10</v>
      </c>
      <c r="V141" t="s">
        <v>10</v>
      </c>
      <c r="W141" t="s">
        <v>57</v>
      </c>
      <c r="X141" s="11">
        <v>2253.6247349248329</v>
      </c>
      <c r="Y141">
        <f>_xlfn.XLOOKUP(Table1820[[#This Row],[Coverage]],CoverageTable[Coverage],CoverageTable[Base Rate],,0)</f>
        <v>453</v>
      </c>
      <c r="Z141">
        <f>INDEX(Table16[Ageband Factor],MATCH(Table1820[[#This Row],[Ageband]],Table16[Ageband],0))</f>
        <v>1.07</v>
      </c>
      <c r="AA141">
        <f>VLOOKUP(Table1820[[#This Row],[Years Driving]],Table1[],2)</f>
        <v>1.64</v>
      </c>
      <c r="AB141">
        <f>_xlfn.XLOOKUP(Table1820[[#This Row],[At Fault Accidents]],Table2[At Fault Accidents],Table2[At Fault Accident Factor],,0)</f>
        <v>1.82</v>
      </c>
      <c r="AC141">
        <f>_xlfn.XLOOKUP(Table1820[[#This Row],[Usage-Based Insurance]],Table3[Usage-Based Insurance],Table3[Usage-Based Insurance Discount],,0)</f>
        <v>1</v>
      </c>
      <c r="AD141">
        <f>_xlfn.XLOOKUP(Table1820[[#This Row],[Yearly Miles]],Table4[Yearly Miles],Table4[Yearly Miles Factor],,0)</f>
        <v>0.93</v>
      </c>
      <c r="AE141">
        <f>_xlfn.XLOOKUP(Table1820[[#This Row],[City/Zip Code]],Table5[City/Zip Code],Table5[City/Zip Code Factor],,0)</f>
        <v>1.1499999999999999</v>
      </c>
      <c r="AF141">
        <f>_xlfn.XLOOKUP(Table1820[[#This Row],[Vehicle Price]],Table6[Vehicle Price],Table6[Vehicle Price Factor])</f>
        <v>2.02</v>
      </c>
      <c r="AG141">
        <f>_xlfn.XLOOKUP(Table1820[[#This Row],[Exotic Car]],Table7[Exotic Car],Table7[Exotic Car Factor],,0)</f>
        <v>1</v>
      </c>
      <c r="AH141">
        <f>_xlfn.XLOOKUP(Table1820[[#This Row],[Difficult Parts]],Table8[Difficult Parts],Table8[Difficult Parts Factor],,0)</f>
        <v>1</v>
      </c>
      <c r="AI141">
        <f>_xlfn.XLOOKUP(Table1820[[#This Row],[High Theft Rate]],Table9[High Theft Rate],Table9[High Theft Rate Factor],,0)</f>
        <v>1.1599999999999999</v>
      </c>
      <c r="AJ141">
        <f>_xlfn.XLOOKUP(Table1820[[#This Row],[Advanced Safety Features]],Table10[Advanced Safety Features],Table10[Advanced Safety Features Factor],,0)</f>
        <v>1</v>
      </c>
      <c r="AK141">
        <f>_xlfn.XLOOKUP(Table1820[[#This Row],[Deductible]],Table12[Deductible],Table12[Deductible Factor],,0)</f>
        <v>0.72</v>
      </c>
      <c r="AL141">
        <f>_xlfn.XLOOKUP(Table1820[[#This Row],[Coverage Limit]],Table13[Coverage Limit],Table13[Coverage Limit Factor],,0)</f>
        <v>1</v>
      </c>
      <c r="AM141">
        <f>IF(Table1820[[#This Row],[Good Student Discount]]="Yes",'Rate Book'!$D$126,1)</f>
        <v>1</v>
      </c>
      <c r="AN141">
        <f>IF(Table1820[[#This Row],[Good Driver Discount]]="Yes",'Rate Book'!$D$127,1)</f>
        <v>0.89</v>
      </c>
      <c r="AO141">
        <f>IF(Table1820[[#This Row],[Multi Policy Discount]]="Yes",'Rate Book'!$D$128,1)</f>
        <v>1</v>
      </c>
      <c r="AP141">
        <f>IF(Table1820[[#This Row],[Loyal Customer Discount]]="Yes",'Rate Book'!$D$129,1)</f>
        <v>1</v>
      </c>
      <c r="AQ141">
        <f>IF(Table1820[[#This Row],[Organization Discount]]="Yes",'Rate Book'!$D$130,1)</f>
        <v>0.97</v>
      </c>
      <c r="AR141" cm="1">
        <f t="array" ref="AR141">IF(Table1820[[#This Row],[Effective Date]]&gt;=RateChangeTable[Effective Date],RateChangeTable[Rate Change Factor],1)</f>
        <v>1</v>
      </c>
      <c r="AS141" s="10">
        <f>PRODUCT(Table1820[[#This Row],[Base Rate]:[Rate Change Factor]])</f>
        <v>2253.6247349248329</v>
      </c>
      <c r="AT141" s="9">
        <f>Table1820[[#This Row],[System-Generated Premium]]-Table1820[[#This Row],[Expected Premium]]</f>
        <v>0</v>
      </c>
      <c r="AU141" t="str">
        <f>IF(Table1820[[#This Row],[Difference]]=0,"PASS","FAIL")</f>
        <v>PASS</v>
      </c>
      <c r="AV141" s="9">
        <f>ABS(Table1820[[#This Row],[Difference]])</f>
        <v>0</v>
      </c>
      <c r="AW141" s="9" t="s">
        <v>1136</v>
      </c>
    </row>
    <row r="142" spans="1:49" x14ac:dyDescent="0.3">
      <c r="A142" t="s">
        <v>233</v>
      </c>
      <c r="B142" s="7">
        <v>46057</v>
      </c>
      <c r="C142" t="s">
        <v>70</v>
      </c>
      <c r="D142" t="s">
        <v>1098</v>
      </c>
      <c r="E142" s="3">
        <v>3</v>
      </c>
      <c r="F142" s="3">
        <v>1</v>
      </c>
      <c r="G142" t="s">
        <v>10</v>
      </c>
      <c r="H142" t="s">
        <v>1107</v>
      </c>
      <c r="I142" t="s">
        <v>39</v>
      </c>
      <c r="J142" t="s">
        <v>48</v>
      </c>
      <c r="K142" t="s">
        <v>10</v>
      </c>
      <c r="L142" t="s">
        <v>10</v>
      </c>
      <c r="M142" t="s">
        <v>10</v>
      </c>
      <c r="N142" t="s">
        <v>57</v>
      </c>
      <c r="O142" t="str">
        <f>INDEX(CoverageTable[Deductible Applies],MATCH(Table1820[[#This Row],[Coverage]],CoverageTable[Coverage],0))</f>
        <v>No</v>
      </c>
      <c r="P142" t="str">
        <f>INDEX(CoverageTable[Coverage Limit Applies],MATCH(Table1820[[#This Row],[Coverage]],CoverageTable[Coverage],0))</f>
        <v>Yes</v>
      </c>
      <c r="Q142" t="s">
        <v>10</v>
      </c>
      <c r="R142" t="s">
        <v>79</v>
      </c>
      <c r="S142" t="s">
        <v>57</v>
      </c>
      <c r="T142" t="s">
        <v>10</v>
      </c>
      <c r="U142" t="s">
        <v>10</v>
      </c>
      <c r="V142" t="s">
        <v>10</v>
      </c>
      <c r="W142" t="s">
        <v>10</v>
      </c>
      <c r="X142" s="11">
        <v>636.48700733098087</v>
      </c>
      <c r="Y142">
        <f>_xlfn.XLOOKUP(Table1820[[#This Row],[Coverage]],CoverageTable[Coverage],CoverageTable[Base Rate],,0)</f>
        <v>622</v>
      </c>
      <c r="Z142">
        <f>INDEX(Table16[Ageband Factor],MATCH(Table1820[[#This Row],[Ageband]],Table16[Ageband],0))</f>
        <v>1.23</v>
      </c>
      <c r="AA142">
        <f>VLOOKUP(Table1820[[#This Row],[Years Driving]],Table1[],2)</f>
        <v>1.22</v>
      </c>
      <c r="AB142">
        <f>_xlfn.XLOOKUP(Table1820[[#This Row],[At Fault Accidents]],Table2[At Fault Accidents],Table2[At Fault Accident Factor],,0)</f>
        <v>1.34</v>
      </c>
      <c r="AC142">
        <f>_xlfn.XLOOKUP(Table1820[[#This Row],[Usage-Based Insurance]],Table3[Usage-Based Insurance],Table3[Usage-Based Insurance Discount],,0)</f>
        <v>1</v>
      </c>
      <c r="AD142">
        <f>_xlfn.XLOOKUP(Table1820[[#This Row],[Yearly Miles]],Table4[Yearly Miles],Table4[Yearly Miles Factor],,0)</f>
        <v>0.93</v>
      </c>
      <c r="AE142">
        <f>_xlfn.XLOOKUP(Table1820[[#This Row],[City/Zip Code]],Table5[City/Zip Code],Table5[City/Zip Code Factor],,0)</f>
        <v>1.08</v>
      </c>
      <c r="AF142">
        <f>_xlfn.XLOOKUP(Table1820[[#This Row],[Vehicle Price]],Table6[Vehicle Price],Table6[Vehicle Price Factor])</f>
        <v>0.82</v>
      </c>
      <c r="AG142">
        <f>_xlfn.XLOOKUP(Table1820[[#This Row],[Exotic Car]],Table7[Exotic Car],Table7[Exotic Car Factor],,0)</f>
        <v>1</v>
      </c>
      <c r="AH142">
        <f>_xlfn.XLOOKUP(Table1820[[#This Row],[Difficult Parts]],Table8[Difficult Parts],Table8[Difficult Parts Factor],,0)</f>
        <v>1</v>
      </c>
      <c r="AI142">
        <f>_xlfn.XLOOKUP(Table1820[[#This Row],[High Theft Rate]],Table9[High Theft Rate],Table9[High Theft Rate Factor],,0)</f>
        <v>1</v>
      </c>
      <c r="AJ142">
        <f>_xlfn.XLOOKUP(Table1820[[#This Row],[Advanced Safety Features]],Table10[Advanced Safety Features],Table10[Advanced Safety Features Factor],,0)</f>
        <v>0.88</v>
      </c>
      <c r="AK142">
        <f>_xlfn.XLOOKUP(Table1820[[#This Row],[Deductible]],Table12[Deductible],Table12[Deductible Factor],,0)</f>
        <v>1</v>
      </c>
      <c r="AL142">
        <f>_xlfn.XLOOKUP(Table1820[[#This Row],[Coverage Limit]],Table13[Coverage Limit],Table13[Coverage Limit Factor],,0)</f>
        <v>0.72</v>
      </c>
      <c r="AM142">
        <f>IF(Table1820[[#This Row],[Good Student Discount]]="Yes",'Rate Book'!$D$126,1)</f>
        <v>0.92</v>
      </c>
      <c r="AN142">
        <f>IF(Table1820[[#This Row],[Good Driver Discount]]="Yes",'Rate Book'!$D$127,1)</f>
        <v>1</v>
      </c>
      <c r="AO142">
        <f>IF(Table1820[[#This Row],[Multi Policy Discount]]="Yes",'Rate Book'!$D$128,1)</f>
        <v>1</v>
      </c>
      <c r="AP142">
        <f>IF(Table1820[[#This Row],[Loyal Customer Discount]]="Yes",'Rate Book'!$D$129,1)</f>
        <v>1</v>
      </c>
      <c r="AQ142">
        <f>IF(Table1820[[#This Row],[Organization Discount]]="Yes",'Rate Book'!$D$130,1)</f>
        <v>1</v>
      </c>
      <c r="AR142" cm="1">
        <f t="array" ref="AR142">IF(Table1820[[#This Row],[Effective Date]]&gt;=RateChangeTable[Effective Date],RateChangeTable[Rate Change Factor],1)</f>
        <v>1.06</v>
      </c>
      <c r="AS142" s="10">
        <f>PRODUCT(Table1820[[#This Row],[Base Rate]:[Rate Change Factor]])</f>
        <v>636.48700733098087</v>
      </c>
      <c r="AT142" s="9">
        <f>Table1820[[#This Row],[System-Generated Premium]]-Table1820[[#This Row],[Expected Premium]]</f>
        <v>0</v>
      </c>
      <c r="AU142" t="str">
        <f>IF(Table1820[[#This Row],[Difference]]=0,"PASS","FAIL")</f>
        <v>PASS</v>
      </c>
      <c r="AV142" s="9">
        <f>ABS(Table1820[[#This Row],[Difference]])</f>
        <v>0</v>
      </c>
      <c r="AW142" s="9" t="s">
        <v>1136</v>
      </c>
    </row>
    <row r="143" spans="1:49" x14ac:dyDescent="0.3">
      <c r="A143" t="s">
        <v>234</v>
      </c>
      <c r="B143" s="7">
        <v>46064</v>
      </c>
      <c r="C143" t="s">
        <v>74</v>
      </c>
      <c r="D143" t="s">
        <v>1101</v>
      </c>
      <c r="E143" s="3">
        <v>5</v>
      </c>
      <c r="F143" s="3">
        <v>4</v>
      </c>
      <c r="G143" t="s">
        <v>11</v>
      </c>
      <c r="H143" t="s">
        <v>1107</v>
      </c>
      <c r="I143" t="s">
        <v>27</v>
      </c>
      <c r="J143" t="s">
        <v>51</v>
      </c>
      <c r="K143" t="s">
        <v>57</v>
      </c>
      <c r="L143" t="s">
        <v>10</v>
      </c>
      <c r="M143" t="s">
        <v>57</v>
      </c>
      <c r="N143" t="s">
        <v>57</v>
      </c>
      <c r="O143" t="str">
        <f>INDEX(CoverageTable[Deductible Applies],MATCH(Table1820[[#This Row],[Coverage]],CoverageTable[Coverage],0))</f>
        <v>No</v>
      </c>
      <c r="P143" t="str">
        <f>INDEX(CoverageTable[Coverage Limit Applies],MATCH(Table1820[[#This Row],[Coverage]],CoverageTable[Coverage],0))</f>
        <v>Yes</v>
      </c>
      <c r="Q143" t="s">
        <v>10</v>
      </c>
      <c r="R143" t="s">
        <v>80</v>
      </c>
      <c r="S143" t="s">
        <v>10</v>
      </c>
      <c r="T143" t="s">
        <v>10</v>
      </c>
      <c r="U143" t="s">
        <v>10</v>
      </c>
      <c r="V143" t="s">
        <v>10</v>
      </c>
      <c r="W143" t="s">
        <v>57</v>
      </c>
      <c r="X143" s="11">
        <v>124.96068916918721</v>
      </c>
      <c r="Y143">
        <f>_xlfn.XLOOKUP(Table1820[[#This Row],[Coverage]],CoverageTable[Coverage],CoverageTable[Base Rate],,0)</f>
        <v>41</v>
      </c>
      <c r="Z143">
        <f>INDEX(Table16[Ageband Factor],MATCH(Table1820[[#This Row],[Ageband]],Table16[Ageband],0))</f>
        <v>1.1200000000000001</v>
      </c>
      <c r="AA143">
        <f>VLOOKUP(Table1820[[#This Row],[Years Driving]],Table1[],2)</f>
        <v>1.07</v>
      </c>
      <c r="AB143">
        <f>_xlfn.XLOOKUP(Table1820[[#This Row],[At Fault Accidents]],Table2[At Fault Accidents],Table2[At Fault Accident Factor],,0)</f>
        <v>2.12</v>
      </c>
      <c r="AC143">
        <f>_xlfn.XLOOKUP(Table1820[[#This Row],[Usage-Based Insurance]],Table3[Usage-Based Insurance],Table3[Usage-Based Insurance Discount],,0)</f>
        <v>0.95</v>
      </c>
      <c r="AD143">
        <f>_xlfn.XLOOKUP(Table1820[[#This Row],[Yearly Miles]],Table4[Yearly Miles],Table4[Yearly Miles Factor],,0)</f>
        <v>0.93</v>
      </c>
      <c r="AE143">
        <f>_xlfn.XLOOKUP(Table1820[[#This Row],[City/Zip Code]],Table5[City/Zip Code],Table5[City/Zip Code Factor],,0)</f>
        <v>0.94</v>
      </c>
      <c r="AF143">
        <f>_xlfn.XLOOKUP(Table1820[[#This Row],[Vehicle Price]],Table6[Vehicle Price],Table6[Vehicle Price Factor])</f>
        <v>1.28</v>
      </c>
      <c r="AG143">
        <f>_xlfn.XLOOKUP(Table1820[[#This Row],[Exotic Car]],Table7[Exotic Car],Table7[Exotic Car Factor],,0)</f>
        <v>1.28</v>
      </c>
      <c r="AH143">
        <f>_xlfn.XLOOKUP(Table1820[[#This Row],[Difficult Parts]],Table8[Difficult Parts],Table8[Difficult Parts Factor],,0)</f>
        <v>1</v>
      </c>
      <c r="AI143">
        <f>_xlfn.XLOOKUP(Table1820[[#This Row],[High Theft Rate]],Table9[High Theft Rate],Table9[High Theft Rate Factor],,0)</f>
        <v>1.1599999999999999</v>
      </c>
      <c r="AJ143">
        <f>_xlfn.XLOOKUP(Table1820[[#This Row],[Advanced Safety Features]],Table10[Advanced Safety Features],Table10[Advanced Safety Features Factor],,0)</f>
        <v>0.88</v>
      </c>
      <c r="AK143">
        <f>_xlfn.XLOOKUP(Table1820[[#This Row],[Deductible]],Table12[Deductible],Table12[Deductible Factor],,0)</f>
        <v>1</v>
      </c>
      <c r="AL143">
        <f>_xlfn.XLOOKUP(Table1820[[#This Row],[Coverage Limit]],Table13[Coverage Limit],Table13[Coverage Limit Factor],,0)</f>
        <v>0.84</v>
      </c>
      <c r="AM143">
        <f>IF(Table1820[[#This Row],[Good Student Discount]]="Yes",'Rate Book'!$D$126,1)</f>
        <v>1</v>
      </c>
      <c r="AN143">
        <f>IF(Table1820[[#This Row],[Good Driver Discount]]="Yes",'Rate Book'!$D$127,1)</f>
        <v>1</v>
      </c>
      <c r="AO143">
        <f>IF(Table1820[[#This Row],[Multi Policy Discount]]="Yes",'Rate Book'!$D$128,1)</f>
        <v>1</v>
      </c>
      <c r="AP143">
        <f>IF(Table1820[[#This Row],[Loyal Customer Discount]]="Yes",'Rate Book'!$D$129,1)</f>
        <v>1</v>
      </c>
      <c r="AQ143">
        <f>IF(Table1820[[#This Row],[Organization Discount]]="Yes",'Rate Book'!$D$130,1)</f>
        <v>0.97</v>
      </c>
      <c r="AR143" cm="1">
        <f t="array" ref="AR143">IF(Table1820[[#This Row],[Effective Date]]&gt;=RateChangeTable[Effective Date],RateChangeTable[Rate Change Factor],1)</f>
        <v>1.06</v>
      </c>
      <c r="AS143" s="10">
        <f>PRODUCT(Table1820[[#This Row],[Base Rate]:[Rate Change Factor]])</f>
        <v>124.96068916918721</v>
      </c>
      <c r="AT143" s="9">
        <f>Table1820[[#This Row],[System-Generated Premium]]-Table1820[[#This Row],[Expected Premium]]</f>
        <v>0</v>
      </c>
      <c r="AU143" t="str">
        <f>IF(Table1820[[#This Row],[Difference]]=0,"PASS","FAIL")</f>
        <v>PASS</v>
      </c>
      <c r="AV143" s="9">
        <f>ABS(Table1820[[#This Row],[Difference]])</f>
        <v>0</v>
      </c>
      <c r="AW143" s="9" t="s">
        <v>1136</v>
      </c>
    </row>
    <row r="144" spans="1:49" x14ac:dyDescent="0.3">
      <c r="A144" t="s">
        <v>235</v>
      </c>
      <c r="B144" s="7">
        <v>45830</v>
      </c>
      <c r="C144" t="s">
        <v>70</v>
      </c>
      <c r="D144" t="s">
        <v>1097</v>
      </c>
      <c r="E144" s="3">
        <v>1</v>
      </c>
      <c r="F144" s="3">
        <v>1</v>
      </c>
      <c r="G144" t="s">
        <v>11</v>
      </c>
      <c r="H144" t="s">
        <v>1107</v>
      </c>
      <c r="I144" t="s">
        <v>27</v>
      </c>
      <c r="J144" t="s">
        <v>53</v>
      </c>
      <c r="K144" t="s">
        <v>10</v>
      </c>
      <c r="L144" t="s">
        <v>10</v>
      </c>
      <c r="M144" t="s">
        <v>10</v>
      </c>
      <c r="N144" t="s">
        <v>10</v>
      </c>
      <c r="O144" t="str">
        <f>INDEX(CoverageTable[Deductible Applies],MATCH(Table1820[[#This Row],[Coverage]],CoverageTable[Coverage],0))</f>
        <v>No</v>
      </c>
      <c r="P144" t="str">
        <f>INDEX(CoverageTable[Coverage Limit Applies],MATCH(Table1820[[#This Row],[Coverage]],CoverageTable[Coverage],0))</f>
        <v>Yes</v>
      </c>
      <c r="Q144" t="s">
        <v>10</v>
      </c>
      <c r="R144" t="s">
        <v>79</v>
      </c>
      <c r="S144" t="s">
        <v>10</v>
      </c>
      <c r="T144" t="s">
        <v>10</v>
      </c>
      <c r="U144" t="s">
        <v>10</v>
      </c>
      <c r="V144" t="s">
        <v>10</v>
      </c>
      <c r="W144" t="s">
        <v>10</v>
      </c>
      <c r="X144" s="11">
        <v>2179.3713412837392</v>
      </c>
      <c r="Y144">
        <f>_xlfn.XLOOKUP(Table1820[[#This Row],[Coverage]],CoverageTable[Coverage],CoverageTable[Base Rate],,0)</f>
        <v>622</v>
      </c>
      <c r="Z144">
        <f>INDEX(Table16[Ageband Factor],MATCH(Table1820[[#This Row],[Ageband]],Table16[Ageband],0))</f>
        <v>1.32</v>
      </c>
      <c r="AA144">
        <f>VLOOKUP(Table1820[[#This Row],[Years Driving]],Table1[],2)</f>
        <v>1.64</v>
      </c>
      <c r="AB144">
        <f>_xlfn.XLOOKUP(Table1820[[#This Row],[At Fault Accidents]],Table2[At Fault Accidents],Table2[At Fault Accident Factor],,0)</f>
        <v>1.34</v>
      </c>
      <c r="AC144">
        <f>_xlfn.XLOOKUP(Table1820[[#This Row],[Usage-Based Insurance]],Table3[Usage-Based Insurance],Table3[Usage-Based Insurance Discount],,0)</f>
        <v>0.95</v>
      </c>
      <c r="AD144">
        <f>_xlfn.XLOOKUP(Table1820[[#This Row],[Yearly Miles]],Table4[Yearly Miles],Table4[Yearly Miles Factor],,0)</f>
        <v>0.93</v>
      </c>
      <c r="AE144">
        <f>_xlfn.XLOOKUP(Table1820[[#This Row],[City/Zip Code]],Table5[City/Zip Code],Table5[City/Zip Code Factor],,0)</f>
        <v>0.94</v>
      </c>
      <c r="AF144">
        <f>_xlfn.XLOOKUP(Table1820[[#This Row],[Vehicle Price]],Table6[Vehicle Price],Table6[Vehicle Price Factor])</f>
        <v>2.02</v>
      </c>
      <c r="AG144">
        <f>_xlfn.XLOOKUP(Table1820[[#This Row],[Exotic Car]],Table7[Exotic Car],Table7[Exotic Car Factor],,0)</f>
        <v>1</v>
      </c>
      <c r="AH144">
        <f>_xlfn.XLOOKUP(Table1820[[#This Row],[Difficult Parts]],Table8[Difficult Parts],Table8[Difficult Parts Factor],,0)</f>
        <v>1</v>
      </c>
      <c r="AI144">
        <f>_xlfn.XLOOKUP(Table1820[[#This Row],[High Theft Rate]],Table9[High Theft Rate],Table9[High Theft Rate Factor],,0)</f>
        <v>1</v>
      </c>
      <c r="AJ144">
        <f>_xlfn.XLOOKUP(Table1820[[#This Row],[Advanced Safety Features]],Table10[Advanced Safety Features],Table10[Advanced Safety Features Factor],,0)</f>
        <v>1</v>
      </c>
      <c r="AK144">
        <f>_xlfn.XLOOKUP(Table1820[[#This Row],[Deductible]],Table12[Deductible],Table12[Deductible Factor],,0)</f>
        <v>1</v>
      </c>
      <c r="AL144">
        <f>_xlfn.XLOOKUP(Table1820[[#This Row],[Coverage Limit]],Table13[Coverage Limit],Table13[Coverage Limit Factor],,0)</f>
        <v>0.72</v>
      </c>
      <c r="AM144">
        <f>IF(Table1820[[#This Row],[Good Student Discount]]="Yes",'Rate Book'!$D$126,1)</f>
        <v>1</v>
      </c>
      <c r="AN144">
        <f>IF(Table1820[[#This Row],[Good Driver Discount]]="Yes",'Rate Book'!$D$127,1)</f>
        <v>1</v>
      </c>
      <c r="AO144">
        <f>IF(Table1820[[#This Row],[Multi Policy Discount]]="Yes",'Rate Book'!$D$128,1)</f>
        <v>1</v>
      </c>
      <c r="AP144">
        <f>IF(Table1820[[#This Row],[Loyal Customer Discount]]="Yes",'Rate Book'!$D$129,1)</f>
        <v>1</v>
      </c>
      <c r="AQ144">
        <f>IF(Table1820[[#This Row],[Organization Discount]]="Yes",'Rate Book'!$D$130,1)</f>
        <v>1</v>
      </c>
      <c r="AR144" cm="1">
        <f t="array" ref="AR144">IF(Table1820[[#This Row],[Effective Date]]&gt;=RateChangeTable[Effective Date],RateChangeTable[Rate Change Factor],1)</f>
        <v>1</v>
      </c>
      <c r="AS144" s="10">
        <f>PRODUCT(Table1820[[#This Row],[Base Rate]:[Rate Change Factor]])</f>
        <v>2179.3713412837392</v>
      </c>
      <c r="AT144" s="9">
        <f>Table1820[[#This Row],[System-Generated Premium]]-Table1820[[#This Row],[Expected Premium]]</f>
        <v>0</v>
      </c>
      <c r="AU144" t="str">
        <f>IF(Table1820[[#This Row],[Difference]]=0,"PASS","FAIL")</f>
        <v>PASS</v>
      </c>
      <c r="AV144" s="9">
        <f>ABS(Table1820[[#This Row],[Difference]])</f>
        <v>0</v>
      </c>
      <c r="AW144" s="9" t="s">
        <v>1136</v>
      </c>
    </row>
    <row r="145" spans="1:49" x14ac:dyDescent="0.3">
      <c r="A145" t="s">
        <v>236</v>
      </c>
      <c r="B145" s="7">
        <v>46047</v>
      </c>
      <c r="C145" t="s">
        <v>70</v>
      </c>
      <c r="D145" t="s">
        <v>1097</v>
      </c>
      <c r="E145" s="3">
        <v>7</v>
      </c>
      <c r="F145" s="3" t="s">
        <v>7</v>
      </c>
      <c r="G145" t="s">
        <v>12</v>
      </c>
      <c r="H145" t="s">
        <v>1106</v>
      </c>
      <c r="I145" t="s">
        <v>35</v>
      </c>
      <c r="J145" t="s">
        <v>51</v>
      </c>
      <c r="K145" t="s">
        <v>10</v>
      </c>
      <c r="L145" t="s">
        <v>10</v>
      </c>
      <c r="M145" t="s">
        <v>10</v>
      </c>
      <c r="N145" t="s">
        <v>57</v>
      </c>
      <c r="O145" t="str">
        <f>INDEX(CoverageTable[Deductible Applies],MATCH(Table1820[[#This Row],[Coverage]],CoverageTable[Coverage],0))</f>
        <v>No</v>
      </c>
      <c r="P145" t="str">
        <f>INDEX(CoverageTable[Coverage Limit Applies],MATCH(Table1820[[#This Row],[Coverage]],CoverageTable[Coverage],0))</f>
        <v>Yes</v>
      </c>
      <c r="Q145" t="s">
        <v>10</v>
      </c>
      <c r="R145" t="s">
        <v>78</v>
      </c>
      <c r="S145" t="s">
        <v>10</v>
      </c>
      <c r="T145" t="s">
        <v>57</v>
      </c>
      <c r="U145" t="s">
        <v>10</v>
      </c>
      <c r="V145" t="s">
        <v>10</v>
      </c>
      <c r="W145" t="s">
        <v>10</v>
      </c>
      <c r="X145" s="11">
        <v>917.5401666481938</v>
      </c>
      <c r="Y145">
        <f>_xlfn.XLOOKUP(Table1820[[#This Row],[Coverage]],CoverageTable[Coverage],CoverageTable[Base Rate],,0)</f>
        <v>622</v>
      </c>
      <c r="Z145">
        <f>INDEX(Table16[Ageband Factor],MATCH(Table1820[[#This Row],[Ageband]],Table16[Ageband],0))</f>
        <v>1.32</v>
      </c>
      <c r="AA145">
        <f>VLOOKUP(Table1820[[#This Row],[Years Driving]],Table1[],2)</f>
        <v>0.95</v>
      </c>
      <c r="AB145">
        <f>_xlfn.XLOOKUP(Table1820[[#This Row],[At Fault Accidents]],Table2[At Fault Accidents],Table2[At Fault Accident Factor],,0)</f>
        <v>2.4700000000000002</v>
      </c>
      <c r="AC145">
        <f>_xlfn.XLOOKUP(Table1820[[#This Row],[Usage-Based Insurance]],Table3[Usage-Based Insurance],Table3[Usage-Based Insurance Discount],,0)</f>
        <v>0.8</v>
      </c>
      <c r="AD145">
        <f>_xlfn.XLOOKUP(Table1820[[#This Row],[Yearly Miles]],Table4[Yearly Miles],Table4[Yearly Miles Factor],,0)</f>
        <v>0.82</v>
      </c>
      <c r="AE145">
        <f>_xlfn.XLOOKUP(Table1820[[#This Row],[City/Zip Code]],Table5[City/Zip Code],Table5[City/Zip Code Factor],,0)</f>
        <v>1.1200000000000001</v>
      </c>
      <c r="AF145">
        <f>_xlfn.XLOOKUP(Table1820[[#This Row],[Vehicle Price]],Table6[Vehicle Price],Table6[Vehicle Price Factor])</f>
        <v>1.28</v>
      </c>
      <c r="AG145">
        <f>_xlfn.XLOOKUP(Table1820[[#This Row],[Exotic Car]],Table7[Exotic Car],Table7[Exotic Car Factor],,0)</f>
        <v>1</v>
      </c>
      <c r="AH145">
        <f>_xlfn.XLOOKUP(Table1820[[#This Row],[Difficult Parts]],Table8[Difficult Parts],Table8[Difficult Parts Factor],,0)</f>
        <v>1</v>
      </c>
      <c r="AI145">
        <f>_xlfn.XLOOKUP(Table1820[[#This Row],[High Theft Rate]],Table9[High Theft Rate],Table9[High Theft Rate Factor],,0)</f>
        <v>1</v>
      </c>
      <c r="AJ145">
        <f>_xlfn.XLOOKUP(Table1820[[#This Row],[Advanced Safety Features]],Table10[Advanced Safety Features],Table10[Advanced Safety Features Factor],,0)</f>
        <v>0.88</v>
      </c>
      <c r="AK145">
        <f>_xlfn.XLOOKUP(Table1820[[#This Row],[Deductible]],Table12[Deductible],Table12[Deductible Factor],,0)</f>
        <v>1</v>
      </c>
      <c r="AL145">
        <f>_xlfn.XLOOKUP(Table1820[[#This Row],[Coverage Limit]],Table13[Coverage Limit],Table13[Coverage Limit Factor],,0)</f>
        <v>0.61</v>
      </c>
      <c r="AM145">
        <f>IF(Table1820[[#This Row],[Good Student Discount]]="Yes",'Rate Book'!$D$126,1)</f>
        <v>1</v>
      </c>
      <c r="AN145">
        <f>IF(Table1820[[#This Row],[Good Driver Discount]]="Yes",'Rate Book'!$D$127,1)</f>
        <v>0.89</v>
      </c>
      <c r="AO145">
        <f>IF(Table1820[[#This Row],[Multi Policy Discount]]="Yes",'Rate Book'!$D$128,1)</f>
        <v>1</v>
      </c>
      <c r="AP145">
        <f>IF(Table1820[[#This Row],[Loyal Customer Discount]]="Yes",'Rate Book'!$D$129,1)</f>
        <v>1</v>
      </c>
      <c r="AQ145">
        <f>IF(Table1820[[#This Row],[Organization Discount]]="Yes",'Rate Book'!$D$130,1)</f>
        <v>1</v>
      </c>
      <c r="AR145" cm="1">
        <f t="array" ref="AR145">IF(Table1820[[#This Row],[Effective Date]]&gt;=RateChangeTable[Effective Date],RateChangeTable[Rate Change Factor],1)</f>
        <v>1.06</v>
      </c>
      <c r="AS145" s="10">
        <f>PRODUCT(Table1820[[#This Row],[Base Rate]:[Rate Change Factor]])</f>
        <v>917.5401666481938</v>
      </c>
      <c r="AT145" s="9">
        <f>Table1820[[#This Row],[System-Generated Premium]]-Table1820[[#This Row],[Expected Premium]]</f>
        <v>0</v>
      </c>
      <c r="AU145" t="str">
        <f>IF(Table1820[[#This Row],[Difference]]=0,"PASS","FAIL")</f>
        <v>PASS</v>
      </c>
      <c r="AV145" s="9">
        <f>ABS(Table1820[[#This Row],[Difference]])</f>
        <v>0</v>
      </c>
      <c r="AW145" s="9" t="s">
        <v>1136</v>
      </c>
    </row>
    <row r="146" spans="1:49" x14ac:dyDescent="0.3">
      <c r="A146" t="s">
        <v>237</v>
      </c>
      <c r="B146" s="7">
        <v>45892</v>
      </c>
      <c r="C146" t="s">
        <v>71</v>
      </c>
      <c r="D146" t="s">
        <v>1099</v>
      </c>
      <c r="E146" s="3">
        <v>6</v>
      </c>
      <c r="F146" s="3">
        <v>3</v>
      </c>
      <c r="G146" t="s">
        <v>10</v>
      </c>
      <c r="H146" t="s">
        <v>1109</v>
      </c>
      <c r="I146" t="s">
        <v>23</v>
      </c>
      <c r="J146" t="s">
        <v>51</v>
      </c>
      <c r="K146" t="s">
        <v>10</v>
      </c>
      <c r="L146" t="s">
        <v>10</v>
      </c>
      <c r="M146" t="s">
        <v>57</v>
      </c>
      <c r="N146" t="s">
        <v>57</v>
      </c>
      <c r="O146" t="str">
        <f>INDEX(CoverageTable[Deductible Applies],MATCH(Table1820[[#This Row],[Coverage]],CoverageTable[Coverage],0))</f>
        <v>Yes</v>
      </c>
      <c r="P146" t="str">
        <f>INDEX(CoverageTable[Coverage Limit Applies],MATCH(Table1820[[#This Row],[Coverage]],CoverageTable[Coverage],0))</f>
        <v>No</v>
      </c>
      <c r="Q146" t="s">
        <v>78</v>
      </c>
      <c r="R146" t="s">
        <v>10</v>
      </c>
      <c r="S146" t="s">
        <v>57</v>
      </c>
      <c r="T146" t="s">
        <v>10</v>
      </c>
      <c r="U146" t="s">
        <v>10</v>
      </c>
      <c r="V146" t="s">
        <v>10</v>
      </c>
      <c r="W146" t="s">
        <v>10</v>
      </c>
      <c r="X146" s="11">
        <v>1022.1190633531635</v>
      </c>
      <c r="Y146">
        <f>_xlfn.XLOOKUP(Table1820[[#This Row],[Coverage]],CoverageTable[Coverage],CoverageTable[Base Rate],,0)</f>
        <v>453</v>
      </c>
      <c r="Z146">
        <f>INDEX(Table16[Ageband Factor],MATCH(Table1820[[#This Row],[Ageband]],Table16[Ageband],0))</f>
        <v>1</v>
      </c>
      <c r="AA146">
        <f>VLOOKUP(Table1820[[#This Row],[Years Driving]],Table1[],2)</f>
        <v>1</v>
      </c>
      <c r="AB146">
        <f>_xlfn.XLOOKUP(Table1820[[#This Row],[At Fault Accidents]],Table2[At Fault Accidents],Table2[At Fault Accident Factor],,0)</f>
        <v>1.82</v>
      </c>
      <c r="AC146">
        <f>_xlfn.XLOOKUP(Table1820[[#This Row],[Usage-Based Insurance]],Table3[Usage-Based Insurance],Table3[Usage-Based Insurance Discount],,0)</f>
        <v>1</v>
      </c>
      <c r="AD146">
        <f>_xlfn.XLOOKUP(Table1820[[#This Row],[Yearly Miles]],Table4[Yearly Miles],Table4[Yearly Miles Factor],,0)</f>
        <v>1.18</v>
      </c>
      <c r="AE146">
        <f>_xlfn.XLOOKUP(Table1820[[#This Row],[City/Zip Code]],Table5[City/Zip Code],Table5[City/Zip Code Factor],,0)</f>
        <v>0.92</v>
      </c>
      <c r="AF146">
        <f>_xlfn.XLOOKUP(Table1820[[#This Row],[Vehicle Price]],Table6[Vehicle Price],Table6[Vehicle Price Factor])</f>
        <v>1.28</v>
      </c>
      <c r="AG146">
        <f>_xlfn.XLOOKUP(Table1820[[#This Row],[Exotic Car]],Table7[Exotic Car],Table7[Exotic Car Factor],,0)</f>
        <v>1</v>
      </c>
      <c r="AH146">
        <f>_xlfn.XLOOKUP(Table1820[[#This Row],[Difficult Parts]],Table8[Difficult Parts],Table8[Difficult Parts Factor],,0)</f>
        <v>1</v>
      </c>
      <c r="AI146">
        <f>_xlfn.XLOOKUP(Table1820[[#This Row],[High Theft Rate]],Table9[High Theft Rate],Table9[High Theft Rate Factor],,0)</f>
        <v>1.1599999999999999</v>
      </c>
      <c r="AJ146">
        <f>_xlfn.XLOOKUP(Table1820[[#This Row],[Advanced Safety Features]],Table10[Advanced Safety Features],Table10[Advanced Safety Features Factor],,0)</f>
        <v>0.88</v>
      </c>
      <c r="AK146">
        <f>_xlfn.XLOOKUP(Table1820[[#This Row],[Deductible]],Table12[Deductible],Table12[Deductible Factor],,0)</f>
        <v>0.95</v>
      </c>
      <c r="AL146">
        <f>_xlfn.XLOOKUP(Table1820[[#This Row],[Coverage Limit]],Table13[Coverage Limit],Table13[Coverage Limit Factor],,0)</f>
        <v>1</v>
      </c>
      <c r="AM146">
        <f>IF(Table1820[[#This Row],[Good Student Discount]]="Yes",'Rate Book'!$D$126,1)</f>
        <v>0.92</v>
      </c>
      <c r="AN146">
        <f>IF(Table1820[[#This Row],[Good Driver Discount]]="Yes",'Rate Book'!$D$127,1)</f>
        <v>1</v>
      </c>
      <c r="AO146">
        <f>IF(Table1820[[#This Row],[Multi Policy Discount]]="Yes",'Rate Book'!$D$128,1)</f>
        <v>1</v>
      </c>
      <c r="AP146">
        <f>IF(Table1820[[#This Row],[Loyal Customer Discount]]="Yes",'Rate Book'!$D$129,1)</f>
        <v>1</v>
      </c>
      <c r="AQ146">
        <f>IF(Table1820[[#This Row],[Organization Discount]]="Yes",'Rate Book'!$D$130,1)</f>
        <v>1</v>
      </c>
      <c r="AR146" cm="1">
        <f t="array" ref="AR146">IF(Table1820[[#This Row],[Effective Date]]&gt;=RateChangeTable[Effective Date],RateChangeTable[Rate Change Factor],1)</f>
        <v>1</v>
      </c>
      <c r="AS146" s="10">
        <f>PRODUCT(Table1820[[#This Row],[Base Rate]:[Rate Change Factor]])</f>
        <v>1022.1190633531635</v>
      </c>
      <c r="AT146" s="9">
        <f>Table1820[[#This Row],[System-Generated Premium]]-Table1820[[#This Row],[Expected Premium]]</f>
        <v>0</v>
      </c>
      <c r="AU146" t="str">
        <f>IF(Table1820[[#This Row],[Difference]]=0,"PASS","FAIL")</f>
        <v>PASS</v>
      </c>
      <c r="AV146" s="9">
        <f>ABS(Table1820[[#This Row],[Difference]])</f>
        <v>0</v>
      </c>
      <c r="AW146" s="9" t="s">
        <v>1136</v>
      </c>
    </row>
    <row r="147" spans="1:49" x14ac:dyDescent="0.3">
      <c r="A147" t="s">
        <v>238</v>
      </c>
      <c r="B147" s="7">
        <v>45877</v>
      </c>
      <c r="C147" t="s">
        <v>73</v>
      </c>
      <c r="D147" t="s">
        <v>1102</v>
      </c>
      <c r="E147" s="3">
        <v>5</v>
      </c>
      <c r="F147" s="3">
        <v>3</v>
      </c>
      <c r="G147" t="s">
        <v>10</v>
      </c>
      <c r="H147" t="s">
        <v>1107</v>
      </c>
      <c r="I147" t="s">
        <v>40</v>
      </c>
      <c r="J147" t="s">
        <v>50</v>
      </c>
      <c r="K147" t="s">
        <v>10</v>
      </c>
      <c r="L147" t="s">
        <v>57</v>
      </c>
      <c r="M147" t="s">
        <v>10</v>
      </c>
      <c r="N147" t="s">
        <v>57</v>
      </c>
      <c r="O147" t="str">
        <f>INDEX(CoverageTable[Deductible Applies],MATCH(Table1820[[#This Row],[Coverage]],CoverageTable[Coverage],0))</f>
        <v>No</v>
      </c>
      <c r="P147" t="str">
        <f>INDEX(CoverageTable[Coverage Limit Applies],MATCH(Table1820[[#This Row],[Coverage]],CoverageTable[Coverage],0))</f>
        <v>Yes</v>
      </c>
      <c r="Q147" t="s">
        <v>10</v>
      </c>
      <c r="R147" t="s">
        <v>79</v>
      </c>
      <c r="S147" t="s">
        <v>10</v>
      </c>
      <c r="T147" t="s">
        <v>10</v>
      </c>
      <c r="U147" t="s">
        <v>10</v>
      </c>
      <c r="V147" t="s">
        <v>10</v>
      </c>
      <c r="W147" t="s">
        <v>10</v>
      </c>
      <c r="X147" s="11">
        <v>161.91505443842345</v>
      </c>
      <c r="Y147">
        <f>_xlfn.XLOOKUP(Table1820[[#This Row],[Coverage]],CoverageTable[Coverage],CoverageTable[Base Rate],,0)</f>
        <v>78</v>
      </c>
      <c r="Z147">
        <f>INDEX(Table16[Ageband Factor],MATCH(Table1820[[#This Row],[Ageband]],Table16[Ageband],0))</f>
        <v>1.27</v>
      </c>
      <c r="AA147">
        <f>VLOOKUP(Table1820[[#This Row],[Years Driving]],Table1[],2)</f>
        <v>1.07</v>
      </c>
      <c r="AB147">
        <f>_xlfn.XLOOKUP(Table1820[[#This Row],[At Fault Accidents]],Table2[At Fault Accidents],Table2[At Fault Accident Factor],,0)</f>
        <v>1.82</v>
      </c>
      <c r="AC147">
        <f>_xlfn.XLOOKUP(Table1820[[#This Row],[Usage-Based Insurance]],Table3[Usage-Based Insurance],Table3[Usage-Based Insurance Discount],,0)</f>
        <v>1</v>
      </c>
      <c r="AD147">
        <f>_xlfn.XLOOKUP(Table1820[[#This Row],[Yearly Miles]],Table4[Yearly Miles],Table4[Yearly Miles Factor],,0)</f>
        <v>0.93</v>
      </c>
      <c r="AE147">
        <f>_xlfn.XLOOKUP(Table1820[[#This Row],[City/Zip Code]],Table5[City/Zip Code],Table5[City/Zip Code Factor],,0)</f>
        <v>1.0900000000000001</v>
      </c>
      <c r="AF147">
        <f>_xlfn.XLOOKUP(Table1820[[#This Row],[Vehicle Price]],Table6[Vehicle Price],Table6[Vehicle Price Factor])</f>
        <v>1.08</v>
      </c>
      <c r="AG147">
        <f>_xlfn.XLOOKUP(Table1820[[#This Row],[Exotic Car]],Table7[Exotic Car],Table7[Exotic Car Factor],,0)</f>
        <v>1</v>
      </c>
      <c r="AH147">
        <f>_xlfn.XLOOKUP(Table1820[[#This Row],[Difficult Parts]],Table8[Difficult Parts],Table8[Difficult Parts Factor],,0)</f>
        <v>1.21</v>
      </c>
      <c r="AI147">
        <f>_xlfn.XLOOKUP(Table1820[[#This Row],[High Theft Rate]],Table9[High Theft Rate],Table9[High Theft Rate Factor],,0)</f>
        <v>1</v>
      </c>
      <c r="AJ147">
        <f>_xlfn.XLOOKUP(Table1820[[#This Row],[Advanced Safety Features]],Table10[Advanced Safety Features],Table10[Advanced Safety Features Factor],,0)</f>
        <v>0.88</v>
      </c>
      <c r="AK147">
        <f>_xlfn.XLOOKUP(Table1820[[#This Row],[Deductible]],Table12[Deductible],Table12[Deductible Factor],,0)</f>
        <v>1</v>
      </c>
      <c r="AL147">
        <f>_xlfn.XLOOKUP(Table1820[[#This Row],[Coverage Limit]],Table13[Coverage Limit],Table13[Coverage Limit Factor],,0)</f>
        <v>0.72</v>
      </c>
      <c r="AM147">
        <f>IF(Table1820[[#This Row],[Good Student Discount]]="Yes",'Rate Book'!$D$126,1)</f>
        <v>1</v>
      </c>
      <c r="AN147">
        <f>IF(Table1820[[#This Row],[Good Driver Discount]]="Yes",'Rate Book'!$D$127,1)</f>
        <v>1</v>
      </c>
      <c r="AO147">
        <f>IF(Table1820[[#This Row],[Multi Policy Discount]]="Yes",'Rate Book'!$D$128,1)</f>
        <v>1</v>
      </c>
      <c r="AP147">
        <f>IF(Table1820[[#This Row],[Loyal Customer Discount]]="Yes",'Rate Book'!$D$129,1)</f>
        <v>1</v>
      </c>
      <c r="AQ147">
        <f>IF(Table1820[[#This Row],[Organization Discount]]="Yes",'Rate Book'!$D$130,1)</f>
        <v>1</v>
      </c>
      <c r="AR147" cm="1">
        <f t="array" ref="AR147">IF(Table1820[[#This Row],[Effective Date]]&gt;=RateChangeTable[Effective Date],RateChangeTable[Rate Change Factor],1)</f>
        <v>1</v>
      </c>
      <c r="AS147" s="10">
        <f>PRODUCT(Table1820[[#This Row],[Base Rate]:[Rate Change Factor]])</f>
        <v>161.91505443842345</v>
      </c>
      <c r="AT147" s="9">
        <f>Table1820[[#This Row],[System-Generated Premium]]-Table1820[[#This Row],[Expected Premium]]</f>
        <v>0</v>
      </c>
      <c r="AU147" t="str">
        <f>IF(Table1820[[#This Row],[Difference]]=0,"PASS","FAIL")</f>
        <v>PASS</v>
      </c>
      <c r="AV147" s="9">
        <f>ABS(Table1820[[#This Row],[Difference]])</f>
        <v>0</v>
      </c>
      <c r="AW147" s="9" t="s">
        <v>1136</v>
      </c>
    </row>
    <row r="148" spans="1:49" x14ac:dyDescent="0.3">
      <c r="A148" t="s">
        <v>239</v>
      </c>
      <c r="B148" s="7">
        <v>46046</v>
      </c>
      <c r="C148" t="s">
        <v>71</v>
      </c>
      <c r="D148" t="s">
        <v>1099</v>
      </c>
      <c r="E148" s="3">
        <v>2</v>
      </c>
      <c r="F148" s="3">
        <v>4</v>
      </c>
      <c r="G148" t="s">
        <v>10</v>
      </c>
      <c r="H148" t="s">
        <v>1106</v>
      </c>
      <c r="I148" t="s">
        <v>22</v>
      </c>
      <c r="J148" t="s">
        <v>49</v>
      </c>
      <c r="K148" t="s">
        <v>10</v>
      </c>
      <c r="L148" t="s">
        <v>10</v>
      </c>
      <c r="M148" t="s">
        <v>10</v>
      </c>
      <c r="N148" t="s">
        <v>57</v>
      </c>
      <c r="O148" t="str">
        <f>INDEX(CoverageTable[Deductible Applies],MATCH(Table1820[[#This Row],[Coverage]],CoverageTable[Coverage],0))</f>
        <v>Yes</v>
      </c>
      <c r="P148" t="str">
        <f>INDEX(CoverageTable[Coverage Limit Applies],MATCH(Table1820[[#This Row],[Coverage]],CoverageTable[Coverage],0))</f>
        <v>No</v>
      </c>
      <c r="Q148" t="s">
        <v>79</v>
      </c>
      <c r="R148" t="s">
        <v>10</v>
      </c>
      <c r="S148" t="s">
        <v>10</v>
      </c>
      <c r="T148" t="s">
        <v>10</v>
      </c>
      <c r="U148" t="s">
        <v>10</v>
      </c>
      <c r="V148" t="s">
        <v>10</v>
      </c>
      <c r="W148" t="s">
        <v>10</v>
      </c>
      <c r="X148" s="11">
        <v>1021.155676857479</v>
      </c>
      <c r="Y148">
        <f>_xlfn.XLOOKUP(Table1820[[#This Row],[Coverage]],CoverageTable[Coverage],CoverageTable[Base Rate],,0)</f>
        <v>453</v>
      </c>
      <c r="Z148">
        <f>INDEX(Table16[Ageband Factor],MATCH(Table1820[[#This Row],[Ageband]],Table16[Ageband],0))</f>
        <v>1</v>
      </c>
      <c r="AA148">
        <f>VLOOKUP(Table1820[[#This Row],[Years Driving]],Table1[],2)</f>
        <v>1.41</v>
      </c>
      <c r="AB148">
        <f>_xlfn.XLOOKUP(Table1820[[#This Row],[At Fault Accidents]],Table2[At Fault Accidents],Table2[At Fault Accident Factor],,0)</f>
        <v>2.12</v>
      </c>
      <c r="AC148">
        <f>_xlfn.XLOOKUP(Table1820[[#This Row],[Usage-Based Insurance]],Table3[Usage-Based Insurance],Table3[Usage-Based Insurance Discount],,0)</f>
        <v>1</v>
      </c>
      <c r="AD148">
        <f>_xlfn.XLOOKUP(Table1820[[#This Row],[Yearly Miles]],Table4[Yearly Miles],Table4[Yearly Miles Factor],,0)</f>
        <v>0.82</v>
      </c>
      <c r="AE148">
        <f>_xlfn.XLOOKUP(Table1820[[#This Row],[City/Zip Code]],Table5[City/Zip Code],Table5[City/Zip Code Factor],,0)</f>
        <v>1.21</v>
      </c>
      <c r="AF148">
        <f>_xlfn.XLOOKUP(Table1820[[#This Row],[Vehicle Price]],Table6[Vehicle Price],Table6[Vehicle Price Factor])</f>
        <v>0.97</v>
      </c>
      <c r="AG148">
        <f>_xlfn.XLOOKUP(Table1820[[#This Row],[Exotic Car]],Table7[Exotic Car],Table7[Exotic Car Factor],,0)</f>
        <v>1</v>
      </c>
      <c r="AH148">
        <f>_xlfn.XLOOKUP(Table1820[[#This Row],[Difficult Parts]],Table8[Difficult Parts],Table8[Difficult Parts Factor],,0)</f>
        <v>1</v>
      </c>
      <c r="AI148">
        <f>_xlfn.XLOOKUP(Table1820[[#This Row],[High Theft Rate]],Table9[High Theft Rate],Table9[High Theft Rate Factor],,0)</f>
        <v>1</v>
      </c>
      <c r="AJ148">
        <f>_xlfn.XLOOKUP(Table1820[[#This Row],[Advanced Safety Features]],Table10[Advanced Safety Features],Table10[Advanced Safety Features Factor],,0)</f>
        <v>0.88</v>
      </c>
      <c r="AK148">
        <f>_xlfn.XLOOKUP(Table1820[[#This Row],[Deductible]],Table12[Deductible],Table12[Deductible Factor],,0)</f>
        <v>0.84</v>
      </c>
      <c r="AL148">
        <f>_xlfn.XLOOKUP(Table1820[[#This Row],[Coverage Limit]],Table13[Coverage Limit],Table13[Coverage Limit Factor],,0)</f>
        <v>1</v>
      </c>
      <c r="AM148">
        <f>IF(Table1820[[#This Row],[Good Student Discount]]="Yes",'Rate Book'!$D$126,1)</f>
        <v>1</v>
      </c>
      <c r="AN148">
        <f>IF(Table1820[[#This Row],[Good Driver Discount]]="Yes",'Rate Book'!$D$127,1)</f>
        <v>1</v>
      </c>
      <c r="AO148">
        <f>IF(Table1820[[#This Row],[Multi Policy Discount]]="Yes",'Rate Book'!$D$128,1)</f>
        <v>1</v>
      </c>
      <c r="AP148">
        <f>IF(Table1820[[#This Row],[Loyal Customer Discount]]="Yes",'Rate Book'!$D$129,1)</f>
        <v>1</v>
      </c>
      <c r="AQ148">
        <f>IF(Table1820[[#This Row],[Organization Discount]]="Yes",'Rate Book'!$D$130,1)</f>
        <v>1</v>
      </c>
      <c r="AR148" cm="1">
        <f t="array" ref="AR148">IF(Table1820[[#This Row],[Effective Date]]&gt;=RateChangeTable[Effective Date],RateChangeTable[Rate Change Factor],1)</f>
        <v>1.06</v>
      </c>
      <c r="AS148" s="10">
        <f>PRODUCT(Table1820[[#This Row],[Base Rate]:[Rate Change Factor]])</f>
        <v>1021.155676857479</v>
      </c>
      <c r="AT148" s="9">
        <f>Table1820[[#This Row],[System-Generated Premium]]-Table1820[[#This Row],[Expected Premium]]</f>
        <v>0</v>
      </c>
      <c r="AU148" t="str">
        <f>IF(Table1820[[#This Row],[Difference]]=0,"PASS","FAIL")</f>
        <v>PASS</v>
      </c>
      <c r="AV148" s="9">
        <f>ABS(Table1820[[#This Row],[Difference]])</f>
        <v>0</v>
      </c>
      <c r="AW148" s="9" t="s">
        <v>1136</v>
      </c>
    </row>
    <row r="149" spans="1:49" x14ac:dyDescent="0.3">
      <c r="A149" t="s">
        <v>240</v>
      </c>
      <c r="B149" s="7">
        <v>45888</v>
      </c>
      <c r="C149" t="s">
        <v>72</v>
      </c>
      <c r="D149" t="s">
        <v>1102</v>
      </c>
      <c r="E149" s="3">
        <v>1</v>
      </c>
      <c r="F149" s="3">
        <v>0</v>
      </c>
      <c r="G149" t="s">
        <v>10</v>
      </c>
      <c r="H149" t="s">
        <v>1108</v>
      </c>
      <c r="I149" t="s">
        <v>26</v>
      </c>
      <c r="J149" t="s">
        <v>48</v>
      </c>
      <c r="K149" t="s">
        <v>10</v>
      </c>
      <c r="L149" t="s">
        <v>10</v>
      </c>
      <c r="M149" t="s">
        <v>10</v>
      </c>
      <c r="N149" t="s">
        <v>10</v>
      </c>
      <c r="O149" t="str">
        <f>INDEX(CoverageTable[Deductible Applies],MATCH(Table1820[[#This Row],[Coverage]],CoverageTable[Coverage],0))</f>
        <v>Yes</v>
      </c>
      <c r="P149" t="str">
        <f>INDEX(CoverageTable[Coverage Limit Applies],MATCH(Table1820[[#This Row],[Coverage]],CoverageTable[Coverage],0))</f>
        <v>No</v>
      </c>
      <c r="Q149" t="s">
        <v>80</v>
      </c>
      <c r="R149" t="s">
        <v>10</v>
      </c>
      <c r="S149" t="s">
        <v>57</v>
      </c>
      <c r="T149" t="s">
        <v>10</v>
      </c>
      <c r="U149" t="s">
        <v>10</v>
      </c>
      <c r="V149" t="s">
        <v>10</v>
      </c>
      <c r="W149" t="s">
        <v>10</v>
      </c>
      <c r="X149" s="11">
        <v>157.42182969215997</v>
      </c>
      <c r="Y149">
        <f>_xlfn.XLOOKUP(Table1820[[#This Row],[Coverage]],CoverageTable[Coverage],CoverageTable[Base Rate],,0)</f>
        <v>121</v>
      </c>
      <c r="Z149">
        <f>INDEX(Table16[Ageband Factor],MATCH(Table1820[[#This Row],[Ageband]],Table16[Ageband],0))</f>
        <v>1.27</v>
      </c>
      <c r="AA149">
        <f>VLOOKUP(Table1820[[#This Row],[Years Driving]],Table1[],2)</f>
        <v>1.64</v>
      </c>
      <c r="AB149">
        <f>_xlfn.XLOOKUP(Table1820[[#This Row],[At Fault Accidents]],Table2[At Fault Accidents],Table2[At Fault Accident Factor],,0)</f>
        <v>1</v>
      </c>
      <c r="AC149">
        <f>_xlfn.XLOOKUP(Table1820[[#This Row],[Usage-Based Insurance]],Table3[Usage-Based Insurance],Table3[Usage-Based Insurance Discount],,0)</f>
        <v>1</v>
      </c>
      <c r="AD149">
        <f>_xlfn.XLOOKUP(Table1820[[#This Row],[Yearly Miles]],Table4[Yearly Miles],Table4[Yearly Miles Factor],,0)</f>
        <v>1</v>
      </c>
      <c r="AE149">
        <f>_xlfn.XLOOKUP(Table1820[[#This Row],[City/Zip Code]],Table5[City/Zip Code],Table5[City/Zip Code Factor],,0)</f>
        <v>1.1499999999999999</v>
      </c>
      <c r="AF149">
        <f>_xlfn.XLOOKUP(Table1820[[#This Row],[Vehicle Price]],Table6[Vehicle Price],Table6[Vehicle Price Factor])</f>
        <v>0.82</v>
      </c>
      <c r="AG149">
        <f>_xlfn.XLOOKUP(Table1820[[#This Row],[Exotic Car]],Table7[Exotic Car],Table7[Exotic Car Factor],,0)</f>
        <v>1</v>
      </c>
      <c r="AH149">
        <f>_xlfn.XLOOKUP(Table1820[[#This Row],[Difficult Parts]],Table8[Difficult Parts],Table8[Difficult Parts Factor],,0)</f>
        <v>1</v>
      </c>
      <c r="AI149">
        <f>_xlfn.XLOOKUP(Table1820[[#This Row],[High Theft Rate]],Table9[High Theft Rate],Table9[High Theft Rate Factor],,0)</f>
        <v>1</v>
      </c>
      <c r="AJ149">
        <f>_xlfn.XLOOKUP(Table1820[[#This Row],[Advanced Safety Features]],Table10[Advanced Safety Features],Table10[Advanced Safety Features Factor],,0)</f>
        <v>1</v>
      </c>
      <c r="AK149">
        <f>_xlfn.XLOOKUP(Table1820[[#This Row],[Deductible]],Table12[Deductible],Table12[Deductible Factor],,0)</f>
        <v>0.72</v>
      </c>
      <c r="AL149">
        <f>_xlfn.XLOOKUP(Table1820[[#This Row],[Coverage Limit]],Table13[Coverage Limit],Table13[Coverage Limit Factor],,0)</f>
        <v>1</v>
      </c>
      <c r="AM149">
        <f>IF(Table1820[[#This Row],[Good Student Discount]]="Yes",'Rate Book'!$D$126,1)</f>
        <v>0.92</v>
      </c>
      <c r="AN149">
        <f>IF(Table1820[[#This Row],[Good Driver Discount]]="Yes",'Rate Book'!$D$127,1)</f>
        <v>1</v>
      </c>
      <c r="AO149">
        <f>IF(Table1820[[#This Row],[Multi Policy Discount]]="Yes",'Rate Book'!$D$128,1)</f>
        <v>1</v>
      </c>
      <c r="AP149">
        <f>IF(Table1820[[#This Row],[Loyal Customer Discount]]="Yes",'Rate Book'!$D$129,1)</f>
        <v>1</v>
      </c>
      <c r="AQ149">
        <f>IF(Table1820[[#This Row],[Organization Discount]]="Yes",'Rate Book'!$D$130,1)</f>
        <v>1</v>
      </c>
      <c r="AR149" cm="1">
        <f t="array" ref="AR149">IF(Table1820[[#This Row],[Effective Date]]&gt;=RateChangeTable[Effective Date],RateChangeTable[Rate Change Factor],1)</f>
        <v>1</v>
      </c>
      <c r="AS149" s="10">
        <f>PRODUCT(Table1820[[#This Row],[Base Rate]:[Rate Change Factor]])</f>
        <v>157.42182969215997</v>
      </c>
      <c r="AT149" s="9">
        <f>Table1820[[#This Row],[System-Generated Premium]]-Table1820[[#This Row],[Expected Premium]]</f>
        <v>0</v>
      </c>
      <c r="AU149" t="str">
        <f>IF(Table1820[[#This Row],[Difference]]=0,"PASS","FAIL")</f>
        <v>PASS</v>
      </c>
      <c r="AV149" s="9">
        <f>ABS(Table1820[[#This Row],[Difference]])</f>
        <v>0</v>
      </c>
      <c r="AW149" s="9" t="s">
        <v>1136</v>
      </c>
    </row>
    <row r="150" spans="1:49" x14ac:dyDescent="0.3">
      <c r="A150" t="s">
        <v>241</v>
      </c>
      <c r="B150" s="7">
        <v>46081</v>
      </c>
      <c r="C150" t="s">
        <v>71</v>
      </c>
      <c r="D150" t="s">
        <v>1100</v>
      </c>
      <c r="E150" s="3" t="s">
        <v>1103</v>
      </c>
      <c r="F150" s="3">
        <v>0</v>
      </c>
      <c r="G150" t="s">
        <v>13</v>
      </c>
      <c r="H150" t="s">
        <v>1110</v>
      </c>
      <c r="I150" t="s">
        <v>21</v>
      </c>
      <c r="J150" t="s">
        <v>53</v>
      </c>
      <c r="K150" t="s">
        <v>10</v>
      </c>
      <c r="L150" t="s">
        <v>10</v>
      </c>
      <c r="M150" t="s">
        <v>10</v>
      </c>
      <c r="N150" t="s">
        <v>57</v>
      </c>
      <c r="O150" t="str">
        <f>INDEX(CoverageTable[Deductible Applies],MATCH(Table1820[[#This Row],[Coverage]],CoverageTable[Coverage],0))</f>
        <v>Yes</v>
      </c>
      <c r="P150" t="str">
        <f>INDEX(CoverageTable[Coverage Limit Applies],MATCH(Table1820[[#This Row],[Coverage]],CoverageTable[Coverage],0))</f>
        <v>No</v>
      </c>
      <c r="Q150" t="s">
        <v>80</v>
      </c>
      <c r="R150" t="s">
        <v>10</v>
      </c>
      <c r="S150" t="s">
        <v>10</v>
      </c>
      <c r="T150" t="s">
        <v>57</v>
      </c>
      <c r="U150" t="s">
        <v>57</v>
      </c>
      <c r="V150" t="s">
        <v>10</v>
      </c>
      <c r="W150" t="s">
        <v>10</v>
      </c>
      <c r="X150" s="11">
        <v>543.08209435855417</v>
      </c>
      <c r="Y150">
        <f>_xlfn.XLOOKUP(Table1820[[#This Row],[Coverage]],CoverageTable[Coverage],CoverageTable[Base Rate],,0)</f>
        <v>453</v>
      </c>
      <c r="Z150">
        <f>INDEX(Table16[Ageband Factor],MATCH(Table1820[[#This Row],[Ageband]],Table16[Ageband],0))</f>
        <v>1.07</v>
      </c>
      <c r="AA150">
        <f>VLOOKUP(Table1820[[#This Row],[Years Driving]],Table1[],2)</f>
        <v>0.93</v>
      </c>
      <c r="AB150">
        <f>_xlfn.XLOOKUP(Table1820[[#This Row],[At Fault Accidents]],Table2[At Fault Accidents],Table2[At Fault Accident Factor],,0)</f>
        <v>1</v>
      </c>
      <c r="AC150">
        <f>_xlfn.XLOOKUP(Table1820[[#This Row],[Usage-Based Insurance]],Table3[Usage-Based Insurance],Table3[Usage-Based Insurance Discount],,0)</f>
        <v>0.65</v>
      </c>
      <c r="AD150">
        <f>_xlfn.XLOOKUP(Table1820[[#This Row],[Yearly Miles]],Table4[Yearly Miles],Table4[Yearly Miles Factor],,0)</f>
        <v>1.31</v>
      </c>
      <c r="AE150">
        <f>_xlfn.XLOOKUP(Table1820[[#This Row],[City/Zip Code]],Table5[City/Zip Code],Table5[City/Zip Code Factor],,0)</f>
        <v>1.26</v>
      </c>
      <c r="AF150">
        <f>_xlfn.XLOOKUP(Table1820[[#This Row],[Vehicle Price]],Table6[Vehicle Price],Table6[Vehicle Price Factor])</f>
        <v>2.02</v>
      </c>
      <c r="AG150">
        <f>_xlfn.XLOOKUP(Table1820[[#This Row],[Exotic Car]],Table7[Exotic Car],Table7[Exotic Car Factor],,0)</f>
        <v>1</v>
      </c>
      <c r="AH150">
        <f>_xlfn.XLOOKUP(Table1820[[#This Row],[Difficult Parts]],Table8[Difficult Parts],Table8[Difficult Parts Factor],,0)</f>
        <v>1</v>
      </c>
      <c r="AI150">
        <f>_xlfn.XLOOKUP(Table1820[[#This Row],[High Theft Rate]],Table9[High Theft Rate],Table9[High Theft Rate Factor],,0)</f>
        <v>1</v>
      </c>
      <c r="AJ150">
        <f>_xlfn.XLOOKUP(Table1820[[#This Row],[Advanced Safety Features]],Table10[Advanced Safety Features],Table10[Advanced Safety Features Factor],,0)</f>
        <v>0.88</v>
      </c>
      <c r="AK150">
        <f>_xlfn.XLOOKUP(Table1820[[#This Row],[Deductible]],Table12[Deductible],Table12[Deductible Factor],,0)</f>
        <v>0.72</v>
      </c>
      <c r="AL150">
        <f>_xlfn.XLOOKUP(Table1820[[#This Row],[Coverage Limit]],Table13[Coverage Limit],Table13[Coverage Limit Factor],,0)</f>
        <v>1</v>
      </c>
      <c r="AM150">
        <f>IF(Table1820[[#This Row],[Good Student Discount]]="Yes",'Rate Book'!$D$126,1)</f>
        <v>1</v>
      </c>
      <c r="AN150">
        <f>IF(Table1820[[#This Row],[Good Driver Discount]]="Yes",'Rate Book'!$D$127,1)</f>
        <v>0.89</v>
      </c>
      <c r="AO150">
        <f>IF(Table1820[[#This Row],[Multi Policy Discount]]="Yes",'Rate Book'!$D$128,1)</f>
        <v>0.93</v>
      </c>
      <c r="AP150">
        <f>IF(Table1820[[#This Row],[Loyal Customer Discount]]="Yes",'Rate Book'!$D$129,1)</f>
        <v>1</v>
      </c>
      <c r="AQ150">
        <f>IF(Table1820[[#This Row],[Organization Discount]]="Yes",'Rate Book'!$D$130,1)</f>
        <v>1</v>
      </c>
      <c r="AR150" cm="1">
        <f t="array" ref="AR150">IF(Table1820[[#This Row],[Effective Date]]&gt;=RateChangeTable[Effective Date],RateChangeTable[Rate Change Factor],1)</f>
        <v>1.06</v>
      </c>
      <c r="AS150" s="10">
        <f>PRODUCT(Table1820[[#This Row],[Base Rate]:[Rate Change Factor]])</f>
        <v>543.08209435855417</v>
      </c>
      <c r="AT150" s="9">
        <f>Table1820[[#This Row],[System-Generated Premium]]-Table1820[[#This Row],[Expected Premium]]</f>
        <v>0</v>
      </c>
      <c r="AU150" t="str">
        <f>IF(Table1820[[#This Row],[Difference]]=0,"PASS","FAIL")</f>
        <v>PASS</v>
      </c>
      <c r="AV150" s="9">
        <f>ABS(Table1820[[#This Row],[Difference]])</f>
        <v>0</v>
      </c>
      <c r="AW150" s="9" t="s">
        <v>1136</v>
      </c>
    </row>
    <row r="151" spans="1:49" x14ac:dyDescent="0.3">
      <c r="A151" t="s">
        <v>242</v>
      </c>
      <c r="B151" s="7">
        <v>46089</v>
      </c>
      <c r="C151" t="s">
        <v>73</v>
      </c>
      <c r="D151" t="s">
        <v>1102</v>
      </c>
      <c r="E151" s="3">
        <v>2</v>
      </c>
      <c r="F151" s="3">
        <v>1</v>
      </c>
      <c r="G151" t="s">
        <v>13</v>
      </c>
      <c r="H151" t="s">
        <v>1110</v>
      </c>
      <c r="I151" t="s">
        <v>43</v>
      </c>
      <c r="J151" t="s">
        <v>50</v>
      </c>
      <c r="K151" t="s">
        <v>57</v>
      </c>
      <c r="L151" t="s">
        <v>10</v>
      </c>
      <c r="M151" t="s">
        <v>57</v>
      </c>
      <c r="N151" t="s">
        <v>10</v>
      </c>
      <c r="O151" t="str">
        <f>INDEX(CoverageTable[Deductible Applies],MATCH(Table1820[[#This Row],[Coverage]],CoverageTable[Coverage],0))</f>
        <v>No</v>
      </c>
      <c r="P151" t="str">
        <f>INDEX(CoverageTable[Coverage Limit Applies],MATCH(Table1820[[#This Row],[Coverage]],CoverageTable[Coverage],0))</f>
        <v>Yes</v>
      </c>
      <c r="Q151" t="s">
        <v>10</v>
      </c>
      <c r="R151" t="s">
        <v>78</v>
      </c>
      <c r="S151" t="s">
        <v>10</v>
      </c>
      <c r="T151" t="s">
        <v>57</v>
      </c>
      <c r="U151" t="s">
        <v>57</v>
      </c>
      <c r="V151" t="s">
        <v>10</v>
      </c>
      <c r="W151" t="s">
        <v>10</v>
      </c>
      <c r="X151" s="11">
        <v>161.39469820677712</v>
      </c>
      <c r="Y151">
        <f>_xlfn.XLOOKUP(Table1820[[#This Row],[Coverage]],CoverageTable[Coverage],CoverageTable[Base Rate],,0)</f>
        <v>78</v>
      </c>
      <c r="Z151">
        <f>INDEX(Table16[Ageband Factor],MATCH(Table1820[[#This Row],[Ageband]],Table16[Ageband],0))</f>
        <v>1.27</v>
      </c>
      <c r="AA151">
        <f>VLOOKUP(Table1820[[#This Row],[Years Driving]],Table1[],2)</f>
        <v>1.41</v>
      </c>
      <c r="AB151">
        <f>_xlfn.XLOOKUP(Table1820[[#This Row],[At Fault Accidents]],Table2[At Fault Accidents],Table2[At Fault Accident Factor],,0)</f>
        <v>1.34</v>
      </c>
      <c r="AC151">
        <f>_xlfn.XLOOKUP(Table1820[[#This Row],[Usage-Based Insurance]],Table3[Usage-Based Insurance],Table3[Usage-Based Insurance Discount],,0)</f>
        <v>0.65</v>
      </c>
      <c r="AD151">
        <f>_xlfn.XLOOKUP(Table1820[[#This Row],[Yearly Miles]],Table4[Yearly Miles],Table4[Yearly Miles Factor],,0)</f>
        <v>1.31</v>
      </c>
      <c r="AE151">
        <f>_xlfn.XLOOKUP(Table1820[[#This Row],[City/Zip Code]],Table5[City/Zip Code],Table5[City/Zip Code Factor],,0)</f>
        <v>1.18</v>
      </c>
      <c r="AF151">
        <f>_xlfn.XLOOKUP(Table1820[[#This Row],[Vehicle Price]],Table6[Vehicle Price],Table6[Vehicle Price Factor])</f>
        <v>1.08</v>
      </c>
      <c r="AG151">
        <f>_xlfn.XLOOKUP(Table1820[[#This Row],[Exotic Car]],Table7[Exotic Car],Table7[Exotic Car Factor],,0)</f>
        <v>1.28</v>
      </c>
      <c r="AH151">
        <f>_xlfn.XLOOKUP(Table1820[[#This Row],[Difficult Parts]],Table8[Difficult Parts],Table8[Difficult Parts Factor],,0)</f>
        <v>1</v>
      </c>
      <c r="AI151">
        <f>_xlfn.XLOOKUP(Table1820[[#This Row],[High Theft Rate]],Table9[High Theft Rate],Table9[High Theft Rate Factor],,0)</f>
        <v>1.1599999999999999</v>
      </c>
      <c r="AJ151">
        <f>_xlfn.XLOOKUP(Table1820[[#This Row],[Advanced Safety Features]],Table10[Advanced Safety Features],Table10[Advanced Safety Features Factor],,0)</f>
        <v>1</v>
      </c>
      <c r="AK151">
        <f>_xlfn.XLOOKUP(Table1820[[#This Row],[Deductible]],Table12[Deductible],Table12[Deductible Factor],,0)</f>
        <v>1</v>
      </c>
      <c r="AL151">
        <f>_xlfn.XLOOKUP(Table1820[[#This Row],[Coverage Limit]],Table13[Coverage Limit],Table13[Coverage Limit Factor],,0)</f>
        <v>0.61</v>
      </c>
      <c r="AM151">
        <f>IF(Table1820[[#This Row],[Good Student Discount]]="Yes",'Rate Book'!$D$126,1)</f>
        <v>1</v>
      </c>
      <c r="AN151">
        <f>IF(Table1820[[#This Row],[Good Driver Discount]]="Yes",'Rate Book'!$D$127,1)</f>
        <v>0.89</v>
      </c>
      <c r="AO151">
        <f>IF(Table1820[[#This Row],[Multi Policy Discount]]="Yes",'Rate Book'!$D$128,1)</f>
        <v>0.93</v>
      </c>
      <c r="AP151">
        <f>IF(Table1820[[#This Row],[Loyal Customer Discount]]="Yes",'Rate Book'!$D$129,1)</f>
        <v>1</v>
      </c>
      <c r="AQ151">
        <f>IF(Table1820[[#This Row],[Organization Discount]]="Yes",'Rate Book'!$D$130,1)</f>
        <v>1</v>
      </c>
      <c r="AR151" cm="1">
        <f t="array" ref="AR151">IF(Table1820[[#This Row],[Effective Date]]&gt;=RateChangeTable[Effective Date],RateChangeTable[Rate Change Factor],1)</f>
        <v>1.06</v>
      </c>
      <c r="AS151" s="10">
        <f>PRODUCT(Table1820[[#This Row],[Base Rate]:[Rate Change Factor]])</f>
        <v>161.39469820677712</v>
      </c>
      <c r="AT151" s="9">
        <f>Table1820[[#This Row],[System-Generated Premium]]-Table1820[[#This Row],[Expected Premium]]</f>
        <v>0</v>
      </c>
      <c r="AU151" t="str">
        <f>IF(Table1820[[#This Row],[Difference]]=0,"PASS","FAIL")</f>
        <v>PASS</v>
      </c>
      <c r="AV151" s="9">
        <f>ABS(Table1820[[#This Row],[Difference]])</f>
        <v>0</v>
      </c>
      <c r="AW151" s="9" t="s">
        <v>1136</v>
      </c>
    </row>
    <row r="152" spans="1:49" x14ac:dyDescent="0.3">
      <c r="A152" t="s">
        <v>243</v>
      </c>
      <c r="B152" s="7">
        <v>46110</v>
      </c>
      <c r="C152" t="s">
        <v>70</v>
      </c>
      <c r="D152" t="s">
        <v>1097</v>
      </c>
      <c r="E152" s="3">
        <v>1</v>
      </c>
      <c r="F152" s="3" t="s">
        <v>7</v>
      </c>
      <c r="G152" t="s">
        <v>10</v>
      </c>
      <c r="H152" t="s">
        <v>1108</v>
      </c>
      <c r="I152" t="s">
        <v>40</v>
      </c>
      <c r="J152" t="s">
        <v>53</v>
      </c>
      <c r="K152" t="s">
        <v>10</v>
      </c>
      <c r="L152" t="s">
        <v>10</v>
      </c>
      <c r="M152" t="s">
        <v>10</v>
      </c>
      <c r="N152" t="s">
        <v>10</v>
      </c>
      <c r="O152" t="str">
        <f>INDEX(CoverageTable[Deductible Applies],MATCH(Table1820[[#This Row],[Coverage]],CoverageTable[Coverage],0))</f>
        <v>No</v>
      </c>
      <c r="P152" t="str">
        <f>INDEX(CoverageTable[Coverage Limit Applies],MATCH(Table1820[[#This Row],[Coverage]],CoverageTable[Coverage],0))</f>
        <v>Yes</v>
      </c>
      <c r="Q152" t="s">
        <v>10</v>
      </c>
      <c r="R152" t="s">
        <v>80</v>
      </c>
      <c r="S152" t="s">
        <v>10</v>
      </c>
      <c r="T152" t="s">
        <v>57</v>
      </c>
      <c r="U152" t="s">
        <v>10</v>
      </c>
      <c r="V152" t="s">
        <v>10</v>
      </c>
      <c r="W152" t="s">
        <v>10</v>
      </c>
      <c r="X152" s="11">
        <v>5803.0744529691001</v>
      </c>
      <c r="Y152">
        <f>_xlfn.XLOOKUP(Table1820[[#This Row],[Coverage]],CoverageTable[Coverage],CoverageTable[Base Rate],,0)</f>
        <v>622</v>
      </c>
      <c r="Z152">
        <f>INDEX(Table16[Ageband Factor],MATCH(Table1820[[#This Row],[Ageband]],Table16[Ageband],0))</f>
        <v>1.32</v>
      </c>
      <c r="AA152">
        <f>VLOOKUP(Table1820[[#This Row],[Years Driving]],Table1[],2)</f>
        <v>1.64</v>
      </c>
      <c r="AB152">
        <f>_xlfn.XLOOKUP(Table1820[[#This Row],[At Fault Accidents]],Table2[At Fault Accidents],Table2[At Fault Accident Factor],,0)</f>
        <v>2.4700000000000002</v>
      </c>
      <c r="AC152">
        <f>_xlfn.XLOOKUP(Table1820[[#This Row],[Usage-Based Insurance]],Table3[Usage-Based Insurance],Table3[Usage-Based Insurance Discount],,0)</f>
        <v>1</v>
      </c>
      <c r="AD152">
        <f>_xlfn.XLOOKUP(Table1820[[#This Row],[Yearly Miles]],Table4[Yearly Miles],Table4[Yearly Miles Factor],,0)</f>
        <v>1</v>
      </c>
      <c r="AE152">
        <f>_xlfn.XLOOKUP(Table1820[[#This Row],[City/Zip Code]],Table5[City/Zip Code],Table5[City/Zip Code Factor],,0)</f>
        <v>1.0900000000000001</v>
      </c>
      <c r="AF152">
        <f>_xlfn.XLOOKUP(Table1820[[#This Row],[Vehicle Price]],Table6[Vehicle Price],Table6[Vehicle Price Factor])</f>
        <v>2.02</v>
      </c>
      <c r="AG152">
        <f>_xlfn.XLOOKUP(Table1820[[#This Row],[Exotic Car]],Table7[Exotic Car],Table7[Exotic Car Factor],,0)</f>
        <v>1</v>
      </c>
      <c r="AH152">
        <f>_xlfn.XLOOKUP(Table1820[[#This Row],[Difficult Parts]],Table8[Difficult Parts],Table8[Difficult Parts Factor],,0)</f>
        <v>1</v>
      </c>
      <c r="AI152">
        <f>_xlfn.XLOOKUP(Table1820[[#This Row],[High Theft Rate]],Table9[High Theft Rate],Table9[High Theft Rate Factor],,0)</f>
        <v>1</v>
      </c>
      <c r="AJ152">
        <f>_xlfn.XLOOKUP(Table1820[[#This Row],[Advanced Safety Features]],Table10[Advanced Safety Features],Table10[Advanced Safety Features Factor],,0)</f>
        <v>1</v>
      </c>
      <c r="AK152">
        <f>_xlfn.XLOOKUP(Table1820[[#This Row],[Deductible]],Table12[Deductible],Table12[Deductible Factor],,0)</f>
        <v>1</v>
      </c>
      <c r="AL152">
        <f>_xlfn.XLOOKUP(Table1820[[#This Row],[Coverage Limit]],Table13[Coverage Limit],Table13[Coverage Limit Factor],,0)</f>
        <v>0.84</v>
      </c>
      <c r="AM152">
        <f>IF(Table1820[[#This Row],[Good Student Discount]]="Yes",'Rate Book'!$D$126,1)</f>
        <v>1</v>
      </c>
      <c r="AN152">
        <f>IF(Table1820[[#This Row],[Good Driver Discount]]="Yes",'Rate Book'!$D$127,1)</f>
        <v>0.89</v>
      </c>
      <c r="AO152">
        <f>IF(Table1820[[#This Row],[Multi Policy Discount]]="Yes",'Rate Book'!$D$128,1)</f>
        <v>1</v>
      </c>
      <c r="AP152">
        <f>IF(Table1820[[#This Row],[Loyal Customer Discount]]="Yes",'Rate Book'!$D$129,1)</f>
        <v>1</v>
      </c>
      <c r="AQ152">
        <f>IF(Table1820[[#This Row],[Organization Discount]]="Yes",'Rate Book'!$D$130,1)</f>
        <v>1</v>
      </c>
      <c r="AR152" cm="1">
        <f t="array" ref="AR152">IF(Table1820[[#This Row],[Effective Date]]&gt;=RateChangeTable[Effective Date],RateChangeTable[Rate Change Factor],1)</f>
        <v>1.06</v>
      </c>
      <c r="AS152" s="10">
        <f>PRODUCT(Table1820[[#This Row],[Base Rate]:[Rate Change Factor]])</f>
        <v>5803.0744529691001</v>
      </c>
      <c r="AT152" s="9">
        <f>Table1820[[#This Row],[System-Generated Premium]]-Table1820[[#This Row],[Expected Premium]]</f>
        <v>0</v>
      </c>
      <c r="AU152" t="str">
        <f>IF(Table1820[[#This Row],[Difference]]=0,"PASS","FAIL")</f>
        <v>PASS</v>
      </c>
      <c r="AV152" s="9">
        <f>ABS(Table1820[[#This Row],[Difference]])</f>
        <v>0</v>
      </c>
      <c r="AW152" s="9" t="s">
        <v>1136</v>
      </c>
    </row>
    <row r="153" spans="1:49" x14ac:dyDescent="0.3">
      <c r="A153" t="s">
        <v>244</v>
      </c>
      <c r="B153" s="7">
        <v>46100</v>
      </c>
      <c r="C153" t="s">
        <v>70</v>
      </c>
      <c r="D153" t="s">
        <v>1101</v>
      </c>
      <c r="E153" s="3">
        <v>5</v>
      </c>
      <c r="F153" s="3">
        <v>4</v>
      </c>
      <c r="G153" t="s">
        <v>10</v>
      </c>
      <c r="H153" t="s">
        <v>1108</v>
      </c>
      <c r="I153" t="s">
        <v>31</v>
      </c>
      <c r="J153" t="s">
        <v>50</v>
      </c>
      <c r="K153" t="s">
        <v>10</v>
      </c>
      <c r="L153" t="s">
        <v>10</v>
      </c>
      <c r="M153" t="s">
        <v>10</v>
      </c>
      <c r="N153" t="s">
        <v>57</v>
      </c>
      <c r="O153" t="str">
        <f>INDEX(CoverageTable[Deductible Applies],MATCH(Table1820[[#This Row],[Coverage]],CoverageTable[Coverage],0))</f>
        <v>No</v>
      </c>
      <c r="P153" t="str">
        <f>INDEX(CoverageTable[Coverage Limit Applies],MATCH(Table1820[[#This Row],[Coverage]],CoverageTable[Coverage],0))</f>
        <v>Yes</v>
      </c>
      <c r="Q153" t="s">
        <v>10</v>
      </c>
      <c r="R153" t="s">
        <v>80</v>
      </c>
      <c r="S153" t="s">
        <v>10</v>
      </c>
      <c r="T153" t="s">
        <v>57</v>
      </c>
      <c r="U153" t="s">
        <v>10</v>
      </c>
      <c r="V153" t="s">
        <v>10</v>
      </c>
      <c r="W153" t="s">
        <v>10</v>
      </c>
      <c r="X153" s="11">
        <v>1321.0906241777761</v>
      </c>
      <c r="Y153">
        <f>_xlfn.XLOOKUP(Table1820[[#This Row],[Coverage]],CoverageTable[Coverage],CoverageTable[Base Rate],,0)</f>
        <v>622</v>
      </c>
      <c r="Z153">
        <f>INDEX(Table16[Ageband Factor],MATCH(Table1820[[#This Row],[Ageband]],Table16[Ageband],0))</f>
        <v>1.1200000000000001</v>
      </c>
      <c r="AA153">
        <f>VLOOKUP(Table1820[[#This Row],[Years Driving]],Table1[],2)</f>
        <v>1.07</v>
      </c>
      <c r="AB153">
        <f>_xlfn.XLOOKUP(Table1820[[#This Row],[At Fault Accidents]],Table2[At Fault Accidents],Table2[At Fault Accident Factor],,0)</f>
        <v>2.12</v>
      </c>
      <c r="AC153">
        <f>_xlfn.XLOOKUP(Table1820[[#This Row],[Usage-Based Insurance]],Table3[Usage-Based Insurance],Table3[Usage-Based Insurance Discount],,0)</f>
        <v>1</v>
      </c>
      <c r="AD153">
        <f>_xlfn.XLOOKUP(Table1820[[#This Row],[Yearly Miles]],Table4[Yearly Miles],Table4[Yearly Miles Factor],,0)</f>
        <v>1</v>
      </c>
      <c r="AE153">
        <f>_xlfn.XLOOKUP(Table1820[[#This Row],[City/Zip Code]],Table5[City/Zip Code],Table5[City/Zip Code Factor],,0)</f>
        <v>1.1100000000000001</v>
      </c>
      <c r="AF153">
        <f>_xlfn.XLOOKUP(Table1820[[#This Row],[Vehicle Price]],Table6[Vehicle Price],Table6[Vehicle Price Factor])</f>
        <v>1.08</v>
      </c>
      <c r="AG153">
        <f>_xlfn.XLOOKUP(Table1820[[#This Row],[Exotic Car]],Table7[Exotic Car],Table7[Exotic Car Factor],,0)</f>
        <v>1</v>
      </c>
      <c r="AH153">
        <f>_xlfn.XLOOKUP(Table1820[[#This Row],[Difficult Parts]],Table8[Difficult Parts],Table8[Difficult Parts Factor],,0)</f>
        <v>1</v>
      </c>
      <c r="AI153">
        <f>_xlfn.XLOOKUP(Table1820[[#This Row],[High Theft Rate]],Table9[High Theft Rate],Table9[High Theft Rate Factor],,0)</f>
        <v>1</v>
      </c>
      <c r="AJ153">
        <f>_xlfn.XLOOKUP(Table1820[[#This Row],[Advanced Safety Features]],Table10[Advanced Safety Features],Table10[Advanced Safety Features Factor],,0)</f>
        <v>0.88</v>
      </c>
      <c r="AK153">
        <f>_xlfn.XLOOKUP(Table1820[[#This Row],[Deductible]],Table12[Deductible],Table12[Deductible Factor],,0)</f>
        <v>1</v>
      </c>
      <c r="AL153">
        <f>_xlfn.XLOOKUP(Table1820[[#This Row],[Coverage Limit]],Table13[Coverage Limit],Table13[Coverage Limit Factor],,0)</f>
        <v>0.84</v>
      </c>
      <c r="AM153">
        <f>IF(Table1820[[#This Row],[Good Student Discount]]="Yes",'Rate Book'!$D$126,1)</f>
        <v>1</v>
      </c>
      <c r="AN153">
        <f>IF(Table1820[[#This Row],[Good Driver Discount]]="Yes",'Rate Book'!$D$127,1)</f>
        <v>0.89</v>
      </c>
      <c r="AO153">
        <f>IF(Table1820[[#This Row],[Multi Policy Discount]]="Yes",'Rate Book'!$D$128,1)</f>
        <v>1</v>
      </c>
      <c r="AP153">
        <f>IF(Table1820[[#This Row],[Loyal Customer Discount]]="Yes",'Rate Book'!$D$129,1)</f>
        <v>1</v>
      </c>
      <c r="AQ153">
        <f>IF(Table1820[[#This Row],[Organization Discount]]="Yes",'Rate Book'!$D$130,1)</f>
        <v>1</v>
      </c>
      <c r="AR153" cm="1">
        <f t="array" ref="AR153">IF(Table1820[[#This Row],[Effective Date]]&gt;=RateChangeTable[Effective Date],RateChangeTable[Rate Change Factor],1)</f>
        <v>1.06</v>
      </c>
      <c r="AS153" s="10">
        <f>PRODUCT(Table1820[[#This Row],[Base Rate]:[Rate Change Factor]])</f>
        <v>1321.0906241777761</v>
      </c>
      <c r="AT153" s="9">
        <f>Table1820[[#This Row],[System-Generated Premium]]-Table1820[[#This Row],[Expected Premium]]</f>
        <v>0</v>
      </c>
      <c r="AU153" t="str">
        <f>IF(Table1820[[#This Row],[Difference]]=0,"PASS","FAIL")</f>
        <v>PASS</v>
      </c>
      <c r="AV153" s="9">
        <f>ABS(Table1820[[#This Row],[Difference]])</f>
        <v>0</v>
      </c>
      <c r="AW153" s="9" t="s">
        <v>1136</v>
      </c>
    </row>
    <row r="154" spans="1:49" x14ac:dyDescent="0.3">
      <c r="A154" t="s">
        <v>245</v>
      </c>
      <c r="B154" s="7">
        <v>46035</v>
      </c>
      <c r="C154" t="s">
        <v>74</v>
      </c>
      <c r="D154" t="s">
        <v>1099</v>
      </c>
      <c r="E154" s="3">
        <v>2</v>
      </c>
      <c r="F154" s="3" t="s">
        <v>7</v>
      </c>
      <c r="G154" t="s">
        <v>10</v>
      </c>
      <c r="H154" t="s">
        <v>1106</v>
      </c>
      <c r="I154" t="s">
        <v>26</v>
      </c>
      <c r="J154" t="s">
        <v>51</v>
      </c>
      <c r="K154" t="s">
        <v>57</v>
      </c>
      <c r="L154" t="s">
        <v>57</v>
      </c>
      <c r="M154" t="s">
        <v>10</v>
      </c>
      <c r="N154" t="s">
        <v>57</v>
      </c>
      <c r="O154" t="str">
        <f>INDEX(CoverageTable[Deductible Applies],MATCH(Table1820[[#This Row],[Coverage]],CoverageTable[Coverage],0))</f>
        <v>No</v>
      </c>
      <c r="P154" t="str">
        <f>INDEX(CoverageTable[Coverage Limit Applies],MATCH(Table1820[[#This Row],[Coverage]],CoverageTable[Coverage],0))</f>
        <v>Yes</v>
      </c>
      <c r="Q154" t="s">
        <v>10</v>
      </c>
      <c r="R154" t="s">
        <v>79</v>
      </c>
      <c r="S154" t="s">
        <v>57</v>
      </c>
      <c r="T154" t="s">
        <v>10</v>
      </c>
      <c r="U154" t="s">
        <v>10</v>
      </c>
      <c r="V154" t="s">
        <v>10</v>
      </c>
      <c r="W154" t="s">
        <v>10</v>
      </c>
      <c r="X154" s="11">
        <v>164.93992250379819</v>
      </c>
      <c r="Y154">
        <f>_xlfn.XLOOKUP(Table1820[[#This Row],[Coverage]],CoverageTable[Coverage],CoverageTable[Base Rate],,0)</f>
        <v>41</v>
      </c>
      <c r="Z154">
        <f>INDEX(Table16[Ageband Factor],MATCH(Table1820[[#This Row],[Ageband]],Table16[Ageband],0))</f>
        <v>1</v>
      </c>
      <c r="AA154">
        <f>VLOOKUP(Table1820[[#This Row],[Years Driving]],Table1[],2)</f>
        <v>1.41</v>
      </c>
      <c r="AB154">
        <f>_xlfn.XLOOKUP(Table1820[[#This Row],[At Fault Accidents]],Table2[At Fault Accidents],Table2[At Fault Accident Factor],,0)</f>
        <v>2.4700000000000002</v>
      </c>
      <c r="AC154">
        <f>_xlfn.XLOOKUP(Table1820[[#This Row],[Usage-Based Insurance]],Table3[Usage-Based Insurance],Table3[Usage-Based Insurance Discount],,0)</f>
        <v>1</v>
      </c>
      <c r="AD154">
        <f>_xlfn.XLOOKUP(Table1820[[#This Row],[Yearly Miles]],Table4[Yearly Miles],Table4[Yearly Miles Factor],,0)</f>
        <v>0.82</v>
      </c>
      <c r="AE154">
        <f>_xlfn.XLOOKUP(Table1820[[#This Row],[City/Zip Code]],Table5[City/Zip Code],Table5[City/Zip Code Factor],,0)</f>
        <v>1.1499999999999999</v>
      </c>
      <c r="AF154">
        <f>_xlfn.XLOOKUP(Table1820[[#This Row],[Vehicle Price]],Table6[Vehicle Price],Table6[Vehicle Price Factor])</f>
        <v>1.28</v>
      </c>
      <c r="AG154">
        <f>_xlfn.XLOOKUP(Table1820[[#This Row],[Exotic Car]],Table7[Exotic Car],Table7[Exotic Car Factor],,0)</f>
        <v>1.28</v>
      </c>
      <c r="AH154">
        <f>_xlfn.XLOOKUP(Table1820[[#This Row],[Difficult Parts]],Table8[Difficult Parts],Table8[Difficult Parts Factor],,0)</f>
        <v>1.21</v>
      </c>
      <c r="AI154">
        <f>_xlfn.XLOOKUP(Table1820[[#This Row],[High Theft Rate]],Table9[High Theft Rate],Table9[High Theft Rate Factor],,0)</f>
        <v>1</v>
      </c>
      <c r="AJ154">
        <f>_xlfn.XLOOKUP(Table1820[[#This Row],[Advanced Safety Features]],Table10[Advanced Safety Features],Table10[Advanced Safety Features Factor],,0)</f>
        <v>0.88</v>
      </c>
      <c r="AK154">
        <f>_xlfn.XLOOKUP(Table1820[[#This Row],[Deductible]],Table12[Deductible],Table12[Deductible Factor],,0)</f>
        <v>1</v>
      </c>
      <c r="AL154">
        <f>_xlfn.XLOOKUP(Table1820[[#This Row],[Coverage Limit]],Table13[Coverage Limit],Table13[Coverage Limit Factor],,0)</f>
        <v>0.72</v>
      </c>
      <c r="AM154">
        <f>IF(Table1820[[#This Row],[Good Student Discount]]="Yes",'Rate Book'!$D$126,1)</f>
        <v>0.92</v>
      </c>
      <c r="AN154">
        <f>IF(Table1820[[#This Row],[Good Driver Discount]]="Yes",'Rate Book'!$D$127,1)</f>
        <v>1</v>
      </c>
      <c r="AO154">
        <f>IF(Table1820[[#This Row],[Multi Policy Discount]]="Yes",'Rate Book'!$D$128,1)</f>
        <v>1</v>
      </c>
      <c r="AP154">
        <f>IF(Table1820[[#This Row],[Loyal Customer Discount]]="Yes",'Rate Book'!$D$129,1)</f>
        <v>1</v>
      </c>
      <c r="AQ154">
        <f>IF(Table1820[[#This Row],[Organization Discount]]="Yes",'Rate Book'!$D$130,1)</f>
        <v>1</v>
      </c>
      <c r="AR154" cm="1">
        <f t="array" ref="AR154">IF(Table1820[[#This Row],[Effective Date]]&gt;=RateChangeTable[Effective Date],RateChangeTable[Rate Change Factor],1)</f>
        <v>1.06</v>
      </c>
      <c r="AS154" s="10">
        <f>PRODUCT(Table1820[[#This Row],[Base Rate]:[Rate Change Factor]])</f>
        <v>164.93992250379819</v>
      </c>
      <c r="AT154" s="9">
        <f>Table1820[[#This Row],[System-Generated Premium]]-Table1820[[#This Row],[Expected Premium]]</f>
        <v>0</v>
      </c>
      <c r="AU154" t="str">
        <f>IF(Table1820[[#This Row],[Difference]]=0,"PASS","FAIL")</f>
        <v>PASS</v>
      </c>
      <c r="AV154" s="9">
        <f>ABS(Table1820[[#This Row],[Difference]])</f>
        <v>0</v>
      </c>
      <c r="AW154" s="9" t="s">
        <v>1136</v>
      </c>
    </row>
    <row r="155" spans="1:49" x14ac:dyDescent="0.3">
      <c r="A155" t="s">
        <v>246</v>
      </c>
      <c r="B155" s="7">
        <v>46012</v>
      </c>
      <c r="C155" t="s">
        <v>71</v>
      </c>
      <c r="D155" t="s">
        <v>1098</v>
      </c>
      <c r="E155" s="3">
        <v>3</v>
      </c>
      <c r="F155" s="3">
        <v>3</v>
      </c>
      <c r="G155" t="s">
        <v>10</v>
      </c>
      <c r="H155" t="s">
        <v>1108</v>
      </c>
      <c r="I155" t="s">
        <v>26</v>
      </c>
      <c r="J155" t="s">
        <v>48</v>
      </c>
      <c r="K155" t="s">
        <v>10</v>
      </c>
      <c r="L155" t="s">
        <v>10</v>
      </c>
      <c r="M155" t="s">
        <v>10</v>
      </c>
      <c r="N155" t="s">
        <v>10</v>
      </c>
      <c r="O155" t="str">
        <f>INDEX(CoverageTable[Deductible Applies],MATCH(Table1820[[#This Row],[Coverage]],CoverageTable[Coverage],0))</f>
        <v>Yes</v>
      </c>
      <c r="P155" t="str">
        <f>INDEX(CoverageTable[Coverage Limit Applies],MATCH(Table1820[[#This Row],[Coverage]],CoverageTable[Coverage],0))</f>
        <v>No</v>
      </c>
      <c r="Q155" t="s">
        <v>78</v>
      </c>
      <c r="R155" t="s">
        <v>10</v>
      </c>
      <c r="S155" t="s">
        <v>10</v>
      </c>
      <c r="T155" t="s">
        <v>57</v>
      </c>
      <c r="U155" t="s">
        <v>57</v>
      </c>
      <c r="V155" t="s">
        <v>10</v>
      </c>
      <c r="W155" t="s">
        <v>10</v>
      </c>
      <c r="X155" s="11">
        <v>917.36630700393027</v>
      </c>
      <c r="Y155">
        <f>_xlfn.XLOOKUP(Table1820[[#This Row],[Coverage]],CoverageTable[Coverage],CoverageTable[Base Rate],,0)</f>
        <v>453</v>
      </c>
      <c r="Z155">
        <f>INDEX(Table16[Ageband Factor],MATCH(Table1820[[#This Row],[Ageband]],Table16[Ageband],0))</f>
        <v>1.23</v>
      </c>
      <c r="AA155">
        <f>VLOOKUP(Table1820[[#This Row],[Years Driving]],Table1[],2)</f>
        <v>1.22</v>
      </c>
      <c r="AB155">
        <f>_xlfn.XLOOKUP(Table1820[[#This Row],[At Fault Accidents]],Table2[At Fault Accidents],Table2[At Fault Accident Factor],,0)</f>
        <v>1.82</v>
      </c>
      <c r="AC155">
        <f>_xlfn.XLOOKUP(Table1820[[#This Row],[Usage-Based Insurance]],Table3[Usage-Based Insurance],Table3[Usage-Based Insurance Discount],,0)</f>
        <v>1</v>
      </c>
      <c r="AD155">
        <f>_xlfn.XLOOKUP(Table1820[[#This Row],[Yearly Miles]],Table4[Yearly Miles],Table4[Yearly Miles Factor],,0)</f>
        <v>1</v>
      </c>
      <c r="AE155">
        <f>_xlfn.XLOOKUP(Table1820[[#This Row],[City/Zip Code]],Table5[City/Zip Code],Table5[City/Zip Code Factor],,0)</f>
        <v>1.1499999999999999</v>
      </c>
      <c r="AF155">
        <f>_xlfn.XLOOKUP(Table1820[[#This Row],[Vehicle Price]],Table6[Vehicle Price],Table6[Vehicle Price Factor])</f>
        <v>0.82</v>
      </c>
      <c r="AG155">
        <f>_xlfn.XLOOKUP(Table1820[[#This Row],[Exotic Car]],Table7[Exotic Car],Table7[Exotic Car Factor],,0)</f>
        <v>1</v>
      </c>
      <c r="AH155">
        <f>_xlfn.XLOOKUP(Table1820[[#This Row],[Difficult Parts]],Table8[Difficult Parts],Table8[Difficult Parts Factor],,0)</f>
        <v>1</v>
      </c>
      <c r="AI155">
        <f>_xlfn.XLOOKUP(Table1820[[#This Row],[High Theft Rate]],Table9[High Theft Rate],Table9[High Theft Rate Factor],,0)</f>
        <v>1</v>
      </c>
      <c r="AJ155">
        <f>_xlfn.XLOOKUP(Table1820[[#This Row],[Advanced Safety Features]],Table10[Advanced Safety Features],Table10[Advanced Safety Features Factor],,0)</f>
        <v>1</v>
      </c>
      <c r="AK155">
        <f>_xlfn.XLOOKUP(Table1820[[#This Row],[Deductible]],Table12[Deductible],Table12[Deductible Factor],,0)</f>
        <v>0.95</v>
      </c>
      <c r="AL155">
        <f>_xlfn.XLOOKUP(Table1820[[#This Row],[Coverage Limit]],Table13[Coverage Limit],Table13[Coverage Limit Factor],,0)</f>
        <v>1</v>
      </c>
      <c r="AM155">
        <f>IF(Table1820[[#This Row],[Good Student Discount]]="Yes",'Rate Book'!$D$126,1)</f>
        <v>1</v>
      </c>
      <c r="AN155">
        <f>IF(Table1820[[#This Row],[Good Driver Discount]]="Yes",'Rate Book'!$D$127,1)</f>
        <v>0.89</v>
      </c>
      <c r="AO155">
        <f>IF(Table1820[[#This Row],[Multi Policy Discount]]="Yes",'Rate Book'!$D$128,1)</f>
        <v>0.93</v>
      </c>
      <c r="AP155">
        <f>IF(Table1820[[#This Row],[Loyal Customer Discount]]="Yes",'Rate Book'!$D$129,1)</f>
        <v>1</v>
      </c>
      <c r="AQ155">
        <f>IF(Table1820[[#This Row],[Organization Discount]]="Yes",'Rate Book'!$D$130,1)</f>
        <v>1</v>
      </c>
      <c r="AR155" cm="1">
        <f t="array" ref="AR155">IF(Table1820[[#This Row],[Effective Date]]&gt;=RateChangeTable[Effective Date],RateChangeTable[Rate Change Factor],1)</f>
        <v>1</v>
      </c>
      <c r="AS155" s="10">
        <f>PRODUCT(Table1820[[#This Row],[Base Rate]:[Rate Change Factor]])</f>
        <v>917.36630700393027</v>
      </c>
      <c r="AT155" s="9">
        <f>Table1820[[#This Row],[System-Generated Premium]]-Table1820[[#This Row],[Expected Premium]]</f>
        <v>0</v>
      </c>
      <c r="AU155" t="str">
        <f>IF(Table1820[[#This Row],[Difference]]=0,"PASS","FAIL")</f>
        <v>PASS</v>
      </c>
      <c r="AV155" s="9">
        <f>ABS(Table1820[[#This Row],[Difference]])</f>
        <v>0</v>
      </c>
      <c r="AW155" s="9" t="s">
        <v>1136</v>
      </c>
    </row>
    <row r="156" spans="1:49" x14ac:dyDescent="0.3">
      <c r="A156" t="s">
        <v>247</v>
      </c>
      <c r="B156" s="7">
        <v>45782</v>
      </c>
      <c r="C156" t="s">
        <v>70</v>
      </c>
      <c r="D156" t="s">
        <v>1100</v>
      </c>
      <c r="E156" s="3">
        <v>5</v>
      </c>
      <c r="F156" s="3">
        <v>0</v>
      </c>
      <c r="G156" t="s">
        <v>10</v>
      </c>
      <c r="H156" t="s">
        <v>1109</v>
      </c>
      <c r="I156" t="s">
        <v>21</v>
      </c>
      <c r="J156" t="s">
        <v>49</v>
      </c>
      <c r="K156" t="s">
        <v>10</v>
      </c>
      <c r="L156" t="s">
        <v>10</v>
      </c>
      <c r="M156" t="s">
        <v>10</v>
      </c>
      <c r="N156" t="s">
        <v>10</v>
      </c>
      <c r="O156" t="str">
        <f>INDEX(CoverageTable[Deductible Applies],MATCH(Table1820[[#This Row],[Coverage]],CoverageTable[Coverage],0))</f>
        <v>No</v>
      </c>
      <c r="P156" t="str">
        <f>INDEX(CoverageTable[Coverage Limit Applies],MATCH(Table1820[[#This Row],[Coverage]],CoverageTable[Coverage],0))</f>
        <v>Yes</v>
      </c>
      <c r="Q156" t="s">
        <v>10</v>
      </c>
      <c r="R156" t="s">
        <v>78</v>
      </c>
      <c r="S156" t="s">
        <v>10</v>
      </c>
      <c r="T156" t="s">
        <v>10</v>
      </c>
      <c r="U156" t="s">
        <v>10</v>
      </c>
      <c r="V156" t="s">
        <v>57</v>
      </c>
      <c r="W156" t="s">
        <v>10</v>
      </c>
      <c r="X156" s="11">
        <v>588.89777758962191</v>
      </c>
      <c r="Y156">
        <f>_xlfn.XLOOKUP(Table1820[[#This Row],[Coverage]],CoverageTable[Coverage],CoverageTable[Base Rate],,0)</f>
        <v>622</v>
      </c>
      <c r="Z156">
        <f>INDEX(Table16[Ageband Factor],MATCH(Table1820[[#This Row],[Ageband]],Table16[Ageband],0))</f>
        <v>1.07</v>
      </c>
      <c r="AA156">
        <f>VLOOKUP(Table1820[[#This Row],[Years Driving]],Table1[],2)</f>
        <v>1.07</v>
      </c>
      <c r="AB156">
        <f>_xlfn.XLOOKUP(Table1820[[#This Row],[At Fault Accidents]],Table2[At Fault Accidents],Table2[At Fault Accident Factor],,0)</f>
        <v>1</v>
      </c>
      <c r="AC156">
        <f>_xlfn.XLOOKUP(Table1820[[#This Row],[Usage-Based Insurance]],Table3[Usage-Based Insurance],Table3[Usage-Based Insurance Discount],,0)</f>
        <v>1</v>
      </c>
      <c r="AD156">
        <f>_xlfn.XLOOKUP(Table1820[[#This Row],[Yearly Miles]],Table4[Yearly Miles],Table4[Yearly Miles Factor],,0)</f>
        <v>1.18</v>
      </c>
      <c r="AE156">
        <f>_xlfn.XLOOKUP(Table1820[[#This Row],[City/Zip Code]],Table5[City/Zip Code],Table5[City/Zip Code Factor],,0)</f>
        <v>1.26</v>
      </c>
      <c r="AF156">
        <f>_xlfn.XLOOKUP(Table1820[[#This Row],[Vehicle Price]],Table6[Vehicle Price],Table6[Vehicle Price Factor])</f>
        <v>0.97</v>
      </c>
      <c r="AG156">
        <f>_xlfn.XLOOKUP(Table1820[[#This Row],[Exotic Car]],Table7[Exotic Car],Table7[Exotic Car Factor],,0)</f>
        <v>1</v>
      </c>
      <c r="AH156">
        <f>_xlfn.XLOOKUP(Table1820[[#This Row],[Difficult Parts]],Table8[Difficult Parts],Table8[Difficult Parts Factor],,0)</f>
        <v>1</v>
      </c>
      <c r="AI156">
        <f>_xlfn.XLOOKUP(Table1820[[#This Row],[High Theft Rate]],Table9[High Theft Rate],Table9[High Theft Rate Factor],,0)</f>
        <v>1</v>
      </c>
      <c r="AJ156">
        <f>_xlfn.XLOOKUP(Table1820[[#This Row],[Advanced Safety Features]],Table10[Advanced Safety Features],Table10[Advanced Safety Features Factor],,0)</f>
        <v>1</v>
      </c>
      <c r="AK156">
        <f>_xlfn.XLOOKUP(Table1820[[#This Row],[Deductible]],Table12[Deductible],Table12[Deductible Factor],,0)</f>
        <v>1</v>
      </c>
      <c r="AL156">
        <f>_xlfn.XLOOKUP(Table1820[[#This Row],[Coverage Limit]],Table13[Coverage Limit],Table13[Coverage Limit Factor],,0)</f>
        <v>0.61</v>
      </c>
      <c r="AM156">
        <f>IF(Table1820[[#This Row],[Good Student Discount]]="Yes",'Rate Book'!$D$126,1)</f>
        <v>1</v>
      </c>
      <c r="AN156">
        <f>IF(Table1820[[#This Row],[Good Driver Discount]]="Yes",'Rate Book'!$D$127,1)</f>
        <v>1</v>
      </c>
      <c r="AO156">
        <f>IF(Table1820[[#This Row],[Multi Policy Discount]]="Yes",'Rate Book'!$D$128,1)</f>
        <v>1</v>
      </c>
      <c r="AP156">
        <f>IF(Table1820[[#This Row],[Loyal Customer Discount]]="Yes",'Rate Book'!$D$129,1)</f>
        <v>0.94</v>
      </c>
      <c r="AQ156">
        <f>IF(Table1820[[#This Row],[Organization Discount]]="Yes",'Rate Book'!$D$130,1)</f>
        <v>1</v>
      </c>
      <c r="AR156" cm="1">
        <f t="array" ref="AR156">IF(Table1820[[#This Row],[Effective Date]]&gt;=RateChangeTable[Effective Date],RateChangeTable[Rate Change Factor],1)</f>
        <v>1</v>
      </c>
      <c r="AS156" s="10">
        <f>PRODUCT(Table1820[[#This Row],[Base Rate]:[Rate Change Factor]])</f>
        <v>588.89777758962191</v>
      </c>
      <c r="AT156" s="9">
        <f>Table1820[[#This Row],[System-Generated Premium]]-Table1820[[#This Row],[Expected Premium]]</f>
        <v>0</v>
      </c>
      <c r="AU156" t="str">
        <f>IF(Table1820[[#This Row],[Difference]]=0,"PASS","FAIL")</f>
        <v>PASS</v>
      </c>
      <c r="AV156" s="9">
        <f>ABS(Table1820[[#This Row],[Difference]])</f>
        <v>0</v>
      </c>
      <c r="AW156" s="9" t="s">
        <v>1136</v>
      </c>
    </row>
    <row r="157" spans="1:49" x14ac:dyDescent="0.3">
      <c r="A157" t="s">
        <v>248</v>
      </c>
      <c r="B157" s="7">
        <v>46143</v>
      </c>
      <c r="C157" t="s">
        <v>70</v>
      </c>
      <c r="D157" t="s">
        <v>1097</v>
      </c>
      <c r="E157" s="3">
        <v>5</v>
      </c>
      <c r="F157" s="3">
        <v>0</v>
      </c>
      <c r="G157" t="s">
        <v>12</v>
      </c>
      <c r="H157" t="s">
        <v>1106</v>
      </c>
      <c r="I157" t="s">
        <v>26</v>
      </c>
      <c r="J157" t="s">
        <v>54</v>
      </c>
      <c r="K157" t="s">
        <v>10</v>
      </c>
      <c r="L157" t="s">
        <v>10</v>
      </c>
      <c r="M157" t="s">
        <v>57</v>
      </c>
      <c r="N157" t="s">
        <v>57</v>
      </c>
      <c r="O157" t="str">
        <f>INDEX(CoverageTable[Deductible Applies],MATCH(Table1820[[#This Row],[Coverage]],CoverageTable[Coverage],0))</f>
        <v>No</v>
      </c>
      <c r="P157" t="str">
        <f>INDEX(CoverageTable[Coverage Limit Applies],MATCH(Table1820[[#This Row],[Coverage]],CoverageTable[Coverage],0))</f>
        <v>Yes</v>
      </c>
      <c r="Q157" t="s">
        <v>10</v>
      </c>
      <c r="R157" t="s">
        <v>78</v>
      </c>
      <c r="S157" t="s">
        <v>57</v>
      </c>
      <c r="T157" t="s">
        <v>57</v>
      </c>
      <c r="U157" t="s">
        <v>10</v>
      </c>
      <c r="V157" t="s">
        <v>10</v>
      </c>
      <c r="W157" t="s">
        <v>10</v>
      </c>
      <c r="X157" s="11">
        <v>1027.9828414121525</v>
      </c>
      <c r="Y157">
        <f>_xlfn.XLOOKUP(Table1820[[#This Row],[Coverage]],CoverageTable[Coverage],CoverageTable[Base Rate],,0)</f>
        <v>622</v>
      </c>
      <c r="Z157">
        <f>INDEX(Table16[Ageband Factor],MATCH(Table1820[[#This Row],[Ageband]],Table16[Ageband],0))</f>
        <v>1.32</v>
      </c>
      <c r="AA157">
        <f>VLOOKUP(Table1820[[#This Row],[Years Driving]],Table1[],2)</f>
        <v>1.07</v>
      </c>
      <c r="AB157">
        <f>_xlfn.XLOOKUP(Table1820[[#This Row],[At Fault Accidents]],Table2[At Fault Accidents],Table2[At Fault Accident Factor],,0)</f>
        <v>1</v>
      </c>
      <c r="AC157">
        <f>_xlfn.XLOOKUP(Table1820[[#This Row],[Usage-Based Insurance]],Table3[Usage-Based Insurance],Table3[Usage-Based Insurance Discount],,0)</f>
        <v>0.8</v>
      </c>
      <c r="AD157">
        <f>_xlfn.XLOOKUP(Table1820[[#This Row],[Yearly Miles]],Table4[Yearly Miles],Table4[Yearly Miles Factor],,0)</f>
        <v>0.82</v>
      </c>
      <c r="AE157">
        <f>_xlfn.XLOOKUP(Table1820[[#This Row],[City/Zip Code]],Table5[City/Zip Code],Table5[City/Zip Code Factor],,0)</f>
        <v>1.1499999999999999</v>
      </c>
      <c r="AF157">
        <f>_xlfn.XLOOKUP(Table1820[[#This Row],[Vehicle Price]],Table6[Vehicle Price],Table6[Vehicle Price Factor])</f>
        <v>2.87</v>
      </c>
      <c r="AG157">
        <f>_xlfn.XLOOKUP(Table1820[[#This Row],[Exotic Car]],Table7[Exotic Car],Table7[Exotic Car Factor],,0)</f>
        <v>1</v>
      </c>
      <c r="AH157">
        <f>_xlfn.XLOOKUP(Table1820[[#This Row],[Difficult Parts]],Table8[Difficult Parts],Table8[Difficult Parts Factor],,0)</f>
        <v>1</v>
      </c>
      <c r="AI157">
        <f>_xlfn.XLOOKUP(Table1820[[#This Row],[High Theft Rate]],Table9[High Theft Rate],Table9[High Theft Rate Factor],,0)</f>
        <v>1.1599999999999999</v>
      </c>
      <c r="AJ157">
        <f>_xlfn.XLOOKUP(Table1820[[#This Row],[Advanced Safety Features]],Table10[Advanced Safety Features],Table10[Advanced Safety Features Factor],,0)</f>
        <v>0.88</v>
      </c>
      <c r="AK157">
        <f>_xlfn.XLOOKUP(Table1820[[#This Row],[Deductible]],Table12[Deductible],Table12[Deductible Factor],,0)</f>
        <v>1</v>
      </c>
      <c r="AL157">
        <f>_xlfn.XLOOKUP(Table1820[[#This Row],[Coverage Limit]],Table13[Coverage Limit],Table13[Coverage Limit Factor],,0)</f>
        <v>0.61</v>
      </c>
      <c r="AM157">
        <f>IF(Table1820[[#This Row],[Good Student Discount]]="Yes",'Rate Book'!$D$126,1)</f>
        <v>0.92</v>
      </c>
      <c r="AN157">
        <f>IF(Table1820[[#This Row],[Good Driver Discount]]="Yes",'Rate Book'!$D$127,1)</f>
        <v>0.89</v>
      </c>
      <c r="AO157">
        <f>IF(Table1820[[#This Row],[Multi Policy Discount]]="Yes",'Rate Book'!$D$128,1)</f>
        <v>1</v>
      </c>
      <c r="AP157">
        <f>IF(Table1820[[#This Row],[Loyal Customer Discount]]="Yes",'Rate Book'!$D$129,1)</f>
        <v>1</v>
      </c>
      <c r="AQ157">
        <f>IF(Table1820[[#This Row],[Organization Discount]]="Yes",'Rate Book'!$D$130,1)</f>
        <v>1</v>
      </c>
      <c r="AR157" cm="1">
        <f t="array" ref="AR157">IF(Table1820[[#This Row],[Effective Date]]&gt;=RateChangeTable[Effective Date],RateChangeTable[Rate Change Factor],1)</f>
        <v>1.06</v>
      </c>
      <c r="AS157" s="10">
        <f>PRODUCT(Table1820[[#This Row],[Base Rate]:[Rate Change Factor]])</f>
        <v>1027.9828414121525</v>
      </c>
      <c r="AT157" s="9">
        <f>Table1820[[#This Row],[System-Generated Premium]]-Table1820[[#This Row],[Expected Premium]]</f>
        <v>0</v>
      </c>
      <c r="AU157" t="str">
        <f>IF(Table1820[[#This Row],[Difference]]=0,"PASS","FAIL")</f>
        <v>PASS</v>
      </c>
      <c r="AV157" s="9">
        <f>ABS(Table1820[[#This Row],[Difference]])</f>
        <v>0</v>
      </c>
      <c r="AW157" s="9" t="s">
        <v>1136</v>
      </c>
    </row>
    <row r="158" spans="1:49" x14ac:dyDescent="0.3">
      <c r="A158" t="s">
        <v>249</v>
      </c>
      <c r="B158" s="7">
        <v>45881</v>
      </c>
      <c r="C158" t="s">
        <v>70</v>
      </c>
      <c r="D158" t="s">
        <v>1101</v>
      </c>
      <c r="E158" s="3">
        <v>5</v>
      </c>
      <c r="F158" s="3">
        <v>1</v>
      </c>
      <c r="G158" t="s">
        <v>10</v>
      </c>
      <c r="H158" t="s">
        <v>1109</v>
      </c>
      <c r="I158" t="s">
        <v>30</v>
      </c>
      <c r="J158" t="s">
        <v>52</v>
      </c>
      <c r="K158" t="s">
        <v>10</v>
      </c>
      <c r="L158" t="s">
        <v>10</v>
      </c>
      <c r="M158" t="s">
        <v>10</v>
      </c>
      <c r="N158" t="s">
        <v>10</v>
      </c>
      <c r="O158" t="str">
        <f>INDEX(CoverageTable[Deductible Applies],MATCH(Table1820[[#This Row],[Coverage]],CoverageTable[Coverage],0))</f>
        <v>No</v>
      </c>
      <c r="P158" t="str">
        <f>INDEX(CoverageTable[Coverage Limit Applies],MATCH(Table1820[[#This Row],[Coverage]],CoverageTable[Coverage],0))</f>
        <v>Yes</v>
      </c>
      <c r="Q158" t="s">
        <v>10</v>
      </c>
      <c r="R158" t="s">
        <v>78</v>
      </c>
      <c r="S158" t="s">
        <v>10</v>
      </c>
      <c r="T158" t="s">
        <v>57</v>
      </c>
      <c r="U158" t="s">
        <v>57</v>
      </c>
      <c r="V158" t="s">
        <v>10</v>
      </c>
      <c r="W158" t="s">
        <v>57</v>
      </c>
      <c r="X158" s="11">
        <v>924.38595738568131</v>
      </c>
      <c r="Y158">
        <f>_xlfn.XLOOKUP(Table1820[[#This Row],[Coverage]],CoverageTable[Coverage],CoverageTable[Base Rate],,0)</f>
        <v>622</v>
      </c>
      <c r="Z158">
        <f>INDEX(Table16[Ageband Factor],MATCH(Table1820[[#This Row],[Ageband]],Table16[Ageband],0))</f>
        <v>1.1200000000000001</v>
      </c>
      <c r="AA158">
        <f>VLOOKUP(Table1820[[#This Row],[Years Driving]],Table1[],2)</f>
        <v>1.07</v>
      </c>
      <c r="AB158">
        <f>_xlfn.XLOOKUP(Table1820[[#This Row],[At Fault Accidents]],Table2[At Fault Accidents],Table2[At Fault Accident Factor],,0)</f>
        <v>1.34</v>
      </c>
      <c r="AC158">
        <f>_xlfn.XLOOKUP(Table1820[[#This Row],[Usage-Based Insurance]],Table3[Usage-Based Insurance],Table3[Usage-Based Insurance Discount],,0)</f>
        <v>1</v>
      </c>
      <c r="AD158">
        <f>_xlfn.XLOOKUP(Table1820[[#This Row],[Yearly Miles]],Table4[Yearly Miles],Table4[Yearly Miles Factor],,0)</f>
        <v>1.18</v>
      </c>
      <c r="AE158">
        <f>_xlfn.XLOOKUP(Table1820[[#This Row],[City/Zip Code]],Table5[City/Zip Code],Table5[City/Zip Code Factor],,0)</f>
        <v>1.02</v>
      </c>
      <c r="AF158">
        <f>_xlfn.XLOOKUP(Table1820[[#This Row],[Vehicle Price]],Table6[Vehicle Price],Table6[Vehicle Price Factor])</f>
        <v>1.57</v>
      </c>
      <c r="AG158">
        <f>_xlfn.XLOOKUP(Table1820[[#This Row],[Exotic Car]],Table7[Exotic Car],Table7[Exotic Car Factor],,0)</f>
        <v>1</v>
      </c>
      <c r="AH158">
        <f>_xlfn.XLOOKUP(Table1820[[#This Row],[Difficult Parts]],Table8[Difficult Parts],Table8[Difficult Parts Factor],,0)</f>
        <v>1</v>
      </c>
      <c r="AI158">
        <f>_xlfn.XLOOKUP(Table1820[[#This Row],[High Theft Rate]],Table9[High Theft Rate],Table9[High Theft Rate Factor],,0)</f>
        <v>1</v>
      </c>
      <c r="AJ158">
        <f>_xlfn.XLOOKUP(Table1820[[#This Row],[Advanced Safety Features]],Table10[Advanced Safety Features],Table10[Advanced Safety Features Factor],,0)</f>
        <v>1</v>
      </c>
      <c r="AK158">
        <f>_xlfn.XLOOKUP(Table1820[[#This Row],[Deductible]],Table12[Deductible],Table12[Deductible Factor],,0)</f>
        <v>1</v>
      </c>
      <c r="AL158">
        <f>_xlfn.XLOOKUP(Table1820[[#This Row],[Coverage Limit]],Table13[Coverage Limit],Table13[Coverage Limit Factor],,0)</f>
        <v>0.61</v>
      </c>
      <c r="AM158">
        <f>IF(Table1820[[#This Row],[Good Student Discount]]="Yes",'Rate Book'!$D$126,1)</f>
        <v>1</v>
      </c>
      <c r="AN158">
        <f>IF(Table1820[[#This Row],[Good Driver Discount]]="Yes",'Rate Book'!$D$127,1)</f>
        <v>0.89</v>
      </c>
      <c r="AO158">
        <f>IF(Table1820[[#This Row],[Multi Policy Discount]]="Yes",'Rate Book'!$D$128,1)</f>
        <v>0.93</v>
      </c>
      <c r="AP158">
        <f>IF(Table1820[[#This Row],[Loyal Customer Discount]]="Yes",'Rate Book'!$D$129,1)</f>
        <v>1</v>
      </c>
      <c r="AQ158">
        <f>IF(Table1820[[#This Row],[Organization Discount]]="Yes",'Rate Book'!$D$130,1)</f>
        <v>0.97</v>
      </c>
      <c r="AR158" cm="1">
        <f t="array" ref="AR158">IF(Table1820[[#This Row],[Effective Date]]&gt;=RateChangeTable[Effective Date],RateChangeTable[Rate Change Factor],1)</f>
        <v>1</v>
      </c>
      <c r="AS158" s="10">
        <f>PRODUCT(Table1820[[#This Row],[Base Rate]:[Rate Change Factor]])</f>
        <v>924.38595738568131</v>
      </c>
      <c r="AT158" s="9">
        <f>Table1820[[#This Row],[System-Generated Premium]]-Table1820[[#This Row],[Expected Premium]]</f>
        <v>0</v>
      </c>
      <c r="AU158" t="str">
        <f>IF(Table1820[[#This Row],[Difference]]=0,"PASS","FAIL")</f>
        <v>PASS</v>
      </c>
      <c r="AV158" s="9">
        <f>ABS(Table1820[[#This Row],[Difference]])</f>
        <v>0</v>
      </c>
      <c r="AW158" s="9" t="s">
        <v>1136</v>
      </c>
    </row>
    <row r="159" spans="1:49" x14ac:dyDescent="0.3">
      <c r="A159" t="s">
        <v>250</v>
      </c>
      <c r="B159" s="7">
        <v>45991</v>
      </c>
      <c r="C159" t="s">
        <v>71</v>
      </c>
      <c r="D159" t="s">
        <v>1102</v>
      </c>
      <c r="E159" s="3">
        <v>3</v>
      </c>
      <c r="F159" s="3">
        <v>4</v>
      </c>
      <c r="G159" t="s">
        <v>13</v>
      </c>
      <c r="H159" t="s">
        <v>1108</v>
      </c>
      <c r="I159" t="s">
        <v>43</v>
      </c>
      <c r="J159" t="s">
        <v>49</v>
      </c>
      <c r="K159" t="s">
        <v>10</v>
      </c>
      <c r="L159" t="s">
        <v>57</v>
      </c>
      <c r="M159" t="s">
        <v>10</v>
      </c>
      <c r="N159" t="s">
        <v>57</v>
      </c>
      <c r="O159" t="str">
        <f>INDEX(CoverageTable[Deductible Applies],MATCH(Table1820[[#This Row],[Coverage]],CoverageTable[Coverage],0))</f>
        <v>Yes</v>
      </c>
      <c r="P159" t="str">
        <f>INDEX(CoverageTable[Coverage Limit Applies],MATCH(Table1820[[#This Row],[Coverage]],CoverageTable[Coverage],0))</f>
        <v>No</v>
      </c>
      <c r="Q159" t="s">
        <v>80</v>
      </c>
      <c r="R159" t="s">
        <v>10</v>
      </c>
      <c r="S159" t="s">
        <v>10</v>
      </c>
      <c r="T159" t="s">
        <v>10</v>
      </c>
      <c r="U159" t="s">
        <v>10</v>
      </c>
      <c r="V159" t="s">
        <v>10</v>
      </c>
      <c r="W159" t="s">
        <v>57</v>
      </c>
      <c r="X159" s="11">
        <v>823.25994547048026</v>
      </c>
      <c r="Y159">
        <f>_xlfn.XLOOKUP(Table1820[[#This Row],[Coverage]],CoverageTable[Coverage],CoverageTable[Base Rate],,0)</f>
        <v>453</v>
      </c>
      <c r="Z159">
        <f>INDEX(Table16[Ageband Factor],MATCH(Table1820[[#This Row],[Ageband]],Table16[Ageband],0))</f>
        <v>1.27</v>
      </c>
      <c r="AA159">
        <f>VLOOKUP(Table1820[[#This Row],[Years Driving]],Table1[],2)</f>
        <v>1.22</v>
      </c>
      <c r="AB159">
        <f>_xlfn.XLOOKUP(Table1820[[#This Row],[At Fault Accidents]],Table2[At Fault Accidents],Table2[At Fault Accident Factor],,0)</f>
        <v>2.12</v>
      </c>
      <c r="AC159">
        <f>_xlfn.XLOOKUP(Table1820[[#This Row],[Usage-Based Insurance]],Table3[Usage-Based Insurance],Table3[Usage-Based Insurance Discount],,0)</f>
        <v>0.65</v>
      </c>
      <c r="AD159">
        <f>_xlfn.XLOOKUP(Table1820[[#This Row],[Yearly Miles]],Table4[Yearly Miles],Table4[Yearly Miles Factor],,0)</f>
        <v>1</v>
      </c>
      <c r="AE159">
        <f>_xlfn.XLOOKUP(Table1820[[#This Row],[City/Zip Code]],Table5[City/Zip Code],Table5[City/Zip Code Factor],,0)</f>
        <v>1.18</v>
      </c>
      <c r="AF159">
        <f>_xlfn.XLOOKUP(Table1820[[#This Row],[Vehicle Price]],Table6[Vehicle Price],Table6[Vehicle Price Factor])</f>
        <v>0.97</v>
      </c>
      <c r="AG159">
        <f>_xlfn.XLOOKUP(Table1820[[#This Row],[Exotic Car]],Table7[Exotic Car],Table7[Exotic Car Factor],,0)</f>
        <v>1</v>
      </c>
      <c r="AH159">
        <f>_xlfn.XLOOKUP(Table1820[[#This Row],[Difficult Parts]],Table8[Difficult Parts],Table8[Difficult Parts Factor],,0)</f>
        <v>1.21</v>
      </c>
      <c r="AI159">
        <f>_xlfn.XLOOKUP(Table1820[[#This Row],[High Theft Rate]],Table9[High Theft Rate],Table9[High Theft Rate Factor],,0)</f>
        <v>1</v>
      </c>
      <c r="AJ159">
        <f>_xlfn.XLOOKUP(Table1820[[#This Row],[Advanced Safety Features]],Table10[Advanced Safety Features],Table10[Advanced Safety Features Factor],,0)</f>
        <v>0.88</v>
      </c>
      <c r="AK159">
        <f>_xlfn.XLOOKUP(Table1820[[#This Row],[Deductible]],Table12[Deductible],Table12[Deductible Factor],,0)</f>
        <v>0.72</v>
      </c>
      <c r="AL159">
        <f>_xlfn.XLOOKUP(Table1820[[#This Row],[Coverage Limit]],Table13[Coverage Limit],Table13[Coverage Limit Factor],,0)</f>
        <v>1</v>
      </c>
      <c r="AM159">
        <f>IF(Table1820[[#This Row],[Good Student Discount]]="Yes",'Rate Book'!$D$126,1)</f>
        <v>1</v>
      </c>
      <c r="AN159">
        <f>IF(Table1820[[#This Row],[Good Driver Discount]]="Yes",'Rate Book'!$D$127,1)</f>
        <v>1</v>
      </c>
      <c r="AO159">
        <f>IF(Table1820[[#This Row],[Multi Policy Discount]]="Yes",'Rate Book'!$D$128,1)</f>
        <v>1</v>
      </c>
      <c r="AP159">
        <f>IF(Table1820[[#This Row],[Loyal Customer Discount]]="Yes",'Rate Book'!$D$129,1)</f>
        <v>1</v>
      </c>
      <c r="AQ159">
        <f>IF(Table1820[[#This Row],[Organization Discount]]="Yes",'Rate Book'!$D$130,1)</f>
        <v>0.97</v>
      </c>
      <c r="AR159" cm="1">
        <f t="array" ref="AR159">IF(Table1820[[#This Row],[Effective Date]]&gt;=RateChangeTable[Effective Date],RateChangeTable[Rate Change Factor],1)</f>
        <v>1</v>
      </c>
      <c r="AS159" s="10">
        <f>PRODUCT(Table1820[[#This Row],[Base Rate]:[Rate Change Factor]])</f>
        <v>823.25994547048026</v>
      </c>
      <c r="AT159" s="9">
        <f>Table1820[[#This Row],[System-Generated Premium]]-Table1820[[#This Row],[Expected Premium]]</f>
        <v>0</v>
      </c>
      <c r="AU159" t="str">
        <f>IF(Table1820[[#This Row],[Difference]]=0,"PASS","FAIL")</f>
        <v>PASS</v>
      </c>
      <c r="AV159" s="9">
        <f>ABS(Table1820[[#This Row],[Difference]])</f>
        <v>0</v>
      </c>
      <c r="AW159" s="9" t="s">
        <v>1136</v>
      </c>
    </row>
    <row r="160" spans="1:49" x14ac:dyDescent="0.3">
      <c r="A160" t="s">
        <v>251</v>
      </c>
      <c r="B160" s="7">
        <v>46077</v>
      </c>
      <c r="C160" t="s">
        <v>74</v>
      </c>
      <c r="D160" t="s">
        <v>1098</v>
      </c>
      <c r="E160" s="3">
        <v>6</v>
      </c>
      <c r="F160" s="3">
        <v>2</v>
      </c>
      <c r="G160" t="s">
        <v>10</v>
      </c>
      <c r="H160" t="s">
        <v>1108</v>
      </c>
      <c r="I160" t="s">
        <v>21</v>
      </c>
      <c r="J160" t="s">
        <v>53</v>
      </c>
      <c r="K160" t="s">
        <v>10</v>
      </c>
      <c r="L160" t="s">
        <v>10</v>
      </c>
      <c r="M160" t="s">
        <v>10</v>
      </c>
      <c r="N160" t="s">
        <v>10</v>
      </c>
      <c r="O160" t="str">
        <f>INDEX(CoverageTable[Deductible Applies],MATCH(Table1820[[#This Row],[Coverage]],CoverageTable[Coverage],0))</f>
        <v>No</v>
      </c>
      <c r="P160" t="str">
        <f>INDEX(CoverageTable[Coverage Limit Applies],MATCH(Table1820[[#This Row],[Coverage]],CoverageTable[Coverage],0))</f>
        <v>Yes</v>
      </c>
      <c r="Q160" t="s">
        <v>10</v>
      </c>
      <c r="R160" t="s">
        <v>79</v>
      </c>
      <c r="S160" t="s">
        <v>10</v>
      </c>
      <c r="T160" t="s">
        <v>10</v>
      </c>
      <c r="U160" t="s">
        <v>10</v>
      </c>
      <c r="V160" t="s">
        <v>57</v>
      </c>
      <c r="W160" t="s">
        <v>10</v>
      </c>
      <c r="X160" s="11">
        <v>142.72787379392639</v>
      </c>
      <c r="Y160">
        <f>_xlfn.XLOOKUP(Table1820[[#This Row],[Coverage]],CoverageTable[Coverage],CoverageTable[Base Rate],,0)</f>
        <v>41</v>
      </c>
      <c r="Z160">
        <f>INDEX(Table16[Ageband Factor],MATCH(Table1820[[#This Row],[Ageband]],Table16[Ageband],0))</f>
        <v>1.23</v>
      </c>
      <c r="AA160">
        <f>VLOOKUP(Table1820[[#This Row],[Years Driving]],Table1[],2)</f>
        <v>1</v>
      </c>
      <c r="AB160">
        <f>_xlfn.XLOOKUP(Table1820[[#This Row],[At Fault Accidents]],Table2[At Fault Accidents],Table2[At Fault Accident Factor],,0)</f>
        <v>1.55</v>
      </c>
      <c r="AC160">
        <f>_xlfn.XLOOKUP(Table1820[[#This Row],[Usage-Based Insurance]],Table3[Usage-Based Insurance],Table3[Usage-Based Insurance Discount],,0)</f>
        <v>1</v>
      </c>
      <c r="AD160">
        <f>_xlfn.XLOOKUP(Table1820[[#This Row],[Yearly Miles]],Table4[Yearly Miles],Table4[Yearly Miles Factor],,0)</f>
        <v>1</v>
      </c>
      <c r="AE160">
        <f>_xlfn.XLOOKUP(Table1820[[#This Row],[City/Zip Code]],Table5[City/Zip Code],Table5[City/Zip Code Factor],,0)</f>
        <v>1.26</v>
      </c>
      <c r="AF160">
        <f>_xlfn.XLOOKUP(Table1820[[#This Row],[Vehicle Price]],Table6[Vehicle Price],Table6[Vehicle Price Factor])</f>
        <v>2.02</v>
      </c>
      <c r="AG160">
        <f>_xlfn.XLOOKUP(Table1820[[#This Row],[Exotic Car]],Table7[Exotic Car],Table7[Exotic Car Factor],,0)</f>
        <v>1</v>
      </c>
      <c r="AH160">
        <f>_xlfn.XLOOKUP(Table1820[[#This Row],[Difficult Parts]],Table8[Difficult Parts],Table8[Difficult Parts Factor],,0)</f>
        <v>1</v>
      </c>
      <c r="AI160">
        <f>_xlfn.XLOOKUP(Table1820[[#This Row],[High Theft Rate]],Table9[High Theft Rate],Table9[High Theft Rate Factor],,0)</f>
        <v>1</v>
      </c>
      <c r="AJ160">
        <f>_xlfn.XLOOKUP(Table1820[[#This Row],[Advanced Safety Features]],Table10[Advanced Safety Features],Table10[Advanced Safety Features Factor],,0)</f>
        <v>1</v>
      </c>
      <c r="AK160">
        <f>_xlfn.XLOOKUP(Table1820[[#This Row],[Deductible]],Table12[Deductible],Table12[Deductible Factor],,0)</f>
        <v>1</v>
      </c>
      <c r="AL160">
        <f>_xlfn.XLOOKUP(Table1820[[#This Row],[Coverage Limit]],Table13[Coverage Limit],Table13[Coverage Limit Factor],,0)</f>
        <v>0.72</v>
      </c>
      <c r="AM160">
        <f>IF(Table1820[[#This Row],[Good Student Discount]]="Yes",'Rate Book'!$D$126,1)</f>
        <v>1</v>
      </c>
      <c r="AN160">
        <f>IF(Table1820[[#This Row],[Good Driver Discount]]="Yes",'Rate Book'!$D$127,1)</f>
        <v>1</v>
      </c>
      <c r="AO160">
        <f>IF(Table1820[[#This Row],[Multi Policy Discount]]="Yes",'Rate Book'!$D$128,1)</f>
        <v>1</v>
      </c>
      <c r="AP160">
        <f>IF(Table1820[[#This Row],[Loyal Customer Discount]]="Yes",'Rate Book'!$D$129,1)</f>
        <v>0.94</v>
      </c>
      <c r="AQ160">
        <f>IF(Table1820[[#This Row],[Organization Discount]]="Yes",'Rate Book'!$D$130,1)</f>
        <v>1</v>
      </c>
      <c r="AR160" cm="1">
        <f t="array" ref="AR160">IF(Table1820[[#This Row],[Effective Date]]&gt;=RateChangeTable[Effective Date],RateChangeTable[Rate Change Factor],1)</f>
        <v>1.06</v>
      </c>
      <c r="AS160" s="10">
        <f>PRODUCT(Table1820[[#This Row],[Base Rate]:[Rate Change Factor]])</f>
        <v>142.72787379392639</v>
      </c>
      <c r="AT160" s="9">
        <f>Table1820[[#This Row],[System-Generated Premium]]-Table1820[[#This Row],[Expected Premium]]</f>
        <v>0</v>
      </c>
      <c r="AU160" t="str">
        <f>IF(Table1820[[#This Row],[Difference]]=0,"PASS","FAIL")</f>
        <v>PASS</v>
      </c>
      <c r="AV160" s="9">
        <f>ABS(Table1820[[#This Row],[Difference]])</f>
        <v>0</v>
      </c>
      <c r="AW160" s="9" t="s">
        <v>1136</v>
      </c>
    </row>
    <row r="161" spans="1:49" x14ac:dyDescent="0.3">
      <c r="A161" t="s">
        <v>252</v>
      </c>
      <c r="B161" s="7">
        <v>46114</v>
      </c>
      <c r="C161" t="s">
        <v>71</v>
      </c>
      <c r="D161" t="s">
        <v>1098</v>
      </c>
      <c r="E161" s="3">
        <v>1</v>
      </c>
      <c r="F161" s="3">
        <v>2</v>
      </c>
      <c r="G161" t="s">
        <v>13</v>
      </c>
      <c r="H161" t="s">
        <v>1109</v>
      </c>
      <c r="I161" t="s">
        <v>35</v>
      </c>
      <c r="J161" t="s">
        <v>54</v>
      </c>
      <c r="K161" t="s">
        <v>10</v>
      </c>
      <c r="L161" t="s">
        <v>10</v>
      </c>
      <c r="M161" t="s">
        <v>10</v>
      </c>
      <c r="N161" t="s">
        <v>10</v>
      </c>
      <c r="O161" t="str">
        <f>INDEX(CoverageTable[Deductible Applies],MATCH(Table1820[[#This Row],[Coverage]],CoverageTable[Coverage],0))</f>
        <v>Yes</v>
      </c>
      <c r="P161" t="str">
        <f>INDEX(CoverageTable[Coverage Limit Applies],MATCH(Table1820[[#This Row],[Coverage]],CoverageTable[Coverage],0))</f>
        <v>No</v>
      </c>
      <c r="Q161" t="s">
        <v>80</v>
      </c>
      <c r="R161" t="s">
        <v>10</v>
      </c>
      <c r="S161" t="s">
        <v>10</v>
      </c>
      <c r="T161" t="s">
        <v>57</v>
      </c>
      <c r="U161" t="s">
        <v>57</v>
      </c>
      <c r="V161" t="s">
        <v>10</v>
      </c>
      <c r="W161" t="s">
        <v>10</v>
      </c>
      <c r="X161" s="11">
        <v>2205.8981675356772</v>
      </c>
      <c r="Y161">
        <f>_xlfn.XLOOKUP(Table1820[[#This Row],[Coverage]],CoverageTable[Coverage],CoverageTable[Base Rate],,0)</f>
        <v>453</v>
      </c>
      <c r="Z161">
        <f>INDEX(Table16[Ageband Factor],MATCH(Table1820[[#This Row],[Ageband]],Table16[Ageband],0))</f>
        <v>1.23</v>
      </c>
      <c r="AA161">
        <f>VLOOKUP(Table1820[[#This Row],[Years Driving]],Table1[],2)</f>
        <v>1.64</v>
      </c>
      <c r="AB161">
        <f>_xlfn.XLOOKUP(Table1820[[#This Row],[At Fault Accidents]],Table2[At Fault Accidents],Table2[At Fault Accident Factor],,0)</f>
        <v>1.55</v>
      </c>
      <c r="AC161">
        <f>_xlfn.XLOOKUP(Table1820[[#This Row],[Usage-Based Insurance]],Table3[Usage-Based Insurance],Table3[Usage-Based Insurance Discount],,0)</f>
        <v>0.65</v>
      </c>
      <c r="AD161">
        <f>_xlfn.XLOOKUP(Table1820[[#This Row],[Yearly Miles]],Table4[Yearly Miles],Table4[Yearly Miles Factor],,0)</f>
        <v>1.18</v>
      </c>
      <c r="AE161">
        <f>_xlfn.XLOOKUP(Table1820[[#This Row],[City/Zip Code]],Table5[City/Zip Code],Table5[City/Zip Code Factor],,0)</f>
        <v>1.1200000000000001</v>
      </c>
      <c r="AF161">
        <f>_xlfn.XLOOKUP(Table1820[[#This Row],[Vehicle Price]],Table6[Vehicle Price],Table6[Vehicle Price Factor])</f>
        <v>2.87</v>
      </c>
      <c r="AG161">
        <f>_xlfn.XLOOKUP(Table1820[[#This Row],[Exotic Car]],Table7[Exotic Car],Table7[Exotic Car Factor],,0)</f>
        <v>1</v>
      </c>
      <c r="AH161">
        <f>_xlfn.XLOOKUP(Table1820[[#This Row],[Difficult Parts]],Table8[Difficult Parts],Table8[Difficult Parts Factor],,0)</f>
        <v>1</v>
      </c>
      <c r="AI161">
        <f>_xlfn.XLOOKUP(Table1820[[#This Row],[High Theft Rate]],Table9[High Theft Rate],Table9[High Theft Rate Factor],,0)</f>
        <v>1</v>
      </c>
      <c r="AJ161">
        <f>_xlfn.XLOOKUP(Table1820[[#This Row],[Advanced Safety Features]],Table10[Advanced Safety Features],Table10[Advanced Safety Features Factor],,0)</f>
        <v>1</v>
      </c>
      <c r="AK161">
        <f>_xlfn.XLOOKUP(Table1820[[#This Row],[Deductible]],Table12[Deductible],Table12[Deductible Factor],,0)</f>
        <v>0.72</v>
      </c>
      <c r="AL161">
        <f>_xlfn.XLOOKUP(Table1820[[#This Row],[Coverage Limit]],Table13[Coverage Limit],Table13[Coverage Limit Factor],,0)</f>
        <v>1</v>
      </c>
      <c r="AM161">
        <f>IF(Table1820[[#This Row],[Good Student Discount]]="Yes",'Rate Book'!$D$126,1)</f>
        <v>1</v>
      </c>
      <c r="AN161">
        <f>IF(Table1820[[#This Row],[Good Driver Discount]]="Yes",'Rate Book'!$D$127,1)</f>
        <v>0.89</v>
      </c>
      <c r="AO161">
        <f>IF(Table1820[[#This Row],[Multi Policy Discount]]="Yes",'Rate Book'!$D$128,1)</f>
        <v>0.93</v>
      </c>
      <c r="AP161">
        <f>IF(Table1820[[#This Row],[Loyal Customer Discount]]="Yes",'Rate Book'!$D$129,1)</f>
        <v>1</v>
      </c>
      <c r="AQ161">
        <f>IF(Table1820[[#This Row],[Organization Discount]]="Yes",'Rate Book'!$D$130,1)</f>
        <v>1</v>
      </c>
      <c r="AR161" cm="1">
        <f t="array" ref="AR161">IF(Table1820[[#This Row],[Effective Date]]&gt;=RateChangeTable[Effective Date],RateChangeTable[Rate Change Factor],1)</f>
        <v>1.06</v>
      </c>
      <c r="AS161" s="10">
        <f>PRODUCT(Table1820[[#This Row],[Base Rate]:[Rate Change Factor]])</f>
        <v>2205.8981675356772</v>
      </c>
      <c r="AT161" s="9">
        <f>Table1820[[#This Row],[System-Generated Premium]]-Table1820[[#This Row],[Expected Premium]]</f>
        <v>0</v>
      </c>
      <c r="AU161" t="str">
        <f>IF(Table1820[[#This Row],[Difference]]=0,"PASS","FAIL")</f>
        <v>PASS</v>
      </c>
      <c r="AV161" s="9">
        <f>ABS(Table1820[[#This Row],[Difference]])</f>
        <v>0</v>
      </c>
      <c r="AW161" s="9" t="s">
        <v>1136</v>
      </c>
    </row>
    <row r="162" spans="1:49" x14ac:dyDescent="0.3">
      <c r="A162" t="s">
        <v>253</v>
      </c>
      <c r="B162" s="7">
        <v>45937</v>
      </c>
      <c r="C162" t="s">
        <v>70</v>
      </c>
      <c r="D162" t="s">
        <v>1099</v>
      </c>
      <c r="E162" s="3">
        <v>2</v>
      </c>
      <c r="F162" s="3">
        <v>4</v>
      </c>
      <c r="G162" t="s">
        <v>11</v>
      </c>
      <c r="H162" t="s">
        <v>1109</v>
      </c>
      <c r="I162" t="s">
        <v>28</v>
      </c>
      <c r="J162" t="s">
        <v>53</v>
      </c>
      <c r="K162" t="s">
        <v>10</v>
      </c>
      <c r="L162" t="s">
        <v>10</v>
      </c>
      <c r="M162" t="s">
        <v>10</v>
      </c>
      <c r="N162" t="s">
        <v>10</v>
      </c>
      <c r="O162" t="str">
        <f>INDEX(CoverageTable[Deductible Applies],MATCH(Table1820[[#This Row],[Coverage]],CoverageTable[Coverage],0))</f>
        <v>No</v>
      </c>
      <c r="P162" t="str">
        <f>INDEX(CoverageTable[Coverage Limit Applies],MATCH(Table1820[[#This Row],[Coverage]],CoverageTable[Coverage],0))</f>
        <v>Yes</v>
      </c>
      <c r="Q162" t="s">
        <v>10</v>
      </c>
      <c r="R162" t="s">
        <v>80</v>
      </c>
      <c r="S162" t="s">
        <v>57</v>
      </c>
      <c r="T162" t="s">
        <v>10</v>
      </c>
      <c r="U162" t="s">
        <v>57</v>
      </c>
      <c r="V162" t="s">
        <v>10</v>
      </c>
      <c r="W162" t="s">
        <v>57</v>
      </c>
      <c r="X162" s="11">
        <v>2788.3529235980168</v>
      </c>
      <c r="Y162">
        <f>_xlfn.XLOOKUP(Table1820[[#This Row],[Coverage]],CoverageTable[Coverage],CoverageTable[Base Rate],,0)</f>
        <v>622</v>
      </c>
      <c r="Z162">
        <f>INDEX(Table16[Ageband Factor],MATCH(Table1820[[#This Row],[Ageband]],Table16[Ageband],0))</f>
        <v>1</v>
      </c>
      <c r="AA162">
        <f>VLOOKUP(Table1820[[#This Row],[Years Driving]],Table1[],2)</f>
        <v>1.41</v>
      </c>
      <c r="AB162">
        <f>_xlfn.XLOOKUP(Table1820[[#This Row],[At Fault Accidents]],Table2[At Fault Accidents],Table2[At Fault Accident Factor],,0)</f>
        <v>2.12</v>
      </c>
      <c r="AC162">
        <f>_xlfn.XLOOKUP(Table1820[[#This Row],[Usage-Based Insurance]],Table3[Usage-Based Insurance],Table3[Usage-Based Insurance Discount],,0)</f>
        <v>0.95</v>
      </c>
      <c r="AD162">
        <f>_xlfn.XLOOKUP(Table1820[[#This Row],[Yearly Miles]],Table4[Yearly Miles],Table4[Yearly Miles Factor],,0)</f>
        <v>1.18</v>
      </c>
      <c r="AE162">
        <f>_xlfn.XLOOKUP(Table1820[[#This Row],[City/Zip Code]],Table5[City/Zip Code],Table5[City/Zip Code Factor],,0)</f>
        <v>0.95</v>
      </c>
      <c r="AF162">
        <f>_xlfn.XLOOKUP(Table1820[[#This Row],[Vehicle Price]],Table6[Vehicle Price],Table6[Vehicle Price Factor])</f>
        <v>2.02</v>
      </c>
      <c r="AG162">
        <f>_xlfn.XLOOKUP(Table1820[[#This Row],[Exotic Car]],Table7[Exotic Car],Table7[Exotic Car Factor],,0)</f>
        <v>1</v>
      </c>
      <c r="AH162">
        <f>_xlfn.XLOOKUP(Table1820[[#This Row],[Difficult Parts]],Table8[Difficult Parts],Table8[Difficult Parts Factor],,0)</f>
        <v>1</v>
      </c>
      <c r="AI162">
        <f>_xlfn.XLOOKUP(Table1820[[#This Row],[High Theft Rate]],Table9[High Theft Rate],Table9[High Theft Rate Factor],,0)</f>
        <v>1</v>
      </c>
      <c r="AJ162">
        <f>_xlfn.XLOOKUP(Table1820[[#This Row],[Advanced Safety Features]],Table10[Advanced Safety Features],Table10[Advanced Safety Features Factor],,0)</f>
        <v>1</v>
      </c>
      <c r="AK162">
        <f>_xlfn.XLOOKUP(Table1820[[#This Row],[Deductible]],Table12[Deductible],Table12[Deductible Factor],,0)</f>
        <v>1</v>
      </c>
      <c r="AL162">
        <f>_xlfn.XLOOKUP(Table1820[[#This Row],[Coverage Limit]],Table13[Coverage Limit],Table13[Coverage Limit Factor],,0)</f>
        <v>0.84</v>
      </c>
      <c r="AM162">
        <f>IF(Table1820[[#This Row],[Good Student Discount]]="Yes",'Rate Book'!$D$126,1)</f>
        <v>0.92</v>
      </c>
      <c r="AN162">
        <f>IF(Table1820[[#This Row],[Good Driver Discount]]="Yes",'Rate Book'!$D$127,1)</f>
        <v>1</v>
      </c>
      <c r="AO162">
        <f>IF(Table1820[[#This Row],[Multi Policy Discount]]="Yes",'Rate Book'!$D$128,1)</f>
        <v>0.93</v>
      </c>
      <c r="AP162">
        <f>IF(Table1820[[#This Row],[Loyal Customer Discount]]="Yes",'Rate Book'!$D$129,1)</f>
        <v>1</v>
      </c>
      <c r="AQ162">
        <f>IF(Table1820[[#This Row],[Organization Discount]]="Yes",'Rate Book'!$D$130,1)</f>
        <v>0.97</v>
      </c>
      <c r="AR162" cm="1">
        <f t="array" ref="AR162">IF(Table1820[[#This Row],[Effective Date]]&gt;=RateChangeTable[Effective Date],RateChangeTable[Rate Change Factor],1)</f>
        <v>1</v>
      </c>
      <c r="AS162" s="10">
        <f>PRODUCT(Table1820[[#This Row],[Base Rate]:[Rate Change Factor]])</f>
        <v>2788.3529235980168</v>
      </c>
      <c r="AT162" s="9">
        <f>Table1820[[#This Row],[System-Generated Premium]]-Table1820[[#This Row],[Expected Premium]]</f>
        <v>0</v>
      </c>
      <c r="AU162" t="str">
        <f>IF(Table1820[[#This Row],[Difference]]=0,"PASS","FAIL")</f>
        <v>PASS</v>
      </c>
      <c r="AV162" s="9">
        <f>ABS(Table1820[[#This Row],[Difference]])</f>
        <v>0</v>
      </c>
      <c r="AW162" s="9" t="s">
        <v>1136</v>
      </c>
    </row>
    <row r="163" spans="1:49" x14ac:dyDescent="0.3">
      <c r="A163" t="s">
        <v>254</v>
      </c>
      <c r="B163" s="7">
        <v>46130</v>
      </c>
      <c r="C163" t="s">
        <v>70</v>
      </c>
      <c r="D163" t="s">
        <v>1102</v>
      </c>
      <c r="E163" s="3">
        <v>3</v>
      </c>
      <c r="F163" s="3">
        <v>0</v>
      </c>
      <c r="G163" t="s">
        <v>13</v>
      </c>
      <c r="H163" t="s">
        <v>1110</v>
      </c>
      <c r="I163" t="s">
        <v>27</v>
      </c>
      <c r="J163" t="s">
        <v>54</v>
      </c>
      <c r="K163" t="s">
        <v>10</v>
      </c>
      <c r="L163" t="s">
        <v>10</v>
      </c>
      <c r="M163" t="s">
        <v>10</v>
      </c>
      <c r="N163" t="s">
        <v>57</v>
      </c>
      <c r="O163" t="str">
        <f>INDEX(CoverageTable[Deductible Applies],MATCH(Table1820[[#This Row],[Coverage]],CoverageTable[Coverage],0))</f>
        <v>No</v>
      </c>
      <c r="P163" t="str">
        <f>INDEX(CoverageTable[Coverage Limit Applies],MATCH(Table1820[[#This Row],[Coverage]],CoverageTable[Coverage],0))</f>
        <v>Yes</v>
      </c>
      <c r="Q163" t="s">
        <v>10</v>
      </c>
      <c r="R163" t="s">
        <v>80</v>
      </c>
      <c r="S163" t="s">
        <v>10</v>
      </c>
      <c r="T163" t="s">
        <v>57</v>
      </c>
      <c r="U163" t="s">
        <v>10</v>
      </c>
      <c r="V163" t="s">
        <v>10</v>
      </c>
      <c r="W163" t="s">
        <v>10</v>
      </c>
      <c r="X163" s="11">
        <v>1543.8537928365206</v>
      </c>
      <c r="Y163">
        <f>_xlfn.XLOOKUP(Table1820[[#This Row],[Coverage]],CoverageTable[Coverage],CoverageTable[Base Rate],,0)</f>
        <v>622</v>
      </c>
      <c r="Z163">
        <f>INDEX(Table16[Ageband Factor],MATCH(Table1820[[#This Row],[Ageband]],Table16[Ageband],0))</f>
        <v>1.27</v>
      </c>
      <c r="AA163">
        <f>VLOOKUP(Table1820[[#This Row],[Years Driving]],Table1[],2)</f>
        <v>1.22</v>
      </c>
      <c r="AB163">
        <f>_xlfn.XLOOKUP(Table1820[[#This Row],[At Fault Accidents]],Table2[At Fault Accidents],Table2[At Fault Accident Factor],,0)</f>
        <v>1</v>
      </c>
      <c r="AC163">
        <f>_xlfn.XLOOKUP(Table1820[[#This Row],[Usage-Based Insurance]],Table3[Usage-Based Insurance],Table3[Usage-Based Insurance Discount],,0)</f>
        <v>0.65</v>
      </c>
      <c r="AD163">
        <f>_xlfn.XLOOKUP(Table1820[[#This Row],[Yearly Miles]],Table4[Yearly Miles],Table4[Yearly Miles Factor],,0)</f>
        <v>1.31</v>
      </c>
      <c r="AE163">
        <f>_xlfn.XLOOKUP(Table1820[[#This Row],[City/Zip Code]],Table5[City/Zip Code],Table5[City/Zip Code Factor],,0)</f>
        <v>0.94</v>
      </c>
      <c r="AF163">
        <f>_xlfn.XLOOKUP(Table1820[[#This Row],[Vehicle Price]],Table6[Vehicle Price],Table6[Vehicle Price Factor])</f>
        <v>2.87</v>
      </c>
      <c r="AG163">
        <f>_xlfn.XLOOKUP(Table1820[[#This Row],[Exotic Car]],Table7[Exotic Car],Table7[Exotic Car Factor],,0)</f>
        <v>1</v>
      </c>
      <c r="AH163">
        <f>_xlfn.XLOOKUP(Table1820[[#This Row],[Difficult Parts]],Table8[Difficult Parts],Table8[Difficult Parts Factor],,0)</f>
        <v>1</v>
      </c>
      <c r="AI163">
        <f>_xlfn.XLOOKUP(Table1820[[#This Row],[High Theft Rate]],Table9[High Theft Rate],Table9[High Theft Rate Factor],,0)</f>
        <v>1</v>
      </c>
      <c r="AJ163">
        <f>_xlfn.XLOOKUP(Table1820[[#This Row],[Advanced Safety Features]],Table10[Advanced Safety Features],Table10[Advanced Safety Features Factor],,0)</f>
        <v>0.88</v>
      </c>
      <c r="AK163">
        <f>_xlfn.XLOOKUP(Table1820[[#This Row],[Deductible]],Table12[Deductible],Table12[Deductible Factor],,0)</f>
        <v>1</v>
      </c>
      <c r="AL163">
        <f>_xlfn.XLOOKUP(Table1820[[#This Row],[Coverage Limit]],Table13[Coverage Limit],Table13[Coverage Limit Factor],,0)</f>
        <v>0.84</v>
      </c>
      <c r="AM163">
        <f>IF(Table1820[[#This Row],[Good Student Discount]]="Yes",'Rate Book'!$D$126,1)</f>
        <v>1</v>
      </c>
      <c r="AN163">
        <f>IF(Table1820[[#This Row],[Good Driver Discount]]="Yes",'Rate Book'!$D$127,1)</f>
        <v>0.89</v>
      </c>
      <c r="AO163">
        <f>IF(Table1820[[#This Row],[Multi Policy Discount]]="Yes",'Rate Book'!$D$128,1)</f>
        <v>1</v>
      </c>
      <c r="AP163">
        <f>IF(Table1820[[#This Row],[Loyal Customer Discount]]="Yes",'Rate Book'!$D$129,1)</f>
        <v>1</v>
      </c>
      <c r="AQ163">
        <f>IF(Table1820[[#This Row],[Organization Discount]]="Yes",'Rate Book'!$D$130,1)</f>
        <v>1</v>
      </c>
      <c r="AR163" cm="1">
        <f t="array" ref="AR163">IF(Table1820[[#This Row],[Effective Date]]&gt;=RateChangeTable[Effective Date],RateChangeTable[Rate Change Factor],1)</f>
        <v>1.06</v>
      </c>
      <c r="AS163" s="10">
        <f>PRODUCT(Table1820[[#This Row],[Base Rate]:[Rate Change Factor]])</f>
        <v>1543.8537928365206</v>
      </c>
      <c r="AT163" s="9">
        <f>Table1820[[#This Row],[System-Generated Premium]]-Table1820[[#This Row],[Expected Premium]]</f>
        <v>0</v>
      </c>
      <c r="AU163" t="str">
        <f>IF(Table1820[[#This Row],[Difference]]=0,"PASS","FAIL")</f>
        <v>PASS</v>
      </c>
      <c r="AV163" s="9">
        <f>ABS(Table1820[[#This Row],[Difference]])</f>
        <v>0</v>
      </c>
      <c r="AW163" s="9" t="s">
        <v>1136</v>
      </c>
    </row>
    <row r="164" spans="1:49" x14ac:dyDescent="0.3">
      <c r="A164" t="s">
        <v>255</v>
      </c>
      <c r="B164" s="7">
        <v>46064</v>
      </c>
      <c r="C164" t="s">
        <v>74</v>
      </c>
      <c r="D164" t="s">
        <v>1102</v>
      </c>
      <c r="E164" s="3" t="s">
        <v>1103</v>
      </c>
      <c r="F164" s="3">
        <v>1</v>
      </c>
      <c r="G164" t="s">
        <v>10</v>
      </c>
      <c r="H164" t="s">
        <v>1109</v>
      </c>
      <c r="I164" t="s">
        <v>34</v>
      </c>
      <c r="J164" t="s">
        <v>51</v>
      </c>
      <c r="K164" t="s">
        <v>10</v>
      </c>
      <c r="L164" t="s">
        <v>10</v>
      </c>
      <c r="M164" t="s">
        <v>57</v>
      </c>
      <c r="N164" t="s">
        <v>57</v>
      </c>
      <c r="O164" t="str">
        <f>INDEX(CoverageTable[Deductible Applies],MATCH(Table1820[[#This Row],[Coverage]],CoverageTable[Coverage],0))</f>
        <v>No</v>
      </c>
      <c r="P164" t="str">
        <f>INDEX(CoverageTable[Coverage Limit Applies],MATCH(Table1820[[#This Row],[Coverage]],CoverageTable[Coverage],0))</f>
        <v>Yes</v>
      </c>
      <c r="Q164" t="s">
        <v>10</v>
      </c>
      <c r="R164" t="s">
        <v>78</v>
      </c>
      <c r="S164" t="s">
        <v>10</v>
      </c>
      <c r="T164" t="s">
        <v>10</v>
      </c>
      <c r="U164" t="s">
        <v>10</v>
      </c>
      <c r="V164" t="s">
        <v>10</v>
      </c>
      <c r="W164" t="s">
        <v>57</v>
      </c>
      <c r="X164" s="11">
        <v>97.890375813438368</v>
      </c>
      <c r="Y164">
        <f>_xlfn.XLOOKUP(Table1820[[#This Row],[Coverage]],CoverageTable[Coverage],CoverageTable[Base Rate],,0)</f>
        <v>41</v>
      </c>
      <c r="Z164">
        <f>INDEX(Table16[Ageband Factor],MATCH(Table1820[[#This Row],[Ageband]],Table16[Ageband],0))</f>
        <v>1.27</v>
      </c>
      <c r="AA164">
        <f>VLOOKUP(Table1820[[#This Row],[Years Driving]],Table1[],2)</f>
        <v>0.93</v>
      </c>
      <c r="AB164">
        <f>_xlfn.XLOOKUP(Table1820[[#This Row],[At Fault Accidents]],Table2[At Fault Accidents],Table2[At Fault Accident Factor],,0)</f>
        <v>1.34</v>
      </c>
      <c r="AC164">
        <f>_xlfn.XLOOKUP(Table1820[[#This Row],[Usage-Based Insurance]],Table3[Usage-Based Insurance],Table3[Usage-Based Insurance Discount],,0)</f>
        <v>1</v>
      </c>
      <c r="AD164">
        <f>_xlfn.XLOOKUP(Table1820[[#This Row],[Yearly Miles]],Table4[Yearly Miles],Table4[Yearly Miles Factor],,0)</f>
        <v>1.18</v>
      </c>
      <c r="AE164">
        <f>_xlfn.XLOOKUP(Table1820[[#This Row],[City/Zip Code]],Table5[City/Zip Code],Table5[City/Zip Code Factor],,0)</f>
        <v>1.56</v>
      </c>
      <c r="AF164">
        <f>_xlfn.XLOOKUP(Table1820[[#This Row],[Vehicle Price]],Table6[Vehicle Price],Table6[Vehicle Price Factor])</f>
        <v>1.28</v>
      </c>
      <c r="AG164">
        <f>_xlfn.XLOOKUP(Table1820[[#This Row],[Exotic Car]],Table7[Exotic Car],Table7[Exotic Car Factor],,0)</f>
        <v>1</v>
      </c>
      <c r="AH164">
        <f>_xlfn.XLOOKUP(Table1820[[#This Row],[Difficult Parts]],Table8[Difficult Parts],Table8[Difficult Parts Factor],,0)</f>
        <v>1</v>
      </c>
      <c r="AI164">
        <f>_xlfn.XLOOKUP(Table1820[[#This Row],[High Theft Rate]],Table9[High Theft Rate],Table9[High Theft Rate Factor],,0)</f>
        <v>1.1599999999999999</v>
      </c>
      <c r="AJ164">
        <f>_xlfn.XLOOKUP(Table1820[[#This Row],[Advanced Safety Features]],Table10[Advanced Safety Features],Table10[Advanced Safety Features Factor],,0)</f>
        <v>0.88</v>
      </c>
      <c r="AK164">
        <f>_xlfn.XLOOKUP(Table1820[[#This Row],[Deductible]],Table12[Deductible],Table12[Deductible Factor],,0)</f>
        <v>1</v>
      </c>
      <c r="AL164">
        <f>_xlfn.XLOOKUP(Table1820[[#This Row],[Coverage Limit]],Table13[Coverage Limit],Table13[Coverage Limit Factor],,0)</f>
        <v>0.61</v>
      </c>
      <c r="AM164">
        <f>IF(Table1820[[#This Row],[Good Student Discount]]="Yes",'Rate Book'!$D$126,1)</f>
        <v>1</v>
      </c>
      <c r="AN164">
        <f>IF(Table1820[[#This Row],[Good Driver Discount]]="Yes",'Rate Book'!$D$127,1)</f>
        <v>1</v>
      </c>
      <c r="AO164">
        <f>IF(Table1820[[#This Row],[Multi Policy Discount]]="Yes",'Rate Book'!$D$128,1)</f>
        <v>1</v>
      </c>
      <c r="AP164">
        <f>IF(Table1820[[#This Row],[Loyal Customer Discount]]="Yes",'Rate Book'!$D$129,1)</f>
        <v>1</v>
      </c>
      <c r="AQ164">
        <f>IF(Table1820[[#This Row],[Organization Discount]]="Yes",'Rate Book'!$D$130,1)</f>
        <v>0.97</v>
      </c>
      <c r="AR164" cm="1">
        <f t="array" ref="AR164">IF(Table1820[[#This Row],[Effective Date]]&gt;=RateChangeTable[Effective Date],RateChangeTable[Rate Change Factor],1)</f>
        <v>1.06</v>
      </c>
      <c r="AS164" s="10">
        <f>PRODUCT(Table1820[[#This Row],[Base Rate]:[Rate Change Factor]])</f>
        <v>97.890375813438368</v>
      </c>
      <c r="AT164" s="9">
        <f>Table1820[[#This Row],[System-Generated Premium]]-Table1820[[#This Row],[Expected Premium]]</f>
        <v>0</v>
      </c>
      <c r="AU164" t="str">
        <f>IF(Table1820[[#This Row],[Difference]]=0,"PASS","FAIL")</f>
        <v>PASS</v>
      </c>
      <c r="AV164" s="9">
        <f>ABS(Table1820[[#This Row],[Difference]])</f>
        <v>0</v>
      </c>
      <c r="AW164" s="9" t="s">
        <v>1136</v>
      </c>
    </row>
    <row r="165" spans="1:49" x14ac:dyDescent="0.3">
      <c r="A165" t="s">
        <v>256</v>
      </c>
      <c r="B165" s="7">
        <v>46026</v>
      </c>
      <c r="C165" t="s">
        <v>71</v>
      </c>
      <c r="D165" t="s">
        <v>1101</v>
      </c>
      <c r="E165" s="3">
        <v>2</v>
      </c>
      <c r="F165" s="3">
        <v>1</v>
      </c>
      <c r="G165" t="s">
        <v>10</v>
      </c>
      <c r="H165" t="s">
        <v>1106</v>
      </c>
      <c r="I165" t="s">
        <v>43</v>
      </c>
      <c r="J165" t="s">
        <v>50</v>
      </c>
      <c r="K165" t="s">
        <v>10</v>
      </c>
      <c r="L165" t="s">
        <v>10</v>
      </c>
      <c r="M165" t="s">
        <v>10</v>
      </c>
      <c r="N165" t="s">
        <v>10</v>
      </c>
      <c r="O165" t="str">
        <f>INDEX(CoverageTable[Deductible Applies],MATCH(Table1820[[#This Row],[Coverage]],CoverageTable[Coverage],0))</f>
        <v>Yes</v>
      </c>
      <c r="P165" t="str">
        <f>INDEX(CoverageTable[Coverage Limit Applies],MATCH(Table1820[[#This Row],[Coverage]],CoverageTable[Coverage],0))</f>
        <v>No</v>
      </c>
      <c r="Q165" t="s">
        <v>80</v>
      </c>
      <c r="R165" t="s">
        <v>10</v>
      </c>
      <c r="S165" t="s">
        <v>10</v>
      </c>
      <c r="T165" t="s">
        <v>10</v>
      </c>
      <c r="U165" t="s">
        <v>10</v>
      </c>
      <c r="V165" t="s">
        <v>57</v>
      </c>
      <c r="W165" t="s">
        <v>10</v>
      </c>
      <c r="X165" s="11">
        <v>718.66412554191243</v>
      </c>
      <c r="Y165">
        <f>_xlfn.XLOOKUP(Table1820[[#This Row],[Coverage]],CoverageTable[Coverage],CoverageTable[Base Rate],,0)</f>
        <v>453</v>
      </c>
      <c r="Z165">
        <f>INDEX(Table16[Ageband Factor],MATCH(Table1820[[#This Row],[Ageband]],Table16[Ageband],0))</f>
        <v>1.1200000000000001</v>
      </c>
      <c r="AA165">
        <f>VLOOKUP(Table1820[[#This Row],[Years Driving]],Table1[],2)</f>
        <v>1.41</v>
      </c>
      <c r="AB165">
        <f>_xlfn.XLOOKUP(Table1820[[#This Row],[At Fault Accidents]],Table2[At Fault Accidents],Table2[At Fault Accident Factor],,0)</f>
        <v>1.34</v>
      </c>
      <c r="AC165">
        <f>_xlfn.XLOOKUP(Table1820[[#This Row],[Usage-Based Insurance]],Table3[Usage-Based Insurance],Table3[Usage-Based Insurance Discount],,0)</f>
        <v>1</v>
      </c>
      <c r="AD165">
        <f>_xlfn.XLOOKUP(Table1820[[#This Row],[Yearly Miles]],Table4[Yearly Miles],Table4[Yearly Miles Factor],,0)</f>
        <v>0.82</v>
      </c>
      <c r="AE165">
        <f>_xlfn.XLOOKUP(Table1820[[#This Row],[City/Zip Code]],Table5[City/Zip Code],Table5[City/Zip Code Factor],,0)</f>
        <v>1.18</v>
      </c>
      <c r="AF165">
        <f>_xlfn.XLOOKUP(Table1820[[#This Row],[Vehicle Price]],Table6[Vehicle Price],Table6[Vehicle Price Factor])</f>
        <v>1.08</v>
      </c>
      <c r="AG165">
        <f>_xlfn.XLOOKUP(Table1820[[#This Row],[Exotic Car]],Table7[Exotic Car],Table7[Exotic Car Factor],,0)</f>
        <v>1</v>
      </c>
      <c r="AH165">
        <f>_xlfn.XLOOKUP(Table1820[[#This Row],[Difficult Parts]],Table8[Difficult Parts],Table8[Difficult Parts Factor],,0)</f>
        <v>1</v>
      </c>
      <c r="AI165">
        <f>_xlfn.XLOOKUP(Table1820[[#This Row],[High Theft Rate]],Table9[High Theft Rate],Table9[High Theft Rate Factor],,0)</f>
        <v>1</v>
      </c>
      <c r="AJ165">
        <f>_xlfn.XLOOKUP(Table1820[[#This Row],[Advanced Safety Features]],Table10[Advanced Safety Features],Table10[Advanced Safety Features Factor],,0)</f>
        <v>1</v>
      </c>
      <c r="AK165">
        <f>_xlfn.XLOOKUP(Table1820[[#This Row],[Deductible]],Table12[Deductible],Table12[Deductible Factor],,0)</f>
        <v>0.72</v>
      </c>
      <c r="AL165">
        <f>_xlfn.XLOOKUP(Table1820[[#This Row],[Coverage Limit]],Table13[Coverage Limit],Table13[Coverage Limit Factor],,0)</f>
        <v>1</v>
      </c>
      <c r="AM165">
        <f>IF(Table1820[[#This Row],[Good Student Discount]]="Yes",'Rate Book'!$D$126,1)</f>
        <v>1</v>
      </c>
      <c r="AN165">
        <f>IF(Table1820[[#This Row],[Good Driver Discount]]="Yes",'Rate Book'!$D$127,1)</f>
        <v>1</v>
      </c>
      <c r="AO165">
        <f>IF(Table1820[[#This Row],[Multi Policy Discount]]="Yes",'Rate Book'!$D$128,1)</f>
        <v>1</v>
      </c>
      <c r="AP165">
        <f>IF(Table1820[[#This Row],[Loyal Customer Discount]]="Yes",'Rate Book'!$D$129,1)</f>
        <v>0.94</v>
      </c>
      <c r="AQ165">
        <f>IF(Table1820[[#This Row],[Organization Discount]]="Yes",'Rate Book'!$D$130,1)</f>
        <v>1</v>
      </c>
      <c r="AR165" cm="1">
        <f t="array" ref="AR165">IF(Table1820[[#This Row],[Effective Date]]&gt;=RateChangeTable[Effective Date],RateChangeTable[Rate Change Factor],1)</f>
        <v>1.06</v>
      </c>
      <c r="AS165" s="10">
        <f>PRODUCT(Table1820[[#This Row],[Base Rate]:[Rate Change Factor]])</f>
        <v>718.66412554191243</v>
      </c>
      <c r="AT165" s="9">
        <f>Table1820[[#This Row],[System-Generated Premium]]-Table1820[[#This Row],[Expected Premium]]</f>
        <v>0</v>
      </c>
      <c r="AU165" t="str">
        <f>IF(Table1820[[#This Row],[Difference]]=0,"PASS","FAIL")</f>
        <v>PASS</v>
      </c>
      <c r="AV165" s="9">
        <f>ABS(Table1820[[#This Row],[Difference]])</f>
        <v>0</v>
      </c>
      <c r="AW165" s="9" t="s">
        <v>1136</v>
      </c>
    </row>
    <row r="166" spans="1:49" x14ac:dyDescent="0.3">
      <c r="A166" t="s">
        <v>257</v>
      </c>
      <c r="B166" s="7">
        <v>45971</v>
      </c>
      <c r="C166" t="s">
        <v>70</v>
      </c>
      <c r="D166" t="s">
        <v>1102</v>
      </c>
      <c r="E166" s="3">
        <v>3</v>
      </c>
      <c r="F166" s="3">
        <v>0</v>
      </c>
      <c r="G166" t="s">
        <v>10</v>
      </c>
      <c r="H166" t="s">
        <v>1110</v>
      </c>
      <c r="I166" t="s">
        <v>26</v>
      </c>
      <c r="J166" t="s">
        <v>54</v>
      </c>
      <c r="K166" t="s">
        <v>10</v>
      </c>
      <c r="L166" t="s">
        <v>10</v>
      </c>
      <c r="M166" t="s">
        <v>10</v>
      </c>
      <c r="N166" t="s">
        <v>10</v>
      </c>
      <c r="O166" t="str">
        <f>INDEX(CoverageTable[Deductible Applies],MATCH(Table1820[[#This Row],[Coverage]],CoverageTable[Coverage],0))</f>
        <v>No</v>
      </c>
      <c r="P166" t="str">
        <f>INDEX(CoverageTable[Coverage Limit Applies],MATCH(Table1820[[#This Row],[Coverage]],CoverageTable[Coverage],0))</f>
        <v>Yes</v>
      </c>
      <c r="Q166" t="s">
        <v>10</v>
      </c>
      <c r="R166" t="s">
        <v>80</v>
      </c>
      <c r="S166" t="s">
        <v>10</v>
      </c>
      <c r="T166" t="s">
        <v>10</v>
      </c>
      <c r="U166" t="s">
        <v>57</v>
      </c>
      <c r="V166" t="s">
        <v>10</v>
      </c>
      <c r="W166" t="s">
        <v>57</v>
      </c>
      <c r="X166" s="11">
        <v>3157.4678556315325</v>
      </c>
      <c r="Y166">
        <f>_xlfn.XLOOKUP(Table1820[[#This Row],[Coverage]],CoverageTable[Coverage],CoverageTable[Base Rate],,0)</f>
        <v>622</v>
      </c>
      <c r="Z166">
        <f>INDEX(Table16[Ageband Factor],MATCH(Table1820[[#This Row],[Ageband]],Table16[Ageband],0))</f>
        <v>1.27</v>
      </c>
      <c r="AA166">
        <f>VLOOKUP(Table1820[[#This Row],[Years Driving]],Table1[],2)</f>
        <v>1.22</v>
      </c>
      <c r="AB166">
        <f>_xlfn.XLOOKUP(Table1820[[#This Row],[At Fault Accidents]],Table2[At Fault Accidents],Table2[At Fault Accident Factor],,0)</f>
        <v>1</v>
      </c>
      <c r="AC166">
        <f>_xlfn.XLOOKUP(Table1820[[#This Row],[Usage-Based Insurance]],Table3[Usage-Based Insurance],Table3[Usage-Based Insurance Discount],,0)</f>
        <v>1</v>
      </c>
      <c r="AD166">
        <f>_xlfn.XLOOKUP(Table1820[[#This Row],[Yearly Miles]],Table4[Yearly Miles],Table4[Yearly Miles Factor],,0)</f>
        <v>1.31</v>
      </c>
      <c r="AE166">
        <f>_xlfn.XLOOKUP(Table1820[[#This Row],[City/Zip Code]],Table5[City/Zip Code],Table5[City/Zip Code Factor],,0)</f>
        <v>1.1499999999999999</v>
      </c>
      <c r="AF166">
        <f>_xlfn.XLOOKUP(Table1820[[#This Row],[Vehicle Price]],Table6[Vehicle Price],Table6[Vehicle Price Factor])</f>
        <v>2.87</v>
      </c>
      <c r="AG166">
        <f>_xlfn.XLOOKUP(Table1820[[#This Row],[Exotic Car]],Table7[Exotic Car],Table7[Exotic Car Factor],,0)</f>
        <v>1</v>
      </c>
      <c r="AH166">
        <f>_xlfn.XLOOKUP(Table1820[[#This Row],[Difficult Parts]],Table8[Difficult Parts],Table8[Difficult Parts Factor],,0)</f>
        <v>1</v>
      </c>
      <c r="AI166">
        <f>_xlfn.XLOOKUP(Table1820[[#This Row],[High Theft Rate]],Table9[High Theft Rate],Table9[High Theft Rate Factor],,0)</f>
        <v>1</v>
      </c>
      <c r="AJ166">
        <f>_xlfn.XLOOKUP(Table1820[[#This Row],[Advanced Safety Features]],Table10[Advanced Safety Features],Table10[Advanced Safety Features Factor],,0)</f>
        <v>1</v>
      </c>
      <c r="AK166">
        <f>_xlfn.XLOOKUP(Table1820[[#This Row],[Deductible]],Table12[Deductible],Table12[Deductible Factor],,0)</f>
        <v>1</v>
      </c>
      <c r="AL166">
        <f>_xlfn.XLOOKUP(Table1820[[#This Row],[Coverage Limit]],Table13[Coverage Limit],Table13[Coverage Limit Factor],,0)</f>
        <v>0.84</v>
      </c>
      <c r="AM166">
        <f>IF(Table1820[[#This Row],[Good Student Discount]]="Yes",'Rate Book'!$D$126,1)</f>
        <v>1</v>
      </c>
      <c r="AN166">
        <f>IF(Table1820[[#This Row],[Good Driver Discount]]="Yes",'Rate Book'!$D$127,1)</f>
        <v>1</v>
      </c>
      <c r="AO166">
        <f>IF(Table1820[[#This Row],[Multi Policy Discount]]="Yes",'Rate Book'!$D$128,1)</f>
        <v>0.93</v>
      </c>
      <c r="AP166">
        <f>IF(Table1820[[#This Row],[Loyal Customer Discount]]="Yes",'Rate Book'!$D$129,1)</f>
        <v>1</v>
      </c>
      <c r="AQ166">
        <f>IF(Table1820[[#This Row],[Organization Discount]]="Yes",'Rate Book'!$D$130,1)</f>
        <v>0.97</v>
      </c>
      <c r="AR166" cm="1">
        <f t="array" ref="AR166">IF(Table1820[[#This Row],[Effective Date]]&gt;=RateChangeTable[Effective Date],RateChangeTable[Rate Change Factor],1)</f>
        <v>1</v>
      </c>
      <c r="AS166" s="10">
        <f>PRODUCT(Table1820[[#This Row],[Base Rate]:[Rate Change Factor]])</f>
        <v>3157.4678556315325</v>
      </c>
      <c r="AT166" s="9">
        <f>Table1820[[#This Row],[System-Generated Premium]]-Table1820[[#This Row],[Expected Premium]]</f>
        <v>0</v>
      </c>
      <c r="AU166" t="str">
        <f>IF(Table1820[[#This Row],[Difference]]=0,"PASS","FAIL")</f>
        <v>PASS</v>
      </c>
      <c r="AV166" s="9">
        <f>ABS(Table1820[[#This Row],[Difference]])</f>
        <v>0</v>
      </c>
      <c r="AW166" s="9" t="s">
        <v>1136</v>
      </c>
    </row>
    <row r="167" spans="1:49" x14ac:dyDescent="0.3">
      <c r="A167" t="s">
        <v>258</v>
      </c>
      <c r="B167" s="7">
        <v>45829</v>
      </c>
      <c r="C167" t="s">
        <v>71</v>
      </c>
      <c r="D167" t="s">
        <v>1100</v>
      </c>
      <c r="E167" s="3" t="s">
        <v>1103</v>
      </c>
      <c r="F167" s="3">
        <v>2</v>
      </c>
      <c r="G167" t="s">
        <v>12</v>
      </c>
      <c r="H167" t="s">
        <v>1106</v>
      </c>
      <c r="I167" t="s">
        <v>33</v>
      </c>
      <c r="J167" t="s">
        <v>48</v>
      </c>
      <c r="K167" t="s">
        <v>10</v>
      </c>
      <c r="L167" t="s">
        <v>10</v>
      </c>
      <c r="M167" t="s">
        <v>10</v>
      </c>
      <c r="N167" t="s">
        <v>10</v>
      </c>
      <c r="O167" t="str">
        <f>INDEX(CoverageTable[Deductible Applies],MATCH(Table1820[[#This Row],[Coverage]],CoverageTable[Coverage],0))</f>
        <v>Yes</v>
      </c>
      <c r="P167" t="str">
        <f>INDEX(CoverageTable[Coverage Limit Applies],MATCH(Table1820[[#This Row],[Coverage]],CoverageTable[Coverage],0))</f>
        <v>No</v>
      </c>
      <c r="Q167" t="s">
        <v>80</v>
      </c>
      <c r="R167" t="s">
        <v>10</v>
      </c>
      <c r="S167" t="s">
        <v>10</v>
      </c>
      <c r="T167" t="s">
        <v>10</v>
      </c>
      <c r="U167" t="s">
        <v>10</v>
      </c>
      <c r="V167" t="s">
        <v>57</v>
      </c>
      <c r="W167" t="s">
        <v>10</v>
      </c>
      <c r="X167" s="11">
        <v>259.46264436609067</v>
      </c>
      <c r="Y167">
        <f>_xlfn.XLOOKUP(Table1820[[#This Row],[Coverage]],CoverageTable[Coverage],CoverageTable[Base Rate],,0)</f>
        <v>453</v>
      </c>
      <c r="Z167">
        <f>INDEX(Table16[Ageband Factor],MATCH(Table1820[[#This Row],[Ageband]],Table16[Ageband],0))</f>
        <v>1.07</v>
      </c>
      <c r="AA167">
        <f>VLOOKUP(Table1820[[#This Row],[Years Driving]],Table1[],2)</f>
        <v>0.93</v>
      </c>
      <c r="AB167">
        <f>_xlfn.XLOOKUP(Table1820[[#This Row],[At Fault Accidents]],Table2[At Fault Accidents],Table2[At Fault Accident Factor],,0)</f>
        <v>1.55</v>
      </c>
      <c r="AC167">
        <f>_xlfn.XLOOKUP(Table1820[[#This Row],[Usage-Based Insurance]],Table3[Usage-Based Insurance],Table3[Usage-Based Insurance Discount],,0)</f>
        <v>0.8</v>
      </c>
      <c r="AD167">
        <f>_xlfn.XLOOKUP(Table1820[[#This Row],[Yearly Miles]],Table4[Yearly Miles],Table4[Yearly Miles Factor],,0)</f>
        <v>0.82</v>
      </c>
      <c r="AE167">
        <f>_xlfn.XLOOKUP(Table1820[[#This Row],[City/Zip Code]],Table5[City/Zip Code],Table5[City/Zip Code Factor],,0)</f>
        <v>1.02</v>
      </c>
      <c r="AF167">
        <f>_xlfn.XLOOKUP(Table1820[[#This Row],[Vehicle Price]],Table6[Vehicle Price],Table6[Vehicle Price Factor])</f>
        <v>0.82</v>
      </c>
      <c r="AG167">
        <f>_xlfn.XLOOKUP(Table1820[[#This Row],[Exotic Car]],Table7[Exotic Car],Table7[Exotic Car Factor],,0)</f>
        <v>1</v>
      </c>
      <c r="AH167">
        <f>_xlfn.XLOOKUP(Table1820[[#This Row],[Difficult Parts]],Table8[Difficult Parts],Table8[Difficult Parts Factor],,0)</f>
        <v>1</v>
      </c>
      <c r="AI167">
        <f>_xlfn.XLOOKUP(Table1820[[#This Row],[High Theft Rate]],Table9[High Theft Rate],Table9[High Theft Rate Factor],,0)</f>
        <v>1</v>
      </c>
      <c r="AJ167">
        <f>_xlfn.XLOOKUP(Table1820[[#This Row],[Advanced Safety Features]],Table10[Advanced Safety Features],Table10[Advanced Safety Features Factor],,0)</f>
        <v>1</v>
      </c>
      <c r="AK167">
        <f>_xlfn.XLOOKUP(Table1820[[#This Row],[Deductible]],Table12[Deductible],Table12[Deductible Factor],,0)</f>
        <v>0.72</v>
      </c>
      <c r="AL167">
        <f>_xlfn.XLOOKUP(Table1820[[#This Row],[Coverage Limit]],Table13[Coverage Limit],Table13[Coverage Limit Factor],,0)</f>
        <v>1</v>
      </c>
      <c r="AM167">
        <f>IF(Table1820[[#This Row],[Good Student Discount]]="Yes",'Rate Book'!$D$126,1)</f>
        <v>1</v>
      </c>
      <c r="AN167">
        <f>IF(Table1820[[#This Row],[Good Driver Discount]]="Yes",'Rate Book'!$D$127,1)</f>
        <v>1</v>
      </c>
      <c r="AO167">
        <f>IF(Table1820[[#This Row],[Multi Policy Discount]]="Yes",'Rate Book'!$D$128,1)</f>
        <v>1</v>
      </c>
      <c r="AP167">
        <f>IF(Table1820[[#This Row],[Loyal Customer Discount]]="Yes",'Rate Book'!$D$129,1)</f>
        <v>0.94</v>
      </c>
      <c r="AQ167">
        <f>IF(Table1820[[#This Row],[Organization Discount]]="Yes",'Rate Book'!$D$130,1)</f>
        <v>1</v>
      </c>
      <c r="AR167" cm="1">
        <f t="array" ref="AR167">IF(Table1820[[#This Row],[Effective Date]]&gt;=RateChangeTable[Effective Date],RateChangeTable[Rate Change Factor],1)</f>
        <v>1</v>
      </c>
      <c r="AS167" s="10">
        <f>PRODUCT(Table1820[[#This Row],[Base Rate]:[Rate Change Factor]])</f>
        <v>259.46264436609067</v>
      </c>
      <c r="AT167" s="9">
        <f>Table1820[[#This Row],[System-Generated Premium]]-Table1820[[#This Row],[Expected Premium]]</f>
        <v>0</v>
      </c>
      <c r="AU167" t="str">
        <f>IF(Table1820[[#This Row],[Difference]]=0,"PASS","FAIL")</f>
        <v>PASS</v>
      </c>
      <c r="AV167" s="9">
        <f>ABS(Table1820[[#This Row],[Difference]])</f>
        <v>0</v>
      </c>
      <c r="AW167" s="9" t="s">
        <v>1136</v>
      </c>
    </row>
    <row r="168" spans="1:49" x14ac:dyDescent="0.3">
      <c r="A168" t="s">
        <v>259</v>
      </c>
      <c r="B168" s="7">
        <v>45994</v>
      </c>
      <c r="C168" t="s">
        <v>71</v>
      </c>
      <c r="D168" t="s">
        <v>1097</v>
      </c>
      <c r="E168" s="3">
        <v>6</v>
      </c>
      <c r="F168" s="3">
        <v>0</v>
      </c>
      <c r="G168" t="s">
        <v>12</v>
      </c>
      <c r="H168" t="s">
        <v>1108</v>
      </c>
      <c r="I168" t="s">
        <v>26</v>
      </c>
      <c r="J168" t="s">
        <v>53</v>
      </c>
      <c r="K168" t="s">
        <v>10</v>
      </c>
      <c r="L168" t="s">
        <v>10</v>
      </c>
      <c r="M168" t="s">
        <v>10</v>
      </c>
      <c r="N168" t="s">
        <v>10</v>
      </c>
      <c r="O168" t="str">
        <f>INDEX(CoverageTable[Deductible Applies],MATCH(Table1820[[#This Row],[Coverage]],CoverageTable[Coverage],0))</f>
        <v>Yes</v>
      </c>
      <c r="P168" t="str">
        <f>INDEX(CoverageTable[Coverage Limit Applies],MATCH(Table1820[[#This Row],[Coverage]],CoverageTable[Coverage],0))</f>
        <v>No</v>
      </c>
      <c r="Q168" t="s">
        <v>80</v>
      </c>
      <c r="R168" t="s">
        <v>10</v>
      </c>
      <c r="S168" t="s">
        <v>10</v>
      </c>
      <c r="T168" t="s">
        <v>10</v>
      </c>
      <c r="U168" t="s">
        <v>10</v>
      </c>
      <c r="V168" t="s">
        <v>10</v>
      </c>
      <c r="W168" t="s">
        <v>57</v>
      </c>
      <c r="X168" s="11">
        <v>776.09620661759982</v>
      </c>
      <c r="Y168">
        <f>_xlfn.XLOOKUP(Table1820[[#This Row],[Coverage]],CoverageTable[Coverage],CoverageTable[Base Rate],,0)</f>
        <v>453</v>
      </c>
      <c r="Z168">
        <f>INDEX(Table16[Ageband Factor],MATCH(Table1820[[#This Row],[Ageband]],Table16[Ageband],0))</f>
        <v>1.32</v>
      </c>
      <c r="AA168">
        <f>VLOOKUP(Table1820[[#This Row],[Years Driving]],Table1[],2)</f>
        <v>1</v>
      </c>
      <c r="AB168">
        <f>_xlfn.XLOOKUP(Table1820[[#This Row],[At Fault Accidents]],Table2[At Fault Accidents],Table2[At Fault Accident Factor],,0)</f>
        <v>1</v>
      </c>
      <c r="AC168">
        <f>_xlfn.XLOOKUP(Table1820[[#This Row],[Usage-Based Insurance]],Table3[Usage-Based Insurance],Table3[Usage-Based Insurance Discount],,0)</f>
        <v>0.8</v>
      </c>
      <c r="AD168">
        <f>_xlfn.XLOOKUP(Table1820[[#This Row],[Yearly Miles]],Table4[Yearly Miles],Table4[Yearly Miles Factor],,0)</f>
        <v>1</v>
      </c>
      <c r="AE168">
        <f>_xlfn.XLOOKUP(Table1820[[#This Row],[City/Zip Code]],Table5[City/Zip Code],Table5[City/Zip Code Factor],,0)</f>
        <v>1.1499999999999999</v>
      </c>
      <c r="AF168">
        <f>_xlfn.XLOOKUP(Table1820[[#This Row],[Vehicle Price]],Table6[Vehicle Price],Table6[Vehicle Price Factor])</f>
        <v>2.02</v>
      </c>
      <c r="AG168">
        <f>_xlfn.XLOOKUP(Table1820[[#This Row],[Exotic Car]],Table7[Exotic Car],Table7[Exotic Car Factor],,0)</f>
        <v>1</v>
      </c>
      <c r="AH168">
        <f>_xlfn.XLOOKUP(Table1820[[#This Row],[Difficult Parts]],Table8[Difficult Parts],Table8[Difficult Parts Factor],,0)</f>
        <v>1</v>
      </c>
      <c r="AI168">
        <f>_xlfn.XLOOKUP(Table1820[[#This Row],[High Theft Rate]],Table9[High Theft Rate],Table9[High Theft Rate Factor],,0)</f>
        <v>1</v>
      </c>
      <c r="AJ168">
        <f>_xlfn.XLOOKUP(Table1820[[#This Row],[Advanced Safety Features]],Table10[Advanced Safety Features],Table10[Advanced Safety Features Factor],,0)</f>
        <v>1</v>
      </c>
      <c r="AK168">
        <f>_xlfn.XLOOKUP(Table1820[[#This Row],[Deductible]],Table12[Deductible],Table12[Deductible Factor],,0)</f>
        <v>0.72</v>
      </c>
      <c r="AL168">
        <f>_xlfn.XLOOKUP(Table1820[[#This Row],[Coverage Limit]],Table13[Coverage Limit],Table13[Coverage Limit Factor],,0)</f>
        <v>1</v>
      </c>
      <c r="AM168">
        <f>IF(Table1820[[#This Row],[Good Student Discount]]="Yes",'Rate Book'!$D$126,1)</f>
        <v>1</v>
      </c>
      <c r="AN168">
        <f>IF(Table1820[[#This Row],[Good Driver Discount]]="Yes",'Rate Book'!$D$127,1)</f>
        <v>1</v>
      </c>
      <c r="AO168">
        <f>IF(Table1820[[#This Row],[Multi Policy Discount]]="Yes",'Rate Book'!$D$128,1)</f>
        <v>1</v>
      </c>
      <c r="AP168">
        <f>IF(Table1820[[#This Row],[Loyal Customer Discount]]="Yes",'Rate Book'!$D$129,1)</f>
        <v>1</v>
      </c>
      <c r="AQ168">
        <f>IF(Table1820[[#This Row],[Organization Discount]]="Yes",'Rate Book'!$D$130,1)</f>
        <v>0.97</v>
      </c>
      <c r="AR168" cm="1">
        <f t="array" ref="AR168">IF(Table1820[[#This Row],[Effective Date]]&gt;=RateChangeTable[Effective Date],RateChangeTable[Rate Change Factor],1)</f>
        <v>1</v>
      </c>
      <c r="AS168" s="10">
        <f>PRODUCT(Table1820[[#This Row],[Base Rate]:[Rate Change Factor]])</f>
        <v>776.09620661759982</v>
      </c>
      <c r="AT168" s="9">
        <f>Table1820[[#This Row],[System-Generated Premium]]-Table1820[[#This Row],[Expected Premium]]</f>
        <v>0</v>
      </c>
      <c r="AU168" t="str">
        <f>IF(Table1820[[#This Row],[Difference]]=0,"PASS","FAIL")</f>
        <v>PASS</v>
      </c>
      <c r="AV168" s="9">
        <f>ABS(Table1820[[#This Row],[Difference]])</f>
        <v>0</v>
      </c>
      <c r="AW168" s="9" t="s">
        <v>1136</v>
      </c>
    </row>
    <row r="169" spans="1:49" x14ac:dyDescent="0.3">
      <c r="A169" t="s">
        <v>260</v>
      </c>
      <c r="B169" s="7">
        <v>45956</v>
      </c>
      <c r="C169" t="s">
        <v>71</v>
      </c>
      <c r="D169" t="s">
        <v>1101</v>
      </c>
      <c r="E169" s="3">
        <v>5</v>
      </c>
      <c r="F169" s="3">
        <v>2</v>
      </c>
      <c r="G169" t="s">
        <v>10</v>
      </c>
      <c r="H169" t="s">
        <v>1110</v>
      </c>
      <c r="I169" t="s">
        <v>34</v>
      </c>
      <c r="J169" t="s">
        <v>53</v>
      </c>
      <c r="K169" t="s">
        <v>10</v>
      </c>
      <c r="L169" t="s">
        <v>10</v>
      </c>
      <c r="M169" t="s">
        <v>10</v>
      </c>
      <c r="N169" t="s">
        <v>57</v>
      </c>
      <c r="O169" t="str">
        <f>INDEX(CoverageTable[Deductible Applies],MATCH(Table1820[[#This Row],[Coverage]],CoverageTable[Coverage],0))</f>
        <v>Yes</v>
      </c>
      <c r="P169" t="str">
        <f>INDEX(CoverageTable[Coverage Limit Applies],MATCH(Table1820[[#This Row],[Coverage]],CoverageTable[Coverage],0))</f>
        <v>No</v>
      </c>
      <c r="Q169" t="s">
        <v>80</v>
      </c>
      <c r="R169" t="s">
        <v>10</v>
      </c>
      <c r="S169" t="s">
        <v>10</v>
      </c>
      <c r="T169" t="s">
        <v>10</v>
      </c>
      <c r="U169" t="s">
        <v>10</v>
      </c>
      <c r="V169" t="s">
        <v>10</v>
      </c>
      <c r="W169" t="s">
        <v>10</v>
      </c>
      <c r="X169" s="11">
        <v>2200.8686924203503</v>
      </c>
      <c r="Y169">
        <f>_xlfn.XLOOKUP(Table1820[[#This Row],[Coverage]],CoverageTable[Coverage],CoverageTable[Base Rate],,0)</f>
        <v>453</v>
      </c>
      <c r="Z169">
        <f>INDEX(Table16[Ageband Factor],MATCH(Table1820[[#This Row],[Ageband]],Table16[Ageband],0))</f>
        <v>1.1200000000000001</v>
      </c>
      <c r="AA169">
        <f>VLOOKUP(Table1820[[#This Row],[Years Driving]],Table1[],2)</f>
        <v>1.07</v>
      </c>
      <c r="AB169">
        <f>_xlfn.XLOOKUP(Table1820[[#This Row],[At Fault Accidents]],Table2[At Fault Accidents],Table2[At Fault Accident Factor],,0)</f>
        <v>1.55</v>
      </c>
      <c r="AC169">
        <f>_xlfn.XLOOKUP(Table1820[[#This Row],[Usage-Based Insurance]],Table3[Usage-Based Insurance],Table3[Usage-Based Insurance Discount],,0)</f>
        <v>1</v>
      </c>
      <c r="AD169">
        <f>_xlfn.XLOOKUP(Table1820[[#This Row],[Yearly Miles]],Table4[Yearly Miles],Table4[Yearly Miles Factor],,0)</f>
        <v>1.31</v>
      </c>
      <c r="AE169">
        <f>_xlfn.XLOOKUP(Table1820[[#This Row],[City/Zip Code]],Table5[City/Zip Code],Table5[City/Zip Code Factor],,0)</f>
        <v>1.56</v>
      </c>
      <c r="AF169">
        <f>_xlfn.XLOOKUP(Table1820[[#This Row],[Vehicle Price]],Table6[Vehicle Price],Table6[Vehicle Price Factor])</f>
        <v>2.02</v>
      </c>
      <c r="AG169">
        <f>_xlfn.XLOOKUP(Table1820[[#This Row],[Exotic Car]],Table7[Exotic Car],Table7[Exotic Car Factor],,0)</f>
        <v>1</v>
      </c>
      <c r="AH169">
        <f>_xlfn.XLOOKUP(Table1820[[#This Row],[Difficult Parts]],Table8[Difficult Parts],Table8[Difficult Parts Factor],,0)</f>
        <v>1</v>
      </c>
      <c r="AI169">
        <f>_xlfn.XLOOKUP(Table1820[[#This Row],[High Theft Rate]],Table9[High Theft Rate],Table9[High Theft Rate Factor],,0)</f>
        <v>1</v>
      </c>
      <c r="AJ169">
        <f>_xlfn.XLOOKUP(Table1820[[#This Row],[Advanced Safety Features]],Table10[Advanced Safety Features],Table10[Advanced Safety Features Factor],,0)</f>
        <v>0.88</v>
      </c>
      <c r="AK169">
        <f>_xlfn.XLOOKUP(Table1820[[#This Row],[Deductible]],Table12[Deductible],Table12[Deductible Factor],,0)</f>
        <v>0.72</v>
      </c>
      <c r="AL169">
        <f>_xlfn.XLOOKUP(Table1820[[#This Row],[Coverage Limit]],Table13[Coverage Limit],Table13[Coverage Limit Factor],,0)</f>
        <v>1</v>
      </c>
      <c r="AM169">
        <f>IF(Table1820[[#This Row],[Good Student Discount]]="Yes",'Rate Book'!$D$126,1)</f>
        <v>1</v>
      </c>
      <c r="AN169">
        <f>IF(Table1820[[#This Row],[Good Driver Discount]]="Yes",'Rate Book'!$D$127,1)</f>
        <v>1</v>
      </c>
      <c r="AO169">
        <f>IF(Table1820[[#This Row],[Multi Policy Discount]]="Yes",'Rate Book'!$D$128,1)</f>
        <v>1</v>
      </c>
      <c r="AP169">
        <f>IF(Table1820[[#This Row],[Loyal Customer Discount]]="Yes",'Rate Book'!$D$129,1)</f>
        <v>1</v>
      </c>
      <c r="AQ169">
        <f>IF(Table1820[[#This Row],[Organization Discount]]="Yes",'Rate Book'!$D$130,1)</f>
        <v>1</v>
      </c>
      <c r="AR169" cm="1">
        <f t="array" ref="AR169">IF(Table1820[[#This Row],[Effective Date]]&gt;=RateChangeTable[Effective Date],RateChangeTable[Rate Change Factor],1)</f>
        <v>1</v>
      </c>
      <c r="AS169" s="10">
        <f>PRODUCT(Table1820[[#This Row],[Base Rate]:[Rate Change Factor]])</f>
        <v>2200.8686924203503</v>
      </c>
      <c r="AT169" s="9">
        <f>Table1820[[#This Row],[System-Generated Premium]]-Table1820[[#This Row],[Expected Premium]]</f>
        <v>0</v>
      </c>
      <c r="AU169" t="str">
        <f>IF(Table1820[[#This Row],[Difference]]=0,"PASS","FAIL")</f>
        <v>PASS</v>
      </c>
      <c r="AV169" s="9">
        <f>ABS(Table1820[[#This Row],[Difference]])</f>
        <v>0</v>
      </c>
      <c r="AW169" s="9" t="s">
        <v>1136</v>
      </c>
    </row>
    <row r="170" spans="1:49" x14ac:dyDescent="0.3">
      <c r="A170" t="s">
        <v>261</v>
      </c>
      <c r="B170" s="7">
        <v>45998</v>
      </c>
      <c r="C170" t="s">
        <v>72</v>
      </c>
      <c r="D170" t="s">
        <v>1097</v>
      </c>
      <c r="E170" s="3">
        <v>1</v>
      </c>
      <c r="F170" s="3" t="s">
        <v>7</v>
      </c>
      <c r="G170" t="s">
        <v>10</v>
      </c>
      <c r="H170" t="s">
        <v>1107</v>
      </c>
      <c r="I170" t="s">
        <v>30</v>
      </c>
      <c r="J170" t="s">
        <v>54</v>
      </c>
      <c r="K170" t="s">
        <v>10</v>
      </c>
      <c r="L170" t="s">
        <v>57</v>
      </c>
      <c r="M170" t="s">
        <v>10</v>
      </c>
      <c r="N170" t="s">
        <v>57</v>
      </c>
      <c r="O170" t="str">
        <f>INDEX(CoverageTable[Deductible Applies],MATCH(Table1820[[#This Row],[Coverage]],CoverageTable[Coverage],0))</f>
        <v>Yes</v>
      </c>
      <c r="P170" t="str">
        <f>INDEX(CoverageTable[Coverage Limit Applies],MATCH(Table1820[[#This Row],[Coverage]],CoverageTable[Coverage],0))</f>
        <v>No</v>
      </c>
      <c r="Q170" t="s">
        <v>78</v>
      </c>
      <c r="R170" t="s">
        <v>10</v>
      </c>
      <c r="S170" t="s">
        <v>10</v>
      </c>
      <c r="T170" t="s">
        <v>10</v>
      </c>
      <c r="U170" t="s">
        <v>10</v>
      </c>
      <c r="V170" t="s">
        <v>10</v>
      </c>
      <c r="W170" t="s">
        <v>10</v>
      </c>
      <c r="X170" s="11">
        <v>1781.7910274632168</v>
      </c>
      <c r="Y170">
        <f>_xlfn.XLOOKUP(Table1820[[#This Row],[Coverage]],CoverageTable[Coverage],CoverageTable[Base Rate],,0)</f>
        <v>121</v>
      </c>
      <c r="Z170">
        <f>INDEX(Table16[Ageband Factor],MATCH(Table1820[[#This Row],[Ageband]],Table16[Ageband],0))</f>
        <v>1.32</v>
      </c>
      <c r="AA170">
        <f>VLOOKUP(Table1820[[#This Row],[Years Driving]],Table1[],2)</f>
        <v>1.64</v>
      </c>
      <c r="AB170">
        <f>_xlfn.XLOOKUP(Table1820[[#This Row],[At Fault Accidents]],Table2[At Fault Accidents],Table2[At Fault Accident Factor],,0)</f>
        <v>2.4700000000000002</v>
      </c>
      <c r="AC170">
        <f>_xlfn.XLOOKUP(Table1820[[#This Row],[Usage-Based Insurance]],Table3[Usage-Based Insurance],Table3[Usage-Based Insurance Discount],,0)</f>
        <v>1</v>
      </c>
      <c r="AD170">
        <f>_xlfn.XLOOKUP(Table1820[[#This Row],[Yearly Miles]],Table4[Yearly Miles],Table4[Yearly Miles Factor],,0)</f>
        <v>0.93</v>
      </c>
      <c r="AE170">
        <f>_xlfn.XLOOKUP(Table1820[[#This Row],[City/Zip Code]],Table5[City/Zip Code],Table5[City/Zip Code Factor],,0)</f>
        <v>1.02</v>
      </c>
      <c r="AF170">
        <f>_xlfn.XLOOKUP(Table1820[[#This Row],[Vehicle Price]],Table6[Vehicle Price],Table6[Vehicle Price Factor])</f>
        <v>2.87</v>
      </c>
      <c r="AG170">
        <f>_xlfn.XLOOKUP(Table1820[[#This Row],[Exotic Car]],Table7[Exotic Car],Table7[Exotic Car Factor],,0)</f>
        <v>1</v>
      </c>
      <c r="AH170">
        <f>_xlfn.XLOOKUP(Table1820[[#This Row],[Difficult Parts]],Table8[Difficult Parts],Table8[Difficult Parts Factor],,0)</f>
        <v>1.21</v>
      </c>
      <c r="AI170">
        <f>_xlfn.XLOOKUP(Table1820[[#This Row],[High Theft Rate]],Table9[High Theft Rate],Table9[High Theft Rate Factor],,0)</f>
        <v>1</v>
      </c>
      <c r="AJ170">
        <f>_xlfn.XLOOKUP(Table1820[[#This Row],[Advanced Safety Features]],Table10[Advanced Safety Features],Table10[Advanced Safety Features Factor],,0)</f>
        <v>0.88</v>
      </c>
      <c r="AK170">
        <f>_xlfn.XLOOKUP(Table1820[[#This Row],[Deductible]],Table12[Deductible],Table12[Deductible Factor],,0)</f>
        <v>0.95</v>
      </c>
      <c r="AL170">
        <f>_xlfn.XLOOKUP(Table1820[[#This Row],[Coverage Limit]],Table13[Coverage Limit],Table13[Coverage Limit Factor],,0)</f>
        <v>1</v>
      </c>
      <c r="AM170">
        <f>IF(Table1820[[#This Row],[Good Student Discount]]="Yes",'Rate Book'!$D$126,1)</f>
        <v>1</v>
      </c>
      <c r="AN170">
        <f>IF(Table1820[[#This Row],[Good Driver Discount]]="Yes",'Rate Book'!$D$127,1)</f>
        <v>1</v>
      </c>
      <c r="AO170">
        <f>IF(Table1820[[#This Row],[Multi Policy Discount]]="Yes",'Rate Book'!$D$128,1)</f>
        <v>1</v>
      </c>
      <c r="AP170">
        <f>IF(Table1820[[#This Row],[Loyal Customer Discount]]="Yes",'Rate Book'!$D$129,1)</f>
        <v>1</v>
      </c>
      <c r="AQ170">
        <f>IF(Table1820[[#This Row],[Organization Discount]]="Yes",'Rate Book'!$D$130,1)</f>
        <v>1</v>
      </c>
      <c r="AR170" cm="1">
        <f t="array" ref="AR170">IF(Table1820[[#This Row],[Effective Date]]&gt;=RateChangeTable[Effective Date],RateChangeTable[Rate Change Factor],1)</f>
        <v>1</v>
      </c>
      <c r="AS170" s="10">
        <f>PRODUCT(Table1820[[#This Row],[Base Rate]:[Rate Change Factor]])</f>
        <v>1781.7910274632168</v>
      </c>
      <c r="AT170" s="9">
        <f>Table1820[[#This Row],[System-Generated Premium]]-Table1820[[#This Row],[Expected Premium]]</f>
        <v>0</v>
      </c>
      <c r="AU170" t="str">
        <f>IF(Table1820[[#This Row],[Difference]]=0,"PASS","FAIL")</f>
        <v>PASS</v>
      </c>
      <c r="AV170" s="9">
        <f>ABS(Table1820[[#This Row],[Difference]])</f>
        <v>0</v>
      </c>
      <c r="AW170" s="9" t="s">
        <v>1136</v>
      </c>
    </row>
    <row r="171" spans="1:49" x14ac:dyDescent="0.3">
      <c r="A171" t="s">
        <v>262</v>
      </c>
      <c r="B171" s="7">
        <v>46047</v>
      </c>
      <c r="C171" t="s">
        <v>71</v>
      </c>
      <c r="D171" t="s">
        <v>1102</v>
      </c>
      <c r="E171" s="3" t="s">
        <v>1103</v>
      </c>
      <c r="F171" s="3">
        <v>2</v>
      </c>
      <c r="G171" t="s">
        <v>10</v>
      </c>
      <c r="H171" t="s">
        <v>1110</v>
      </c>
      <c r="I171" t="s">
        <v>43</v>
      </c>
      <c r="J171" t="s">
        <v>49</v>
      </c>
      <c r="K171" t="s">
        <v>10</v>
      </c>
      <c r="L171" t="s">
        <v>10</v>
      </c>
      <c r="M171" t="s">
        <v>10</v>
      </c>
      <c r="N171" t="s">
        <v>10</v>
      </c>
      <c r="O171" t="str">
        <f>INDEX(CoverageTable[Deductible Applies],MATCH(Table1820[[#This Row],[Coverage]],CoverageTable[Coverage],0))</f>
        <v>Yes</v>
      </c>
      <c r="P171" t="str">
        <f>INDEX(CoverageTable[Coverage Limit Applies],MATCH(Table1820[[#This Row],[Coverage]],CoverageTable[Coverage],0))</f>
        <v>No</v>
      </c>
      <c r="Q171" t="s">
        <v>79</v>
      </c>
      <c r="R171" t="s">
        <v>10</v>
      </c>
      <c r="S171" t="s">
        <v>10</v>
      </c>
      <c r="T171" t="s">
        <v>10</v>
      </c>
      <c r="U171" t="s">
        <v>10</v>
      </c>
      <c r="V171" t="s">
        <v>10</v>
      </c>
      <c r="W171" t="s">
        <v>10</v>
      </c>
      <c r="X171" s="11">
        <v>1141.44</v>
      </c>
      <c r="Y171">
        <f>_xlfn.XLOOKUP(Table1820[[#This Row],[Coverage]],CoverageTable[Coverage],CoverageTable[Base Rate],,0)</f>
        <v>453</v>
      </c>
      <c r="Z171">
        <f>INDEX(Table16[Ageband Factor],MATCH(Table1820[[#This Row],[Ageband]],Table16[Ageband],0))</f>
        <v>1.27</v>
      </c>
      <c r="AA171">
        <f>VLOOKUP(Table1820[[#This Row],[Years Driving]],Table1[],2)</f>
        <v>0.93</v>
      </c>
      <c r="AB171">
        <f>_xlfn.XLOOKUP(Table1820[[#This Row],[At Fault Accidents]],Table2[At Fault Accidents],Table2[At Fault Accident Factor],,0)</f>
        <v>1.55</v>
      </c>
      <c r="AC171">
        <f>_xlfn.XLOOKUP(Table1820[[#This Row],[Usage-Based Insurance]],Table3[Usage-Based Insurance],Table3[Usage-Based Insurance Discount],,0)</f>
        <v>1</v>
      </c>
      <c r="AD171">
        <f>_xlfn.XLOOKUP(Table1820[[#This Row],[Yearly Miles]],Table4[Yearly Miles],Table4[Yearly Miles Factor],,0)</f>
        <v>1.31</v>
      </c>
      <c r="AE171">
        <f>_xlfn.XLOOKUP(Table1820[[#This Row],[City/Zip Code]],Table5[City/Zip Code],Table5[City/Zip Code Factor],,0)</f>
        <v>1.18</v>
      </c>
      <c r="AF171">
        <f>_xlfn.XLOOKUP(Table1820[[#This Row],[Vehicle Price]],Table6[Vehicle Price],Table6[Vehicle Price Factor])</f>
        <v>0.97</v>
      </c>
      <c r="AG171">
        <f>_xlfn.XLOOKUP(Table1820[[#This Row],[Exotic Car]],Table7[Exotic Car],Table7[Exotic Car Factor],,0)</f>
        <v>1</v>
      </c>
      <c r="AH171">
        <f>_xlfn.XLOOKUP(Table1820[[#This Row],[Difficult Parts]],Table8[Difficult Parts],Table8[Difficult Parts Factor],,0)</f>
        <v>1</v>
      </c>
      <c r="AI171">
        <f>_xlfn.XLOOKUP(Table1820[[#This Row],[High Theft Rate]],Table9[High Theft Rate],Table9[High Theft Rate Factor],,0)</f>
        <v>1</v>
      </c>
      <c r="AJ171">
        <f>_xlfn.XLOOKUP(Table1820[[#This Row],[Advanced Safety Features]],Table10[Advanced Safety Features],Table10[Advanced Safety Features Factor],,0)</f>
        <v>1</v>
      </c>
      <c r="AK171">
        <f>_xlfn.XLOOKUP(Table1820[[#This Row],[Deductible]],Table12[Deductible],Table12[Deductible Factor],,0)</f>
        <v>0.84</v>
      </c>
      <c r="AL171">
        <f>_xlfn.XLOOKUP(Table1820[[#This Row],[Coverage Limit]],Table13[Coverage Limit],Table13[Coverage Limit Factor],,0)</f>
        <v>1</v>
      </c>
      <c r="AM171">
        <f>IF(Table1820[[#This Row],[Good Student Discount]]="Yes",'Rate Book'!$D$126,1)</f>
        <v>1</v>
      </c>
      <c r="AN171">
        <f>IF(Table1820[[#This Row],[Good Driver Discount]]="Yes",'Rate Book'!$D$127,1)</f>
        <v>1</v>
      </c>
      <c r="AO171">
        <f>IF(Table1820[[#This Row],[Multi Policy Discount]]="Yes",'Rate Book'!$D$128,1)</f>
        <v>1</v>
      </c>
      <c r="AP171">
        <f>IF(Table1820[[#This Row],[Loyal Customer Discount]]="Yes",'Rate Book'!$D$129,1)</f>
        <v>1</v>
      </c>
      <c r="AQ171">
        <f>IF(Table1820[[#This Row],[Organization Discount]]="Yes",'Rate Book'!$D$130,1)</f>
        <v>1</v>
      </c>
      <c r="AR171" cm="1">
        <f t="array" ref="AR171">IF(Table1820[[#This Row],[Effective Date]]&gt;=RateChangeTable[Effective Date],RateChangeTable[Rate Change Factor],1)</f>
        <v>1.06</v>
      </c>
      <c r="AS171" s="10">
        <f>PRODUCT(Table1820[[#This Row],[Base Rate]:[Rate Change Factor]])</f>
        <v>1107.201736502366</v>
      </c>
      <c r="AT171" s="9">
        <f>Table1820[[#This Row],[System-Generated Premium]]-Table1820[[#This Row],[Expected Premium]]</f>
        <v>34.23826349763408</v>
      </c>
      <c r="AU171" t="str">
        <f>IF(Table1820[[#This Row],[Difference]]=0,"PASS","FAIL")</f>
        <v>FAIL</v>
      </c>
      <c r="AV171" s="9">
        <f>ABS(Table1820[[#This Row],[Difference]])</f>
        <v>34.23826349763408</v>
      </c>
      <c r="AW171" s="9" t="s">
        <v>1143</v>
      </c>
    </row>
    <row r="172" spans="1:49" x14ac:dyDescent="0.3">
      <c r="A172" t="s">
        <v>263</v>
      </c>
      <c r="B172" s="7">
        <v>45974</v>
      </c>
      <c r="C172" t="s">
        <v>72</v>
      </c>
      <c r="D172" t="s">
        <v>1099</v>
      </c>
      <c r="E172" s="3" t="s">
        <v>1103</v>
      </c>
      <c r="F172" s="3">
        <v>3</v>
      </c>
      <c r="G172" t="s">
        <v>13</v>
      </c>
      <c r="H172" t="s">
        <v>1110</v>
      </c>
      <c r="I172" t="s">
        <v>38</v>
      </c>
      <c r="J172" t="s">
        <v>52</v>
      </c>
      <c r="K172" t="s">
        <v>10</v>
      </c>
      <c r="L172" t="s">
        <v>10</v>
      </c>
      <c r="M172" t="s">
        <v>57</v>
      </c>
      <c r="N172" t="s">
        <v>57</v>
      </c>
      <c r="O172" t="str">
        <f>INDEX(CoverageTable[Deductible Applies],MATCH(Table1820[[#This Row],[Coverage]],CoverageTable[Coverage],0))</f>
        <v>Yes</v>
      </c>
      <c r="P172" t="str">
        <f>INDEX(CoverageTable[Coverage Limit Applies],MATCH(Table1820[[#This Row],[Coverage]],CoverageTable[Coverage],0))</f>
        <v>No</v>
      </c>
      <c r="Q172" t="s">
        <v>78</v>
      </c>
      <c r="R172" t="s">
        <v>10</v>
      </c>
      <c r="S172" t="s">
        <v>10</v>
      </c>
      <c r="T172" t="s">
        <v>57</v>
      </c>
      <c r="U172" t="s">
        <v>10</v>
      </c>
      <c r="V172" t="s">
        <v>10</v>
      </c>
      <c r="W172" t="s">
        <v>10</v>
      </c>
      <c r="X172" s="11">
        <v>264.66487488582879</v>
      </c>
      <c r="Y172">
        <f>_xlfn.XLOOKUP(Table1820[[#This Row],[Coverage]],CoverageTable[Coverage],CoverageTable[Base Rate],,0)</f>
        <v>121</v>
      </c>
      <c r="Z172">
        <f>INDEX(Table16[Ageband Factor],MATCH(Table1820[[#This Row],[Ageband]],Table16[Ageband],0))</f>
        <v>1</v>
      </c>
      <c r="AA172">
        <f>VLOOKUP(Table1820[[#This Row],[Years Driving]],Table1[],2)</f>
        <v>0.93</v>
      </c>
      <c r="AB172">
        <f>_xlfn.XLOOKUP(Table1820[[#This Row],[At Fault Accidents]],Table2[At Fault Accidents],Table2[At Fault Accident Factor],,0)</f>
        <v>1.82</v>
      </c>
      <c r="AC172">
        <f>_xlfn.XLOOKUP(Table1820[[#This Row],[Usage-Based Insurance]],Table3[Usage-Based Insurance],Table3[Usage-Based Insurance Discount],,0)</f>
        <v>0.65</v>
      </c>
      <c r="AD172">
        <f>_xlfn.XLOOKUP(Table1820[[#This Row],[Yearly Miles]],Table4[Yearly Miles],Table4[Yearly Miles Factor],,0)</f>
        <v>1.31</v>
      </c>
      <c r="AE172">
        <f>_xlfn.XLOOKUP(Table1820[[#This Row],[City/Zip Code]],Table5[City/Zip Code],Table5[City/Zip Code Factor],,0)</f>
        <v>1.1200000000000001</v>
      </c>
      <c r="AF172">
        <f>_xlfn.XLOOKUP(Table1820[[#This Row],[Vehicle Price]],Table6[Vehicle Price],Table6[Vehicle Price Factor])</f>
        <v>1.57</v>
      </c>
      <c r="AG172">
        <f>_xlfn.XLOOKUP(Table1820[[#This Row],[Exotic Car]],Table7[Exotic Car],Table7[Exotic Car Factor],,0)</f>
        <v>1</v>
      </c>
      <c r="AH172">
        <f>_xlfn.XLOOKUP(Table1820[[#This Row],[Difficult Parts]],Table8[Difficult Parts],Table8[Difficult Parts Factor],,0)</f>
        <v>1</v>
      </c>
      <c r="AI172">
        <f>_xlfn.XLOOKUP(Table1820[[#This Row],[High Theft Rate]],Table9[High Theft Rate],Table9[High Theft Rate Factor],,0)</f>
        <v>1.1599999999999999</v>
      </c>
      <c r="AJ172">
        <f>_xlfn.XLOOKUP(Table1820[[#This Row],[Advanced Safety Features]],Table10[Advanced Safety Features],Table10[Advanced Safety Features Factor],,0)</f>
        <v>0.88</v>
      </c>
      <c r="AK172">
        <f>_xlfn.XLOOKUP(Table1820[[#This Row],[Deductible]],Table12[Deductible],Table12[Deductible Factor],,0)</f>
        <v>0.95</v>
      </c>
      <c r="AL172">
        <f>_xlfn.XLOOKUP(Table1820[[#This Row],[Coverage Limit]],Table13[Coverage Limit],Table13[Coverage Limit Factor],,0)</f>
        <v>1</v>
      </c>
      <c r="AM172">
        <f>IF(Table1820[[#This Row],[Good Student Discount]]="Yes",'Rate Book'!$D$126,1)</f>
        <v>1</v>
      </c>
      <c r="AN172">
        <f>IF(Table1820[[#This Row],[Good Driver Discount]]="Yes",'Rate Book'!$D$127,1)</f>
        <v>0.89</v>
      </c>
      <c r="AO172">
        <f>IF(Table1820[[#This Row],[Multi Policy Discount]]="Yes",'Rate Book'!$D$128,1)</f>
        <v>1</v>
      </c>
      <c r="AP172">
        <f>IF(Table1820[[#This Row],[Loyal Customer Discount]]="Yes",'Rate Book'!$D$129,1)</f>
        <v>1</v>
      </c>
      <c r="AQ172">
        <f>IF(Table1820[[#This Row],[Organization Discount]]="Yes",'Rate Book'!$D$130,1)</f>
        <v>1</v>
      </c>
      <c r="AR172" cm="1">
        <f t="array" ref="AR172">IF(Table1820[[#This Row],[Effective Date]]&gt;=RateChangeTable[Effective Date],RateChangeTable[Rate Change Factor],1)</f>
        <v>1</v>
      </c>
      <c r="AS172" s="10">
        <f>PRODUCT(Table1820[[#This Row],[Base Rate]:[Rate Change Factor]])</f>
        <v>264.66487488582879</v>
      </c>
      <c r="AT172" s="9">
        <f>Table1820[[#This Row],[System-Generated Premium]]-Table1820[[#This Row],[Expected Premium]]</f>
        <v>0</v>
      </c>
      <c r="AU172" t="str">
        <f>IF(Table1820[[#This Row],[Difference]]=0,"PASS","FAIL")</f>
        <v>PASS</v>
      </c>
      <c r="AV172" s="9">
        <f>ABS(Table1820[[#This Row],[Difference]])</f>
        <v>0</v>
      </c>
      <c r="AW172" s="9" t="s">
        <v>1136</v>
      </c>
    </row>
    <row r="173" spans="1:49" x14ac:dyDescent="0.3">
      <c r="A173" t="s">
        <v>264</v>
      </c>
      <c r="B173" s="7">
        <v>45823</v>
      </c>
      <c r="C173" t="s">
        <v>73</v>
      </c>
      <c r="D173" t="s">
        <v>1101</v>
      </c>
      <c r="E173" s="3">
        <v>5</v>
      </c>
      <c r="F173" s="3">
        <v>2</v>
      </c>
      <c r="G173" t="s">
        <v>12</v>
      </c>
      <c r="H173" t="s">
        <v>1110</v>
      </c>
      <c r="I173" t="s">
        <v>21</v>
      </c>
      <c r="J173" t="s">
        <v>52</v>
      </c>
      <c r="K173" t="s">
        <v>10</v>
      </c>
      <c r="L173" t="s">
        <v>10</v>
      </c>
      <c r="M173" t="s">
        <v>57</v>
      </c>
      <c r="N173" t="s">
        <v>10</v>
      </c>
      <c r="O173" t="str">
        <f>INDEX(CoverageTable[Deductible Applies],MATCH(Table1820[[#This Row],[Coverage]],CoverageTable[Coverage],0))</f>
        <v>No</v>
      </c>
      <c r="P173" t="str">
        <f>INDEX(CoverageTable[Coverage Limit Applies],MATCH(Table1820[[#This Row],[Coverage]],CoverageTable[Coverage],0))</f>
        <v>Yes</v>
      </c>
      <c r="Q173" t="s">
        <v>10</v>
      </c>
      <c r="R173" t="s">
        <v>78</v>
      </c>
      <c r="S173" t="s">
        <v>10</v>
      </c>
      <c r="T173" t="s">
        <v>57</v>
      </c>
      <c r="U173" t="s">
        <v>10</v>
      </c>
      <c r="V173" t="s">
        <v>10</v>
      </c>
      <c r="W173" t="s">
        <v>10</v>
      </c>
      <c r="X173" s="11">
        <v>189.1635310629826</v>
      </c>
      <c r="Y173">
        <f>_xlfn.XLOOKUP(Table1820[[#This Row],[Coverage]],CoverageTable[Coverage],CoverageTable[Base Rate],,0)</f>
        <v>78</v>
      </c>
      <c r="Z173">
        <f>INDEX(Table16[Ageband Factor],MATCH(Table1820[[#This Row],[Ageband]],Table16[Ageband],0))</f>
        <v>1.1200000000000001</v>
      </c>
      <c r="AA173">
        <f>VLOOKUP(Table1820[[#This Row],[Years Driving]],Table1[],2)</f>
        <v>1.07</v>
      </c>
      <c r="AB173">
        <f>_xlfn.XLOOKUP(Table1820[[#This Row],[At Fault Accidents]],Table2[At Fault Accidents],Table2[At Fault Accident Factor],,0)</f>
        <v>1.55</v>
      </c>
      <c r="AC173">
        <f>_xlfn.XLOOKUP(Table1820[[#This Row],[Usage-Based Insurance]],Table3[Usage-Based Insurance],Table3[Usage-Based Insurance Discount],,0)</f>
        <v>0.8</v>
      </c>
      <c r="AD173">
        <f>_xlfn.XLOOKUP(Table1820[[#This Row],[Yearly Miles]],Table4[Yearly Miles],Table4[Yearly Miles Factor],,0)</f>
        <v>1.31</v>
      </c>
      <c r="AE173">
        <f>_xlfn.XLOOKUP(Table1820[[#This Row],[City/Zip Code]],Table5[City/Zip Code],Table5[City/Zip Code Factor],,0)</f>
        <v>1.26</v>
      </c>
      <c r="AF173">
        <f>_xlfn.XLOOKUP(Table1820[[#This Row],[Vehicle Price]],Table6[Vehicle Price],Table6[Vehicle Price Factor])</f>
        <v>1.57</v>
      </c>
      <c r="AG173">
        <f>_xlfn.XLOOKUP(Table1820[[#This Row],[Exotic Car]],Table7[Exotic Car],Table7[Exotic Car Factor],,0)</f>
        <v>1</v>
      </c>
      <c r="AH173">
        <f>_xlfn.XLOOKUP(Table1820[[#This Row],[Difficult Parts]],Table8[Difficult Parts],Table8[Difficult Parts Factor],,0)</f>
        <v>1</v>
      </c>
      <c r="AI173">
        <f>_xlfn.XLOOKUP(Table1820[[#This Row],[High Theft Rate]],Table9[High Theft Rate],Table9[High Theft Rate Factor],,0)</f>
        <v>1.1599999999999999</v>
      </c>
      <c r="AJ173">
        <f>_xlfn.XLOOKUP(Table1820[[#This Row],[Advanced Safety Features]],Table10[Advanced Safety Features],Table10[Advanced Safety Features Factor],,0)</f>
        <v>1</v>
      </c>
      <c r="AK173">
        <f>_xlfn.XLOOKUP(Table1820[[#This Row],[Deductible]],Table12[Deductible],Table12[Deductible Factor],,0)</f>
        <v>1</v>
      </c>
      <c r="AL173">
        <f>_xlfn.XLOOKUP(Table1820[[#This Row],[Coverage Limit]],Table13[Coverage Limit],Table13[Coverage Limit Factor],,0)</f>
        <v>0.61</v>
      </c>
      <c r="AM173">
        <f>IF(Table1820[[#This Row],[Good Student Discount]]="Yes",'Rate Book'!$D$126,1)</f>
        <v>1</v>
      </c>
      <c r="AN173">
        <f>IF(Table1820[[#This Row],[Good Driver Discount]]="Yes",'Rate Book'!$D$127,1)</f>
        <v>0.89</v>
      </c>
      <c r="AO173">
        <f>IF(Table1820[[#This Row],[Multi Policy Discount]]="Yes",'Rate Book'!$D$128,1)</f>
        <v>1</v>
      </c>
      <c r="AP173">
        <f>IF(Table1820[[#This Row],[Loyal Customer Discount]]="Yes",'Rate Book'!$D$129,1)</f>
        <v>1</v>
      </c>
      <c r="AQ173">
        <f>IF(Table1820[[#This Row],[Organization Discount]]="Yes",'Rate Book'!$D$130,1)</f>
        <v>1</v>
      </c>
      <c r="AR173" cm="1">
        <f t="array" ref="AR173">IF(Table1820[[#This Row],[Effective Date]]&gt;=RateChangeTable[Effective Date],RateChangeTable[Rate Change Factor],1)</f>
        <v>1</v>
      </c>
      <c r="AS173" s="10">
        <f>PRODUCT(Table1820[[#This Row],[Base Rate]:[Rate Change Factor]])</f>
        <v>189.1635310629826</v>
      </c>
      <c r="AT173" s="9">
        <f>Table1820[[#This Row],[System-Generated Premium]]-Table1820[[#This Row],[Expected Premium]]</f>
        <v>0</v>
      </c>
      <c r="AU173" t="str">
        <f>IF(Table1820[[#This Row],[Difference]]=0,"PASS","FAIL")</f>
        <v>PASS</v>
      </c>
      <c r="AV173" s="9">
        <f>ABS(Table1820[[#This Row],[Difference]])</f>
        <v>0</v>
      </c>
      <c r="AW173" s="9" t="s">
        <v>1136</v>
      </c>
    </row>
    <row r="174" spans="1:49" x14ac:dyDescent="0.3">
      <c r="A174" t="s">
        <v>265</v>
      </c>
      <c r="B174" s="7">
        <v>45808</v>
      </c>
      <c r="C174" t="s">
        <v>70</v>
      </c>
      <c r="D174" t="s">
        <v>1101</v>
      </c>
      <c r="E174" s="3">
        <v>2</v>
      </c>
      <c r="F174" s="3">
        <v>3</v>
      </c>
      <c r="G174" t="s">
        <v>10</v>
      </c>
      <c r="H174" t="s">
        <v>1109</v>
      </c>
      <c r="I174" t="s">
        <v>29</v>
      </c>
      <c r="J174" t="s">
        <v>54</v>
      </c>
      <c r="K174" t="s">
        <v>10</v>
      </c>
      <c r="L174" t="s">
        <v>10</v>
      </c>
      <c r="M174" t="s">
        <v>10</v>
      </c>
      <c r="N174" t="s">
        <v>57</v>
      </c>
      <c r="O174" t="str">
        <f>INDEX(CoverageTable[Deductible Applies],MATCH(Table1820[[#This Row],[Coverage]],CoverageTable[Coverage],0))</f>
        <v>No</v>
      </c>
      <c r="P174" t="str">
        <f>INDEX(CoverageTable[Coverage Limit Applies],MATCH(Table1820[[#This Row],[Coverage]],CoverageTable[Coverage],0))</f>
        <v>Yes</v>
      </c>
      <c r="Q174" t="s">
        <v>10</v>
      </c>
      <c r="R174" t="s">
        <v>80</v>
      </c>
      <c r="S174" t="s">
        <v>10</v>
      </c>
      <c r="T174" t="s">
        <v>10</v>
      </c>
      <c r="U174" t="s">
        <v>10</v>
      </c>
      <c r="V174" t="s">
        <v>57</v>
      </c>
      <c r="W174" t="s">
        <v>10</v>
      </c>
      <c r="X174" s="11">
        <v>4585.420009600366</v>
      </c>
      <c r="Y174">
        <f>_xlfn.XLOOKUP(Table1820[[#This Row],[Coverage]],CoverageTable[Coverage],CoverageTable[Base Rate],,0)</f>
        <v>622</v>
      </c>
      <c r="Z174">
        <f>INDEX(Table16[Ageband Factor],MATCH(Table1820[[#This Row],[Ageband]],Table16[Ageband],0))</f>
        <v>1.1200000000000001</v>
      </c>
      <c r="AA174">
        <f>VLOOKUP(Table1820[[#This Row],[Years Driving]],Table1[],2)</f>
        <v>1.41</v>
      </c>
      <c r="AB174">
        <f>_xlfn.XLOOKUP(Table1820[[#This Row],[At Fault Accidents]],Table2[At Fault Accidents],Table2[At Fault Accident Factor],,0)</f>
        <v>1.82</v>
      </c>
      <c r="AC174">
        <f>_xlfn.XLOOKUP(Table1820[[#This Row],[Usage-Based Insurance]],Table3[Usage-Based Insurance],Table3[Usage-Based Insurance Discount],,0)</f>
        <v>1</v>
      </c>
      <c r="AD174">
        <f>_xlfn.XLOOKUP(Table1820[[#This Row],[Yearly Miles]],Table4[Yearly Miles],Table4[Yearly Miles Factor],,0)</f>
        <v>1.18</v>
      </c>
      <c r="AE174">
        <f>_xlfn.XLOOKUP(Table1820[[#This Row],[City/Zip Code]],Table5[City/Zip Code],Table5[City/Zip Code Factor],,0)</f>
        <v>1.0900000000000001</v>
      </c>
      <c r="AF174">
        <f>_xlfn.XLOOKUP(Table1820[[#This Row],[Vehicle Price]],Table6[Vehicle Price],Table6[Vehicle Price Factor])</f>
        <v>2.87</v>
      </c>
      <c r="AG174">
        <f>_xlfn.XLOOKUP(Table1820[[#This Row],[Exotic Car]],Table7[Exotic Car],Table7[Exotic Car Factor],,0)</f>
        <v>1</v>
      </c>
      <c r="AH174">
        <f>_xlfn.XLOOKUP(Table1820[[#This Row],[Difficult Parts]],Table8[Difficult Parts],Table8[Difficult Parts Factor],,0)</f>
        <v>1</v>
      </c>
      <c r="AI174">
        <f>_xlfn.XLOOKUP(Table1820[[#This Row],[High Theft Rate]],Table9[High Theft Rate],Table9[High Theft Rate Factor],,0)</f>
        <v>1</v>
      </c>
      <c r="AJ174">
        <f>_xlfn.XLOOKUP(Table1820[[#This Row],[Advanced Safety Features]],Table10[Advanced Safety Features],Table10[Advanced Safety Features Factor],,0)</f>
        <v>0.88</v>
      </c>
      <c r="AK174">
        <f>_xlfn.XLOOKUP(Table1820[[#This Row],[Deductible]],Table12[Deductible],Table12[Deductible Factor],,0)</f>
        <v>1</v>
      </c>
      <c r="AL174">
        <f>_xlfn.XLOOKUP(Table1820[[#This Row],[Coverage Limit]],Table13[Coverage Limit],Table13[Coverage Limit Factor],,0)</f>
        <v>0.84</v>
      </c>
      <c r="AM174">
        <f>IF(Table1820[[#This Row],[Good Student Discount]]="Yes",'Rate Book'!$D$126,1)</f>
        <v>1</v>
      </c>
      <c r="AN174">
        <f>IF(Table1820[[#This Row],[Good Driver Discount]]="Yes",'Rate Book'!$D$127,1)</f>
        <v>1</v>
      </c>
      <c r="AO174">
        <f>IF(Table1820[[#This Row],[Multi Policy Discount]]="Yes",'Rate Book'!$D$128,1)</f>
        <v>1</v>
      </c>
      <c r="AP174">
        <f>IF(Table1820[[#This Row],[Loyal Customer Discount]]="Yes",'Rate Book'!$D$129,1)</f>
        <v>0.94</v>
      </c>
      <c r="AQ174">
        <f>IF(Table1820[[#This Row],[Organization Discount]]="Yes",'Rate Book'!$D$130,1)</f>
        <v>1</v>
      </c>
      <c r="AR174" cm="1">
        <f t="array" ref="AR174">IF(Table1820[[#This Row],[Effective Date]]&gt;=RateChangeTable[Effective Date],RateChangeTable[Rate Change Factor],1)</f>
        <v>1</v>
      </c>
      <c r="AS174" s="10">
        <f>PRODUCT(Table1820[[#This Row],[Base Rate]:[Rate Change Factor]])</f>
        <v>4585.420009600366</v>
      </c>
      <c r="AT174" s="9">
        <f>Table1820[[#This Row],[System-Generated Premium]]-Table1820[[#This Row],[Expected Premium]]</f>
        <v>0</v>
      </c>
      <c r="AU174" t="str">
        <f>IF(Table1820[[#This Row],[Difference]]=0,"PASS","FAIL")</f>
        <v>PASS</v>
      </c>
      <c r="AV174" s="9">
        <f>ABS(Table1820[[#This Row],[Difference]])</f>
        <v>0</v>
      </c>
      <c r="AW174" s="9" t="s">
        <v>1136</v>
      </c>
    </row>
    <row r="175" spans="1:49" x14ac:dyDescent="0.3">
      <c r="A175" t="s">
        <v>266</v>
      </c>
      <c r="B175" s="7">
        <v>45866</v>
      </c>
      <c r="C175" t="s">
        <v>71</v>
      </c>
      <c r="D175" t="s">
        <v>1101</v>
      </c>
      <c r="E175" s="3" t="s">
        <v>1103</v>
      </c>
      <c r="F175" s="3">
        <v>1</v>
      </c>
      <c r="G175" t="s">
        <v>12</v>
      </c>
      <c r="H175" t="s">
        <v>1110</v>
      </c>
      <c r="I175" t="s">
        <v>40</v>
      </c>
      <c r="J175" t="s">
        <v>53</v>
      </c>
      <c r="K175" t="s">
        <v>10</v>
      </c>
      <c r="L175" t="s">
        <v>57</v>
      </c>
      <c r="M175" t="s">
        <v>57</v>
      </c>
      <c r="N175" t="s">
        <v>10</v>
      </c>
      <c r="O175" t="str">
        <f>INDEX(CoverageTable[Deductible Applies],MATCH(Table1820[[#This Row],[Coverage]],CoverageTable[Coverage],0))</f>
        <v>Yes</v>
      </c>
      <c r="P175" t="str">
        <f>INDEX(CoverageTable[Coverage Limit Applies],MATCH(Table1820[[#This Row],[Coverage]],CoverageTable[Coverage],0))</f>
        <v>No</v>
      </c>
      <c r="Q175" t="s">
        <v>79</v>
      </c>
      <c r="R175" t="s">
        <v>10</v>
      </c>
      <c r="S175" t="s">
        <v>10</v>
      </c>
      <c r="T175" t="s">
        <v>10</v>
      </c>
      <c r="U175" t="s">
        <v>57</v>
      </c>
      <c r="V175" t="s">
        <v>10</v>
      </c>
      <c r="W175" t="s">
        <v>10</v>
      </c>
      <c r="X175" s="11">
        <v>1599.7374647261079</v>
      </c>
      <c r="Y175">
        <f>_xlfn.XLOOKUP(Table1820[[#This Row],[Coverage]],CoverageTable[Coverage],CoverageTable[Base Rate],,0)</f>
        <v>453</v>
      </c>
      <c r="Z175">
        <f>INDEX(Table16[Ageband Factor],MATCH(Table1820[[#This Row],[Ageband]],Table16[Ageband],0))</f>
        <v>1.1200000000000001</v>
      </c>
      <c r="AA175">
        <f>VLOOKUP(Table1820[[#This Row],[Years Driving]],Table1[],2)</f>
        <v>0.93</v>
      </c>
      <c r="AB175">
        <f>_xlfn.XLOOKUP(Table1820[[#This Row],[At Fault Accidents]],Table2[At Fault Accidents],Table2[At Fault Accident Factor],,0)</f>
        <v>1.34</v>
      </c>
      <c r="AC175">
        <f>_xlfn.XLOOKUP(Table1820[[#This Row],[Usage-Based Insurance]],Table3[Usage-Based Insurance],Table3[Usage-Based Insurance Discount],,0)</f>
        <v>0.8</v>
      </c>
      <c r="AD175">
        <f>_xlfn.XLOOKUP(Table1820[[#This Row],[Yearly Miles]],Table4[Yearly Miles],Table4[Yearly Miles Factor],,0)</f>
        <v>1.31</v>
      </c>
      <c r="AE175">
        <f>_xlfn.XLOOKUP(Table1820[[#This Row],[City/Zip Code]],Table5[City/Zip Code],Table5[City/Zip Code Factor],,0)</f>
        <v>1.0900000000000001</v>
      </c>
      <c r="AF175">
        <f>_xlfn.XLOOKUP(Table1820[[#This Row],[Vehicle Price]],Table6[Vehicle Price],Table6[Vehicle Price Factor])</f>
        <v>2.02</v>
      </c>
      <c r="AG175">
        <f>_xlfn.XLOOKUP(Table1820[[#This Row],[Exotic Car]],Table7[Exotic Car],Table7[Exotic Car Factor],,0)</f>
        <v>1</v>
      </c>
      <c r="AH175">
        <f>_xlfn.XLOOKUP(Table1820[[#This Row],[Difficult Parts]],Table8[Difficult Parts],Table8[Difficult Parts Factor],,0)</f>
        <v>1.21</v>
      </c>
      <c r="AI175">
        <f>_xlfn.XLOOKUP(Table1820[[#This Row],[High Theft Rate]],Table9[High Theft Rate],Table9[High Theft Rate Factor],,0)</f>
        <v>1.1599999999999999</v>
      </c>
      <c r="AJ175">
        <f>_xlfn.XLOOKUP(Table1820[[#This Row],[Advanced Safety Features]],Table10[Advanced Safety Features],Table10[Advanced Safety Features Factor],,0)</f>
        <v>1</v>
      </c>
      <c r="AK175">
        <f>_xlfn.XLOOKUP(Table1820[[#This Row],[Deductible]],Table12[Deductible],Table12[Deductible Factor],,0)</f>
        <v>0.84</v>
      </c>
      <c r="AL175">
        <f>_xlfn.XLOOKUP(Table1820[[#This Row],[Coverage Limit]],Table13[Coverage Limit],Table13[Coverage Limit Factor],,0)</f>
        <v>1</v>
      </c>
      <c r="AM175">
        <f>IF(Table1820[[#This Row],[Good Student Discount]]="Yes",'Rate Book'!$D$126,1)</f>
        <v>1</v>
      </c>
      <c r="AN175">
        <f>IF(Table1820[[#This Row],[Good Driver Discount]]="Yes",'Rate Book'!$D$127,1)</f>
        <v>1</v>
      </c>
      <c r="AO175">
        <f>IF(Table1820[[#This Row],[Multi Policy Discount]]="Yes",'Rate Book'!$D$128,1)</f>
        <v>0.93</v>
      </c>
      <c r="AP175">
        <f>IF(Table1820[[#This Row],[Loyal Customer Discount]]="Yes",'Rate Book'!$D$129,1)</f>
        <v>1</v>
      </c>
      <c r="AQ175">
        <f>IF(Table1820[[#This Row],[Organization Discount]]="Yes",'Rate Book'!$D$130,1)</f>
        <v>1</v>
      </c>
      <c r="AR175" cm="1">
        <f t="array" ref="AR175">IF(Table1820[[#This Row],[Effective Date]]&gt;=RateChangeTable[Effective Date],RateChangeTable[Rate Change Factor],1)</f>
        <v>1</v>
      </c>
      <c r="AS175" s="10">
        <f>PRODUCT(Table1820[[#This Row],[Base Rate]:[Rate Change Factor]])</f>
        <v>1599.7374647261079</v>
      </c>
      <c r="AT175" s="9">
        <f>Table1820[[#This Row],[System-Generated Premium]]-Table1820[[#This Row],[Expected Premium]]</f>
        <v>0</v>
      </c>
      <c r="AU175" t="str">
        <f>IF(Table1820[[#This Row],[Difference]]=0,"PASS","FAIL")</f>
        <v>PASS</v>
      </c>
      <c r="AV175" s="9">
        <f>ABS(Table1820[[#This Row],[Difference]])</f>
        <v>0</v>
      </c>
      <c r="AW175" s="9" t="s">
        <v>1136</v>
      </c>
    </row>
    <row r="176" spans="1:49" x14ac:dyDescent="0.3">
      <c r="A176" t="s">
        <v>267</v>
      </c>
      <c r="B176" s="7">
        <v>46004</v>
      </c>
      <c r="C176" t="s">
        <v>73</v>
      </c>
      <c r="D176" t="s">
        <v>1102</v>
      </c>
      <c r="E176" s="3">
        <v>7</v>
      </c>
      <c r="F176" s="3">
        <v>4</v>
      </c>
      <c r="G176" t="s">
        <v>10</v>
      </c>
      <c r="H176" t="s">
        <v>1107</v>
      </c>
      <c r="I176" t="s">
        <v>44</v>
      </c>
      <c r="J176" t="s">
        <v>50</v>
      </c>
      <c r="K176" t="s">
        <v>10</v>
      </c>
      <c r="L176" t="s">
        <v>10</v>
      </c>
      <c r="M176" t="s">
        <v>10</v>
      </c>
      <c r="N176" t="s">
        <v>57</v>
      </c>
      <c r="O176" t="str">
        <f>INDEX(CoverageTable[Deductible Applies],MATCH(Table1820[[#This Row],[Coverage]],CoverageTable[Coverage],0))</f>
        <v>No</v>
      </c>
      <c r="P176" t="str">
        <f>INDEX(CoverageTable[Coverage Limit Applies],MATCH(Table1820[[#This Row],[Coverage]],CoverageTable[Coverage],0))</f>
        <v>Yes</v>
      </c>
      <c r="Q176" t="s">
        <v>10</v>
      </c>
      <c r="R176" t="s">
        <v>78</v>
      </c>
      <c r="S176" t="s">
        <v>10</v>
      </c>
      <c r="T176" t="s">
        <v>10</v>
      </c>
      <c r="U176" t="s">
        <v>10</v>
      </c>
      <c r="V176" t="s">
        <v>10</v>
      </c>
      <c r="W176" t="s">
        <v>10</v>
      </c>
      <c r="X176" s="11">
        <v>124.77712945273805</v>
      </c>
      <c r="Y176">
        <f>_xlfn.XLOOKUP(Table1820[[#This Row],[Coverage]],CoverageTable[Coverage],CoverageTable[Base Rate],,0)</f>
        <v>78</v>
      </c>
      <c r="Z176">
        <f>INDEX(Table16[Ageband Factor],MATCH(Table1820[[#This Row],[Ageband]],Table16[Ageband],0))</f>
        <v>1.27</v>
      </c>
      <c r="AA176">
        <f>VLOOKUP(Table1820[[#This Row],[Years Driving]],Table1[],2)</f>
        <v>0.95</v>
      </c>
      <c r="AB176">
        <f>_xlfn.XLOOKUP(Table1820[[#This Row],[At Fault Accidents]],Table2[At Fault Accidents],Table2[At Fault Accident Factor],,0)</f>
        <v>2.12</v>
      </c>
      <c r="AC176">
        <f>_xlfn.XLOOKUP(Table1820[[#This Row],[Usage-Based Insurance]],Table3[Usage-Based Insurance],Table3[Usage-Based Insurance Discount],,0)</f>
        <v>1</v>
      </c>
      <c r="AD176">
        <f>_xlfn.XLOOKUP(Table1820[[#This Row],[Yearly Miles]],Table4[Yearly Miles],Table4[Yearly Miles Factor],,0)</f>
        <v>0.93</v>
      </c>
      <c r="AE176">
        <f>_xlfn.XLOOKUP(Table1820[[#This Row],[City/Zip Code]],Table5[City/Zip Code],Table5[City/Zip Code Factor],,0)</f>
        <v>1.1599999999999999</v>
      </c>
      <c r="AF176">
        <f>_xlfn.XLOOKUP(Table1820[[#This Row],[Vehicle Price]],Table6[Vehicle Price],Table6[Vehicle Price Factor])</f>
        <v>1.08</v>
      </c>
      <c r="AG176">
        <f>_xlfn.XLOOKUP(Table1820[[#This Row],[Exotic Car]],Table7[Exotic Car],Table7[Exotic Car Factor],,0)</f>
        <v>1</v>
      </c>
      <c r="AH176">
        <f>_xlfn.XLOOKUP(Table1820[[#This Row],[Difficult Parts]],Table8[Difficult Parts],Table8[Difficult Parts Factor],,0)</f>
        <v>1</v>
      </c>
      <c r="AI176">
        <f>_xlfn.XLOOKUP(Table1820[[#This Row],[High Theft Rate]],Table9[High Theft Rate],Table9[High Theft Rate Factor],,0)</f>
        <v>1</v>
      </c>
      <c r="AJ176">
        <f>_xlfn.XLOOKUP(Table1820[[#This Row],[Advanced Safety Features]],Table10[Advanced Safety Features],Table10[Advanced Safety Features Factor],,0)</f>
        <v>0.88</v>
      </c>
      <c r="AK176">
        <f>_xlfn.XLOOKUP(Table1820[[#This Row],[Deductible]],Table12[Deductible],Table12[Deductible Factor],,0)</f>
        <v>1</v>
      </c>
      <c r="AL176">
        <f>_xlfn.XLOOKUP(Table1820[[#This Row],[Coverage Limit]],Table13[Coverage Limit],Table13[Coverage Limit Factor],,0)</f>
        <v>0.61</v>
      </c>
      <c r="AM176">
        <f>IF(Table1820[[#This Row],[Good Student Discount]]="Yes",'Rate Book'!$D$126,1)</f>
        <v>1</v>
      </c>
      <c r="AN176">
        <f>IF(Table1820[[#This Row],[Good Driver Discount]]="Yes",'Rate Book'!$D$127,1)</f>
        <v>1</v>
      </c>
      <c r="AO176">
        <f>IF(Table1820[[#This Row],[Multi Policy Discount]]="Yes",'Rate Book'!$D$128,1)</f>
        <v>1</v>
      </c>
      <c r="AP176">
        <f>IF(Table1820[[#This Row],[Loyal Customer Discount]]="Yes",'Rate Book'!$D$129,1)</f>
        <v>1</v>
      </c>
      <c r="AQ176">
        <f>IF(Table1820[[#This Row],[Organization Discount]]="Yes",'Rate Book'!$D$130,1)</f>
        <v>1</v>
      </c>
      <c r="AR176" cm="1">
        <f t="array" ref="AR176">IF(Table1820[[#This Row],[Effective Date]]&gt;=RateChangeTable[Effective Date],RateChangeTable[Rate Change Factor],1)</f>
        <v>1</v>
      </c>
      <c r="AS176" s="10">
        <f>PRODUCT(Table1820[[#This Row],[Base Rate]:[Rate Change Factor]])</f>
        <v>124.77712945273805</v>
      </c>
      <c r="AT176" s="9">
        <f>Table1820[[#This Row],[System-Generated Premium]]-Table1820[[#This Row],[Expected Premium]]</f>
        <v>0</v>
      </c>
      <c r="AU176" t="str">
        <f>IF(Table1820[[#This Row],[Difference]]=0,"PASS","FAIL")</f>
        <v>PASS</v>
      </c>
      <c r="AV176" s="9">
        <f>ABS(Table1820[[#This Row],[Difference]])</f>
        <v>0</v>
      </c>
      <c r="AW176" s="9" t="s">
        <v>1136</v>
      </c>
    </row>
    <row r="177" spans="1:49" x14ac:dyDescent="0.3">
      <c r="A177" t="s">
        <v>268</v>
      </c>
      <c r="B177" s="7">
        <v>46120</v>
      </c>
      <c r="C177" t="s">
        <v>70</v>
      </c>
      <c r="D177" t="s">
        <v>1101</v>
      </c>
      <c r="E177" s="3">
        <v>6</v>
      </c>
      <c r="F177" s="3" t="s">
        <v>7</v>
      </c>
      <c r="G177" t="s">
        <v>13</v>
      </c>
      <c r="H177" t="s">
        <v>1110</v>
      </c>
      <c r="I177" t="s">
        <v>44</v>
      </c>
      <c r="J177" t="s">
        <v>48</v>
      </c>
      <c r="K177" t="s">
        <v>10</v>
      </c>
      <c r="L177" t="s">
        <v>10</v>
      </c>
      <c r="M177" t="s">
        <v>10</v>
      </c>
      <c r="N177" t="s">
        <v>57</v>
      </c>
      <c r="O177" t="str">
        <f>INDEX(CoverageTable[Deductible Applies],MATCH(Table1820[[#This Row],[Coverage]],CoverageTable[Coverage],0))</f>
        <v>No</v>
      </c>
      <c r="P177" t="str">
        <f>INDEX(CoverageTable[Coverage Limit Applies],MATCH(Table1820[[#This Row],[Coverage]],CoverageTable[Coverage],0))</f>
        <v>Yes</v>
      </c>
      <c r="Q177" t="s">
        <v>10</v>
      </c>
      <c r="R177" t="s">
        <v>80</v>
      </c>
      <c r="S177" t="s">
        <v>10</v>
      </c>
      <c r="T177" t="s">
        <v>10</v>
      </c>
      <c r="U177" t="s">
        <v>10</v>
      </c>
      <c r="V177" t="s">
        <v>57</v>
      </c>
      <c r="W177" t="s">
        <v>10</v>
      </c>
      <c r="X177" s="11">
        <v>1026.4966387244237</v>
      </c>
      <c r="Y177">
        <f>_xlfn.XLOOKUP(Table1820[[#This Row],[Coverage]],CoverageTable[Coverage],CoverageTable[Base Rate],,0)</f>
        <v>622</v>
      </c>
      <c r="Z177">
        <f>INDEX(Table16[Ageband Factor],MATCH(Table1820[[#This Row],[Ageband]],Table16[Ageband],0))</f>
        <v>1.1200000000000001</v>
      </c>
      <c r="AA177">
        <f>VLOOKUP(Table1820[[#This Row],[Years Driving]],Table1[],2)</f>
        <v>1</v>
      </c>
      <c r="AB177">
        <f>_xlfn.XLOOKUP(Table1820[[#This Row],[At Fault Accidents]],Table2[At Fault Accidents],Table2[At Fault Accident Factor],,0)</f>
        <v>2.4700000000000002</v>
      </c>
      <c r="AC177">
        <f>_xlfn.XLOOKUP(Table1820[[#This Row],[Usage-Based Insurance]],Table3[Usage-Based Insurance],Table3[Usage-Based Insurance Discount],,0)</f>
        <v>0.65</v>
      </c>
      <c r="AD177">
        <f>_xlfn.XLOOKUP(Table1820[[#This Row],[Yearly Miles]],Table4[Yearly Miles],Table4[Yearly Miles Factor],,0)</f>
        <v>1.31</v>
      </c>
      <c r="AE177">
        <f>_xlfn.XLOOKUP(Table1820[[#This Row],[City/Zip Code]],Table5[City/Zip Code],Table5[City/Zip Code Factor],,0)</f>
        <v>1.1599999999999999</v>
      </c>
      <c r="AF177">
        <f>_xlfn.XLOOKUP(Table1820[[#This Row],[Vehicle Price]],Table6[Vehicle Price],Table6[Vehicle Price Factor])</f>
        <v>0.82</v>
      </c>
      <c r="AG177">
        <f>_xlfn.XLOOKUP(Table1820[[#This Row],[Exotic Car]],Table7[Exotic Car],Table7[Exotic Car Factor],,0)</f>
        <v>1</v>
      </c>
      <c r="AH177">
        <f>_xlfn.XLOOKUP(Table1820[[#This Row],[Difficult Parts]],Table8[Difficult Parts],Table8[Difficult Parts Factor],,0)</f>
        <v>1</v>
      </c>
      <c r="AI177">
        <f>_xlfn.XLOOKUP(Table1820[[#This Row],[High Theft Rate]],Table9[High Theft Rate],Table9[High Theft Rate Factor],,0)</f>
        <v>1</v>
      </c>
      <c r="AJ177">
        <f>_xlfn.XLOOKUP(Table1820[[#This Row],[Advanced Safety Features]],Table10[Advanced Safety Features],Table10[Advanced Safety Features Factor],,0)</f>
        <v>0.88</v>
      </c>
      <c r="AK177">
        <f>_xlfn.XLOOKUP(Table1820[[#This Row],[Deductible]],Table12[Deductible],Table12[Deductible Factor],,0)</f>
        <v>1</v>
      </c>
      <c r="AL177">
        <f>_xlfn.XLOOKUP(Table1820[[#This Row],[Coverage Limit]],Table13[Coverage Limit],Table13[Coverage Limit Factor],,0)</f>
        <v>0.84</v>
      </c>
      <c r="AM177">
        <f>IF(Table1820[[#This Row],[Good Student Discount]]="Yes",'Rate Book'!$D$126,1)</f>
        <v>1</v>
      </c>
      <c r="AN177">
        <f>IF(Table1820[[#This Row],[Good Driver Discount]]="Yes",'Rate Book'!$D$127,1)</f>
        <v>1</v>
      </c>
      <c r="AO177">
        <f>IF(Table1820[[#This Row],[Multi Policy Discount]]="Yes",'Rate Book'!$D$128,1)</f>
        <v>1</v>
      </c>
      <c r="AP177">
        <f>IF(Table1820[[#This Row],[Loyal Customer Discount]]="Yes",'Rate Book'!$D$129,1)</f>
        <v>0.94</v>
      </c>
      <c r="AQ177">
        <f>IF(Table1820[[#This Row],[Organization Discount]]="Yes",'Rate Book'!$D$130,1)</f>
        <v>1</v>
      </c>
      <c r="AR177" cm="1">
        <f t="array" ref="AR177">IF(Table1820[[#This Row],[Effective Date]]&gt;=RateChangeTable[Effective Date],RateChangeTable[Rate Change Factor],1)</f>
        <v>1.06</v>
      </c>
      <c r="AS177" s="10">
        <f>PRODUCT(Table1820[[#This Row],[Base Rate]:[Rate Change Factor]])</f>
        <v>1026.4966387244237</v>
      </c>
      <c r="AT177" s="9">
        <f>Table1820[[#This Row],[System-Generated Premium]]-Table1820[[#This Row],[Expected Premium]]</f>
        <v>0</v>
      </c>
      <c r="AU177" t="str">
        <f>IF(Table1820[[#This Row],[Difference]]=0,"PASS","FAIL")</f>
        <v>PASS</v>
      </c>
      <c r="AV177" s="9">
        <f>ABS(Table1820[[#This Row],[Difference]])</f>
        <v>0</v>
      </c>
      <c r="AW177" s="9" t="s">
        <v>1136</v>
      </c>
    </row>
    <row r="178" spans="1:49" x14ac:dyDescent="0.3">
      <c r="A178" t="s">
        <v>269</v>
      </c>
      <c r="B178" s="7">
        <v>46075</v>
      </c>
      <c r="C178" t="s">
        <v>74</v>
      </c>
      <c r="D178" t="s">
        <v>1102</v>
      </c>
      <c r="E178" s="3">
        <v>6</v>
      </c>
      <c r="F178" s="3" t="s">
        <v>7</v>
      </c>
      <c r="G178" t="s">
        <v>10</v>
      </c>
      <c r="H178" t="s">
        <v>1106</v>
      </c>
      <c r="I178" t="s">
        <v>26</v>
      </c>
      <c r="J178" t="s">
        <v>52</v>
      </c>
      <c r="K178" t="s">
        <v>10</v>
      </c>
      <c r="L178" t="s">
        <v>10</v>
      </c>
      <c r="M178" t="s">
        <v>10</v>
      </c>
      <c r="N178" t="s">
        <v>57</v>
      </c>
      <c r="O178" t="str">
        <f>INDEX(CoverageTable[Deductible Applies],MATCH(Table1820[[#This Row],[Coverage]],CoverageTable[Coverage],0))</f>
        <v>No</v>
      </c>
      <c r="P178" t="str">
        <f>INDEX(CoverageTable[Coverage Limit Applies],MATCH(Table1820[[#This Row],[Coverage]],CoverageTable[Coverage],0))</f>
        <v>Yes</v>
      </c>
      <c r="Q178" t="s">
        <v>10</v>
      </c>
      <c r="R178" t="s">
        <v>79</v>
      </c>
      <c r="S178" t="s">
        <v>10</v>
      </c>
      <c r="T178" t="s">
        <v>57</v>
      </c>
      <c r="U178" t="s">
        <v>10</v>
      </c>
      <c r="V178" t="s">
        <v>10</v>
      </c>
      <c r="W178" t="s">
        <v>10</v>
      </c>
      <c r="X178" s="11">
        <v>113.8169429539266</v>
      </c>
      <c r="Y178">
        <f>_xlfn.XLOOKUP(Table1820[[#This Row],[Coverage]],CoverageTable[Coverage],CoverageTable[Base Rate],,0)</f>
        <v>41</v>
      </c>
      <c r="Z178">
        <f>INDEX(Table16[Ageband Factor],MATCH(Table1820[[#This Row],[Ageband]],Table16[Ageband],0))</f>
        <v>1.27</v>
      </c>
      <c r="AA178">
        <f>VLOOKUP(Table1820[[#This Row],[Years Driving]],Table1[],2)</f>
        <v>1</v>
      </c>
      <c r="AB178">
        <f>_xlfn.XLOOKUP(Table1820[[#This Row],[At Fault Accidents]],Table2[At Fault Accidents],Table2[At Fault Accident Factor],,0)</f>
        <v>2.4700000000000002</v>
      </c>
      <c r="AC178">
        <f>_xlfn.XLOOKUP(Table1820[[#This Row],[Usage-Based Insurance]],Table3[Usage-Based Insurance],Table3[Usage-Based Insurance Discount],,0)</f>
        <v>1</v>
      </c>
      <c r="AD178">
        <f>_xlfn.XLOOKUP(Table1820[[#This Row],[Yearly Miles]],Table4[Yearly Miles],Table4[Yearly Miles Factor],,0)</f>
        <v>0.82</v>
      </c>
      <c r="AE178">
        <f>_xlfn.XLOOKUP(Table1820[[#This Row],[City/Zip Code]],Table5[City/Zip Code],Table5[City/Zip Code Factor],,0)</f>
        <v>1.1499999999999999</v>
      </c>
      <c r="AF178">
        <f>_xlfn.XLOOKUP(Table1820[[#This Row],[Vehicle Price]],Table6[Vehicle Price],Table6[Vehicle Price Factor])</f>
        <v>1.57</v>
      </c>
      <c r="AG178">
        <f>_xlfn.XLOOKUP(Table1820[[#This Row],[Exotic Car]],Table7[Exotic Car],Table7[Exotic Car Factor],,0)</f>
        <v>1</v>
      </c>
      <c r="AH178">
        <f>_xlfn.XLOOKUP(Table1820[[#This Row],[Difficult Parts]],Table8[Difficult Parts],Table8[Difficult Parts Factor],,0)</f>
        <v>1</v>
      </c>
      <c r="AI178">
        <f>_xlfn.XLOOKUP(Table1820[[#This Row],[High Theft Rate]],Table9[High Theft Rate],Table9[High Theft Rate Factor],,0)</f>
        <v>1</v>
      </c>
      <c r="AJ178">
        <f>_xlfn.XLOOKUP(Table1820[[#This Row],[Advanced Safety Features]],Table10[Advanced Safety Features],Table10[Advanced Safety Features Factor],,0)</f>
        <v>0.88</v>
      </c>
      <c r="AK178">
        <f>_xlfn.XLOOKUP(Table1820[[#This Row],[Deductible]],Table12[Deductible],Table12[Deductible Factor],,0)</f>
        <v>1</v>
      </c>
      <c r="AL178">
        <f>_xlfn.XLOOKUP(Table1820[[#This Row],[Coverage Limit]],Table13[Coverage Limit],Table13[Coverage Limit Factor],,0)</f>
        <v>0.72</v>
      </c>
      <c r="AM178">
        <f>IF(Table1820[[#This Row],[Good Student Discount]]="Yes",'Rate Book'!$D$126,1)</f>
        <v>1</v>
      </c>
      <c r="AN178">
        <f>IF(Table1820[[#This Row],[Good Driver Discount]]="Yes",'Rate Book'!$D$127,1)</f>
        <v>0.89</v>
      </c>
      <c r="AO178">
        <f>IF(Table1820[[#This Row],[Multi Policy Discount]]="Yes",'Rate Book'!$D$128,1)</f>
        <v>1</v>
      </c>
      <c r="AP178">
        <f>IF(Table1820[[#This Row],[Loyal Customer Discount]]="Yes",'Rate Book'!$D$129,1)</f>
        <v>1</v>
      </c>
      <c r="AQ178">
        <f>IF(Table1820[[#This Row],[Organization Discount]]="Yes",'Rate Book'!$D$130,1)</f>
        <v>1</v>
      </c>
      <c r="AR178" cm="1">
        <f t="array" ref="AR178">IF(Table1820[[#This Row],[Effective Date]]&gt;=RateChangeTable[Effective Date],RateChangeTable[Rate Change Factor],1)</f>
        <v>1.06</v>
      </c>
      <c r="AS178" s="10">
        <f>PRODUCT(Table1820[[#This Row],[Base Rate]:[Rate Change Factor]])</f>
        <v>113.8169429539266</v>
      </c>
      <c r="AT178" s="9">
        <f>Table1820[[#This Row],[System-Generated Premium]]-Table1820[[#This Row],[Expected Premium]]</f>
        <v>0</v>
      </c>
      <c r="AU178" t="str">
        <f>IF(Table1820[[#This Row],[Difference]]=0,"PASS","FAIL")</f>
        <v>PASS</v>
      </c>
      <c r="AV178" s="9">
        <f>ABS(Table1820[[#This Row],[Difference]])</f>
        <v>0</v>
      </c>
      <c r="AW178" s="9" t="s">
        <v>1136</v>
      </c>
    </row>
    <row r="179" spans="1:49" x14ac:dyDescent="0.3">
      <c r="A179" t="s">
        <v>270</v>
      </c>
      <c r="B179" s="7">
        <v>46061</v>
      </c>
      <c r="C179" t="s">
        <v>70</v>
      </c>
      <c r="D179" t="s">
        <v>1098</v>
      </c>
      <c r="E179" s="3" t="s">
        <v>1103</v>
      </c>
      <c r="F179" s="3">
        <v>4</v>
      </c>
      <c r="G179" t="s">
        <v>10</v>
      </c>
      <c r="H179" t="s">
        <v>1108</v>
      </c>
      <c r="I179" t="s">
        <v>24</v>
      </c>
      <c r="J179" t="s">
        <v>51</v>
      </c>
      <c r="K179" t="s">
        <v>10</v>
      </c>
      <c r="L179" t="s">
        <v>10</v>
      </c>
      <c r="M179" t="s">
        <v>10</v>
      </c>
      <c r="N179" t="s">
        <v>57</v>
      </c>
      <c r="O179" t="str">
        <f>INDEX(CoverageTable[Deductible Applies],MATCH(Table1820[[#This Row],[Coverage]],CoverageTable[Coverage],0))</f>
        <v>No</v>
      </c>
      <c r="P179" t="str">
        <f>INDEX(CoverageTable[Coverage Limit Applies],MATCH(Table1820[[#This Row],[Coverage]],CoverageTable[Coverage],0))</f>
        <v>Yes</v>
      </c>
      <c r="Q179" t="s">
        <v>10</v>
      </c>
      <c r="R179" t="s">
        <v>78</v>
      </c>
      <c r="S179" t="s">
        <v>10</v>
      </c>
      <c r="T179" t="s">
        <v>10</v>
      </c>
      <c r="U179" t="s">
        <v>10</v>
      </c>
      <c r="V179" t="s">
        <v>10</v>
      </c>
      <c r="W179" t="s">
        <v>10</v>
      </c>
      <c r="X179" s="11">
        <v>1307.3431903221992</v>
      </c>
      <c r="Y179">
        <f>_xlfn.XLOOKUP(Table1820[[#This Row],[Coverage]],CoverageTable[Coverage],CoverageTable[Base Rate],,0)</f>
        <v>622</v>
      </c>
      <c r="Z179">
        <f>INDEX(Table16[Ageband Factor],MATCH(Table1820[[#This Row],[Ageband]],Table16[Ageband],0))</f>
        <v>1.23</v>
      </c>
      <c r="AA179">
        <f>VLOOKUP(Table1820[[#This Row],[Years Driving]],Table1[],2)</f>
        <v>0.93</v>
      </c>
      <c r="AB179">
        <f>_xlfn.XLOOKUP(Table1820[[#This Row],[At Fault Accidents]],Table2[At Fault Accidents],Table2[At Fault Accident Factor],,0)</f>
        <v>2.12</v>
      </c>
      <c r="AC179">
        <f>_xlfn.XLOOKUP(Table1820[[#This Row],[Usage-Based Insurance]],Table3[Usage-Based Insurance],Table3[Usage-Based Insurance Discount],,0)</f>
        <v>1</v>
      </c>
      <c r="AD179">
        <f>_xlfn.XLOOKUP(Table1820[[#This Row],[Yearly Miles]],Table4[Yearly Miles],Table4[Yearly Miles Factor],,0)</f>
        <v>1</v>
      </c>
      <c r="AE179">
        <f>_xlfn.XLOOKUP(Table1820[[#This Row],[City/Zip Code]],Table5[City/Zip Code],Table5[City/Zip Code Factor],,0)</f>
        <v>1.19</v>
      </c>
      <c r="AF179">
        <f>_xlfn.XLOOKUP(Table1820[[#This Row],[Vehicle Price]],Table6[Vehicle Price],Table6[Vehicle Price Factor])</f>
        <v>1.28</v>
      </c>
      <c r="AG179">
        <f>_xlfn.XLOOKUP(Table1820[[#This Row],[Exotic Car]],Table7[Exotic Car],Table7[Exotic Car Factor],,0)</f>
        <v>1</v>
      </c>
      <c r="AH179">
        <f>_xlfn.XLOOKUP(Table1820[[#This Row],[Difficult Parts]],Table8[Difficult Parts],Table8[Difficult Parts Factor],,0)</f>
        <v>1</v>
      </c>
      <c r="AI179">
        <f>_xlfn.XLOOKUP(Table1820[[#This Row],[High Theft Rate]],Table9[High Theft Rate],Table9[High Theft Rate Factor],,0)</f>
        <v>1</v>
      </c>
      <c r="AJ179">
        <f>_xlfn.XLOOKUP(Table1820[[#This Row],[Advanced Safety Features]],Table10[Advanced Safety Features],Table10[Advanced Safety Features Factor],,0)</f>
        <v>0.88</v>
      </c>
      <c r="AK179">
        <f>_xlfn.XLOOKUP(Table1820[[#This Row],[Deductible]],Table12[Deductible],Table12[Deductible Factor],,0)</f>
        <v>1</v>
      </c>
      <c r="AL179">
        <f>_xlfn.XLOOKUP(Table1820[[#This Row],[Coverage Limit]],Table13[Coverage Limit],Table13[Coverage Limit Factor],,0)</f>
        <v>0.61</v>
      </c>
      <c r="AM179">
        <f>IF(Table1820[[#This Row],[Good Student Discount]]="Yes",'Rate Book'!$D$126,1)</f>
        <v>1</v>
      </c>
      <c r="AN179">
        <f>IF(Table1820[[#This Row],[Good Driver Discount]]="Yes",'Rate Book'!$D$127,1)</f>
        <v>1</v>
      </c>
      <c r="AO179">
        <f>IF(Table1820[[#This Row],[Multi Policy Discount]]="Yes",'Rate Book'!$D$128,1)</f>
        <v>1</v>
      </c>
      <c r="AP179">
        <f>IF(Table1820[[#This Row],[Loyal Customer Discount]]="Yes",'Rate Book'!$D$129,1)</f>
        <v>1</v>
      </c>
      <c r="AQ179">
        <f>IF(Table1820[[#This Row],[Organization Discount]]="Yes",'Rate Book'!$D$130,1)</f>
        <v>1</v>
      </c>
      <c r="AR179" cm="1">
        <f t="array" ref="AR179">IF(Table1820[[#This Row],[Effective Date]]&gt;=RateChangeTable[Effective Date],RateChangeTable[Rate Change Factor],1)</f>
        <v>1.06</v>
      </c>
      <c r="AS179" s="10">
        <f>PRODUCT(Table1820[[#This Row],[Base Rate]:[Rate Change Factor]])</f>
        <v>1307.3431903221992</v>
      </c>
      <c r="AT179" s="9">
        <f>Table1820[[#This Row],[System-Generated Premium]]-Table1820[[#This Row],[Expected Premium]]</f>
        <v>0</v>
      </c>
      <c r="AU179" t="str">
        <f>IF(Table1820[[#This Row],[Difference]]=0,"PASS","FAIL")</f>
        <v>PASS</v>
      </c>
      <c r="AV179" s="9">
        <f>ABS(Table1820[[#This Row],[Difference]])</f>
        <v>0</v>
      </c>
      <c r="AW179" s="9" t="s">
        <v>1136</v>
      </c>
    </row>
    <row r="180" spans="1:49" x14ac:dyDescent="0.3">
      <c r="A180" t="s">
        <v>271</v>
      </c>
      <c r="B180" s="7">
        <v>46046</v>
      </c>
      <c r="C180" t="s">
        <v>70</v>
      </c>
      <c r="D180" t="s">
        <v>1097</v>
      </c>
      <c r="E180" s="3">
        <v>5</v>
      </c>
      <c r="F180" s="3">
        <v>3</v>
      </c>
      <c r="G180" t="s">
        <v>13</v>
      </c>
      <c r="H180" t="s">
        <v>1109</v>
      </c>
      <c r="I180" t="s">
        <v>39</v>
      </c>
      <c r="J180" t="s">
        <v>54</v>
      </c>
      <c r="K180" t="s">
        <v>10</v>
      </c>
      <c r="L180" t="s">
        <v>10</v>
      </c>
      <c r="M180" t="s">
        <v>57</v>
      </c>
      <c r="N180" t="s">
        <v>57</v>
      </c>
      <c r="O180" t="str">
        <f>INDEX(CoverageTable[Deductible Applies],MATCH(Table1820[[#This Row],[Coverage]],CoverageTable[Coverage],0))</f>
        <v>No</v>
      </c>
      <c r="P180" t="str">
        <f>INDEX(CoverageTable[Coverage Limit Applies],MATCH(Table1820[[#This Row],[Coverage]],CoverageTable[Coverage],0))</f>
        <v>Yes</v>
      </c>
      <c r="Q180" t="s">
        <v>10</v>
      </c>
      <c r="R180" t="s">
        <v>79</v>
      </c>
      <c r="S180" t="s">
        <v>10</v>
      </c>
      <c r="T180" t="s">
        <v>10</v>
      </c>
      <c r="U180" t="s">
        <v>10</v>
      </c>
      <c r="V180" t="s">
        <v>57</v>
      </c>
      <c r="W180" t="s">
        <v>57</v>
      </c>
      <c r="X180" s="11">
        <v>2700.2197450879598</v>
      </c>
      <c r="Y180">
        <f>_xlfn.XLOOKUP(Table1820[[#This Row],[Coverage]],CoverageTable[Coverage],CoverageTable[Base Rate],,0)</f>
        <v>622</v>
      </c>
      <c r="Z180">
        <f>INDEX(Table16[Ageband Factor],MATCH(Table1820[[#This Row],[Ageband]],Table16[Ageband],0))</f>
        <v>1.32</v>
      </c>
      <c r="AA180">
        <f>VLOOKUP(Table1820[[#This Row],[Years Driving]],Table1[],2)</f>
        <v>1.07</v>
      </c>
      <c r="AB180">
        <f>_xlfn.XLOOKUP(Table1820[[#This Row],[At Fault Accidents]],Table2[At Fault Accidents],Table2[At Fault Accident Factor],,0)</f>
        <v>1.82</v>
      </c>
      <c r="AC180">
        <f>_xlfn.XLOOKUP(Table1820[[#This Row],[Usage-Based Insurance]],Table3[Usage-Based Insurance],Table3[Usage-Based Insurance Discount],,0)</f>
        <v>0.65</v>
      </c>
      <c r="AD180">
        <f>_xlfn.XLOOKUP(Table1820[[#This Row],[Yearly Miles]],Table4[Yearly Miles],Table4[Yearly Miles Factor],,0)</f>
        <v>1.18</v>
      </c>
      <c r="AE180">
        <f>_xlfn.XLOOKUP(Table1820[[#This Row],[City/Zip Code]],Table5[City/Zip Code],Table5[City/Zip Code Factor],,0)</f>
        <v>1.08</v>
      </c>
      <c r="AF180">
        <f>_xlfn.XLOOKUP(Table1820[[#This Row],[Vehicle Price]],Table6[Vehicle Price],Table6[Vehicle Price Factor])</f>
        <v>2.87</v>
      </c>
      <c r="AG180">
        <f>_xlfn.XLOOKUP(Table1820[[#This Row],[Exotic Car]],Table7[Exotic Car],Table7[Exotic Car Factor],,0)</f>
        <v>1</v>
      </c>
      <c r="AH180">
        <f>_xlfn.XLOOKUP(Table1820[[#This Row],[Difficult Parts]],Table8[Difficult Parts],Table8[Difficult Parts Factor],,0)</f>
        <v>1</v>
      </c>
      <c r="AI180">
        <f>_xlfn.XLOOKUP(Table1820[[#This Row],[High Theft Rate]],Table9[High Theft Rate],Table9[High Theft Rate Factor],,0)</f>
        <v>1.1599999999999999</v>
      </c>
      <c r="AJ180">
        <f>_xlfn.XLOOKUP(Table1820[[#This Row],[Advanced Safety Features]],Table10[Advanced Safety Features],Table10[Advanced Safety Features Factor],,0)</f>
        <v>0.88</v>
      </c>
      <c r="AK180">
        <f>_xlfn.XLOOKUP(Table1820[[#This Row],[Deductible]],Table12[Deductible],Table12[Deductible Factor],,0)</f>
        <v>1</v>
      </c>
      <c r="AL180">
        <f>_xlfn.XLOOKUP(Table1820[[#This Row],[Coverage Limit]],Table13[Coverage Limit],Table13[Coverage Limit Factor],,0)</f>
        <v>0.72</v>
      </c>
      <c r="AM180">
        <f>IF(Table1820[[#This Row],[Good Student Discount]]="Yes",'Rate Book'!$D$126,1)</f>
        <v>1</v>
      </c>
      <c r="AN180">
        <f>IF(Table1820[[#This Row],[Good Driver Discount]]="Yes",'Rate Book'!$D$127,1)</f>
        <v>1</v>
      </c>
      <c r="AO180">
        <f>IF(Table1820[[#This Row],[Multi Policy Discount]]="Yes",'Rate Book'!$D$128,1)</f>
        <v>1</v>
      </c>
      <c r="AP180">
        <f>IF(Table1820[[#This Row],[Loyal Customer Discount]]="Yes",'Rate Book'!$D$129,1)</f>
        <v>0.94</v>
      </c>
      <c r="AQ180">
        <f>IF(Table1820[[#This Row],[Organization Discount]]="Yes",'Rate Book'!$D$130,1)</f>
        <v>0.97</v>
      </c>
      <c r="AR180" cm="1">
        <f t="array" ref="AR180">IF(Table1820[[#This Row],[Effective Date]]&gt;=RateChangeTable[Effective Date],RateChangeTable[Rate Change Factor],1)</f>
        <v>1.06</v>
      </c>
      <c r="AS180" s="10">
        <f>PRODUCT(Table1820[[#This Row],[Base Rate]:[Rate Change Factor]])</f>
        <v>2700.2197450879598</v>
      </c>
      <c r="AT180" s="9">
        <f>Table1820[[#This Row],[System-Generated Premium]]-Table1820[[#This Row],[Expected Premium]]</f>
        <v>0</v>
      </c>
      <c r="AU180" t="str">
        <f>IF(Table1820[[#This Row],[Difference]]=0,"PASS","FAIL")</f>
        <v>PASS</v>
      </c>
      <c r="AV180" s="9">
        <f>ABS(Table1820[[#This Row],[Difference]])</f>
        <v>0</v>
      </c>
      <c r="AW180" s="9" t="s">
        <v>1136</v>
      </c>
    </row>
    <row r="181" spans="1:49" x14ac:dyDescent="0.3">
      <c r="A181" t="s">
        <v>272</v>
      </c>
      <c r="B181" s="7">
        <v>45937</v>
      </c>
      <c r="C181" t="s">
        <v>72</v>
      </c>
      <c r="D181" t="s">
        <v>1102</v>
      </c>
      <c r="E181" s="3">
        <v>7</v>
      </c>
      <c r="F181" s="3">
        <v>0</v>
      </c>
      <c r="G181" t="s">
        <v>12</v>
      </c>
      <c r="H181" t="s">
        <v>1108</v>
      </c>
      <c r="I181" t="s">
        <v>39</v>
      </c>
      <c r="J181" t="s">
        <v>53</v>
      </c>
      <c r="K181" t="s">
        <v>10</v>
      </c>
      <c r="L181" t="s">
        <v>57</v>
      </c>
      <c r="M181" t="s">
        <v>10</v>
      </c>
      <c r="N181" t="s">
        <v>10</v>
      </c>
      <c r="O181" t="str">
        <f>INDEX(CoverageTable[Deductible Applies],MATCH(Table1820[[#This Row],[Coverage]],CoverageTable[Coverage],0))</f>
        <v>Yes</v>
      </c>
      <c r="P181" t="str">
        <f>INDEX(CoverageTable[Coverage Limit Applies],MATCH(Table1820[[#This Row],[Coverage]],CoverageTable[Coverage],0))</f>
        <v>No</v>
      </c>
      <c r="Q181" t="s">
        <v>79</v>
      </c>
      <c r="R181" t="s">
        <v>10</v>
      </c>
      <c r="S181" t="s">
        <v>10</v>
      </c>
      <c r="T181" t="s">
        <v>10</v>
      </c>
      <c r="U181" t="s">
        <v>10</v>
      </c>
      <c r="V181" t="s">
        <v>57</v>
      </c>
      <c r="W181" t="s">
        <v>57</v>
      </c>
      <c r="X181" s="11">
        <v>236.12504447512191</v>
      </c>
      <c r="Y181">
        <f>_xlfn.XLOOKUP(Table1820[[#This Row],[Coverage]],CoverageTable[Coverage],CoverageTable[Base Rate],,0)</f>
        <v>121</v>
      </c>
      <c r="Z181">
        <f>INDEX(Table16[Ageband Factor],MATCH(Table1820[[#This Row],[Ageband]],Table16[Ageband],0))</f>
        <v>1.27</v>
      </c>
      <c r="AA181">
        <f>VLOOKUP(Table1820[[#This Row],[Years Driving]],Table1[],2)</f>
        <v>0.95</v>
      </c>
      <c r="AB181">
        <f>_xlfn.XLOOKUP(Table1820[[#This Row],[At Fault Accidents]],Table2[At Fault Accidents],Table2[At Fault Accident Factor],,0)</f>
        <v>1</v>
      </c>
      <c r="AC181">
        <f>_xlfn.XLOOKUP(Table1820[[#This Row],[Usage-Based Insurance]],Table3[Usage-Based Insurance],Table3[Usage-Based Insurance Discount],,0)</f>
        <v>0.8</v>
      </c>
      <c r="AD181">
        <f>_xlfn.XLOOKUP(Table1820[[#This Row],[Yearly Miles]],Table4[Yearly Miles],Table4[Yearly Miles Factor],,0)</f>
        <v>1</v>
      </c>
      <c r="AE181">
        <f>_xlfn.XLOOKUP(Table1820[[#This Row],[City/Zip Code]],Table5[City/Zip Code],Table5[City/Zip Code Factor],,0)</f>
        <v>1.08</v>
      </c>
      <c r="AF181">
        <f>_xlfn.XLOOKUP(Table1820[[#This Row],[Vehicle Price]],Table6[Vehicle Price],Table6[Vehicle Price Factor])</f>
        <v>2.02</v>
      </c>
      <c r="AG181">
        <f>_xlfn.XLOOKUP(Table1820[[#This Row],[Exotic Car]],Table7[Exotic Car],Table7[Exotic Car Factor],,0)</f>
        <v>1</v>
      </c>
      <c r="AH181">
        <f>_xlfn.XLOOKUP(Table1820[[#This Row],[Difficult Parts]],Table8[Difficult Parts],Table8[Difficult Parts Factor],,0)</f>
        <v>1.21</v>
      </c>
      <c r="AI181">
        <f>_xlfn.XLOOKUP(Table1820[[#This Row],[High Theft Rate]],Table9[High Theft Rate],Table9[High Theft Rate Factor],,0)</f>
        <v>1</v>
      </c>
      <c r="AJ181">
        <f>_xlfn.XLOOKUP(Table1820[[#This Row],[Advanced Safety Features]],Table10[Advanced Safety Features],Table10[Advanced Safety Features Factor],,0)</f>
        <v>1</v>
      </c>
      <c r="AK181">
        <f>_xlfn.XLOOKUP(Table1820[[#This Row],[Deductible]],Table12[Deductible],Table12[Deductible Factor],,0)</f>
        <v>0.84</v>
      </c>
      <c r="AL181">
        <f>_xlfn.XLOOKUP(Table1820[[#This Row],[Coverage Limit]],Table13[Coverage Limit],Table13[Coverage Limit Factor],,0)</f>
        <v>1</v>
      </c>
      <c r="AM181">
        <f>IF(Table1820[[#This Row],[Good Student Discount]]="Yes",'Rate Book'!$D$126,1)</f>
        <v>1</v>
      </c>
      <c r="AN181">
        <f>IF(Table1820[[#This Row],[Good Driver Discount]]="Yes",'Rate Book'!$D$127,1)</f>
        <v>1</v>
      </c>
      <c r="AO181">
        <f>IF(Table1820[[#This Row],[Multi Policy Discount]]="Yes",'Rate Book'!$D$128,1)</f>
        <v>1</v>
      </c>
      <c r="AP181">
        <f>IF(Table1820[[#This Row],[Loyal Customer Discount]]="Yes",'Rate Book'!$D$129,1)</f>
        <v>0.94</v>
      </c>
      <c r="AQ181">
        <f>IF(Table1820[[#This Row],[Organization Discount]]="Yes",'Rate Book'!$D$130,1)</f>
        <v>0.97</v>
      </c>
      <c r="AR181" cm="1">
        <f t="array" ref="AR181">IF(Table1820[[#This Row],[Effective Date]]&gt;=RateChangeTable[Effective Date],RateChangeTable[Rate Change Factor],1)</f>
        <v>1</v>
      </c>
      <c r="AS181" s="10">
        <f>PRODUCT(Table1820[[#This Row],[Base Rate]:[Rate Change Factor]])</f>
        <v>236.12504447512191</v>
      </c>
      <c r="AT181" s="9">
        <f>Table1820[[#This Row],[System-Generated Premium]]-Table1820[[#This Row],[Expected Premium]]</f>
        <v>0</v>
      </c>
      <c r="AU181" t="str">
        <f>IF(Table1820[[#This Row],[Difference]]=0,"PASS","FAIL")</f>
        <v>PASS</v>
      </c>
      <c r="AV181" s="9">
        <f>ABS(Table1820[[#This Row],[Difference]])</f>
        <v>0</v>
      </c>
      <c r="AW181" s="9" t="s">
        <v>1136</v>
      </c>
    </row>
    <row r="182" spans="1:49" x14ac:dyDescent="0.3">
      <c r="A182" t="s">
        <v>273</v>
      </c>
      <c r="B182" s="7">
        <v>45803</v>
      </c>
      <c r="C182" t="s">
        <v>71</v>
      </c>
      <c r="D182" t="s">
        <v>1100</v>
      </c>
      <c r="E182" s="3">
        <v>1</v>
      </c>
      <c r="F182" s="3" t="s">
        <v>7</v>
      </c>
      <c r="G182" t="s">
        <v>13</v>
      </c>
      <c r="H182" t="s">
        <v>1110</v>
      </c>
      <c r="I182" t="s">
        <v>21</v>
      </c>
      <c r="J182" t="s">
        <v>54</v>
      </c>
      <c r="K182" t="s">
        <v>10</v>
      </c>
      <c r="L182" t="s">
        <v>10</v>
      </c>
      <c r="M182" t="s">
        <v>10</v>
      </c>
      <c r="N182" t="s">
        <v>10</v>
      </c>
      <c r="O182" t="str">
        <f>INDEX(CoverageTable[Deductible Applies],MATCH(Table1820[[#This Row],[Coverage]],CoverageTable[Coverage],0))</f>
        <v>Yes</v>
      </c>
      <c r="P182" t="str">
        <f>INDEX(CoverageTable[Coverage Limit Applies],MATCH(Table1820[[#This Row],[Coverage]],CoverageTable[Coverage],0))</f>
        <v>No</v>
      </c>
      <c r="Q182" t="s">
        <v>79</v>
      </c>
      <c r="R182" t="s">
        <v>10</v>
      </c>
      <c r="S182" t="s">
        <v>10</v>
      </c>
      <c r="T182" t="s">
        <v>10</v>
      </c>
      <c r="U182" t="s">
        <v>10</v>
      </c>
      <c r="V182" t="s">
        <v>57</v>
      </c>
      <c r="W182" t="s">
        <v>10</v>
      </c>
      <c r="X182" s="11">
        <v>4773.8307194758954</v>
      </c>
      <c r="Y182">
        <f>_xlfn.XLOOKUP(Table1820[[#This Row],[Coverage]],CoverageTable[Coverage],CoverageTable[Base Rate],,0)</f>
        <v>453</v>
      </c>
      <c r="Z182">
        <f>INDEX(Table16[Ageband Factor],MATCH(Table1820[[#This Row],[Ageband]],Table16[Ageband],0))</f>
        <v>1.07</v>
      </c>
      <c r="AA182">
        <f>VLOOKUP(Table1820[[#This Row],[Years Driving]],Table1[],2)</f>
        <v>1.64</v>
      </c>
      <c r="AB182">
        <f>_xlfn.XLOOKUP(Table1820[[#This Row],[At Fault Accidents]],Table2[At Fault Accidents],Table2[At Fault Accident Factor],,0)</f>
        <v>2.4700000000000002</v>
      </c>
      <c r="AC182">
        <f>_xlfn.XLOOKUP(Table1820[[#This Row],[Usage-Based Insurance]],Table3[Usage-Based Insurance],Table3[Usage-Based Insurance Discount],,0)</f>
        <v>0.65</v>
      </c>
      <c r="AD182">
        <f>_xlfn.XLOOKUP(Table1820[[#This Row],[Yearly Miles]],Table4[Yearly Miles],Table4[Yearly Miles Factor],,0)</f>
        <v>1.31</v>
      </c>
      <c r="AE182">
        <f>_xlfn.XLOOKUP(Table1820[[#This Row],[City/Zip Code]],Table5[City/Zip Code],Table5[City/Zip Code Factor],,0)</f>
        <v>1.26</v>
      </c>
      <c r="AF182">
        <f>_xlfn.XLOOKUP(Table1820[[#This Row],[Vehicle Price]],Table6[Vehicle Price],Table6[Vehicle Price Factor])</f>
        <v>2.87</v>
      </c>
      <c r="AG182">
        <f>_xlfn.XLOOKUP(Table1820[[#This Row],[Exotic Car]],Table7[Exotic Car],Table7[Exotic Car Factor],,0)</f>
        <v>1</v>
      </c>
      <c r="AH182">
        <f>_xlfn.XLOOKUP(Table1820[[#This Row],[Difficult Parts]],Table8[Difficult Parts],Table8[Difficult Parts Factor],,0)</f>
        <v>1</v>
      </c>
      <c r="AI182">
        <f>_xlfn.XLOOKUP(Table1820[[#This Row],[High Theft Rate]],Table9[High Theft Rate],Table9[High Theft Rate Factor],,0)</f>
        <v>1</v>
      </c>
      <c r="AJ182">
        <f>_xlfn.XLOOKUP(Table1820[[#This Row],[Advanced Safety Features]],Table10[Advanced Safety Features],Table10[Advanced Safety Features Factor],,0)</f>
        <v>1</v>
      </c>
      <c r="AK182">
        <f>_xlfn.XLOOKUP(Table1820[[#This Row],[Deductible]],Table12[Deductible],Table12[Deductible Factor],,0)</f>
        <v>0.84</v>
      </c>
      <c r="AL182">
        <f>_xlfn.XLOOKUP(Table1820[[#This Row],[Coverage Limit]],Table13[Coverage Limit],Table13[Coverage Limit Factor],,0)</f>
        <v>1</v>
      </c>
      <c r="AM182">
        <f>IF(Table1820[[#This Row],[Good Student Discount]]="Yes",'Rate Book'!$D$126,1)</f>
        <v>1</v>
      </c>
      <c r="AN182">
        <f>IF(Table1820[[#This Row],[Good Driver Discount]]="Yes",'Rate Book'!$D$127,1)</f>
        <v>1</v>
      </c>
      <c r="AO182">
        <f>IF(Table1820[[#This Row],[Multi Policy Discount]]="Yes",'Rate Book'!$D$128,1)</f>
        <v>1</v>
      </c>
      <c r="AP182">
        <f>IF(Table1820[[#This Row],[Loyal Customer Discount]]="Yes",'Rate Book'!$D$129,1)</f>
        <v>0.94</v>
      </c>
      <c r="AQ182">
        <f>IF(Table1820[[#This Row],[Organization Discount]]="Yes",'Rate Book'!$D$130,1)</f>
        <v>1</v>
      </c>
      <c r="AR182" cm="1">
        <f t="array" ref="AR182">IF(Table1820[[#This Row],[Effective Date]]&gt;=RateChangeTable[Effective Date],RateChangeTable[Rate Change Factor],1)</f>
        <v>1</v>
      </c>
      <c r="AS182" s="10">
        <f>PRODUCT(Table1820[[#This Row],[Base Rate]:[Rate Change Factor]])</f>
        <v>4773.8307194758954</v>
      </c>
      <c r="AT182" s="9">
        <f>Table1820[[#This Row],[System-Generated Premium]]-Table1820[[#This Row],[Expected Premium]]</f>
        <v>0</v>
      </c>
      <c r="AU182" t="str">
        <f>IF(Table1820[[#This Row],[Difference]]=0,"PASS","FAIL")</f>
        <v>PASS</v>
      </c>
      <c r="AV182" s="9">
        <f>ABS(Table1820[[#This Row],[Difference]])</f>
        <v>0</v>
      </c>
      <c r="AW182" s="9" t="s">
        <v>1136</v>
      </c>
    </row>
    <row r="183" spans="1:49" x14ac:dyDescent="0.3">
      <c r="A183" t="s">
        <v>274</v>
      </c>
      <c r="B183" s="7">
        <v>46121</v>
      </c>
      <c r="C183" t="s">
        <v>70</v>
      </c>
      <c r="D183" t="s">
        <v>1102</v>
      </c>
      <c r="E183" s="3">
        <v>2</v>
      </c>
      <c r="F183" s="3" t="s">
        <v>7</v>
      </c>
      <c r="G183" t="s">
        <v>11</v>
      </c>
      <c r="H183" t="s">
        <v>1106</v>
      </c>
      <c r="I183" t="s">
        <v>31</v>
      </c>
      <c r="J183" t="s">
        <v>53</v>
      </c>
      <c r="K183" t="s">
        <v>10</v>
      </c>
      <c r="L183" t="s">
        <v>10</v>
      </c>
      <c r="M183" t="s">
        <v>10</v>
      </c>
      <c r="N183" t="s">
        <v>57</v>
      </c>
      <c r="O183" t="str">
        <f>INDEX(CoverageTable[Deductible Applies],MATCH(Table1820[[#This Row],[Coverage]],CoverageTable[Coverage],0))</f>
        <v>No</v>
      </c>
      <c r="P183" t="str">
        <f>INDEX(CoverageTable[Coverage Limit Applies],MATCH(Table1820[[#This Row],[Coverage]],CoverageTable[Coverage],0))</f>
        <v>Yes</v>
      </c>
      <c r="Q183" t="s">
        <v>10</v>
      </c>
      <c r="R183" t="s">
        <v>80</v>
      </c>
      <c r="S183" t="s">
        <v>10</v>
      </c>
      <c r="T183" t="s">
        <v>10</v>
      </c>
      <c r="U183" t="s">
        <v>10</v>
      </c>
      <c r="V183" t="s">
        <v>57</v>
      </c>
      <c r="W183" t="s">
        <v>10</v>
      </c>
      <c r="X183" s="11">
        <v>3539.302269241196</v>
      </c>
      <c r="Y183">
        <f>_xlfn.XLOOKUP(Table1820[[#This Row],[Coverage]],CoverageTable[Coverage],CoverageTable[Base Rate],,0)</f>
        <v>622</v>
      </c>
      <c r="Z183">
        <f>INDEX(Table16[Ageband Factor],MATCH(Table1820[[#This Row],[Ageband]],Table16[Ageband],0))</f>
        <v>1.27</v>
      </c>
      <c r="AA183">
        <f>VLOOKUP(Table1820[[#This Row],[Years Driving]],Table1[],2)</f>
        <v>1.41</v>
      </c>
      <c r="AB183">
        <f>_xlfn.XLOOKUP(Table1820[[#This Row],[At Fault Accidents]],Table2[At Fault Accidents],Table2[At Fault Accident Factor],,0)</f>
        <v>2.4700000000000002</v>
      </c>
      <c r="AC183">
        <f>_xlfn.XLOOKUP(Table1820[[#This Row],[Usage-Based Insurance]],Table3[Usage-Based Insurance],Table3[Usage-Based Insurance Discount],,0)</f>
        <v>0.95</v>
      </c>
      <c r="AD183">
        <f>_xlfn.XLOOKUP(Table1820[[#This Row],[Yearly Miles]],Table4[Yearly Miles],Table4[Yearly Miles Factor],,0)</f>
        <v>0.82</v>
      </c>
      <c r="AE183">
        <f>_xlfn.XLOOKUP(Table1820[[#This Row],[City/Zip Code]],Table5[City/Zip Code],Table5[City/Zip Code Factor],,0)</f>
        <v>1.1100000000000001</v>
      </c>
      <c r="AF183">
        <f>_xlfn.XLOOKUP(Table1820[[#This Row],[Vehicle Price]],Table6[Vehicle Price],Table6[Vehicle Price Factor])</f>
        <v>2.02</v>
      </c>
      <c r="AG183">
        <f>_xlfn.XLOOKUP(Table1820[[#This Row],[Exotic Car]],Table7[Exotic Car],Table7[Exotic Car Factor],,0)</f>
        <v>1</v>
      </c>
      <c r="AH183">
        <f>_xlfn.XLOOKUP(Table1820[[#This Row],[Difficult Parts]],Table8[Difficult Parts],Table8[Difficult Parts Factor],,0)</f>
        <v>1</v>
      </c>
      <c r="AI183">
        <f>_xlfn.XLOOKUP(Table1820[[#This Row],[High Theft Rate]],Table9[High Theft Rate],Table9[High Theft Rate Factor],,0)</f>
        <v>1</v>
      </c>
      <c r="AJ183">
        <f>_xlfn.XLOOKUP(Table1820[[#This Row],[Advanced Safety Features]],Table10[Advanced Safety Features],Table10[Advanced Safety Features Factor],,0)</f>
        <v>0.88</v>
      </c>
      <c r="AK183">
        <f>_xlfn.XLOOKUP(Table1820[[#This Row],[Deductible]],Table12[Deductible],Table12[Deductible Factor],,0)</f>
        <v>1</v>
      </c>
      <c r="AL183">
        <f>_xlfn.XLOOKUP(Table1820[[#This Row],[Coverage Limit]],Table13[Coverage Limit],Table13[Coverage Limit Factor],,0)</f>
        <v>0.84</v>
      </c>
      <c r="AM183">
        <f>IF(Table1820[[#This Row],[Good Student Discount]]="Yes",'Rate Book'!$D$126,1)</f>
        <v>1</v>
      </c>
      <c r="AN183">
        <f>IF(Table1820[[#This Row],[Good Driver Discount]]="Yes",'Rate Book'!$D$127,1)</f>
        <v>1</v>
      </c>
      <c r="AO183">
        <f>IF(Table1820[[#This Row],[Multi Policy Discount]]="Yes",'Rate Book'!$D$128,1)</f>
        <v>1</v>
      </c>
      <c r="AP183">
        <f>IF(Table1820[[#This Row],[Loyal Customer Discount]]="Yes",'Rate Book'!$D$129,1)</f>
        <v>0.94</v>
      </c>
      <c r="AQ183">
        <f>IF(Table1820[[#This Row],[Organization Discount]]="Yes",'Rate Book'!$D$130,1)</f>
        <v>1</v>
      </c>
      <c r="AR183" cm="1">
        <f t="array" ref="AR183">IF(Table1820[[#This Row],[Effective Date]]&gt;=RateChangeTable[Effective Date],RateChangeTable[Rate Change Factor],1)</f>
        <v>1.06</v>
      </c>
      <c r="AS183" s="10">
        <f>PRODUCT(Table1820[[#This Row],[Base Rate]:[Rate Change Factor]])</f>
        <v>3539.302269241196</v>
      </c>
      <c r="AT183" s="9">
        <f>Table1820[[#This Row],[System-Generated Premium]]-Table1820[[#This Row],[Expected Premium]]</f>
        <v>0</v>
      </c>
      <c r="AU183" t="str">
        <f>IF(Table1820[[#This Row],[Difference]]=0,"PASS","FAIL")</f>
        <v>PASS</v>
      </c>
      <c r="AV183" s="9">
        <f>ABS(Table1820[[#This Row],[Difference]])</f>
        <v>0</v>
      </c>
      <c r="AW183" s="9" t="s">
        <v>1136</v>
      </c>
    </row>
    <row r="184" spans="1:49" x14ac:dyDescent="0.3">
      <c r="A184" t="s">
        <v>275</v>
      </c>
      <c r="B184" s="7">
        <v>46006</v>
      </c>
      <c r="C184" t="s">
        <v>71</v>
      </c>
      <c r="D184" t="s">
        <v>1100</v>
      </c>
      <c r="E184" s="3">
        <v>1</v>
      </c>
      <c r="F184" s="3">
        <v>0</v>
      </c>
      <c r="G184" t="s">
        <v>12</v>
      </c>
      <c r="H184" t="s">
        <v>1107</v>
      </c>
      <c r="I184" t="s">
        <v>38</v>
      </c>
      <c r="J184" t="s">
        <v>52</v>
      </c>
      <c r="K184" t="s">
        <v>10</v>
      </c>
      <c r="L184" t="s">
        <v>10</v>
      </c>
      <c r="M184" t="s">
        <v>10</v>
      </c>
      <c r="N184" t="s">
        <v>10</v>
      </c>
      <c r="O184" t="str">
        <f>INDEX(CoverageTable[Deductible Applies],MATCH(Table1820[[#This Row],[Coverage]],CoverageTable[Coverage],0))</f>
        <v>Yes</v>
      </c>
      <c r="P184" t="str">
        <f>INDEX(CoverageTable[Coverage Limit Applies],MATCH(Table1820[[#This Row],[Coverage]],CoverageTable[Coverage],0))</f>
        <v>No</v>
      </c>
      <c r="Q184" t="s">
        <v>80</v>
      </c>
      <c r="R184" t="s">
        <v>10</v>
      </c>
      <c r="S184" t="s">
        <v>10</v>
      </c>
      <c r="T184" t="s">
        <v>57</v>
      </c>
      <c r="U184" t="s">
        <v>10</v>
      </c>
      <c r="V184" t="s">
        <v>10</v>
      </c>
      <c r="W184" t="s">
        <v>10</v>
      </c>
      <c r="X184" s="11">
        <v>666.40606575401785</v>
      </c>
      <c r="Y184">
        <f>_xlfn.XLOOKUP(Table1820[[#This Row],[Coverage]],CoverageTable[Coverage],CoverageTable[Base Rate],,0)</f>
        <v>453</v>
      </c>
      <c r="Z184">
        <f>INDEX(Table16[Ageband Factor],MATCH(Table1820[[#This Row],[Ageband]],Table16[Ageband],0))</f>
        <v>1.07</v>
      </c>
      <c r="AA184">
        <f>VLOOKUP(Table1820[[#This Row],[Years Driving]],Table1[],2)</f>
        <v>1.64</v>
      </c>
      <c r="AB184">
        <f>_xlfn.XLOOKUP(Table1820[[#This Row],[At Fault Accidents]],Table2[At Fault Accidents],Table2[At Fault Accident Factor],,0)</f>
        <v>1</v>
      </c>
      <c r="AC184">
        <f>_xlfn.XLOOKUP(Table1820[[#This Row],[Usage-Based Insurance]],Table3[Usage-Based Insurance],Table3[Usage-Based Insurance Discount],,0)</f>
        <v>0.8</v>
      </c>
      <c r="AD184">
        <f>_xlfn.XLOOKUP(Table1820[[#This Row],[Yearly Miles]],Table4[Yearly Miles],Table4[Yearly Miles Factor],,0)</f>
        <v>0.93</v>
      </c>
      <c r="AE184">
        <f>_xlfn.XLOOKUP(Table1820[[#This Row],[City/Zip Code]],Table5[City/Zip Code],Table5[City/Zip Code Factor],,0)</f>
        <v>1.1200000000000001</v>
      </c>
      <c r="AF184">
        <f>_xlfn.XLOOKUP(Table1820[[#This Row],[Vehicle Price]],Table6[Vehicle Price],Table6[Vehicle Price Factor])</f>
        <v>1.57</v>
      </c>
      <c r="AG184">
        <f>_xlfn.XLOOKUP(Table1820[[#This Row],[Exotic Car]],Table7[Exotic Car],Table7[Exotic Car Factor],,0)</f>
        <v>1</v>
      </c>
      <c r="AH184">
        <f>_xlfn.XLOOKUP(Table1820[[#This Row],[Difficult Parts]],Table8[Difficult Parts],Table8[Difficult Parts Factor],,0)</f>
        <v>1</v>
      </c>
      <c r="AI184">
        <f>_xlfn.XLOOKUP(Table1820[[#This Row],[High Theft Rate]],Table9[High Theft Rate],Table9[High Theft Rate Factor],,0)</f>
        <v>1</v>
      </c>
      <c r="AJ184">
        <f>_xlfn.XLOOKUP(Table1820[[#This Row],[Advanced Safety Features]],Table10[Advanced Safety Features],Table10[Advanced Safety Features Factor],,0)</f>
        <v>1</v>
      </c>
      <c r="AK184">
        <f>_xlfn.XLOOKUP(Table1820[[#This Row],[Deductible]],Table12[Deductible],Table12[Deductible Factor],,0)</f>
        <v>0.72</v>
      </c>
      <c r="AL184">
        <f>_xlfn.XLOOKUP(Table1820[[#This Row],[Coverage Limit]],Table13[Coverage Limit],Table13[Coverage Limit Factor],,0)</f>
        <v>1</v>
      </c>
      <c r="AM184">
        <f>IF(Table1820[[#This Row],[Good Student Discount]]="Yes",'Rate Book'!$D$126,1)</f>
        <v>1</v>
      </c>
      <c r="AN184">
        <f>IF(Table1820[[#This Row],[Good Driver Discount]]="Yes",'Rate Book'!$D$127,1)</f>
        <v>0.89</v>
      </c>
      <c r="AO184">
        <f>IF(Table1820[[#This Row],[Multi Policy Discount]]="Yes",'Rate Book'!$D$128,1)</f>
        <v>1</v>
      </c>
      <c r="AP184">
        <f>IF(Table1820[[#This Row],[Loyal Customer Discount]]="Yes",'Rate Book'!$D$129,1)</f>
        <v>1</v>
      </c>
      <c r="AQ184">
        <f>IF(Table1820[[#This Row],[Organization Discount]]="Yes",'Rate Book'!$D$130,1)</f>
        <v>1</v>
      </c>
      <c r="AR184" cm="1">
        <f t="array" ref="AR184">IF(Table1820[[#This Row],[Effective Date]]&gt;=RateChangeTable[Effective Date],RateChangeTable[Rate Change Factor],1)</f>
        <v>1</v>
      </c>
      <c r="AS184" s="10">
        <f>PRODUCT(Table1820[[#This Row],[Base Rate]:[Rate Change Factor]])</f>
        <v>666.40606575401785</v>
      </c>
      <c r="AT184" s="9">
        <f>Table1820[[#This Row],[System-Generated Premium]]-Table1820[[#This Row],[Expected Premium]]</f>
        <v>0</v>
      </c>
      <c r="AU184" t="str">
        <f>IF(Table1820[[#This Row],[Difference]]=0,"PASS","FAIL")</f>
        <v>PASS</v>
      </c>
      <c r="AV184" s="9">
        <f>ABS(Table1820[[#This Row],[Difference]])</f>
        <v>0</v>
      </c>
      <c r="AW184" s="9" t="s">
        <v>1136</v>
      </c>
    </row>
    <row r="185" spans="1:49" x14ac:dyDescent="0.3">
      <c r="A185" t="s">
        <v>276</v>
      </c>
      <c r="B185" s="7">
        <v>46128</v>
      </c>
      <c r="C185" t="s">
        <v>74</v>
      </c>
      <c r="D185" t="s">
        <v>1102</v>
      </c>
      <c r="E185" s="3">
        <v>2</v>
      </c>
      <c r="F185" s="3">
        <v>1</v>
      </c>
      <c r="G185" t="s">
        <v>10</v>
      </c>
      <c r="H185" t="s">
        <v>1106</v>
      </c>
      <c r="I185" t="s">
        <v>42</v>
      </c>
      <c r="J185" t="s">
        <v>53</v>
      </c>
      <c r="K185" t="s">
        <v>10</v>
      </c>
      <c r="L185" t="s">
        <v>57</v>
      </c>
      <c r="M185" t="s">
        <v>10</v>
      </c>
      <c r="N185" t="s">
        <v>10</v>
      </c>
      <c r="O185" t="str">
        <f>INDEX(CoverageTable[Deductible Applies],MATCH(Table1820[[#This Row],[Coverage]],CoverageTable[Coverage],0))</f>
        <v>No</v>
      </c>
      <c r="P185" t="str">
        <f>INDEX(CoverageTable[Coverage Limit Applies],MATCH(Table1820[[#This Row],[Coverage]],CoverageTable[Coverage],0))</f>
        <v>Yes</v>
      </c>
      <c r="Q185" t="s">
        <v>10</v>
      </c>
      <c r="R185" t="s">
        <v>79</v>
      </c>
      <c r="S185" t="s">
        <v>57</v>
      </c>
      <c r="T185" t="s">
        <v>10</v>
      </c>
      <c r="U185" t="s">
        <v>10</v>
      </c>
      <c r="V185" t="s">
        <v>57</v>
      </c>
      <c r="W185" t="s">
        <v>10</v>
      </c>
      <c r="X185" s="11">
        <v>123.99</v>
      </c>
      <c r="Y185">
        <f>_xlfn.XLOOKUP(Table1820[[#This Row],[Coverage]],CoverageTable[Coverage],CoverageTable[Base Rate],,0)</f>
        <v>41</v>
      </c>
      <c r="Z185">
        <f>INDEX(Table16[Ageband Factor],MATCH(Table1820[[#This Row],[Ageband]],Table16[Ageband],0))</f>
        <v>1.27</v>
      </c>
      <c r="AA185">
        <f>VLOOKUP(Table1820[[#This Row],[Years Driving]],Table1[],2)</f>
        <v>1.41</v>
      </c>
      <c r="AB185">
        <f>_xlfn.XLOOKUP(Table1820[[#This Row],[At Fault Accidents]],Table2[At Fault Accidents],Table2[At Fault Accident Factor],,0)</f>
        <v>1.34</v>
      </c>
      <c r="AC185">
        <f>_xlfn.XLOOKUP(Table1820[[#This Row],[Usage-Based Insurance]],Table3[Usage-Based Insurance],Table3[Usage-Based Insurance Discount],,0)</f>
        <v>1</v>
      </c>
      <c r="AD185">
        <f>_xlfn.XLOOKUP(Table1820[[#This Row],[Yearly Miles]],Table4[Yearly Miles],Table4[Yearly Miles Factor],,0)</f>
        <v>0.82</v>
      </c>
      <c r="AE185">
        <f>_xlfn.XLOOKUP(Table1820[[#This Row],[City/Zip Code]],Table5[City/Zip Code],Table5[City/Zip Code Factor],,0)</f>
        <v>1.21</v>
      </c>
      <c r="AF185">
        <f>_xlfn.XLOOKUP(Table1820[[#This Row],[Vehicle Price]],Table6[Vehicle Price],Table6[Vehicle Price Factor])</f>
        <v>2.02</v>
      </c>
      <c r="AG185">
        <f>_xlfn.XLOOKUP(Table1820[[#This Row],[Exotic Car]],Table7[Exotic Car],Table7[Exotic Car Factor],,0)</f>
        <v>1</v>
      </c>
      <c r="AH185">
        <f>_xlfn.XLOOKUP(Table1820[[#This Row],[Difficult Parts]],Table8[Difficult Parts],Table8[Difficult Parts Factor],,0)</f>
        <v>1.21</v>
      </c>
      <c r="AI185">
        <f>_xlfn.XLOOKUP(Table1820[[#This Row],[High Theft Rate]],Table9[High Theft Rate],Table9[High Theft Rate Factor],,0)</f>
        <v>1</v>
      </c>
      <c r="AJ185">
        <f>_xlfn.XLOOKUP(Table1820[[#This Row],[Advanced Safety Features]],Table10[Advanced Safety Features],Table10[Advanced Safety Features Factor],,0)</f>
        <v>1</v>
      </c>
      <c r="AK185">
        <f>_xlfn.XLOOKUP(Table1820[[#This Row],[Deductible]],Table12[Deductible],Table12[Deductible Factor],,0)</f>
        <v>1</v>
      </c>
      <c r="AL185">
        <f>_xlfn.XLOOKUP(Table1820[[#This Row],[Coverage Limit]],Table13[Coverage Limit],Table13[Coverage Limit Factor],,0)</f>
        <v>0.72</v>
      </c>
      <c r="AM185">
        <f>IF(Table1820[[#This Row],[Good Student Discount]]="Yes",'Rate Book'!$D$126,1)</f>
        <v>0.92</v>
      </c>
      <c r="AN185">
        <f>IF(Table1820[[#This Row],[Good Driver Discount]]="Yes",'Rate Book'!$D$127,1)</f>
        <v>1</v>
      </c>
      <c r="AO185">
        <f>IF(Table1820[[#This Row],[Multi Policy Discount]]="Yes",'Rate Book'!$D$128,1)</f>
        <v>1</v>
      </c>
      <c r="AP185">
        <f>IF(Table1820[[#This Row],[Loyal Customer Discount]]="Yes",'Rate Book'!$D$129,1)</f>
        <v>0.94</v>
      </c>
      <c r="AQ185">
        <f>IF(Table1820[[#This Row],[Organization Discount]]="Yes",'Rate Book'!$D$130,1)</f>
        <v>1</v>
      </c>
      <c r="AR185" cm="1">
        <f t="array" ref="AR185">IF(Table1820[[#This Row],[Effective Date]]&gt;=RateChangeTable[Effective Date],RateChangeTable[Rate Change Factor],1)</f>
        <v>1.06</v>
      </c>
      <c r="AS185" s="10">
        <f>PRODUCT(Table1820[[#This Row],[Base Rate]:[Rate Change Factor]])</f>
        <v>157.47132936684139</v>
      </c>
      <c r="AT185" s="9">
        <f>Table1820[[#This Row],[System-Generated Premium]]-Table1820[[#This Row],[Expected Premium]]</f>
        <v>-33.481329366841393</v>
      </c>
      <c r="AU185" t="str">
        <f>IF(Table1820[[#This Row],[Difference]]=0,"PASS","FAIL")</f>
        <v>FAIL</v>
      </c>
      <c r="AV185" s="9">
        <f>ABS(Table1820[[#This Row],[Difference]])</f>
        <v>33.481329366841393</v>
      </c>
      <c r="AW185" s="9" t="s">
        <v>1141</v>
      </c>
    </row>
    <row r="186" spans="1:49" x14ac:dyDescent="0.3">
      <c r="A186" t="s">
        <v>277</v>
      </c>
      <c r="B186" s="7">
        <v>45881</v>
      </c>
      <c r="C186" t="s">
        <v>73</v>
      </c>
      <c r="D186" t="s">
        <v>1102</v>
      </c>
      <c r="E186" s="3" t="s">
        <v>1103</v>
      </c>
      <c r="F186" s="3">
        <v>1</v>
      </c>
      <c r="G186" t="s">
        <v>10</v>
      </c>
      <c r="H186" t="s">
        <v>1107</v>
      </c>
      <c r="I186" t="s">
        <v>43</v>
      </c>
      <c r="J186" t="s">
        <v>52</v>
      </c>
      <c r="K186" t="s">
        <v>10</v>
      </c>
      <c r="L186" t="s">
        <v>10</v>
      </c>
      <c r="M186" t="s">
        <v>57</v>
      </c>
      <c r="N186" t="s">
        <v>10</v>
      </c>
      <c r="O186" t="str">
        <f>INDEX(CoverageTable[Deductible Applies],MATCH(Table1820[[#This Row],[Coverage]],CoverageTable[Coverage],0))</f>
        <v>No</v>
      </c>
      <c r="P186" t="str">
        <f>INDEX(CoverageTable[Coverage Limit Applies],MATCH(Table1820[[#This Row],[Coverage]],CoverageTable[Coverage],0))</f>
        <v>Yes</v>
      </c>
      <c r="Q186" t="s">
        <v>10</v>
      </c>
      <c r="R186" t="s">
        <v>79</v>
      </c>
      <c r="S186" t="s">
        <v>10</v>
      </c>
      <c r="T186" t="s">
        <v>10</v>
      </c>
      <c r="U186" t="s">
        <v>10</v>
      </c>
      <c r="V186" t="s">
        <v>10</v>
      </c>
      <c r="W186" t="s">
        <v>10</v>
      </c>
      <c r="X186" s="11">
        <v>177.64016360888982</v>
      </c>
      <c r="Y186">
        <f>_xlfn.XLOOKUP(Table1820[[#This Row],[Coverage]],CoverageTable[Coverage],CoverageTable[Base Rate],,0)</f>
        <v>78</v>
      </c>
      <c r="Z186">
        <f>INDEX(Table16[Ageband Factor],MATCH(Table1820[[#This Row],[Ageband]],Table16[Ageband],0))</f>
        <v>1.27</v>
      </c>
      <c r="AA186">
        <f>VLOOKUP(Table1820[[#This Row],[Years Driving]],Table1[],2)</f>
        <v>0.93</v>
      </c>
      <c r="AB186">
        <f>_xlfn.XLOOKUP(Table1820[[#This Row],[At Fault Accidents]],Table2[At Fault Accidents],Table2[At Fault Accident Factor],,0)</f>
        <v>1.34</v>
      </c>
      <c r="AC186">
        <f>_xlfn.XLOOKUP(Table1820[[#This Row],[Usage-Based Insurance]],Table3[Usage-Based Insurance],Table3[Usage-Based Insurance Discount],,0)</f>
        <v>1</v>
      </c>
      <c r="AD186">
        <f>_xlfn.XLOOKUP(Table1820[[#This Row],[Yearly Miles]],Table4[Yearly Miles],Table4[Yearly Miles Factor],,0)</f>
        <v>0.93</v>
      </c>
      <c r="AE186">
        <f>_xlfn.XLOOKUP(Table1820[[#This Row],[City/Zip Code]],Table5[City/Zip Code],Table5[City/Zip Code Factor],,0)</f>
        <v>1.18</v>
      </c>
      <c r="AF186">
        <f>_xlfn.XLOOKUP(Table1820[[#This Row],[Vehicle Price]],Table6[Vehicle Price],Table6[Vehicle Price Factor])</f>
        <v>1.57</v>
      </c>
      <c r="AG186">
        <f>_xlfn.XLOOKUP(Table1820[[#This Row],[Exotic Car]],Table7[Exotic Car],Table7[Exotic Car Factor],,0)</f>
        <v>1</v>
      </c>
      <c r="AH186">
        <f>_xlfn.XLOOKUP(Table1820[[#This Row],[Difficult Parts]],Table8[Difficult Parts],Table8[Difficult Parts Factor],,0)</f>
        <v>1</v>
      </c>
      <c r="AI186">
        <f>_xlfn.XLOOKUP(Table1820[[#This Row],[High Theft Rate]],Table9[High Theft Rate],Table9[High Theft Rate Factor],,0)</f>
        <v>1.1599999999999999</v>
      </c>
      <c r="AJ186">
        <f>_xlfn.XLOOKUP(Table1820[[#This Row],[Advanced Safety Features]],Table10[Advanced Safety Features],Table10[Advanced Safety Features Factor],,0)</f>
        <v>1</v>
      </c>
      <c r="AK186">
        <f>_xlfn.XLOOKUP(Table1820[[#This Row],[Deductible]],Table12[Deductible],Table12[Deductible Factor],,0)</f>
        <v>1</v>
      </c>
      <c r="AL186">
        <f>_xlfn.XLOOKUP(Table1820[[#This Row],[Coverage Limit]],Table13[Coverage Limit],Table13[Coverage Limit Factor],,0)</f>
        <v>0.72</v>
      </c>
      <c r="AM186">
        <f>IF(Table1820[[#This Row],[Good Student Discount]]="Yes",'Rate Book'!$D$126,1)</f>
        <v>1</v>
      </c>
      <c r="AN186">
        <f>IF(Table1820[[#This Row],[Good Driver Discount]]="Yes",'Rate Book'!$D$127,1)</f>
        <v>1</v>
      </c>
      <c r="AO186">
        <f>IF(Table1820[[#This Row],[Multi Policy Discount]]="Yes",'Rate Book'!$D$128,1)</f>
        <v>1</v>
      </c>
      <c r="AP186">
        <f>IF(Table1820[[#This Row],[Loyal Customer Discount]]="Yes",'Rate Book'!$D$129,1)</f>
        <v>1</v>
      </c>
      <c r="AQ186">
        <f>IF(Table1820[[#This Row],[Organization Discount]]="Yes",'Rate Book'!$D$130,1)</f>
        <v>1</v>
      </c>
      <c r="AR186" cm="1">
        <f t="array" ref="AR186">IF(Table1820[[#This Row],[Effective Date]]&gt;=RateChangeTable[Effective Date],RateChangeTable[Rate Change Factor],1)</f>
        <v>1</v>
      </c>
      <c r="AS186" s="10">
        <f>PRODUCT(Table1820[[#This Row],[Base Rate]:[Rate Change Factor]])</f>
        <v>177.64016360888982</v>
      </c>
      <c r="AT186" s="9">
        <f>Table1820[[#This Row],[System-Generated Premium]]-Table1820[[#This Row],[Expected Premium]]</f>
        <v>0</v>
      </c>
      <c r="AU186" t="str">
        <f>IF(Table1820[[#This Row],[Difference]]=0,"PASS","FAIL")</f>
        <v>PASS</v>
      </c>
      <c r="AV186" s="9">
        <f>ABS(Table1820[[#This Row],[Difference]])</f>
        <v>0</v>
      </c>
      <c r="AW186" s="9" t="s">
        <v>1136</v>
      </c>
    </row>
    <row r="187" spans="1:49" x14ac:dyDescent="0.3">
      <c r="A187" t="s">
        <v>278</v>
      </c>
      <c r="B187" s="7">
        <v>45950</v>
      </c>
      <c r="C187" t="s">
        <v>70</v>
      </c>
      <c r="D187" t="s">
        <v>1098</v>
      </c>
      <c r="E187" s="3" t="s">
        <v>1103</v>
      </c>
      <c r="F187" s="3" t="s">
        <v>7</v>
      </c>
      <c r="G187" t="s">
        <v>12</v>
      </c>
      <c r="H187" t="s">
        <v>1106</v>
      </c>
      <c r="I187" t="s">
        <v>36</v>
      </c>
      <c r="J187" t="s">
        <v>48</v>
      </c>
      <c r="K187" t="s">
        <v>10</v>
      </c>
      <c r="L187" t="s">
        <v>57</v>
      </c>
      <c r="M187" t="s">
        <v>57</v>
      </c>
      <c r="N187" t="s">
        <v>10</v>
      </c>
      <c r="O187" t="str">
        <f>INDEX(CoverageTable[Deductible Applies],MATCH(Table1820[[#This Row],[Coverage]],CoverageTable[Coverage],0))</f>
        <v>No</v>
      </c>
      <c r="P187" t="str">
        <f>INDEX(CoverageTable[Coverage Limit Applies],MATCH(Table1820[[#This Row],[Coverage]],CoverageTable[Coverage],0))</f>
        <v>Yes</v>
      </c>
      <c r="Q187" t="s">
        <v>10</v>
      </c>
      <c r="R187" t="s">
        <v>80</v>
      </c>
      <c r="S187" t="s">
        <v>10</v>
      </c>
      <c r="T187" t="s">
        <v>10</v>
      </c>
      <c r="U187" t="s">
        <v>10</v>
      </c>
      <c r="V187" t="s">
        <v>10</v>
      </c>
      <c r="W187" t="s">
        <v>10</v>
      </c>
      <c r="X187" s="11">
        <v>1092.2996915146416</v>
      </c>
      <c r="Y187">
        <f>_xlfn.XLOOKUP(Table1820[[#This Row],[Coverage]],CoverageTable[Coverage],CoverageTable[Base Rate],,0)</f>
        <v>622</v>
      </c>
      <c r="Z187">
        <f>INDEX(Table16[Ageband Factor],MATCH(Table1820[[#This Row],[Ageband]],Table16[Ageband],0))</f>
        <v>1.23</v>
      </c>
      <c r="AA187">
        <f>VLOOKUP(Table1820[[#This Row],[Years Driving]],Table1[],2)</f>
        <v>0.93</v>
      </c>
      <c r="AB187">
        <f>_xlfn.XLOOKUP(Table1820[[#This Row],[At Fault Accidents]],Table2[At Fault Accidents],Table2[At Fault Accident Factor],,0)</f>
        <v>2.4700000000000002</v>
      </c>
      <c r="AC187">
        <f>_xlfn.XLOOKUP(Table1820[[#This Row],[Usage-Based Insurance]],Table3[Usage-Based Insurance],Table3[Usage-Based Insurance Discount],,0)</f>
        <v>0.8</v>
      </c>
      <c r="AD187">
        <f>_xlfn.XLOOKUP(Table1820[[#This Row],[Yearly Miles]],Table4[Yearly Miles],Table4[Yearly Miles Factor],,0)</f>
        <v>0.82</v>
      </c>
      <c r="AE187">
        <f>_xlfn.XLOOKUP(Table1820[[#This Row],[City/Zip Code]],Table5[City/Zip Code],Table5[City/Zip Code Factor],,0)</f>
        <v>0.98</v>
      </c>
      <c r="AF187">
        <f>_xlfn.XLOOKUP(Table1820[[#This Row],[Vehicle Price]],Table6[Vehicle Price],Table6[Vehicle Price Factor])</f>
        <v>0.82</v>
      </c>
      <c r="AG187">
        <f>_xlfn.XLOOKUP(Table1820[[#This Row],[Exotic Car]],Table7[Exotic Car],Table7[Exotic Car Factor],,0)</f>
        <v>1</v>
      </c>
      <c r="AH187">
        <f>_xlfn.XLOOKUP(Table1820[[#This Row],[Difficult Parts]],Table8[Difficult Parts],Table8[Difficult Parts Factor],,0)</f>
        <v>1.21</v>
      </c>
      <c r="AI187">
        <f>_xlfn.XLOOKUP(Table1820[[#This Row],[High Theft Rate]],Table9[High Theft Rate],Table9[High Theft Rate Factor],,0)</f>
        <v>1.1599999999999999</v>
      </c>
      <c r="AJ187">
        <f>_xlfn.XLOOKUP(Table1820[[#This Row],[Advanced Safety Features]],Table10[Advanced Safety Features],Table10[Advanced Safety Features Factor],,0)</f>
        <v>1</v>
      </c>
      <c r="AK187">
        <f>_xlfn.XLOOKUP(Table1820[[#This Row],[Deductible]],Table12[Deductible],Table12[Deductible Factor],,0)</f>
        <v>1</v>
      </c>
      <c r="AL187">
        <f>_xlfn.XLOOKUP(Table1820[[#This Row],[Coverage Limit]],Table13[Coverage Limit],Table13[Coverage Limit Factor],,0)</f>
        <v>0.84</v>
      </c>
      <c r="AM187">
        <f>IF(Table1820[[#This Row],[Good Student Discount]]="Yes",'Rate Book'!$D$126,1)</f>
        <v>1</v>
      </c>
      <c r="AN187">
        <f>IF(Table1820[[#This Row],[Good Driver Discount]]="Yes",'Rate Book'!$D$127,1)</f>
        <v>1</v>
      </c>
      <c r="AO187">
        <f>IF(Table1820[[#This Row],[Multi Policy Discount]]="Yes",'Rate Book'!$D$128,1)</f>
        <v>1</v>
      </c>
      <c r="AP187">
        <f>IF(Table1820[[#This Row],[Loyal Customer Discount]]="Yes",'Rate Book'!$D$129,1)</f>
        <v>1</v>
      </c>
      <c r="AQ187">
        <f>IF(Table1820[[#This Row],[Organization Discount]]="Yes",'Rate Book'!$D$130,1)</f>
        <v>1</v>
      </c>
      <c r="AR187" cm="1">
        <f t="array" ref="AR187">IF(Table1820[[#This Row],[Effective Date]]&gt;=RateChangeTable[Effective Date],RateChangeTable[Rate Change Factor],1)</f>
        <v>1</v>
      </c>
      <c r="AS187" s="10">
        <f>PRODUCT(Table1820[[#This Row],[Base Rate]:[Rate Change Factor]])</f>
        <v>1092.2996915146416</v>
      </c>
      <c r="AT187" s="9">
        <f>Table1820[[#This Row],[System-Generated Premium]]-Table1820[[#This Row],[Expected Premium]]</f>
        <v>0</v>
      </c>
      <c r="AU187" t="str">
        <f>IF(Table1820[[#This Row],[Difference]]=0,"PASS","FAIL")</f>
        <v>PASS</v>
      </c>
      <c r="AV187" s="9">
        <f>ABS(Table1820[[#This Row],[Difference]])</f>
        <v>0</v>
      </c>
      <c r="AW187" s="9" t="s">
        <v>1136</v>
      </c>
    </row>
    <row r="188" spans="1:49" x14ac:dyDescent="0.3">
      <c r="A188" t="s">
        <v>279</v>
      </c>
      <c r="B188" s="7">
        <v>45991</v>
      </c>
      <c r="C188" t="s">
        <v>71</v>
      </c>
      <c r="D188" t="s">
        <v>1102</v>
      </c>
      <c r="E188" s="3">
        <v>5</v>
      </c>
      <c r="F188" s="3">
        <v>4</v>
      </c>
      <c r="G188" t="s">
        <v>10</v>
      </c>
      <c r="H188" t="s">
        <v>1106</v>
      </c>
      <c r="I188" t="s">
        <v>41</v>
      </c>
      <c r="J188" t="s">
        <v>51</v>
      </c>
      <c r="K188" t="s">
        <v>10</v>
      </c>
      <c r="L188" t="s">
        <v>10</v>
      </c>
      <c r="M188" t="s">
        <v>10</v>
      </c>
      <c r="N188" t="s">
        <v>10</v>
      </c>
      <c r="O188" t="str">
        <f>INDEX(CoverageTable[Deductible Applies],MATCH(Table1820[[#This Row],[Coverage]],CoverageTable[Coverage],0))</f>
        <v>Yes</v>
      </c>
      <c r="P188" t="str">
        <f>INDEX(CoverageTable[Coverage Limit Applies],MATCH(Table1820[[#This Row],[Coverage]],CoverageTable[Coverage],0))</f>
        <v>No</v>
      </c>
      <c r="Q188" t="s">
        <v>78</v>
      </c>
      <c r="R188" t="s">
        <v>10</v>
      </c>
      <c r="S188" t="s">
        <v>10</v>
      </c>
      <c r="T188" t="s">
        <v>10</v>
      </c>
      <c r="U188" t="s">
        <v>10</v>
      </c>
      <c r="V188" t="s">
        <v>57</v>
      </c>
      <c r="W188" t="s">
        <v>57</v>
      </c>
      <c r="X188" s="11">
        <v>1364.4776209581314</v>
      </c>
      <c r="Y188">
        <f>_xlfn.XLOOKUP(Table1820[[#This Row],[Coverage]],CoverageTable[Coverage],CoverageTable[Base Rate],,0)</f>
        <v>453</v>
      </c>
      <c r="Z188">
        <f>INDEX(Table16[Ageband Factor],MATCH(Table1820[[#This Row],[Ageband]],Table16[Ageband],0))</f>
        <v>1.27</v>
      </c>
      <c r="AA188">
        <f>VLOOKUP(Table1820[[#This Row],[Years Driving]],Table1[],2)</f>
        <v>1.07</v>
      </c>
      <c r="AB188">
        <f>_xlfn.XLOOKUP(Table1820[[#This Row],[At Fault Accidents]],Table2[At Fault Accidents],Table2[At Fault Accident Factor],,0)</f>
        <v>2.12</v>
      </c>
      <c r="AC188">
        <f>_xlfn.XLOOKUP(Table1820[[#This Row],[Usage-Based Insurance]],Table3[Usage-Based Insurance],Table3[Usage-Based Insurance Discount],,0)</f>
        <v>1</v>
      </c>
      <c r="AD188">
        <f>_xlfn.XLOOKUP(Table1820[[#This Row],[Yearly Miles]],Table4[Yearly Miles],Table4[Yearly Miles Factor],,0)</f>
        <v>0.82</v>
      </c>
      <c r="AE188">
        <f>_xlfn.XLOOKUP(Table1820[[#This Row],[City/Zip Code]],Table5[City/Zip Code],Table5[City/Zip Code Factor],,0)</f>
        <v>1.1499999999999999</v>
      </c>
      <c r="AF188">
        <f>_xlfn.XLOOKUP(Table1820[[#This Row],[Vehicle Price]],Table6[Vehicle Price],Table6[Vehicle Price Factor])</f>
        <v>1.28</v>
      </c>
      <c r="AG188">
        <f>_xlfn.XLOOKUP(Table1820[[#This Row],[Exotic Car]],Table7[Exotic Car],Table7[Exotic Car Factor],,0)</f>
        <v>1</v>
      </c>
      <c r="AH188">
        <f>_xlfn.XLOOKUP(Table1820[[#This Row],[Difficult Parts]],Table8[Difficult Parts],Table8[Difficult Parts Factor],,0)</f>
        <v>1</v>
      </c>
      <c r="AI188">
        <f>_xlfn.XLOOKUP(Table1820[[#This Row],[High Theft Rate]],Table9[High Theft Rate],Table9[High Theft Rate Factor],,0)</f>
        <v>1</v>
      </c>
      <c r="AJ188">
        <f>_xlfn.XLOOKUP(Table1820[[#This Row],[Advanced Safety Features]],Table10[Advanced Safety Features],Table10[Advanced Safety Features Factor],,0)</f>
        <v>1</v>
      </c>
      <c r="AK188">
        <f>_xlfn.XLOOKUP(Table1820[[#This Row],[Deductible]],Table12[Deductible],Table12[Deductible Factor],,0)</f>
        <v>0.95</v>
      </c>
      <c r="AL188">
        <f>_xlfn.XLOOKUP(Table1820[[#This Row],[Coverage Limit]],Table13[Coverage Limit],Table13[Coverage Limit Factor],,0)</f>
        <v>1</v>
      </c>
      <c r="AM188">
        <f>IF(Table1820[[#This Row],[Good Student Discount]]="Yes",'Rate Book'!$D$126,1)</f>
        <v>1</v>
      </c>
      <c r="AN188">
        <f>IF(Table1820[[#This Row],[Good Driver Discount]]="Yes",'Rate Book'!$D$127,1)</f>
        <v>1</v>
      </c>
      <c r="AO188">
        <f>IF(Table1820[[#This Row],[Multi Policy Discount]]="Yes",'Rate Book'!$D$128,1)</f>
        <v>1</v>
      </c>
      <c r="AP188">
        <f>IF(Table1820[[#This Row],[Loyal Customer Discount]]="Yes",'Rate Book'!$D$129,1)</f>
        <v>0.94</v>
      </c>
      <c r="AQ188">
        <f>IF(Table1820[[#This Row],[Organization Discount]]="Yes",'Rate Book'!$D$130,1)</f>
        <v>0.97</v>
      </c>
      <c r="AR188" cm="1">
        <f t="array" ref="AR188">IF(Table1820[[#This Row],[Effective Date]]&gt;=RateChangeTable[Effective Date],RateChangeTable[Rate Change Factor],1)</f>
        <v>1</v>
      </c>
      <c r="AS188" s="10">
        <f>PRODUCT(Table1820[[#This Row],[Base Rate]:[Rate Change Factor]])</f>
        <v>1364.4776209581314</v>
      </c>
      <c r="AT188" s="9">
        <f>Table1820[[#This Row],[System-Generated Premium]]-Table1820[[#This Row],[Expected Premium]]</f>
        <v>0</v>
      </c>
      <c r="AU188" t="str">
        <f>IF(Table1820[[#This Row],[Difference]]=0,"PASS","FAIL")</f>
        <v>PASS</v>
      </c>
      <c r="AV188" s="9">
        <f>ABS(Table1820[[#This Row],[Difference]])</f>
        <v>0</v>
      </c>
      <c r="AW188" s="9" t="s">
        <v>1136</v>
      </c>
    </row>
    <row r="189" spans="1:49" x14ac:dyDescent="0.3">
      <c r="A189" t="s">
        <v>280</v>
      </c>
      <c r="B189" s="7">
        <v>45947</v>
      </c>
      <c r="C189" t="s">
        <v>71</v>
      </c>
      <c r="D189" t="s">
        <v>1102</v>
      </c>
      <c r="E189" s="3">
        <v>3</v>
      </c>
      <c r="F189" s="3">
        <v>1</v>
      </c>
      <c r="G189" t="s">
        <v>12</v>
      </c>
      <c r="H189" t="s">
        <v>1107</v>
      </c>
      <c r="I189" t="s">
        <v>29</v>
      </c>
      <c r="J189" t="s">
        <v>52</v>
      </c>
      <c r="K189" t="s">
        <v>10</v>
      </c>
      <c r="L189" t="s">
        <v>57</v>
      </c>
      <c r="M189" t="s">
        <v>10</v>
      </c>
      <c r="N189" t="s">
        <v>10</v>
      </c>
      <c r="O189" t="str">
        <f>INDEX(CoverageTable[Deductible Applies],MATCH(Table1820[[#This Row],[Coverage]],CoverageTable[Coverage],0))</f>
        <v>Yes</v>
      </c>
      <c r="P189" t="str">
        <f>INDEX(CoverageTable[Coverage Limit Applies],MATCH(Table1820[[#This Row],[Coverage]],CoverageTable[Coverage],0))</f>
        <v>No</v>
      </c>
      <c r="Q189" t="s">
        <v>79</v>
      </c>
      <c r="R189" t="s">
        <v>10</v>
      </c>
      <c r="S189" t="s">
        <v>10</v>
      </c>
      <c r="T189" t="s">
        <v>57</v>
      </c>
      <c r="U189" t="s">
        <v>10</v>
      </c>
      <c r="V189" t="s">
        <v>10</v>
      </c>
      <c r="W189" t="s">
        <v>10</v>
      </c>
      <c r="X189" s="11">
        <v>1083.2290563237732</v>
      </c>
      <c r="Y189">
        <f>_xlfn.XLOOKUP(Table1820[[#This Row],[Coverage]],CoverageTable[Coverage],CoverageTable[Base Rate],,0)</f>
        <v>453</v>
      </c>
      <c r="Z189">
        <f>INDEX(Table16[Ageband Factor],MATCH(Table1820[[#This Row],[Ageband]],Table16[Ageband],0))</f>
        <v>1.27</v>
      </c>
      <c r="AA189">
        <f>VLOOKUP(Table1820[[#This Row],[Years Driving]],Table1[],2)</f>
        <v>1.22</v>
      </c>
      <c r="AB189">
        <f>_xlfn.XLOOKUP(Table1820[[#This Row],[At Fault Accidents]],Table2[At Fault Accidents],Table2[At Fault Accident Factor],,0)</f>
        <v>1.34</v>
      </c>
      <c r="AC189">
        <f>_xlfn.XLOOKUP(Table1820[[#This Row],[Usage-Based Insurance]],Table3[Usage-Based Insurance],Table3[Usage-Based Insurance Discount],,0)</f>
        <v>0.8</v>
      </c>
      <c r="AD189">
        <f>_xlfn.XLOOKUP(Table1820[[#This Row],[Yearly Miles]],Table4[Yearly Miles],Table4[Yearly Miles Factor],,0)</f>
        <v>0.93</v>
      </c>
      <c r="AE189">
        <f>_xlfn.XLOOKUP(Table1820[[#This Row],[City/Zip Code]],Table5[City/Zip Code],Table5[City/Zip Code Factor],,0)</f>
        <v>1.0900000000000001</v>
      </c>
      <c r="AF189">
        <f>_xlfn.XLOOKUP(Table1820[[#This Row],[Vehicle Price]],Table6[Vehicle Price],Table6[Vehicle Price Factor])</f>
        <v>1.57</v>
      </c>
      <c r="AG189">
        <f>_xlfn.XLOOKUP(Table1820[[#This Row],[Exotic Car]],Table7[Exotic Car],Table7[Exotic Car Factor],,0)</f>
        <v>1</v>
      </c>
      <c r="AH189">
        <f>_xlfn.XLOOKUP(Table1820[[#This Row],[Difficult Parts]],Table8[Difficult Parts],Table8[Difficult Parts Factor],,0)</f>
        <v>1.21</v>
      </c>
      <c r="AI189">
        <f>_xlfn.XLOOKUP(Table1820[[#This Row],[High Theft Rate]],Table9[High Theft Rate],Table9[High Theft Rate Factor],,0)</f>
        <v>1</v>
      </c>
      <c r="AJ189">
        <f>_xlfn.XLOOKUP(Table1820[[#This Row],[Advanced Safety Features]],Table10[Advanced Safety Features],Table10[Advanced Safety Features Factor],,0)</f>
        <v>1</v>
      </c>
      <c r="AK189">
        <f>_xlfn.XLOOKUP(Table1820[[#This Row],[Deductible]],Table12[Deductible],Table12[Deductible Factor],,0)</f>
        <v>0.84</v>
      </c>
      <c r="AL189">
        <f>_xlfn.XLOOKUP(Table1820[[#This Row],[Coverage Limit]],Table13[Coverage Limit],Table13[Coverage Limit Factor],,0)</f>
        <v>1</v>
      </c>
      <c r="AM189">
        <f>IF(Table1820[[#This Row],[Good Student Discount]]="Yes",'Rate Book'!$D$126,1)</f>
        <v>1</v>
      </c>
      <c r="AN189">
        <f>IF(Table1820[[#This Row],[Good Driver Discount]]="Yes",'Rate Book'!$D$127,1)</f>
        <v>0.89</v>
      </c>
      <c r="AO189">
        <f>IF(Table1820[[#This Row],[Multi Policy Discount]]="Yes",'Rate Book'!$D$128,1)</f>
        <v>1</v>
      </c>
      <c r="AP189">
        <f>IF(Table1820[[#This Row],[Loyal Customer Discount]]="Yes",'Rate Book'!$D$129,1)</f>
        <v>1</v>
      </c>
      <c r="AQ189">
        <f>IF(Table1820[[#This Row],[Organization Discount]]="Yes",'Rate Book'!$D$130,1)</f>
        <v>1</v>
      </c>
      <c r="AR189" cm="1">
        <f t="array" ref="AR189">IF(Table1820[[#This Row],[Effective Date]]&gt;=RateChangeTable[Effective Date],RateChangeTable[Rate Change Factor],1)</f>
        <v>1</v>
      </c>
      <c r="AS189" s="10">
        <f>PRODUCT(Table1820[[#This Row],[Base Rate]:[Rate Change Factor]])</f>
        <v>1083.2290563237732</v>
      </c>
      <c r="AT189" s="9">
        <f>Table1820[[#This Row],[System-Generated Premium]]-Table1820[[#This Row],[Expected Premium]]</f>
        <v>0</v>
      </c>
      <c r="AU189" t="str">
        <f>IF(Table1820[[#This Row],[Difference]]=0,"PASS","FAIL")</f>
        <v>PASS</v>
      </c>
      <c r="AV189" s="9">
        <f>ABS(Table1820[[#This Row],[Difference]])</f>
        <v>0</v>
      </c>
      <c r="AW189" s="9" t="s">
        <v>1136</v>
      </c>
    </row>
    <row r="190" spans="1:49" x14ac:dyDescent="0.3">
      <c r="A190" t="s">
        <v>281</v>
      </c>
      <c r="B190" s="7">
        <v>46084</v>
      </c>
      <c r="C190" t="s">
        <v>71</v>
      </c>
      <c r="D190" t="s">
        <v>1100</v>
      </c>
      <c r="E190" s="3">
        <v>4</v>
      </c>
      <c r="F190" s="3">
        <v>4</v>
      </c>
      <c r="G190" t="s">
        <v>10</v>
      </c>
      <c r="H190" t="s">
        <v>1109</v>
      </c>
      <c r="I190" t="s">
        <v>22</v>
      </c>
      <c r="J190" t="s">
        <v>48</v>
      </c>
      <c r="K190" t="s">
        <v>10</v>
      </c>
      <c r="L190" t="s">
        <v>10</v>
      </c>
      <c r="M190" t="s">
        <v>10</v>
      </c>
      <c r="N190" t="s">
        <v>10</v>
      </c>
      <c r="O190" t="str">
        <f>INDEX(CoverageTable[Deductible Applies],MATCH(Table1820[[#This Row],[Coverage]],CoverageTable[Coverage],0))</f>
        <v>Yes</v>
      </c>
      <c r="P190" t="str">
        <f>INDEX(CoverageTable[Coverage Limit Applies],MATCH(Table1820[[#This Row],[Coverage]],CoverageTable[Coverage],0))</f>
        <v>No</v>
      </c>
      <c r="Q190" t="s">
        <v>78</v>
      </c>
      <c r="R190" t="s">
        <v>10</v>
      </c>
      <c r="S190" t="s">
        <v>10</v>
      </c>
      <c r="T190" t="s">
        <v>57</v>
      </c>
      <c r="U190" t="s">
        <v>10</v>
      </c>
      <c r="V190" t="s">
        <v>10</v>
      </c>
      <c r="W190" t="s">
        <v>10</v>
      </c>
      <c r="X190" s="11">
        <v>1239.9848761342651</v>
      </c>
      <c r="Y190">
        <f>_xlfn.XLOOKUP(Table1820[[#This Row],[Coverage]],CoverageTable[Coverage],CoverageTable[Base Rate],,0)</f>
        <v>453</v>
      </c>
      <c r="Z190">
        <f>INDEX(Table16[Ageband Factor],MATCH(Table1820[[#This Row],[Ageband]],Table16[Ageband],0))</f>
        <v>1.07</v>
      </c>
      <c r="AA190">
        <f>VLOOKUP(Table1820[[#This Row],[Years Driving]],Table1[],2)</f>
        <v>1.1499999999999999</v>
      </c>
      <c r="AB190">
        <f>_xlfn.XLOOKUP(Table1820[[#This Row],[At Fault Accidents]],Table2[At Fault Accidents],Table2[At Fault Accident Factor],,0)</f>
        <v>2.12</v>
      </c>
      <c r="AC190">
        <f>_xlfn.XLOOKUP(Table1820[[#This Row],[Usage-Based Insurance]],Table3[Usage-Based Insurance],Table3[Usage-Based Insurance Discount],,0)</f>
        <v>1</v>
      </c>
      <c r="AD190">
        <f>_xlfn.XLOOKUP(Table1820[[#This Row],[Yearly Miles]],Table4[Yearly Miles],Table4[Yearly Miles Factor],,0)</f>
        <v>1.18</v>
      </c>
      <c r="AE190">
        <f>_xlfn.XLOOKUP(Table1820[[#This Row],[City/Zip Code]],Table5[City/Zip Code],Table5[City/Zip Code Factor],,0)</f>
        <v>1.21</v>
      </c>
      <c r="AF190">
        <f>_xlfn.XLOOKUP(Table1820[[#This Row],[Vehicle Price]],Table6[Vehicle Price],Table6[Vehicle Price Factor])</f>
        <v>0.82</v>
      </c>
      <c r="AG190">
        <f>_xlfn.XLOOKUP(Table1820[[#This Row],[Exotic Car]],Table7[Exotic Car],Table7[Exotic Car Factor],,0)</f>
        <v>1</v>
      </c>
      <c r="AH190">
        <f>_xlfn.XLOOKUP(Table1820[[#This Row],[Difficult Parts]],Table8[Difficult Parts],Table8[Difficult Parts Factor],,0)</f>
        <v>1</v>
      </c>
      <c r="AI190">
        <f>_xlfn.XLOOKUP(Table1820[[#This Row],[High Theft Rate]],Table9[High Theft Rate],Table9[High Theft Rate Factor],,0)</f>
        <v>1</v>
      </c>
      <c r="AJ190">
        <f>_xlfn.XLOOKUP(Table1820[[#This Row],[Advanced Safety Features]],Table10[Advanced Safety Features],Table10[Advanced Safety Features Factor],,0)</f>
        <v>1</v>
      </c>
      <c r="AK190">
        <f>_xlfn.XLOOKUP(Table1820[[#This Row],[Deductible]],Table12[Deductible],Table12[Deductible Factor],,0)</f>
        <v>0.95</v>
      </c>
      <c r="AL190">
        <f>_xlfn.XLOOKUP(Table1820[[#This Row],[Coverage Limit]],Table13[Coverage Limit],Table13[Coverage Limit Factor],,0)</f>
        <v>1</v>
      </c>
      <c r="AM190">
        <f>IF(Table1820[[#This Row],[Good Student Discount]]="Yes",'Rate Book'!$D$126,1)</f>
        <v>1</v>
      </c>
      <c r="AN190">
        <f>IF(Table1820[[#This Row],[Good Driver Discount]]="Yes",'Rate Book'!$D$127,1)</f>
        <v>0.89</v>
      </c>
      <c r="AO190">
        <f>IF(Table1820[[#This Row],[Multi Policy Discount]]="Yes",'Rate Book'!$D$128,1)</f>
        <v>1</v>
      </c>
      <c r="AP190">
        <f>IF(Table1820[[#This Row],[Loyal Customer Discount]]="Yes",'Rate Book'!$D$129,1)</f>
        <v>1</v>
      </c>
      <c r="AQ190">
        <f>IF(Table1820[[#This Row],[Organization Discount]]="Yes",'Rate Book'!$D$130,1)</f>
        <v>1</v>
      </c>
      <c r="AR190" cm="1">
        <f t="array" ref="AR190">IF(Table1820[[#This Row],[Effective Date]]&gt;=RateChangeTable[Effective Date],RateChangeTable[Rate Change Factor],1)</f>
        <v>1.06</v>
      </c>
      <c r="AS190" s="10">
        <f>PRODUCT(Table1820[[#This Row],[Base Rate]:[Rate Change Factor]])</f>
        <v>1239.9848761342651</v>
      </c>
      <c r="AT190" s="9">
        <f>Table1820[[#This Row],[System-Generated Premium]]-Table1820[[#This Row],[Expected Premium]]</f>
        <v>0</v>
      </c>
      <c r="AU190" t="str">
        <f>IF(Table1820[[#This Row],[Difference]]=0,"PASS","FAIL")</f>
        <v>PASS</v>
      </c>
      <c r="AV190" s="9">
        <f>ABS(Table1820[[#This Row],[Difference]])</f>
        <v>0</v>
      </c>
      <c r="AW190" s="9" t="s">
        <v>1136</v>
      </c>
    </row>
    <row r="191" spans="1:49" x14ac:dyDescent="0.3">
      <c r="A191" t="s">
        <v>282</v>
      </c>
      <c r="B191" s="7">
        <v>45884</v>
      </c>
      <c r="C191" t="s">
        <v>71</v>
      </c>
      <c r="D191" t="s">
        <v>1100</v>
      </c>
      <c r="E191" s="3" t="s">
        <v>1103</v>
      </c>
      <c r="F191" s="3" t="s">
        <v>7</v>
      </c>
      <c r="G191" t="s">
        <v>10</v>
      </c>
      <c r="H191" t="s">
        <v>1110</v>
      </c>
      <c r="I191" t="s">
        <v>28</v>
      </c>
      <c r="J191" t="s">
        <v>48</v>
      </c>
      <c r="K191" t="s">
        <v>10</v>
      </c>
      <c r="L191" t="s">
        <v>10</v>
      </c>
      <c r="M191" t="s">
        <v>10</v>
      </c>
      <c r="N191" t="s">
        <v>57</v>
      </c>
      <c r="O191" t="str">
        <f>INDEX(CoverageTable[Deductible Applies],MATCH(Table1820[[#This Row],[Coverage]],CoverageTable[Coverage],0))</f>
        <v>Yes</v>
      </c>
      <c r="P191" t="str">
        <f>INDEX(CoverageTable[Coverage Limit Applies],MATCH(Table1820[[#This Row],[Coverage]],CoverageTable[Coverage],0))</f>
        <v>No</v>
      </c>
      <c r="Q191" t="s">
        <v>80</v>
      </c>
      <c r="R191" t="s">
        <v>10</v>
      </c>
      <c r="S191" t="s">
        <v>10</v>
      </c>
      <c r="T191" t="s">
        <v>57</v>
      </c>
      <c r="U191" t="s">
        <v>10</v>
      </c>
      <c r="V191" t="s">
        <v>57</v>
      </c>
      <c r="W191" t="s">
        <v>57</v>
      </c>
      <c r="X191" s="11">
        <v>584.21862457491659</v>
      </c>
      <c r="Y191">
        <f>_xlfn.XLOOKUP(Table1820[[#This Row],[Coverage]],CoverageTable[Coverage],CoverageTable[Base Rate],,0)</f>
        <v>453</v>
      </c>
      <c r="Z191">
        <f>INDEX(Table16[Ageband Factor],MATCH(Table1820[[#This Row],[Ageband]],Table16[Ageband],0))</f>
        <v>1.07</v>
      </c>
      <c r="AA191">
        <f>VLOOKUP(Table1820[[#This Row],[Years Driving]],Table1[],2)</f>
        <v>0.93</v>
      </c>
      <c r="AB191">
        <f>_xlfn.XLOOKUP(Table1820[[#This Row],[At Fault Accidents]],Table2[At Fault Accidents],Table2[At Fault Accident Factor],,0)</f>
        <v>2.4700000000000002</v>
      </c>
      <c r="AC191">
        <f>_xlfn.XLOOKUP(Table1820[[#This Row],[Usage-Based Insurance]],Table3[Usage-Based Insurance],Table3[Usage-Based Insurance Discount],,0)</f>
        <v>1</v>
      </c>
      <c r="AD191">
        <f>_xlfn.XLOOKUP(Table1820[[#This Row],[Yearly Miles]],Table4[Yearly Miles],Table4[Yearly Miles Factor],,0)</f>
        <v>1.31</v>
      </c>
      <c r="AE191">
        <f>_xlfn.XLOOKUP(Table1820[[#This Row],[City/Zip Code]],Table5[City/Zip Code],Table5[City/Zip Code Factor],,0)</f>
        <v>0.95</v>
      </c>
      <c r="AF191">
        <f>_xlfn.XLOOKUP(Table1820[[#This Row],[Vehicle Price]],Table6[Vehicle Price],Table6[Vehicle Price Factor])</f>
        <v>0.82</v>
      </c>
      <c r="AG191">
        <f>_xlfn.XLOOKUP(Table1820[[#This Row],[Exotic Car]],Table7[Exotic Car],Table7[Exotic Car Factor],,0)</f>
        <v>1</v>
      </c>
      <c r="AH191">
        <f>_xlfn.XLOOKUP(Table1820[[#This Row],[Difficult Parts]],Table8[Difficult Parts],Table8[Difficult Parts Factor],,0)</f>
        <v>1</v>
      </c>
      <c r="AI191">
        <f>_xlfn.XLOOKUP(Table1820[[#This Row],[High Theft Rate]],Table9[High Theft Rate],Table9[High Theft Rate Factor],,0)</f>
        <v>1</v>
      </c>
      <c r="AJ191">
        <f>_xlfn.XLOOKUP(Table1820[[#This Row],[Advanced Safety Features]],Table10[Advanced Safety Features],Table10[Advanced Safety Features Factor],,0)</f>
        <v>0.88</v>
      </c>
      <c r="AK191">
        <f>_xlfn.XLOOKUP(Table1820[[#This Row],[Deductible]],Table12[Deductible],Table12[Deductible Factor],,0)</f>
        <v>0.72</v>
      </c>
      <c r="AL191">
        <f>_xlfn.XLOOKUP(Table1820[[#This Row],[Coverage Limit]],Table13[Coverage Limit],Table13[Coverage Limit Factor],,0)</f>
        <v>1</v>
      </c>
      <c r="AM191">
        <f>IF(Table1820[[#This Row],[Good Student Discount]]="Yes",'Rate Book'!$D$126,1)</f>
        <v>1</v>
      </c>
      <c r="AN191">
        <f>IF(Table1820[[#This Row],[Good Driver Discount]]="Yes",'Rate Book'!$D$127,1)</f>
        <v>0.89</v>
      </c>
      <c r="AO191">
        <f>IF(Table1820[[#This Row],[Multi Policy Discount]]="Yes",'Rate Book'!$D$128,1)</f>
        <v>1</v>
      </c>
      <c r="AP191">
        <f>IF(Table1820[[#This Row],[Loyal Customer Discount]]="Yes",'Rate Book'!$D$129,1)</f>
        <v>0.94</v>
      </c>
      <c r="AQ191">
        <f>IF(Table1820[[#This Row],[Organization Discount]]="Yes",'Rate Book'!$D$130,1)</f>
        <v>0.97</v>
      </c>
      <c r="AR191" cm="1">
        <f t="array" ref="AR191">IF(Table1820[[#This Row],[Effective Date]]&gt;=RateChangeTable[Effective Date],RateChangeTable[Rate Change Factor],1)</f>
        <v>1</v>
      </c>
      <c r="AS191" s="10">
        <f>PRODUCT(Table1820[[#This Row],[Base Rate]:[Rate Change Factor]])</f>
        <v>584.21862457491659</v>
      </c>
      <c r="AT191" s="9">
        <f>Table1820[[#This Row],[System-Generated Premium]]-Table1820[[#This Row],[Expected Premium]]</f>
        <v>0</v>
      </c>
      <c r="AU191" t="str">
        <f>IF(Table1820[[#This Row],[Difference]]=0,"PASS","FAIL")</f>
        <v>PASS</v>
      </c>
      <c r="AV191" s="9">
        <f>ABS(Table1820[[#This Row],[Difference]])</f>
        <v>0</v>
      </c>
      <c r="AW191" s="9" t="s">
        <v>1136</v>
      </c>
    </row>
    <row r="192" spans="1:49" x14ac:dyDescent="0.3">
      <c r="A192" t="s">
        <v>283</v>
      </c>
      <c r="B192" s="7">
        <v>46084</v>
      </c>
      <c r="C192" t="s">
        <v>70</v>
      </c>
      <c r="D192" t="s">
        <v>1099</v>
      </c>
      <c r="E192" s="3">
        <v>7</v>
      </c>
      <c r="F192" s="3" t="s">
        <v>7</v>
      </c>
      <c r="G192" t="s">
        <v>11</v>
      </c>
      <c r="H192" t="s">
        <v>1107</v>
      </c>
      <c r="I192" t="s">
        <v>39</v>
      </c>
      <c r="J192" t="s">
        <v>52</v>
      </c>
      <c r="K192" t="s">
        <v>10</v>
      </c>
      <c r="L192" t="s">
        <v>57</v>
      </c>
      <c r="M192" t="s">
        <v>10</v>
      </c>
      <c r="N192" t="s">
        <v>57</v>
      </c>
      <c r="O192" t="str">
        <f>INDEX(CoverageTable[Deductible Applies],MATCH(Table1820[[#This Row],[Coverage]],CoverageTable[Coverage],0))</f>
        <v>No</v>
      </c>
      <c r="P192" t="str">
        <f>INDEX(CoverageTable[Coverage Limit Applies],MATCH(Table1820[[#This Row],[Coverage]],CoverageTable[Coverage],0))</f>
        <v>Yes</v>
      </c>
      <c r="Q192" t="s">
        <v>10</v>
      </c>
      <c r="R192" t="s">
        <v>80</v>
      </c>
      <c r="S192" t="s">
        <v>10</v>
      </c>
      <c r="T192" t="s">
        <v>10</v>
      </c>
      <c r="U192" t="s">
        <v>10</v>
      </c>
      <c r="V192" t="s">
        <v>10</v>
      </c>
      <c r="W192" t="s">
        <v>57</v>
      </c>
      <c r="X192" s="11">
        <v>2010.7859084440277</v>
      </c>
      <c r="Y192">
        <f>_xlfn.XLOOKUP(Table1820[[#This Row],[Coverage]],CoverageTable[Coverage],CoverageTable[Base Rate],,0)</f>
        <v>622</v>
      </c>
      <c r="Z192">
        <f>INDEX(Table16[Ageband Factor],MATCH(Table1820[[#This Row],[Ageband]],Table16[Ageband],0))</f>
        <v>1</v>
      </c>
      <c r="AA192">
        <f>VLOOKUP(Table1820[[#This Row],[Years Driving]],Table1[],2)</f>
        <v>0.95</v>
      </c>
      <c r="AB192">
        <f>_xlfn.XLOOKUP(Table1820[[#This Row],[At Fault Accidents]],Table2[At Fault Accidents],Table2[At Fault Accident Factor],,0)</f>
        <v>2.4700000000000002</v>
      </c>
      <c r="AC192">
        <f>_xlfn.XLOOKUP(Table1820[[#This Row],[Usage-Based Insurance]],Table3[Usage-Based Insurance],Table3[Usage-Based Insurance Discount],,0)</f>
        <v>0.95</v>
      </c>
      <c r="AD192">
        <f>_xlfn.XLOOKUP(Table1820[[#This Row],[Yearly Miles]],Table4[Yearly Miles],Table4[Yearly Miles Factor],,0)</f>
        <v>0.93</v>
      </c>
      <c r="AE192">
        <f>_xlfn.XLOOKUP(Table1820[[#This Row],[City/Zip Code]],Table5[City/Zip Code],Table5[City/Zip Code Factor],,0)</f>
        <v>1.08</v>
      </c>
      <c r="AF192">
        <f>_xlfn.XLOOKUP(Table1820[[#This Row],[Vehicle Price]],Table6[Vehicle Price],Table6[Vehicle Price Factor])</f>
        <v>1.57</v>
      </c>
      <c r="AG192">
        <f>_xlfn.XLOOKUP(Table1820[[#This Row],[Exotic Car]],Table7[Exotic Car],Table7[Exotic Car Factor],,0)</f>
        <v>1</v>
      </c>
      <c r="AH192">
        <f>_xlfn.XLOOKUP(Table1820[[#This Row],[Difficult Parts]],Table8[Difficult Parts],Table8[Difficult Parts Factor],,0)</f>
        <v>1.21</v>
      </c>
      <c r="AI192">
        <f>_xlfn.XLOOKUP(Table1820[[#This Row],[High Theft Rate]],Table9[High Theft Rate],Table9[High Theft Rate Factor],,0)</f>
        <v>1</v>
      </c>
      <c r="AJ192">
        <f>_xlfn.XLOOKUP(Table1820[[#This Row],[Advanced Safety Features]],Table10[Advanced Safety Features],Table10[Advanced Safety Features Factor],,0)</f>
        <v>0.88</v>
      </c>
      <c r="AK192">
        <f>_xlfn.XLOOKUP(Table1820[[#This Row],[Deductible]],Table12[Deductible],Table12[Deductible Factor],,0)</f>
        <v>1</v>
      </c>
      <c r="AL192">
        <f>_xlfn.XLOOKUP(Table1820[[#This Row],[Coverage Limit]],Table13[Coverage Limit],Table13[Coverage Limit Factor],,0)</f>
        <v>0.84</v>
      </c>
      <c r="AM192">
        <f>IF(Table1820[[#This Row],[Good Student Discount]]="Yes",'Rate Book'!$D$126,1)</f>
        <v>1</v>
      </c>
      <c r="AN192">
        <f>IF(Table1820[[#This Row],[Good Driver Discount]]="Yes",'Rate Book'!$D$127,1)</f>
        <v>1</v>
      </c>
      <c r="AO192">
        <f>IF(Table1820[[#This Row],[Multi Policy Discount]]="Yes",'Rate Book'!$D$128,1)</f>
        <v>1</v>
      </c>
      <c r="AP192">
        <f>IF(Table1820[[#This Row],[Loyal Customer Discount]]="Yes",'Rate Book'!$D$129,1)</f>
        <v>1</v>
      </c>
      <c r="AQ192">
        <f>IF(Table1820[[#This Row],[Organization Discount]]="Yes",'Rate Book'!$D$130,1)</f>
        <v>0.97</v>
      </c>
      <c r="AR192" cm="1">
        <f t="array" ref="AR192">IF(Table1820[[#This Row],[Effective Date]]&gt;=RateChangeTable[Effective Date],RateChangeTable[Rate Change Factor],1)</f>
        <v>1.06</v>
      </c>
      <c r="AS192" s="10">
        <f>PRODUCT(Table1820[[#This Row],[Base Rate]:[Rate Change Factor]])</f>
        <v>2010.7859084440277</v>
      </c>
      <c r="AT192" s="9">
        <f>Table1820[[#This Row],[System-Generated Premium]]-Table1820[[#This Row],[Expected Premium]]</f>
        <v>0</v>
      </c>
      <c r="AU192" t="str">
        <f>IF(Table1820[[#This Row],[Difference]]=0,"PASS","FAIL")</f>
        <v>PASS</v>
      </c>
      <c r="AV192" s="9">
        <f>ABS(Table1820[[#This Row],[Difference]])</f>
        <v>0</v>
      </c>
      <c r="AW192" s="9" t="s">
        <v>1136</v>
      </c>
    </row>
    <row r="193" spans="1:49" x14ac:dyDescent="0.3">
      <c r="A193" t="s">
        <v>284</v>
      </c>
      <c r="B193" s="7">
        <v>46015</v>
      </c>
      <c r="C193" t="s">
        <v>70</v>
      </c>
      <c r="D193" t="s">
        <v>1101</v>
      </c>
      <c r="E193" s="3">
        <v>3</v>
      </c>
      <c r="F193" s="3">
        <v>1</v>
      </c>
      <c r="G193" t="s">
        <v>10</v>
      </c>
      <c r="H193" t="s">
        <v>1107</v>
      </c>
      <c r="I193" t="s">
        <v>39</v>
      </c>
      <c r="J193" t="s">
        <v>49</v>
      </c>
      <c r="K193" t="s">
        <v>10</v>
      </c>
      <c r="L193" t="s">
        <v>10</v>
      </c>
      <c r="M193" t="s">
        <v>10</v>
      </c>
      <c r="N193" t="s">
        <v>10</v>
      </c>
      <c r="O193" t="str">
        <f>INDEX(CoverageTable[Deductible Applies],MATCH(Table1820[[#This Row],[Coverage]],CoverageTable[Coverage],0))</f>
        <v>No</v>
      </c>
      <c r="P193" t="str">
        <f>INDEX(CoverageTable[Coverage Limit Applies],MATCH(Table1820[[#This Row],[Coverage]],CoverageTable[Coverage],0))</f>
        <v>Yes</v>
      </c>
      <c r="Q193" t="s">
        <v>10</v>
      </c>
      <c r="R193" t="s">
        <v>79</v>
      </c>
      <c r="S193" t="s">
        <v>57</v>
      </c>
      <c r="T193" t="s">
        <v>10</v>
      </c>
      <c r="U193" t="s">
        <v>10</v>
      </c>
      <c r="V193" t="s">
        <v>57</v>
      </c>
      <c r="W193" t="s">
        <v>10</v>
      </c>
      <c r="X193" s="11">
        <v>690.87527758544434</v>
      </c>
      <c r="Y193">
        <f>_xlfn.XLOOKUP(Table1820[[#This Row],[Coverage]],CoverageTable[Coverage],CoverageTable[Base Rate],,0)</f>
        <v>622</v>
      </c>
      <c r="Z193">
        <f>INDEX(Table16[Ageband Factor],MATCH(Table1820[[#This Row],[Ageband]],Table16[Ageband],0))</f>
        <v>1.1200000000000001</v>
      </c>
      <c r="AA193">
        <f>VLOOKUP(Table1820[[#This Row],[Years Driving]],Table1[],2)</f>
        <v>1.22</v>
      </c>
      <c r="AB193">
        <f>_xlfn.XLOOKUP(Table1820[[#This Row],[At Fault Accidents]],Table2[At Fault Accidents],Table2[At Fault Accident Factor],,0)</f>
        <v>1.34</v>
      </c>
      <c r="AC193">
        <f>_xlfn.XLOOKUP(Table1820[[#This Row],[Usage-Based Insurance]],Table3[Usage-Based Insurance],Table3[Usage-Based Insurance Discount],,0)</f>
        <v>1</v>
      </c>
      <c r="AD193">
        <f>_xlfn.XLOOKUP(Table1820[[#This Row],[Yearly Miles]],Table4[Yearly Miles],Table4[Yearly Miles Factor],,0)</f>
        <v>0.93</v>
      </c>
      <c r="AE193">
        <f>_xlfn.XLOOKUP(Table1820[[#This Row],[City/Zip Code]],Table5[City/Zip Code],Table5[City/Zip Code Factor],,0)</f>
        <v>1.08</v>
      </c>
      <c r="AF193">
        <f>_xlfn.XLOOKUP(Table1820[[#This Row],[Vehicle Price]],Table6[Vehicle Price],Table6[Vehicle Price Factor])</f>
        <v>0.97</v>
      </c>
      <c r="AG193">
        <f>_xlfn.XLOOKUP(Table1820[[#This Row],[Exotic Car]],Table7[Exotic Car],Table7[Exotic Car Factor],,0)</f>
        <v>1</v>
      </c>
      <c r="AH193">
        <f>_xlfn.XLOOKUP(Table1820[[#This Row],[Difficult Parts]],Table8[Difficult Parts],Table8[Difficult Parts Factor],,0)</f>
        <v>1</v>
      </c>
      <c r="AI193">
        <f>_xlfn.XLOOKUP(Table1820[[#This Row],[High Theft Rate]],Table9[High Theft Rate],Table9[High Theft Rate Factor],,0)</f>
        <v>1</v>
      </c>
      <c r="AJ193">
        <f>_xlfn.XLOOKUP(Table1820[[#This Row],[Advanced Safety Features]],Table10[Advanced Safety Features],Table10[Advanced Safety Features Factor],,0)</f>
        <v>1</v>
      </c>
      <c r="AK193">
        <f>_xlfn.XLOOKUP(Table1820[[#This Row],[Deductible]],Table12[Deductible],Table12[Deductible Factor],,0)</f>
        <v>1</v>
      </c>
      <c r="AL193">
        <f>_xlfn.XLOOKUP(Table1820[[#This Row],[Coverage Limit]],Table13[Coverage Limit],Table13[Coverage Limit Factor],,0)</f>
        <v>0.72</v>
      </c>
      <c r="AM193">
        <f>IF(Table1820[[#This Row],[Good Student Discount]]="Yes",'Rate Book'!$D$126,1)</f>
        <v>0.92</v>
      </c>
      <c r="AN193">
        <f>IF(Table1820[[#This Row],[Good Driver Discount]]="Yes",'Rate Book'!$D$127,1)</f>
        <v>1</v>
      </c>
      <c r="AO193">
        <f>IF(Table1820[[#This Row],[Multi Policy Discount]]="Yes",'Rate Book'!$D$128,1)</f>
        <v>1</v>
      </c>
      <c r="AP193">
        <f>IF(Table1820[[#This Row],[Loyal Customer Discount]]="Yes",'Rate Book'!$D$129,1)</f>
        <v>0.94</v>
      </c>
      <c r="AQ193">
        <f>IF(Table1820[[#This Row],[Organization Discount]]="Yes",'Rate Book'!$D$130,1)</f>
        <v>1</v>
      </c>
      <c r="AR193" cm="1">
        <f t="array" ref="AR193">IF(Table1820[[#This Row],[Effective Date]]&gt;=RateChangeTable[Effective Date],RateChangeTable[Rate Change Factor],1)</f>
        <v>1</v>
      </c>
      <c r="AS193" s="10">
        <f>PRODUCT(Table1820[[#This Row],[Base Rate]:[Rate Change Factor]])</f>
        <v>690.87527758544434</v>
      </c>
      <c r="AT193" s="9">
        <f>Table1820[[#This Row],[System-Generated Premium]]-Table1820[[#This Row],[Expected Premium]]</f>
        <v>0</v>
      </c>
      <c r="AU193" t="str">
        <f>IF(Table1820[[#This Row],[Difference]]=0,"PASS","FAIL")</f>
        <v>PASS</v>
      </c>
      <c r="AV193" s="9">
        <f>ABS(Table1820[[#This Row],[Difference]])</f>
        <v>0</v>
      </c>
      <c r="AW193" s="9" t="s">
        <v>1136</v>
      </c>
    </row>
    <row r="194" spans="1:49" x14ac:dyDescent="0.3">
      <c r="A194" t="s">
        <v>285</v>
      </c>
      <c r="B194" s="7">
        <v>46011</v>
      </c>
      <c r="C194" t="s">
        <v>70</v>
      </c>
      <c r="D194" t="s">
        <v>1101</v>
      </c>
      <c r="E194" s="3" t="s">
        <v>1103</v>
      </c>
      <c r="F194" s="3">
        <v>1</v>
      </c>
      <c r="G194" t="s">
        <v>10</v>
      </c>
      <c r="H194" t="s">
        <v>1107</v>
      </c>
      <c r="I194" t="s">
        <v>29</v>
      </c>
      <c r="J194" t="s">
        <v>50</v>
      </c>
      <c r="K194" t="s">
        <v>10</v>
      </c>
      <c r="L194" t="s">
        <v>10</v>
      </c>
      <c r="M194" t="s">
        <v>10</v>
      </c>
      <c r="N194" t="s">
        <v>57</v>
      </c>
      <c r="O194" t="str">
        <f>INDEX(CoverageTable[Deductible Applies],MATCH(Table1820[[#This Row],[Coverage]],CoverageTable[Coverage],0))</f>
        <v>No</v>
      </c>
      <c r="P194" t="str">
        <f>INDEX(CoverageTable[Coverage Limit Applies],MATCH(Table1820[[#This Row],[Coverage]],CoverageTable[Coverage],0))</f>
        <v>Yes</v>
      </c>
      <c r="Q194" t="s">
        <v>10</v>
      </c>
      <c r="R194" t="s">
        <v>80</v>
      </c>
      <c r="S194" t="s">
        <v>10</v>
      </c>
      <c r="T194" t="s">
        <v>10</v>
      </c>
      <c r="U194" t="s">
        <v>10</v>
      </c>
      <c r="V194" t="s">
        <v>10</v>
      </c>
      <c r="W194" t="s">
        <v>57</v>
      </c>
      <c r="X194" s="11">
        <v>681.49558828351758</v>
      </c>
      <c r="Y194">
        <f>_xlfn.XLOOKUP(Table1820[[#This Row],[Coverage]],CoverageTable[Coverage],CoverageTable[Base Rate],,0)</f>
        <v>622</v>
      </c>
      <c r="Z194">
        <f>INDEX(Table16[Ageband Factor],MATCH(Table1820[[#This Row],[Ageband]],Table16[Ageband],0))</f>
        <v>1.1200000000000001</v>
      </c>
      <c r="AA194">
        <f>VLOOKUP(Table1820[[#This Row],[Years Driving]],Table1[],2)</f>
        <v>0.93</v>
      </c>
      <c r="AB194">
        <f>_xlfn.XLOOKUP(Table1820[[#This Row],[At Fault Accidents]],Table2[At Fault Accidents],Table2[At Fault Accident Factor],,0)</f>
        <v>1.34</v>
      </c>
      <c r="AC194">
        <f>_xlfn.XLOOKUP(Table1820[[#This Row],[Usage-Based Insurance]],Table3[Usage-Based Insurance],Table3[Usage-Based Insurance Discount],,0)</f>
        <v>1</v>
      </c>
      <c r="AD194">
        <f>_xlfn.XLOOKUP(Table1820[[#This Row],[Yearly Miles]],Table4[Yearly Miles],Table4[Yearly Miles Factor],,0)</f>
        <v>0.93</v>
      </c>
      <c r="AE194">
        <f>_xlfn.XLOOKUP(Table1820[[#This Row],[City/Zip Code]],Table5[City/Zip Code],Table5[City/Zip Code Factor],,0)</f>
        <v>1.0900000000000001</v>
      </c>
      <c r="AF194">
        <f>_xlfn.XLOOKUP(Table1820[[#This Row],[Vehicle Price]],Table6[Vehicle Price],Table6[Vehicle Price Factor])</f>
        <v>1.08</v>
      </c>
      <c r="AG194">
        <f>_xlfn.XLOOKUP(Table1820[[#This Row],[Exotic Car]],Table7[Exotic Car],Table7[Exotic Car Factor],,0)</f>
        <v>1</v>
      </c>
      <c r="AH194">
        <f>_xlfn.XLOOKUP(Table1820[[#This Row],[Difficult Parts]],Table8[Difficult Parts],Table8[Difficult Parts Factor],,0)</f>
        <v>1</v>
      </c>
      <c r="AI194">
        <f>_xlfn.XLOOKUP(Table1820[[#This Row],[High Theft Rate]],Table9[High Theft Rate],Table9[High Theft Rate Factor],,0)</f>
        <v>1</v>
      </c>
      <c r="AJ194">
        <f>_xlfn.XLOOKUP(Table1820[[#This Row],[Advanced Safety Features]],Table10[Advanced Safety Features],Table10[Advanced Safety Features Factor],,0)</f>
        <v>0.88</v>
      </c>
      <c r="AK194">
        <f>_xlfn.XLOOKUP(Table1820[[#This Row],[Deductible]],Table12[Deductible],Table12[Deductible Factor],,0)</f>
        <v>1</v>
      </c>
      <c r="AL194">
        <f>_xlfn.XLOOKUP(Table1820[[#This Row],[Coverage Limit]],Table13[Coverage Limit],Table13[Coverage Limit Factor],,0)</f>
        <v>0.84</v>
      </c>
      <c r="AM194">
        <f>IF(Table1820[[#This Row],[Good Student Discount]]="Yes",'Rate Book'!$D$126,1)</f>
        <v>1</v>
      </c>
      <c r="AN194">
        <f>IF(Table1820[[#This Row],[Good Driver Discount]]="Yes",'Rate Book'!$D$127,1)</f>
        <v>1</v>
      </c>
      <c r="AO194">
        <f>IF(Table1820[[#This Row],[Multi Policy Discount]]="Yes",'Rate Book'!$D$128,1)</f>
        <v>1</v>
      </c>
      <c r="AP194">
        <f>IF(Table1820[[#This Row],[Loyal Customer Discount]]="Yes",'Rate Book'!$D$129,1)</f>
        <v>1</v>
      </c>
      <c r="AQ194">
        <f>IF(Table1820[[#This Row],[Organization Discount]]="Yes",'Rate Book'!$D$130,1)</f>
        <v>0.97</v>
      </c>
      <c r="AR194" cm="1">
        <f t="array" ref="AR194">IF(Table1820[[#This Row],[Effective Date]]&gt;=RateChangeTable[Effective Date],RateChangeTable[Rate Change Factor],1)</f>
        <v>1</v>
      </c>
      <c r="AS194" s="10">
        <f>PRODUCT(Table1820[[#This Row],[Base Rate]:[Rate Change Factor]])</f>
        <v>681.49558828351758</v>
      </c>
      <c r="AT194" s="9">
        <f>Table1820[[#This Row],[System-Generated Premium]]-Table1820[[#This Row],[Expected Premium]]</f>
        <v>0</v>
      </c>
      <c r="AU194" t="str">
        <f>IF(Table1820[[#This Row],[Difference]]=0,"PASS","FAIL")</f>
        <v>PASS</v>
      </c>
      <c r="AV194" s="9">
        <f>ABS(Table1820[[#This Row],[Difference]])</f>
        <v>0</v>
      </c>
      <c r="AW194" s="9" t="s">
        <v>1136</v>
      </c>
    </row>
    <row r="195" spans="1:49" x14ac:dyDescent="0.3">
      <c r="A195" t="s">
        <v>286</v>
      </c>
      <c r="B195" s="7">
        <v>46114</v>
      </c>
      <c r="C195" t="s">
        <v>70</v>
      </c>
      <c r="D195" t="s">
        <v>1099</v>
      </c>
      <c r="E195" s="3">
        <v>5</v>
      </c>
      <c r="F195" s="3">
        <v>3</v>
      </c>
      <c r="G195" t="s">
        <v>10</v>
      </c>
      <c r="H195" t="s">
        <v>1106</v>
      </c>
      <c r="I195" t="s">
        <v>34</v>
      </c>
      <c r="J195" t="s">
        <v>52</v>
      </c>
      <c r="K195" t="s">
        <v>10</v>
      </c>
      <c r="L195" t="s">
        <v>10</v>
      </c>
      <c r="M195" t="s">
        <v>10</v>
      </c>
      <c r="N195" t="s">
        <v>57</v>
      </c>
      <c r="O195" t="str">
        <f>INDEX(CoverageTable[Deductible Applies],MATCH(Table1820[[#This Row],[Coverage]],CoverageTable[Coverage],0))</f>
        <v>No</v>
      </c>
      <c r="P195" t="str">
        <f>INDEX(CoverageTable[Coverage Limit Applies],MATCH(Table1820[[#This Row],[Coverage]],CoverageTable[Coverage],0))</f>
        <v>Yes</v>
      </c>
      <c r="Q195" t="s">
        <v>10</v>
      </c>
      <c r="R195" t="s">
        <v>78</v>
      </c>
      <c r="S195" t="s">
        <v>10</v>
      </c>
      <c r="T195" t="s">
        <v>10</v>
      </c>
      <c r="U195" t="s">
        <v>10</v>
      </c>
      <c r="V195" t="s">
        <v>57</v>
      </c>
      <c r="W195" t="s">
        <v>10</v>
      </c>
      <c r="X195" s="11">
        <v>1301.1575304119251</v>
      </c>
      <c r="Y195">
        <f>_xlfn.XLOOKUP(Table1820[[#This Row],[Coverage]],CoverageTable[Coverage],CoverageTable[Base Rate],,0)</f>
        <v>622</v>
      </c>
      <c r="Z195">
        <f>INDEX(Table16[Ageband Factor],MATCH(Table1820[[#This Row],[Ageband]],Table16[Ageband],0))</f>
        <v>1</v>
      </c>
      <c r="AA195">
        <f>VLOOKUP(Table1820[[#This Row],[Years Driving]],Table1[],2)</f>
        <v>1.07</v>
      </c>
      <c r="AB195">
        <f>_xlfn.XLOOKUP(Table1820[[#This Row],[At Fault Accidents]],Table2[At Fault Accidents],Table2[At Fault Accident Factor],,0)</f>
        <v>1.82</v>
      </c>
      <c r="AC195">
        <f>_xlfn.XLOOKUP(Table1820[[#This Row],[Usage-Based Insurance]],Table3[Usage-Based Insurance],Table3[Usage-Based Insurance Discount],,0)</f>
        <v>1</v>
      </c>
      <c r="AD195">
        <f>_xlfn.XLOOKUP(Table1820[[#This Row],[Yearly Miles]],Table4[Yearly Miles],Table4[Yearly Miles Factor],,0)</f>
        <v>0.82</v>
      </c>
      <c r="AE195">
        <f>_xlfn.XLOOKUP(Table1820[[#This Row],[City/Zip Code]],Table5[City/Zip Code],Table5[City/Zip Code Factor],,0)</f>
        <v>1.56</v>
      </c>
      <c r="AF195">
        <f>_xlfn.XLOOKUP(Table1820[[#This Row],[Vehicle Price]],Table6[Vehicle Price],Table6[Vehicle Price Factor])</f>
        <v>1.57</v>
      </c>
      <c r="AG195">
        <f>_xlfn.XLOOKUP(Table1820[[#This Row],[Exotic Car]],Table7[Exotic Car],Table7[Exotic Car Factor],,0)</f>
        <v>1</v>
      </c>
      <c r="AH195">
        <f>_xlfn.XLOOKUP(Table1820[[#This Row],[Difficult Parts]],Table8[Difficult Parts],Table8[Difficult Parts Factor],,0)</f>
        <v>1</v>
      </c>
      <c r="AI195">
        <f>_xlfn.XLOOKUP(Table1820[[#This Row],[High Theft Rate]],Table9[High Theft Rate],Table9[High Theft Rate Factor],,0)</f>
        <v>1</v>
      </c>
      <c r="AJ195">
        <f>_xlfn.XLOOKUP(Table1820[[#This Row],[Advanced Safety Features]],Table10[Advanced Safety Features],Table10[Advanced Safety Features Factor],,0)</f>
        <v>0.88</v>
      </c>
      <c r="AK195">
        <f>_xlfn.XLOOKUP(Table1820[[#This Row],[Deductible]],Table12[Deductible],Table12[Deductible Factor],,0)</f>
        <v>1</v>
      </c>
      <c r="AL195">
        <f>_xlfn.XLOOKUP(Table1820[[#This Row],[Coverage Limit]],Table13[Coverage Limit],Table13[Coverage Limit Factor],,0)</f>
        <v>0.61</v>
      </c>
      <c r="AM195">
        <f>IF(Table1820[[#This Row],[Good Student Discount]]="Yes",'Rate Book'!$D$126,1)</f>
        <v>1</v>
      </c>
      <c r="AN195">
        <f>IF(Table1820[[#This Row],[Good Driver Discount]]="Yes",'Rate Book'!$D$127,1)</f>
        <v>1</v>
      </c>
      <c r="AO195">
        <f>IF(Table1820[[#This Row],[Multi Policy Discount]]="Yes",'Rate Book'!$D$128,1)</f>
        <v>1</v>
      </c>
      <c r="AP195">
        <f>IF(Table1820[[#This Row],[Loyal Customer Discount]]="Yes",'Rate Book'!$D$129,1)</f>
        <v>0.94</v>
      </c>
      <c r="AQ195">
        <f>IF(Table1820[[#This Row],[Organization Discount]]="Yes",'Rate Book'!$D$130,1)</f>
        <v>1</v>
      </c>
      <c r="AR195" cm="1">
        <f t="array" ref="AR195">IF(Table1820[[#This Row],[Effective Date]]&gt;=RateChangeTable[Effective Date],RateChangeTable[Rate Change Factor],1)</f>
        <v>1.06</v>
      </c>
      <c r="AS195" s="10">
        <f>PRODUCT(Table1820[[#This Row],[Base Rate]:[Rate Change Factor]])</f>
        <v>1301.1575304119251</v>
      </c>
      <c r="AT195" s="9">
        <f>Table1820[[#This Row],[System-Generated Premium]]-Table1820[[#This Row],[Expected Premium]]</f>
        <v>0</v>
      </c>
      <c r="AU195" t="str">
        <f>IF(Table1820[[#This Row],[Difference]]=0,"PASS","FAIL")</f>
        <v>PASS</v>
      </c>
      <c r="AV195" s="9">
        <f>ABS(Table1820[[#This Row],[Difference]])</f>
        <v>0</v>
      </c>
      <c r="AW195" s="9" t="s">
        <v>1136</v>
      </c>
    </row>
    <row r="196" spans="1:49" x14ac:dyDescent="0.3">
      <c r="A196" t="s">
        <v>287</v>
      </c>
      <c r="B196" s="7">
        <v>45813</v>
      </c>
      <c r="C196" t="s">
        <v>73</v>
      </c>
      <c r="D196" t="s">
        <v>1100</v>
      </c>
      <c r="E196" s="3">
        <v>2</v>
      </c>
      <c r="F196" s="3">
        <v>2</v>
      </c>
      <c r="G196" t="s">
        <v>12</v>
      </c>
      <c r="H196" t="s">
        <v>1108</v>
      </c>
      <c r="I196" t="s">
        <v>43</v>
      </c>
      <c r="J196" t="s">
        <v>52</v>
      </c>
      <c r="K196" t="s">
        <v>10</v>
      </c>
      <c r="L196" t="s">
        <v>10</v>
      </c>
      <c r="M196" t="s">
        <v>10</v>
      </c>
      <c r="N196" t="s">
        <v>10</v>
      </c>
      <c r="O196" t="str">
        <f>INDEX(CoverageTable[Deductible Applies],MATCH(Table1820[[#This Row],[Coverage]],CoverageTable[Coverage],0))</f>
        <v>No</v>
      </c>
      <c r="P196" t="str">
        <f>INDEX(CoverageTable[Coverage Limit Applies],MATCH(Table1820[[#This Row],[Coverage]],CoverageTable[Coverage],0))</f>
        <v>Yes</v>
      </c>
      <c r="Q196" t="s">
        <v>10</v>
      </c>
      <c r="R196" t="s">
        <v>79</v>
      </c>
      <c r="S196" t="s">
        <v>10</v>
      </c>
      <c r="T196" t="s">
        <v>57</v>
      </c>
      <c r="U196" t="s">
        <v>57</v>
      </c>
      <c r="V196" t="s">
        <v>10</v>
      </c>
      <c r="W196" t="s">
        <v>10</v>
      </c>
      <c r="X196" s="11">
        <v>161.10398739717883</v>
      </c>
      <c r="Y196">
        <f>_xlfn.XLOOKUP(Table1820[[#This Row],[Coverage]],CoverageTable[Coverage],CoverageTable[Base Rate],,0)</f>
        <v>78</v>
      </c>
      <c r="Z196">
        <f>INDEX(Table16[Ageband Factor],MATCH(Table1820[[#This Row],[Ageband]],Table16[Ageband],0))</f>
        <v>1.07</v>
      </c>
      <c r="AA196">
        <f>VLOOKUP(Table1820[[#This Row],[Years Driving]],Table1[],2)</f>
        <v>1.41</v>
      </c>
      <c r="AB196">
        <f>_xlfn.XLOOKUP(Table1820[[#This Row],[At Fault Accidents]],Table2[At Fault Accidents],Table2[At Fault Accident Factor],,0)</f>
        <v>1.55</v>
      </c>
      <c r="AC196">
        <f>_xlfn.XLOOKUP(Table1820[[#This Row],[Usage-Based Insurance]],Table3[Usage-Based Insurance],Table3[Usage-Based Insurance Discount],,0)</f>
        <v>0.8</v>
      </c>
      <c r="AD196">
        <f>_xlfn.XLOOKUP(Table1820[[#This Row],[Yearly Miles]],Table4[Yearly Miles],Table4[Yearly Miles Factor],,0)</f>
        <v>1</v>
      </c>
      <c r="AE196">
        <f>_xlfn.XLOOKUP(Table1820[[#This Row],[City/Zip Code]],Table5[City/Zip Code],Table5[City/Zip Code Factor],,0)</f>
        <v>1.18</v>
      </c>
      <c r="AF196">
        <f>_xlfn.XLOOKUP(Table1820[[#This Row],[Vehicle Price]],Table6[Vehicle Price],Table6[Vehicle Price Factor])</f>
        <v>1.57</v>
      </c>
      <c r="AG196">
        <f>_xlfn.XLOOKUP(Table1820[[#This Row],[Exotic Car]],Table7[Exotic Car],Table7[Exotic Car Factor],,0)</f>
        <v>1</v>
      </c>
      <c r="AH196">
        <f>_xlfn.XLOOKUP(Table1820[[#This Row],[Difficult Parts]],Table8[Difficult Parts],Table8[Difficult Parts Factor],,0)</f>
        <v>1</v>
      </c>
      <c r="AI196">
        <f>_xlfn.XLOOKUP(Table1820[[#This Row],[High Theft Rate]],Table9[High Theft Rate],Table9[High Theft Rate Factor],,0)</f>
        <v>1</v>
      </c>
      <c r="AJ196">
        <f>_xlfn.XLOOKUP(Table1820[[#This Row],[Advanced Safety Features]],Table10[Advanced Safety Features],Table10[Advanced Safety Features Factor],,0)</f>
        <v>1</v>
      </c>
      <c r="AK196">
        <f>_xlfn.XLOOKUP(Table1820[[#This Row],[Deductible]],Table12[Deductible],Table12[Deductible Factor],,0)</f>
        <v>1</v>
      </c>
      <c r="AL196">
        <f>_xlfn.XLOOKUP(Table1820[[#This Row],[Coverage Limit]],Table13[Coverage Limit],Table13[Coverage Limit Factor],,0)</f>
        <v>0.72</v>
      </c>
      <c r="AM196">
        <f>IF(Table1820[[#This Row],[Good Student Discount]]="Yes",'Rate Book'!$D$126,1)</f>
        <v>1</v>
      </c>
      <c r="AN196">
        <f>IF(Table1820[[#This Row],[Good Driver Discount]]="Yes",'Rate Book'!$D$127,1)</f>
        <v>0.89</v>
      </c>
      <c r="AO196">
        <f>IF(Table1820[[#This Row],[Multi Policy Discount]]="Yes",'Rate Book'!$D$128,1)</f>
        <v>0.93</v>
      </c>
      <c r="AP196">
        <f>IF(Table1820[[#This Row],[Loyal Customer Discount]]="Yes",'Rate Book'!$D$129,1)</f>
        <v>1</v>
      </c>
      <c r="AQ196">
        <f>IF(Table1820[[#This Row],[Organization Discount]]="Yes",'Rate Book'!$D$130,1)</f>
        <v>1</v>
      </c>
      <c r="AR196" cm="1">
        <f t="array" ref="AR196">IF(Table1820[[#This Row],[Effective Date]]&gt;=RateChangeTable[Effective Date],RateChangeTable[Rate Change Factor],1)</f>
        <v>1</v>
      </c>
      <c r="AS196" s="10">
        <f>PRODUCT(Table1820[[#This Row],[Base Rate]:[Rate Change Factor]])</f>
        <v>161.10398739717883</v>
      </c>
      <c r="AT196" s="9">
        <f>Table1820[[#This Row],[System-Generated Premium]]-Table1820[[#This Row],[Expected Premium]]</f>
        <v>0</v>
      </c>
      <c r="AU196" t="str">
        <f>IF(Table1820[[#This Row],[Difference]]=0,"PASS","FAIL")</f>
        <v>PASS</v>
      </c>
      <c r="AV196" s="9">
        <f>ABS(Table1820[[#This Row],[Difference]])</f>
        <v>0</v>
      </c>
      <c r="AW196" s="9" t="s">
        <v>1136</v>
      </c>
    </row>
    <row r="197" spans="1:49" x14ac:dyDescent="0.3">
      <c r="A197" t="s">
        <v>288</v>
      </c>
      <c r="B197" s="7">
        <v>46068</v>
      </c>
      <c r="C197" t="s">
        <v>70</v>
      </c>
      <c r="D197" t="s">
        <v>1101</v>
      </c>
      <c r="E197" s="3">
        <v>7</v>
      </c>
      <c r="F197" s="3">
        <v>1</v>
      </c>
      <c r="G197" t="s">
        <v>10</v>
      </c>
      <c r="H197" t="s">
        <v>1109</v>
      </c>
      <c r="I197" t="s">
        <v>22</v>
      </c>
      <c r="J197" t="s">
        <v>54</v>
      </c>
      <c r="K197" t="s">
        <v>10</v>
      </c>
      <c r="L197" t="s">
        <v>10</v>
      </c>
      <c r="M197" t="s">
        <v>57</v>
      </c>
      <c r="N197" t="s">
        <v>10</v>
      </c>
      <c r="O197" t="str">
        <f>INDEX(CoverageTable[Deductible Applies],MATCH(Table1820[[#This Row],[Coverage]],CoverageTable[Coverage],0))</f>
        <v>No</v>
      </c>
      <c r="P197" t="str">
        <f>INDEX(CoverageTable[Coverage Limit Applies],MATCH(Table1820[[#This Row],[Coverage]],CoverageTable[Coverage],0))</f>
        <v>Yes</v>
      </c>
      <c r="Q197" t="s">
        <v>10</v>
      </c>
      <c r="R197" t="s">
        <v>78</v>
      </c>
      <c r="S197" t="s">
        <v>10</v>
      </c>
      <c r="T197" t="s">
        <v>57</v>
      </c>
      <c r="U197" t="s">
        <v>10</v>
      </c>
      <c r="V197" t="s">
        <v>10</v>
      </c>
      <c r="W197" t="s">
        <v>10</v>
      </c>
      <c r="X197" s="11">
        <v>2425.8826114821304</v>
      </c>
      <c r="Y197">
        <f>_xlfn.XLOOKUP(Table1820[[#This Row],[Coverage]],CoverageTable[Coverage],CoverageTable[Base Rate],,0)</f>
        <v>622</v>
      </c>
      <c r="Z197">
        <f>INDEX(Table16[Ageband Factor],MATCH(Table1820[[#This Row],[Ageband]],Table16[Ageband],0))</f>
        <v>1.1200000000000001</v>
      </c>
      <c r="AA197">
        <f>VLOOKUP(Table1820[[#This Row],[Years Driving]],Table1[],2)</f>
        <v>0.95</v>
      </c>
      <c r="AB197">
        <f>_xlfn.XLOOKUP(Table1820[[#This Row],[At Fault Accidents]],Table2[At Fault Accidents],Table2[At Fault Accident Factor],,0)</f>
        <v>1.34</v>
      </c>
      <c r="AC197">
        <f>_xlfn.XLOOKUP(Table1820[[#This Row],[Usage-Based Insurance]],Table3[Usage-Based Insurance],Table3[Usage-Based Insurance Discount],,0)</f>
        <v>1</v>
      </c>
      <c r="AD197">
        <f>_xlfn.XLOOKUP(Table1820[[#This Row],[Yearly Miles]],Table4[Yearly Miles],Table4[Yearly Miles Factor],,0)</f>
        <v>1.18</v>
      </c>
      <c r="AE197">
        <f>_xlfn.XLOOKUP(Table1820[[#This Row],[City/Zip Code]],Table5[City/Zip Code],Table5[City/Zip Code Factor],,0)</f>
        <v>1.21</v>
      </c>
      <c r="AF197">
        <f>_xlfn.XLOOKUP(Table1820[[#This Row],[Vehicle Price]],Table6[Vehicle Price],Table6[Vehicle Price Factor])</f>
        <v>2.87</v>
      </c>
      <c r="AG197">
        <f>_xlfn.XLOOKUP(Table1820[[#This Row],[Exotic Car]],Table7[Exotic Car],Table7[Exotic Car Factor],,0)</f>
        <v>1</v>
      </c>
      <c r="AH197">
        <f>_xlfn.XLOOKUP(Table1820[[#This Row],[Difficult Parts]],Table8[Difficult Parts],Table8[Difficult Parts Factor],,0)</f>
        <v>1</v>
      </c>
      <c r="AI197">
        <f>_xlfn.XLOOKUP(Table1820[[#This Row],[High Theft Rate]],Table9[High Theft Rate],Table9[High Theft Rate Factor],,0)</f>
        <v>1.1599999999999999</v>
      </c>
      <c r="AJ197">
        <f>_xlfn.XLOOKUP(Table1820[[#This Row],[Advanced Safety Features]],Table10[Advanced Safety Features],Table10[Advanced Safety Features Factor],,0)</f>
        <v>1</v>
      </c>
      <c r="AK197">
        <f>_xlfn.XLOOKUP(Table1820[[#This Row],[Deductible]],Table12[Deductible],Table12[Deductible Factor],,0)</f>
        <v>1</v>
      </c>
      <c r="AL197">
        <f>_xlfn.XLOOKUP(Table1820[[#This Row],[Coverage Limit]],Table13[Coverage Limit],Table13[Coverage Limit Factor],,0)</f>
        <v>0.61</v>
      </c>
      <c r="AM197">
        <f>IF(Table1820[[#This Row],[Good Student Discount]]="Yes",'Rate Book'!$D$126,1)</f>
        <v>1</v>
      </c>
      <c r="AN197">
        <f>IF(Table1820[[#This Row],[Good Driver Discount]]="Yes",'Rate Book'!$D$127,1)</f>
        <v>0.89</v>
      </c>
      <c r="AO197">
        <f>IF(Table1820[[#This Row],[Multi Policy Discount]]="Yes",'Rate Book'!$D$128,1)</f>
        <v>1</v>
      </c>
      <c r="AP197">
        <f>IF(Table1820[[#This Row],[Loyal Customer Discount]]="Yes",'Rate Book'!$D$129,1)</f>
        <v>1</v>
      </c>
      <c r="AQ197">
        <f>IF(Table1820[[#This Row],[Organization Discount]]="Yes",'Rate Book'!$D$130,1)</f>
        <v>1</v>
      </c>
      <c r="AR197" cm="1">
        <f t="array" ref="AR197">IF(Table1820[[#This Row],[Effective Date]]&gt;=RateChangeTable[Effective Date],RateChangeTable[Rate Change Factor],1)</f>
        <v>1.06</v>
      </c>
      <c r="AS197" s="10">
        <f>PRODUCT(Table1820[[#This Row],[Base Rate]:[Rate Change Factor]])</f>
        <v>2425.8826114821304</v>
      </c>
      <c r="AT197" s="9">
        <f>Table1820[[#This Row],[System-Generated Premium]]-Table1820[[#This Row],[Expected Premium]]</f>
        <v>0</v>
      </c>
      <c r="AU197" t="str">
        <f>IF(Table1820[[#This Row],[Difference]]=0,"PASS","FAIL")</f>
        <v>PASS</v>
      </c>
      <c r="AV197" s="9">
        <f>ABS(Table1820[[#This Row],[Difference]])</f>
        <v>0</v>
      </c>
      <c r="AW197" s="9" t="s">
        <v>1136</v>
      </c>
    </row>
    <row r="198" spans="1:49" x14ac:dyDescent="0.3">
      <c r="A198" t="s">
        <v>289</v>
      </c>
      <c r="B198" s="7">
        <v>45982</v>
      </c>
      <c r="C198" t="s">
        <v>70</v>
      </c>
      <c r="D198" t="s">
        <v>1102</v>
      </c>
      <c r="E198" s="3">
        <v>1</v>
      </c>
      <c r="F198" s="3">
        <v>1</v>
      </c>
      <c r="G198" t="s">
        <v>11</v>
      </c>
      <c r="H198" t="s">
        <v>1106</v>
      </c>
      <c r="I198" t="s">
        <v>30</v>
      </c>
      <c r="J198" t="s">
        <v>51</v>
      </c>
      <c r="K198" t="s">
        <v>57</v>
      </c>
      <c r="L198" t="s">
        <v>10</v>
      </c>
      <c r="M198" t="s">
        <v>10</v>
      </c>
      <c r="N198" t="s">
        <v>10</v>
      </c>
      <c r="O198" t="str">
        <f>INDEX(CoverageTable[Deductible Applies],MATCH(Table1820[[#This Row],[Coverage]],CoverageTable[Coverage],0))</f>
        <v>No</v>
      </c>
      <c r="P198" t="str">
        <f>INDEX(CoverageTable[Coverage Limit Applies],MATCH(Table1820[[#This Row],[Coverage]],CoverageTable[Coverage],0))</f>
        <v>Yes</v>
      </c>
      <c r="Q198" t="s">
        <v>10</v>
      </c>
      <c r="R198" t="s">
        <v>80</v>
      </c>
      <c r="S198" t="s">
        <v>10</v>
      </c>
      <c r="T198" t="s">
        <v>57</v>
      </c>
      <c r="U198" t="s">
        <v>10</v>
      </c>
      <c r="V198" t="s">
        <v>10</v>
      </c>
      <c r="W198" t="s">
        <v>10</v>
      </c>
      <c r="X198" s="11">
        <v>1689.5444166964169</v>
      </c>
      <c r="Y198">
        <f>_xlfn.XLOOKUP(Table1820[[#This Row],[Coverage]],CoverageTable[Coverage],CoverageTable[Base Rate],,0)</f>
        <v>622</v>
      </c>
      <c r="Z198">
        <f>INDEX(Table16[Ageband Factor],MATCH(Table1820[[#This Row],[Ageband]],Table16[Ageband],0))</f>
        <v>1.27</v>
      </c>
      <c r="AA198">
        <f>VLOOKUP(Table1820[[#This Row],[Years Driving]],Table1[],2)</f>
        <v>1.64</v>
      </c>
      <c r="AB198">
        <f>_xlfn.XLOOKUP(Table1820[[#This Row],[At Fault Accidents]],Table2[At Fault Accidents],Table2[At Fault Accident Factor],,0)</f>
        <v>1.34</v>
      </c>
      <c r="AC198">
        <f>_xlfn.XLOOKUP(Table1820[[#This Row],[Usage-Based Insurance]],Table3[Usage-Based Insurance],Table3[Usage-Based Insurance Discount],,0)</f>
        <v>0.95</v>
      </c>
      <c r="AD198">
        <f>_xlfn.XLOOKUP(Table1820[[#This Row],[Yearly Miles]],Table4[Yearly Miles],Table4[Yearly Miles Factor],,0)</f>
        <v>0.82</v>
      </c>
      <c r="AE198">
        <f>_xlfn.XLOOKUP(Table1820[[#This Row],[City/Zip Code]],Table5[City/Zip Code],Table5[City/Zip Code Factor],,0)</f>
        <v>1.02</v>
      </c>
      <c r="AF198">
        <f>_xlfn.XLOOKUP(Table1820[[#This Row],[Vehicle Price]],Table6[Vehicle Price],Table6[Vehicle Price Factor])</f>
        <v>1.28</v>
      </c>
      <c r="AG198">
        <f>_xlfn.XLOOKUP(Table1820[[#This Row],[Exotic Car]],Table7[Exotic Car],Table7[Exotic Car Factor],,0)</f>
        <v>1.28</v>
      </c>
      <c r="AH198">
        <f>_xlfn.XLOOKUP(Table1820[[#This Row],[Difficult Parts]],Table8[Difficult Parts],Table8[Difficult Parts Factor],,0)</f>
        <v>1</v>
      </c>
      <c r="AI198">
        <f>_xlfn.XLOOKUP(Table1820[[#This Row],[High Theft Rate]],Table9[High Theft Rate],Table9[High Theft Rate Factor],,0)</f>
        <v>1</v>
      </c>
      <c r="AJ198">
        <f>_xlfn.XLOOKUP(Table1820[[#This Row],[Advanced Safety Features]],Table10[Advanced Safety Features],Table10[Advanced Safety Features Factor],,0)</f>
        <v>1</v>
      </c>
      <c r="AK198">
        <f>_xlfn.XLOOKUP(Table1820[[#This Row],[Deductible]],Table12[Deductible],Table12[Deductible Factor],,0)</f>
        <v>1</v>
      </c>
      <c r="AL198">
        <f>_xlfn.XLOOKUP(Table1820[[#This Row],[Coverage Limit]],Table13[Coverage Limit],Table13[Coverage Limit Factor],,0)</f>
        <v>0.84</v>
      </c>
      <c r="AM198">
        <f>IF(Table1820[[#This Row],[Good Student Discount]]="Yes",'Rate Book'!$D$126,1)</f>
        <v>1</v>
      </c>
      <c r="AN198">
        <f>IF(Table1820[[#This Row],[Good Driver Discount]]="Yes",'Rate Book'!$D$127,1)</f>
        <v>0.89</v>
      </c>
      <c r="AO198">
        <f>IF(Table1820[[#This Row],[Multi Policy Discount]]="Yes",'Rate Book'!$D$128,1)</f>
        <v>1</v>
      </c>
      <c r="AP198">
        <f>IF(Table1820[[#This Row],[Loyal Customer Discount]]="Yes",'Rate Book'!$D$129,1)</f>
        <v>1</v>
      </c>
      <c r="AQ198">
        <f>IF(Table1820[[#This Row],[Organization Discount]]="Yes",'Rate Book'!$D$130,1)</f>
        <v>1</v>
      </c>
      <c r="AR198" cm="1">
        <f t="array" ref="AR198">IF(Table1820[[#This Row],[Effective Date]]&gt;=RateChangeTable[Effective Date],RateChangeTable[Rate Change Factor],1)</f>
        <v>1</v>
      </c>
      <c r="AS198" s="10">
        <f>PRODUCT(Table1820[[#This Row],[Base Rate]:[Rate Change Factor]])</f>
        <v>1689.5444166964169</v>
      </c>
      <c r="AT198" s="9">
        <f>Table1820[[#This Row],[System-Generated Premium]]-Table1820[[#This Row],[Expected Premium]]</f>
        <v>0</v>
      </c>
      <c r="AU198" t="str">
        <f>IF(Table1820[[#This Row],[Difference]]=0,"PASS","FAIL")</f>
        <v>PASS</v>
      </c>
      <c r="AV198" s="9">
        <f>ABS(Table1820[[#This Row],[Difference]])</f>
        <v>0</v>
      </c>
      <c r="AW198" s="9" t="s">
        <v>1136</v>
      </c>
    </row>
    <row r="199" spans="1:49" x14ac:dyDescent="0.3">
      <c r="A199" t="s">
        <v>290</v>
      </c>
      <c r="B199" s="7">
        <v>45936</v>
      </c>
      <c r="C199" t="s">
        <v>72</v>
      </c>
      <c r="D199" t="s">
        <v>1097</v>
      </c>
      <c r="E199" s="3">
        <v>5</v>
      </c>
      <c r="F199" s="3">
        <v>1</v>
      </c>
      <c r="G199" t="s">
        <v>10</v>
      </c>
      <c r="H199" t="s">
        <v>1109</v>
      </c>
      <c r="I199" t="s">
        <v>36</v>
      </c>
      <c r="J199" t="s">
        <v>51</v>
      </c>
      <c r="K199" t="s">
        <v>10</v>
      </c>
      <c r="L199" t="s">
        <v>10</v>
      </c>
      <c r="M199" t="s">
        <v>10</v>
      </c>
      <c r="N199" t="s">
        <v>57</v>
      </c>
      <c r="O199" t="str">
        <f>INDEX(CoverageTable[Deductible Applies],MATCH(Table1820[[#This Row],[Coverage]],CoverageTable[Coverage],0))</f>
        <v>Yes</v>
      </c>
      <c r="P199" t="str">
        <f>INDEX(CoverageTable[Coverage Limit Applies],MATCH(Table1820[[#This Row],[Coverage]],CoverageTable[Coverage],0))</f>
        <v>No</v>
      </c>
      <c r="Q199" t="s">
        <v>80</v>
      </c>
      <c r="R199" t="s">
        <v>10</v>
      </c>
      <c r="S199" t="s">
        <v>10</v>
      </c>
      <c r="T199" t="s">
        <v>10</v>
      </c>
      <c r="U199" t="s">
        <v>57</v>
      </c>
      <c r="V199" t="s">
        <v>10</v>
      </c>
      <c r="W199" t="s">
        <v>10</v>
      </c>
      <c r="X199" s="11">
        <v>199.73954091641184</v>
      </c>
      <c r="Y199">
        <f>_xlfn.XLOOKUP(Table1820[[#This Row],[Coverage]],CoverageTable[Coverage],CoverageTable[Base Rate],,0)</f>
        <v>121</v>
      </c>
      <c r="Z199">
        <f>INDEX(Table16[Ageband Factor],MATCH(Table1820[[#This Row],[Ageband]],Table16[Ageband],0))</f>
        <v>1.32</v>
      </c>
      <c r="AA199">
        <f>VLOOKUP(Table1820[[#This Row],[Years Driving]],Table1[],2)</f>
        <v>1.07</v>
      </c>
      <c r="AB199">
        <f>_xlfn.XLOOKUP(Table1820[[#This Row],[At Fault Accidents]],Table2[At Fault Accidents],Table2[At Fault Accident Factor],,0)</f>
        <v>1.34</v>
      </c>
      <c r="AC199">
        <f>_xlfn.XLOOKUP(Table1820[[#This Row],[Usage-Based Insurance]],Table3[Usage-Based Insurance],Table3[Usage-Based Insurance Discount],,0)</f>
        <v>1</v>
      </c>
      <c r="AD199">
        <f>_xlfn.XLOOKUP(Table1820[[#This Row],[Yearly Miles]],Table4[Yearly Miles],Table4[Yearly Miles Factor],,0)</f>
        <v>1.18</v>
      </c>
      <c r="AE199">
        <f>_xlfn.XLOOKUP(Table1820[[#This Row],[City/Zip Code]],Table5[City/Zip Code],Table5[City/Zip Code Factor],,0)</f>
        <v>0.98</v>
      </c>
      <c r="AF199">
        <f>_xlfn.XLOOKUP(Table1820[[#This Row],[Vehicle Price]],Table6[Vehicle Price],Table6[Vehicle Price Factor])</f>
        <v>1.28</v>
      </c>
      <c r="AG199">
        <f>_xlfn.XLOOKUP(Table1820[[#This Row],[Exotic Car]],Table7[Exotic Car],Table7[Exotic Car Factor],,0)</f>
        <v>1</v>
      </c>
      <c r="AH199">
        <f>_xlfn.XLOOKUP(Table1820[[#This Row],[Difficult Parts]],Table8[Difficult Parts],Table8[Difficult Parts Factor],,0)</f>
        <v>1</v>
      </c>
      <c r="AI199">
        <f>_xlfn.XLOOKUP(Table1820[[#This Row],[High Theft Rate]],Table9[High Theft Rate],Table9[High Theft Rate Factor],,0)</f>
        <v>1</v>
      </c>
      <c r="AJ199">
        <f>_xlfn.XLOOKUP(Table1820[[#This Row],[Advanced Safety Features]],Table10[Advanced Safety Features],Table10[Advanced Safety Features Factor],,0)</f>
        <v>0.88</v>
      </c>
      <c r="AK199">
        <f>_xlfn.XLOOKUP(Table1820[[#This Row],[Deductible]],Table12[Deductible],Table12[Deductible Factor],,0)</f>
        <v>0.72</v>
      </c>
      <c r="AL199">
        <f>_xlfn.XLOOKUP(Table1820[[#This Row],[Coverage Limit]],Table13[Coverage Limit],Table13[Coverage Limit Factor],,0)</f>
        <v>1</v>
      </c>
      <c r="AM199">
        <f>IF(Table1820[[#This Row],[Good Student Discount]]="Yes",'Rate Book'!$D$126,1)</f>
        <v>1</v>
      </c>
      <c r="AN199">
        <f>IF(Table1820[[#This Row],[Good Driver Discount]]="Yes",'Rate Book'!$D$127,1)</f>
        <v>1</v>
      </c>
      <c r="AO199">
        <f>IF(Table1820[[#This Row],[Multi Policy Discount]]="Yes",'Rate Book'!$D$128,1)</f>
        <v>0.93</v>
      </c>
      <c r="AP199">
        <f>IF(Table1820[[#This Row],[Loyal Customer Discount]]="Yes",'Rate Book'!$D$129,1)</f>
        <v>1</v>
      </c>
      <c r="AQ199">
        <f>IF(Table1820[[#This Row],[Organization Discount]]="Yes",'Rate Book'!$D$130,1)</f>
        <v>1</v>
      </c>
      <c r="AR199" cm="1">
        <f t="array" ref="AR199">IF(Table1820[[#This Row],[Effective Date]]&gt;=RateChangeTable[Effective Date],RateChangeTable[Rate Change Factor],1)</f>
        <v>1</v>
      </c>
      <c r="AS199" s="10">
        <f>PRODUCT(Table1820[[#This Row],[Base Rate]:[Rate Change Factor]])</f>
        <v>199.73954091641184</v>
      </c>
      <c r="AT199" s="9">
        <f>Table1820[[#This Row],[System-Generated Premium]]-Table1820[[#This Row],[Expected Premium]]</f>
        <v>0</v>
      </c>
      <c r="AU199" t="str">
        <f>IF(Table1820[[#This Row],[Difference]]=0,"PASS","FAIL")</f>
        <v>PASS</v>
      </c>
      <c r="AV199" s="9">
        <f>ABS(Table1820[[#This Row],[Difference]])</f>
        <v>0</v>
      </c>
      <c r="AW199" s="9" t="s">
        <v>1136</v>
      </c>
    </row>
    <row r="200" spans="1:49" x14ac:dyDescent="0.3">
      <c r="A200" t="s">
        <v>291</v>
      </c>
      <c r="B200" s="7">
        <v>45818</v>
      </c>
      <c r="C200" t="s">
        <v>74</v>
      </c>
      <c r="D200" t="s">
        <v>1101</v>
      </c>
      <c r="E200" s="3">
        <v>4</v>
      </c>
      <c r="F200" s="3">
        <v>4</v>
      </c>
      <c r="G200" t="s">
        <v>10</v>
      </c>
      <c r="H200" t="s">
        <v>1110</v>
      </c>
      <c r="I200" t="s">
        <v>39</v>
      </c>
      <c r="J200" t="s">
        <v>48</v>
      </c>
      <c r="K200" t="s">
        <v>10</v>
      </c>
      <c r="L200" t="s">
        <v>57</v>
      </c>
      <c r="M200" t="s">
        <v>10</v>
      </c>
      <c r="N200" t="s">
        <v>10</v>
      </c>
      <c r="O200" t="str">
        <f>INDEX(CoverageTable[Deductible Applies],MATCH(Table1820[[#This Row],[Coverage]],CoverageTable[Coverage],0))</f>
        <v>No</v>
      </c>
      <c r="P200" t="str">
        <f>INDEX(CoverageTable[Coverage Limit Applies],MATCH(Table1820[[#This Row],[Coverage]],CoverageTable[Coverage],0))</f>
        <v>Yes</v>
      </c>
      <c r="Q200" t="s">
        <v>10</v>
      </c>
      <c r="R200" t="s">
        <v>78</v>
      </c>
      <c r="S200" t="s">
        <v>10</v>
      </c>
      <c r="T200" t="s">
        <v>10</v>
      </c>
      <c r="U200" t="s">
        <v>10</v>
      </c>
      <c r="V200" t="s">
        <v>10</v>
      </c>
      <c r="W200" t="s">
        <v>10</v>
      </c>
      <c r="X200" s="11">
        <v>95.864914557409548</v>
      </c>
      <c r="Y200">
        <f>_xlfn.XLOOKUP(Table1820[[#This Row],[Coverage]],CoverageTable[Coverage],CoverageTable[Base Rate],,0)</f>
        <v>41</v>
      </c>
      <c r="Z200">
        <f>INDEX(Table16[Ageband Factor],MATCH(Table1820[[#This Row],[Ageband]],Table16[Ageband],0))</f>
        <v>1.1200000000000001</v>
      </c>
      <c r="AA200">
        <f>VLOOKUP(Table1820[[#This Row],[Years Driving]],Table1[],2)</f>
        <v>1.1499999999999999</v>
      </c>
      <c r="AB200">
        <f>_xlfn.XLOOKUP(Table1820[[#This Row],[At Fault Accidents]],Table2[At Fault Accidents],Table2[At Fault Accident Factor],,0)</f>
        <v>2.12</v>
      </c>
      <c r="AC200">
        <f>_xlfn.XLOOKUP(Table1820[[#This Row],[Usage-Based Insurance]],Table3[Usage-Based Insurance],Table3[Usage-Based Insurance Discount],,0)</f>
        <v>1</v>
      </c>
      <c r="AD200">
        <f>_xlfn.XLOOKUP(Table1820[[#This Row],[Yearly Miles]],Table4[Yearly Miles],Table4[Yearly Miles Factor],,0)</f>
        <v>1.31</v>
      </c>
      <c r="AE200">
        <f>_xlfn.XLOOKUP(Table1820[[#This Row],[City/Zip Code]],Table5[City/Zip Code],Table5[City/Zip Code Factor],,0)</f>
        <v>1.08</v>
      </c>
      <c r="AF200">
        <f>_xlfn.XLOOKUP(Table1820[[#This Row],[Vehicle Price]],Table6[Vehicle Price],Table6[Vehicle Price Factor])</f>
        <v>0.82</v>
      </c>
      <c r="AG200">
        <f>_xlfn.XLOOKUP(Table1820[[#This Row],[Exotic Car]],Table7[Exotic Car],Table7[Exotic Car Factor],,0)</f>
        <v>1</v>
      </c>
      <c r="AH200">
        <f>_xlfn.XLOOKUP(Table1820[[#This Row],[Difficult Parts]],Table8[Difficult Parts],Table8[Difficult Parts Factor],,0)</f>
        <v>1.21</v>
      </c>
      <c r="AI200">
        <f>_xlfn.XLOOKUP(Table1820[[#This Row],[High Theft Rate]],Table9[High Theft Rate],Table9[High Theft Rate Factor],,0)</f>
        <v>1</v>
      </c>
      <c r="AJ200">
        <f>_xlfn.XLOOKUP(Table1820[[#This Row],[Advanced Safety Features]],Table10[Advanced Safety Features],Table10[Advanced Safety Features Factor],,0)</f>
        <v>1</v>
      </c>
      <c r="AK200">
        <f>_xlfn.XLOOKUP(Table1820[[#This Row],[Deductible]],Table12[Deductible],Table12[Deductible Factor],,0)</f>
        <v>1</v>
      </c>
      <c r="AL200">
        <f>_xlfn.XLOOKUP(Table1820[[#This Row],[Coverage Limit]],Table13[Coverage Limit],Table13[Coverage Limit Factor],,0)</f>
        <v>0.61</v>
      </c>
      <c r="AM200">
        <f>IF(Table1820[[#This Row],[Good Student Discount]]="Yes",'Rate Book'!$D$126,1)</f>
        <v>1</v>
      </c>
      <c r="AN200">
        <f>IF(Table1820[[#This Row],[Good Driver Discount]]="Yes",'Rate Book'!$D$127,1)</f>
        <v>1</v>
      </c>
      <c r="AO200">
        <f>IF(Table1820[[#This Row],[Multi Policy Discount]]="Yes",'Rate Book'!$D$128,1)</f>
        <v>1</v>
      </c>
      <c r="AP200">
        <f>IF(Table1820[[#This Row],[Loyal Customer Discount]]="Yes",'Rate Book'!$D$129,1)</f>
        <v>1</v>
      </c>
      <c r="AQ200">
        <f>IF(Table1820[[#This Row],[Organization Discount]]="Yes",'Rate Book'!$D$130,1)</f>
        <v>1</v>
      </c>
      <c r="AR200" cm="1">
        <f t="array" ref="AR200">IF(Table1820[[#This Row],[Effective Date]]&gt;=RateChangeTable[Effective Date],RateChangeTable[Rate Change Factor],1)</f>
        <v>1</v>
      </c>
      <c r="AS200" s="10">
        <f>PRODUCT(Table1820[[#This Row],[Base Rate]:[Rate Change Factor]])</f>
        <v>95.864914557409548</v>
      </c>
      <c r="AT200" s="9">
        <f>Table1820[[#This Row],[System-Generated Premium]]-Table1820[[#This Row],[Expected Premium]]</f>
        <v>0</v>
      </c>
      <c r="AU200" t="str">
        <f>IF(Table1820[[#This Row],[Difference]]=0,"PASS","FAIL")</f>
        <v>PASS</v>
      </c>
      <c r="AV200" s="9">
        <f>ABS(Table1820[[#This Row],[Difference]])</f>
        <v>0</v>
      </c>
      <c r="AW200" s="9" t="s">
        <v>1136</v>
      </c>
    </row>
    <row r="201" spans="1:49" x14ac:dyDescent="0.3">
      <c r="A201" t="s">
        <v>292</v>
      </c>
      <c r="B201" s="7">
        <v>46037</v>
      </c>
      <c r="C201" t="s">
        <v>71</v>
      </c>
      <c r="D201" t="s">
        <v>1097</v>
      </c>
      <c r="E201" s="3">
        <v>2</v>
      </c>
      <c r="F201" s="3">
        <v>4</v>
      </c>
      <c r="G201" t="s">
        <v>12</v>
      </c>
      <c r="H201" t="s">
        <v>1110</v>
      </c>
      <c r="I201" t="s">
        <v>42</v>
      </c>
      <c r="J201" t="s">
        <v>52</v>
      </c>
      <c r="K201" t="s">
        <v>10</v>
      </c>
      <c r="L201" t="s">
        <v>10</v>
      </c>
      <c r="M201" t="s">
        <v>57</v>
      </c>
      <c r="N201" t="s">
        <v>10</v>
      </c>
      <c r="O201" t="str">
        <f>INDEX(CoverageTable[Deductible Applies],MATCH(Table1820[[#This Row],[Coverage]],CoverageTable[Coverage],0))</f>
        <v>Yes</v>
      </c>
      <c r="P201" t="str">
        <f>INDEX(CoverageTable[Coverage Limit Applies],MATCH(Table1820[[#This Row],[Coverage]],CoverageTable[Coverage],0))</f>
        <v>No</v>
      </c>
      <c r="Q201" t="s">
        <v>79</v>
      </c>
      <c r="R201" t="s">
        <v>10</v>
      </c>
      <c r="S201" t="s">
        <v>57</v>
      </c>
      <c r="T201" t="s">
        <v>10</v>
      </c>
      <c r="U201" t="s">
        <v>10</v>
      </c>
      <c r="V201" t="s">
        <v>10</v>
      </c>
      <c r="W201" t="s">
        <v>57</v>
      </c>
      <c r="X201" s="11">
        <v>3280.0171489296768</v>
      </c>
      <c r="Y201">
        <f>_xlfn.XLOOKUP(Table1820[[#This Row],[Coverage]],CoverageTable[Coverage],CoverageTable[Base Rate],,0)</f>
        <v>453</v>
      </c>
      <c r="Z201">
        <f>INDEX(Table16[Ageband Factor],MATCH(Table1820[[#This Row],[Ageband]],Table16[Ageband],0))</f>
        <v>1.32</v>
      </c>
      <c r="AA201">
        <f>VLOOKUP(Table1820[[#This Row],[Years Driving]],Table1[],2)</f>
        <v>1.41</v>
      </c>
      <c r="AB201">
        <f>_xlfn.XLOOKUP(Table1820[[#This Row],[At Fault Accidents]],Table2[At Fault Accidents],Table2[At Fault Accident Factor],,0)</f>
        <v>2.12</v>
      </c>
      <c r="AC201">
        <f>_xlfn.XLOOKUP(Table1820[[#This Row],[Usage-Based Insurance]],Table3[Usage-Based Insurance],Table3[Usage-Based Insurance Discount],,0)</f>
        <v>0.8</v>
      </c>
      <c r="AD201">
        <f>_xlfn.XLOOKUP(Table1820[[#This Row],[Yearly Miles]],Table4[Yearly Miles],Table4[Yearly Miles Factor],,0)</f>
        <v>1.31</v>
      </c>
      <c r="AE201">
        <f>_xlfn.XLOOKUP(Table1820[[#This Row],[City/Zip Code]],Table5[City/Zip Code],Table5[City/Zip Code Factor],,0)</f>
        <v>1.21</v>
      </c>
      <c r="AF201">
        <f>_xlfn.XLOOKUP(Table1820[[#This Row],[Vehicle Price]],Table6[Vehicle Price],Table6[Vehicle Price Factor])</f>
        <v>1.57</v>
      </c>
      <c r="AG201">
        <f>_xlfn.XLOOKUP(Table1820[[#This Row],[Exotic Car]],Table7[Exotic Car],Table7[Exotic Car Factor],,0)</f>
        <v>1</v>
      </c>
      <c r="AH201">
        <f>_xlfn.XLOOKUP(Table1820[[#This Row],[Difficult Parts]],Table8[Difficult Parts],Table8[Difficult Parts Factor],,0)</f>
        <v>1</v>
      </c>
      <c r="AI201">
        <f>_xlfn.XLOOKUP(Table1820[[#This Row],[High Theft Rate]],Table9[High Theft Rate],Table9[High Theft Rate Factor],,0)</f>
        <v>1.1599999999999999</v>
      </c>
      <c r="AJ201">
        <f>_xlfn.XLOOKUP(Table1820[[#This Row],[Advanced Safety Features]],Table10[Advanced Safety Features],Table10[Advanced Safety Features Factor],,0)</f>
        <v>1</v>
      </c>
      <c r="AK201">
        <f>_xlfn.XLOOKUP(Table1820[[#This Row],[Deductible]],Table12[Deductible],Table12[Deductible Factor],,0)</f>
        <v>0.84</v>
      </c>
      <c r="AL201">
        <f>_xlfn.XLOOKUP(Table1820[[#This Row],[Coverage Limit]],Table13[Coverage Limit],Table13[Coverage Limit Factor],,0)</f>
        <v>1</v>
      </c>
      <c r="AM201">
        <f>IF(Table1820[[#This Row],[Good Student Discount]]="Yes",'Rate Book'!$D$126,1)</f>
        <v>0.92</v>
      </c>
      <c r="AN201">
        <f>IF(Table1820[[#This Row],[Good Driver Discount]]="Yes",'Rate Book'!$D$127,1)</f>
        <v>1</v>
      </c>
      <c r="AO201">
        <f>IF(Table1820[[#This Row],[Multi Policy Discount]]="Yes",'Rate Book'!$D$128,1)</f>
        <v>1</v>
      </c>
      <c r="AP201">
        <f>IF(Table1820[[#This Row],[Loyal Customer Discount]]="Yes",'Rate Book'!$D$129,1)</f>
        <v>1</v>
      </c>
      <c r="AQ201">
        <f>IF(Table1820[[#This Row],[Organization Discount]]="Yes",'Rate Book'!$D$130,1)</f>
        <v>0.97</v>
      </c>
      <c r="AR201" cm="1">
        <f t="array" ref="AR201">IF(Table1820[[#This Row],[Effective Date]]&gt;=RateChangeTable[Effective Date],RateChangeTable[Rate Change Factor],1)</f>
        <v>1.06</v>
      </c>
      <c r="AS201" s="10">
        <f>PRODUCT(Table1820[[#This Row],[Base Rate]:[Rate Change Factor]])</f>
        <v>3280.0171489296768</v>
      </c>
      <c r="AT201" s="9">
        <f>Table1820[[#This Row],[System-Generated Premium]]-Table1820[[#This Row],[Expected Premium]]</f>
        <v>0</v>
      </c>
      <c r="AU201" t="str">
        <f>IF(Table1820[[#This Row],[Difference]]=0,"PASS","FAIL")</f>
        <v>PASS</v>
      </c>
      <c r="AV201" s="9">
        <f>ABS(Table1820[[#This Row],[Difference]])</f>
        <v>0</v>
      </c>
      <c r="AW201" s="9" t="s">
        <v>1136</v>
      </c>
    </row>
    <row r="202" spans="1:49" x14ac:dyDescent="0.3">
      <c r="A202" t="s">
        <v>293</v>
      </c>
      <c r="B202" s="7">
        <v>45971</v>
      </c>
      <c r="C202" t="s">
        <v>71</v>
      </c>
      <c r="D202" t="s">
        <v>1098</v>
      </c>
      <c r="E202" s="3">
        <v>6</v>
      </c>
      <c r="F202" s="3">
        <v>0</v>
      </c>
      <c r="G202" t="s">
        <v>12</v>
      </c>
      <c r="H202" t="s">
        <v>1107</v>
      </c>
      <c r="I202" t="s">
        <v>42</v>
      </c>
      <c r="J202" t="s">
        <v>49</v>
      </c>
      <c r="K202" t="s">
        <v>10</v>
      </c>
      <c r="L202" t="s">
        <v>10</v>
      </c>
      <c r="M202" t="s">
        <v>10</v>
      </c>
      <c r="N202" t="s">
        <v>10</v>
      </c>
      <c r="O202" t="str">
        <f>INDEX(CoverageTable[Deductible Applies],MATCH(Table1820[[#This Row],[Coverage]],CoverageTable[Coverage],0))</f>
        <v>Yes</v>
      </c>
      <c r="P202" t="str">
        <f>INDEX(CoverageTable[Coverage Limit Applies],MATCH(Table1820[[#This Row],[Coverage]],CoverageTable[Coverage],0))</f>
        <v>No</v>
      </c>
      <c r="Q202" t="s">
        <v>78</v>
      </c>
      <c r="R202" t="s">
        <v>10</v>
      </c>
      <c r="S202" t="s">
        <v>10</v>
      </c>
      <c r="T202" t="s">
        <v>57</v>
      </c>
      <c r="U202" t="s">
        <v>57</v>
      </c>
      <c r="V202" t="s">
        <v>10</v>
      </c>
      <c r="W202" t="s">
        <v>57</v>
      </c>
      <c r="X202" s="11">
        <v>371.10913800938323</v>
      </c>
      <c r="Y202">
        <f>_xlfn.XLOOKUP(Table1820[[#This Row],[Coverage]],CoverageTable[Coverage],CoverageTable[Base Rate],,0)</f>
        <v>453</v>
      </c>
      <c r="Z202">
        <f>INDEX(Table16[Ageband Factor],MATCH(Table1820[[#This Row],[Ageband]],Table16[Ageband],0))</f>
        <v>1.23</v>
      </c>
      <c r="AA202">
        <f>VLOOKUP(Table1820[[#This Row],[Years Driving]],Table1[],2)</f>
        <v>1</v>
      </c>
      <c r="AB202">
        <f>_xlfn.XLOOKUP(Table1820[[#This Row],[At Fault Accidents]],Table2[At Fault Accidents],Table2[At Fault Accident Factor],,0)</f>
        <v>1</v>
      </c>
      <c r="AC202">
        <f>_xlfn.XLOOKUP(Table1820[[#This Row],[Usage-Based Insurance]],Table3[Usage-Based Insurance],Table3[Usage-Based Insurance Discount],,0)</f>
        <v>0.8</v>
      </c>
      <c r="AD202">
        <f>_xlfn.XLOOKUP(Table1820[[#This Row],[Yearly Miles]],Table4[Yearly Miles],Table4[Yearly Miles Factor],,0)</f>
        <v>0.93</v>
      </c>
      <c r="AE202">
        <f>_xlfn.XLOOKUP(Table1820[[#This Row],[City/Zip Code]],Table5[City/Zip Code],Table5[City/Zip Code Factor],,0)</f>
        <v>1.21</v>
      </c>
      <c r="AF202">
        <f>_xlfn.XLOOKUP(Table1820[[#This Row],[Vehicle Price]],Table6[Vehicle Price],Table6[Vehicle Price Factor])</f>
        <v>0.97</v>
      </c>
      <c r="AG202">
        <f>_xlfn.XLOOKUP(Table1820[[#This Row],[Exotic Car]],Table7[Exotic Car],Table7[Exotic Car Factor],,0)</f>
        <v>1</v>
      </c>
      <c r="AH202">
        <f>_xlfn.XLOOKUP(Table1820[[#This Row],[Difficult Parts]],Table8[Difficult Parts],Table8[Difficult Parts Factor],,0)</f>
        <v>1</v>
      </c>
      <c r="AI202">
        <f>_xlfn.XLOOKUP(Table1820[[#This Row],[High Theft Rate]],Table9[High Theft Rate],Table9[High Theft Rate Factor],,0)</f>
        <v>1</v>
      </c>
      <c r="AJ202">
        <f>_xlfn.XLOOKUP(Table1820[[#This Row],[Advanced Safety Features]],Table10[Advanced Safety Features],Table10[Advanced Safety Features Factor],,0)</f>
        <v>1</v>
      </c>
      <c r="AK202">
        <f>_xlfn.XLOOKUP(Table1820[[#This Row],[Deductible]],Table12[Deductible],Table12[Deductible Factor],,0)</f>
        <v>0.95</v>
      </c>
      <c r="AL202">
        <f>_xlfn.XLOOKUP(Table1820[[#This Row],[Coverage Limit]],Table13[Coverage Limit],Table13[Coverage Limit Factor],,0)</f>
        <v>1</v>
      </c>
      <c r="AM202">
        <f>IF(Table1820[[#This Row],[Good Student Discount]]="Yes",'Rate Book'!$D$126,1)</f>
        <v>1</v>
      </c>
      <c r="AN202">
        <f>IF(Table1820[[#This Row],[Good Driver Discount]]="Yes",'Rate Book'!$D$127,1)</f>
        <v>0.89</v>
      </c>
      <c r="AO202">
        <f>IF(Table1820[[#This Row],[Multi Policy Discount]]="Yes",'Rate Book'!$D$128,1)</f>
        <v>0.93</v>
      </c>
      <c r="AP202">
        <f>IF(Table1820[[#This Row],[Loyal Customer Discount]]="Yes",'Rate Book'!$D$129,1)</f>
        <v>1</v>
      </c>
      <c r="AQ202">
        <f>IF(Table1820[[#This Row],[Organization Discount]]="Yes",'Rate Book'!$D$130,1)</f>
        <v>0.97</v>
      </c>
      <c r="AR202" cm="1">
        <f t="array" ref="AR202">IF(Table1820[[#This Row],[Effective Date]]&gt;=RateChangeTable[Effective Date],RateChangeTable[Rate Change Factor],1)</f>
        <v>1</v>
      </c>
      <c r="AS202" s="10">
        <f>PRODUCT(Table1820[[#This Row],[Base Rate]:[Rate Change Factor]])</f>
        <v>371.10913800938323</v>
      </c>
      <c r="AT202" s="9">
        <f>Table1820[[#This Row],[System-Generated Premium]]-Table1820[[#This Row],[Expected Premium]]</f>
        <v>0</v>
      </c>
      <c r="AU202" t="str">
        <f>IF(Table1820[[#This Row],[Difference]]=0,"PASS","FAIL")</f>
        <v>PASS</v>
      </c>
      <c r="AV202" s="9">
        <f>ABS(Table1820[[#This Row],[Difference]])</f>
        <v>0</v>
      </c>
      <c r="AW202" s="9" t="s">
        <v>1136</v>
      </c>
    </row>
    <row r="203" spans="1:49" x14ac:dyDescent="0.3">
      <c r="A203" t="s">
        <v>294</v>
      </c>
      <c r="B203" s="7">
        <v>45819</v>
      </c>
      <c r="C203" t="s">
        <v>71</v>
      </c>
      <c r="D203" t="s">
        <v>1099</v>
      </c>
      <c r="E203" s="3">
        <v>1</v>
      </c>
      <c r="F203" s="3">
        <v>2</v>
      </c>
      <c r="G203" t="s">
        <v>13</v>
      </c>
      <c r="H203" t="s">
        <v>1109</v>
      </c>
      <c r="I203" t="s">
        <v>27</v>
      </c>
      <c r="J203" t="s">
        <v>51</v>
      </c>
      <c r="K203" t="s">
        <v>10</v>
      </c>
      <c r="L203" t="s">
        <v>57</v>
      </c>
      <c r="M203" t="s">
        <v>57</v>
      </c>
      <c r="N203" t="s">
        <v>57</v>
      </c>
      <c r="O203" t="str">
        <f>INDEX(CoverageTable[Deductible Applies],MATCH(Table1820[[#This Row],[Coverage]],CoverageTable[Coverage],0))</f>
        <v>Yes</v>
      </c>
      <c r="P203" t="str">
        <f>INDEX(CoverageTable[Coverage Limit Applies],MATCH(Table1820[[#This Row],[Coverage]],CoverageTable[Coverage],0))</f>
        <v>No</v>
      </c>
      <c r="Q203" t="s">
        <v>80</v>
      </c>
      <c r="R203" t="s">
        <v>10</v>
      </c>
      <c r="S203" t="s">
        <v>10</v>
      </c>
      <c r="T203" t="s">
        <v>57</v>
      </c>
      <c r="U203" t="s">
        <v>10</v>
      </c>
      <c r="V203" t="s">
        <v>10</v>
      </c>
      <c r="W203" t="s">
        <v>57</v>
      </c>
      <c r="X203" s="11">
        <v>815.88172316226735</v>
      </c>
      <c r="Y203">
        <f>_xlfn.XLOOKUP(Table1820[[#This Row],[Coverage]],CoverageTable[Coverage],CoverageTable[Base Rate],,0)</f>
        <v>453</v>
      </c>
      <c r="Z203">
        <f>INDEX(Table16[Ageband Factor],MATCH(Table1820[[#This Row],[Ageband]],Table16[Ageband],0))</f>
        <v>1</v>
      </c>
      <c r="AA203">
        <f>VLOOKUP(Table1820[[#This Row],[Years Driving]],Table1[],2)</f>
        <v>1.64</v>
      </c>
      <c r="AB203">
        <f>_xlfn.XLOOKUP(Table1820[[#This Row],[At Fault Accidents]],Table2[At Fault Accidents],Table2[At Fault Accident Factor],,0)</f>
        <v>1.55</v>
      </c>
      <c r="AC203">
        <f>_xlfn.XLOOKUP(Table1820[[#This Row],[Usage-Based Insurance]],Table3[Usage-Based Insurance],Table3[Usage-Based Insurance Discount],,0)</f>
        <v>0.65</v>
      </c>
      <c r="AD203">
        <f>_xlfn.XLOOKUP(Table1820[[#This Row],[Yearly Miles]],Table4[Yearly Miles],Table4[Yearly Miles Factor],,0)</f>
        <v>1.18</v>
      </c>
      <c r="AE203">
        <f>_xlfn.XLOOKUP(Table1820[[#This Row],[City/Zip Code]],Table5[City/Zip Code],Table5[City/Zip Code Factor],,0)</f>
        <v>0.94</v>
      </c>
      <c r="AF203">
        <f>_xlfn.XLOOKUP(Table1820[[#This Row],[Vehicle Price]],Table6[Vehicle Price],Table6[Vehicle Price Factor])</f>
        <v>1.28</v>
      </c>
      <c r="AG203">
        <f>_xlfn.XLOOKUP(Table1820[[#This Row],[Exotic Car]],Table7[Exotic Car],Table7[Exotic Car Factor],,0)</f>
        <v>1</v>
      </c>
      <c r="AH203">
        <f>_xlfn.XLOOKUP(Table1820[[#This Row],[Difficult Parts]],Table8[Difficult Parts],Table8[Difficult Parts Factor],,0)</f>
        <v>1.21</v>
      </c>
      <c r="AI203">
        <f>_xlfn.XLOOKUP(Table1820[[#This Row],[High Theft Rate]],Table9[High Theft Rate],Table9[High Theft Rate Factor],,0)</f>
        <v>1.1599999999999999</v>
      </c>
      <c r="AJ203">
        <f>_xlfn.XLOOKUP(Table1820[[#This Row],[Advanced Safety Features]],Table10[Advanced Safety Features],Table10[Advanced Safety Features Factor],,0)</f>
        <v>0.88</v>
      </c>
      <c r="AK203">
        <f>_xlfn.XLOOKUP(Table1820[[#This Row],[Deductible]],Table12[Deductible],Table12[Deductible Factor],,0)</f>
        <v>0.72</v>
      </c>
      <c r="AL203">
        <f>_xlfn.XLOOKUP(Table1820[[#This Row],[Coverage Limit]],Table13[Coverage Limit],Table13[Coverage Limit Factor],,0)</f>
        <v>1</v>
      </c>
      <c r="AM203">
        <f>IF(Table1820[[#This Row],[Good Student Discount]]="Yes",'Rate Book'!$D$126,1)</f>
        <v>1</v>
      </c>
      <c r="AN203">
        <f>IF(Table1820[[#This Row],[Good Driver Discount]]="Yes",'Rate Book'!$D$127,1)</f>
        <v>0.89</v>
      </c>
      <c r="AO203">
        <f>IF(Table1820[[#This Row],[Multi Policy Discount]]="Yes",'Rate Book'!$D$128,1)</f>
        <v>1</v>
      </c>
      <c r="AP203">
        <f>IF(Table1820[[#This Row],[Loyal Customer Discount]]="Yes",'Rate Book'!$D$129,1)</f>
        <v>1</v>
      </c>
      <c r="AQ203">
        <f>IF(Table1820[[#This Row],[Organization Discount]]="Yes",'Rate Book'!$D$130,1)</f>
        <v>0.97</v>
      </c>
      <c r="AR203" cm="1">
        <f t="array" ref="AR203">IF(Table1820[[#This Row],[Effective Date]]&gt;=RateChangeTable[Effective Date],RateChangeTable[Rate Change Factor],1)</f>
        <v>1</v>
      </c>
      <c r="AS203" s="10">
        <f>PRODUCT(Table1820[[#This Row],[Base Rate]:[Rate Change Factor]])</f>
        <v>815.88172316226735</v>
      </c>
      <c r="AT203" s="9">
        <f>Table1820[[#This Row],[System-Generated Premium]]-Table1820[[#This Row],[Expected Premium]]</f>
        <v>0</v>
      </c>
      <c r="AU203" t="str">
        <f>IF(Table1820[[#This Row],[Difference]]=0,"PASS","FAIL")</f>
        <v>PASS</v>
      </c>
      <c r="AV203" s="9">
        <f>ABS(Table1820[[#This Row],[Difference]])</f>
        <v>0</v>
      </c>
      <c r="AW203" s="9" t="s">
        <v>1136</v>
      </c>
    </row>
    <row r="204" spans="1:49" x14ac:dyDescent="0.3">
      <c r="A204" t="s">
        <v>295</v>
      </c>
      <c r="B204" s="7">
        <v>46055</v>
      </c>
      <c r="C204" t="s">
        <v>70</v>
      </c>
      <c r="D204" t="s">
        <v>1097</v>
      </c>
      <c r="E204" s="3">
        <v>4</v>
      </c>
      <c r="F204" s="3">
        <v>2</v>
      </c>
      <c r="G204" t="s">
        <v>10</v>
      </c>
      <c r="H204" t="s">
        <v>1109</v>
      </c>
      <c r="I204" t="s">
        <v>34</v>
      </c>
      <c r="J204" t="s">
        <v>49</v>
      </c>
      <c r="K204" t="s">
        <v>10</v>
      </c>
      <c r="L204" t="s">
        <v>10</v>
      </c>
      <c r="M204" t="s">
        <v>10</v>
      </c>
      <c r="N204" t="s">
        <v>10</v>
      </c>
      <c r="O204" t="str">
        <f>INDEX(CoverageTable[Deductible Applies],MATCH(Table1820[[#This Row],[Coverage]],CoverageTable[Coverage],0))</f>
        <v>No</v>
      </c>
      <c r="P204" t="str">
        <f>INDEX(CoverageTable[Coverage Limit Applies],MATCH(Table1820[[#This Row],[Coverage]],CoverageTable[Coverage],0))</f>
        <v>Yes</v>
      </c>
      <c r="Q204" t="s">
        <v>10</v>
      </c>
      <c r="R204" t="s">
        <v>79</v>
      </c>
      <c r="S204" t="s">
        <v>10</v>
      </c>
      <c r="T204" t="s">
        <v>10</v>
      </c>
      <c r="U204" t="s">
        <v>10</v>
      </c>
      <c r="V204" t="s">
        <v>10</v>
      </c>
      <c r="W204" t="s">
        <v>57</v>
      </c>
      <c r="X204" s="11">
        <v>1934.5603852471133</v>
      </c>
      <c r="Y204">
        <f>_xlfn.XLOOKUP(Table1820[[#This Row],[Coverage]],CoverageTable[Coverage],CoverageTable[Base Rate],,0)</f>
        <v>622</v>
      </c>
      <c r="Z204">
        <f>INDEX(Table16[Ageband Factor],MATCH(Table1820[[#This Row],[Ageband]],Table16[Ageband],0))</f>
        <v>1.32</v>
      </c>
      <c r="AA204">
        <f>VLOOKUP(Table1820[[#This Row],[Years Driving]],Table1[],2)</f>
        <v>1.1499999999999999</v>
      </c>
      <c r="AB204">
        <f>_xlfn.XLOOKUP(Table1820[[#This Row],[At Fault Accidents]],Table2[At Fault Accidents],Table2[At Fault Accident Factor],,0)</f>
        <v>1.55</v>
      </c>
      <c r="AC204">
        <f>_xlfn.XLOOKUP(Table1820[[#This Row],[Usage-Based Insurance]],Table3[Usage-Based Insurance],Table3[Usage-Based Insurance Discount],,0)</f>
        <v>1</v>
      </c>
      <c r="AD204">
        <f>_xlfn.XLOOKUP(Table1820[[#This Row],[Yearly Miles]],Table4[Yearly Miles],Table4[Yearly Miles Factor],,0)</f>
        <v>1.18</v>
      </c>
      <c r="AE204">
        <f>_xlfn.XLOOKUP(Table1820[[#This Row],[City/Zip Code]],Table5[City/Zip Code],Table5[City/Zip Code Factor],,0)</f>
        <v>1.56</v>
      </c>
      <c r="AF204">
        <f>_xlfn.XLOOKUP(Table1820[[#This Row],[Vehicle Price]],Table6[Vehicle Price],Table6[Vehicle Price Factor])</f>
        <v>0.97</v>
      </c>
      <c r="AG204">
        <f>_xlfn.XLOOKUP(Table1820[[#This Row],[Exotic Car]],Table7[Exotic Car],Table7[Exotic Car Factor],,0)</f>
        <v>1</v>
      </c>
      <c r="AH204">
        <f>_xlfn.XLOOKUP(Table1820[[#This Row],[Difficult Parts]],Table8[Difficult Parts],Table8[Difficult Parts Factor],,0)</f>
        <v>1</v>
      </c>
      <c r="AI204">
        <f>_xlfn.XLOOKUP(Table1820[[#This Row],[High Theft Rate]],Table9[High Theft Rate],Table9[High Theft Rate Factor],,0)</f>
        <v>1</v>
      </c>
      <c r="AJ204">
        <f>_xlfn.XLOOKUP(Table1820[[#This Row],[Advanced Safety Features]],Table10[Advanced Safety Features],Table10[Advanced Safety Features Factor],,0)</f>
        <v>1</v>
      </c>
      <c r="AK204">
        <f>_xlfn.XLOOKUP(Table1820[[#This Row],[Deductible]],Table12[Deductible],Table12[Deductible Factor],,0)</f>
        <v>1</v>
      </c>
      <c r="AL204">
        <f>_xlfn.XLOOKUP(Table1820[[#This Row],[Coverage Limit]],Table13[Coverage Limit],Table13[Coverage Limit Factor],,0)</f>
        <v>0.72</v>
      </c>
      <c r="AM204">
        <f>IF(Table1820[[#This Row],[Good Student Discount]]="Yes",'Rate Book'!$D$126,1)</f>
        <v>1</v>
      </c>
      <c r="AN204">
        <f>IF(Table1820[[#This Row],[Good Driver Discount]]="Yes",'Rate Book'!$D$127,1)</f>
        <v>1</v>
      </c>
      <c r="AO204">
        <f>IF(Table1820[[#This Row],[Multi Policy Discount]]="Yes",'Rate Book'!$D$128,1)</f>
        <v>1</v>
      </c>
      <c r="AP204">
        <f>IF(Table1820[[#This Row],[Loyal Customer Discount]]="Yes",'Rate Book'!$D$129,1)</f>
        <v>1</v>
      </c>
      <c r="AQ204">
        <f>IF(Table1820[[#This Row],[Organization Discount]]="Yes",'Rate Book'!$D$130,1)</f>
        <v>0.97</v>
      </c>
      <c r="AR204" cm="1">
        <f t="array" ref="AR204">IF(Table1820[[#This Row],[Effective Date]]&gt;=RateChangeTable[Effective Date],RateChangeTable[Rate Change Factor],1)</f>
        <v>1.06</v>
      </c>
      <c r="AS204" s="10">
        <f>PRODUCT(Table1820[[#This Row],[Base Rate]:[Rate Change Factor]])</f>
        <v>1934.5603852471133</v>
      </c>
      <c r="AT204" s="9">
        <f>Table1820[[#This Row],[System-Generated Premium]]-Table1820[[#This Row],[Expected Premium]]</f>
        <v>0</v>
      </c>
      <c r="AU204" t="str">
        <f>IF(Table1820[[#This Row],[Difference]]=0,"PASS","FAIL")</f>
        <v>PASS</v>
      </c>
      <c r="AV204" s="9">
        <f>ABS(Table1820[[#This Row],[Difference]])</f>
        <v>0</v>
      </c>
      <c r="AW204" s="9" t="s">
        <v>1136</v>
      </c>
    </row>
    <row r="205" spans="1:49" x14ac:dyDescent="0.3">
      <c r="A205" t="s">
        <v>296</v>
      </c>
      <c r="B205" s="7">
        <v>45892</v>
      </c>
      <c r="C205" t="s">
        <v>74</v>
      </c>
      <c r="D205" t="s">
        <v>1097</v>
      </c>
      <c r="E205" s="3">
        <v>6</v>
      </c>
      <c r="F205" s="3">
        <v>1</v>
      </c>
      <c r="G205" t="s">
        <v>13</v>
      </c>
      <c r="H205" t="s">
        <v>1106</v>
      </c>
      <c r="I205" t="s">
        <v>21</v>
      </c>
      <c r="J205" t="s">
        <v>51</v>
      </c>
      <c r="K205" t="s">
        <v>10</v>
      </c>
      <c r="L205" t="s">
        <v>57</v>
      </c>
      <c r="M205" t="s">
        <v>10</v>
      </c>
      <c r="N205" t="s">
        <v>10</v>
      </c>
      <c r="O205" t="str">
        <f>INDEX(CoverageTable[Deductible Applies],MATCH(Table1820[[#This Row],[Coverage]],CoverageTable[Coverage],0))</f>
        <v>No</v>
      </c>
      <c r="P205" t="str">
        <f>INDEX(CoverageTable[Coverage Limit Applies],MATCH(Table1820[[#This Row],[Coverage]],CoverageTable[Coverage],0))</f>
        <v>Yes</v>
      </c>
      <c r="Q205" t="s">
        <v>10</v>
      </c>
      <c r="R205" t="s">
        <v>80</v>
      </c>
      <c r="S205" t="s">
        <v>10</v>
      </c>
      <c r="T205" t="s">
        <v>10</v>
      </c>
      <c r="U205" t="s">
        <v>57</v>
      </c>
      <c r="V205" t="s">
        <v>10</v>
      </c>
      <c r="W205" t="s">
        <v>10</v>
      </c>
      <c r="X205" s="11">
        <v>58.92748622493918</v>
      </c>
      <c r="Y205">
        <f>_xlfn.XLOOKUP(Table1820[[#This Row],[Coverage]],CoverageTable[Coverage],CoverageTable[Base Rate],,0)</f>
        <v>41</v>
      </c>
      <c r="Z205">
        <f>INDEX(Table16[Ageband Factor],MATCH(Table1820[[#This Row],[Ageband]],Table16[Ageband],0))</f>
        <v>1.32</v>
      </c>
      <c r="AA205">
        <f>VLOOKUP(Table1820[[#This Row],[Years Driving]],Table1[],2)</f>
        <v>1</v>
      </c>
      <c r="AB205">
        <f>_xlfn.XLOOKUP(Table1820[[#This Row],[At Fault Accidents]],Table2[At Fault Accidents],Table2[At Fault Accident Factor],,0)</f>
        <v>1.34</v>
      </c>
      <c r="AC205">
        <f>_xlfn.XLOOKUP(Table1820[[#This Row],[Usage-Based Insurance]],Table3[Usage-Based Insurance],Table3[Usage-Based Insurance Discount],,0)</f>
        <v>0.65</v>
      </c>
      <c r="AD205">
        <f>_xlfn.XLOOKUP(Table1820[[#This Row],[Yearly Miles]],Table4[Yearly Miles],Table4[Yearly Miles Factor],,0)</f>
        <v>0.82</v>
      </c>
      <c r="AE205">
        <f>_xlfn.XLOOKUP(Table1820[[#This Row],[City/Zip Code]],Table5[City/Zip Code],Table5[City/Zip Code Factor],,0)</f>
        <v>1.26</v>
      </c>
      <c r="AF205">
        <f>_xlfn.XLOOKUP(Table1820[[#This Row],[Vehicle Price]],Table6[Vehicle Price],Table6[Vehicle Price Factor])</f>
        <v>1.28</v>
      </c>
      <c r="AG205">
        <f>_xlfn.XLOOKUP(Table1820[[#This Row],[Exotic Car]],Table7[Exotic Car],Table7[Exotic Car Factor],,0)</f>
        <v>1</v>
      </c>
      <c r="AH205">
        <f>_xlfn.XLOOKUP(Table1820[[#This Row],[Difficult Parts]],Table8[Difficult Parts],Table8[Difficult Parts Factor],,0)</f>
        <v>1.21</v>
      </c>
      <c r="AI205">
        <f>_xlfn.XLOOKUP(Table1820[[#This Row],[High Theft Rate]],Table9[High Theft Rate],Table9[High Theft Rate Factor],,0)</f>
        <v>1</v>
      </c>
      <c r="AJ205">
        <f>_xlfn.XLOOKUP(Table1820[[#This Row],[Advanced Safety Features]],Table10[Advanced Safety Features],Table10[Advanced Safety Features Factor],,0)</f>
        <v>1</v>
      </c>
      <c r="AK205">
        <f>_xlfn.XLOOKUP(Table1820[[#This Row],[Deductible]],Table12[Deductible],Table12[Deductible Factor],,0)</f>
        <v>1</v>
      </c>
      <c r="AL205">
        <f>_xlfn.XLOOKUP(Table1820[[#This Row],[Coverage Limit]],Table13[Coverage Limit],Table13[Coverage Limit Factor],,0)</f>
        <v>0.84</v>
      </c>
      <c r="AM205">
        <f>IF(Table1820[[#This Row],[Good Student Discount]]="Yes",'Rate Book'!$D$126,1)</f>
        <v>1</v>
      </c>
      <c r="AN205">
        <f>IF(Table1820[[#This Row],[Good Driver Discount]]="Yes",'Rate Book'!$D$127,1)</f>
        <v>1</v>
      </c>
      <c r="AO205">
        <f>IF(Table1820[[#This Row],[Multi Policy Discount]]="Yes",'Rate Book'!$D$128,1)</f>
        <v>0.93</v>
      </c>
      <c r="AP205">
        <f>IF(Table1820[[#This Row],[Loyal Customer Discount]]="Yes",'Rate Book'!$D$129,1)</f>
        <v>1</v>
      </c>
      <c r="AQ205">
        <f>IF(Table1820[[#This Row],[Organization Discount]]="Yes",'Rate Book'!$D$130,1)</f>
        <v>1</v>
      </c>
      <c r="AR205" cm="1">
        <f t="array" ref="AR205">IF(Table1820[[#This Row],[Effective Date]]&gt;=RateChangeTable[Effective Date],RateChangeTable[Rate Change Factor],1)</f>
        <v>1</v>
      </c>
      <c r="AS205" s="10">
        <f>PRODUCT(Table1820[[#This Row],[Base Rate]:[Rate Change Factor]])</f>
        <v>58.92748622493918</v>
      </c>
      <c r="AT205" s="9">
        <f>Table1820[[#This Row],[System-Generated Premium]]-Table1820[[#This Row],[Expected Premium]]</f>
        <v>0</v>
      </c>
      <c r="AU205" t="str">
        <f>IF(Table1820[[#This Row],[Difference]]=0,"PASS","FAIL")</f>
        <v>PASS</v>
      </c>
      <c r="AV205" s="9">
        <f>ABS(Table1820[[#This Row],[Difference]])</f>
        <v>0</v>
      </c>
      <c r="AW205" s="9" t="s">
        <v>1136</v>
      </c>
    </row>
    <row r="206" spans="1:49" x14ac:dyDescent="0.3">
      <c r="A206" t="s">
        <v>297</v>
      </c>
      <c r="B206" s="7">
        <v>46024</v>
      </c>
      <c r="C206" t="s">
        <v>71</v>
      </c>
      <c r="D206" t="s">
        <v>1099</v>
      </c>
      <c r="E206" s="3">
        <v>6</v>
      </c>
      <c r="F206" s="3">
        <v>2</v>
      </c>
      <c r="G206" t="s">
        <v>10</v>
      </c>
      <c r="H206" t="s">
        <v>1108</v>
      </c>
      <c r="I206" t="s">
        <v>21</v>
      </c>
      <c r="J206" t="s">
        <v>49</v>
      </c>
      <c r="K206" t="s">
        <v>10</v>
      </c>
      <c r="L206" t="s">
        <v>10</v>
      </c>
      <c r="M206" t="s">
        <v>10</v>
      </c>
      <c r="N206" t="s">
        <v>10</v>
      </c>
      <c r="O206" t="str">
        <f>INDEX(CoverageTable[Deductible Applies],MATCH(Table1820[[#This Row],[Coverage]],CoverageTable[Coverage],0))</f>
        <v>Yes</v>
      </c>
      <c r="P206" t="str">
        <f>INDEX(CoverageTable[Coverage Limit Applies],MATCH(Table1820[[#This Row],[Coverage]],CoverageTable[Coverage],0))</f>
        <v>No</v>
      </c>
      <c r="Q206" t="s">
        <v>79</v>
      </c>
      <c r="R206" t="s">
        <v>10</v>
      </c>
      <c r="S206" t="s">
        <v>10</v>
      </c>
      <c r="T206" t="s">
        <v>10</v>
      </c>
      <c r="U206" t="s">
        <v>10</v>
      </c>
      <c r="V206" t="s">
        <v>57</v>
      </c>
      <c r="W206" t="s">
        <v>10</v>
      </c>
      <c r="X206" s="11">
        <v>718.26579398447984</v>
      </c>
      <c r="Y206">
        <f>_xlfn.XLOOKUP(Table1820[[#This Row],[Coverage]],CoverageTable[Coverage],CoverageTable[Base Rate],,0)</f>
        <v>453</v>
      </c>
      <c r="Z206">
        <f>INDEX(Table16[Ageband Factor],MATCH(Table1820[[#This Row],[Ageband]],Table16[Ageband],0))</f>
        <v>1</v>
      </c>
      <c r="AA206">
        <f>VLOOKUP(Table1820[[#This Row],[Years Driving]],Table1[],2)</f>
        <v>1</v>
      </c>
      <c r="AB206">
        <f>_xlfn.XLOOKUP(Table1820[[#This Row],[At Fault Accidents]],Table2[At Fault Accidents],Table2[At Fault Accident Factor],,0)</f>
        <v>1.55</v>
      </c>
      <c r="AC206">
        <f>_xlfn.XLOOKUP(Table1820[[#This Row],[Usage-Based Insurance]],Table3[Usage-Based Insurance],Table3[Usage-Based Insurance Discount],,0)</f>
        <v>1</v>
      </c>
      <c r="AD206">
        <f>_xlfn.XLOOKUP(Table1820[[#This Row],[Yearly Miles]],Table4[Yearly Miles],Table4[Yearly Miles Factor],,0)</f>
        <v>1</v>
      </c>
      <c r="AE206">
        <f>_xlfn.XLOOKUP(Table1820[[#This Row],[City/Zip Code]],Table5[City/Zip Code],Table5[City/Zip Code Factor],,0)</f>
        <v>1.26</v>
      </c>
      <c r="AF206">
        <f>_xlfn.XLOOKUP(Table1820[[#This Row],[Vehicle Price]],Table6[Vehicle Price],Table6[Vehicle Price Factor])</f>
        <v>0.97</v>
      </c>
      <c r="AG206">
        <f>_xlfn.XLOOKUP(Table1820[[#This Row],[Exotic Car]],Table7[Exotic Car],Table7[Exotic Car Factor],,0)</f>
        <v>1</v>
      </c>
      <c r="AH206">
        <f>_xlfn.XLOOKUP(Table1820[[#This Row],[Difficult Parts]],Table8[Difficult Parts],Table8[Difficult Parts Factor],,0)</f>
        <v>1</v>
      </c>
      <c r="AI206">
        <f>_xlfn.XLOOKUP(Table1820[[#This Row],[High Theft Rate]],Table9[High Theft Rate],Table9[High Theft Rate Factor],,0)</f>
        <v>1</v>
      </c>
      <c r="AJ206">
        <f>_xlfn.XLOOKUP(Table1820[[#This Row],[Advanced Safety Features]],Table10[Advanced Safety Features],Table10[Advanced Safety Features Factor],,0)</f>
        <v>1</v>
      </c>
      <c r="AK206">
        <f>_xlfn.XLOOKUP(Table1820[[#This Row],[Deductible]],Table12[Deductible],Table12[Deductible Factor],,0)</f>
        <v>0.84</v>
      </c>
      <c r="AL206">
        <f>_xlfn.XLOOKUP(Table1820[[#This Row],[Coverage Limit]],Table13[Coverage Limit],Table13[Coverage Limit Factor],,0)</f>
        <v>1</v>
      </c>
      <c r="AM206">
        <f>IF(Table1820[[#This Row],[Good Student Discount]]="Yes",'Rate Book'!$D$126,1)</f>
        <v>1</v>
      </c>
      <c r="AN206">
        <f>IF(Table1820[[#This Row],[Good Driver Discount]]="Yes",'Rate Book'!$D$127,1)</f>
        <v>1</v>
      </c>
      <c r="AO206">
        <f>IF(Table1820[[#This Row],[Multi Policy Discount]]="Yes",'Rate Book'!$D$128,1)</f>
        <v>1</v>
      </c>
      <c r="AP206">
        <f>IF(Table1820[[#This Row],[Loyal Customer Discount]]="Yes",'Rate Book'!$D$129,1)</f>
        <v>0.94</v>
      </c>
      <c r="AQ206">
        <f>IF(Table1820[[#This Row],[Organization Discount]]="Yes",'Rate Book'!$D$130,1)</f>
        <v>1</v>
      </c>
      <c r="AR206" cm="1">
        <f t="array" ref="AR206">IF(Table1820[[#This Row],[Effective Date]]&gt;=RateChangeTable[Effective Date],RateChangeTable[Rate Change Factor],1)</f>
        <v>1.06</v>
      </c>
      <c r="AS206" s="10">
        <f>PRODUCT(Table1820[[#This Row],[Base Rate]:[Rate Change Factor]])</f>
        <v>718.26579398447984</v>
      </c>
      <c r="AT206" s="9">
        <f>Table1820[[#This Row],[System-Generated Premium]]-Table1820[[#This Row],[Expected Premium]]</f>
        <v>0</v>
      </c>
      <c r="AU206" t="str">
        <f>IF(Table1820[[#This Row],[Difference]]=0,"PASS","FAIL")</f>
        <v>PASS</v>
      </c>
      <c r="AV206" s="9">
        <f>ABS(Table1820[[#This Row],[Difference]])</f>
        <v>0</v>
      </c>
      <c r="AW206" s="9" t="s">
        <v>1136</v>
      </c>
    </row>
    <row r="207" spans="1:49" x14ac:dyDescent="0.3">
      <c r="A207" t="s">
        <v>298</v>
      </c>
      <c r="B207" s="7">
        <v>45950</v>
      </c>
      <c r="C207" t="s">
        <v>70</v>
      </c>
      <c r="D207" t="s">
        <v>1098</v>
      </c>
      <c r="E207" s="3">
        <v>6</v>
      </c>
      <c r="F207" s="3">
        <v>1</v>
      </c>
      <c r="G207" t="s">
        <v>11</v>
      </c>
      <c r="H207" t="s">
        <v>1107</v>
      </c>
      <c r="I207" t="s">
        <v>28</v>
      </c>
      <c r="J207" t="s">
        <v>49</v>
      </c>
      <c r="K207" t="s">
        <v>10</v>
      </c>
      <c r="L207" t="s">
        <v>10</v>
      </c>
      <c r="M207" t="s">
        <v>10</v>
      </c>
      <c r="N207" t="s">
        <v>57</v>
      </c>
      <c r="O207" t="str">
        <f>INDEX(CoverageTable[Deductible Applies],MATCH(Table1820[[#This Row],[Coverage]],CoverageTable[Coverage],0))</f>
        <v>No</v>
      </c>
      <c r="P207" t="str">
        <f>INDEX(CoverageTable[Coverage Limit Applies],MATCH(Table1820[[#This Row],[Coverage]],CoverageTable[Coverage],0))</f>
        <v>Yes</v>
      </c>
      <c r="Q207" t="s">
        <v>10</v>
      </c>
      <c r="R207" t="s">
        <v>79</v>
      </c>
      <c r="S207" t="s">
        <v>10</v>
      </c>
      <c r="T207" t="s">
        <v>10</v>
      </c>
      <c r="U207" t="s">
        <v>10</v>
      </c>
      <c r="V207" t="s">
        <v>10</v>
      </c>
      <c r="W207" t="s">
        <v>10</v>
      </c>
      <c r="X207" s="11">
        <v>528.831549134444</v>
      </c>
      <c r="Y207">
        <f>_xlfn.XLOOKUP(Table1820[[#This Row],[Coverage]],CoverageTable[Coverage],CoverageTable[Base Rate],,0)</f>
        <v>622</v>
      </c>
      <c r="Z207">
        <f>INDEX(Table16[Ageband Factor],MATCH(Table1820[[#This Row],[Ageband]],Table16[Ageband],0))</f>
        <v>1.23</v>
      </c>
      <c r="AA207">
        <f>VLOOKUP(Table1820[[#This Row],[Years Driving]],Table1[],2)</f>
        <v>1</v>
      </c>
      <c r="AB207">
        <f>_xlfn.XLOOKUP(Table1820[[#This Row],[At Fault Accidents]],Table2[At Fault Accidents],Table2[At Fault Accident Factor],,0)</f>
        <v>1.34</v>
      </c>
      <c r="AC207">
        <f>_xlfn.XLOOKUP(Table1820[[#This Row],[Usage-Based Insurance]],Table3[Usage-Based Insurance],Table3[Usage-Based Insurance Discount],,0)</f>
        <v>0.95</v>
      </c>
      <c r="AD207">
        <f>_xlfn.XLOOKUP(Table1820[[#This Row],[Yearly Miles]],Table4[Yearly Miles],Table4[Yearly Miles Factor],,0)</f>
        <v>0.93</v>
      </c>
      <c r="AE207">
        <f>_xlfn.XLOOKUP(Table1820[[#This Row],[City/Zip Code]],Table5[City/Zip Code],Table5[City/Zip Code Factor],,0)</f>
        <v>0.95</v>
      </c>
      <c r="AF207">
        <f>_xlfn.XLOOKUP(Table1820[[#This Row],[Vehicle Price]],Table6[Vehicle Price],Table6[Vehicle Price Factor])</f>
        <v>0.97</v>
      </c>
      <c r="AG207">
        <f>_xlfn.XLOOKUP(Table1820[[#This Row],[Exotic Car]],Table7[Exotic Car],Table7[Exotic Car Factor],,0)</f>
        <v>1</v>
      </c>
      <c r="AH207">
        <f>_xlfn.XLOOKUP(Table1820[[#This Row],[Difficult Parts]],Table8[Difficult Parts],Table8[Difficult Parts Factor],,0)</f>
        <v>1</v>
      </c>
      <c r="AI207">
        <f>_xlfn.XLOOKUP(Table1820[[#This Row],[High Theft Rate]],Table9[High Theft Rate],Table9[High Theft Rate Factor],,0)</f>
        <v>1</v>
      </c>
      <c r="AJ207">
        <f>_xlfn.XLOOKUP(Table1820[[#This Row],[Advanced Safety Features]],Table10[Advanced Safety Features],Table10[Advanced Safety Features Factor],,0)</f>
        <v>0.88</v>
      </c>
      <c r="AK207">
        <f>_xlfn.XLOOKUP(Table1820[[#This Row],[Deductible]],Table12[Deductible],Table12[Deductible Factor],,0)</f>
        <v>1</v>
      </c>
      <c r="AL207">
        <f>_xlfn.XLOOKUP(Table1820[[#This Row],[Coverage Limit]],Table13[Coverage Limit],Table13[Coverage Limit Factor],,0)</f>
        <v>0.72</v>
      </c>
      <c r="AM207">
        <f>IF(Table1820[[#This Row],[Good Student Discount]]="Yes",'Rate Book'!$D$126,1)</f>
        <v>1</v>
      </c>
      <c r="AN207">
        <f>IF(Table1820[[#This Row],[Good Driver Discount]]="Yes",'Rate Book'!$D$127,1)</f>
        <v>1</v>
      </c>
      <c r="AO207">
        <f>IF(Table1820[[#This Row],[Multi Policy Discount]]="Yes",'Rate Book'!$D$128,1)</f>
        <v>1</v>
      </c>
      <c r="AP207">
        <f>IF(Table1820[[#This Row],[Loyal Customer Discount]]="Yes",'Rate Book'!$D$129,1)</f>
        <v>1</v>
      </c>
      <c r="AQ207">
        <f>IF(Table1820[[#This Row],[Organization Discount]]="Yes",'Rate Book'!$D$130,1)</f>
        <v>1</v>
      </c>
      <c r="AR207" cm="1">
        <f t="array" ref="AR207">IF(Table1820[[#This Row],[Effective Date]]&gt;=RateChangeTable[Effective Date],RateChangeTable[Rate Change Factor],1)</f>
        <v>1</v>
      </c>
      <c r="AS207" s="10">
        <f>PRODUCT(Table1820[[#This Row],[Base Rate]:[Rate Change Factor]])</f>
        <v>528.831549134444</v>
      </c>
      <c r="AT207" s="9">
        <f>Table1820[[#This Row],[System-Generated Premium]]-Table1820[[#This Row],[Expected Premium]]</f>
        <v>0</v>
      </c>
      <c r="AU207" t="str">
        <f>IF(Table1820[[#This Row],[Difference]]=0,"PASS","FAIL")</f>
        <v>PASS</v>
      </c>
      <c r="AV207" s="9">
        <f>ABS(Table1820[[#This Row],[Difference]])</f>
        <v>0</v>
      </c>
      <c r="AW207" s="9" t="s">
        <v>1136</v>
      </c>
    </row>
    <row r="208" spans="1:49" x14ac:dyDescent="0.3">
      <c r="A208" t="s">
        <v>299</v>
      </c>
      <c r="B208" s="7">
        <v>46129</v>
      </c>
      <c r="C208" t="s">
        <v>74</v>
      </c>
      <c r="D208" t="s">
        <v>1101</v>
      </c>
      <c r="E208" s="3">
        <v>1</v>
      </c>
      <c r="F208" s="3">
        <v>0</v>
      </c>
      <c r="G208" t="s">
        <v>10</v>
      </c>
      <c r="H208" t="s">
        <v>1109</v>
      </c>
      <c r="I208" t="s">
        <v>34</v>
      </c>
      <c r="J208" t="s">
        <v>49</v>
      </c>
      <c r="K208" t="s">
        <v>57</v>
      </c>
      <c r="L208" t="s">
        <v>57</v>
      </c>
      <c r="M208" t="s">
        <v>10</v>
      </c>
      <c r="N208" t="s">
        <v>10</v>
      </c>
      <c r="O208" t="str">
        <f>INDEX(CoverageTable[Deductible Applies],MATCH(Table1820[[#This Row],[Coverage]],CoverageTable[Coverage],0))</f>
        <v>No</v>
      </c>
      <c r="P208" t="str">
        <f>INDEX(CoverageTable[Coverage Limit Applies],MATCH(Table1820[[#This Row],[Coverage]],CoverageTable[Coverage],0))</f>
        <v>Yes</v>
      </c>
      <c r="Q208" t="s">
        <v>10</v>
      </c>
      <c r="R208" t="s">
        <v>78</v>
      </c>
      <c r="S208" t="s">
        <v>10</v>
      </c>
      <c r="T208" t="s">
        <v>10</v>
      </c>
      <c r="U208" t="s">
        <v>57</v>
      </c>
      <c r="V208" t="s">
        <v>10</v>
      </c>
      <c r="W208" t="s">
        <v>57</v>
      </c>
      <c r="X208" s="11">
        <v>121.48140060614698</v>
      </c>
      <c r="Y208">
        <f>_xlfn.XLOOKUP(Table1820[[#This Row],[Coverage]],CoverageTable[Coverage],CoverageTable[Base Rate],,0)</f>
        <v>41</v>
      </c>
      <c r="Z208">
        <f>INDEX(Table16[Ageband Factor],MATCH(Table1820[[#This Row],[Ageband]],Table16[Ageband],0))</f>
        <v>1.1200000000000001</v>
      </c>
      <c r="AA208">
        <f>VLOOKUP(Table1820[[#This Row],[Years Driving]],Table1[],2)</f>
        <v>1.64</v>
      </c>
      <c r="AB208">
        <f>_xlfn.XLOOKUP(Table1820[[#This Row],[At Fault Accidents]],Table2[At Fault Accidents],Table2[At Fault Accident Factor],,0)</f>
        <v>1</v>
      </c>
      <c r="AC208">
        <f>_xlfn.XLOOKUP(Table1820[[#This Row],[Usage-Based Insurance]],Table3[Usage-Based Insurance],Table3[Usage-Based Insurance Discount],,0)</f>
        <v>1</v>
      </c>
      <c r="AD208">
        <f>_xlfn.XLOOKUP(Table1820[[#This Row],[Yearly Miles]],Table4[Yearly Miles],Table4[Yearly Miles Factor],,0)</f>
        <v>1.18</v>
      </c>
      <c r="AE208">
        <f>_xlfn.XLOOKUP(Table1820[[#This Row],[City/Zip Code]],Table5[City/Zip Code],Table5[City/Zip Code Factor],,0)</f>
        <v>1.56</v>
      </c>
      <c r="AF208">
        <f>_xlfn.XLOOKUP(Table1820[[#This Row],[Vehicle Price]],Table6[Vehicle Price],Table6[Vehicle Price Factor])</f>
        <v>0.97</v>
      </c>
      <c r="AG208">
        <f>_xlfn.XLOOKUP(Table1820[[#This Row],[Exotic Car]],Table7[Exotic Car],Table7[Exotic Car Factor],,0)</f>
        <v>1.28</v>
      </c>
      <c r="AH208">
        <f>_xlfn.XLOOKUP(Table1820[[#This Row],[Difficult Parts]],Table8[Difficult Parts],Table8[Difficult Parts Factor],,0)</f>
        <v>1.21</v>
      </c>
      <c r="AI208">
        <f>_xlfn.XLOOKUP(Table1820[[#This Row],[High Theft Rate]],Table9[High Theft Rate],Table9[High Theft Rate Factor],,0)</f>
        <v>1</v>
      </c>
      <c r="AJ208">
        <f>_xlfn.XLOOKUP(Table1820[[#This Row],[Advanced Safety Features]],Table10[Advanced Safety Features],Table10[Advanced Safety Features Factor],,0)</f>
        <v>1</v>
      </c>
      <c r="AK208">
        <f>_xlfn.XLOOKUP(Table1820[[#This Row],[Deductible]],Table12[Deductible],Table12[Deductible Factor],,0)</f>
        <v>1</v>
      </c>
      <c r="AL208">
        <f>_xlfn.XLOOKUP(Table1820[[#This Row],[Coverage Limit]],Table13[Coverage Limit],Table13[Coverage Limit Factor],,0)</f>
        <v>0.61</v>
      </c>
      <c r="AM208">
        <f>IF(Table1820[[#This Row],[Good Student Discount]]="Yes",'Rate Book'!$D$126,1)</f>
        <v>1</v>
      </c>
      <c r="AN208">
        <f>IF(Table1820[[#This Row],[Good Driver Discount]]="Yes",'Rate Book'!$D$127,1)</f>
        <v>1</v>
      </c>
      <c r="AO208">
        <f>IF(Table1820[[#This Row],[Multi Policy Discount]]="Yes",'Rate Book'!$D$128,1)</f>
        <v>0.93</v>
      </c>
      <c r="AP208">
        <f>IF(Table1820[[#This Row],[Loyal Customer Discount]]="Yes",'Rate Book'!$D$129,1)</f>
        <v>1</v>
      </c>
      <c r="AQ208">
        <f>IF(Table1820[[#This Row],[Organization Discount]]="Yes",'Rate Book'!$D$130,1)</f>
        <v>0.97</v>
      </c>
      <c r="AR208" cm="1">
        <f t="array" ref="AR208">IF(Table1820[[#This Row],[Effective Date]]&gt;=RateChangeTable[Effective Date],RateChangeTable[Rate Change Factor],1)</f>
        <v>1.06</v>
      </c>
      <c r="AS208" s="10">
        <f>PRODUCT(Table1820[[#This Row],[Base Rate]:[Rate Change Factor]])</f>
        <v>121.48140060614698</v>
      </c>
      <c r="AT208" s="9">
        <f>Table1820[[#This Row],[System-Generated Premium]]-Table1820[[#This Row],[Expected Premium]]</f>
        <v>0</v>
      </c>
      <c r="AU208" t="str">
        <f>IF(Table1820[[#This Row],[Difference]]=0,"PASS","FAIL")</f>
        <v>PASS</v>
      </c>
      <c r="AV208" s="9">
        <f>ABS(Table1820[[#This Row],[Difference]])</f>
        <v>0</v>
      </c>
      <c r="AW208" s="9" t="s">
        <v>1136</v>
      </c>
    </row>
    <row r="209" spans="1:49" x14ac:dyDescent="0.3">
      <c r="A209" t="s">
        <v>300</v>
      </c>
      <c r="B209" s="7">
        <v>45948</v>
      </c>
      <c r="C209" t="s">
        <v>71</v>
      </c>
      <c r="D209" t="s">
        <v>1099</v>
      </c>
      <c r="E209" s="3">
        <v>5</v>
      </c>
      <c r="F209" s="3">
        <v>3</v>
      </c>
      <c r="G209" t="s">
        <v>12</v>
      </c>
      <c r="H209" t="s">
        <v>1107</v>
      </c>
      <c r="I209" t="s">
        <v>36</v>
      </c>
      <c r="J209" t="s">
        <v>50</v>
      </c>
      <c r="K209" t="s">
        <v>10</v>
      </c>
      <c r="L209" t="s">
        <v>57</v>
      </c>
      <c r="M209" t="s">
        <v>10</v>
      </c>
      <c r="N209" t="s">
        <v>57</v>
      </c>
      <c r="O209" t="str">
        <f>INDEX(CoverageTable[Deductible Applies],MATCH(Table1820[[#This Row],[Coverage]],CoverageTable[Coverage],0))</f>
        <v>Yes</v>
      </c>
      <c r="P209" t="str">
        <f>INDEX(CoverageTable[Coverage Limit Applies],MATCH(Table1820[[#This Row],[Coverage]],CoverageTable[Coverage],0))</f>
        <v>No</v>
      </c>
      <c r="Q209" t="s">
        <v>79</v>
      </c>
      <c r="R209" t="s">
        <v>10</v>
      </c>
      <c r="S209" t="s">
        <v>57</v>
      </c>
      <c r="T209" t="s">
        <v>10</v>
      </c>
      <c r="U209" t="s">
        <v>10</v>
      </c>
      <c r="V209" t="s">
        <v>10</v>
      </c>
      <c r="W209" t="s">
        <v>10</v>
      </c>
      <c r="X209" s="11">
        <v>534.23</v>
      </c>
      <c r="Y209">
        <f>_xlfn.XLOOKUP(Table1820[[#This Row],[Coverage]],CoverageTable[Coverage],CoverageTable[Base Rate],,0)</f>
        <v>453</v>
      </c>
      <c r="Z209">
        <f>INDEX(Table16[Ageband Factor],MATCH(Table1820[[#This Row],[Ageband]],Table16[Ageband],0))</f>
        <v>1</v>
      </c>
      <c r="AA209">
        <f>VLOOKUP(Table1820[[#This Row],[Years Driving]],Table1[],2)</f>
        <v>1.07</v>
      </c>
      <c r="AB209">
        <f>_xlfn.XLOOKUP(Table1820[[#This Row],[At Fault Accidents]],Table2[At Fault Accidents],Table2[At Fault Accident Factor],,0)</f>
        <v>1.82</v>
      </c>
      <c r="AC209">
        <f>_xlfn.XLOOKUP(Table1820[[#This Row],[Usage-Based Insurance]],Table3[Usage-Based Insurance],Table3[Usage-Based Insurance Discount],,0)</f>
        <v>0.8</v>
      </c>
      <c r="AD209">
        <f>_xlfn.XLOOKUP(Table1820[[#This Row],[Yearly Miles]],Table4[Yearly Miles],Table4[Yearly Miles Factor],,0)</f>
        <v>0.93</v>
      </c>
      <c r="AE209">
        <f>_xlfn.XLOOKUP(Table1820[[#This Row],[City/Zip Code]],Table5[City/Zip Code],Table5[City/Zip Code Factor],,0)</f>
        <v>0.98</v>
      </c>
      <c r="AF209">
        <f>_xlfn.XLOOKUP(Table1820[[#This Row],[Vehicle Price]],Table6[Vehicle Price],Table6[Vehicle Price Factor])</f>
        <v>1.08</v>
      </c>
      <c r="AG209">
        <f>_xlfn.XLOOKUP(Table1820[[#This Row],[Exotic Car]],Table7[Exotic Car],Table7[Exotic Car Factor],,0)</f>
        <v>1</v>
      </c>
      <c r="AH209">
        <f>_xlfn.XLOOKUP(Table1820[[#This Row],[Difficult Parts]],Table8[Difficult Parts],Table8[Difficult Parts Factor],,0)</f>
        <v>1.21</v>
      </c>
      <c r="AI209">
        <f>_xlfn.XLOOKUP(Table1820[[#This Row],[High Theft Rate]],Table9[High Theft Rate],Table9[High Theft Rate Factor],,0)</f>
        <v>1</v>
      </c>
      <c r="AJ209">
        <f>_xlfn.XLOOKUP(Table1820[[#This Row],[Advanced Safety Features]],Table10[Advanced Safety Features],Table10[Advanced Safety Features Factor],,0)</f>
        <v>0.88</v>
      </c>
      <c r="AK209">
        <f>_xlfn.XLOOKUP(Table1820[[#This Row],[Deductible]],Table12[Deductible],Table12[Deductible Factor],,0)</f>
        <v>0.84</v>
      </c>
      <c r="AL209">
        <f>_xlfn.XLOOKUP(Table1820[[#This Row],[Coverage Limit]],Table13[Coverage Limit],Table13[Coverage Limit Factor],,0)</f>
        <v>1</v>
      </c>
      <c r="AM209">
        <f>IF(Table1820[[#This Row],[Good Student Discount]]="Yes",'Rate Book'!$D$126,1)</f>
        <v>0.92</v>
      </c>
      <c r="AN209">
        <f>IF(Table1820[[#This Row],[Good Driver Discount]]="Yes",'Rate Book'!$D$127,1)</f>
        <v>1</v>
      </c>
      <c r="AO209">
        <f>IF(Table1820[[#This Row],[Multi Policy Discount]]="Yes",'Rate Book'!$D$128,1)</f>
        <v>1</v>
      </c>
      <c r="AP209">
        <f>IF(Table1820[[#This Row],[Loyal Customer Discount]]="Yes",'Rate Book'!$D$129,1)</f>
        <v>1</v>
      </c>
      <c r="AQ209">
        <f>IF(Table1820[[#This Row],[Organization Discount]]="Yes",'Rate Book'!$D$130,1)</f>
        <v>1</v>
      </c>
      <c r="AR209" cm="1">
        <f t="array" ref="AR209">IF(Table1820[[#This Row],[Effective Date]]&gt;=RateChangeTable[Effective Date],RateChangeTable[Rate Change Factor],1)</f>
        <v>1</v>
      </c>
      <c r="AS209" s="10">
        <f>PRODUCT(Table1820[[#This Row],[Base Rate]:[Rate Change Factor]])</f>
        <v>571.62509989252544</v>
      </c>
      <c r="AT209" s="9">
        <f>Table1820[[#This Row],[System-Generated Premium]]-Table1820[[#This Row],[Expected Premium]]</f>
        <v>-37.395099892525423</v>
      </c>
      <c r="AU209" t="str">
        <f>IF(Table1820[[#This Row],[Difference]]=0,"PASS","FAIL")</f>
        <v>FAIL</v>
      </c>
      <c r="AV209" s="9">
        <f>ABS(Table1820[[#This Row],[Difference]])</f>
        <v>37.395099892525423</v>
      </c>
      <c r="AW209" s="9" t="s">
        <v>1150</v>
      </c>
    </row>
    <row r="210" spans="1:49" x14ac:dyDescent="0.3">
      <c r="A210" t="s">
        <v>301</v>
      </c>
      <c r="B210" s="7">
        <v>45812</v>
      </c>
      <c r="C210" t="s">
        <v>74</v>
      </c>
      <c r="D210" t="s">
        <v>1098</v>
      </c>
      <c r="E210" s="3">
        <v>6</v>
      </c>
      <c r="F210" s="3">
        <v>0</v>
      </c>
      <c r="G210" t="s">
        <v>13</v>
      </c>
      <c r="H210" t="s">
        <v>1106</v>
      </c>
      <c r="I210" t="s">
        <v>35</v>
      </c>
      <c r="J210" t="s">
        <v>49</v>
      </c>
      <c r="K210" t="s">
        <v>10</v>
      </c>
      <c r="L210" t="s">
        <v>10</v>
      </c>
      <c r="M210" t="s">
        <v>10</v>
      </c>
      <c r="N210" t="s">
        <v>10</v>
      </c>
      <c r="O210" t="str">
        <f>INDEX(CoverageTable[Deductible Applies],MATCH(Table1820[[#This Row],[Coverage]],CoverageTable[Coverage],0))</f>
        <v>No</v>
      </c>
      <c r="P210" t="str">
        <f>INDEX(CoverageTable[Coverage Limit Applies],MATCH(Table1820[[#This Row],[Coverage]],CoverageTable[Coverage],0))</f>
        <v>Yes</v>
      </c>
      <c r="Q210" t="s">
        <v>10</v>
      </c>
      <c r="R210" t="s">
        <v>80</v>
      </c>
      <c r="S210" t="s">
        <v>10</v>
      </c>
      <c r="T210" t="s">
        <v>10</v>
      </c>
      <c r="U210" t="s">
        <v>10</v>
      </c>
      <c r="V210" t="s">
        <v>10</v>
      </c>
      <c r="W210" t="s">
        <v>57</v>
      </c>
      <c r="X210" s="11">
        <v>23.793424582636796</v>
      </c>
      <c r="Y210">
        <f>_xlfn.XLOOKUP(Table1820[[#This Row],[Coverage]],CoverageTable[Coverage],CoverageTable[Base Rate],,0)</f>
        <v>41</v>
      </c>
      <c r="Z210">
        <f>INDEX(Table16[Ageband Factor],MATCH(Table1820[[#This Row],[Ageband]],Table16[Ageband],0))</f>
        <v>1.23</v>
      </c>
      <c r="AA210">
        <f>VLOOKUP(Table1820[[#This Row],[Years Driving]],Table1[],2)</f>
        <v>1</v>
      </c>
      <c r="AB210">
        <f>_xlfn.XLOOKUP(Table1820[[#This Row],[At Fault Accidents]],Table2[At Fault Accidents],Table2[At Fault Accident Factor],,0)</f>
        <v>1</v>
      </c>
      <c r="AC210">
        <f>_xlfn.XLOOKUP(Table1820[[#This Row],[Usage-Based Insurance]],Table3[Usage-Based Insurance],Table3[Usage-Based Insurance Discount],,0)</f>
        <v>0.65</v>
      </c>
      <c r="AD210">
        <f>_xlfn.XLOOKUP(Table1820[[#This Row],[Yearly Miles]],Table4[Yearly Miles],Table4[Yearly Miles Factor],,0)</f>
        <v>0.82</v>
      </c>
      <c r="AE210">
        <f>_xlfn.XLOOKUP(Table1820[[#This Row],[City/Zip Code]],Table5[City/Zip Code],Table5[City/Zip Code Factor],,0)</f>
        <v>1.1200000000000001</v>
      </c>
      <c r="AF210">
        <f>_xlfn.XLOOKUP(Table1820[[#This Row],[Vehicle Price]],Table6[Vehicle Price],Table6[Vehicle Price Factor])</f>
        <v>0.97</v>
      </c>
      <c r="AG210">
        <f>_xlfn.XLOOKUP(Table1820[[#This Row],[Exotic Car]],Table7[Exotic Car],Table7[Exotic Car Factor],,0)</f>
        <v>1</v>
      </c>
      <c r="AH210">
        <f>_xlfn.XLOOKUP(Table1820[[#This Row],[Difficult Parts]],Table8[Difficult Parts],Table8[Difficult Parts Factor],,0)</f>
        <v>1</v>
      </c>
      <c r="AI210">
        <f>_xlfn.XLOOKUP(Table1820[[#This Row],[High Theft Rate]],Table9[High Theft Rate],Table9[High Theft Rate Factor],,0)</f>
        <v>1</v>
      </c>
      <c r="AJ210">
        <f>_xlfn.XLOOKUP(Table1820[[#This Row],[Advanced Safety Features]],Table10[Advanced Safety Features],Table10[Advanced Safety Features Factor],,0)</f>
        <v>1</v>
      </c>
      <c r="AK210">
        <f>_xlfn.XLOOKUP(Table1820[[#This Row],[Deductible]],Table12[Deductible],Table12[Deductible Factor],,0)</f>
        <v>1</v>
      </c>
      <c r="AL210">
        <f>_xlfn.XLOOKUP(Table1820[[#This Row],[Coverage Limit]],Table13[Coverage Limit],Table13[Coverage Limit Factor],,0)</f>
        <v>0.84</v>
      </c>
      <c r="AM210">
        <f>IF(Table1820[[#This Row],[Good Student Discount]]="Yes",'Rate Book'!$D$126,1)</f>
        <v>1</v>
      </c>
      <c r="AN210">
        <f>IF(Table1820[[#This Row],[Good Driver Discount]]="Yes",'Rate Book'!$D$127,1)</f>
        <v>1</v>
      </c>
      <c r="AO210">
        <f>IF(Table1820[[#This Row],[Multi Policy Discount]]="Yes",'Rate Book'!$D$128,1)</f>
        <v>1</v>
      </c>
      <c r="AP210">
        <f>IF(Table1820[[#This Row],[Loyal Customer Discount]]="Yes",'Rate Book'!$D$129,1)</f>
        <v>1</v>
      </c>
      <c r="AQ210">
        <f>IF(Table1820[[#This Row],[Organization Discount]]="Yes",'Rate Book'!$D$130,1)</f>
        <v>0.97</v>
      </c>
      <c r="AR210" cm="1">
        <f t="array" ref="AR210">IF(Table1820[[#This Row],[Effective Date]]&gt;=RateChangeTable[Effective Date],RateChangeTable[Rate Change Factor],1)</f>
        <v>1</v>
      </c>
      <c r="AS210" s="10">
        <f>PRODUCT(Table1820[[#This Row],[Base Rate]:[Rate Change Factor]])</f>
        <v>23.793424582636796</v>
      </c>
      <c r="AT210" s="9">
        <f>Table1820[[#This Row],[System-Generated Premium]]-Table1820[[#This Row],[Expected Premium]]</f>
        <v>0</v>
      </c>
      <c r="AU210" t="str">
        <f>IF(Table1820[[#This Row],[Difference]]=0,"PASS","FAIL")</f>
        <v>PASS</v>
      </c>
      <c r="AV210" s="9">
        <f>ABS(Table1820[[#This Row],[Difference]])</f>
        <v>0</v>
      </c>
      <c r="AW210" s="9" t="s">
        <v>1136</v>
      </c>
    </row>
    <row r="211" spans="1:49" x14ac:dyDescent="0.3">
      <c r="A211" t="s">
        <v>302</v>
      </c>
      <c r="B211" s="7">
        <v>45867</v>
      </c>
      <c r="C211" t="s">
        <v>73</v>
      </c>
      <c r="D211" t="s">
        <v>1099</v>
      </c>
      <c r="E211" s="3">
        <v>6</v>
      </c>
      <c r="F211" s="3">
        <v>0</v>
      </c>
      <c r="G211" t="s">
        <v>10</v>
      </c>
      <c r="H211" t="s">
        <v>1110</v>
      </c>
      <c r="I211" t="s">
        <v>32</v>
      </c>
      <c r="J211" t="s">
        <v>48</v>
      </c>
      <c r="K211" t="s">
        <v>10</v>
      </c>
      <c r="L211" t="s">
        <v>57</v>
      </c>
      <c r="M211" t="s">
        <v>10</v>
      </c>
      <c r="N211" t="s">
        <v>57</v>
      </c>
      <c r="O211" t="str">
        <f>INDEX(CoverageTable[Deductible Applies],MATCH(Table1820[[#This Row],[Coverage]],CoverageTable[Coverage],0))</f>
        <v>No</v>
      </c>
      <c r="P211" t="str">
        <f>INDEX(CoverageTable[Coverage Limit Applies],MATCH(Table1820[[#This Row],[Coverage]],CoverageTable[Coverage],0))</f>
        <v>Yes</v>
      </c>
      <c r="Q211" t="s">
        <v>10</v>
      </c>
      <c r="R211" t="s">
        <v>78</v>
      </c>
      <c r="S211" t="s">
        <v>10</v>
      </c>
      <c r="T211" t="s">
        <v>10</v>
      </c>
      <c r="U211" t="s">
        <v>10</v>
      </c>
      <c r="V211" t="s">
        <v>10</v>
      </c>
      <c r="W211" t="s">
        <v>10</v>
      </c>
      <c r="X211" s="11">
        <v>60.953079323136009</v>
      </c>
      <c r="Y211">
        <f>_xlfn.XLOOKUP(Table1820[[#This Row],[Coverage]],CoverageTable[Coverage],CoverageTable[Base Rate],,0)</f>
        <v>78</v>
      </c>
      <c r="Z211">
        <f>INDEX(Table16[Ageband Factor],MATCH(Table1820[[#This Row],[Ageband]],Table16[Ageband],0))</f>
        <v>1</v>
      </c>
      <c r="AA211">
        <f>VLOOKUP(Table1820[[#This Row],[Years Driving]],Table1[],2)</f>
        <v>1</v>
      </c>
      <c r="AB211">
        <f>_xlfn.XLOOKUP(Table1820[[#This Row],[At Fault Accidents]],Table2[At Fault Accidents],Table2[At Fault Accident Factor],,0)</f>
        <v>1</v>
      </c>
      <c r="AC211">
        <f>_xlfn.XLOOKUP(Table1820[[#This Row],[Usage-Based Insurance]],Table3[Usage-Based Insurance],Table3[Usage-Based Insurance Discount],,0)</f>
        <v>1</v>
      </c>
      <c r="AD211">
        <f>_xlfn.XLOOKUP(Table1820[[#This Row],[Yearly Miles]],Table4[Yearly Miles],Table4[Yearly Miles Factor],,0)</f>
        <v>1.31</v>
      </c>
      <c r="AE211">
        <f>_xlfn.XLOOKUP(Table1820[[#This Row],[City/Zip Code]],Table5[City/Zip Code],Table5[City/Zip Code Factor],,0)</f>
        <v>1.1200000000000001</v>
      </c>
      <c r="AF211">
        <f>_xlfn.XLOOKUP(Table1820[[#This Row],[Vehicle Price]],Table6[Vehicle Price],Table6[Vehicle Price Factor])</f>
        <v>0.82</v>
      </c>
      <c r="AG211">
        <f>_xlfn.XLOOKUP(Table1820[[#This Row],[Exotic Car]],Table7[Exotic Car],Table7[Exotic Car Factor],,0)</f>
        <v>1</v>
      </c>
      <c r="AH211">
        <f>_xlfn.XLOOKUP(Table1820[[#This Row],[Difficult Parts]],Table8[Difficult Parts],Table8[Difficult Parts Factor],,0)</f>
        <v>1.21</v>
      </c>
      <c r="AI211">
        <f>_xlfn.XLOOKUP(Table1820[[#This Row],[High Theft Rate]],Table9[High Theft Rate],Table9[High Theft Rate Factor],,0)</f>
        <v>1</v>
      </c>
      <c r="AJ211">
        <f>_xlfn.XLOOKUP(Table1820[[#This Row],[Advanced Safety Features]],Table10[Advanced Safety Features],Table10[Advanced Safety Features Factor],,0)</f>
        <v>0.88</v>
      </c>
      <c r="AK211">
        <f>_xlfn.XLOOKUP(Table1820[[#This Row],[Deductible]],Table12[Deductible],Table12[Deductible Factor],,0)</f>
        <v>1</v>
      </c>
      <c r="AL211">
        <f>_xlfn.XLOOKUP(Table1820[[#This Row],[Coverage Limit]],Table13[Coverage Limit],Table13[Coverage Limit Factor],,0)</f>
        <v>0.61</v>
      </c>
      <c r="AM211">
        <f>IF(Table1820[[#This Row],[Good Student Discount]]="Yes",'Rate Book'!$D$126,1)</f>
        <v>1</v>
      </c>
      <c r="AN211">
        <f>IF(Table1820[[#This Row],[Good Driver Discount]]="Yes",'Rate Book'!$D$127,1)</f>
        <v>1</v>
      </c>
      <c r="AO211">
        <f>IF(Table1820[[#This Row],[Multi Policy Discount]]="Yes",'Rate Book'!$D$128,1)</f>
        <v>1</v>
      </c>
      <c r="AP211">
        <f>IF(Table1820[[#This Row],[Loyal Customer Discount]]="Yes",'Rate Book'!$D$129,1)</f>
        <v>1</v>
      </c>
      <c r="AQ211">
        <f>IF(Table1820[[#This Row],[Organization Discount]]="Yes",'Rate Book'!$D$130,1)</f>
        <v>1</v>
      </c>
      <c r="AR211" cm="1">
        <f t="array" ref="AR211">IF(Table1820[[#This Row],[Effective Date]]&gt;=RateChangeTable[Effective Date],RateChangeTable[Rate Change Factor],1)</f>
        <v>1</v>
      </c>
      <c r="AS211" s="10">
        <f>PRODUCT(Table1820[[#This Row],[Base Rate]:[Rate Change Factor]])</f>
        <v>60.953079323136009</v>
      </c>
      <c r="AT211" s="9">
        <f>Table1820[[#This Row],[System-Generated Premium]]-Table1820[[#This Row],[Expected Premium]]</f>
        <v>0</v>
      </c>
      <c r="AU211" t="str">
        <f>IF(Table1820[[#This Row],[Difference]]=0,"PASS","FAIL")</f>
        <v>PASS</v>
      </c>
      <c r="AV211" s="9">
        <f>ABS(Table1820[[#This Row],[Difference]])</f>
        <v>0</v>
      </c>
      <c r="AW211" s="9" t="s">
        <v>1136</v>
      </c>
    </row>
    <row r="212" spans="1:49" x14ac:dyDescent="0.3">
      <c r="A212" t="s">
        <v>303</v>
      </c>
      <c r="B212" s="7">
        <v>45838</v>
      </c>
      <c r="C212" t="s">
        <v>73</v>
      </c>
      <c r="D212" t="s">
        <v>1100</v>
      </c>
      <c r="E212" s="3">
        <v>5</v>
      </c>
      <c r="F212" s="3">
        <v>2</v>
      </c>
      <c r="G212" t="s">
        <v>13</v>
      </c>
      <c r="H212" t="s">
        <v>1107</v>
      </c>
      <c r="I212" t="s">
        <v>26</v>
      </c>
      <c r="J212" t="s">
        <v>48</v>
      </c>
      <c r="K212" t="s">
        <v>10</v>
      </c>
      <c r="L212" t="s">
        <v>10</v>
      </c>
      <c r="M212" t="s">
        <v>10</v>
      </c>
      <c r="N212" t="s">
        <v>57</v>
      </c>
      <c r="O212" t="str">
        <f>INDEX(CoverageTable[Deductible Applies],MATCH(Table1820[[#This Row],[Coverage]],CoverageTable[Coverage],0))</f>
        <v>No</v>
      </c>
      <c r="P212" t="str">
        <f>INDEX(CoverageTable[Coverage Limit Applies],MATCH(Table1820[[#This Row],[Coverage]],CoverageTable[Coverage],0))</f>
        <v>Yes</v>
      </c>
      <c r="Q212" t="s">
        <v>10</v>
      </c>
      <c r="R212" t="s">
        <v>79</v>
      </c>
      <c r="S212" t="s">
        <v>10</v>
      </c>
      <c r="T212" t="s">
        <v>57</v>
      </c>
      <c r="U212" t="s">
        <v>10</v>
      </c>
      <c r="V212" t="s">
        <v>10</v>
      </c>
      <c r="W212" t="s">
        <v>57</v>
      </c>
      <c r="X212" s="11">
        <v>43.15973442352125</v>
      </c>
      <c r="Y212">
        <f>_xlfn.XLOOKUP(Table1820[[#This Row],[Coverage]],CoverageTable[Coverage],CoverageTable[Base Rate],,0)</f>
        <v>78</v>
      </c>
      <c r="Z212">
        <f>INDEX(Table16[Ageband Factor],MATCH(Table1820[[#This Row],[Ageband]],Table16[Ageband],0))</f>
        <v>1.07</v>
      </c>
      <c r="AA212">
        <f>VLOOKUP(Table1820[[#This Row],[Years Driving]],Table1[],2)</f>
        <v>1.07</v>
      </c>
      <c r="AB212">
        <f>_xlfn.XLOOKUP(Table1820[[#This Row],[At Fault Accidents]],Table2[At Fault Accidents],Table2[At Fault Accident Factor],,0)</f>
        <v>1.55</v>
      </c>
      <c r="AC212">
        <f>_xlfn.XLOOKUP(Table1820[[#This Row],[Usage-Based Insurance]],Table3[Usage-Based Insurance],Table3[Usage-Based Insurance Discount],,0)</f>
        <v>0.65</v>
      </c>
      <c r="AD212">
        <f>_xlfn.XLOOKUP(Table1820[[#This Row],[Yearly Miles]],Table4[Yearly Miles],Table4[Yearly Miles Factor],,0)</f>
        <v>0.93</v>
      </c>
      <c r="AE212">
        <f>_xlfn.XLOOKUP(Table1820[[#This Row],[City/Zip Code]],Table5[City/Zip Code],Table5[City/Zip Code Factor],,0)</f>
        <v>1.1499999999999999</v>
      </c>
      <c r="AF212">
        <f>_xlfn.XLOOKUP(Table1820[[#This Row],[Vehicle Price]],Table6[Vehicle Price],Table6[Vehicle Price Factor])</f>
        <v>0.82</v>
      </c>
      <c r="AG212">
        <f>_xlfn.XLOOKUP(Table1820[[#This Row],[Exotic Car]],Table7[Exotic Car],Table7[Exotic Car Factor],,0)</f>
        <v>1</v>
      </c>
      <c r="AH212">
        <f>_xlfn.XLOOKUP(Table1820[[#This Row],[Difficult Parts]],Table8[Difficult Parts],Table8[Difficult Parts Factor],,0)</f>
        <v>1</v>
      </c>
      <c r="AI212">
        <f>_xlfn.XLOOKUP(Table1820[[#This Row],[High Theft Rate]],Table9[High Theft Rate],Table9[High Theft Rate Factor],,0)</f>
        <v>1</v>
      </c>
      <c r="AJ212">
        <f>_xlfn.XLOOKUP(Table1820[[#This Row],[Advanced Safety Features]],Table10[Advanced Safety Features],Table10[Advanced Safety Features Factor],,0)</f>
        <v>0.88</v>
      </c>
      <c r="AK212">
        <f>_xlfn.XLOOKUP(Table1820[[#This Row],[Deductible]],Table12[Deductible],Table12[Deductible Factor],,0)</f>
        <v>1</v>
      </c>
      <c r="AL212">
        <f>_xlfn.XLOOKUP(Table1820[[#This Row],[Coverage Limit]],Table13[Coverage Limit],Table13[Coverage Limit Factor],,0)</f>
        <v>0.72</v>
      </c>
      <c r="AM212">
        <f>IF(Table1820[[#This Row],[Good Student Discount]]="Yes",'Rate Book'!$D$126,1)</f>
        <v>1</v>
      </c>
      <c r="AN212">
        <f>IF(Table1820[[#This Row],[Good Driver Discount]]="Yes",'Rate Book'!$D$127,1)</f>
        <v>0.89</v>
      </c>
      <c r="AO212">
        <f>IF(Table1820[[#This Row],[Multi Policy Discount]]="Yes",'Rate Book'!$D$128,1)</f>
        <v>1</v>
      </c>
      <c r="AP212">
        <f>IF(Table1820[[#This Row],[Loyal Customer Discount]]="Yes",'Rate Book'!$D$129,1)</f>
        <v>1</v>
      </c>
      <c r="AQ212">
        <f>IF(Table1820[[#This Row],[Organization Discount]]="Yes",'Rate Book'!$D$130,1)</f>
        <v>0.97</v>
      </c>
      <c r="AR212" cm="1">
        <f t="array" ref="AR212">IF(Table1820[[#This Row],[Effective Date]]&gt;=RateChangeTable[Effective Date],RateChangeTable[Rate Change Factor],1)</f>
        <v>1</v>
      </c>
      <c r="AS212" s="10">
        <f>PRODUCT(Table1820[[#This Row],[Base Rate]:[Rate Change Factor]])</f>
        <v>43.15973442352125</v>
      </c>
      <c r="AT212" s="9">
        <f>Table1820[[#This Row],[System-Generated Premium]]-Table1820[[#This Row],[Expected Premium]]</f>
        <v>0</v>
      </c>
      <c r="AU212" t="str">
        <f>IF(Table1820[[#This Row],[Difference]]=0,"PASS","FAIL")</f>
        <v>PASS</v>
      </c>
      <c r="AV212" s="9">
        <f>ABS(Table1820[[#This Row],[Difference]])</f>
        <v>0</v>
      </c>
      <c r="AW212" s="9" t="s">
        <v>1136</v>
      </c>
    </row>
    <row r="213" spans="1:49" x14ac:dyDescent="0.3">
      <c r="A213" t="s">
        <v>304</v>
      </c>
      <c r="B213" s="7">
        <v>46049</v>
      </c>
      <c r="C213" t="s">
        <v>72</v>
      </c>
      <c r="D213" t="s">
        <v>1098</v>
      </c>
      <c r="E213" s="3">
        <v>2</v>
      </c>
      <c r="F213" s="3">
        <v>2</v>
      </c>
      <c r="G213" t="s">
        <v>11</v>
      </c>
      <c r="H213" t="s">
        <v>1106</v>
      </c>
      <c r="I213" t="s">
        <v>31</v>
      </c>
      <c r="J213" t="s">
        <v>54</v>
      </c>
      <c r="K213" t="s">
        <v>10</v>
      </c>
      <c r="L213" t="s">
        <v>10</v>
      </c>
      <c r="M213" t="s">
        <v>10</v>
      </c>
      <c r="N213" t="s">
        <v>57</v>
      </c>
      <c r="O213" t="str">
        <f>INDEX(CoverageTable[Deductible Applies],MATCH(Table1820[[#This Row],[Coverage]],CoverageTable[Coverage],0))</f>
        <v>Yes</v>
      </c>
      <c r="P213" t="str">
        <f>INDEX(CoverageTable[Coverage Limit Applies],MATCH(Table1820[[#This Row],[Coverage]],CoverageTable[Coverage],0))</f>
        <v>No</v>
      </c>
      <c r="Q213" t="s">
        <v>78</v>
      </c>
      <c r="R213" t="s">
        <v>10</v>
      </c>
      <c r="S213" t="s">
        <v>57</v>
      </c>
      <c r="T213" t="s">
        <v>57</v>
      </c>
      <c r="U213" t="s">
        <v>10</v>
      </c>
      <c r="V213" t="s">
        <v>57</v>
      </c>
      <c r="W213" t="s">
        <v>10</v>
      </c>
      <c r="X213" s="11">
        <v>550.55594434275611</v>
      </c>
      <c r="Y213">
        <f>_xlfn.XLOOKUP(Table1820[[#This Row],[Coverage]],CoverageTable[Coverage],CoverageTable[Base Rate],,0)</f>
        <v>121</v>
      </c>
      <c r="Z213">
        <f>INDEX(Table16[Ageband Factor],MATCH(Table1820[[#This Row],[Ageband]],Table16[Ageband],0))</f>
        <v>1.23</v>
      </c>
      <c r="AA213">
        <f>VLOOKUP(Table1820[[#This Row],[Years Driving]],Table1[],2)</f>
        <v>1.41</v>
      </c>
      <c r="AB213">
        <f>_xlfn.XLOOKUP(Table1820[[#This Row],[At Fault Accidents]],Table2[At Fault Accidents],Table2[At Fault Accident Factor],,0)</f>
        <v>1.55</v>
      </c>
      <c r="AC213">
        <f>_xlfn.XLOOKUP(Table1820[[#This Row],[Usage-Based Insurance]],Table3[Usage-Based Insurance],Table3[Usage-Based Insurance Discount],,0)</f>
        <v>0.95</v>
      </c>
      <c r="AD213">
        <f>_xlfn.XLOOKUP(Table1820[[#This Row],[Yearly Miles]],Table4[Yearly Miles],Table4[Yearly Miles Factor],,0)</f>
        <v>0.82</v>
      </c>
      <c r="AE213">
        <f>_xlfn.XLOOKUP(Table1820[[#This Row],[City/Zip Code]],Table5[City/Zip Code],Table5[City/Zip Code Factor],,0)</f>
        <v>1.1100000000000001</v>
      </c>
      <c r="AF213">
        <f>_xlfn.XLOOKUP(Table1820[[#This Row],[Vehicle Price]],Table6[Vehicle Price],Table6[Vehicle Price Factor])</f>
        <v>2.87</v>
      </c>
      <c r="AG213">
        <f>_xlfn.XLOOKUP(Table1820[[#This Row],[Exotic Car]],Table7[Exotic Car],Table7[Exotic Car Factor],,0)</f>
        <v>1</v>
      </c>
      <c r="AH213">
        <f>_xlfn.XLOOKUP(Table1820[[#This Row],[Difficult Parts]],Table8[Difficult Parts],Table8[Difficult Parts Factor],,0)</f>
        <v>1</v>
      </c>
      <c r="AI213">
        <f>_xlfn.XLOOKUP(Table1820[[#This Row],[High Theft Rate]],Table9[High Theft Rate],Table9[High Theft Rate Factor],,0)</f>
        <v>1</v>
      </c>
      <c r="AJ213">
        <f>_xlfn.XLOOKUP(Table1820[[#This Row],[Advanced Safety Features]],Table10[Advanced Safety Features],Table10[Advanced Safety Features Factor],,0)</f>
        <v>0.88</v>
      </c>
      <c r="AK213">
        <f>_xlfn.XLOOKUP(Table1820[[#This Row],[Deductible]],Table12[Deductible],Table12[Deductible Factor],,0)</f>
        <v>0.95</v>
      </c>
      <c r="AL213">
        <f>_xlfn.XLOOKUP(Table1820[[#This Row],[Coverage Limit]],Table13[Coverage Limit],Table13[Coverage Limit Factor],,0)</f>
        <v>1</v>
      </c>
      <c r="AM213">
        <f>IF(Table1820[[#This Row],[Good Student Discount]]="Yes",'Rate Book'!$D$126,1)</f>
        <v>0.92</v>
      </c>
      <c r="AN213">
        <f>IF(Table1820[[#This Row],[Good Driver Discount]]="Yes",'Rate Book'!$D$127,1)</f>
        <v>0.89</v>
      </c>
      <c r="AO213">
        <f>IF(Table1820[[#This Row],[Multi Policy Discount]]="Yes",'Rate Book'!$D$128,1)</f>
        <v>1</v>
      </c>
      <c r="AP213">
        <f>IF(Table1820[[#This Row],[Loyal Customer Discount]]="Yes",'Rate Book'!$D$129,1)</f>
        <v>0.94</v>
      </c>
      <c r="AQ213">
        <f>IF(Table1820[[#This Row],[Organization Discount]]="Yes",'Rate Book'!$D$130,1)</f>
        <v>1</v>
      </c>
      <c r="AR213" cm="1">
        <f t="array" ref="AR213">IF(Table1820[[#This Row],[Effective Date]]&gt;=RateChangeTable[Effective Date],RateChangeTable[Rate Change Factor],1)</f>
        <v>1.06</v>
      </c>
      <c r="AS213" s="10">
        <f>PRODUCT(Table1820[[#This Row],[Base Rate]:[Rate Change Factor]])</f>
        <v>550.55594434275611</v>
      </c>
      <c r="AT213" s="9">
        <f>Table1820[[#This Row],[System-Generated Premium]]-Table1820[[#This Row],[Expected Premium]]</f>
        <v>0</v>
      </c>
      <c r="AU213" t="str">
        <f>IF(Table1820[[#This Row],[Difference]]=0,"PASS","FAIL")</f>
        <v>PASS</v>
      </c>
      <c r="AV213" s="9">
        <f>ABS(Table1820[[#This Row],[Difference]])</f>
        <v>0</v>
      </c>
      <c r="AW213" s="9" t="s">
        <v>1136</v>
      </c>
    </row>
    <row r="214" spans="1:49" x14ac:dyDescent="0.3">
      <c r="A214" t="s">
        <v>305</v>
      </c>
      <c r="B214" s="7">
        <v>45901</v>
      </c>
      <c r="C214" t="s">
        <v>70</v>
      </c>
      <c r="D214" t="s">
        <v>1102</v>
      </c>
      <c r="E214" s="3">
        <v>7</v>
      </c>
      <c r="F214" s="3">
        <v>1</v>
      </c>
      <c r="G214" t="s">
        <v>10</v>
      </c>
      <c r="H214" t="s">
        <v>1110</v>
      </c>
      <c r="I214" t="s">
        <v>34</v>
      </c>
      <c r="J214" t="s">
        <v>53</v>
      </c>
      <c r="K214" t="s">
        <v>10</v>
      </c>
      <c r="L214" t="s">
        <v>10</v>
      </c>
      <c r="M214" t="s">
        <v>10</v>
      </c>
      <c r="N214" t="s">
        <v>57</v>
      </c>
      <c r="O214" t="str">
        <f>INDEX(CoverageTable[Deductible Applies],MATCH(Table1820[[#This Row],[Coverage]],CoverageTable[Coverage],0))</f>
        <v>No</v>
      </c>
      <c r="P214" t="str">
        <f>INDEX(CoverageTable[Coverage Limit Applies],MATCH(Table1820[[#This Row],[Coverage]],CoverageTable[Coverage],0))</f>
        <v>Yes</v>
      </c>
      <c r="Q214" t="s">
        <v>10</v>
      </c>
      <c r="R214" t="s">
        <v>80</v>
      </c>
      <c r="S214" t="s">
        <v>10</v>
      </c>
      <c r="T214" t="s">
        <v>10</v>
      </c>
      <c r="U214" t="s">
        <v>10</v>
      </c>
      <c r="V214" t="s">
        <v>57</v>
      </c>
      <c r="W214" t="s">
        <v>57</v>
      </c>
      <c r="X214" s="11">
        <v>2797.8943987287689</v>
      </c>
      <c r="Y214">
        <f>_xlfn.XLOOKUP(Table1820[[#This Row],[Coverage]],CoverageTable[Coverage],CoverageTable[Base Rate],,0)</f>
        <v>622</v>
      </c>
      <c r="Z214">
        <f>INDEX(Table16[Ageband Factor],MATCH(Table1820[[#This Row],[Ageband]],Table16[Ageband],0))</f>
        <v>1.27</v>
      </c>
      <c r="AA214">
        <f>VLOOKUP(Table1820[[#This Row],[Years Driving]],Table1[],2)</f>
        <v>0.95</v>
      </c>
      <c r="AB214">
        <f>_xlfn.XLOOKUP(Table1820[[#This Row],[At Fault Accidents]],Table2[At Fault Accidents],Table2[At Fault Accident Factor],,0)</f>
        <v>1.34</v>
      </c>
      <c r="AC214">
        <f>_xlfn.XLOOKUP(Table1820[[#This Row],[Usage-Based Insurance]],Table3[Usage-Based Insurance],Table3[Usage-Based Insurance Discount],,0)</f>
        <v>1</v>
      </c>
      <c r="AD214">
        <f>_xlfn.XLOOKUP(Table1820[[#This Row],[Yearly Miles]],Table4[Yearly Miles],Table4[Yearly Miles Factor],,0)</f>
        <v>1.31</v>
      </c>
      <c r="AE214">
        <f>_xlfn.XLOOKUP(Table1820[[#This Row],[City/Zip Code]],Table5[City/Zip Code],Table5[City/Zip Code Factor],,0)</f>
        <v>1.56</v>
      </c>
      <c r="AF214">
        <f>_xlfn.XLOOKUP(Table1820[[#This Row],[Vehicle Price]],Table6[Vehicle Price],Table6[Vehicle Price Factor])</f>
        <v>2.02</v>
      </c>
      <c r="AG214">
        <f>_xlfn.XLOOKUP(Table1820[[#This Row],[Exotic Car]],Table7[Exotic Car],Table7[Exotic Car Factor],,0)</f>
        <v>1</v>
      </c>
      <c r="AH214">
        <f>_xlfn.XLOOKUP(Table1820[[#This Row],[Difficult Parts]],Table8[Difficult Parts],Table8[Difficult Parts Factor],,0)</f>
        <v>1</v>
      </c>
      <c r="AI214">
        <f>_xlfn.XLOOKUP(Table1820[[#This Row],[High Theft Rate]],Table9[High Theft Rate],Table9[High Theft Rate Factor],,0)</f>
        <v>1</v>
      </c>
      <c r="AJ214">
        <f>_xlfn.XLOOKUP(Table1820[[#This Row],[Advanced Safety Features]],Table10[Advanced Safety Features],Table10[Advanced Safety Features Factor],,0)</f>
        <v>0.88</v>
      </c>
      <c r="AK214">
        <f>_xlfn.XLOOKUP(Table1820[[#This Row],[Deductible]],Table12[Deductible],Table12[Deductible Factor],,0)</f>
        <v>1</v>
      </c>
      <c r="AL214">
        <f>_xlfn.XLOOKUP(Table1820[[#This Row],[Coverage Limit]],Table13[Coverage Limit],Table13[Coverage Limit Factor],,0)</f>
        <v>0.84</v>
      </c>
      <c r="AM214">
        <f>IF(Table1820[[#This Row],[Good Student Discount]]="Yes",'Rate Book'!$D$126,1)</f>
        <v>1</v>
      </c>
      <c r="AN214">
        <f>IF(Table1820[[#This Row],[Good Driver Discount]]="Yes",'Rate Book'!$D$127,1)</f>
        <v>1</v>
      </c>
      <c r="AO214">
        <f>IF(Table1820[[#This Row],[Multi Policy Discount]]="Yes",'Rate Book'!$D$128,1)</f>
        <v>1</v>
      </c>
      <c r="AP214">
        <f>IF(Table1820[[#This Row],[Loyal Customer Discount]]="Yes",'Rate Book'!$D$129,1)</f>
        <v>0.94</v>
      </c>
      <c r="AQ214">
        <f>IF(Table1820[[#This Row],[Organization Discount]]="Yes",'Rate Book'!$D$130,1)</f>
        <v>0.97</v>
      </c>
      <c r="AR214" cm="1">
        <f t="array" ref="AR214">IF(Table1820[[#This Row],[Effective Date]]&gt;=RateChangeTable[Effective Date],RateChangeTable[Rate Change Factor],1)</f>
        <v>1</v>
      </c>
      <c r="AS214" s="10">
        <f>PRODUCT(Table1820[[#This Row],[Base Rate]:[Rate Change Factor]])</f>
        <v>2797.8943987287689</v>
      </c>
      <c r="AT214" s="9">
        <f>Table1820[[#This Row],[System-Generated Premium]]-Table1820[[#This Row],[Expected Premium]]</f>
        <v>0</v>
      </c>
      <c r="AU214" t="str">
        <f>IF(Table1820[[#This Row],[Difference]]=0,"PASS","FAIL")</f>
        <v>PASS</v>
      </c>
      <c r="AV214" s="9">
        <f>ABS(Table1820[[#This Row],[Difference]])</f>
        <v>0</v>
      </c>
      <c r="AW214" s="9" t="s">
        <v>1136</v>
      </c>
    </row>
    <row r="215" spans="1:49" x14ac:dyDescent="0.3">
      <c r="A215" t="s">
        <v>306</v>
      </c>
      <c r="B215" s="7">
        <v>46117</v>
      </c>
      <c r="C215" t="s">
        <v>73</v>
      </c>
      <c r="D215" t="s">
        <v>1099</v>
      </c>
      <c r="E215" s="3">
        <v>7</v>
      </c>
      <c r="F215" s="3">
        <v>2</v>
      </c>
      <c r="G215" t="s">
        <v>13</v>
      </c>
      <c r="H215" t="s">
        <v>1108</v>
      </c>
      <c r="I215" t="s">
        <v>22</v>
      </c>
      <c r="J215" t="s">
        <v>53</v>
      </c>
      <c r="K215" t="s">
        <v>10</v>
      </c>
      <c r="L215" t="s">
        <v>10</v>
      </c>
      <c r="M215" t="s">
        <v>10</v>
      </c>
      <c r="N215" t="s">
        <v>10</v>
      </c>
      <c r="O215" t="str">
        <f>INDEX(CoverageTable[Deductible Applies],MATCH(Table1820[[#This Row],[Coverage]],CoverageTable[Coverage],0))</f>
        <v>No</v>
      </c>
      <c r="P215" t="str">
        <f>INDEX(CoverageTable[Coverage Limit Applies],MATCH(Table1820[[#This Row],[Coverage]],CoverageTable[Coverage],0))</f>
        <v>Yes</v>
      </c>
      <c r="Q215" t="s">
        <v>10</v>
      </c>
      <c r="R215" t="s">
        <v>79</v>
      </c>
      <c r="S215" t="s">
        <v>10</v>
      </c>
      <c r="T215" t="s">
        <v>10</v>
      </c>
      <c r="U215" t="s">
        <v>10</v>
      </c>
      <c r="V215" t="s">
        <v>10</v>
      </c>
      <c r="W215" t="s">
        <v>57</v>
      </c>
      <c r="X215" s="11">
        <v>135.08592424058159</v>
      </c>
      <c r="Y215">
        <f>_xlfn.XLOOKUP(Table1820[[#This Row],[Coverage]],CoverageTable[Coverage],CoverageTable[Base Rate],,0)</f>
        <v>78</v>
      </c>
      <c r="Z215">
        <f>INDEX(Table16[Ageband Factor],MATCH(Table1820[[#This Row],[Ageband]],Table16[Ageband],0))</f>
        <v>1</v>
      </c>
      <c r="AA215">
        <f>VLOOKUP(Table1820[[#This Row],[Years Driving]],Table1[],2)</f>
        <v>0.95</v>
      </c>
      <c r="AB215">
        <f>_xlfn.XLOOKUP(Table1820[[#This Row],[At Fault Accidents]],Table2[At Fault Accidents],Table2[At Fault Accident Factor],,0)</f>
        <v>1.55</v>
      </c>
      <c r="AC215">
        <f>_xlfn.XLOOKUP(Table1820[[#This Row],[Usage-Based Insurance]],Table3[Usage-Based Insurance],Table3[Usage-Based Insurance Discount],,0)</f>
        <v>0.65</v>
      </c>
      <c r="AD215">
        <f>_xlfn.XLOOKUP(Table1820[[#This Row],[Yearly Miles]],Table4[Yearly Miles],Table4[Yearly Miles Factor],,0)</f>
        <v>1</v>
      </c>
      <c r="AE215">
        <f>_xlfn.XLOOKUP(Table1820[[#This Row],[City/Zip Code]],Table5[City/Zip Code],Table5[City/Zip Code Factor],,0)</f>
        <v>1.21</v>
      </c>
      <c r="AF215">
        <f>_xlfn.XLOOKUP(Table1820[[#This Row],[Vehicle Price]],Table6[Vehicle Price],Table6[Vehicle Price Factor])</f>
        <v>2.02</v>
      </c>
      <c r="AG215">
        <f>_xlfn.XLOOKUP(Table1820[[#This Row],[Exotic Car]],Table7[Exotic Car],Table7[Exotic Car Factor],,0)</f>
        <v>1</v>
      </c>
      <c r="AH215">
        <f>_xlfn.XLOOKUP(Table1820[[#This Row],[Difficult Parts]],Table8[Difficult Parts],Table8[Difficult Parts Factor],,0)</f>
        <v>1</v>
      </c>
      <c r="AI215">
        <f>_xlfn.XLOOKUP(Table1820[[#This Row],[High Theft Rate]],Table9[High Theft Rate],Table9[High Theft Rate Factor],,0)</f>
        <v>1</v>
      </c>
      <c r="AJ215">
        <f>_xlfn.XLOOKUP(Table1820[[#This Row],[Advanced Safety Features]],Table10[Advanced Safety Features],Table10[Advanced Safety Features Factor],,0)</f>
        <v>1</v>
      </c>
      <c r="AK215">
        <f>_xlfn.XLOOKUP(Table1820[[#This Row],[Deductible]],Table12[Deductible],Table12[Deductible Factor],,0)</f>
        <v>1</v>
      </c>
      <c r="AL215">
        <f>_xlfn.XLOOKUP(Table1820[[#This Row],[Coverage Limit]],Table13[Coverage Limit],Table13[Coverage Limit Factor],,0)</f>
        <v>0.72</v>
      </c>
      <c r="AM215">
        <f>IF(Table1820[[#This Row],[Good Student Discount]]="Yes",'Rate Book'!$D$126,1)</f>
        <v>1</v>
      </c>
      <c r="AN215">
        <f>IF(Table1820[[#This Row],[Good Driver Discount]]="Yes",'Rate Book'!$D$127,1)</f>
        <v>1</v>
      </c>
      <c r="AO215">
        <f>IF(Table1820[[#This Row],[Multi Policy Discount]]="Yes",'Rate Book'!$D$128,1)</f>
        <v>1</v>
      </c>
      <c r="AP215">
        <f>IF(Table1820[[#This Row],[Loyal Customer Discount]]="Yes",'Rate Book'!$D$129,1)</f>
        <v>1</v>
      </c>
      <c r="AQ215">
        <f>IF(Table1820[[#This Row],[Organization Discount]]="Yes",'Rate Book'!$D$130,1)</f>
        <v>0.97</v>
      </c>
      <c r="AR215" cm="1">
        <f t="array" ref="AR215">IF(Table1820[[#This Row],[Effective Date]]&gt;=RateChangeTable[Effective Date],RateChangeTable[Rate Change Factor],1)</f>
        <v>1.06</v>
      </c>
      <c r="AS215" s="10">
        <f>PRODUCT(Table1820[[#This Row],[Base Rate]:[Rate Change Factor]])</f>
        <v>135.08592424058159</v>
      </c>
      <c r="AT215" s="9">
        <f>Table1820[[#This Row],[System-Generated Premium]]-Table1820[[#This Row],[Expected Premium]]</f>
        <v>0</v>
      </c>
      <c r="AU215" t="str">
        <f>IF(Table1820[[#This Row],[Difference]]=0,"PASS","FAIL")</f>
        <v>PASS</v>
      </c>
      <c r="AV215" s="9">
        <f>ABS(Table1820[[#This Row],[Difference]])</f>
        <v>0</v>
      </c>
      <c r="AW215" s="9" t="s">
        <v>1136</v>
      </c>
    </row>
    <row r="216" spans="1:49" x14ac:dyDescent="0.3">
      <c r="A216" t="s">
        <v>307</v>
      </c>
      <c r="B216" s="7">
        <v>45998</v>
      </c>
      <c r="C216" t="s">
        <v>71</v>
      </c>
      <c r="D216" t="s">
        <v>1097</v>
      </c>
      <c r="E216" s="3">
        <v>4</v>
      </c>
      <c r="F216" s="3">
        <v>0</v>
      </c>
      <c r="G216" t="s">
        <v>13</v>
      </c>
      <c r="H216" t="s">
        <v>1108</v>
      </c>
      <c r="I216" t="s">
        <v>40</v>
      </c>
      <c r="J216" t="s">
        <v>49</v>
      </c>
      <c r="K216" t="s">
        <v>10</v>
      </c>
      <c r="L216" t="s">
        <v>10</v>
      </c>
      <c r="M216" t="s">
        <v>10</v>
      </c>
      <c r="N216" t="s">
        <v>10</v>
      </c>
      <c r="O216" t="str">
        <f>INDEX(CoverageTable[Deductible Applies],MATCH(Table1820[[#This Row],[Coverage]],CoverageTable[Coverage],0))</f>
        <v>Yes</v>
      </c>
      <c r="P216" t="str">
        <f>INDEX(CoverageTable[Coverage Limit Applies],MATCH(Table1820[[#This Row],[Coverage]],CoverageTable[Coverage],0))</f>
        <v>No</v>
      </c>
      <c r="Q216" t="s">
        <v>80</v>
      </c>
      <c r="R216" t="s">
        <v>10</v>
      </c>
      <c r="S216" t="s">
        <v>10</v>
      </c>
      <c r="T216" t="s">
        <v>10</v>
      </c>
      <c r="U216" t="s">
        <v>57</v>
      </c>
      <c r="V216" t="s">
        <v>57</v>
      </c>
      <c r="W216" t="s">
        <v>10</v>
      </c>
      <c r="X216" s="11">
        <v>297.4574571535195</v>
      </c>
      <c r="Y216">
        <f>_xlfn.XLOOKUP(Table1820[[#This Row],[Coverage]],CoverageTable[Coverage],CoverageTable[Base Rate],,0)</f>
        <v>453</v>
      </c>
      <c r="Z216">
        <f>INDEX(Table16[Ageband Factor],MATCH(Table1820[[#This Row],[Ageband]],Table16[Ageband],0))</f>
        <v>1.32</v>
      </c>
      <c r="AA216">
        <f>VLOOKUP(Table1820[[#This Row],[Years Driving]],Table1[],2)</f>
        <v>1.1499999999999999</v>
      </c>
      <c r="AB216">
        <f>_xlfn.XLOOKUP(Table1820[[#This Row],[At Fault Accidents]],Table2[At Fault Accidents],Table2[At Fault Accident Factor],,0)</f>
        <v>1</v>
      </c>
      <c r="AC216">
        <f>_xlfn.XLOOKUP(Table1820[[#This Row],[Usage-Based Insurance]],Table3[Usage-Based Insurance],Table3[Usage-Based Insurance Discount],,0)</f>
        <v>0.65</v>
      </c>
      <c r="AD216">
        <f>_xlfn.XLOOKUP(Table1820[[#This Row],[Yearly Miles]],Table4[Yearly Miles],Table4[Yearly Miles Factor],,0)</f>
        <v>1</v>
      </c>
      <c r="AE216">
        <f>_xlfn.XLOOKUP(Table1820[[#This Row],[City/Zip Code]],Table5[City/Zip Code],Table5[City/Zip Code Factor],,0)</f>
        <v>1.0900000000000001</v>
      </c>
      <c r="AF216">
        <f>_xlfn.XLOOKUP(Table1820[[#This Row],[Vehicle Price]],Table6[Vehicle Price],Table6[Vehicle Price Factor])</f>
        <v>0.97</v>
      </c>
      <c r="AG216">
        <f>_xlfn.XLOOKUP(Table1820[[#This Row],[Exotic Car]],Table7[Exotic Car],Table7[Exotic Car Factor],,0)</f>
        <v>1</v>
      </c>
      <c r="AH216">
        <f>_xlfn.XLOOKUP(Table1820[[#This Row],[Difficult Parts]],Table8[Difficult Parts],Table8[Difficult Parts Factor],,0)</f>
        <v>1</v>
      </c>
      <c r="AI216">
        <f>_xlfn.XLOOKUP(Table1820[[#This Row],[High Theft Rate]],Table9[High Theft Rate],Table9[High Theft Rate Factor],,0)</f>
        <v>1</v>
      </c>
      <c r="AJ216">
        <f>_xlfn.XLOOKUP(Table1820[[#This Row],[Advanced Safety Features]],Table10[Advanced Safety Features],Table10[Advanced Safety Features Factor],,0)</f>
        <v>1</v>
      </c>
      <c r="AK216">
        <f>_xlfn.XLOOKUP(Table1820[[#This Row],[Deductible]],Table12[Deductible],Table12[Deductible Factor],,0)</f>
        <v>0.72</v>
      </c>
      <c r="AL216">
        <f>_xlfn.XLOOKUP(Table1820[[#This Row],[Coverage Limit]],Table13[Coverage Limit],Table13[Coverage Limit Factor],,0)</f>
        <v>1</v>
      </c>
      <c r="AM216">
        <f>IF(Table1820[[#This Row],[Good Student Discount]]="Yes",'Rate Book'!$D$126,1)</f>
        <v>1</v>
      </c>
      <c r="AN216">
        <f>IF(Table1820[[#This Row],[Good Driver Discount]]="Yes",'Rate Book'!$D$127,1)</f>
        <v>1</v>
      </c>
      <c r="AO216">
        <f>IF(Table1820[[#This Row],[Multi Policy Discount]]="Yes",'Rate Book'!$D$128,1)</f>
        <v>0.93</v>
      </c>
      <c r="AP216">
        <f>IF(Table1820[[#This Row],[Loyal Customer Discount]]="Yes",'Rate Book'!$D$129,1)</f>
        <v>0.94</v>
      </c>
      <c r="AQ216">
        <f>IF(Table1820[[#This Row],[Organization Discount]]="Yes",'Rate Book'!$D$130,1)</f>
        <v>1</v>
      </c>
      <c r="AR216" cm="1">
        <f t="array" ref="AR216">IF(Table1820[[#This Row],[Effective Date]]&gt;=RateChangeTable[Effective Date],RateChangeTable[Rate Change Factor],1)</f>
        <v>1</v>
      </c>
      <c r="AS216" s="10">
        <f>PRODUCT(Table1820[[#This Row],[Base Rate]:[Rate Change Factor]])</f>
        <v>297.4574571535195</v>
      </c>
      <c r="AT216" s="9">
        <f>Table1820[[#This Row],[System-Generated Premium]]-Table1820[[#This Row],[Expected Premium]]</f>
        <v>0</v>
      </c>
      <c r="AU216" t="str">
        <f>IF(Table1820[[#This Row],[Difference]]=0,"PASS","FAIL")</f>
        <v>PASS</v>
      </c>
      <c r="AV216" s="9">
        <f>ABS(Table1820[[#This Row],[Difference]])</f>
        <v>0</v>
      </c>
      <c r="AW216" s="9" t="s">
        <v>1136</v>
      </c>
    </row>
    <row r="217" spans="1:49" x14ac:dyDescent="0.3">
      <c r="A217" t="s">
        <v>308</v>
      </c>
      <c r="B217" s="7">
        <v>45804</v>
      </c>
      <c r="C217" t="s">
        <v>70</v>
      </c>
      <c r="D217" t="s">
        <v>1100</v>
      </c>
      <c r="E217" s="3">
        <v>4</v>
      </c>
      <c r="F217" s="3">
        <v>1</v>
      </c>
      <c r="G217" t="s">
        <v>10</v>
      </c>
      <c r="H217" t="s">
        <v>1106</v>
      </c>
      <c r="I217" t="s">
        <v>41</v>
      </c>
      <c r="J217" t="s">
        <v>54</v>
      </c>
      <c r="K217" t="s">
        <v>10</v>
      </c>
      <c r="L217" t="s">
        <v>57</v>
      </c>
      <c r="M217" t="s">
        <v>10</v>
      </c>
      <c r="N217" t="s">
        <v>57</v>
      </c>
      <c r="O217" t="str">
        <f>INDEX(CoverageTable[Deductible Applies],MATCH(Table1820[[#This Row],[Coverage]],CoverageTable[Coverage],0))</f>
        <v>No</v>
      </c>
      <c r="P217" t="str">
        <f>INDEX(CoverageTable[Coverage Limit Applies],MATCH(Table1820[[#This Row],[Coverage]],CoverageTable[Coverage],0))</f>
        <v>Yes</v>
      </c>
      <c r="Q217" t="s">
        <v>10</v>
      </c>
      <c r="R217" t="s">
        <v>79</v>
      </c>
      <c r="S217" t="s">
        <v>10</v>
      </c>
      <c r="T217" t="s">
        <v>57</v>
      </c>
      <c r="U217" t="s">
        <v>57</v>
      </c>
      <c r="V217" t="s">
        <v>10</v>
      </c>
      <c r="W217" t="s">
        <v>10</v>
      </c>
      <c r="X217" s="11">
        <v>1761.3427847361652</v>
      </c>
      <c r="Y217">
        <f>_xlfn.XLOOKUP(Table1820[[#This Row],[Coverage]],CoverageTable[Coverage],CoverageTable[Base Rate],,0)</f>
        <v>622</v>
      </c>
      <c r="Z217">
        <f>INDEX(Table16[Ageband Factor],MATCH(Table1820[[#This Row],[Ageband]],Table16[Ageband],0))</f>
        <v>1.07</v>
      </c>
      <c r="AA217">
        <f>VLOOKUP(Table1820[[#This Row],[Years Driving]],Table1[],2)</f>
        <v>1.1499999999999999</v>
      </c>
      <c r="AB217">
        <f>_xlfn.XLOOKUP(Table1820[[#This Row],[At Fault Accidents]],Table2[At Fault Accidents],Table2[At Fault Accident Factor],,0)</f>
        <v>1.34</v>
      </c>
      <c r="AC217">
        <f>_xlfn.XLOOKUP(Table1820[[#This Row],[Usage-Based Insurance]],Table3[Usage-Based Insurance],Table3[Usage-Based Insurance Discount],,0)</f>
        <v>1</v>
      </c>
      <c r="AD217">
        <f>_xlfn.XLOOKUP(Table1820[[#This Row],[Yearly Miles]],Table4[Yearly Miles],Table4[Yearly Miles Factor],,0)</f>
        <v>0.82</v>
      </c>
      <c r="AE217">
        <f>_xlfn.XLOOKUP(Table1820[[#This Row],[City/Zip Code]],Table5[City/Zip Code],Table5[City/Zip Code Factor],,0)</f>
        <v>1.1499999999999999</v>
      </c>
      <c r="AF217">
        <f>_xlfn.XLOOKUP(Table1820[[#This Row],[Vehicle Price]],Table6[Vehicle Price],Table6[Vehicle Price Factor])</f>
        <v>2.87</v>
      </c>
      <c r="AG217">
        <f>_xlfn.XLOOKUP(Table1820[[#This Row],[Exotic Car]],Table7[Exotic Car],Table7[Exotic Car Factor],,0)</f>
        <v>1</v>
      </c>
      <c r="AH217">
        <f>_xlfn.XLOOKUP(Table1820[[#This Row],[Difficult Parts]],Table8[Difficult Parts],Table8[Difficult Parts Factor],,0)</f>
        <v>1.21</v>
      </c>
      <c r="AI217">
        <f>_xlfn.XLOOKUP(Table1820[[#This Row],[High Theft Rate]],Table9[High Theft Rate],Table9[High Theft Rate Factor],,0)</f>
        <v>1</v>
      </c>
      <c r="AJ217">
        <f>_xlfn.XLOOKUP(Table1820[[#This Row],[Advanced Safety Features]],Table10[Advanced Safety Features],Table10[Advanced Safety Features Factor],,0)</f>
        <v>0.88</v>
      </c>
      <c r="AK217">
        <f>_xlfn.XLOOKUP(Table1820[[#This Row],[Deductible]],Table12[Deductible],Table12[Deductible Factor],,0)</f>
        <v>1</v>
      </c>
      <c r="AL217">
        <f>_xlfn.XLOOKUP(Table1820[[#This Row],[Coverage Limit]],Table13[Coverage Limit],Table13[Coverage Limit Factor],,0)</f>
        <v>0.72</v>
      </c>
      <c r="AM217">
        <f>IF(Table1820[[#This Row],[Good Student Discount]]="Yes",'Rate Book'!$D$126,1)</f>
        <v>1</v>
      </c>
      <c r="AN217">
        <f>IF(Table1820[[#This Row],[Good Driver Discount]]="Yes",'Rate Book'!$D$127,1)</f>
        <v>0.89</v>
      </c>
      <c r="AO217">
        <f>IF(Table1820[[#This Row],[Multi Policy Discount]]="Yes",'Rate Book'!$D$128,1)</f>
        <v>0.93</v>
      </c>
      <c r="AP217">
        <f>IF(Table1820[[#This Row],[Loyal Customer Discount]]="Yes",'Rate Book'!$D$129,1)</f>
        <v>1</v>
      </c>
      <c r="AQ217">
        <f>IF(Table1820[[#This Row],[Organization Discount]]="Yes",'Rate Book'!$D$130,1)</f>
        <v>1</v>
      </c>
      <c r="AR217" cm="1">
        <f t="array" ref="AR217">IF(Table1820[[#This Row],[Effective Date]]&gt;=RateChangeTable[Effective Date],RateChangeTable[Rate Change Factor],1)</f>
        <v>1</v>
      </c>
      <c r="AS217" s="10">
        <f>PRODUCT(Table1820[[#This Row],[Base Rate]:[Rate Change Factor]])</f>
        <v>1761.3427847361652</v>
      </c>
      <c r="AT217" s="9">
        <f>Table1820[[#This Row],[System-Generated Premium]]-Table1820[[#This Row],[Expected Premium]]</f>
        <v>0</v>
      </c>
      <c r="AU217" t="str">
        <f>IF(Table1820[[#This Row],[Difference]]=0,"PASS","FAIL")</f>
        <v>PASS</v>
      </c>
      <c r="AV217" s="9">
        <f>ABS(Table1820[[#This Row],[Difference]])</f>
        <v>0</v>
      </c>
      <c r="AW217" s="9" t="s">
        <v>1136</v>
      </c>
    </row>
    <row r="218" spans="1:49" x14ac:dyDescent="0.3">
      <c r="A218" t="s">
        <v>309</v>
      </c>
      <c r="B218" s="7">
        <v>46124</v>
      </c>
      <c r="C218" t="s">
        <v>70</v>
      </c>
      <c r="D218" t="s">
        <v>1097</v>
      </c>
      <c r="E218" s="3">
        <v>1</v>
      </c>
      <c r="F218" s="3">
        <v>3</v>
      </c>
      <c r="G218" t="s">
        <v>12</v>
      </c>
      <c r="H218" t="s">
        <v>1108</v>
      </c>
      <c r="I218" t="s">
        <v>42</v>
      </c>
      <c r="J218" t="s">
        <v>51</v>
      </c>
      <c r="K218" t="s">
        <v>10</v>
      </c>
      <c r="L218" t="s">
        <v>10</v>
      </c>
      <c r="M218" t="s">
        <v>10</v>
      </c>
      <c r="N218" t="s">
        <v>10</v>
      </c>
      <c r="O218" t="str">
        <f>INDEX(CoverageTable[Deductible Applies],MATCH(Table1820[[#This Row],[Coverage]],CoverageTable[Coverage],0))</f>
        <v>No</v>
      </c>
      <c r="P218" t="str">
        <f>INDEX(CoverageTable[Coverage Limit Applies],MATCH(Table1820[[#This Row],[Coverage]],CoverageTable[Coverage],0))</f>
        <v>Yes</v>
      </c>
      <c r="Q218" t="s">
        <v>10</v>
      </c>
      <c r="R218" t="s">
        <v>78</v>
      </c>
      <c r="S218" t="s">
        <v>57</v>
      </c>
      <c r="T218" t="s">
        <v>10</v>
      </c>
      <c r="U218" t="s">
        <v>10</v>
      </c>
      <c r="V218" t="s">
        <v>10</v>
      </c>
      <c r="W218" t="s">
        <v>10</v>
      </c>
      <c r="X218" s="11">
        <v>1806.2938635033224</v>
      </c>
      <c r="Y218">
        <f>_xlfn.XLOOKUP(Table1820[[#This Row],[Coverage]],CoverageTable[Coverage],CoverageTable[Base Rate],,0)</f>
        <v>622</v>
      </c>
      <c r="Z218">
        <f>INDEX(Table16[Ageband Factor],MATCH(Table1820[[#This Row],[Ageband]],Table16[Ageband],0))</f>
        <v>1.32</v>
      </c>
      <c r="AA218">
        <f>VLOOKUP(Table1820[[#This Row],[Years Driving]],Table1[],2)</f>
        <v>1.64</v>
      </c>
      <c r="AB218">
        <f>_xlfn.XLOOKUP(Table1820[[#This Row],[At Fault Accidents]],Table2[At Fault Accidents],Table2[At Fault Accident Factor],,0)</f>
        <v>1.82</v>
      </c>
      <c r="AC218">
        <f>_xlfn.XLOOKUP(Table1820[[#This Row],[Usage-Based Insurance]],Table3[Usage-Based Insurance],Table3[Usage-Based Insurance Discount],,0)</f>
        <v>0.8</v>
      </c>
      <c r="AD218">
        <f>_xlfn.XLOOKUP(Table1820[[#This Row],[Yearly Miles]],Table4[Yearly Miles],Table4[Yearly Miles Factor],,0)</f>
        <v>1</v>
      </c>
      <c r="AE218">
        <f>_xlfn.XLOOKUP(Table1820[[#This Row],[City/Zip Code]],Table5[City/Zip Code],Table5[City/Zip Code Factor],,0)</f>
        <v>1.21</v>
      </c>
      <c r="AF218">
        <f>_xlfn.XLOOKUP(Table1820[[#This Row],[Vehicle Price]],Table6[Vehicle Price],Table6[Vehicle Price Factor])</f>
        <v>1.28</v>
      </c>
      <c r="AG218">
        <f>_xlfn.XLOOKUP(Table1820[[#This Row],[Exotic Car]],Table7[Exotic Car],Table7[Exotic Car Factor],,0)</f>
        <v>1</v>
      </c>
      <c r="AH218">
        <f>_xlfn.XLOOKUP(Table1820[[#This Row],[Difficult Parts]],Table8[Difficult Parts],Table8[Difficult Parts Factor],,0)</f>
        <v>1</v>
      </c>
      <c r="AI218">
        <f>_xlfn.XLOOKUP(Table1820[[#This Row],[High Theft Rate]],Table9[High Theft Rate],Table9[High Theft Rate Factor],,0)</f>
        <v>1</v>
      </c>
      <c r="AJ218">
        <f>_xlfn.XLOOKUP(Table1820[[#This Row],[Advanced Safety Features]],Table10[Advanced Safety Features],Table10[Advanced Safety Features Factor],,0)</f>
        <v>1</v>
      </c>
      <c r="AK218">
        <f>_xlfn.XLOOKUP(Table1820[[#This Row],[Deductible]],Table12[Deductible],Table12[Deductible Factor],,0)</f>
        <v>1</v>
      </c>
      <c r="AL218">
        <f>_xlfn.XLOOKUP(Table1820[[#This Row],[Coverage Limit]],Table13[Coverage Limit],Table13[Coverage Limit Factor],,0)</f>
        <v>0.61</v>
      </c>
      <c r="AM218">
        <f>IF(Table1820[[#This Row],[Good Student Discount]]="Yes",'Rate Book'!$D$126,1)</f>
        <v>0.92</v>
      </c>
      <c r="AN218">
        <f>IF(Table1820[[#This Row],[Good Driver Discount]]="Yes",'Rate Book'!$D$127,1)</f>
        <v>1</v>
      </c>
      <c r="AO218">
        <f>IF(Table1820[[#This Row],[Multi Policy Discount]]="Yes",'Rate Book'!$D$128,1)</f>
        <v>1</v>
      </c>
      <c r="AP218">
        <f>IF(Table1820[[#This Row],[Loyal Customer Discount]]="Yes",'Rate Book'!$D$129,1)</f>
        <v>1</v>
      </c>
      <c r="AQ218">
        <f>IF(Table1820[[#This Row],[Organization Discount]]="Yes",'Rate Book'!$D$130,1)</f>
        <v>1</v>
      </c>
      <c r="AR218" cm="1">
        <f t="array" ref="AR218">IF(Table1820[[#This Row],[Effective Date]]&gt;=RateChangeTable[Effective Date],RateChangeTable[Rate Change Factor],1)</f>
        <v>1.06</v>
      </c>
      <c r="AS218" s="10">
        <f>PRODUCT(Table1820[[#This Row],[Base Rate]:[Rate Change Factor]])</f>
        <v>1806.2938635033224</v>
      </c>
      <c r="AT218" s="9">
        <f>Table1820[[#This Row],[System-Generated Premium]]-Table1820[[#This Row],[Expected Premium]]</f>
        <v>0</v>
      </c>
      <c r="AU218" t="str">
        <f>IF(Table1820[[#This Row],[Difference]]=0,"PASS","FAIL")</f>
        <v>PASS</v>
      </c>
      <c r="AV218" s="9">
        <f>ABS(Table1820[[#This Row],[Difference]])</f>
        <v>0</v>
      </c>
      <c r="AW218" s="9" t="s">
        <v>1136</v>
      </c>
    </row>
    <row r="219" spans="1:49" x14ac:dyDescent="0.3">
      <c r="A219" t="s">
        <v>310</v>
      </c>
      <c r="B219" s="7">
        <v>45799</v>
      </c>
      <c r="C219" t="s">
        <v>71</v>
      </c>
      <c r="D219" t="s">
        <v>1098</v>
      </c>
      <c r="E219" s="3">
        <v>1</v>
      </c>
      <c r="F219" s="3">
        <v>0</v>
      </c>
      <c r="G219" t="s">
        <v>10</v>
      </c>
      <c r="H219" t="s">
        <v>1109</v>
      </c>
      <c r="I219" t="s">
        <v>35</v>
      </c>
      <c r="J219" t="s">
        <v>50</v>
      </c>
      <c r="K219" t="s">
        <v>10</v>
      </c>
      <c r="L219" t="s">
        <v>10</v>
      </c>
      <c r="M219" t="s">
        <v>10</v>
      </c>
      <c r="N219" t="s">
        <v>10</v>
      </c>
      <c r="O219" t="str">
        <f>INDEX(CoverageTable[Deductible Applies],MATCH(Table1820[[#This Row],[Coverage]],CoverageTable[Coverage],0))</f>
        <v>Yes</v>
      </c>
      <c r="P219" t="str">
        <f>INDEX(CoverageTable[Coverage Limit Applies],MATCH(Table1820[[#This Row],[Coverage]],CoverageTable[Coverage],0))</f>
        <v>No</v>
      </c>
      <c r="Q219" t="s">
        <v>78</v>
      </c>
      <c r="R219" t="s">
        <v>10</v>
      </c>
      <c r="S219" t="s">
        <v>10</v>
      </c>
      <c r="T219" t="s">
        <v>57</v>
      </c>
      <c r="U219" t="s">
        <v>10</v>
      </c>
      <c r="V219" t="s">
        <v>10</v>
      </c>
      <c r="W219" t="s">
        <v>10</v>
      </c>
      <c r="X219" s="11">
        <v>1102.7690248022786</v>
      </c>
      <c r="Y219">
        <f>_xlfn.XLOOKUP(Table1820[[#This Row],[Coverage]],CoverageTable[Coverage],CoverageTable[Base Rate],,0)</f>
        <v>453</v>
      </c>
      <c r="Z219">
        <f>INDEX(Table16[Ageband Factor],MATCH(Table1820[[#This Row],[Ageband]],Table16[Ageband],0))</f>
        <v>1.23</v>
      </c>
      <c r="AA219">
        <f>VLOOKUP(Table1820[[#This Row],[Years Driving]],Table1[],2)</f>
        <v>1.64</v>
      </c>
      <c r="AB219">
        <f>_xlfn.XLOOKUP(Table1820[[#This Row],[At Fault Accidents]],Table2[At Fault Accidents],Table2[At Fault Accident Factor],,0)</f>
        <v>1</v>
      </c>
      <c r="AC219">
        <f>_xlfn.XLOOKUP(Table1820[[#This Row],[Usage-Based Insurance]],Table3[Usage-Based Insurance],Table3[Usage-Based Insurance Discount],,0)</f>
        <v>1</v>
      </c>
      <c r="AD219">
        <f>_xlfn.XLOOKUP(Table1820[[#This Row],[Yearly Miles]],Table4[Yearly Miles],Table4[Yearly Miles Factor],,0)</f>
        <v>1.18</v>
      </c>
      <c r="AE219">
        <f>_xlfn.XLOOKUP(Table1820[[#This Row],[City/Zip Code]],Table5[City/Zip Code],Table5[City/Zip Code Factor],,0)</f>
        <v>1.1200000000000001</v>
      </c>
      <c r="AF219">
        <f>_xlfn.XLOOKUP(Table1820[[#This Row],[Vehicle Price]],Table6[Vehicle Price],Table6[Vehicle Price Factor])</f>
        <v>1.08</v>
      </c>
      <c r="AG219">
        <f>_xlfn.XLOOKUP(Table1820[[#This Row],[Exotic Car]],Table7[Exotic Car],Table7[Exotic Car Factor],,0)</f>
        <v>1</v>
      </c>
      <c r="AH219">
        <f>_xlfn.XLOOKUP(Table1820[[#This Row],[Difficult Parts]],Table8[Difficult Parts],Table8[Difficult Parts Factor],,0)</f>
        <v>1</v>
      </c>
      <c r="AI219">
        <f>_xlfn.XLOOKUP(Table1820[[#This Row],[High Theft Rate]],Table9[High Theft Rate],Table9[High Theft Rate Factor],,0)</f>
        <v>1</v>
      </c>
      <c r="AJ219">
        <f>_xlfn.XLOOKUP(Table1820[[#This Row],[Advanced Safety Features]],Table10[Advanced Safety Features],Table10[Advanced Safety Features Factor],,0)</f>
        <v>1</v>
      </c>
      <c r="AK219">
        <f>_xlfn.XLOOKUP(Table1820[[#This Row],[Deductible]],Table12[Deductible],Table12[Deductible Factor],,0)</f>
        <v>0.95</v>
      </c>
      <c r="AL219">
        <f>_xlfn.XLOOKUP(Table1820[[#This Row],[Coverage Limit]],Table13[Coverage Limit],Table13[Coverage Limit Factor],,0)</f>
        <v>1</v>
      </c>
      <c r="AM219">
        <f>IF(Table1820[[#This Row],[Good Student Discount]]="Yes",'Rate Book'!$D$126,1)</f>
        <v>1</v>
      </c>
      <c r="AN219">
        <f>IF(Table1820[[#This Row],[Good Driver Discount]]="Yes",'Rate Book'!$D$127,1)</f>
        <v>0.89</v>
      </c>
      <c r="AO219">
        <f>IF(Table1820[[#This Row],[Multi Policy Discount]]="Yes",'Rate Book'!$D$128,1)</f>
        <v>1</v>
      </c>
      <c r="AP219">
        <f>IF(Table1820[[#This Row],[Loyal Customer Discount]]="Yes",'Rate Book'!$D$129,1)</f>
        <v>1</v>
      </c>
      <c r="AQ219">
        <f>IF(Table1820[[#This Row],[Organization Discount]]="Yes",'Rate Book'!$D$130,1)</f>
        <v>1</v>
      </c>
      <c r="AR219" cm="1">
        <f t="array" ref="AR219">IF(Table1820[[#This Row],[Effective Date]]&gt;=RateChangeTable[Effective Date],RateChangeTable[Rate Change Factor],1)</f>
        <v>1</v>
      </c>
      <c r="AS219" s="10">
        <f>PRODUCT(Table1820[[#This Row],[Base Rate]:[Rate Change Factor]])</f>
        <v>1102.7690248022786</v>
      </c>
      <c r="AT219" s="9">
        <f>Table1820[[#This Row],[System-Generated Premium]]-Table1820[[#This Row],[Expected Premium]]</f>
        <v>0</v>
      </c>
      <c r="AU219" t="str">
        <f>IF(Table1820[[#This Row],[Difference]]=0,"PASS","FAIL")</f>
        <v>PASS</v>
      </c>
      <c r="AV219" s="9">
        <f>ABS(Table1820[[#This Row],[Difference]])</f>
        <v>0</v>
      </c>
      <c r="AW219" s="9" t="s">
        <v>1136</v>
      </c>
    </row>
    <row r="220" spans="1:49" x14ac:dyDescent="0.3">
      <c r="A220" t="s">
        <v>311</v>
      </c>
      <c r="B220" s="7">
        <v>46112</v>
      </c>
      <c r="C220" t="s">
        <v>71</v>
      </c>
      <c r="D220" t="s">
        <v>1101</v>
      </c>
      <c r="E220" s="3">
        <v>2</v>
      </c>
      <c r="F220" s="3">
        <v>3</v>
      </c>
      <c r="G220" t="s">
        <v>10</v>
      </c>
      <c r="H220" t="s">
        <v>1107</v>
      </c>
      <c r="I220" t="s">
        <v>26</v>
      </c>
      <c r="J220" t="s">
        <v>52</v>
      </c>
      <c r="K220" t="s">
        <v>10</v>
      </c>
      <c r="L220" t="s">
        <v>10</v>
      </c>
      <c r="M220" t="s">
        <v>10</v>
      </c>
      <c r="N220" t="s">
        <v>10</v>
      </c>
      <c r="O220" t="str">
        <f>INDEX(CoverageTable[Deductible Applies],MATCH(Table1820[[#This Row],[Coverage]],CoverageTable[Coverage],0))</f>
        <v>Yes</v>
      </c>
      <c r="P220" t="str">
        <f>INDEX(CoverageTable[Coverage Limit Applies],MATCH(Table1820[[#This Row],[Coverage]],CoverageTable[Coverage],0))</f>
        <v>No</v>
      </c>
      <c r="Q220" t="s">
        <v>80</v>
      </c>
      <c r="R220" t="s">
        <v>10</v>
      </c>
      <c r="S220" t="s">
        <v>10</v>
      </c>
      <c r="T220" t="s">
        <v>10</v>
      </c>
      <c r="U220" t="s">
        <v>57</v>
      </c>
      <c r="V220" t="s">
        <v>10</v>
      </c>
      <c r="W220" t="s">
        <v>10</v>
      </c>
      <c r="X220" s="11">
        <v>1551.7025609231755</v>
      </c>
      <c r="Y220">
        <f>_xlfn.XLOOKUP(Table1820[[#This Row],[Coverage]],CoverageTable[Coverage],CoverageTable[Base Rate],,0)</f>
        <v>453</v>
      </c>
      <c r="Z220">
        <f>INDEX(Table16[Ageband Factor],MATCH(Table1820[[#This Row],[Ageband]],Table16[Ageband],0))</f>
        <v>1.1200000000000001</v>
      </c>
      <c r="AA220">
        <f>VLOOKUP(Table1820[[#This Row],[Years Driving]],Table1[],2)</f>
        <v>1.41</v>
      </c>
      <c r="AB220">
        <f>_xlfn.XLOOKUP(Table1820[[#This Row],[At Fault Accidents]],Table2[At Fault Accidents],Table2[At Fault Accident Factor],,0)</f>
        <v>1.82</v>
      </c>
      <c r="AC220">
        <f>_xlfn.XLOOKUP(Table1820[[#This Row],[Usage-Based Insurance]],Table3[Usage-Based Insurance],Table3[Usage-Based Insurance Discount],,0)</f>
        <v>1</v>
      </c>
      <c r="AD220">
        <f>_xlfn.XLOOKUP(Table1820[[#This Row],[Yearly Miles]],Table4[Yearly Miles],Table4[Yearly Miles Factor],,0)</f>
        <v>0.93</v>
      </c>
      <c r="AE220">
        <f>_xlfn.XLOOKUP(Table1820[[#This Row],[City/Zip Code]],Table5[City/Zip Code],Table5[City/Zip Code Factor],,0)</f>
        <v>1.1499999999999999</v>
      </c>
      <c r="AF220">
        <f>_xlfn.XLOOKUP(Table1820[[#This Row],[Vehicle Price]],Table6[Vehicle Price],Table6[Vehicle Price Factor])</f>
        <v>1.57</v>
      </c>
      <c r="AG220">
        <f>_xlfn.XLOOKUP(Table1820[[#This Row],[Exotic Car]],Table7[Exotic Car],Table7[Exotic Car Factor],,0)</f>
        <v>1</v>
      </c>
      <c r="AH220">
        <f>_xlfn.XLOOKUP(Table1820[[#This Row],[Difficult Parts]],Table8[Difficult Parts],Table8[Difficult Parts Factor],,0)</f>
        <v>1</v>
      </c>
      <c r="AI220">
        <f>_xlfn.XLOOKUP(Table1820[[#This Row],[High Theft Rate]],Table9[High Theft Rate],Table9[High Theft Rate Factor],,0)</f>
        <v>1</v>
      </c>
      <c r="AJ220">
        <f>_xlfn.XLOOKUP(Table1820[[#This Row],[Advanced Safety Features]],Table10[Advanced Safety Features],Table10[Advanced Safety Features Factor],,0)</f>
        <v>1</v>
      </c>
      <c r="AK220">
        <f>_xlfn.XLOOKUP(Table1820[[#This Row],[Deductible]],Table12[Deductible],Table12[Deductible Factor],,0)</f>
        <v>0.72</v>
      </c>
      <c r="AL220">
        <f>_xlfn.XLOOKUP(Table1820[[#This Row],[Coverage Limit]],Table13[Coverage Limit],Table13[Coverage Limit Factor],,0)</f>
        <v>1</v>
      </c>
      <c r="AM220">
        <f>IF(Table1820[[#This Row],[Good Student Discount]]="Yes",'Rate Book'!$D$126,1)</f>
        <v>1</v>
      </c>
      <c r="AN220">
        <f>IF(Table1820[[#This Row],[Good Driver Discount]]="Yes",'Rate Book'!$D$127,1)</f>
        <v>1</v>
      </c>
      <c r="AO220">
        <f>IF(Table1820[[#This Row],[Multi Policy Discount]]="Yes",'Rate Book'!$D$128,1)</f>
        <v>0.93</v>
      </c>
      <c r="AP220">
        <f>IF(Table1820[[#This Row],[Loyal Customer Discount]]="Yes",'Rate Book'!$D$129,1)</f>
        <v>1</v>
      </c>
      <c r="AQ220">
        <f>IF(Table1820[[#This Row],[Organization Discount]]="Yes",'Rate Book'!$D$130,1)</f>
        <v>1</v>
      </c>
      <c r="AR220" cm="1">
        <f t="array" ref="AR220">IF(Table1820[[#This Row],[Effective Date]]&gt;=RateChangeTable[Effective Date],RateChangeTable[Rate Change Factor],1)</f>
        <v>1.06</v>
      </c>
      <c r="AS220" s="10">
        <f>PRODUCT(Table1820[[#This Row],[Base Rate]:[Rate Change Factor]])</f>
        <v>1551.7025609231755</v>
      </c>
      <c r="AT220" s="9">
        <f>Table1820[[#This Row],[System-Generated Premium]]-Table1820[[#This Row],[Expected Premium]]</f>
        <v>0</v>
      </c>
      <c r="AU220" t="str">
        <f>IF(Table1820[[#This Row],[Difference]]=0,"PASS","FAIL")</f>
        <v>PASS</v>
      </c>
      <c r="AV220" s="9">
        <f>ABS(Table1820[[#This Row],[Difference]])</f>
        <v>0</v>
      </c>
      <c r="AW220" s="9" t="s">
        <v>1136</v>
      </c>
    </row>
    <row r="221" spans="1:49" x14ac:dyDescent="0.3">
      <c r="A221" t="s">
        <v>312</v>
      </c>
      <c r="B221" s="7">
        <v>46002</v>
      </c>
      <c r="C221" t="s">
        <v>71</v>
      </c>
      <c r="D221" t="s">
        <v>1099</v>
      </c>
      <c r="E221" s="3">
        <v>3</v>
      </c>
      <c r="F221" s="3">
        <v>3</v>
      </c>
      <c r="G221" t="s">
        <v>10</v>
      </c>
      <c r="H221" t="s">
        <v>1110</v>
      </c>
      <c r="I221" t="s">
        <v>42</v>
      </c>
      <c r="J221" t="s">
        <v>52</v>
      </c>
      <c r="K221" t="s">
        <v>10</v>
      </c>
      <c r="L221" t="s">
        <v>10</v>
      </c>
      <c r="M221" t="s">
        <v>10</v>
      </c>
      <c r="N221" t="s">
        <v>57</v>
      </c>
      <c r="O221" t="str">
        <f>INDEX(CoverageTable[Deductible Applies],MATCH(Table1820[[#This Row],[Coverage]],CoverageTable[Coverage],0))</f>
        <v>Yes</v>
      </c>
      <c r="P221" t="str">
        <f>INDEX(CoverageTable[Coverage Limit Applies],MATCH(Table1820[[#This Row],[Coverage]],CoverageTable[Coverage],0))</f>
        <v>No</v>
      </c>
      <c r="Q221" t="s">
        <v>80</v>
      </c>
      <c r="R221" t="s">
        <v>10</v>
      </c>
      <c r="S221" t="s">
        <v>10</v>
      </c>
      <c r="T221" t="s">
        <v>57</v>
      </c>
      <c r="U221" t="s">
        <v>57</v>
      </c>
      <c r="V221" t="s">
        <v>10</v>
      </c>
      <c r="W221" t="s">
        <v>10</v>
      </c>
      <c r="X221" s="11">
        <v>1312.725322380506</v>
      </c>
      <c r="Y221">
        <f>_xlfn.XLOOKUP(Table1820[[#This Row],[Coverage]],CoverageTable[Coverage],CoverageTable[Base Rate],,0)</f>
        <v>453</v>
      </c>
      <c r="Z221">
        <f>INDEX(Table16[Ageband Factor],MATCH(Table1820[[#This Row],[Ageband]],Table16[Ageband],0))</f>
        <v>1</v>
      </c>
      <c r="AA221">
        <f>VLOOKUP(Table1820[[#This Row],[Years Driving]],Table1[],2)</f>
        <v>1.22</v>
      </c>
      <c r="AB221">
        <f>_xlfn.XLOOKUP(Table1820[[#This Row],[At Fault Accidents]],Table2[At Fault Accidents],Table2[At Fault Accident Factor],,0)</f>
        <v>1.82</v>
      </c>
      <c r="AC221">
        <f>_xlfn.XLOOKUP(Table1820[[#This Row],[Usage-Based Insurance]],Table3[Usage-Based Insurance],Table3[Usage-Based Insurance Discount],,0)</f>
        <v>1</v>
      </c>
      <c r="AD221">
        <f>_xlfn.XLOOKUP(Table1820[[#This Row],[Yearly Miles]],Table4[Yearly Miles],Table4[Yearly Miles Factor],,0)</f>
        <v>1.31</v>
      </c>
      <c r="AE221">
        <f>_xlfn.XLOOKUP(Table1820[[#This Row],[City/Zip Code]],Table5[City/Zip Code],Table5[City/Zip Code Factor],,0)</f>
        <v>1.21</v>
      </c>
      <c r="AF221">
        <f>_xlfn.XLOOKUP(Table1820[[#This Row],[Vehicle Price]],Table6[Vehicle Price],Table6[Vehicle Price Factor])</f>
        <v>1.57</v>
      </c>
      <c r="AG221">
        <f>_xlfn.XLOOKUP(Table1820[[#This Row],[Exotic Car]],Table7[Exotic Car],Table7[Exotic Car Factor],,0)</f>
        <v>1</v>
      </c>
      <c r="AH221">
        <f>_xlfn.XLOOKUP(Table1820[[#This Row],[Difficult Parts]],Table8[Difficult Parts],Table8[Difficult Parts Factor],,0)</f>
        <v>1</v>
      </c>
      <c r="AI221">
        <f>_xlfn.XLOOKUP(Table1820[[#This Row],[High Theft Rate]],Table9[High Theft Rate],Table9[High Theft Rate Factor],,0)</f>
        <v>1</v>
      </c>
      <c r="AJ221">
        <f>_xlfn.XLOOKUP(Table1820[[#This Row],[Advanced Safety Features]],Table10[Advanced Safety Features],Table10[Advanced Safety Features Factor],,0)</f>
        <v>0.88</v>
      </c>
      <c r="AK221">
        <f>_xlfn.XLOOKUP(Table1820[[#This Row],[Deductible]],Table12[Deductible],Table12[Deductible Factor],,0)</f>
        <v>0.72</v>
      </c>
      <c r="AL221">
        <f>_xlfn.XLOOKUP(Table1820[[#This Row],[Coverage Limit]],Table13[Coverage Limit],Table13[Coverage Limit Factor],,0)</f>
        <v>1</v>
      </c>
      <c r="AM221">
        <f>IF(Table1820[[#This Row],[Good Student Discount]]="Yes",'Rate Book'!$D$126,1)</f>
        <v>1</v>
      </c>
      <c r="AN221">
        <f>IF(Table1820[[#This Row],[Good Driver Discount]]="Yes",'Rate Book'!$D$127,1)</f>
        <v>0.89</v>
      </c>
      <c r="AO221">
        <f>IF(Table1820[[#This Row],[Multi Policy Discount]]="Yes",'Rate Book'!$D$128,1)</f>
        <v>0.93</v>
      </c>
      <c r="AP221">
        <f>IF(Table1820[[#This Row],[Loyal Customer Discount]]="Yes",'Rate Book'!$D$129,1)</f>
        <v>1</v>
      </c>
      <c r="AQ221">
        <f>IF(Table1820[[#This Row],[Organization Discount]]="Yes",'Rate Book'!$D$130,1)</f>
        <v>1</v>
      </c>
      <c r="AR221" cm="1">
        <f t="array" ref="AR221">IF(Table1820[[#This Row],[Effective Date]]&gt;=RateChangeTable[Effective Date],RateChangeTable[Rate Change Factor],1)</f>
        <v>1</v>
      </c>
      <c r="AS221" s="10">
        <f>PRODUCT(Table1820[[#This Row],[Base Rate]:[Rate Change Factor]])</f>
        <v>1312.725322380506</v>
      </c>
      <c r="AT221" s="9">
        <f>Table1820[[#This Row],[System-Generated Premium]]-Table1820[[#This Row],[Expected Premium]]</f>
        <v>0</v>
      </c>
      <c r="AU221" t="str">
        <f>IF(Table1820[[#This Row],[Difference]]=0,"PASS","FAIL")</f>
        <v>PASS</v>
      </c>
      <c r="AV221" s="9">
        <f>ABS(Table1820[[#This Row],[Difference]])</f>
        <v>0</v>
      </c>
      <c r="AW221" s="9" t="s">
        <v>1136</v>
      </c>
    </row>
    <row r="222" spans="1:49" x14ac:dyDescent="0.3">
      <c r="A222" t="s">
        <v>313</v>
      </c>
      <c r="B222" s="7">
        <v>45887</v>
      </c>
      <c r="C222" t="s">
        <v>70</v>
      </c>
      <c r="D222" t="s">
        <v>1100</v>
      </c>
      <c r="E222" s="3">
        <v>2</v>
      </c>
      <c r="F222" s="3">
        <v>2</v>
      </c>
      <c r="G222" t="s">
        <v>10</v>
      </c>
      <c r="H222" t="s">
        <v>1107</v>
      </c>
      <c r="I222" t="s">
        <v>37</v>
      </c>
      <c r="J222" t="s">
        <v>51</v>
      </c>
      <c r="K222" t="s">
        <v>10</v>
      </c>
      <c r="L222" t="s">
        <v>10</v>
      </c>
      <c r="M222" t="s">
        <v>10</v>
      </c>
      <c r="N222" t="s">
        <v>57</v>
      </c>
      <c r="O222" t="str">
        <f>INDEX(CoverageTable[Deductible Applies],MATCH(Table1820[[#This Row],[Coverage]],CoverageTable[Coverage],0))</f>
        <v>No</v>
      </c>
      <c r="P222" t="str">
        <f>INDEX(CoverageTable[Coverage Limit Applies],MATCH(Table1820[[#This Row],[Coverage]],CoverageTable[Coverage],0))</f>
        <v>Yes</v>
      </c>
      <c r="Q222" t="s">
        <v>10</v>
      </c>
      <c r="R222" t="s">
        <v>78</v>
      </c>
      <c r="S222" t="s">
        <v>10</v>
      </c>
      <c r="T222" t="s">
        <v>57</v>
      </c>
      <c r="U222" t="s">
        <v>57</v>
      </c>
      <c r="V222" t="s">
        <v>10</v>
      </c>
      <c r="W222" t="s">
        <v>57</v>
      </c>
      <c r="X222" s="11">
        <v>813.39516394360646</v>
      </c>
      <c r="Y222">
        <f>_xlfn.XLOOKUP(Table1820[[#This Row],[Coverage]],CoverageTable[Coverage],CoverageTable[Base Rate],,0)</f>
        <v>622</v>
      </c>
      <c r="Z222">
        <f>INDEX(Table16[Ageband Factor],MATCH(Table1820[[#This Row],[Ageband]],Table16[Ageband],0))</f>
        <v>1.07</v>
      </c>
      <c r="AA222">
        <f>VLOOKUP(Table1820[[#This Row],[Years Driving]],Table1[],2)</f>
        <v>1.41</v>
      </c>
      <c r="AB222">
        <f>_xlfn.XLOOKUP(Table1820[[#This Row],[At Fault Accidents]],Table2[At Fault Accidents],Table2[At Fault Accident Factor],,0)</f>
        <v>1.55</v>
      </c>
      <c r="AC222">
        <f>_xlfn.XLOOKUP(Table1820[[#This Row],[Usage-Based Insurance]],Table3[Usage-Based Insurance],Table3[Usage-Based Insurance Discount],,0)</f>
        <v>1</v>
      </c>
      <c r="AD222">
        <f>_xlfn.XLOOKUP(Table1820[[#This Row],[Yearly Miles]],Table4[Yearly Miles],Table4[Yearly Miles Factor],,0)</f>
        <v>0.93</v>
      </c>
      <c r="AE222">
        <f>_xlfn.XLOOKUP(Table1820[[#This Row],[City/Zip Code]],Table5[City/Zip Code],Table5[City/Zip Code Factor],,0)</f>
        <v>1.0900000000000001</v>
      </c>
      <c r="AF222">
        <f>_xlfn.XLOOKUP(Table1820[[#This Row],[Vehicle Price]],Table6[Vehicle Price],Table6[Vehicle Price Factor])</f>
        <v>1.28</v>
      </c>
      <c r="AG222">
        <f>_xlfn.XLOOKUP(Table1820[[#This Row],[Exotic Car]],Table7[Exotic Car],Table7[Exotic Car Factor],,0)</f>
        <v>1</v>
      </c>
      <c r="AH222">
        <f>_xlfn.XLOOKUP(Table1820[[#This Row],[Difficult Parts]],Table8[Difficult Parts],Table8[Difficult Parts Factor],,0)</f>
        <v>1</v>
      </c>
      <c r="AI222">
        <f>_xlfn.XLOOKUP(Table1820[[#This Row],[High Theft Rate]],Table9[High Theft Rate],Table9[High Theft Rate Factor],,0)</f>
        <v>1</v>
      </c>
      <c r="AJ222">
        <f>_xlfn.XLOOKUP(Table1820[[#This Row],[Advanced Safety Features]],Table10[Advanced Safety Features],Table10[Advanced Safety Features Factor],,0)</f>
        <v>0.88</v>
      </c>
      <c r="AK222">
        <f>_xlfn.XLOOKUP(Table1820[[#This Row],[Deductible]],Table12[Deductible],Table12[Deductible Factor],,0)</f>
        <v>1</v>
      </c>
      <c r="AL222">
        <f>_xlfn.XLOOKUP(Table1820[[#This Row],[Coverage Limit]],Table13[Coverage Limit],Table13[Coverage Limit Factor],,0)</f>
        <v>0.61</v>
      </c>
      <c r="AM222">
        <f>IF(Table1820[[#This Row],[Good Student Discount]]="Yes",'Rate Book'!$D$126,1)</f>
        <v>1</v>
      </c>
      <c r="AN222">
        <f>IF(Table1820[[#This Row],[Good Driver Discount]]="Yes",'Rate Book'!$D$127,1)</f>
        <v>0.89</v>
      </c>
      <c r="AO222">
        <f>IF(Table1820[[#This Row],[Multi Policy Discount]]="Yes",'Rate Book'!$D$128,1)</f>
        <v>0.93</v>
      </c>
      <c r="AP222">
        <f>IF(Table1820[[#This Row],[Loyal Customer Discount]]="Yes",'Rate Book'!$D$129,1)</f>
        <v>1</v>
      </c>
      <c r="AQ222">
        <f>IF(Table1820[[#This Row],[Organization Discount]]="Yes",'Rate Book'!$D$130,1)</f>
        <v>0.97</v>
      </c>
      <c r="AR222" cm="1">
        <f t="array" ref="AR222">IF(Table1820[[#This Row],[Effective Date]]&gt;=RateChangeTable[Effective Date],RateChangeTable[Rate Change Factor],1)</f>
        <v>1</v>
      </c>
      <c r="AS222" s="10">
        <f>PRODUCT(Table1820[[#This Row],[Base Rate]:[Rate Change Factor]])</f>
        <v>813.39516394360646</v>
      </c>
      <c r="AT222" s="9">
        <f>Table1820[[#This Row],[System-Generated Premium]]-Table1820[[#This Row],[Expected Premium]]</f>
        <v>0</v>
      </c>
      <c r="AU222" t="str">
        <f>IF(Table1820[[#This Row],[Difference]]=0,"PASS","FAIL")</f>
        <v>PASS</v>
      </c>
      <c r="AV222" s="9">
        <f>ABS(Table1820[[#This Row],[Difference]])</f>
        <v>0</v>
      </c>
      <c r="AW222" s="9" t="s">
        <v>1136</v>
      </c>
    </row>
    <row r="223" spans="1:49" x14ac:dyDescent="0.3">
      <c r="A223" t="s">
        <v>314</v>
      </c>
      <c r="B223" s="7">
        <v>45812</v>
      </c>
      <c r="C223" t="s">
        <v>74</v>
      </c>
      <c r="D223" t="s">
        <v>1101</v>
      </c>
      <c r="E223" s="3">
        <v>3</v>
      </c>
      <c r="F223" s="3">
        <v>4</v>
      </c>
      <c r="G223" t="s">
        <v>11</v>
      </c>
      <c r="H223" t="s">
        <v>1109</v>
      </c>
      <c r="I223" t="s">
        <v>31</v>
      </c>
      <c r="J223" t="s">
        <v>50</v>
      </c>
      <c r="K223" t="s">
        <v>10</v>
      </c>
      <c r="L223" t="s">
        <v>10</v>
      </c>
      <c r="M223" t="s">
        <v>10</v>
      </c>
      <c r="N223" t="s">
        <v>10</v>
      </c>
      <c r="O223" t="str">
        <f>INDEX(CoverageTable[Deductible Applies],MATCH(Table1820[[#This Row],[Coverage]],CoverageTable[Coverage],0))</f>
        <v>No</v>
      </c>
      <c r="P223" t="str">
        <f>INDEX(CoverageTable[Coverage Limit Applies],MATCH(Table1820[[#This Row],[Coverage]],CoverageTable[Coverage],0))</f>
        <v>Yes</v>
      </c>
      <c r="Q223" t="s">
        <v>10</v>
      </c>
      <c r="R223" t="s">
        <v>78</v>
      </c>
      <c r="S223" t="s">
        <v>57</v>
      </c>
      <c r="T223" t="s">
        <v>10</v>
      </c>
      <c r="U223" t="s">
        <v>57</v>
      </c>
      <c r="V223" t="s">
        <v>57</v>
      </c>
      <c r="W223" t="s">
        <v>10</v>
      </c>
      <c r="X223" s="11">
        <v>78.302996573852624</v>
      </c>
      <c r="Y223">
        <f>_xlfn.XLOOKUP(Table1820[[#This Row],[Coverage]],CoverageTable[Coverage],CoverageTable[Base Rate],,0)</f>
        <v>41</v>
      </c>
      <c r="Z223">
        <f>INDEX(Table16[Ageband Factor],MATCH(Table1820[[#This Row],[Ageband]],Table16[Ageband],0))</f>
        <v>1.1200000000000001</v>
      </c>
      <c r="AA223">
        <f>VLOOKUP(Table1820[[#This Row],[Years Driving]],Table1[],2)</f>
        <v>1.22</v>
      </c>
      <c r="AB223">
        <f>_xlfn.XLOOKUP(Table1820[[#This Row],[At Fault Accidents]],Table2[At Fault Accidents],Table2[At Fault Accident Factor],,0)</f>
        <v>2.12</v>
      </c>
      <c r="AC223">
        <f>_xlfn.XLOOKUP(Table1820[[#This Row],[Usage-Based Insurance]],Table3[Usage-Based Insurance],Table3[Usage-Based Insurance Discount],,0)</f>
        <v>0.95</v>
      </c>
      <c r="AD223">
        <f>_xlfn.XLOOKUP(Table1820[[#This Row],[Yearly Miles]],Table4[Yearly Miles],Table4[Yearly Miles Factor],,0)</f>
        <v>1.18</v>
      </c>
      <c r="AE223">
        <f>_xlfn.XLOOKUP(Table1820[[#This Row],[City/Zip Code]],Table5[City/Zip Code],Table5[City/Zip Code Factor],,0)</f>
        <v>1.1100000000000001</v>
      </c>
      <c r="AF223">
        <f>_xlfn.XLOOKUP(Table1820[[#This Row],[Vehicle Price]],Table6[Vehicle Price],Table6[Vehicle Price Factor])</f>
        <v>1.08</v>
      </c>
      <c r="AG223">
        <f>_xlfn.XLOOKUP(Table1820[[#This Row],[Exotic Car]],Table7[Exotic Car],Table7[Exotic Car Factor],,0)</f>
        <v>1</v>
      </c>
      <c r="AH223">
        <f>_xlfn.XLOOKUP(Table1820[[#This Row],[Difficult Parts]],Table8[Difficult Parts],Table8[Difficult Parts Factor],,0)</f>
        <v>1</v>
      </c>
      <c r="AI223">
        <f>_xlfn.XLOOKUP(Table1820[[#This Row],[High Theft Rate]],Table9[High Theft Rate],Table9[High Theft Rate Factor],,0)</f>
        <v>1</v>
      </c>
      <c r="AJ223">
        <f>_xlfn.XLOOKUP(Table1820[[#This Row],[Advanced Safety Features]],Table10[Advanced Safety Features],Table10[Advanced Safety Features Factor],,0)</f>
        <v>1</v>
      </c>
      <c r="AK223">
        <f>_xlfn.XLOOKUP(Table1820[[#This Row],[Deductible]],Table12[Deductible],Table12[Deductible Factor],,0)</f>
        <v>1</v>
      </c>
      <c r="AL223">
        <f>_xlfn.XLOOKUP(Table1820[[#This Row],[Coverage Limit]],Table13[Coverage Limit],Table13[Coverage Limit Factor],,0)</f>
        <v>0.61</v>
      </c>
      <c r="AM223">
        <f>IF(Table1820[[#This Row],[Good Student Discount]]="Yes",'Rate Book'!$D$126,1)</f>
        <v>0.92</v>
      </c>
      <c r="AN223">
        <f>IF(Table1820[[#This Row],[Good Driver Discount]]="Yes",'Rate Book'!$D$127,1)</f>
        <v>1</v>
      </c>
      <c r="AO223">
        <f>IF(Table1820[[#This Row],[Multi Policy Discount]]="Yes",'Rate Book'!$D$128,1)</f>
        <v>0.93</v>
      </c>
      <c r="AP223">
        <f>IF(Table1820[[#This Row],[Loyal Customer Discount]]="Yes",'Rate Book'!$D$129,1)</f>
        <v>0.94</v>
      </c>
      <c r="AQ223">
        <f>IF(Table1820[[#This Row],[Organization Discount]]="Yes",'Rate Book'!$D$130,1)</f>
        <v>1</v>
      </c>
      <c r="AR223" cm="1">
        <f t="array" ref="AR223">IF(Table1820[[#This Row],[Effective Date]]&gt;=RateChangeTable[Effective Date],RateChangeTable[Rate Change Factor],1)</f>
        <v>1</v>
      </c>
      <c r="AS223" s="10">
        <f>PRODUCT(Table1820[[#This Row],[Base Rate]:[Rate Change Factor]])</f>
        <v>78.302996573852624</v>
      </c>
      <c r="AT223" s="9">
        <f>Table1820[[#This Row],[System-Generated Premium]]-Table1820[[#This Row],[Expected Premium]]</f>
        <v>0</v>
      </c>
      <c r="AU223" t="str">
        <f>IF(Table1820[[#This Row],[Difference]]=0,"PASS","FAIL")</f>
        <v>PASS</v>
      </c>
      <c r="AV223" s="9">
        <f>ABS(Table1820[[#This Row],[Difference]])</f>
        <v>0</v>
      </c>
      <c r="AW223" s="9" t="s">
        <v>1136</v>
      </c>
    </row>
    <row r="224" spans="1:49" x14ac:dyDescent="0.3">
      <c r="A224" t="s">
        <v>315</v>
      </c>
      <c r="B224" s="7">
        <v>46034</v>
      </c>
      <c r="C224" t="s">
        <v>72</v>
      </c>
      <c r="D224" t="s">
        <v>1100</v>
      </c>
      <c r="E224" s="3">
        <v>4</v>
      </c>
      <c r="F224" s="3" t="s">
        <v>7</v>
      </c>
      <c r="G224" t="s">
        <v>13</v>
      </c>
      <c r="H224" t="s">
        <v>1108</v>
      </c>
      <c r="I224" t="s">
        <v>30</v>
      </c>
      <c r="J224" t="s">
        <v>48</v>
      </c>
      <c r="K224" t="s">
        <v>10</v>
      </c>
      <c r="L224" t="s">
        <v>10</v>
      </c>
      <c r="M224" t="s">
        <v>10</v>
      </c>
      <c r="N224" t="s">
        <v>57</v>
      </c>
      <c r="O224" t="str">
        <f>INDEX(CoverageTable[Deductible Applies],MATCH(Table1820[[#This Row],[Coverage]],CoverageTable[Coverage],0))</f>
        <v>Yes</v>
      </c>
      <c r="P224" t="str">
        <f>INDEX(CoverageTable[Coverage Limit Applies],MATCH(Table1820[[#This Row],[Coverage]],CoverageTable[Coverage],0))</f>
        <v>No</v>
      </c>
      <c r="Q224" t="s">
        <v>80</v>
      </c>
      <c r="R224" t="s">
        <v>10</v>
      </c>
      <c r="S224" t="s">
        <v>10</v>
      </c>
      <c r="T224" t="s">
        <v>10</v>
      </c>
      <c r="U224" t="s">
        <v>10</v>
      </c>
      <c r="V224" t="s">
        <v>10</v>
      </c>
      <c r="W224" t="s">
        <v>10</v>
      </c>
      <c r="X224" s="11">
        <v>134.28031651118471</v>
      </c>
      <c r="Y224">
        <f>_xlfn.XLOOKUP(Table1820[[#This Row],[Coverage]],CoverageTable[Coverage],CoverageTable[Base Rate],,0)</f>
        <v>121</v>
      </c>
      <c r="Z224">
        <f>INDEX(Table16[Ageband Factor],MATCH(Table1820[[#This Row],[Ageband]],Table16[Ageband],0))</f>
        <v>1.07</v>
      </c>
      <c r="AA224">
        <f>VLOOKUP(Table1820[[#This Row],[Years Driving]],Table1[],2)</f>
        <v>1.1499999999999999</v>
      </c>
      <c r="AB224">
        <f>_xlfn.XLOOKUP(Table1820[[#This Row],[At Fault Accidents]],Table2[At Fault Accidents],Table2[At Fault Accident Factor],,0)</f>
        <v>2.4700000000000002</v>
      </c>
      <c r="AC224">
        <f>_xlfn.XLOOKUP(Table1820[[#This Row],[Usage-Based Insurance]],Table3[Usage-Based Insurance],Table3[Usage-Based Insurance Discount],,0)</f>
        <v>0.65</v>
      </c>
      <c r="AD224">
        <f>_xlfn.XLOOKUP(Table1820[[#This Row],[Yearly Miles]],Table4[Yearly Miles],Table4[Yearly Miles Factor],,0)</f>
        <v>1</v>
      </c>
      <c r="AE224">
        <f>_xlfn.XLOOKUP(Table1820[[#This Row],[City/Zip Code]],Table5[City/Zip Code],Table5[City/Zip Code Factor],,0)</f>
        <v>1.02</v>
      </c>
      <c r="AF224">
        <f>_xlfn.XLOOKUP(Table1820[[#This Row],[Vehicle Price]],Table6[Vehicle Price],Table6[Vehicle Price Factor])</f>
        <v>0.82</v>
      </c>
      <c r="AG224">
        <f>_xlfn.XLOOKUP(Table1820[[#This Row],[Exotic Car]],Table7[Exotic Car],Table7[Exotic Car Factor],,0)</f>
        <v>1</v>
      </c>
      <c r="AH224">
        <f>_xlfn.XLOOKUP(Table1820[[#This Row],[Difficult Parts]],Table8[Difficult Parts],Table8[Difficult Parts Factor],,0)</f>
        <v>1</v>
      </c>
      <c r="AI224">
        <f>_xlfn.XLOOKUP(Table1820[[#This Row],[High Theft Rate]],Table9[High Theft Rate],Table9[High Theft Rate Factor],,0)</f>
        <v>1</v>
      </c>
      <c r="AJ224">
        <f>_xlfn.XLOOKUP(Table1820[[#This Row],[Advanced Safety Features]],Table10[Advanced Safety Features],Table10[Advanced Safety Features Factor],,0)</f>
        <v>0.88</v>
      </c>
      <c r="AK224">
        <f>_xlfn.XLOOKUP(Table1820[[#This Row],[Deductible]],Table12[Deductible],Table12[Deductible Factor],,0)</f>
        <v>0.72</v>
      </c>
      <c r="AL224">
        <f>_xlfn.XLOOKUP(Table1820[[#This Row],[Coverage Limit]],Table13[Coverage Limit],Table13[Coverage Limit Factor],,0)</f>
        <v>1</v>
      </c>
      <c r="AM224">
        <f>IF(Table1820[[#This Row],[Good Student Discount]]="Yes",'Rate Book'!$D$126,1)</f>
        <v>1</v>
      </c>
      <c r="AN224">
        <f>IF(Table1820[[#This Row],[Good Driver Discount]]="Yes",'Rate Book'!$D$127,1)</f>
        <v>1</v>
      </c>
      <c r="AO224">
        <f>IF(Table1820[[#This Row],[Multi Policy Discount]]="Yes",'Rate Book'!$D$128,1)</f>
        <v>1</v>
      </c>
      <c r="AP224">
        <f>IF(Table1820[[#This Row],[Loyal Customer Discount]]="Yes",'Rate Book'!$D$129,1)</f>
        <v>1</v>
      </c>
      <c r="AQ224">
        <f>IF(Table1820[[#This Row],[Organization Discount]]="Yes",'Rate Book'!$D$130,1)</f>
        <v>1</v>
      </c>
      <c r="AR224" cm="1">
        <f t="array" ref="AR224">IF(Table1820[[#This Row],[Effective Date]]&gt;=RateChangeTable[Effective Date],RateChangeTable[Rate Change Factor],1)</f>
        <v>1.06</v>
      </c>
      <c r="AS224" s="10">
        <f>PRODUCT(Table1820[[#This Row],[Base Rate]:[Rate Change Factor]])</f>
        <v>134.28031651118471</v>
      </c>
      <c r="AT224" s="9">
        <f>Table1820[[#This Row],[System-Generated Premium]]-Table1820[[#This Row],[Expected Premium]]</f>
        <v>0</v>
      </c>
      <c r="AU224" t="str">
        <f>IF(Table1820[[#This Row],[Difference]]=0,"PASS","FAIL")</f>
        <v>PASS</v>
      </c>
      <c r="AV224" s="9">
        <f>ABS(Table1820[[#This Row],[Difference]])</f>
        <v>0</v>
      </c>
      <c r="AW224" s="9" t="s">
        <v>1136</v>
      </c>
    </row>
    <row r="225" spans="1:49" x14ac:dyDescent="0.3">
      <c r="A225" t="s">
        <v>316</v>
      </c>
      <c r="B225" s="7">
        <v>45868</v>
      </c>
      <c r="C225" t="s">
        <v>72</v>
      </c>
      <c r="D225" t="s">
        <v>1102</v>
      </c>
      <c r="E225" s="3" t="s">
        <v>1103</v>
      </c>
      <c r="F225" s="3">
        <v>0</v>
      </c>
      <c r="G225" t="s">
        <v>10</v>
      </c>
      <c r="H225" t="s">
        <v>1110</v>
      </c>
      <c r="I225" t="s">
        <v>37</v>
      </c>
      <c r="J225" t="s">
        <v>51</v>
      </c>
      <c r="K225" t="s">
        <v>10</v>
      </c>
      <c r="L225" t="s">
        <v>10</v>
      </c>
      <c r="M225" t="s">
        <v>10</v>
      </c>
      <c r="N225" t="s">
        <v>57</v>
      </c>
      <c r="O225" t="str">
        <f>INDEX(CoverageTable[Deductible Applies],MATCH(Table1820[[#This Row],[Coverage]],CoverageTable[Coverage],0))</f>
        <v>Yes</v>
      </c>
      <c r="P225" t="str">
        <f>INDEX(CoverageTable[Coverage Limit Applies],MATCH(Table1820[[#This Row],[Coverage]],CoverageTable[Coverage],0))</f>
        <v>No</v>
      </c>
      <c r="Q225" t="s">
        <v>80</v>
      </c>
      <c r="R225" t="s">
        <v>10</v>
      </c>
      <c r="S225" t="s">
        <v>10</v>
      </c>
      <c r="T225" t="s">
        <v>10</v>
      </c>
      <c r="U225" t="s">
        <v>57</v>
      </c>
      <c r="V225" t="s">
        <v>57</v>
      </c>
      <c r="W225" t="s">
        <v>10</v>
      </c>
      <c r="X225" s="11">
        <v>144.67909177404988</v>
      </c>
      <c r="Y225">
        <f>_xlfn.XLOOKUP(Table1820[[#This Row],[Coverage]],CoverageTable[Coverage],CoverageTable[Base Rate],,0)</f>
        <v>121</v>
      </c>
      <c r="Z225">
        <f>INDEX(Table16[Ageband Factor],MATCH(Table1820[[#This Row],[Ageband]],Table16[Ageband],0))</f>
        <v>1.27</v>
      </c>
      <c r="AA225">
        <f>VLOOKUP(Table1820[[#This Row],[Years Driving]],Table1[],2)</f>
        <v>0.93</v>
      </c>
      <c r="AB225">
        <f>_xlfn.XLOOKUP(Table1820[[#This Row],[At Fault Accidents]],Table2[At Fault Accidents],Table2[At Fault Accident Factor],,0)</f>
        <v>1</v>
      </c>
      <c r="AC225">
        <f>_xlfn.XLOOKUP(Table1820[[#This Row],[Usage-Based Insurance]],Table3[Usage-Based Insurance],Table3[Usage-Based Insurance Discount],,0)</f>
        <v>1</v>
      </c>
      <c r="AD225">
        <f>_xlfn.XLOOKUP(Table1820[[#This Row],[Yearly Miles]],Table4[Yearly Miles],Table4[Yearly Miles Factor],,0)</f>
        <v>1.31</v>
      </c>
      <c r="AE225">
        <f>_xlfn.XLOOKUP(Table1820[[#This Row],[City/Zip Code]],Table5[City/Zip Code],Table5[City/Zip Code Factor],,0)</f>
        <v>1.0900000000000001</v>
      </c>
      <c r="AF225">
        <f>_xlfn.XLOOKUP(Table1820[[#This Row],[Vehicle Price]],Table6[Vehicle Price],Table6[Vehicle Price Factor])</f>
        <v>1.28</v>
      </c>
      <c r="AG225">
        <f>_xlfn.XLOOKUP(Table1820[[#This Row],[Exotic Car]],Table7[Exotic Car],Table7[Exotic Car Factor],,0)</f>
        <v>1</v>
      </c>
      <c r="AH225">
        <f>_xlfn.XLOOKUP(Table1820[[#This Row],[Difficult Parts]],Table8[Difficult Parts],Table8[Difficult Parts Factor],,0)</f>
        <v>1</v>
      </c>
      <c r="AI225">
        <f>_xlfn.XLOOKUP(Table1820[[#This Row],[High Theft Rate]],Table9[High Theft Rate],Table9[High Theft Rate Factor],,0)</f>
        <v>1</v>
      </c>
      <c r="AJ225">
        <f>_xlfn.XLOOKUP(Table1820[[#This Row],[Advanced Safety Features]],Table10[Advanced Safety Features],Table10[Advanced Safety Features Factor],,0)</f>
        <v>0.88</v>
      </c>
      <c r="AK225">
        <f>_xlfn.XLOOKUP(Table1820[[#This Row],[Deductible]],Table12[Deductible],Table12[Deductible Factor],,0)</f>
        <v>0.72</v>
      </c>
      <c r="AL225">
        <f>_xlfn.XLOOKUP(Table1820[[#This Row],[Coverage Limit]],Table13[Coverage Limit],Table13[Coverage Limit Factor],,0)</f>
        <v>1</v>
      </c>
      <c r="AM225">
        <f>IF(Table1820[[#This Row],[Good Student Discount]]="Yes",'Rate Book'!$D$126,1)</f>
        <v>1</v>
      </c>
      <c r="AN225">
        <f>IF(Table1820[[#This Row],[Good Driver Discount]]="Yes",'Rate Book'!$D$127,1)</f>
        <v>1</v>
      </c>
      <c r="AO225">
        <f>IF(Table1820[[#This Row],[Multi Policy Discount]]="Yes",'Rate Book'!$D$128,1)</f>
        <v>0.93</v>
      </c>
      <c r="AP225">
        <f>IF(Table1820[[#This Row],[Loyal Customer Discount]]="Yes",'Rate Book'!$D$129,1)</f>
        <v>0.94</v>
      </c>
      <c r="AQ225">
        <f>IF(Table1820[[#This Row],[Organization Discount]]="Yes",'Rate Book'!$D$130,1)</f>
        <v>1</v>
      </c>
      <c r="AR225" cm="1">
        <f t="array" ref="AR225">IF(Table1820[[#This Row],[Effective Date]]&gt;=RateChangeTable[Effective Date],RateChangeTable[Rate Change Factor],1)</f>
        <v>1</v>
      </c>
      <c r="AS225" s="10">
        <f>PRODUCT(Table1820[[#This Row],[Base Rate]:[Rate Change Factor]])</f>
        <v>144.67909177404988</v>
      </c>
      <c r="AT225" s="9">
        <f>Table1820[[#This Row],[System-Generated Premium]]-Table1820[[#This Row],[Expected Premium]]</f>
        <v>0</v>
      </c>
      <c r="AU225" t="str">
        <f>IF(Table1820[[#This Row],[Difference]]=0,"PASS","FAIL")</f>
        <v>PASS</v>
      </c>
      <c r="AV225" s="9">
        <f>ABS(Table1820[[#This Row],[Difference]])</f>
        <v>0</v>
      </c>
      <c r="AW225" s="9" t="s">
        <v>1136</v>
      </c>
    </row>
    <row r="226" spans="1:49" x14ac:dyDescent="0.3">
      <c r="A226" t="s">
        <v>317</v>
      </c>
      <c r="B226" s="7">
        <v>46043</v>
      </c>
      <c r="C226" t="s">
        <v>70</v>
      </c>
      <c r="D226" t="s">
        <v>1102</v>
      </c>
      <c r="E226" s="3">
        <v>6</v>
      </c>
      <c r="F226" s="3">
        <v>1</v>
      </c>
      <c r="G226" t="s">
        <v>11</v>
      </c>
      <c r="H226" t="s">
        <v>1108</v>
      </c>
      <c r="I226" t="s">
        <v>35</v>
      </c>
      <c r="J226" t="s">
        <v>52</v>
      </c>
      <c r="K226" t="s">
        <v>10</v>
      </c>
      <c r="L226" t="s">
        <v>10</v>
      </c>
      <c r="M226" t="s">
        <v>10</v>
      </c>
      <c r="N226" t="s">
        <v>10</v>
      </c>
      <c r="O226" t="str">
        <f>INDEX(CoverageTable[Deductible Applies],MATCH(Table1820[[#This Row],[Coverage]],CoverageTable[Coverage],0))</f>
        <v>No</v>
      </c>
      <c r="P226" t="str">
        <f>INDEX(CoverageTable[Coverage Limit Applies],MATCH(Table1820[[#This Row],[Coverage]],CoverageTable[Coverage],0))</f>
        <v>Yes</v>
      </c>
      <c r="Q226" t="s">
        <v>10</v>
      </c>
      <c r="R226" t="s">
        <v>79</v>
      </c>
      <c r="S226" t="s">
        <v>10</v>
      </c>
      <c r="T226" t="s">
        <v>57</v>
      </c>
      <c r="U226" t="s">
        <v>10</v>
      </c>
      <c r="V226" t="s">
        <v>10</v>
      </c>
      <c r="W226" t="s">
        <v>10</v>
      </c>
      <c r="X226" s="11">
        <v>1201.0706452197412</v>
      </c>
      <c r="Y226">
        <f>_xlfn.XLOOKUP(Table1820[[#This Row],[Coverage]],CoverageTable[Coverage],CoverageTable[Base Rate],,0)</f>
        <v>622</v>
      </c>
      <c r="Z226">
        <f>INDEX(Table16[Ageband Factor],MATCH(Table1820[[#This Row],[Ageband]],Table16[Ageband],0))</f>
        <v>1.27</v>
      </c>
      <c r="AA226">
        <f>VLOOKUP(Table1820[[#This Row],[Years Driving]],Table1[],2)</f>
        <v>1</v>
      </c>
      <c r="AB226">
        <f>_xlfn.XLOOKUP(Table1820[[#This Row],[At Fault Accidents]],Table2[At Fault Accidents],Table2[At Fault Accident Factor],,0)</f>
        <v>1.34</v>
      </c>
      <c r="AC226">
        <f>_xlfn.XLOOKUP(Table1820[[#This Row],[Usage-Based Insurance]],Table3[Usage-Based Insurance],Table3[Usage-Based Insurance Discount],,0)</f>
        <v>0.95</v>
      </c>
      <c r="AD226">
        <f>_xlfn.XLOOKUP(Table1820[[#This Row],[Yearly Miles]],Table4[Yearly Miles],Table4[Yearly Miles Factor],,0)</f>
        <v>1</v>
      </c>
      <c r="AE226">
        <f>_xlfn.XLOOKUP(Table1820[[#This Row],[City/Zip Code]],Table5[City/Zip Code],Table5[City/Zip Code Factor],,0)</f>
        <v>1.1200000000000001</v>
      </c>
      <c r="AF226">
        <f>_xlfn.XLOOKUP(Table1820[[#This Row],[Vehicle Price]],Table6[Vehicle Price],Table6[Vehicle Price Factor])</f>
        <v>1.57</v>
      </c>
      <c r="AG226">
        <f>_xlfn.XLOOKUP(Table1820[[#This Row],[Exotic Car]],Table7[Exotic Car],Table7[Exotic Car Factor],,0)</f>
        <v>1</v>
      </c>
      <c r="AH226">
        <f>_xlfn.XLOOKUP(Table1820[[#This Row],[Difficult Parts]],Table8[Difficult Parts],Table8[Difficult Parts Factor],,0)</f>
        <v>1</v>
      </c>
      <c r="AI226">
        <f>_xlfn.XLOOKUP(Table1820[[#This Row],[High Theft Rate]],Table9[High Theft Rate],Table9[High Theft Rate Factor],,0)</f>
        <v>1</v>
      </c>
      <c r="AJ226">
        <f>_xlfn.XLOOKUP(Table1820[[#This Row],[Advanced Safety Features]],Table10[Advanced Safety Features],Table10[Advanced Safety Features Factor],,0)</f>
        <v>1</v>
      </c>
      <c r="AK226">
        <f>_xlfn.XLOOKUP(Table1820[[#This Row],[Deductible]],Table12[Deductible],Table12[Deductible Factor],,0)</f>
        <v>1</v>
      </c>
      <c r="AL226">
        <f>_xlfn.XLOOKUP(Table1820[[#This Row],[Coverage Limit]],Table13[Coverage Limit],Table13[Coverage Limit Factor],,0)</f>
        <v>0.72</v>
      </c>
      <c r="AM226">
        <f>IF(Table1820[[#This Row],[Good Student Discount]]="Yes",'Rate Book'!$D$126,1)</f>
        <v>1</v>
      </c>
      <c r="AN226">
        <f>IF(Table1820[[#This Row],[Good Driver Discount]]="Yes",'Rate Book'!$D$127,1)</f>
        <v>0.89</v>
      </c>
      <c r="AO226">
        <f>IF(Table1820[[#This Row],[Multi Policy Discount]]="Yes",'Rate Book'!$D$128,1)</f>
        <v>1</v>
      </c>
      <c r="AP226">
        <f>IF(Table1820[[#This Row],[Loyal Customer Discount]]="Yes",'Rate Book'!$D$129,1)</f>
        <v>1</v>
      </c>
      <c r="AQ226">
        <f>IF(Table1820[[#This Row],[Organization Discount]]="Yes",'Rate Book'!$D$130,1)</f>
        <v>1</v>
      </c>
      <c r="AR226" cm="1">
        <f t="array" ref="AR226">IF(Table1820[[#This Row],[Effective Date]]&gt;=RateChangeTable[Effective Date],RateChangeTable[Rate Change Factor],1)</f>
        <v>1.06</v>
      </c>
      <c r="AS226" s="10">
        <f>PRODUCT(Table1820[[#This Row],[Base Rate]:[Rate Change Factor]])</f>
        <v>1201.0706452197412</v>
      </c>
      <c r="AT226" s="9">
        <f>Table1820[[#This Row],[System-Generated Premium]]-Table1820[[#This Row],[Expected Premium]]</f>
        <v>0</v>
      </c>
      <c r="AU226" t="str">
        <f>IF(Table1820[[#This Row],[Difference]]=0,"PASS","FAIL")</f>
        <v>PASS</v>
      </c>
      <c r="AV226" s="9">
        <f>ABS(Table1820[[#This Row],[Difference]])</f>
        <v>0</v>
      </c>
      <c r="AW226" s="9" t="s">
        <v>1136</v>
      </c>
    </row>
    <row r="227" spans="1:49" x14ac:dyDescent="0.3">
      <c r="A227" t="s">
        <v>318</v>
      </c>
      <c r="B227" s="7">
        <v>46033</v>
      </c>
      <c r="C227" t="s">
        <v>70</v>
      </c>
      <c r="D227" t="s">
        <v>1102</v>
      </c>
      <c r="E227" s="3">
        <v>2</v>
      </c>
      <c r="F227" s="3">
        <v>2</v>
      </c>
      <c r="G227" t="s">
        <v>13</v>
      </c>
      <c r="H227" t="s">
        <v>1107</v>
      </c>
      <c r="I227" t="s">
        <v>43</v>
      </c>
      <c r="J227" t="s">
        <v>53</v>
      </c>
      <c r="K227" t="s">
        <v>10</v>
      </c>
      <c r="L227" t="s">
        <v>10</v>
      </c>
      <c r="M227" t="s">
        <v>10</v>
      </c>
      <c r="N227" t="s">
        <v>10</v>
      </c>
      <c r="O227" t="str">
        <f>INDEX(CoverageTable[Deductible Applies],MATCH(Table1820[[#This Row],[Coverage]],CoverageTable[Coverage],0))</f>
        <v>No</v>
      </c>
      <c r="P227" t="str">
        <f>INDEX(CoverageTable[Coverage Limit Applies],MATCH(Table1820[[#This Row],[Coverage]],CoverageTable[Coverage],0))</f>
        <v>Yes</v>
      </c>
      <c r="Q227" t="s">
        <v>10</v>
      </c>
      <c r="R227" t="s">
        <v>79</v>
      </c>
      <c r="S227" t="s">
        <v>10</v>
      </c>
      <c r="T227" t="s">
        <v>10</v>
      </c>
      <c r="U227" t="s">
        <v>10</v>
      </c>
      <c r="V227" t="s">
        <v>10</v>
      </c>
      <c r="W227" t="s">
        <v>10</v>
      </c>
      <c r="X227" s="11">
        <v>1898.5103107328805</v>
      </c>
      <c r="Y227">
        <f>_xlfn.XLOOKUP(Table1820[[#This Row],[Coverage]],CoverageTable[Coverage],CoverageTable[Base Rate],,0)</f>
        <v>622</v>
      </c>
      <c r="Z227">
        <f>INDEX(Table16[Ageband Factor],MATCH(Table1820[[#This Row],[Ageband]],Table16[Ageband],0))</f>
        <v>1.27</v>
      </c>
      <c r="AA227">
        <f>VLOOKUP(Table1820[[#This Row],[Years Driving]],Table1[],2)</f>
        <v>1.41</v>
      </c>
      <c r="AB227">
        <f>_xlfn.XLOOKUP(Table1820[[#This Row],[At Fault Accidents]],Table2[At Fault Accidents],Table2[At Fault Accident Factor],,0)</f>
        <v>1.55</v>
      </c>
      <c r="AC227">
        <f>_xlfn.XLOOKUP(Table1820[[#This Row],[Usage-Based Insurance]],Table3[Usage-Based Insurance],Table3[Usage-Based Insurance Discount],,0)</f>
        <v>0.65</v>
      </c>
      <c r="AD227">
        <f>_xlfn.XLOOKUP(Table1820[[#This Row],[Yearly Miles]],Table4[Yearly Miles],Table4[Yearly Miles Factor],,0)</f>
        <v>0.93</v>
      </c>
      <c r="AE227">
        <f>_xlfn.XLOOKUP(Table1820[[#This Row],[City/Zip Code]],Table5[City/Zip Code],Table5[City/Zip Code Factor],,0)</f>
        <v>1.18</v>
      </c>
      <c r="AF227">
        <f>_xlfn.XLOOKUP(Table1820[[#This Row],[Vehicle Price]],Table6[Vehicle Price],Table6[Vehicle Price Factor])</f>
        <v>2.02</v>
      </c>
      <c r="AG227">
        <f>_xlfn.XLOOKUP(Table1820[[#This Row],[Exotic Car]],Table7[Exotic Car],Table7[Exotic Car Factor],,0)</f>
        <v>1</v>
      </c>
      <c r="AH227">
        <f>_xlfn.XLOOKUP(Table1820[[#This Row],[Difficult Parts]],Table8[Difficult Parts],Table8[Difficult Parts Factor],,0)</f>
        <v>1</v>
      </c>
      <c r="AI227">
        <f>_xlfn.XLOOKUP(Table1820[[#This Row],[High Theft Rate]],Table9[High Theft Rate],Table9[High Theft Rate Factor],,0)</f>
        <v>1</v>
      </c>
      <c r="AJ227">
        <f>_xlfn.XLOOKUP(Table1820[[#This Row],[Advanced Safety Features]],Table10[Advanced Safety Features],Table10[Advanced Safety Features Factor],,0)</f>
        <v>1</v>
      </c>
      <c r="AK227">
        <f>_xlfn.XLOOKUP(Table1820[[#This Row],[Deductible]],Table12[Deductible],Table12[Deductible Factor],,0)</f>
        <v>1</v>
      </c>
      <c r="AL227">
        <f>_xlfn.XLOOKUP(Table1820[[#This Row],[Coverage Limit]],Table13[Coverage Limit],Table13[Coverage Limit Factor],,0)</f>
        <v>0.72</v>
      </c>
      <c r="AM227">
        <f>IF(Table1820[[#This Row],[Good Student Discount]]="Yes",'Rate Book'!$D$126,1)</f>
        <v>1</v>
      </c>
      <c r="AN227">
        <f>IF(Table1820[[#This Row],[Good Driver Discount]]="Yes",'Rate Book'!$D$127,1)</f>
        <v>1</v>
      </c>
      <c r="AO227">
        <f>IF(Table1820[[#This Row],[Multi Policy Discount]]="Yes",'Rate Book'!$D$128,1)</f>
        <v>1</v>
      </c>
      <c r="AP227">
        <f>IF(Table1820[[#This Row],[Loyal Customer Discount]]="Yes",'Rate Book'!$D$129,1)</f>
        <v>1</v>
      </c>
      <c r="AQ227">
        <f>IF(Table1820[[#This Row],[Organization Discount]]="Yes",'Rate Book'!$D$130,1)</f>
        <v>1</v>
      </c>
      <c r="AR227" cm="1">
        <f t="array" ref="AR227">IF(Table1820[[#This Row],[Effective Date]]&gt;=RateChangeTable[Effective Date],RateChangeTable[Rate Change Factor],1)</f>
        <v>1.06</v>
      </c>
      <c r="AS227" s="10">
        <f>PRODUCT(Table1820[[#This Row],[Base Rate]:[Rate Change Factor]])</f>
        <v>1898.5103107328805</v>
      </c>
      <c r="AT227" s="9">
        <f>Table1820[[#This Row],[System-Generated Premium]]-Table1820[[#This Row],[Expected Premium]]</f>
        <v>0</v>
      </c>
      <c r="AU227" t="str">
        <f>IF(Table1820[[#This Row],[Difference]]=0,"PASS","FAIL")</f>
        <v>PASS</v>
      </c>
      <c r="AV227" s="9">
        <f>ABS(Table1820[[#This Row],[Difference]])</f>
        <v>0</v>
      </c>
      <c r="AW227" s="9" t="s">
        <v>1136</v>
      </c>
    </row>
    <row r="228" spans="1:49" x14ac:dyDescent="0.3">
      <c r="A228" t="s">
        <v>319</v>
      </c>
      <c r="B228" s="7">
        <v>46049</v>
      </c>
      <c r="C228" t="s">
        <v>74</v>
      </c>
      <c r="D228" t="s">
        <v>1097</v>
      </c>
      <c r="E228" s="3">
        <v>7</v>
      </c>
      <c r="F228" s="3">
        <v>3</v>
      </c>
      <c r="G228" t="s">
        <v>12</v>
      </c>
      <c r="H228" t="s">
        <v>1107</v>
      </c>
      <c r="I228" t="s">
        <v>33</v>
      </c>
      <c r="J228" t="s">
        <v>48</v>
      </c>
      <c r="K228" t="s">
        <v>10</v>
      </c>
      <c r="L228" t="s">
        <v>57</v>
      </c>
      <c r="M228" t="s">
        <v>10</v>
      </c>
      <c r="N228" t="s">
        <v>10</v>
      </c>
      <c r="O228" t="str">
        <f>INDEX(CoverageTable[Deductible Applies],MATCH(Table1820[[#This Row],[Coverage]],CoverageTable[Coverage],0))</f>
        <v>No</v>
      </c>
      <c r="P228" t="str">
        <f>INDEX(CoverageTable[Coverage Limit Applies],MATCH(Table1820[[#This Row],[Coverage]],CoverageTable[Coverage],0))</f>
        <v>Yes</v>
      </c>
      <c r="Q228" t="s">
        <v>10</v>
      </c>
      <c r="R228" t="s">
        <v>80</v>
      </c>
      <c r="S228" t="s">
        <v>10</v>
      </c>
      <c r="T228" t="s">
        <v>10</v>
      </c>
      <c r="U228" t="s">
        <v>10</v>
      </c>
      <c r="V228" t="s">
        <v>10</v>
      </c>
      <c r="W228" t="s">
        <v>10</v>
      </c>
      <c r="X228" s="11">
        <v>62.735052032632687</v>
      </c>
      <c r="Y228">
        <f>_xlfn.XLOOKUP(Table1820[[#This Row],[Coverage]],CoverageTable[Coverage],CoverageTable[Base Rate],,0)</f>
        <v>41</v>
      </c>
      <c r="Z228">
        <f>INDEX(Table16[Ageband Factor],MATCH(Table1820[[#This Row],[Ageband]],Table16[Ageband],0))</f>
        <v>1.32</v>
      </c>
      <c r="AA228">
        <f>VLOOKUP(Table1820[[#This Row],[Years Driving]],Table1[],2)</f>
        <v>0.95</v>
      </c>
      <c r="AB228">
        <f>_xlfn.XLOOKUP(Table1820[[#This Row],[At Fault Accidents]],Table2[At Fault Accidents],Table2[At Fault Accident Factor],,0)</f>
        <v>1.82</v>
      </c>
      <c r="AC228">
        <f>_xlfn.XLOOKUP(Table1820[[#This Row],[Usage-Based Insurance]],Table3[Usage-Based Insurance],Table3[Usage-Based Insurance Discount],,0)</f>
        <v>0.8</v>
      </c>
      <c r="AD228">
        <f>_xlfn.XLOOKUP(Table1820[[#This Row],[Yearly Miles]],Table4[Yearly Miles],Table4[Yearly Miles Factor],,0)</f>
        <v>0.93</v>
      </c>
      <c r="AE228">
        <f>_xlfn.XLOOKUP(Table1820[[#This Row],[City/Zip Code]],Table5[City/Zip Code],Table5[City/Zip Code Factor],,0)</f>
        <v>1.02</v>
      </c>
      <c r="AF228">
        <f>_xlfn.XLOOKUP(Table1820[[#This Row],[Vehicle Price]],Table6[Vehicle Price],Table6[Vehicle Price Factor])</f>
        <v>0.82</v>
      </c>
      <c r="AG228">
        <f>_xlfn.XLOOKUP(Table1820[[#This Row],[Exotic Car]],Table7[Exotic Car],Table7[Exotic Car Factor],,0)</f>
        <v>1</v>
      </c>
      <c r="AH228">
        <f>_xlfn.XLOOKUP(Table1820[[#This Row],[Difficult Parts]],Table8[Difficult Parts],Table8[Difficult Parts Factor],,0)</f>
        <v>1.21</v>
      </c>
      <c r="AI228">
        <f>_xlfn.XLOOKUP(Table1820[[#This Row],[High Theft Rate]],Table9[High Theft Rate],Table9[High Theft Rate Factor],,0)</f>
        <v>1</v>
      </c>
      <c r="AJ228">
        <f>_xlfn.XLOOKUP(Table1820[[#This Row],[Advanced Safety Features]],Table10[Advanced Safety Features],Table10[Advanced Safety Features Factor],,0)</f>
        <v>1</v>
      </c>
      <c r="AK228">
        <f>_xlfn.XLOOKUP(Table1820[[#This Row],[Deductible]],Table12[Deductible],Table12[Deductible Factor],,0)</f>
        <v>1</v>
      </c>
      <c r="AL228">
        <f>_xlfn.XLOOKUP(Table1820[[#This Row],[Coverage Limit]],Table13[Coverage Limit],Table13[Coverage Limit Factor],,0)</f>
        <v>0.84</v>
      </c>
      <c r="AM228">
        <f>IF(Table1820[[#This Row],[Good Student Discount]]="Yes",'Rate Book'!$D$126,1)</f>
        <v>1</v>
      </c>
      <c r="AN228">
        <f>IF(Table1820[[#This Row],[Good Driver Discount]]="Yes",'Rate Book'!$D$127,1)</f>
        <v>1</v>
      </c>
      <c r="AO228">
        <f>IF(Table1820[[#This Row],[Multi Policy Discount]]="Yes",'Rate Book'!$D$128,1)</f>
        <v>1</v>
      </c>
      <c r="AP228">
        <f>IF(Table1820[[#This Row],[Loyal Customer Discount]]="Yes",'Rate Book'!$D$129,1)</f>
        <v>1</v>
      </c>
      <c r="AQ228">
        <f>IF(Table1820[[#This Row],[Organization Discount]]="Yes",'Rate Book'!$D$130,1)</f>
        <v>1</v>
      </c>
      <c r="AR228" cm="1">
        <f t="array" ref="AR228">IF(Table1820[[#This Row],[Effective Date]]&gt;=RateChangeTable[Effective Date],RateChangeTable[Rate Change Factor],1)</f>
        <v>1.06</v>
      </c>
      <c r="AS228" s="10">
        <f>PRODUCT(Table1820[[#This Row],[Base Rate]:[Rate Change Factor]])</f>
        <v>62.735052032632687</v>
      </c>
      <c r="AT228" s="9">
        <f>Table1820[[#This Row],[System-Generated Premium]]-Table1820[[#This Row],[Expected Premium]]</f>
        <v>0</v>
      </c>
      <c r="AU228" t="str">
        <f>IF(Table1820[[#This Row],[Difference]]=0,"PASS","FAIL")</f>
        <v>PASS</v>
      </c>
      <c r="AV228" s="9">
        <f>ABS(Table1820[[#This Row],[Difference]])</f>
        <v>0</v>
      </c>
      <c r="AW228" s="9" t="s">
        <v>1136</v>
      </c>
    </row>
    <row r="229" spans="1:49" x14ac:dyDescent="0.3">
      <c r="A229" t="s">
        <v>320</v>
      </c>
      <c r="B229" s="7">
        <v>46082</v>
      </c>
      <c r="C229" t="s">
        <v>72</v>
      </c>
      <c r="D229" t="s">
        <v>1098</v>
      </c>
      <c r="E229" s="3">
        <v>2</v>
      </c>
      <c r="F229" s="3">
        <v>1</v>
      </c>
      <c r="G229" t="s">
        <v>11</v>
      </c>
      <c r="H229" t="s">
        <v>1106</v>
      </c>
      <c r="I229" t="s">
        <v>33</v>
      </c>
      <c r="J229" t="s">
        <v>51</v>
      </c>
      <c r="K229" t="s">
        <v>10</v>
      </c>
      <c r="L229" t="s">
        <v>10</v>
      </c>
      <c r="M229" t="s">
        <v>57</v>
      </c>
      <c r="N229" t="s">
        <v>57</v>
      </c>
      <c r="O229" t="str">
        <f>INDEX(CoverageTable[Deductible Applies],MATCH(Table1820[[#This Row],[Coverage]],CoverageTable[Coverage],0))</f>
        <v>Yes</v>
      </c>
      <c r="P229" t="str">
        <f>INDEX(CoverageTable[Coverage Limit Applies],MATCH(Table1820[[#This Row],[Coverage]],CoverageTable[Coverage],0))</f>
        <v>No</v>
      </c>
      <c r="Q229" t="s">
        <v>80</v>
      </c>
      <c r="R229" t="s">
        <v>10</v>
      </c>
      <c r="S229" t="s">
        <v>10</v>
      </c>
      <c r="T229" t="s">
        <v>10</v>
      </c>
      <c r="U229" t="s">
        <v>10</v>
      </c>
      <c r="V229" t="s">
        <v>10</v>
      </c>
      <c r="W229" t="s">
        <v>10</v>
      </c>
      <c r="X229" s="11">
        <v>222.81325079070916</v>
      </c>
      <c r="Y229">
        <f>_xlfn.XLOOKUP(Table1820[[#This Row],[Coverage]],CoverageTable[Coverage],CoverageTable[Base Rate],,0)</f>
        <v>121</v>
      </c>
      <c r="Z229">
        <f>INDEX(Table16[Ageband Factor],MATCH(Table1820[[#This Row],[Ageband]],Table16[Ageband],0))</f>
        <v>1.23</v>
      </c>
      <c r="AA229">
        <f>VLOOKUP(Table1820[[#This Row],[Years Driving]],Table1[],2)</f>
        <v>1.41</v>
      </c>
      <c r="AB229">
        <f>_xlfn.XLOOKUP(Table1820[[#This Row],[At Fault Accidents]],Table2[At Fault Accidents],Table2[At Fault Accident Factor],,0)</f>
        <v>1.34</v>
      </c>
      <c r="AC229">
        <f>_xlfn.XLOOKUP(Table1820[[#This Row],[Usage-Based Insurance]],Table3[Usage-Based Insurance],Table3[Usage-Based Insurance Discount],,0)</f>
        <v>0.95</v>
      </c>
      <c r="AD229">
        <f>_xlfn.XLOOKUP(Table1820[[#This Row],[Yearly Miles]],Table4[Yearly Miles],Table4[Yearly Miles Factor],,0)</f>
        <v>0.82</v>
      </c>
      <c r="AE229">
        <f>_xlfn.XLOOKUP(Table1820[[#This Row],[City/Zip Code]],Table5[City/Zip Code],Table5[City/Zip Code Factor],,0)</f>
        <v>1.02</v>
      </c>
      <c r="AF229">
        <f>_xlfn.XLOOKUP(Table1820[[#This Row],[Vehicle Price]],Table6[Vehicle Price],Table6[Vehicle Price Factor])</f>
        <v>1.28</v>
      </c>
      <c r="AG229">
        <f>_xlfn.XLOOKUP(Table1820[[#This Row],[Exotic Car]],Table7[Exotic Car],Table7[Exotic Car Factor],,0)</f>
        <v>1</v>
      </c>
      <c r="AH229">
        <f>_xlfn.XLOOKUP(Table1820[[#This Row],[Difficult Parts]],Table8[Difficult Parts],Table8[Difficult Parts Factor],,0)</f>
        <v>1</v>
      </c>
      <c r="AI229">
        <f>_xlfn.XLOOKUP(Table1820[[#This Row],[High Theft Rate]],Table9[High Theft Rate],Table9[High Theft Rate Factor],,0)</f>
        <v>1.1599999999999999</v>
      </c>
      <c r="AJ229">
        <f>_xlfn.XLOOKUP(Table1820[[#This Row],[Advanced Safety Features]],Table10[Advanced Safety Features],Table10[Advanced Safety Features Factor],,0)</f>
        <v>0.88</v>
      </c>
      <c r="AK229">
        <f>_xlfn.XLOOKUP(Table1820[[#This Row],[Deductible]],Table12[Deductible],Table12[Deductible Factor],,0)</f>
        <v>0.72</v>
      </c>
      <c r="AL229">
        <f>_xlfn.XLOOKUP(Table1820[[#This Row],[Coverage Limit]],Table13[Coverage Limit],Table13[Coverage Limit Factor],,0)</f>
        <v>1</v>
      </c>
      <c r="AM229">
        <f>IF(Table1820[[#This Row],[Good Student Discount]]="Yes",'Rate Book'!$D$126,1)</f>
        <v>1</v>
      </c>
      <c r="AN229">
        <f>IF(Table1820[[#This Row],[Good Driver Discount]]="Yes",'Rate Book'!$D$127,1)</f>
        <v>1</v>
      </c>
      <c r="AO229">
        <f>IF(Table1820[[#This Row],[Multi Policy Discount]]="Yes",'Rate Book'!$D$128,1)</f>
        <v>1</v>
      </c>
      <c r="AP229">
        <f>IF(Table1820[[#This Row],[Loyal Customer Discount]]="Yes",'Rate Book'!$D$129,1)</f>
        <v>1</v>
      </c>
      <c r="AQ229">
        <f>IF(Table1820[[#This Row],[Organization Discount]]="Yes",'Rate Book'!$D$130,1)</f>
        <v>1</v>
      </c>
      <c r="AR229" cm="1">
        <f t="array" ref="AR229">IF(Table1820[[#This Row],[Effective Date]]&gt;=RateChangeTable[Effective Date],RateChangeTable[Rate Change Factor],1)</f>
        <v>1.06</v>
      </c>
      <c r="AS229" s="10">
        <f>PRODUCT(Table1820[[#This Row],[Base Rate]:[Rate Change Factor]])</f>
        <v>222.81325079070916</v>
      </c>
      <c r="AT229" s="9">
        <f>Table1820[[#This Row],[System-Generated Premium]]-Table1820[[#This Row],[Expected Premium]]</f>
        <v>0</v>
      </c>
      <c r="AU229" t="str">
        <f>IF(Table1820[[#This Row],[Difference]]=0,"PASS","FAIL")</f>
        <v>PASS</v>
      </c>
      <c r="AV229" s="9">
        <f>ABS(Table1820[[#This Row],[Difference]])</f>
        <v>0</v>
      </c>
      <c r="AW229" s="9" t="s">
        <v>1136</v>
      </c>
    </row>
    <row r="230" spans="1:49" x14ac:dyDescent="0.3">
      <c r="A230" t="s">
        <v>321</v>
      </c>
      <c r="B230" s="7">
        <v>46056</v>
      </c>
      <c r="C230" t="s">
        <v>70</v>
      </c>
      <c r="D230" t="s">
        <v>1098</v>
      </c>
      <c r="E230" s="3">
        <v>1</v>
      </c>
      <c r="F230" s="3">
        <v>4</v>
      </c>
      <c r="G230" t="s">
        <v>11</v>
      </c>
      <c r="H230" t="s">
        <v>1110</v>
      </c>
      <c r="I230" t="s">
        <v>23</v>
      </c>
      <c r="J230" t="s">
        <v>52</v>
      </c>
      <c r="K230" t="s">
        <v>10</v>
      </c>
      <c r="L230" t="s">
        <v>10</v>
      </c>
      <c r="M230" t="s">
        <v>10</v>
      </c>
      <c r="N230" t="s">
        <v>57</v>
      </c>
      <c r="O230" t="str">
        <f>INDEX(CoverageTable[Deductible Applies],MATCH(Table1820[[#This Row],[Coverage]],CoverageTable[Coverage],0))</f>
        <v>No</v>
      </c>
      <c r="P230" t="str">
        <f>INDEX(CoverageTable[Coverage Limit Applies],MATCH(Table1820[[#This Row],[Coverage]],CoverageTable[Coverage],0))</f>
        <v>Yes</v>
      </c>
      <c r="Q230" t="s">
        <v>10</v>
      </c>
      <c r="R230" t="s">
        <v>79</v>
      </c>
      <c r="S230" t="s">
        <v>10</v>
      </c>
      <c r="T230" t="s">
        <v>10</v>
      </c>
      <c r="U230" t="s">
        <v>57</v>
      </c>
      <c r="V230" t="s">
        <v>10</v>
      </c>
      <c r="W230" t="s">
        <v>10</v>
      </c>
      <c r="X230" s="11">
        <v>2986.4934611402728</v>
      </c>
      <c r="Y230">
        <f>_xlfn.XLOOKUP(Table1820[[#This Row],[Coverage]],CoverageTable[Coverage],CoverageTable[Base Rate],,0)</f>
        <v>622</v>
      </c>
      <c r="Z230">
        <f>INDEX(Table16[Ageband Factor],MATCH(Table1820[[#This Row],[Ageband]],Table16[Ageband],0))</f>
        <v>1.23</v>
      </c>
      <c r="AA230">
        <f>VLOOKUP(Table1820[[#This Row],[Years Driving]],Table1[],2)</f>
        <v>1.64</v>
      </c>
      <c r="AB230">
        <f>_xlfn.XLOOKUP(Table1820[[#This Row],[At Fault Accidents]],Table2[At Fault Accidents],Table2[At Fault Accident Factor],,0)</f>
        <v>2.12</v>
      </c>
      <c r="AC230">
        <f>_xlfn.XLOOKUP(Table1820[[#This Row],[Usage-Based Insurance]],Table3[Usage-Based Insurance],Table3[Usage-Based Insurance Discount],,0)</f>
        <v>0.95</v>
      </c>
      <c r="AD230">
        <f>_xlfn.XLOOKUP(Table1820[[#This Row],[Yearly Miles]],Table4[Yearly Miles],Table4[Yearly Miles Factor],,0)</f>
        <v>1.31</v>
      </c>
      <c r="AE230">
        <f>_xlfn.XLOOKUP(Table1820[[#This Row],[City/Zip Code]],Table5[City/Zip Code],Table5[City/Zip Code Factor],,0)</f>
        <v>0.92</v>
      </c>
      <c r="AF230">
        <f>_xlfn.XLOOKUP(Table1820[[#This Row],[Vehicle Price]],Table6[Vehicle Price],Table6[Vehicle Price Factor])</f>
        <v>1.57</v>
      </c>
      <c r="AG230">
        <f>_xlfn.XLOOKUP(Table1820[[#This Row],[Exotic Car]],Table7[Exotic Car],Table7[Exotic Car Factor],,0)</f>
        <v>1</v>
      </c>
      <c r="AH230">
        <f>_xlfn.XLOOKUP(Table1820[[#This Row],[Difficult Parts]],Table8[Difficult Parts],Table8[Difficult Parts Factor],,0)</f>
        <v>1</v>
      </c>
      <c r="AI230">
        <f>_xlfn.XLOOKUP(Table1820[[#This Row],[High Theft Rate]],Table9[High Theft Rate],Table9[High Theft Rate Factor],,0)</f>
        <v>1</v>
      </c>
      <c r="AJ230">
        <f>_xlfn.XLOOKUP(Table1820[[#This Row],[Advanced Safety Features]],Table10[Advanced Safety Features],Table10[Advanced Safety Features Factor],,0)</f>
        <v>0.88</v>
      </c>
      <c r="AK230">
        <f>_xlfn.XLOOKUP(Table1820[[#This Row],[Deductible]],Table12[Deductible],Table12[Deductible Factor],,0)</f>
        <v>1</v>
      </c>
      <c r="AL230">
        <f>_xlfn.XLOOKUP(Table1820[[#This Row],[Coverage Limit]],Table13[Coverage Limit],Table13[Coverage Limit Factor],,0)</f>
        <v>0.72</v>
      </c>
      <c r="AM230">
        <f>IF(Table1820[[#This Row],[Good Student Discount]]="Yes",'Rate Book'!$D$126,1)</f>
        <v>1</v>
      </c>
      <c r="AN230">
        <f>IF(Table1820[[#This Row],[Good Driver Discount]]="Yes",'Rate Book'!$D$127,1)</f>
        <v>1</v>
      </c>
      <c r="AO230">
        <f>IF(Table1820[[#This Row],[Multi Policy Discount]]="Yes",'Rate Book'!$D$128,1)</f>
        <v>0.93</v>
      </c>
      <c r="AP230">
        <f>IF(Table1820[[#This Row],[Loyal Customer Discount]]="Yes",'Rate Book'!$D$129,1)</f>
        <v>1</v>
      </c>
      <c r="AQ230">
        <f>IF(Table1820[[#This Row],[Organization Discount]]="Yes",'Rate Book'!$D$130,1)</f>
        <v>1</v>
      </c>
      <c r="AR230" cm="1">
        <f t="array" ref="AR230">IF(Table1820[[#This Row],[Effective Date]]&gt;=RateChangeTable[Effective Date],RateChangeTable[Rate Change Factor],1)</f>
        <v>1.06</v>
      </c>
      <c r="AS230" s="10">
        <f>PRODUCT(Table1820[[#This Row],[Base Rate]:[Rate Change Factor]])</f>
        <v>2986.4934611402728</v>
      </c>
      <c r="AT230" s="9">
        <f>Table1820[[#This Row],[System-Generated Premium]]-Table1820[[#This Row],[Expected Premium]]</f>
        <v>0</v>
      </c>
      <c r="AU230" t="str">
        <f>IF(Table1820[[#This Row],[Difference]]=0,"PASS","FAIL")</f>
        <v>PASS</v>
      </c>
      <c r="AV230" s="9">
        <f>ABS(Table1820[[#This Row],[Difference]])</f>
        <v>0</v>
      </c>
      <c r="AW230" s="9" t="s">
        <v>1136</v>
      </c>
    </row>
    <row r="231" spans="1:49" x14ac:dyDescent="0.3">
      <c r="A231" t="s">
        <v>322</v>
      </c>
      <c r="B231" s="7">
        <v>46134</v>
      </c>
      <c r="C231" t="s">
        <v>70</v>
      </c>
      <c r="D231" t="s">
        <v>1098</v>
      </c>
      <c r="E231" s="3">
        <v>6</v>
      </c>
      <c r="F231" s="3">
        <v>2</v>
      </c>
      <c r="G231" t="s">
        <v>11</v>
      </c>
      <c r="H231" t="s">
        <v>1110</v>
      </c>
      <c r="I231" t="s">
        <v>32</v>
      </c>
      <c r="J231" t="s">
        <v>49</v>
      </c>
      <c r="K231" t="s">
        <v>10</v>
      </c>
      <c r="L231" t="s">
        <v>10</v>
      </c>
      <c r="M231" t="s">
        <v>10</v>
      </c>
      <c r="N231" t="s">
        <v>10</v>
      </c>
      <c r="O231" t="str">
        <f>INDEX(CoverageTable[Deductible Applies],MATCH(Table1820[[#This Row],[Coverage]],CoverageTable[Coverage],0))</f>
        <v>No</v>
      </c>
      <c r="P231" t="str">
        <f>INDEX(CoverageTable[Coverage Limit Applies],MATCH(Table1820[[#This Row],[Coverage]],CoverageTable[Coverage],0))</f>
        <v>Yes</v>
      </c>
      <c r="Q231" t="s">
        <v>10</v>
      </c>
      <c r="R231" t="s">
        <v>78</v>
      </c>
      <c r="S231" t="s">
        <v>10</v>
      </c>
      <c r="T231" t="s">
        <v>10</v>
      </c>
      <c r="U231" t="s">
        <v>10</v>
      </c>
      <c r="V231" t="s">
        <v>10</v>
      </c>
      <c r="W231" t="s">
        <v>57</v>
      </c>
      <c r="X231" s="11">
        <v>1005.5861582635838</v>
      </c>
      <c r="Y231">
        <f>_xlfn.XLOOKUP(Table1820[[#This Row],[Coverage]],CoverageTable[Coverage],CoverageTable[Base Rate],,0)</f>
        <v>622</v>
      </c>
      <c r="Z231">
        <f>INDEX(Table16[Ageband Factor],MATCH(Table1820[[#This Row],[Ageband]],Table16[Ageband],0))</f>
        <v>1.23</v>
      </c>
      <c r="AA231">
        <f>VLOOKUP(Table1820[[#This Row],[Years Driving]],Table1[],2)</f>
        <v>1</v>
      </c>
      <c r="AB231">
        <f>_xlfn.XLOOKUP(Table1820[[#This Row],[At Fault Accidents]],Table2[At Fault Accidents],Table2[At Fault Accident Factor],,0)</f>
        <v>1.55</v>
      </c>
      <c r="AC231">
        <f>_xlfn.XLOOKUP(Table1820[[#This Row],[Usage-Based Insurance]],Table3[Usage-Based Insurance],Table3[Usage-Based Insurance Discount],,0)</f>
        <v>0.95</v>
      </c>
      <c r="AD231">
        <f>_xlfn.XLOOKUP(Table1820[[#This Row],[Yearly Miles]],Table4[Yearly Miles],Table4[Yearly Miles Factor],,0)</f>
        <v>1.31</v>
      </c>
      <c r="AE231">
        <f>_xlfn.XLOOKUP(Table1820[[#This Row],[City/Zip Code]],Table5[City/Zip Code],Table5[City/Zip Code Factor],,0)</f>
        <v>1.1200000000000001</v>
      </c>
      <c r="AF231">
        <f>_xlfn.XLOOKUP(Table1820[[#This Row],[Vehicle Price]],Table6[Vehicle Price],Table6[Vehicle Price Factor])</f>
        <v>0.97</v>
      </c>
      <c r="AG231">
        <f>_xlfn.XLOOKUP(Table1820[[#This Row],[Exotic Car]],Table7[Exotic Car],Table7[Exotic Car Factor],,0)</f>
        <v>1</v>
      </c>
      <c r="AH231">
        <f>_xlfn.XLOOKUP(Table1820[[#This Row],[Difficult Parts]],Table8[Difficult Parts],Table8[Difficult Parts Factor],,0)</f>
        <v>1</v>
      </c>
      <c r="AI231">
        <f>_xlfn.XLOOKUP(Table1820[[#This Row],[High Theft Rate]],Table9[High Theft Rate],Table9[High Theft Rate Factor],,0)</f>
        <v>1</v>
      </c>
      <c r="AJ231">
        <f>_xlfn.XLOOKUP(Table1820[[#This Row],[Advanced Safety Features]],Table10[Advanced Safety Features],Table10[Advanced Safety Features Factor],,0)</f>
        <v>1</v>
      </c>
      <c r="AK231">
        <f>_xlfn.XLOOKUP(Table1820[[#This Row],[Deductible]],Table12[Deductible],Table12[Deductible Factor],,0)</f>
        <v>1</v>
      </c>
      <c r="AL231">
        <f>_xlfn.XLOOKUP(Table1820[[#This Row],[Coverage Limit]],Table13[Coverage Limit],Table13[Coverage Limit Factor],,0)</f>
        <v>0.61</v>
      </c>
      <c r="AM231">
        <f>IF(Table1820[[#This Row],[Good Student Discount]]="Yes",'Rate Book'!$D$126,1)</f>
        <v>1</v>
      </c>
      <c r="AN231">
        <f>IF(Table1820[[#This Row],[Good Driver Discount]]="Yes",'Rate Book'!$D$127,1)</f>
        <v>1</v>
      </c>
      <c r="AO231">
        <f>IF(Table1820[[#This Row],[Multi Policy Discount]]="Yes",'Rate Book'!$D$128,1)</f>
        <v>1</v>
      </c>
      <c r="AP231">
        <f>IF(Table1820[[#This Row],[Loyal Customer Discount]]="Yes",'Rate Book'!$D$129,1)</f>
        <v>1</v>
      </c>
      <c r="AQ231">
        <f>IF(Table1820[[#This Row],[Organization Discount]]="Yes",'Rate Book'!$D$130,1)</f>
        <v>0.97</v>
      </c>
      <c r="AR231" cm="1">
        <f t="array" ref="AR231">IF(Table1820[[#This Row],[Effective Date]]&gt;=RateChangeTable[Effective Date],RateChangeTable[Rate Change Factor],1)</f>
        <v>1.06</v>
      </c>
      <c r="AS231" s="10">
        <f>PRODUCT(Table1820[[#This Row],[Base Rate]:[Rate Change Factor]])</f>
        <v>1005.5861582635838</v>
      </c>
      <c r="AT231" s="9">
        <f>Table1820[[#This Row],[System-Generated Premium]]-Table1820[[#This Row],[Expected Premium]]</f>
        <v>0</v>
      </c>
      <c r="AU231" t="str">
        <f>IF(Table1820[[#This Row],[Difference]]=0,"PASS","FAIL")</f>
        <v>PASS</v>
      </c>
      <c r="AV231" s="9">
        <f>ABS(Table1820[[#This Row],[Difference]])</f>
        <v>0</v>
      </c>
      <c r="AW231" s="9" t="s">
        <v>1136</v>
      </c>
    </row>
    <row r="232" spans="1:49" x14ac:dyDescent="0.3">
      <c r="A232" t="s">
        <v>323</v>
      </c>
      <c r="B232" s="7">
        <v>46004</v>
      </c>
      <c r="C232" t="s">
        <v>73</v>
      </c>
      <c r="D232" t="s">
        <v>1098</v>
      </c>
      <c r="E232" s="3">
        <v>2</v>
      </c>
      <c r="F232" s="3">
        <v>1</v>
      </c>
      <c r="G232" t="s">
        <v>10</v>
      </c>
      <c r="H232" t="s">
        <v>1106</v>
      </c>
      <c r="I232" t="s">
        <v>39</v>
      </c>
      <c r="J232" t="s">
        <v>51</v>
      </c>
      <c r="K232" t="s">
        <v>10</v>
      </c>
      <c r="L232" t="s">
        <v>10</v>
      </c>
      <c r="M232" t="s">
        <v>10</v>
      </c>
      <c r="N232" t="s">
        <v>57</v>
      </c>
      <c r="O232" t="str">
        <f>INDEX(CoverageTable[Deductible Applies],MATCH(Table1820[[#This Row],[Coverage]],CoverageTable[Coverage],0))</f>
        <v>No</v>
      </c>
      <c r="P232" t="str">
        <f>INDEX(CoverageTable[Coverage Limit Applies],MATCH(Table1820[[#This Row],[Coverage]],CoverageTable[Coverage],0))</f>
        <v>Yes</v>
      </c>
      <c r="Q232" t="s">
        <v>10</v>
      </c>
      <c r="R232" t="s">
        <v>80</v>
      </c>
      <c r="S232" t="s">
        <v>10</v>
      </c>
      <c r="T232" t="s">
        <v>10</v>
      </c>
      <c r="U232" t="s">
        <v>10</v>
      </c>
      <c r="V232" t="s">
        <v>10</v>
      </c>
      <c r="W232" t="s">
        <v>10</v>
      </c>
      <c r="X232" s="11">
        <v>151.89139154145116</v>
      </c>
      <c r="Y232">
        <f>_xlfn.XLOOKUP(Table1820[[#This Row],[Coverage]],CoverageTable[Coverage],CoverageTable[Base Rate],,0)</f>
        <v>78</v>
      </c>
      <c r="Z232">
        <f>INDEX(Table16[Ageband Factor],MATCH(Table1820[[#This Row],[Ageband]],Table16[Ageband],0))</f>
        <v>1.23</v>
      </c>
      <c r="AA232">
        <f>VLOOKUP(Table1820[[#This Row],[Years Driving]],Table1[],2)</f>
        <v>1.41</v>
      </c>
      <c r="AB232">
        <f>_xlfn.XLOOKUP(Table1820[[#This Row],[At Fault Accidents]],Table2[At Fault Accidents],Table2[At Fault Accident Factor],,0)</f>
        <v>1.34</v>
      </c>
      <c r="AC232">
        <f>_xlfn.XLOOKUP(Table1820[[#This Row],[Usage-Based Insurance]],Table3[Usage-Based Insurance],Table3[Usage-Based Insurance Discount],,0)</f>
        <v>1</v>
      </c>
      <c r="AD232">
        <f>_xlfn.XLOOKUP(Table1820[[#This Row],[Yearly Miles]],Table4[Yearly Miles],Table4[Yearly Miles Factor],,0)</f>
        <v>0.82</v>
      </c>
      <c r="AE232">
        <f>_xlfn.XLOOKUP(Table1820[[#This Row],[City/Zip Code]],Table5[City/Zip Code],Table5[City/Zip Code Factor],,0)</f>
        <v>1.08</v>
      </c>
      <c r="AF232">
        <f>_xlfn.XLOOKUP(Table1820[[#This Row],[Vehicle Price]],Table6[Vehicle Price],Table6[Vehicle Price Factor])</f>
        <v>1.28</v>
      </c>
      <c r="AG232">
        <f>_xlfn.XLOOKUP(Table1820[[#This Row],[Exotic Car]],Table7[Exotic Car],Table7[Exotic Car Factor],,0)</f>
        <v>1</v>
      </c>
      <c r="AH232">
        <f>_xlfn.XLOOKUP(Table1820[[#This Row],[Difficult Parts]],Table8[Difficult Parts],Table8[Difficult Parts Factor],,0)</f>
        <v>1</v>
      </c>
      <c r="AI232">
        <f>_xlfn.XLOOKUP(Table1820[[#This Row],[High Theft Rate]],Table9[High Theft Rate],Table9[High Theft Rate Factor],,0)</f>
        <v>1</v>
      </c>
      <c r="AJ232">
        <f>_xlfn.XLOOKUP(Table1820[[#This Row],[Advanced Safety Features]],Table10[Advanced Safety Features],Table10[Advanced Safety Features Factor],,0)</f>
        <v>0.88</v>
      </c>
      <c r="AK232">
        <f>_xlfn.XLOOKUP(Table1820[[#This Row],[Deductible]],Table12[Deductible],Table12[Deductible Factor],,0)</f>
        <v>1</v>
      </c>
      <c r="AL232">
        <f>_xlfn.XLOOKUP(Table1820[[#This Row],[Coverage Limit]],Table13[Coverage Limit],Table13[Coverage Limit Factor],,0)</f>
        <v>0.84</v>
      </c>
      <c r="AM232">
        <f>IF(Table1820[[#This Row],[Good Student Discount]]="Yes",'Rate Book'!$D$126,1)</f>
        <v>1</v>
      </c>
      <c r="AN232">
        <f>IF(Table1820[[#This Row],[Good Driver Discount]]="Yes",'Rate Book'!$D$127,1)</f>
        <v>1</v>
      </c>
      <c r="AO232">
        <f>IF(Table1820[[#This Row],[Multi Policy Discount]]="Yes",'Rate Book'!$D$128,1)</f>
        <v>1</v>
      </c>
      <c r="AP232">
        <f>IF(Table1820[[#This Row],[Loyal Customer Discount]]="Yes",'Rate Book'!$D$129,1)</f>
        <v>1</v>
      </c>
      <c r="AQ232">
        <f>IF(Table1820[[#This Row],[Organization Discount]]="Yes",'Rate Book'!$D$130,1)</f>
        <v>1</v>
      </c>
      <c r="AR232" cm="1">
        <f t="array" ref="AR232">IF(Table1820[[#This Row],[Effective Date]]&gt;=RateChangeTable[Effective Date],RateChangeTable[Rate Change Factor],1)</f>
        <v>1</v>
      </c>
      <c r="AS232" s="10">
        <f>PRODUCT(Table1820[[#This Row],[Base Rate]:[Rate Change Factor]])</f>
        <v>151.89139154145116</v>
      </c>
      <c r="AT232" s="9">
        <f>Table1820[[#This Row],[System-Generated Premium]]-Table1820[[#This Row],[Expected Premium]]</f>
        <v>0</v>
      </c>
      <c r="AU232" t="str">
        <f>IF(Table1820[[#This Row],[Difference]]=0,"PASS","FAIL")</f>
        <v>PASS</v>
      </c>
      <c r="AV232" s="9">
        <f>ABS(Table1820[[#This Row],[Difference]])</f>
        <v>0</v>
      </c>
      <c r="AW232" s="9" t="s">
        <v>1136</v>
      </c>
    </row>
    <row r="233" spans="1:49" x14ac:dyDescent="0.3">
      <c r="A233" t="s">
        <v>324</v>
      </c>
      <c r="B233" s="7">
        <v>46037</v>
      </c>
      <c r="C233" t="s">
        <v>72</v>
      </c>
      <c r="D233" t="s">
        <v>1097</v>
      </c>
      <c r="E233" s="3">
        <v>3</v>
      </c>
      <c r="F233" s="3">
        <v>1</v>
      </c>
      <c r="G233" t="s">
        <v>10</v>
      </c>
      <c r="H233" t="s">
        <v>1107</v>
      </c>
      <c r="I233" t="s">
        <v>38</v>
      </c>
      <c r="J233" t="s">
        <v>48</v>
      </c>
      <c r="K233" t="s">
        <v>10</v>
      </c>
      <c r="L233" t="s">
        <v>10</v>
      </c>
      <c r="M233" t="s">
        <v>10</v>
      </c>
      <c r="N233" t="s">
        <v>10</v>
      </c>
      <c r="O233" t="str">
        <f>INDEX(CoverageTable[Deductible Applies],MATCH(Table1820[[#This Row],[Coverage]],CoverageTable[Coverage],0))</f>
        <v>Yes</v>
      </c>
      <c r="P233" t="str">
        <f>INDEX(CoverageTable[Coverage Limit Applies],MATCH(Table1820[[#This Row],[Coverage]],CoverageTable[Coverage],0))</f>
        <v>No</v>
      </c>
      <c r="Q233" t="s">
        <v>79</v>
      </c>
      <c r="R233" t="s">
        <v>10</v>
      </c>
      <c r="S233" t="s">
        <v>10</v>
      </c>
      <c r="T233" t="s">
        <v>10</v>
      </c>
      <c r="U233" t="s">
        <v>10</v>
      </c>
      <c r="V233" t="s">
        <v>10</v>
      </c>
      <c r="W233" t="s">
        <v>10</v>
      </c>
      <c r="X233" s="11">
        <v>198.57469560686721</v>
      </c>
      <c r="Y233">
        <f>_xlfn.XLOOKUP(Table1820[[#This Row],[Coverage]],CoverageTable[Coverage],CoverageTable[Base Rate],,0)</f>
        <v>121</v>
      </c>
      <c r="Z233">
        <f>INDEX(Table16[Ageband Factor],MATCH(Table1820[[#This Row],[Ageband]],Table16[Ageband],0))</f>
        <v>1.32</v>
      </c>
      <c r="AA233">
        <f>VLOOKUP(Table1820[[#This Row],[Years Driving]],Table1[],2)</f>
        <v>1.22</v>
      </c>
      <c r="AB233">
        <f>_xlfn.XLOOKUP(Table1820[[#This Row],[At Fault Accidents]],Table2[At Fault Accidents],Table2[At Fault Accident Factor],,0)</f>
        <v>1.34</v>
      </c>
      <c r="AC233">
        <f>_xlfn.XLOOKUP(Table1820[[#This Row],[Usage-Based Insurance]],Table3[Usage-Based Insurance],Table3[Usage-Based Insurance Discount],,0)</f>
        <v>1</v>
      </c>
      <c r="AD233">
        <f>_xlfn.XLOOKUP(Table1820[[#This Row],[Yearly Miles]],Table4[Yearly Miles],Table4[Yearly Miles Factor],,0)</f>
        <v>0.93</v>
      </c>
      <c r="AE233">
        <f>_xlfn.XLOOKUP(Table1820[[#This Row],[City/Zip Code]],Table5[City/Zip Code],Table5[City/Zip Code Factor],,0)</f>
        <v>1.1200000000000001</v>
      </c>
      <c r="AF233">
        <f>_xlfn.XLOOKUP(Table1820[[#This Row],[Vehicle Price]],Table6[Vehicle Price],Table6[Vehicle Price Factor])</f>
        <v>0.82</v>
      </c>
      <c r="AG233">
        <f>_xlfn.XLOOKUP(Table1820[[#This Row],[Exotic Car]],Table7[Exotic Car],Table7[Exotic Car Factor],,0)</f>
        <v>1</v>
      </c>
      <c r="AH233">
        <f>_xlfn.XLOOKUP(Table1820[[#This Row],[Difficult Parts]],Table8[Difficult Parts],Table8[Difficult Parts Factor],,0)</f>
        <v>1</v>
      </c>
      <c r="AI233">
        <f>_xlfn.XLOOKUP(Table1820[[#This Row],[High Theft Rate]],Table9[High Theft Rate],Table9[High Theft Rate Factor],,0)</f>
        <v>1</v>
      </c>
      <c r="AJ233">
        <f>_xlfn.XLOOKUP(Table1820[[#This Row],[Advanced Safety Features]],Table10[Advanced Safety Features],Table10[Advanced Safety Features Factor],,0)</f>
        <v>1</v>
      </c>
      <c r="AK233">
        <f>_xlfn.XLOOKUP(Table1820[[#This Row],[Deductible]],Table12[Deductible],Table12[Deductible Factor],,0)</f>
        <v>0.84</v>
      </c>
      <c r="AL233">
        <f>_xlfn.XLOOKUP(Table1820[[#This Row],[Coverage Limit]],Table13[Coverage Limit],Table13[Coverage Limit Factor],,0)</f>
        <v>1</v>
      </c>
      <c r="AM233">
        <f>IF(Table1820[[#This Row],[Good Student Discount]]="Yes",'Rate Book'!$D$126,1)</f>
        <v>1</v>
      </c>
      <c r="AN233">
        <f>IF(Table1820[[#This Row],[Good Driver Discount]]="Yes",'Rate Book'!$D$127,1)</f>
        <v>1</v>
      </c>
      <c r="AO233">
        <f>IF(Table1820[[#This Row],[Multi Policy Discount]]="Yes",'Rate Book'!$D$128,1)</f>
        <v>1</v>
      </c>
      <c r="AP233">
        <f>IF(Table1820[[#This Row],[Loyal Customer Discount]]="Yes",'Rate Book'!$D$129,1)</f>
        <v>1</v>
      </c>
      <c r="AQ233">
        <f>IF(Table1820[[#This Row],[Organization Discount]]="Yes",'Rate Book'!$D$130,1)</f>
        <v>1</v>
      </c>
      <c r="AR233" cm="1">
        <f t="array" ref="AR233">IF(Table1820[[#This Row],[Effective Date]]&gt;=RateChangeTable[Effective Date],RateChangeTable[Rate Change Factor],1)</f>
        <v>1.06</v>
      </c>
      <c r="AS233" s="10">
        <f>PRODUCT(Table1820[[#This Row],[Base Rate]:[Rate Change Factor]])</f>
        <v>198.57469560686721</v>
      </c>
      <c r="AT233" s="9">
        <f>Table1820[[#This Row],[System-Generated Premium]]-Table1820[[#This Row],[Expected Premium]]</f>
        <v>0</v>
      </c>
      <c r="AU233" t="str">
        <f>IF(Table1820[[#This Row],[Difference]]=0,"PASS","FAIL")</f>
        <v>PASS</v>
      </c>
      <c r="AV233" s="9">
        <f>ABS(Table1820[[#This Row],[Difference]])</f>
        <v>0</v>
      </c>
      <c r="AW233" s="9" t="s">
        <v>1136</v>
      </c>
    </row>
    <row r="234" spans="1:49" x14ac:dyDescent="0.3">
      <c r="A234" t="s">
        <v>325</v>
      </c>
      <c r="B234" s="7">
        <v>45892</v>
      </c>
      <c r="C234" t="s">
        <v>70</v>
      </c>
      <c r="D234" t="s">
        <v>1097</v>
      </c>
      <c r="E234" s="3">
        <v>7</v>
      </c>
      <c r="F234" s="3">
        <v>1</v>
      </c>
      <c r="G234" t="s">
        <v>10</v>
      </c>
      <c r="H234" t="s">
        <v>1107</v>
      </c>
      <c r="I234" t="s">
        <v>22</v>
      </c>
      <c r="J234" t="s">
        <v>54</v>
      </c>
      <c r="K234" t="s">
        <v>57</v>
      </c>
      <c r="L234" t="s">
        <v>10</v>
      </c>
      <c r="M234" t="s">
        <v>10</v>
      </c>
      <c r="N234" t="s">
        <v>10</v>
      </c>
      <c r="O234" t="str">
        <f>INDEX(CoverageTable[Deductible Applies],MATCH(Table1820[[#This Row],[Coverage]],CoverageTable[Coverage],0))</f>
        <v>No</v>
      </c>
      <c r="P234" t="str">
        <f>INDEX(CoverageTable[Coverage Limit Applies],MATCH(Table1820[[#This Row],[Coverage]],CoverageTable[Coverage],0))</f>
        <v>Yes</v>
      </c>
      <c r="Q234" t="s">
        <v>10</v>
      </c>
      <c r="R234" t="s">
        <v>78</v>
      </c>
      <c r="S234" t="s">
        <v>10</v>
      </c>
      <c r="T234" t="s">
        <v>10</v>
      </c>
      <c r="U234" t="s">
        <v>57</v>
      </c>
      <c r="V234" t="s">
        <v>10</v>
      </c>
      <c r="W234" t="s">
        <v>10</v>
      </c>
      <c r="X234" s="11">
        <v>2451.1262915478655</v>
      </c>
      <c r="Y234">
        <f>_xlfn.XLOOKUP(Table1820[[#This Row],[Coverage]],CoverageTable[Coverage],CoverageTable[Base Rate],,0)</f>
        <v>622</v>
      </c>
      <c r="Z234">
        <f>INDEX(Table16[Ageband Factor],MATCH(Table1820[[#This Row],[Ageband]],Table16[Ageband],0))</f>
        <v>1.32</v>
      </c>
      <c r="AA234">
        <f>VLOOKUP(Table1820[[#This Row],[Years Driving]],Table1[],2)</f>
        <v>0.95</v>
      </c>
      <c r="AB234">
        <f>_xlfn.XLOOKUP(Table1820[[#This Row],[At Fault Accidents]],Table2[At Fault Accidents],Table2[At Fault Accident Factor],,0)</f>
        <v>1.34</v>
      </c>
      <c r="AC234">
        <f>_xlfn.XLOOKUP(Table1820[[#This Row],[Usage-Based Insurance]],Table3[Usage-Based Insurance],Table3[Usage-Based Insurance Discount],,0)</f>
        <v>1</v>
      </c>
      <c r="AD234">
        <f>_xlfn.XLOOKUP(Table1820[[#This Row],[Yearly Miles]],Table4[Yearly Miles],Table4[Yearly Miles Factor],,0)</f>
        <v>0.93</v>
      </c>
      <c r="AE234">
        <f>_xlfn.XLOOKUP(Table1820[[#This Row],[City/Zip Code]],Table5[City/Zip Code],Table5[City/Zip Code Factor],,0)</f>
        <v>1.21</v>
      </c>
      <c r="AF234">
        <f>_xlfn.XLOOKUP(Table1820[[#This Row],[Vehicle Price]],Table6[Vehicle Price],Table6[Vehicle Price Factor])</f>
        <v>2.87</v>
      </c>
      <c r="AG234">
        <f>_xlfn.XLOOKUP(Table1820[[#This Row],[Exotic Car]],Table7[Exotic Car],Table7[Exotic Car Factor],,0)</f>
        <v>1.28</v>
      </c>
      <c r="AH234">
        <f>_xlfn.XLOOKUP(Table1820[[#This Row],[Difficult Parts]],Table8[Difficult Parts],Table8[Difficult Parts Factor],,0)</f>
        <v>1</v>
      </c>
      <c r="AI234">
        <f>_xlfn.XLOOKUP(Table1820[[#This Row],[High Theft Rate]],Table9[High Theft Rate],Table9[High Theft Rate Factor],,0)</f>
        <v>1</v>
      </c>
      <c r="AJ234">
        <f>_xlfn.XLOOKUP(Table1820[[#This Row],[Advanced Safety Features]],Table10[Advanced Safety Features],Table10[Advanced Safety Features Factor],,0)</f>
        <v>1</v>
      </c>
      <c r="AK234">
        <f>_xlfn.XLOOKUP(Table1820[[#This Row],[Deductible]],Table12[Deductible],Table12[Deductible Factor],,0)</f>
        <v>1</v>
      </c>
      <c r="AL234">
        <f>_xlfn.XLOOKUP(Table1820[[#This Row],[Coverage Limit]],Table13[Coverage Limit],Table13[Coverage Limit Factor],,0)</f>
        <v>0.61</v>
      </c>
      <c r="AM234">
        <f>IF(Table1820[[#This Row],[Good Student Discount]]="Yes",'Rate Book'!$D$126,1)</f>
        <v>1</v>
      </c>
      <c r="AN234">
        <f>IF(Table1820[[#This Row],[Good Driver Discount]]="Yes",'Rate Book'!$D$127,1)</f>
        <v>1</v>
      </c>
      <c r="AO234">
        <f>IF(Table1820[[#This Row],[Multi Policy Discount]]="Yes",'Rate Book'!$D$128,1)</f>
        <v>0.93</v>
      </c>
      <c r="AP234">
        <f>IF(Table1820[[#This Row],[Loyal Customer Discount]]="Yes",'Rate Book'!$D$129,1)</f>
        <v>1</v>
      </c>
      <c r="AQ234">
        <f>IF(Table1820[[#This Row],[Organization Discount]]="Yes",'Rate Book'!$D$130,1)</f>
        <v>1</v>
      </c>
      <c r="AR234" cm="1">
        <f t="array" ref="AR234">IF(Table1820[[#This Row],[Effective Date]]&gt;=RateChangeTable[Effective Date],RateChangeTable[Rate Change Factor],1)</f>
        <v>1</v>
      </c>
      <c r="AS234" s="10">
        <f>PRODUCT(Table1820[[#This Row],[Base Rate]:[Rate Change Factor]])</f>
        <v>2451.1262915478655</v>
      </c>
      <c r="AT234" s="9">
        <f>Table1820[[#This Row],[System-Generated Premium]]-Table1820[[#This Row],[Expected Premium]]</f>
        <v>0</v>
      </c>
      <c r="AU234" t="str">
        <f>IF(Table1820[[#This Row],[Difference]]=0,"PASS","FAIL")</f>
        <v>PASS</v>
      </c>
      <c r="AV234" s="9">
        <f>ABS(Table1820[[#This Row],[Difference]])</f>
        <v>0</v>
      </c>
      <c r="AW234" s="9" t="s">
        <v>1136</v>
      </c>
    </row>
    <row r="235" spans="1:49" x14ac:dyDescent="0.3">
      <c r="A235" t="s">
        <v>326</v>
      </c>
      <c r="B235" s="7">
        <v>45856</v>
      </c>
      <c r="C235" t="s">
        <v>71</v>
      </c>
      <c r="D235" t="s">
        <v>1097</v>
      </c>
      <c r="E235" s="3">
        <v>6</v>
      </c>
      <c r="F235" s="3">
        <v>0</v>
      </c>
      <c r="G235" t="s">
        <v>11</v>
      </c>
      <c r="H235" t="s">
        <v>1108</v>
      </c>
      <c r="I235" t="s">
        <v>40</v>
      </c>
      <c r="J235" t="s">
        <v>54</v>
      </c>
      <c r="K235" t="s">
        <v>10</v>
      </c>
      <c r="L235" t="s">
        <v>10</v>
      </c>
      <c r="M235" t="s">
        <v>10</v>
      </c>
      <c r="N235" t="s">
        <v>57</v>
      </c>
      <c r="O235" t="str">
        <f>INDEX(CoverageTable[Deductible Applies],MATCH(Table1820[[#This Row],[Coverage]],CoverageTable[Coverage],0))</f>
        <v>Yes</v>
      </c>
      <c r="P235" t="str">
        <f>INDEX(CoverageTable[Coverage Limit Applies],MATCH(Table1820[[#This Row],[Coverage]],CoverageTable[Coverage],0))</f>
        <v>No</v>
      </c>
      <c r="Q235" t="s">
        <v>79</v>
      </c>
      <c r="R235" t="s">
        <v>10</v>
      </c>
      <c r="S235" t="s">
        <v>57</v>
      </c>
      <c r="T235" t="s">
        <v>10</v>
      </c>
      <c r="U235" t="s">
        <v>10</v>
      </c>
      <c r="V235" t="s">
        <v>10</v>
      </c>
      <c r="W235" t="s">
        <v>57</v>
      </c>
      <c r="X235" s="11">
        <v>1172.2646070976136</v>
      </c>
      <c r="Y235">
        <f>_xlfn.XLOOKUP(Table1820[[#This Row],[Coverage]],CoverageTable[Coverage],CoverageTable[Base Rate],,0)</f>
        <v>453</v>
      </c>
      <c r="Z235">
        <f>INDEX(Table16[Ageband Factor],MATCH(Table1820[[#This Row],[Ageband]],Table16[Ageband],0))</f>
        <v>1.32</v>
      </c>
      <c r="AA235">
        <f>VLOOKUP(Table1820[[#This Row],[Years Driving]],Table1[],2)</f>
        <v>1</v>
      </c>
      <c r="AB235">
        <f>_xlfn.XLOOKUP(Table1820[[#This Row],[At Fault Accidents]],Table2[At Fault Accidents],Table2[At Fault Accident Factor],,0)</f>
        <v>1</v>
      </c>
      <c r="AC235">
        <f>_xlfn.XLOOKUP(Table1820[[#This Row],[Usage-Based Insurance]],Table3[Usage-Based Insurance],Table3[Usage-Based Insurance Discount],,0)</f>
        <v>0.95</v>
      </c>
      <c r="AD235">
        <f>_xlfn.XLOOKUP(Table1820[[#This Row],[Yearly Miles]],Table4[Yearly Miles],Table4[Yearly Miles Factor],,0)</f>
        <v>1</v>
      </c>
      <c r="AE235">
        <f>_xlfn.XLOOKUP(Table1820[[#This Row],[City/Zip Code]],Table5[City/Zip Code],Table5[City/Zip Code Factor],,0)</f>
        <v>1.0900000000000001</v>
      </c>
      <c r="AF235">
        <f>_xlfn.XLOOKUP(Table1820[[#This Row],[Vehicle Price]],Table6[Vehicle Price],Table6[Vehicle Price Factor])</f>
        <v>2.87</v>
      </c>
      <c r="AG235">
        <f>_xlfn.XLOOKUP(Table1820[[#This Row],[Exotic Car]],Table7[Exotic Car],Table7[Exotic Car Factor],,0)</f>
        <v>1</v>
      </c>
      <c r="AH235">
        <f>_xlfn.XLOOKUP(Table1820[[#This Row],[Difficult Parts]],Table8[Difficult Parts],Table8[Difficult Parts Factor],,0)</f>
        <v>1</v>
      </c>
      <c r="AI235">
        <f>_xlfn.XLOOKUP(Table1820[[#This Row],[High Theft Rate]],Table9[High Theft Rate],Table9[High Theft Rate Factor],,0)</f>
        <v>1</v>
      </c>
      <c r="AJ235">
        <f>_xlfn.XLOOKUP(Table1820[[#This Row],[Advanced Safety Features]],Table10[Advanced Safety Features],Table10[Advanced Safety Features Factor],,0)</f>
        <v>0.88</v>
      </c>
      <c r="AK235">
        <f>_xlfn.XLOOKUP(Table1820[[#This Row],[Deductible]],Table12[Deductible],Table12[Deductible Factor],,0)</f>
        <v>0.84</v>
      </c>
      <c r="AL235">
        <f>_xlfn.XLOOKUP(Table1820[[#This Row],[Coverage Limit]],Table13[Coverage Limit],Table13[Coverage Limit Factor],,0)</f>
        <v>1</v>
      </c>
      <c r="AM235">
        <f>IF(Table1820[[#This Row],[Good Student Discount]]="Yes",'Rate Book'!$D$126,1)</f>
        <v>0.92</v>
      </c>
      <c r="AN235">
        <f>IF(Table1820[[#This Row],[Good Driver Discount]]="Yes",'Rate Book'!$D$127,1)</f>
        <v>1</v>
      </c>
      <c r="AO235">
        <f>IF(Table1820[[#This Row],[Multi Policy Discount]]="Yes",'Rate Book'!$D$128,1)</f>
        <v>1</v>
      </c>
      <c r="AP235">
        <f>IF(Table1820[[#This Row],[Loyal Customer Discount]]="Yes",'Rate Book'!$D$129,1)</f>
        <v>1</v>
      </c>
      <c r="AQ235">
        <f>IF(Table1820[[#This Row],[Organization Discount]]="Yes",'Rate Book'!$D$130,1)</f>
        <v>0.97</v>
      </c>
      <c r="AR235" cm="1">
        <f t="array" ref="AR235">IF(Table1820[[#This Row],[Effective Date]]&gt;=RateChangeTable[Effective Date],RateChangeTable[Rate Change Factor],1)</f>
        <v>1</v>
      </c>
      <c r="AS235" s="10">
        <f>PRODUCT(Table1820[[#This Row],[Base Rate]:[Rate Change Factor]])</f>
        <v>1172.2646070976136</v>
      </c>
      <c r="AT235" s="9">
        <f>Table1820[[#This Row],[System-Generated Premium]]-Table1820[[#This Row],[Expected Premium]]</f>
        <v>0</v>
      </c>
      <c r="AU235" t="str">
        <f>IF(Table1820[[#This Row],[Difference]]=0,"PASS","FAIL")</f>
        <v>PASS</v>
      </c>
      <c r="AV235" s="9">
        <f>ABS(Table1820[[#This Row],[Difference]])</f>
        <v>0</v>
      </c>
      <c r="AW235" s="9" t="s">
        <v>1136</v>
      </c>
    </row>
    <row r="236" spans="1:49" x14ac:dyDescent="0.3">
      <c r="A236" t="s">
        <v>327</v>
      </c>
      <c r="B236" s="7">
        <v>45947</v>
      </c>
      <c r="C236" t="s">
        <v>71</v>
      </c>
      <c r="D236" t="s">
        <v>1102</v>
      </c>
      <c r="E236" s="3">
        <v>6</v>
      </c>
      <c r="F236" s="3">
        <v>3</v>
      </c>
      <c r="G236" t="s">
        <v>10</v>
      </c>
      <c r="H236" t="s">
        <v>1110</v>
      </c>
      <c r="I236" t="s">
        <v>34</v>
      </c>
      <c r="J236" t="s">
        <v>54</v>
      </c>
      <c r="K236" t="s">
        <v>10</v>
      </c>
      <c r="L236" t="s">
        <v>10</v>
      </c>
      <c r="M236" t="s">
        <v>10</v>
      </c>
      <c r="N236" t="s">
        <v>57</v>
      </c>
      <c r="O236" t="str">
        <f>INDEX(CoverageTable[Deductible Applies],MATCH(Table1820[[#This Row],[Coverage]],CoverageTable[Coverage],0))</f>
        <v>Yes</v>
      </c>
      <c r="P236" t="str">
        <f>INDEX(CoverageTable[Coverage Limit Applies],MATCH(Table1820[[#This Row],[Coverage]],CoverageTable[Coverage],0))</f>
        <v>No</v>
      </c>
      <c r="Q236" t="s">
        <v>79</v>
      </c>
      <c r="R236" t="s">
        <v>10</v>
      </c>
      <c r="S236" t="s">
        <v>10</v>
      </c>
      <c r="T236" t="s">
        <v>10</v>
      </c>
      <c r="U236" t="s">
        <v>10</v>
      </c>
      <c r="V236" t="s">
        <v>57</v>
      </c>
      <c r="W236" t="s">
        <v>10</v>
      </c>
      <c r="X236" s="11">
        <v>4267.1795153033972</v>
      </c>
      <c r="Y236">
        <f>_xlfn.XLOOKUP(Table1820[[#This Row],[Coverage]],CoverageTable[Coverage],CoverageTable[Base Rate],,0)</f>
        <v>453</v>
      </c>
      <c r="Z236">
        <f>INDEX(Table16[Ageband Factor],MATCH(Table1820[[#This Row],[Ageband]],Table16[Ageband],0))</f>
        <v>1.27</v>
      </c>
      <c r="AA236">
        <f>VLOOKUP(Table1820[[#This Row],[Years Driving]],Table1[],2)</f>
        <v>1</v>
      </c>
      <c r="AB236">
        <f>_xlfn.XLOOKUP(Table1820[[#This Row],[At Fault Accidents]],Table2[At Fault Accidents],Table2[At Fault Accident Factor],,0)</f>
        <v>1.82</v>
      </c>
      <c r="AC236">
        <f>_xlfn.XLOOKUP(Table1820[[#This Row],[Usage-Based Insurance]],Table3[Usage-Based Insurance],Table3[Usage-Based Insurance Discount],,0)</f>
        <v>1</v>
      </c>
      <c r="AD236">
        <f>_xlfn.XLOOKUP(Table1820[[#This Row],[Yearly Miles]],Table4[Yearly Miles],Table4[Yearly Miles Factor],,0)</f>
        <v>1.31</v>
      </c>
      <c r="AE236">
        <f>_xlfn.XLOOKUP(Table1820[[#This Row],[City/Zip Code]],Table5[City/Zip Code],Table5[City/Zip Code Factor],,0)</f>
        <v>1.56</v>
      </c>
      <c r="AF236">
        <f>_xlfn.XLOOKUP(Table1820[[#This Row],[Vehicle Price]],Table6[Vehicle Price],Table6[Vehicle Price Factor])</f>
        <v>2.87</v>
      </c>
      <c r="AG236">
        <f>_xlfn.XLOOKUP(Table1820[[#This Row],[Exotic Car]],Table7[Exotic Car],Table7[Exotic Car Factor],,0)</f>
        <v>1</v>
      </c>
      <c r="AH236">
        <f>_xlfn.XLOOKUP(Table1820[[#This Row],[Difficult Parts]],Table8[Difficult Parts],Table8[Difficult Parts Factor],,0)</f>
        <v>1</v>
      </c>
      <c r="AI236">
        <f>_xlfn.XLOOKUP(Table1820[[#This Row],[High Theft Rate]],Table9[High Theft Rate],Table9[High Theft Rate Factor],,0)</f>
        <v>1</v>
      </c>
      <c r="AJ236">
        <f>_xlfn.XLOOKUP(Table1820[[#This Row],[Advanced Safety Features]],Table10[Advanced Safety Features],Table10[Advanced Safety Features Factor],,0)</f>
        <v>0.88</v>
      </c>
      <c r="AK236">
        <f>_xlfn.XLOOKUP(Table1820[[#This Row],[Deductible]],Table12[Deductible],Table12[Deductible Factor],,0)</f>
        <v>0.84</v>
      </c>
      <c r="AL236">
        <f>_xlfn.XLOOKUP(Table1820[[#This Row],[Coverage Limit]],Table13[Coverage Limit],Table13[Coverage Limit Factor],,0)</f>
        <v>1</v>
      </c>
      <c r="AM236">
        <f>IF(Table1820[[#This Row],[Good Student Discount]]="Yes",'Rate Book'!$D$126,1)</f>
        <v>1</v>
      </c>
      <c r="AN236">
        <f>IF(Table1820[[#This Row],[Good Driver Discount]]="Yes",'Rate Book'!$D$127,1)</f>
        <v>1</v>
      </c>
      <c r="AO236">
        <f>IF(Table1820[[#This Row],[Multi Policy Discount]]="Yes",'Rate Book'!$D$128,1)</f>
        <v>1</v>
      </c>
      <c r="AP236">
        <f>IF(Table1820[[#This Row],[Loyal Customer Discount]]="Yes",'Rate Book'!$D$129,1)</f>
        <v>0.94</v>
      </c>
      <c r="AQ236">
        <f>IF(Table1820[[#This Row],[Organization Discount]]="Yes",'Rate Book'!$D$130,1)</f>
        <v>1</v>
      </c>
      <c r="AR236" cm="1">
        <f t="array" ref="AR236">IF(Table1820[[#This Row],[Effective Date]]&gt;=RateChangeTable[Effective Date],RateChangeTable[Rate Change Factor],1)</f>
        <v>1</v>
      </c>
      <c r="AS236" s="10">
        <f>PRODUCT(Table1820[[#This Row],[Base Rate]:[Rate Change Factor]])</f>
        <v>4267.1795153033972</v>
      </c>
      <c r="AT236" s="9">
        <f>Table1820[[#This Row],[System-Generated Premium]]-Table1820[[#This Row],[Expected Premium]]</f>
        <v>0</v>
      </c>
      <c r="AU236" t="str">
        <f>IF(Table1820[[#This Row],[Difference]]=0,"PASS","FAIL")</f>
        <v>PASS</v>
      </c>
      <c r="AV236" s="9">
        <f>ABS(Table1820[[#This Row],[Difference]])</f>
        <v>0</v>
      </c>
      <c r="AW236" s="9" t="s">
        <v>1136</v>
      </c>
    </row>
    <row r="237" spans="1:49" x14ac:dyDescent="0.3">
      <c r="A237" t="s">
        <v>328</v>
      </c>
      <c r="B237" s="7">
        <v>45942</v>
      </c>
      <c r="C237" t="s">
        <v>74</v>
      </c>
      <c r="D237" t="s">
        <v>1101</v>
      </c>
      <c r="E237" s="3">
        <v>2</v>
      </c>
      <c r="F237" s="3" t="s">
        <v>7</v>
      </c>
      <c r="G237" t="s">
        <v>10</v>
      </c>
      <c r="H237" t="s">
        <v>1108</v>
      </c>
      <c r="I237" t="s">
        <v>41</v>
      </c>
      <c r="J237" t="s">
        <v>53</v>
      </c>
      <c r="K237" t="s">
        <v>10</v>
      </c>
      <c r="L237" t="s">
        <v>10</v>
      </c>
      <c r="M237" t="s">
        <v>57</v>
      </c>
      <c r="N237" t="s">
        <v>57</v>
      </c>
      <c r="O237" t="str">
        <f>INDEX(CoverageTable[Deductible Applies],MATCH(Table1820[[#This Row],[Coverage]],CoverageTable[Coverage],0))</f>
        <v>No</v>
      </c>
      <c r="P237" t="str">
        <f>INDEX(CoverageTable[Coverage Limit Applies],MATCH(Table1820[[#This Row],[Coverage]],CoverageTable[Coverage],0))</f>
        <v>Yes</v>
      </c>
      <c r="Q237" t="s">
        <v>10</v>
      </c>
      <c r="R237" t="s">
        <v>79</v>
      </c>
      <c r="S237" t="s">
        <v>57</v>
      </c>
      <c r="T237" t="s">
        <v>10</v>
      </c>
      <c r="U237" t="s">
        <v>10</v>
      </c>
      <c r="V237" t="s">
        <v>10</v>
      </c>
      <c r="W237" t="s">
        <v>10</v>
      </c>
      <c r="X237" s="11">
        <v>251.20491953209188</v>
      </c>
      <c r="Y237">
        <f>_xlfn.XLOOKUP(Table1820[[#This Row],[Coverage]],CoverageTable[Coverage],CoverageTable[Base Rate],,0)</f>
        <v>41</v>
      </c>
      <c r="Z237">
        <f>INDEX(Table16[Ageband Factor],MATCH(Table1820[[#This Row],[Ageband]],Table16[Ageband],0))</f>
        <v>1.1200000000000001</v>
      </c>
      <c r="AA237">
        <f>VLOOKUP(Table1820[[#This Row],[Years Driving]],Table1[],2)</f>
        <v>1.41</v>
      </c>
      <c r="AB237">
        <f>_xlfn.XLOOKUP(Table1820[[#This Row],[At Fault Accidents]],Table2[At Fault Accidents],Table2[At Fault Accident Factor],,0)</f>
        <v>2.4700000000000002</v>
      </c>
      <c r="AC237">
        <f>_xlfn.XLOOKUP(Table1820[[#This Row],[Usage-Based Insurance]],Table3[Usage-Based Insurance],Table3[Usage-Based Insurance Discount],,0)</f>
        <v>1</v>
      </c>
      <c r="AD237">
        <f>_xlfn.XLOOKUP(Table1820[[#This Row],[Yearly Miles]],Table4[Yearly Miles],Table4[Yearly Miles Factor],,0)</f>
        <v>1</v>
      </c>
      <c r="AE237">
        <f>_xlfn.XLOOKUP(Table1820[[#This Row],[City/Zip Code]],Table5[City/Zip Code],Table5[City/Zip Code Factor],,0)</f>
        <v>1.1499999999999999</v>
      </c>
      <c r="AF237">
        <f>_xlfn.XLOOKUP(Table1820[[#This Row],[Vehicle Price]],Table6[Vehicle Price],Table6[Vehicle Price Factor])</f>
        <v>2.02</v>
      </c>
      <c r="AG237">
        <f>_xlfn.XLOOKUP(Table1820[[#This Row],[Exotic Car]],Table7[Exotic Car],Table7[Exotic Car Factor],,0)</f>
        <v>1</v>
      </c>
      <c r="AH237">
        <f>_xlfn.XLOOKUP(Table1820[[#This Row],[Difficult Parts]],Table8[Difficult Parts],Table8[Difficult Parts Factor],,0)</f>
        <v>1</v>
      </c>
      <c r="AI237">
        <f>_xlfn.XLOOKUP(Table1820[[#This Row],[High Theft Rate]],Table9[High Theft Rate],Table9[High Theft Rate Factor],,0)</f>
        <v>1.1599999999999999</v>
      </c>
      <c r="AJ237">
        <f>_xlfn.XLOOKUP(Table1820[[#This Row],[Advanced Safety Features]],Table10[Advanced Safety Features],Table10[Advanced Safety Features Factor],,0)</f>
        <v>0.88</v>
      </c>
      <c r="AK237">
        <f>_xlfn.XLOOKUP(Table1820[[#This Row],[Deductible]],Table12[Deductible],Table12[Deductible Factor],,0)</f>
        <v>1</v>
      </c>
      <c r="AL237">
        <f>_xlfn.XLOOKUP(Table1820[[#This Row],[Coverage Limit]],Table13[Coverage Limit],Table13[Coverage Limit Factor],,0)</f>
        <v>0.72</v>
      </c>
      <c r="AM237">
        <f>IF(Table1820[[#This Row],[Good Student Discount]]="Yes",'Rate Book'!$D$126,1)</f>
        <v>0.92</v>
      </c>
      <c r="AN237">
        <f>IF(Table1820[[#This Row],[Good Driver Discount]]="Yes",'Rate Book'!$D$127,1)</f>
        <v>1</v>
      </c>
      <c r="AO237">
        <f>IF(Table1820[[#This Row],[Multi Policy Discount]]="Yes",'Rate Book'!$D$128,1)</f>
        <v>1</v>
      </c>
      <c r="AP237">
        <f>IF(Table1820[[#This Row],[Loyal Customer Discount]]="Yes",'Rate Book'!$D$129,1)</f>
        <v>1</v>
      </c>
      <c r="AQ237">
        <f>IF(Table1820[[#This Row],[Organization Discount]]="Yes",'Rate Book'!$D$130,1)</f>
        <v>1</v>
      </c>
      <c r="AR237" cm="1">
        <f t="array" ref="AR237">IF(Table1820[[#This Row],[Effective Date]]&gt;=RateChangeTable[Effective Date],RateChangeTable[Rate Change Factor],1)</f>
        <v>1</v>
      </c>
      <c r="AS237" s="10">
        <f>PRODUCT(Table1820[[#This Row],[Base Rate]:[Rate Change Factor]])</f>
        <v>251.20491953209188</v>
      </c>
      <c r="AT237" s="9">
        <f>Table1820[[#This Row],[System-Generated Premium]]-Table1820[[#This Row],[Expected Premium]]</f>
        <v>0</v>
      </c>
      <c r="AU237" t="str">
        <f>IF(Table1820[[#This Row],[Difference]]=0,"PASS","FAIL")</f>
        <v>PASS</v>
      </c>
      <c r="AV237" s="9">
        <f>ABS(Table1820[[#This Row],[Difference]])</f>
        <v>0</v>
      </c>
      <c r="AW237" s="9" t="s">
        <v>1136</v>
      </c>
    </row>
    <row r="238" spans="1:49" x14ac:dyDescent="0.3">
      <c r="A238" t="s">
        <v>329</v>
      </c>
      <c r="B238" s="7">
        <v>45868</v>
      </c>
      <c r="C238" t="s">
        <v>71</v>
      </c>
      <c r="D238" t="s">
        <v>1099</v>
      </c>
      <c r="E238" s="3" t="s">
        <v>1103</v>
      </c>
      <c r="F238" s="3" t="s">
        <v>7</v>
      </c>
      <c r="G238" t="s">
        <v>11</v>
      </c>
      <c r="H238" t="s">
        <v>1106</v>
      </c>
      <c r="I238" t="s">
        <v>26</v>
      </c>
      <c r="J238" t="s">
        <v>51</v>
      </c>
      <c r="K238" t="s">
        <v>10</v>
      </c>
      <c r="L238" t="s">
        <v>10</v>
      </c>
      <c r="M238" t="s">
        <v>10</v>
      </c>
      <c r="N238" t="s">
        <v>10</v>
      </c>
      <c r="O238" t="str">
        <f>INDEX(CoverageTable[Deductible Applies],MATCH(Table1820[[#This Row],[Coverage]],CoverageTable[Coverage],0))</f>
        <v>Yes</v>
      </c>
      <c r="P238" t="str">
        <f>INDEX(CoverageTable[Coverage Limit Applies],MATCH(Table1820[[#This Row],[Coverage]],CoverageTable[Coverage],0))</f>
        <v>No</v>
      </c>
      <c r="Q238" t="s">
        <v>78</v>
      </c>
      <c r="R238" t="s">
        <v>10</v>
      </c>
      <c r="S238" t="s">
        <v>10</v>
      </c>
      <c r="T238" t="s">
        <v>57</v>
      </c>
      <c r="U238" t="s">
        <v>10</v>
      </c>
      <c r="V238" t="s">
        <v>10</v>
      </c>
      <c r="W238" t="s">
        <v>57</v>
      </c>
      <c r="X238" s="11">
        <v>396.2</v>
      </c>
      <c r="Y238">
        <f>_xlfn.XLOOKUP(Table1820[[#This Row],[Coverage]],CoverageTable[Coverage],CoverageTable[Base Rate],,0)</f>
        <v>453</v>
      </c>
      <c r="Z238">
        <f>INDEX(Table16[Ageband Factor],MATCH(Table1820[[#This Row],[Ageband]],Table16[Ageband],0))</f>
        <v>1</v>
      </c>
      <c r="AA238">
        <f>VLOOKUP(Table1820[[#This Row],[Years Driving]],Table1[],2)</f>
        <v>0.93</v>
      </c>
      <c r="AB238">
        <f>_xlfn.XLOOKUP(Table1820[[#This Row],[At Fault Accidents]],Table2[At Fault Accidents],Table2[At Fault Accident Factor],,0)</f>
        <v>2.4700000000000002</v>
      </c>
      <c r="AC238">
        <f>_xlfn.XLOOKUP(Table1820[[#This Row],[Usage-Based Insurance]],Table3[Usage-Based Insurance],Table3[Usage-Based Insurance Discount],,0)</f>
        <v>0.95</v>
      </c>
      <c r="AD238">
        <f>_xlfn.XLOOKUP(Table1820[[#This Row],[Yearly Miles]],Table4[Yearly Miles],Table4[Yearly Miles Factor],,0)</f>
        <v>0.82</v>
      </c>
      <c r="AE238">
        <f>_xlfn.XLOOKUP(Table1820[[#This Row],[City/Zip Code]],Table5[City/Zip Code],Table5[City/Zip Code Factor],,0)</f>
        <v>1.1499999999999999</v>
      </c>
      <c r="AF238">
        <f>_xlfn.XLOOKUP(Table1820[[#This Row],[Vehicle Price]],Table6[Vehicle Price],Table6[Vehicle Price Factor])</f>
        <v>1.28</v>
      </c>
      <c r="AG238">
        <f>_xlfn.XLOOKUP(Table1820[[#This Row],[Exotic Car]],Table7[Exotic Car],Table7[Exotic Car Factor],,0)</f>
        <v>1</v>
      </c>
      <c r="AH238">
        <f>_xlfn.XLOOKUP(Table1820[[#This Row],[Difficult Parts]],Table8[Difficult Parts],Table8[Difficult Parts Factor],,0)</f>
        <v>1</v>
      </c>
      <c r="AI238">
        <f>_xlfn.XLOOKUP(Table1820[[#This Row],[High Theft Rate]],Table9[High Theft Rate],Table9[High Theft Rate Factor],,0)</f>
        <v>1</v>
      </c>
      <c r="AJ238">
        <f>_xlfn.XLOOKUP(Table1820[[#This Row],[Advanced Safety Features]],Table10[Advanced Safety Features],Table10[Advanced Safety Features Factor],,0)</f>
        <v>1</v>
      </c>
      <c r="AK238">
        <f>_xlfn.XLOOKUP(Table1820[[#This Row],[Deductible]],Table12[Deductible],Table12[Deductible Factor],,0)</f>
        <v>0.95</v>
      </c>
      <c r="AL238">
        <f>_xlfn.XLOOKUP(Table1820[[#This Row],[Coverage Limit]],Table13[Coverage Limit],Table13[Coverage Limit Factor],,0)</f>
        <v>1</v>
      </c>
      <c r="AM238">
        <f>IF(Table1820[[#This Row],[Good Student Discount]]="Yes",'Rate Book'!$D$126,1)</f>
        <v>1</v>
      </c>
      <c r="AN238">
        <f>IF(Table1820[[#This Row],[Good Driver Discount]]="Yes",'Rate Book'!$D$127,1)</f>
        <v>0.89</v>
      </c>
      <c r="AO238">
        <f>IF(Table1820[[#This Row],[Multi Policy Discount]]="Yes",'Rate Book'!$D$128,1)</f>
        <v>1</v>
      </c>
      <c r="AP238">
        <f>IF(Table1820[[#This Row],[Loyal Customer Discount]]="Yes",'Rate Book'!$D$129,1)</f>
        <v>1</v>
      </c>
      <c r="AQ238">
        <f>IF(Table1820[[#This Row],[Organization Discount]]="Yes",'Rate Book'!$D$130,1)</f>
        <v>0.97</v>
      </c>
      <c r="AR238" cm="1">
        <f t="array" ref="AR238">IF(Table1820[[#This Row],[Effective Date]]&gt;=RateChangeTable[Effective Date],RateChangeTable[Rate Change Factor],1)</f>
        <v>1</v>
      </c>
      <c r="AS238" s="10">
        <f>PRODUCT(Table1820[[#This Row],[Base Rate]:[Rate Change Factor]])</f>
        <v>978.60790075913633</v>
      </c>
      <c r="AT238" s="9">
        <f>Table1820[[#This Row],[System-Generated Premium]]-Table1820[[#This Row],[Expected Premium]]</f>
        <v>-582.40790075913628</v>
      </c>
      <c r="AU238" t="str">
        <f>IF(Table1820[[#This Row],[Difference]]=0,"PASS","FAIL")</f>
        <v>FAIL</v>
      </c>
      <c r="AV238" s="9">
        <f>ABS(Table1820[[#This Row],[Difference]])</f>
        <v>582.40790075913628</v>
      </c>
      <c r="AW238" s="9" t="s">
        <v>1142</v>
      </c>
    </row>
    <row r="239" spans="1:49" x14ac:dyDescent="0.3">
      <c r="A239" t="s">
        <v>330</v>
      </c>
      <c r="B239" s="7">
        <v>45875</v>
      </c>
      <c r="C239" t="s">
        <v>73</v>
      </c>
      <c r="D239" t="s">
        <v>1098</v>
      </c>
      <c r="E239" s="3">
        <v>3</v>
      </c>
      <c r="F239" s="3">
        <v>4</v>
      </c>
      <c r="G239" t="s">
        <v>13</v>
      </c>
      <c r="H239" t="s">
        <v>1110</v>
      </c>
      <c r="I239" t="s">
        <v>44</v>
      </c>
      <c r="J239" t="s">
        <v>53</v>
      </c>
      <c r="K239" t="s">
        <v>10</v>
      </c>
      <c r="L239" t="s">
        <v>57</v>
      </c>
      <c r="M239" t="s">
        <v>57</v>
      </c>
      <c r="N239" t="s">
        <v>10</v>
      </c>
      <c r="O239" t="str">
        <f>INDEX(CoverageTable[Deductible Applies],MATCH(Table1820[[#This Row],[Coverage]],CoverageTable[Coverage],0))</f>
        <v>No</v>
      </c>
      <c r="P239" t="str">
        <f>INDEX(CoverageTable[Coverage Limit Applies],MATCH(Table1820[[#This Row],[Coverage]],CoverageTable[Coverage],0))</f>
        <v>Yes</v>
      </c>
      <c r="Q239" t="s">
        <v>10</v>
      </c>
      <c r="R239" t="s">
        <v>80</v>
      </c>
      <c r="S239" t="s">
        <v>10</v>
      </c>
      <c r="T239" t="s">
        <v>10</v>
      </c>
      <c r="U239" t="s">
        <v>57</v>
      </c>
      <c r="V239" t="s">
        <v>10</v>
      </c>
      <c r="W239" t="s">
        <v>10</v>
      </c>
      <c r="X239" s="11">
        <v>542.86896057490833</v>
      </c>
      <c r="Y239">
        <f>_xlfn.XLOOKUP(Table1820[[#This Row],[Coverage]],CoverageTable[Coverage],CoverageTable[Base Rate],,0)</f>
        <v>78</v>
      </c>
      <c r="Z239">
        <f>INDEX(Table16[Ageband Factor],MATCH(Table1820[[#This Row],[Ageband]],Table16[Ageband],0))</f>
        <v>1.23</v>
      </c>
      <c r="AA239">
        <f>VLOOKUP(Table1820[[#This Row],[Years Driving]],Table1[],2)</f>
        <v>1.22</v>
      </c>
      <c r="AB239">
        <f>_xlfn.XLOOKUP(Table1820[[#This Row],[At Fault Accidents]],Table2[At Fault Accidents],Table2[At Fault Accident Factor],,0)</f>
        <v>2.12</v>
      </c>
      <c r="AC239">
        <f>_xlfn.XLOOKUP(Table1820[[#This Row],[Usage-Based Insurance]],Table3[Usage-Based Insurance],Table3[Usage-Based Insurance Discount],,0)</f>
        <v>0.65</v>
      </c>
      <c r="AD239">
        <f>_xlfn.XLOOKUP(Table1820[[#This Row],[Yearly Miles]],Table4[Yearly Miles],Table4[Yearly Miles Factor],,0)</f>
        <v>1.31</v>
      </c>
      <c r="AE239">
        <f>_xlfn.XLOOKUP(Table1820[[#This Row],[City/Zip Code]],Table5[City/Zip Code],Table5[City/Zip Code Factor],,0)</f>
        <v>1.1599999999999999</v>
      </c>
      <c r="AF239">
        <f>_xlfn.XLOOKUP(Table1820[[#This Row],[Vehicle Price]],Table6[Vehicle Price],Table6[Vehicle Price Factor])</f>
        <v>2.02</v>
      </c>
      <c r="AG239">
        <f>_xlfn.XLOOKUP(Table1820[[#This Row],[Exotic Car]],Table7[Exotic Car],Table7[Exotic Car Factor],,0)</f>
        <v>1</v>
      </c>
      <c r="AH239">
        <f>_xlfn.XLOOKUP(Table1820[[#This Row],[Difficult Parts]],Table8[Difficult Parts],Table8[Difficult Parts Factor],,0)</f>
        <v>1.21</v>
      </c>
      <c r="AI239">
        <f>_xlfn.XLOOKUP(Table1820[[#This Row],[High Theft Rate]],Table9[High Theft Rate],Table9[High Theft Rate Factor],,0)</f>
        <v>1.1599999999999999</v>
      </c>
      <c r="AJ239">
        <f>_xlfn.XLOOKUP(Table1820[[#This Row],[Advanced Safety Features]],Table10[Advanced Safety Features],Table10[Advanced Safety Features Factor],,0)</f>
        <v>1</v>
      </c>
      <c r="AK239">
        <f>_xlfn.XLOOKUP(Table1820[[#This Row],[Deductible]],Table12[Deductible],Table12[Deductible Factor],,0)</f>
        <v>1</v>
      </c>
      <c r="AL239">
        <f>_xlfn.XLOOKUP(Table1820[[#This Row],[Coverage Limit]],Table13[Coverage Limit],Table13[Coverage Limit Factor],,0)</f>
        <v>0.84</v>
      </c>
      <c r="AM239">
        <f>IF(Table1820[[#This Row],[Good Student Discount]]="Yes",'Rate Book'!$D$126,1)</f>
        <v>1</v>
      </c>
      <c r="AN239">
        <f>IF(Table1820[[#This Row],[Good Driver Discount]]="Yes",'Rate Book'!$D$127,1)</f>
        <v>1</v>
      </c>
      <c r="AO239">
        <f>IF(Table1820[[#This Row],[Multi Policy Discount]]="Yes",'Rate Book'!$D$128,1)</f>
        <v>0.93</v>
      </c>
      <c r="AP239">
        <f>IF(Table1820[[#This Row],[Loyal Customer Discount]]="Yes",'Rate Book'!$D$129,1)</f>
        <v>1</v>
      </c>
      <c r="AQ239">
        <f>IF(Table1820[[#This Row],[Organization Discount]]="Yes",'Rate Book'!$D$130,1)</f>
        <v>1</v>
      </c>
      <c r="AR239" cm="1">
        <f t="array" ref="AR239">IF(Table1820[[#This Row],[Effective Date]]&gt;=RateChangeTable[Effective Date],RateChangeTable[Rate Change Factor],1)</f>
        <v>1</v>
      </c>
      <c r="AS239" s="10">
        <f>PRODUCT(Table1820[[#This Row],[Base Rate]:[Rate Change Factor]])</f>
        <v>542.86896057490833</v>
      </c>
      <c r="AT239" s="9">
        <f>Table1820[[#This Row],[System-Generated Premium]]-Table1820[[#This Row],[Expected Premium]]</f>
        <v>0</v>
      </c>
      <c r="AU239" t="str">
        <f>IF(Table1820[[#This Row],[Difference]]=0,"PASS","FAIL")</f>
        <v>PASS</v>
      </c>
      <c r="AV239" s="9">
        <f>ABS(Table1820[[#This Row],[Difference]])</f>
        <v>0</v>
      </c>
      <c r="AW239" s="9" t="s">
        <v>1136</v>
      </c>
    </row>
    <row r="240" spans="1:49" x14ac:dyDescent="0.3">
      <c r="A240" t="s">
        <v>331</v>
      </c>
      <c r="B240" s="7">
        <v>45804</v>
      </c>
      <c r="C240" t="s">
        <v>73</v>
      </c>
      <c r="D240" t="s">
        <v>1100</v>
      </c>
      <c r="E240" s="3">
        <v>2</v>
      </c>
      <c r="F240" s="3">
        <v>1</v>
      </c>
      <c r="G240" t="s">
        <v>11</v>
      </c>
      <c r="H240" t="s">
        <v>1108</v>
      </c>
      <c r="I240" t="s">
        <v>28</v>
      </c>
      <c r="J240" t="s">
        <v>48</v>
      </c>
      <c r="K240" t="s">
        <v>10</v>
      </c>
      <c r="L240" t="s">
        <v>10</v>
      </c>
      <c r="M240" t="s">
        <v>10</v>
      </c>
      <c r="N240" t="s">
        <v>10</v>
      </c>
      <c r="O240" t="str">
        <f>INDEX(CoverageTable[Deductible Applies],MATCH(Table1820[[#This Row],[Coverage]],CoverageTable[Coverage],0))</f>
        <v>No</v>
      </c>
      <c r="P240" t="str">
        <f>INDEX(CoverageTable[Coverage Limit Applies],MATCH(Table1820[[#This Row],[Coverage]],CoverageTable[Coverage],0))</f>
        <v>Yes</v>
      </c>
      <c r="Q240" t="s">
        <v>10</v>
      </c>
      <c r="R240" t="s">
        <v>80</v>
      </c>
      <c r="S240" t="s">
        <v>10</v>
      </c>
      <c r="T240" t="s">
        <v>10</v>
      </c>
      <c r="U240" t="s">
        <v>10</v>
      </c>
      <c r="V240" t="s">
        <v>10</v>
      </c>
      <c r="W240" t="s">
        <v>10</v>
      </c>
      <c r="X240" s="11">
        <v>98.026306750007976</v>
      </c>
      <c r="Y240">
        <f>_xlfn.XLOOKUP(Table1820[[#This Row],[Coverage]],CoverageTable[Coverage],CoverageTable[Base Rate],,0)</f>
        <v>78</v>
      </c>
      <c r="Z240">
        <f>INDEX(Table16[Ageband Factor],MATCH(Table1820[[#This Row],[Ageband]],Table16[Ageband],0))</f>
        <v>1.07</v>
      </c>
      <c r="AA240">
        <f>VLOOKUP(Table1820[[#This Row],[Years Driving]],Table1[],2)</f>
        <v>1.41</v>
      </c>
      <c r="AB240">
        <f>_xlfn.XLOOKUP(Table1820[[#This Row],[At Fault Accidents]],Table2[At Fault Accidents],Table2[At Fault Accident Factor],,0)</f>
        <v>1.34</v>
      </c>
      <c r="AC240">
        <f>_xlfn.XLOOKUP(Table1820[[#This Row],[Usage-Based Insurance]],Table3[Usage-Based Insurance],Table3[Usage-Based Insurance Discount],,0)</f>
        <v>0.95</v>
      </c>
      <c r="AD240">
        <f>_xlfn.XLOOKUP(Table1820[[#This Row],[Yearly Miles]],Table4[Yearly Miles],Table4[Yearly Miles Factor],,0)</f>
        <v>1</v>
      </c>
      <c r="AE240">
        <f>_xlfn.XLOOKUP(Table1820[[#This Row],[City/Zip Code]],Table5[City/Zip Code],Table5[City/Zip Code Factor],,0)</f>
        <v>0.95</v>
      </c>
      <c r="AF240">
        <f>_xlfn.XLOOKUP(Table1820[[#This Row],[Vehicle Price]],Table6[Vehicle Price],Table6[Vehicle Price Factor])</f>
        <v>0.82</v>
      </c>
      <c r="AG240">
        <f>_xlfn.XLOOKUP(Table1820[[#This Row],[Exotic Car]],Table7[Exotic Car],Table7[Exotic Car Factor],,0)</f>
        <v>1</v>
      </c>
      <c r="AH240">
        <f>_xlfn.XLOOKUP(Table1820[[#This Row],[Difficult Parts]],Table8[Difficult Parts],Table8[Difficult Parts Factor],,0)</f>
        <v>1</v>
      </c>
      <c r="AI240">
        <f>_xlfn.XLOOKUP(Table1820[[#This Row],[High Theft Rate]],Table9[High Theft Rate],Table9[High Theft Rate Factor],,0)</f>
        <v>1</v>
      </c>
      <c r="AJ240">
        <f>_xlfn.XLOOKUP(Table1820[[#This Row],[Advanced Safety Features]],Table10[Advanced Safety Features],Table10[Advanced Safety Features Factor],,0)</f>
        <v>1</v>
      </c>
      <c r="AK240">
        <f>_xlfn.XLOOKUP(Table1820[[#This Row],[Deductible]],Table12[Deductible],Table12[Deductible Factor],,0)</f>
        <v>1</v>
      </c>
      <c r="AL240">
        <f>_xlfn.XLOOKUP(Table1820[[#This Row],[Coverage Limit]],Table13[Coverage Limit],Table13[Coverage Limit Factor],,0)</f>
        <v>0.84</v>
      </c>
      <c r="AM240">
        <f>IF(Table1820[[#This Row],[Good Student Discount]]="Yes",'Rate Book'!$D$126,1)</f>
        <v>1</v>
      </c>
      <c r="AN240">
        <f>IF(Table1820[[#This Row],[Good Driver Discount]]="Yes",'Rate Book'!$D$127,1)</f>
        <v>1</v>
      </c>
      <c r="AO240">
        <f>IF(Table1820[[#This Row],[Multi Policy Discount]]="Yes",'Rate Book'!$D$128,1)</f>
        <v>1</v>
      </c>
      <c r="AP240">
        <f>IF(Table1820[[#This Row],[Loyal Customer Discount]]="Yes",'Rate Book'!$D$129,1)</f>
        <v>1</v>
      </c>
      <c r="AQ240">
        <f>IF(Table1820[[#This Row],[Organization Discount]]="Yes",'Rate Book'!$D$130,1)</f>
        <v>1</v>
      </c>
      <c r="AR240" cm="1">
        <f t="array" ref="AR240">IF(Table1820[[#This Row],[Effective Date]]&gt;=RateChangeTable[Effective Date],RateChangeTable[Rate Change Factor],1)</f>
        <v>1</v>
      </c>
      <c r="AS240" s="10">
        <f>PRODUCT(Table1820[[#This Row],[Base Rate]:[Rate Change Factor]])</f>
        <v>98.026306750007976</v>
      </c>
      <c r="AT240" s="9">
        <f>Table1820[[#This Row],[System-Generated Premium]]-Table1820[[#This Row],[Expected Premium]]</f>
        <v>0</v>
      </c>
      <c r="AU240" t="str">
        <f>IF(Table1820[[#This Row],[Difference]]=0,"PASS","FAIL")</f>
        <v>PASS</v>
      </c>
      <c r="AV240" s="9">
        <f>ABS(Table1820[[#This Row],[Difference]])</f>
        <v>0</v>
      </c>
      <c r="AW240" s="9" t="s">
        <v>1136</v>
      </c>
    </row>
    <row r="241" spans="1:49" x14ac:dyDescent="0.3">
      <c r="A241" t="s">
        <v>332</v>
      </c>
      <c r="B241" s="7">
        <v>45967</v>
      </c>
      <c r="C241" t="s">
        <v>70</v>
      </c>
      <c r="D241" t="s">
        <v>1102</v>
      </c>
      <c r="E241" s="3">
        <v>3</v>
      </c>
      <c r="F241" s="3">
        <v>1</v>
      </c>
      <c r="G241" t="s">
        <v>12</v>
      </c>
      <c r="H241" t="s">
        <v>1106</v>
      </c>
      <c r="I241" t="s">
        <v>21</v>
      </c>
      <c r="J241" t="s">
        <v>50</v>
      </c>
      <c r="K241" t="s">
        <v>10</v>
      </c>
      <c r="L241" t="s">
        <v>10</v>
      </c>
      <c r="M241" t="s">
        <v>10</v>
      </c>
      <c r="N241" t="s">
        <v>57</v>
      </c>
      <c r="O241" t="str">
        <f>INDEX(CoverageTable[Deductible Applies],MATCH(Table1820[[#This Row],[Coverage]],CoverageTable[Coverage],0))</f>
        <v>No</v>
      </c>
      <c r="P241" t="str">
        <f>INDEX(CoverageTable[Coverage Limit Applies],MATCH(Table1820[[#This Row],[Coverage]],CoverageTable[Coverage],0))</f>
        <v>Yes</v>
      </c>
      <c r="Q241" t="s">
        <v>10</v>
      </c>
      <c r="R241" t="s">
        <v>79</v>
      </c>
      <c r="S241" t="s">
        <v>10</v>
      </c>
      <c r="T241" t="s">
        <v>10</v>
      </c>
      <c r="U241" t="s">
        <v>10</v>
      </c>
      <c r="V241" t="s">
        <v>57</v>
      </c>
      <c r="W241" t="s">
        <v>10</v>
      </c>
      <c r="X241" s="11">
        <v>686.59383075886387</v>
      </c>
      <c r="Y241">
        <f>_xlfn.XLOOKUP(Table1820[[#This Row],[Coverage]],CoverageTable[Coverage],CoverageTable[Base Rate],,0)</f>
        <v>622</v>
      </c>
      <c r="Z241">
        <f>INDEX(Table16[Ageband Factor],MATCH(Table1820[[#This Row],[Ageband]],Table16[Ageband],0))</f>
        <v>1.27</v>
      </c>
      <c r="AA241">
        <f>VLOOKUP(Table1820[[#This Row],[Years Driving]],Table1[],2)</f>
        <v>1.22</v>
      </c>
      <c r="AB241">
        <f>_xlfn.XLOOKUP(Table1820[[#This Row],[At Fault Accidents]],Table2[At Fault Accidents],Table2[At Fault Accident Factor],,0)</f>
        <v>1.34</v>
      </c>
      <c r="AC241">
        <f>_xlfn.XLOOKUP(Table1820[[#This Row],[Usage-Based Insurance]],Table3[Usage-Based Insurance],Table3[Usage-Based Insurance Discount],,0)</f>
        <v>0.8</v>
      </c>
      <c r="AD241">
        <f>_xlfn.XLOOKUP(Table1820[[#This Row],[Yearly Miles]],Table4[Yearly Miles],Table4[Yearly Miles Factor],,0)</f>
        <v>0.82</v>
      </c>
      <c r="AE241">
        <f>_xlfn.XLOOKUP(Table1820[[#This Row],[City/Zip Code]],Table5[City/Zip Code],Table5[City/Zip Code Factor],,0)</f>
        <v>1.26</v>
      </c>
      <c r="AF241">
        <f>_xlfn.XLOOKUP(Table1820[[#This Row],[Vehicle Price]],Table6[Vehicle Price],Table6[Vehicle Price Factor])</f>
        <v>1.08</v>
      </c>
      <c r="AG241">
        <f>_xlfn.XLOOKUP(Table1820[[#This Row],[Exotic Car]],Table7[Exotic Car],Table7[Exotic Car Factor],,0)</f>
        <v>1</v>
      </c>
      <c r="AH241">
        <f>_xlfn.XLOOKUP(Table1820[[#This Row],[Difficult Parts]],Table8[Difficult Parts],Table8[Difficult Parts Factor],,0)</f>
        <v>1</v>
      </c>
      <c r="AI241">
        <f>_xlfn.XLOOKUP(Table1820[[#This Row],[High Theft Rate]],Table9[High Theft Rate],Table9[High Theft Rate Factor],,0)</f>
        <v>1</v>
      </c>
      <c r="AJ241">
        <f>_xlfn.XLOOKUP(Table1820[[#This Row],[Advanced Safety Features]],Table10[Advanced Safety Features],Table10[Advanced Safety Features Factor],,0)</f>
        <v>0.88</v>
      </c>
      <c r="AK241">
        <f>_xlfn.XLOOKUP(Table1820[[#This Row],[Deductible]],Table12[Deductible],Table12[Deductible Factor],,0)</f>
        <v>1</v>
      </c>
      <c r="AL241">
        <f>_xlfn.XLOOKUP(Table1820[[#This Row],[Coverage Limit]],Table13[Coverage Limit],Table13[Coverage Limit Factor],,0)</f>
        <v>0.72</v>
      </c>
      <c r="AM241">
        <f>IF(Table1820[[#This Row],[Good Student Discount]]="Yes",'Rate Book'!$D$126,1)</f>
        <v>1</v>
      </c>
      <c r="AN241">
        <f>IF(Table1820[[#This Row],[Good Driver Discount]]="Yes",'Rate Book'!$D$127,1)</f>
        <v>1</v>
      </c>
      <c r="AO241">
        <f>IF(Table1820[[#This Row],[Multi Policy Discount]]="Yes",'Rate Book'!$D$128,1)</f>
        <v>1</v>
      </c>
      <c r="AP241">
        <f>IF(Table1820[[#This Row],[Loyal Customer Discount]]="Yes",'Rate Book'!$D$129,1)</f>
        <v>0.94</v>
      </c>
      <c r="AQ241">
        <f>IF(Table1820[[#This Row],[Organization Discount]]="Yes",'Rate Book'!$D$130,1)</f>
        <v>1</v>
      </c>
      <c r="AR241" cm="1">
        <f t="array" ref="AR241">IF(Table1820[[#This Row],[Effective Date]]&gt;=RateChangeTable[Effective Date],RateChangeTable[Rate Change Factor],1)</f>
        <v>1</v>
      </c>
      <c r="AS241" s="10">
        <f>PRODUCT(Table1820[[#This Row],[Base Rate]:[Rate Change Factor]])</f>
        <v>686.59383075886387</v>
      </c>
      <c r="AT241" s="9">
        <f>Table1820[[#This Row],[System-Generated Premium]]-Table1820[[#This Row],[Expected Premium]]</f>
        <v>0</v>
      </c>
      <c r="AU241" t="str">
        <f>IF(Table1820[[#This Row],[Difference]]=0,"PASS","FAIL")</f>
        <v>PASS</v>
      </c>
      <c r="AV241" s="9">
        <f>ABS(Table1820[[#This Row],[Difference]])</f>
        <v>0</v>
      </c>
      <c r="AW241" s="9" t="s">
        <v>1136</v>
      </c>
    </row>
    <row r="242" spans="1:49" x14ac:dyDescent="0.3">
      <c r="A242" t="s">
        <v>333</v>
      </c>
      <c r="B242" s="7">
        <v>45992</v>
      </c>
      <c r="C242" t="s">
        <v>70</v>
      </c>
      <c r="D242" t="s">
        <v>1098</v>
      </c>
      <c r="E242" s="3">
        <v>1</v>
      </c>
      <c r="F242" s="3">
        <v>1</v>
      </c>
      <c r="G242" t="s">
        <v>13</v>
      </c>
      <c r="H242" t="s">
        <v>1107</v>
      </c>
      <c r="I242" t="s">
        <v>31</v>
      </c>
      <c r="J242" t="s">
        <v>51</v>
      </c>
      <c r="K242" t="s">
        <v>57</v>
      </c>
      <c r="L242" t="s">
        <v>10</v>
      </c>
      <c r="M242" t="s">
        <v>10</v>
      </c>
      <c r="N242" t="s">
        <v>10</v>
      </c>
      <c r="O242" t="str">
        <f>INDEX(CoverageTable[Deductible Applies],MATCH(Table1820[[#This Row],[Coverage]],CoverageTable[Coverage],0))</f>
        <v>No</v>
      </c>
      <c r="P242" t="str">
        <f>INDEX(CoverageTable[Coverage Limit Applies],MATCH(Table1820[[#This Row],[Coverage]],CoverageTable[Coverage],0))</f>
        <v>Yes</v>
      </c>
      <c r="Q242" t="s">
        <v>10</v>
      </c>
      <c r="R242" t="s">
        <v>80</v>
      </c>
      <c r="S242" t="s">
        <v>10</v>
      </c>
      <c r="T242" t="s">
        <v>57</v>
      </c>
      <c r="U242" t="s">
        <v>10</v>
      </c>
      <c r="V242" t="s">
        <v>10</v>
      </c>
      <c r="W242" t="s">
        <v>10</v>
      </c>
      <c r="X242" s="11">
        <v>1381.8237681690016</v>
      </c>
      <c r="Y242">
        <f>_xlfn.XLOOKUP(Table1820[[#This Row],[Coverage]],CoverageTable[Coverage],CoverageTable[Base Rate],,0)</f>
        <v>622</v>
      </c>
      <c r="Z242">
        <f>INDEX(Table16[Ageband Factor],MATCH(Table1820[[#This Row],[Ageband]],Table16[Ageband],0))</f>
        <v>1.23</v>
      </c>
      <c r="AA242">
        <f>VLOOKUP(Table1820[[#This Row],[Years Driving]],Table1[],2)</f>
        <v>1.64</v>
      </c>
      <c r="AB242">
        <f>_xlfn.XLOOKUP(Table1820[[#This Row],[At Fault Accidents]],Table2[At Fault Accidents],Table2[At Fault Accident Factor],,0)</f>
        <v>1.34</v>
      </c>
      <c r="AC242">
        <f>_xlfn.XLOOKUP(Table1820[[#This Row],[Usage-Based Insurance]],Table3[Usage-Based Insurance],Table3[Usage-Based Insurance Discount],,0)</f>
        <v>0.65</v>
      </c>
      <c r="AD242">
        <f>_xlfn.XLOOKUP(Table1820[[#This Row],[Yearly Miles]],Table4[Yearly Miles],Table4[Yearly Miles Factor],,0)</f>
        <v>0.93</v>
      </c>
      <c r="AE242">
        <f>_xlfn.XLOOKUP(Table1820[[#This Row],[City/Zip Code]],Table5[City/Zip Code],Table5[City/Zip Code Factor],,0)</f>
        <v>1.1100000000000001</v>
      </c>
      <c r="AF242">
        <f>_xlfn.XLOOKUP(Table1820[[#This Row],[Vehicle Price]],Table6[Vehicle Price],Table6[Vehicle Price Factor])</f>
        <v>1.28</v>
      </c>
      <c r="AG242">
        <f>_xlfn.XLOOKUP(Table1820[[#This Row],[Exotic Car]],Table7[Exotic Car],Table7[Exotic Car Factor],,0)</f>
        <v>1.28</v>
      </c>
      <c r="AH242">
        <f>_xlfn.XLOOKUP(Table1820[[#This Row],[Difficult Parts]],Table8[Difficult Parts],Table8[Difficult Parts Factor],,0)</f>
        <v>1</v>
      </c>
      <c r="AI242">
        <f>_xlfn.XLOOKUP(Table1820[[#This Row],[High Theft Rate]],Table9[High Theft Rate],Table9[High Theft Rate Factor],,0)</f>
        <v>1</v>
      </c>
      <c r="AJ242">
        <f>_xlfn.XLOOKUP(Table1820[[#This Row],[Advanced Safety Features]],Table10[Advanced Safety Features],Table10[Advanced Safety Features Factor],,0)</f>
        <v>1</v>
      </c>
      <c r="AK242">
        <f>_xlfn.XLOOKUP(Table1820[[#This Row],[Deductible]],Table12[Deductible],Table12[Deductible Factor],,0)</f>
        <v>1</v>
      </c>
      <c r="AL242">
        <f>_xlfn.XLOOKUP(Table1820[[#This Row],[Coverage Limit]],Table13[Coverage Limit],Table13[Coverage Limit Factor],,0)</f>
        <v>0.84</v>
      </c>
      <c r="AM242">
        <f>IF(Table1820[[#This Row],[Good Student Discount]]="Yes",'Rate Book'!$D$126,1)</f>
        <v>1</v>
      </c>
      <c r="AN242">
        <f>IF(Table1820[[#This Row],[Good Driver Discount]]="Yes",'Rate Book'!$D$127,1)</f>
        <v>0.89</v>
      </c>
      <c r="AO242">
        <f>IF(Table1820[[#This Row],[Multi Policy Discount]]="Yes",'Rate Book'!$D$128,1)</f>
        <v>1</v>
      </c>
      <c r="AP242">
        <f>IF(Table1820[[#This Row],[Loyal Customer Discount]]="Yes",'Rate Book'!$D$129,1)</f>
        <v>1</v>
      </c>
      <c r="AQ242">
        <f>IF(Table1820[[#This Row],[Organization Discount]]="Yes",'Rate Book'!$D$130,1)</f>
        <v>1</v>
      </c>
      <c r="AR242" cm="1">
        <f t="array" ref="AR242">IF(Table1820[[#This Row],[Effective Date]]&gt;=RateChangeTable[Effective Date],RateChangeTable[Rate Change Factor],1)</f>
        <v>1</v>
      </c>
      <c r="AS242" s="10">
        <f>PRODUCT(Table1820[[#This Row],[Base Rate]:[Rate Change Factor]])</f>
        <v>1381.8237681690016</v>
      </c>
      <c r="AT242" s="9">
        <f>Table1820[[#This Row],[System-Generated Premium]]-Table1820[[#This Row],[Expected Premium]]</f>
        <v>0</v>
      </c>
      <c r="AU242" t="str">
        <f>IF(Table1820[[#This Row],[Difference]]=0,"PASS","FAIL")</f>
        <v>PASS</v>
      </c>
      <c r="AV242" s="9">
        <f>ABS(Table1820[[#This Row],[Difference]])</f>
        <v>0</v>
      </c>
      <c r="AW242" s="9" t="s">
        <v>1136</v>
      </c>
    </row>
    <row r="243" spans="1:49" x14ac:dyDescent="0.3">
      <c r="A243" t="s">
        <v>334</v>
      </c>
      <c r="B243" s="7">
        <v>45930</v>
      </c>
      <c r="C243" t="s">
        <v>70</v>
      </c>
      <c r="D243" t="s">
        <v>1102</v>
      </c>
      <c r="E243" s="3">
        <v>7</v>
      </c>
      <c r="F243" s="3">
        <v>1</v>
      </c>
      <c r="G243" t="s">
        <v>10</v>
      </c>
      <c r="H243" t="s">
        <v>1106</v>
      </c>
      <c r="I243" t="s">
        <v>29</v>
      </c>
      <c r="J243" t="s">
        <v>52</v>
      </c>
      <c r="K243" t="s">
        <v>10</v>
      </c>
      <c r="L243" t="s">
        <v>10</v>
      </c>
      <c r="M243" t="s">
        <v>10</v>
      </c>
      <c r="N243" t="s">
        <v>10</v>
      </c>
      <c r="O243" t="str">
        <f>INDEX(CoverageTable[Deductible Applies],MATCH(Table1820[[#This Row],[Coverage]],CoverageTable[Coverage],0))</f>
        <v>No</v>
      </c>
      <c r="P243" t="str">
        <f>INDEX(CoverageTable[Coverage Limit Applies],MATCH(Table1820[[#This Row],[Coverage]],CoverageTable[Coverage],0))</f>
        <v>Yes</v>
      </c>
      <c r="Q243" t="s">
        <v>10</v>
      </c>
      <c r="R243" t="s">
        <v>79</v>
      </c>
      <c r="S243" t="s">
        <v>10</v>
      </c>
      <c r="T243" t="s">
        <v>10</v>
      </c>
      <c r="U243" t="s">
        <v>10</v>
      </c>
      <c r="V243" t="s">
        <v>10</v>
      </c>
      <c r="W243" t="s">
        <v>10</v>
      </c>
      <c r="X243" s="11">
        <v>1016.0030424693025</v>
      </c>
      <c r="Y243">
        <f>_xlfn.XLOOKUP(Table1820[[#This Row],[Coverage]],CoverageTable[Coverage],CoverageTable[Base Rate],,0)</f>
        <v>622</v>
      </c>
      <c r="Z243">
        <f>INDEX(Table16[Ageband Factor],MATCH(Table1820[[#This Row],[Ageband]],Table16[Ageband],0))</f>
        <v>1.27</v>
      </c>
      <c r="AA243">
        <f>VLOOKUP(Table1820[[#This Row],[Years Driving]],Table1[],2)</f>
        <v>0.95</v>
      </c>
      <c r="AB243">
        <f>_xlfn.XLOOKUP(Table1820[[#This Row],[At Fault Accidents]],Table2[At Fault Accidents],Table2[At Fault Accident Factor],,0)</f>
        <v>1.34</v>
      </c>
      <c r="AC243">
        <f>_xlfn.XLOOKUP(Table1820[[#This Row],[Usage-Based Insurance]],Table3[Usage-Based Insurance],Table3[Usage-Based Insurance Discount],,0)</f>
        <v>1</v>
      </c>
      <c r="AD243">
        <f>_xlfn.XLOOKUP(Table1820[[#This Row],[Yearly Miles]],Table4[Yearly Miles],Table4[Yearly Miles Factor],,0)</f>
        <v>0.82</v>
      </c>
      <c r="AE243">
        <f>_xlfn.XLOOKUP(Table1820[[#This Row],[City/Zip Code]],Table5[City/Zip Code],Table5[City/Zip Code Factor],,0)</f>
        <v>1.0900000000000001</v>
      </c>
      <c r="AF243">
        <f>_xlfn.XLOOKUP(Table1820[[#This Row],[Vehicle Price]],Table6[Vehicle Price],Table6[Vehicle Price Factor])</f>
        <v>1.57</v>
      </c>
      <c r="AG243">
        <f>_xlfn.XLOOKUP(Table1820[[#This Row],[Exotic Car]],Table7[Exotic Car],Table7[Exotic Car Factor],,0)</f>
        <v>1</v>
      </c>
      <c r="AH243">
        <f>_xlfn.XLOOKUP(Table1820[[#This Row],[Difficult Parts]],Table8[Difficult Parts],Table8[Difficult Parts Factor],,0)</f>
        <v>1</v>
      </c>
      <c r="AI243">
        <f>_xlfn.XLOOKUP(Table1820[[#This Row],[High Theft Rate]],Table9[High Theft Rate],Table9[High Theft Rate Factor],,0)</f>
        <v>1</v>
      </c>
      <c r="AJ243">
        <f>_xlfn.XLOOKUP(Table1820[[#This Row],[Advanced Safety Features]],Table10[Advanced Safety Features],Table10[Advanced Safety Features Factor],,0)</f>
        <v>1</v>
      </c>
      <c r="AK243">
        <f>_xlfn.XLOOKUP(Table1820[[#This Row],[Deductible]],Table12[Deductible],Table12[Deductible Factor],,0)</f>
        <v>1</v>
      </c>
      <c r="AL243">
        <f>_xlfn.XLOOKUP(Table1820[[#This Row],[Coverage Limit]],Table13[Coverage Limit],Table13[Coverage Limit Factor],,0)</f>
        <v>0.72</v>
      </c>
      <c r="AM243">
        <f>IF(Table1820[[#This Row],[Good Student Discount]]="Yes",'Rate Book'!$D$126,1)</f>
        <v>1</v>
      </c>
      <c r="AN243">
        <f>IF(Table1820[[#This Row],[Good Driver Discount]]="Yes",'Rate Book'!$D$127,1)</f>
        <v>1</v>
      </c>
      <c r="AO243">
        <f>IF(Table1820[[#This Row],[Multi Policy Discount]]="Yes",'Rate Book'!$D$128,1)</f>
        <v>1</v>
      </c>
      <c r="AP243">
        <f>IF(Table1820[[#This Row],[Loyal Customer Discount]]="Yes",'Rate Book'!$D$129,1)</f>
        <v>1</v>
      </c>
      <c r="AQ243">
        <f>IF(Table1820[[#This Row],[Organization Discount]]="Yes",'Rate Book'!$D$130,1)</f>
        <v>1</v>
      </c>
      <c r="AR243" cm="1">
        <f t="array" ref="AR243">IF(Table1820[[#This Row],[Effective Date]]&gt;=RateChangeTable[Effective Date],RateChangeTable[Rate Change Factor],1)</f>
        <v>1</v>
      </c>
      <c r="AS243" s="10">
        <f>PRODUCT(Table1820[[#This Row],[Base Rate]:[Rate Change Factor]])</f>
        <v>1016.0030424693025</v>
      </c>
      <c r="AT243" s="9">
        <f>Table1820[[#This Row],[System-Generated Premium]]-Table1820[[#This Row],[Expected Premium]]</f>
        <v>0</v>
      </c>
      <c r="AU243" t="str">
        <f>IF(Table1820[[#This Row],[Difference]]=0,"PASS","FAIL")</f>
        <v>PASS</v>
      </c>
      <c r="AV243" s="9">
        <f>ABS(Table1820[[#This Row],[Difference]])</f>
        <v>0</v>
      </c>
      <c r="AW243" s="9" t="s">
        <v>1136</v>
      </c>
    </row>
    <row r="244" spans="1:49" x14ac:dyDescent="0.3">
      <c r="A244" t="s">
        <v>335</v>
      </c>
      <c r="B244" s="7">
        <v>45950</v>
      </c>
      <c r="C244" t="s">
        <v>71</v>
      </c>
      <c r="D244" t="s">
        <v>1101</v>
      </c>
      <c r="E244" s="3">
        <v>4</v>
      </c>
      <c r="F244" s="3">
        <v>0</v>
      </c>
      <c r="G244" t="s">
        <v>12</v>
      </c>
      <c r="H244" t="s">
        <v>1108</v>
      </c>
      <c r="I244" t="s">
        <v>29</v>
      </c>
      <c r="J244" t="s">
        <v>53</v>
      </c>
      <c r="K244" t="s">
        <v>10</v>
      </c>
      <c r="L244" t="s">
        <v>10</v>
      </c>
      <c r="M244" t="s">
        <v>10</v>
      </c>
      <c r="N244" t="s">
        <v>10</v>
      </c>
      <c r="O244" t="str">
        <f>INDEX(CoverageTable[Deductible Applies],MATCH(Table1820[[#This Row],[Coverage]],CoverageTable[Coverage],0))</f>
        <v>Yes</v>
      </c>
      <c r="P244" t="str">
        <f>INDEX(CoverageTable[Coverage Limit Applies],MATCH(Table1820[[#This Row],[Coverage]],CoverageTable[Coverage],0))</f>
        <v>No</v>
      </c>
      <c r="Q244" t="s">
        <v>80</v>
      </c>
      <c r="R244" t="s">
        <v>10</v>
      </c>
      <c r="S244" t="s">
        <v>10</v>
      </c>
      <c r="T244" t="s">
        <v>10</v>
      </c>
      <c r="U244" t="s">
        <v>10</v>
      </c>
      <c r="V244" t="s">
        <v>10</v>
      </c>
      <c r="W244" t="s">
        <v>57</v>
      </c>
      <c r="X244" s="11">
        <v>717.77140078694413</v>
      </c>
      <c r="Y244">
        <f>_xlfn.XLOOKUP(Table1820[[#This Row],[Coverage]],CoverageTable[Coverage],CoverageTable[Base Rate],,0)</f>
        <v>453</v>
      </c>
      <c r="Z244">
        <f>INDEX(Table16[Ageband Factor],MATCH(Table1820[[#This Row],[Ageband]],Table16[Ageband],0))</f>
        <v>1.1200000000000001</v>
      </c>
      <c r="AA244">
        <f>VLOOKUP(Table1820[[#This Row],[Years Driving]],Table1[],2)</f>
        <v>1.1499999999999999</v>
      </c>
      <c r="AB244">
        <f>_xlfn.XLOOKUP(Table1820[[#This Row],[At Fault Accidents]],Table2[At Fault Accidents],Table2[At Fault Accident Factor],,0)</f>
        <v>1</v>
      </c>
      <c r="AC244">
        <f>_xlfn.XLOOKUP(Table1820[[#This Row],[Usage-Based Insurance]],Table3[Usage-Based Insurance],Table3[Usage-Based Insurance Discount],,0)</f>
        <v>0.8</v>
      </c>
      <c r="AD244">
        <f>_xlfn.XLOOKUP(Table1820[[#This Row],[Yearly Miles]],Table4[Yearly Miles],Table4[Yearly Miles Factor],,0)</f>
        <v>1</v>
      </c>
      <c r="AE244">
        <f>_xlfn.XLOOKUP(Table1820[[#This Row],[City/Zip Code]],Table5[City/Zip Code],Table5[City/Zip Code Factor],,0)</f>
        <v>1.0900000000000001</v>
      </c>
      <c r="AF244">
        <f>_xlfn.XLOOKUP(Table1820[[#This Row],[Vehicle Price]],Table6[Vehicle Price],Table6[Vehicle Price Factor])</f>
        <v>2.02</v>
      </c>
      <c r="AG244">
        <f>_xlfn.XLOOKUP(Table1820[[#This Row],[Exotic Car]],Table7[Exotic Car],Table7[Exotic Car Factor],,0)</f>
        <v>1</v>
      </c>
      <c r="AH244">
        <f>_xlfn.XLOOKUP(Table1820[[#This Row],[Difficult Parts]],Table8[Difficult Parts],Table8[Difficult Parts Factor],,0)</f>
        <v>1</v>
      </c>
      <c r="AI244">
        <f>_xlfn.XLOOKUP(Table1820[[#This Row],[High Theft Rate]],Table9[High Theft Rate],Table9[High Theft Rate Factor],,0)</f>
        <v>1</v>
      </c>
      <c r="AJ244">
        <f>_xlfn.XLOOKUP(Table1820[[#This Row],[Advanced Safety Features]],Table10[Advanced Safety Features],Table10[Advanced Safety Features Factor],,0)</f>
        <v>1</v>
      </c>
      <c r="AK244">
        <f>_xlfn.XLOOKUP(Table1820[[#This Row],[Deductible]],Table12[Deductible],Table12[Deductible Factor],,0)</f>
        <v>0.72</v>
      </c>
      <c r="AL244">
        <f>_xlfn.XLOOKUP(Table1820[[#This Row],[Coverage Limit]],Table13[Coverage Limit],Table13[Coverage Limit Factor],,0)</f>
        <v>1</v>
      </c>
      <c r="AM244">
        <f>IF(Table1820[[#This Row],[Good Student Discount]]="Yes",'Rate Book'!$D$126,1)</f>
        <v>1</v>
      </c>
      <c r="AN244">
        <f>IF(Table1820[[#This Row],[Good Driver Discount]]="Yes",'Rate Book'!$D$127,1)</f>
        <v>1</v>
      </c>
      <c r="AO244">
        <f>IF(Table1820[[#This Row],[Multi Policy Discount]]="Yes",'Rate Book'!$D$128,1)</f>
        <v>1</v>
      </c>
      <c r="AP244">
        <f>IF(Table1820[[#This Row],[Loyal Customer Discount]]="Yes",'Rate Book'!$D$129,1)</f>
        <v>1</v>
      </c>
      <c r="AQ244">
        <f>IF(Table1820[[#This Row],[Organization Discount]]="Yes",'Rate Book'!$D$130,1)</f>
        <v>0.97</v>
      </c>
      <c r="AR244" cm="1">
        <f t="array" ref="AR244">IF(Table1820[[#This Row],[Effective Date]]&gt;=RateChangeTable[Effective Date],RateChangeTable[Rate Change Factor],1)</f>
        <v>1</v>
      </c>
      <c r="AS244" s="10">
        <f>PRODUCT(Table1820[[#This Row],[Base Rate]:[Rate Change Factor]])</f>
        <v>717.77140078694413</v>
      </c>
      <c r="AT244" s="9">
        <f>Table1820[[#This Row],[System-Generated Premium]]-Table1820[[#This Row],[Expected Premium]]</f>
        <v>0</v>
      </c>
      <c r="AU244" t="str">
        <f>IF(Table1820[[#This Row],[Difference]]=0,"PASS","FAIL")</f>
        <v>PASS</v>
      </c>
      <c r="AV244" s="9">
        <f>ABS(Table1820[[#This Row],[Difference]])</f>
        <v>0</v>
      </c>
      <c r="AW244" s="9" t="s">
        <v>1136</v>
      </c>
    </row>
    <row r="245" spans="1:49" x14ac:dyDescent="0.3">
      <c r="A245" t="s">
        <v>336</v>
      </c>
      <c r="B245" s="7">
        <v>46135</v>
      </c>
      <c r="C245" t="s">
        <v>70</v>
      </c>
      <c r="D245" t="s">
        <v>1101</v>
      </c>
      <c r="E245" s="3">
        <v>6</v>
      </c>
      <c r="F245" s="3">
        <v>1</v>
      </c>
      <c r="G245" t="s">
        <v>10</v>
      </c>
      <c r="H245" t="s">
        <v>1110</v>
      </c>
      <c r="I245" t="s">
        <v>41</v>
      </c>
      <c r="J245" t="s">
        <v>52</v>
      </c>
      <c r="K245" t="s">
        <v>57</v>
      </c>
      <c r="L245" t="s">
        <v>10</v>
      </c>
      <c r="M245" t="s">
        <v>10</v>
      </c>
      <c r="N245" t="s">
        <v>10</v>
      </c>
      <c r="O245" t="str">
        <f>INDEX(CoverageTable[Deductible Applies],MATCH(Table1820[[#This Row],[Coverage]],CoverageTable[Coverage],0))</f>
        <v>No</v>
      </c>
      <c r="P245" t="str">
        <f>INDEX(CoverageTable[Coverage Limit Applies],MATCH(Table1820[[#This Row],[Coverage]],CoverageTable[Coverage],0))</f>
        <v>Yes</v>
      </c>
      <c r="Q245" t="s">
        <v>10</v>
      </c>
      <c r="R245" t="s">
        <v>79</v>
      </c>
      <c r="S245" t="s">
        <v>10</v>
      </c>
      <c r="T245" t="s">
        <v>10</v>
      </c>
      <c r="U245" t="s">
        <v>10</v>
      </c>
      <c r="V245" t="s">
        <v>10</v>
      </c>
      <c r="W245" t="s">
        <v>10</v>
      </c>
      <c r="X245" s="11">
        <v>2156.9015646429511</v>
      </c>
      <c r="Y245">
        <f>_xlfn.XLOOKUP(Table1820[[#This Row],[Coverage]],CoverageTable[Coverage],CoverageTable[Base Rate],,0)</f>
        <v>622</v>
      </c>
      <c r="Z245">
        <f>INDEX(Table16[Ageband Factor],MATCH(Table1820[[#This Row],[Ageband]],Table16[Ageband],0))</f>
        <v>1.1200000000000001</v>
      </c>
      <c r="AA245">
        <f>VLOOKUP(Table1820[[#This Row],[Years Driving]],Table1[],2)</f>
        <v>1</v>
      </c>
      <c r="AB245">
        <f>_xlfn.XLOOKUP(Table1820[[#This Row],[At Fault Accidents]],Table2[At Fault Accidents],Table2[At Fault Accident Factor],,0)</f>
        <v>1.34</v>
      </c>
      <c r="AC245">
        <f>_xlfn.XLOOKUP(Table1820[[#This Row],[Usage-Based Insurance]],Table3[Usage-Based Insurance],Table3[Usage-Based Insurance Discount],,0)</f>
        <v>1</v>
      </c>
      <c r="AD245">
        <f>_xlfn.XLOOKUP(Table1820[[#This Row],[Yearly Miles]],Table4[Yearly Miles],Table4[Yearly Miles Factor],,0)</f>
        <v>1.31</v>
      </c>
      <c r="AE245">
        <f>_xlfn.XLOOKUP(Table1820[[#This Row],[City/Zip Code]],Table5[City/Zip Code],Table5[City/Zip Code Factor],,0)</f>
        <v>1.1499999999999999</v>
      </c>
      <c r="AF245">
        <f>_xlfn.XLOOKUP(Table1820[[#This Row],[Vehicle Price]],Table6[Vehicle Price],Table6[Vehicle Price Factor])</f>
        <v>1.57</v>
      </c>
      <c r="AG245">
        <f>_xlfn.XLOOKUP(Table1820[[#This Row],[Exotic Car]],Table7[Exotic Car],Table7[Exotic Car Factor],,0)</f>
        <v>1.28</v>
      </c>
      <c r="AH245">
        <f>_xlfn.XLOOKUP(Table1820[[#This Row],[Difficult Parts]],Table8[Difficult Parts],Table8[Difficult Parts Factor],,0)</f>
        <v>1</v>
      </c>
      <c r="AI245">
        <f>_xlfn.XLOOKUP(Table1820[[#This Row],[High Theft Rate]],Table9[High Theft Rate],Table9[High Theft Rate Factor],,0)</f>
        <v>1</v>
      </c>
      <c r="AJ245">
        <f>_xlfn.XLOOKUP(Table1820[[#This Row],[Advanced Safety Features]],Table10[Advanced Safety Features],Table10[Advanced Safety Features Factor],,0)</f>
        <v>1</v>
      </c>
      <c r="AK245">
        <f>_xlfn.XLOOKUP(Table1820[[#This Row],[Deductible]],Table12[Deductible],Table12[Deductible Factor],,0)</f>
        <v>1</v>
      </c>
      <c r="AL245">
        <f>_xlfn.XLOOKUP(Table1820[[#This Row],[Coverage Limit]],Table13[Coverage Limit],Table13[Coverage Limit Factor],,0)</f>
        <v>0.72</v>
      </c>
      <c r="AM245">
        <f>IF(Table1820[[#This Row],[Good Student Discount]]="Yes",'Rate Book'!$D$126,1)</f>
        <v>1</v>
      </c>
      <c r="AN245">
        <f>IF(Table1820[[#This Row],[Good Driver Discount]]="Yes",'Rate Book'!$D$127,1)</f>
        <v>1</v>
      </c>
      <c r="AO245">
        <f>IF(Table1820[[#This Row],[Multi Policy Discount]]="Yes",'Rate Book'!$D$128,1)</f>
        <v>1</v>
      </c>
      <c r="AP245">
        <f>IF(Table1820[[#This Row],[Loyal Customer Discount]]="Yes",'Rate Book'!$D$129,1)</f>
        <v>1</v>
      </c>
      <c r="AQ245">
        <f>IF(Table1820[[#This Row],[Organization Discount]]="Yes",'Rate Book'!$D$130,1)</f>
        <v>1</v>
      </c>
      <c r="AR245" cm="1">
        <f t="array" ref="AR245">IF(Table1820[[#This Row],[Effective Date]]&gt;=RateChangeTable[Effective Date],RateChangeTable[Rate Change Factor],1)</f>
        <v>1.06</v>
      </c>
      <c r="AS245" s="10">
        <f>PRODUCT(Table1820[[#This Row],[Base Rate]:[Rate Change Factor]])</f>
        <v>2156.9015646429511</v>
      </c>
      <c r="AT245" s="9">
        <f>Table1820[[#This Row],[System-Generated Premium]]-Table1820[[#This Row],[Expected Premium]]</f>
        <v>0</v>
      </c>
      <c r="AU245" t="str">
        <f>IF(Table1820[[#This Row],[Difference]]=0,"PASS","FAIL")</f>
        <v>PASS</v>
      </c>
      <c r="AV245" s="9">
        <f>ABS(Table1820[[#This Row],[Difference]])</f>
        <v>0</v>
      </c>
      <c r="AW245" s="9" t="s">
        <v>1136</v>
      </c>
    </row>
    <row r="246" spans="1:49" x14ac:dyDescent="0.3">
      <c r="A246" t="s">
        <v>337</v>
      </c>
      <c r="B246" s="7">
        <v>45927</v>
      </c>
      <c r="C246" t="s">
        <v>71</v>
      </c>
      <c r="D246" t="s">
        <v>1102</v>
      </c>
      <c r="E246" s="3">
        <v>2</v>
      </c>
      <c r="F246" s="3">
        <v>0</v>
      </c>
      <c r="G246" t="s">
        <v>10</v>
      </c>
      <c r="H246" t="s">
        <v>1108</v>
      </c>
      <c r="I246" t="s">
        <v>28</v>
      </c>
      <c r="J246" t="s">
        <v>54</v>
      </c>
      <c r="K246" t="s">
        <v>10</v>
      </c>
      <c r="L246" t="s">
        <v>10</v>
      </c>
      <c r="M246" t="s">
        <v>57</v>
      </c>
      <c r="N246" t="s">
        <v>57</v>
      </c>
      <c r="O246" t="str">
        <f>INDEX(CoverageTable[Deductible Applies],MATCH(Table1820[[#This Row],[Coverage]],CoverageTable[Coverage],0))</f>
        <v>Yes</v>
      </c>
      <c r="P246" t="str">
        <f>INDEX(CoverageTable[Coverage Limit Applies],MATCH(Table1820[[#This Row],[Coverage]],CoverageTable[Coverage],0))</f>
        <v>No</v>
      </c>
      <c r="Q246" t="s">
        <v>80</v>
      </c>
      <c r="R246" t="s">
        <v>10</v>
      </c>
      <c r="S246" t="s">
        <v>10</v>
      </c>
      <c r="T246" t="s">
        <v>10</v>
      </c>
      <c r="U246" t="s">
        <v>10</v>
      </c>
      <c r="V246" t="s">
        <v>10</v>
      </c>
      <c r="W246" t="s">
        <v>10</v>
      </c>
      <c r="X246" s="11">
        <v>1625.5476158511742</v>
      </c>
      <c r="Y246">
        <f>_xlfn.XLOOKUP(Table1820[[#This Row],[Coverage]],CoverageTable[Coverage],CoverageTable[Base Rate],,0)</f>
        <v>453</v>
      </c>
      <c r="Z246">
        <f>INDEX(Table16[Ageband Factor],MATCH(Table1820[[#This Row],[Ageband]],Table16[Ageband],0))</f>
        <v>1.27</v>
      </c>
      <c r="AA246">
        <f>VLOOKUP(Table1820[[#This Row],[Years Driving]],Table1[],2)</f>
        <v>1.41</v>
      </c>
      <c r="AB246">
        <f>_xlfn.XLOOKUP(Table1820[[#This Row],[At Fault Accidents]],Table2[At Fault Accidents],Table2[At Fault Accident Factor],,0)</f>
        <v>1</v>
      </c>
      <c r="AC246">
        <f>_xlfn.XLOOKUP(Table1820[[#This Row],[Usage-Based Insurance]],Table3[Usage-Based Insurance],Table3[Usage-Based Insurance Discount],,0)</f>
        <v>1</v>
      </c>
      <c r="AD246">
        <f>_xlfn.XLOOKUP(Table1820[[#This Row],[Yearly Miles]],Table4[Yearly Miles],Table4[Yearly Miles Factor],,0)</f>
        <v>1</v>
      </c>
      <c r="AE246">
        <f>_xlfn.XLOOKUP(Table1820[[#This Row],[City/Zip Code]],Table5[City/Zip Code],Table5[City/Zip Code Factor],,0)</f>
        <v>0.95</v>
      </c>
      <c r="AF246">
        <f>_xlfn.XLOOKUP(Table1820[[#This Row],[Vehicle Price]],Table6[Vehicle Price],Table6[Vehicle Price Factor])</f>
        <v>2.87</v>
      </c>
      <c r="AG246">
        <f>_xlfn.XLOOKUP(Table1820[[#This Row],[Exotic Car]],Table7[Exotic Car],Table7[Exotic Car Factor],,0)</f>
        <v>1</v>
      </c>
      <c r="AH246">
        <f>_xlfn.XLOOKUP(Table1820[[#This Row],[Difficult Parts]],Table8[Difficult Parts],Table8[Difficult Parts Factor],,0)</f>
        <v>1</v>
      </c>
      <c r="AI246">
        <f>_xlfn.XLOOKUP(Table1820[[#This Row],[High Theft Rate]],Table9[High Theft Rate],Table9[High Theft Rate Factor],,0)</f>
        <v>1.1599999999999999</v>
      </c>
      <c r="AJ246">
        <f>_xlfn.XLOOKUP(Table1820[[#This Row],[Advanced Safety Features]],Table10[Advanced Safety Features],Table10[Advanced Safety Features Factor],,0)</f>
        <v>0.88</v>
      </c>
      <c r="AK246">
        <f>_xlfn.XLOOKUP(Table1820[[#This Row],[Deductible]],Table12[Deductible],Table12[Deductible Factor],,0)</f>
        <v>0.72</v>
      </c>
      <c r="AL246">
        <f>_xlfn.XLOOKUP(Table1820[[#This Row],[Coverage Limit]],Table13[Coverage Limit],Table13[Coverage Limit Factor],,0)</f>
        <v>1</v>
      </c>
      <c r="AM246">
        <f>IF(Table1820[[#This Row],[Good Student Discount]]="Yes",'Rate Book'!$D$126,1)</f>
        <v>1</v>
      </c>
      <c r="AN246">
        <f>IF(Table1820[[#This Row],[Good Driver Discount]]="Yes",'Rate Book'!$D$127,1)</f>
        <v>1</v>
      </c>
      <c r="AO246">
        <f>IF(Table1820[[#This Row],[Multi Policy Discount]]="Yes",'Rate Book'!$D$128,1)</f>
        <v>1</v>
      </c>
      <c r="AP246">
        <f>IF(Table1820[[#This Row],[Loyal Customer Discount]]="Yes",'Rate Book'!$D$129,1)</f>
        <v>1</v>
      </c>
      <c r="AQ246">
        <f>IF(Table1820[[#This Row],[Organization Discount]]="Yes",'Rate Book'!$D$130,1)</f>
        <v>1</v>
      </c>
      <c r="AR246" cm="1">
        <f t="array" ref="AR246">IF(Table1820[[#This Row],[Effective Date]]&gt;=RateChangeTable[Effective Date],RateChangeTable[Rate Change Factor],1)</f>
        <v>1</v>
      </c>
      <c r="AS246" s="10">
        <f>PRODUCT(Table1820[[#This Row],[Base Rate]:[Rate Change Factor]])</f>
        <v>1625.5476158511742</v>
      </c>
      <c r="AT246" s="9">
        <f>Table1820[[#This Row],[System-Generated Premium]]-Table1820[[#This Row],[Expected Premium]]</f>
        <v>0</v>
      </c>
      <c r="AU246" t="str">
        <f>IF(Table1820[[#This Row],[Difference]]=0,"PASS","FAIL")</f>
        <v>PASS</v>
      </c>
      <c r="AV246" s="9">
        <f>ABS(Table1820[[#This Row],[Difference]])</f>
        <v>0</v>
      </c>
      <c r="AW246" s="9" t="s">
        <v>1136</v>
      </c>
    </row>
    <row r="247" spans="1:49" x14ac:dyDescent="0.3">
      <c r="A247" t="s">
        <v>338</v>
      </c>
      <c r="B247" s="7">
        <v>46067</v>
      </c>
      <c r="C247" t="s">
        <v>74</v>
      </c>
      <c r="D247" t="s">
        <v>1102</v>
      </c>
      <c r="E247" s="3" t="s">
        <v>1103</v>
      </c>
      <c r="F247" s="3">
        <v>2</v>
      </c>
      <c r="G247" t="s">
        <v>10</v>
      </c>
      <c r="H247" t="s">
        <v>1106</v>
      </c>
      <c r="I247" t="s">
        <v>27</v>
      </c>
      <c r="J247" t="s">
        <v>49</v>
      </c>
      <c r="K247" t="s">
        <v>10</v>
      </c>
      <c r="L247" t="s">
        <v>10</v>
      </c>
      <c r="M247" t="s">
        <v>10</v>
      </c>
      <c r="N247" t="s">
        <v>10</v>
      </c>
      <c r="O247" t="str">
        <f>INDEX(CoverageTable[Deductible Applies],MATCH(Table1820[[#This Row],[Coverage]],CoverageTable[Coverage],0))</f>
        <v>No</v>
      </c>
      <c r="P247" t="str">
        <f>INDEX(CoverageTable[Coverage Limit Applies],MATCH(Table1820[[#This Row],[Coverage]],CoverageTable[Coverage],0))</f>
        <v>Yes</v>
      </c>
      <c r="Q247" t="s">
        <v>10</v>
      </c>
      <c r="R247" t="s">
        <v>79</v>
      </c>
      <c r="S247" t="s">
        <v>10</v>
      </c>
      <c r="T247" t="s">
        <v>10</v>
      </c>
      <c r="U247" t="s">
        <v>10</v>
      </c>
      <c r="V247" t="s">
        <v>10</v>
      </c>
      <c r="W247" t="s">
        <v>10</v>
      </c>
      <c r="X247" s="11">
        <v>42.830586983568097</v>
      </c>
      <c r="Y247">
        <f>_xlfn.XLOOKUP(Table1820[[#This Row],[Coverage]],CoverageTable[Coverage],CoverageTable[Base Rate],,0)</f>
        <v>41</v>
      </c>
      <c r="Z247">
        <f>INDEX(Table16[Ageband Factor],MATCH(Table1820[[#This Row],[Ageband]],Table16[Ageband],0))</f>
        <v>1.27</v>
      </c>
      <c r="AA247">
        <f>VLOOKUP(Table1820[[#This Row],[Years Driving]],Table1[],2)</f>
        <v>0.93</v>
      </c>
      <c r="AB247">
        <f>_xlfn.XLOOKUP(Table1820[[#This Row],[At Fault Accidents]],Table2[At Fault Accidents],Table2[At Fault Accident Factor],,0)</f>
        <v>1.55</v>
      </c>
      <c r="AC247">
        <f>_xlfn.XLOOKUP(Table1820[[#This Row],[Usage-Based Insurance]],Table3[Usage-Based Insurance],Table3[Usage-Based Insurance Discount],,0)</f>
        <v>1</v>
      </c>
      <c r="AD247">
        <f>_xlfn.XLOOKUP(Table1820[[#This Row],[Yearly Miles]],Table4[Yearly Miles],Table4[Yearly Miles Factor],,0)</f>
        <v>0.82</v>
      </c>
      <c r="AE247">
        <f>_xlfn.XLOOKUP(Table1820[[#This Row],[City/Zip Code]],Table5[City/Zip Code],Table5[City/Zip Code Factor],,0)</f>
        <v>0.94</v>
      </c>
      <c r="AF247">
        <f>_xlfn.XLOOKUP(Table1820[[#This Row],[Vehicle Price]],Table6[Vehicle Price],Table6[Vehicle Price Factor])</f>
        <v>0.97</v>
      </c>
      <c r="AG247">
        <f>_xlfn.XLOOKUP(Table1820[[#This Row],[Exotic Car]],Table7[Exotic Car],Table7[Exotic Car Factor],,0)</f>
        <v>1</v>
      </c>
      <c r="AH247">
        <f>_xlfn.XLOOKUP(Table1820[[#This Row],[Difficult Parts]],Table8[Difficult Parts],Table8[Difficult Parts Factor],,0)</f>
        <v>1</v>
      </c>
      <c r="AI247">
        <f>_xlfn.XLOOKUP(Table1820[[#This Row],[High Theft Rate]],Table9[High Theft Rate],Table9[High Theft Rate Factor],,0)</f>
        <v>1</v>
      </c>
      <c r="AJ247">
        <f>_xlfn.XLOOKUP(Table1820[[#This Row],[Advanced Safety Features]],Table10[Advanced Safety Features],Table10[Advanced Safety Features Factor],,0)</f>
        <v>1</v>
      </c>
      <c r="AK247">
        <f>_xlfn.XLOOKUP(Table1820[[#This Row],[Deductible]],Table12[Deductible],Table12[Deductible Factor],,0)</f>
        <v>1</v>
      </c>
      <c r="AL247">
        <f>_xlfn.XLOOKUP(Table1820[[#This Row],[Coverage Limit]],Table13[Coverage Limit],Table13[Coverage Limit Factor],,0)</f>
        <v>0.72</v>
      </c>
      <c r="AM247">
        <f>IF(Table1820[[#This Row],[Good Student Discount]]="Yes",'Rate Book'!$D$126,1)</f>
        <v>1</v>
      </c>
      <c r="AN247">
        <f>IF(Table1820[[#This Row],[Good Driver Discount]]="Yes",'Rate Book'!$D$127,1)</f>
        <v>1</v>
      </c>
      <c r="AO247">
        <f>IF(Table1820[[#This Row],[Multi Policy Discount]]="Yes",'Rate Book'!$D$128,1)</f>
        <v>1</v>
      </c>
      <c r="AP247">
        <f>IF(Table1820[[#This Row],[Loyal Customer Discount]]="Yes",'Rate Book'!$D$129,1)</f>
        <v>1</v>
      </c>
      <c r="AQ247">
        <f>IF(Table1820[[#This Row],[Organization Discount]]="Yes",'Rate Book'!$D$130,1)</f>
        <v>1</v>
      </c>
      <c r="AR247" cm="1">
        <f t="array" ref="AR247">IF(Table1820[[#This Row],[Effective Date]]&gt;=RateChangeTable[Effective Date],RateChangeTable[Rate Change Factor],1)</f>
        <v>1.06</v>
      </c>
      <c r="AS247" s="10">
        <f>PRODUCT(Table1820[[#This Row],[Base Rate]:[Rate Change Factor]])</f>
        <v>42.830586983568097</v>
      </c>
      <c r="AT247" s="9">
        <f>Table1820[[#This Row],[System-Generated Premium]]-Table1820[[#This Row],[Expected Premium]]</f>
        <v>0</v>
      </c>
      <c r="AU247" t="str">
        <f>IF(Table1820[[#This Row],[Difference]]=0,"PASS","FAIL")</f>
        <v>PASS</v>
      </c>
      <c r="AV247" s="9">
        <f>ABS(Table1820[[#This Row],[Difference]])</f>
        <v>0</v>
      </c>
      <c r="AW247" s="9" t="s">
        <v>1136</v>
      </c>
    </row>
    <row r="248" spans="1:49" x14ac:dyDescent="0.3">
      <c r="A248" t="s">
        <v>339</v>
      </c>
      <c r="B248" s="7">
        <v>46065</v>
      </c>
      <c r="C248" t="s">
        <v>72</v>
      </c>
      <c r="D248" t="s">
        <v>1097</v>
      </c>
      <c r="E248" s="3">
        <v>5</v>
      </c>
      <c r="F248" s="3">
        <v>0</v>
      </c>
      <c r="G248" t="s">
        <v>10</v>
      </c>
      <c r="H248" t="s">
        <v>1106</v>
      </c>
      <c r="I248" t="s">
        <v>24</v>
      </c>
      <c r="J248" t="s">
        <v>53</v>
      </c>
      <c r="K248" t="s">
        <v>10</v>
      </c>
      <c r="L248" t="s">
        <v>57</v>
      </c>
      <c r="M248" t="s">
        <v>10</v>
      </c>
      <c r="N248" t="s">
        <v>57</v>
      </c>
      <c r="O248" t="str">
        <f>INDEX(CoverageTable[Deductible Applies],MATCH(Table1820[[#This Row],[Coverage]],CoverageTable[Coverage],0))</f>
        <v>Yes</v>
      </c>
      <c r="P248" t="str">
        <f>INDEX(CoverageTable[Coverage Limit Applies],MATCH(Table1820[[#This Row],[Coverage]],CoverageTable[Coverage],0))</f>
        <v>No</v>
      </c>
      <c r="Q248" t="s">
        <v>78</v>
      </c>
      <c r="R248" t="s">
        <v>10</v>
      </c>
      <c r="S248" t="s">
        <v>10</v>
      </c>
      <c r="T248" t="s">
        <v>57</v>
      </c>
      <c r="U248" t="s">
        <v>57</v>
      </c>
      <c r="V248" t="s">
        <v>57</v>
      </c>
      <c r="W248" t="s">
        <v>10</v>
      </c>
      <c r="X248" s="11">
        <v>281.03058294307061</v>
      </c>
      <c r="Y248">
        <f>_xlfn.XLOOKUP(Table1820[[#This Row],[Coverage]],CoverageTable[Coverage],CoverageTable[Base Rate],,0)</f>
        <v>121</v>
      </c>
      <c r="Z248">
        <f>INDEX(Table16[Ageband Factor],MATCH(Table1820[[#This Row],[Ageband]],Table16[Ageband],0))</f>
        <v>1.32</v>
      </c>
      <c r="AA248">
        <f>VLOOKUP(Table1820[[#This Row],[Years Driving]],Table1[],2)</f>
        <v>1.07</v>
      </c>
      <c r="AB248">
        <f>_xlfn.XLOOKUP(Table1820[[#This Row],[At Fault Accidents]],Table2[At Fault Accidents],Table2[At Fault Accident Factor],,0)</f>
        <v>1</v>
      </c>
      <c r="AC248">
        <f>_xlfn.XLOOKUP(Table1820[[#This Row],[Usage-Based Insurance]],Table3[Usage-Based Insurance],Table3[Usage-Based Insurance Discount],,0)</f>
        <v>1</v>
      </c>
      <c r="AD248">
        <f>_xlfn.XLOOKUP(Table1820[[#This Row],[Yearly Miles]],Table4[Yearly Miles],Table4[Yearly Miles Factor],,0)</f>
        <v>0.82</v>
      </c>
      <c r="AE248">
        <f>_xlfn.XLOOKUP(Table1820[[#This Row],[City/Zip Code]],Table5[City/Zip Code],Table5[City/Zip Code Factor],,0)</f>
        <v>1.19</v>
      </c>
      <c r="AF248">
        <f>_xlfn.XLOOKUP(Table1820[[#This Row],[Vehicle Price]],Table6[Vehicle Price],Table6[Vehicle Price Factor])</f>
        <v>2.02</v>
      </c>
      <c r="AG248">
        <f>_xlfn.XLOOKUP(Table1820[[#This Row],[Exotic Car]],Table7[Exotic Car],Table7[Exotic Car Factor],,0)</f>
        <v>1</v>
      </c>
      <c r="AH248">
        <f>_xlfn.XLOOKUP(Table1820[[#This Row],[Difficult Parts]],Table8[Difficult Parts],Table8[Difficult Parts Factor],,0)</f>
        <v>1.21</v>
      </c>
      <c r="AI248">
        <f>_xlfn.XLOOKUP(Table1820[[#This Row],[High Theft Rate]],Table9[High Theft Rate],Table9[High Theft Rate Factor],,0)</f>
        <v>1</v>
      </c>
      <c r="AJ248">
        <f>_xlfn.XLOOKUP(Table1820[[#This Row],[Advanced Safety Features]],Table10[Advanced Safety Features],Table10[Advanced Safety Features Factor],,0)</f>
        <v>0.88</v>
      </c>
      <c r="AK248">
        <f>_xlfn.XLOOKUP(Table1820[[#This Row],[Deductible]],Table12[Deductible],Table12[Deductible Factor],,0)</f>
        <v>0.95</v>
      </c>
      <c r="AL248">
        <f>_xlfn.XLOOKUP(Table1820[[#This Row],[Coverage Limit]],Table13[Coverage Limit],Table13[Coverage Limit Factor],,0)</f>
        <v>1</v>
      </c>
      <c r="AM248">
        <f>IF(Table1820[[#This Row],[Good Student Discount]]="Yes",'Rate Book'!$D$126,1)</f>
        <v>1</v>
      </c>
      <c r="AN248">
        <f>IF(Table1820[[#This Row],[Good Driver Discount]]="Yes",'Rate Book'!$D$127,1)</f>
        <v>0.89</v>
      </c>
      <c r="AO248">
        <f>IF(Table1820[[#This Row],[Multi Policy Discount]]="Yes",'Rate Book'!$D$128,1)</f>
        <v>0.93</v>
      </c>
      <c r="AP248">
        <f>IF(Table1820[[#This Row],[Loyal Customer Discount]]="Yes",'Rate Book'!$D$129,1)</f>
        <v>0.94</v>
      </c>
      <c r="AQ248">
        <f>IF(Table1820[[#This Row],[Organization Discount]]="Yes",'Rate Book'!$D$130,1)</f>
        <v>1</v>
      </c>
      <c r="AR248" cm="1">
        <f t="array" ref="AR248">IF(Table1820[[#This Row],[Effective Date]]&gt;=RateChangeTable[Effective Date],RateChangeTable[Rate Change Factor],1)</f>
        <v>1.06</v>
      </c>
      <c r="AS248" s="10">
        <f>PRODUCT(Table1820[[#This Row],[Base Rate]:[Rate Change Factor]])</f>
        <v>281.03058294307061</v>
      </c>
      <c r="AT248" s="9">
        <f>Table1820[[#This Row],[System-Generated Premium]]-Table1820[[#This Row],[Expected Premium]]</f>
        <v>0</v>
      </c>
      <c r="AU248" t="str">
        <f>IF(Table1820[[#This Row],[Difference]]=0,"PASS","FAIL")</f>
        <v>PASS</v>
      </c>
      <c r="AV248" s="9">
        <f>ABS(Table1820[[#This Row],[Difference]])</f>
        <v>0</v>
      </c>
      <c r="AW248" s="9" t="s">
        <v>1136</v>
      </c>
    </row>
    <row r="249" spans="1:49" x14ac:dyDescent="0.3">
      <c r="A249" t="s">
        <v>340</v>
      </c>
      <c r="B249" s="7">
        <v>46013</v>
      </c>
      <c r="C249" t="s">
        <v>74</v>
      </c>
      <c r="D249" t="s">
        <v>1098</v>
      </c>
      <c r="E249" s="3">
        <v>1</v>
      </c>
      <c r="F249" s="3">
        <v>4</v>
      </c>
      <c r="G249" t="s">
        <v>11</v>
      </c>
      <c r="H249" t="s">
        <v>1110</v>
      </c>
      <c r="I249" t="s">
        <v>22</v>
      </c>
      <c r="J249" t="s">
        <v>48</v>
      </c>
      <c r="K249" t="s">
        <v>10</v>
      </c>
      <c r="L249" t="s">
        <v>57</v>
      </c>
      <c r="M249" t="s">
        <v>10</v>
      </c>
      <c r="N249" t="s">
        <v>57</v>
      </c>
      <c r="O249" t="str">
        <f>INDEX(CoverageTable[Deductible Applies],MATCH(Table1820[[#This Row],[Coverage]],CoverageTable[Coverage],0))</f>
        <v>No</v>
      </c>
      <c r="P249" t="str">
        <f>INDEX(CoverageTable[Coverage Limit Applies],MATCH(Table1820[[#This Row],[Coverage]],CoverageTable[Coverage],0))</f>
        <v>Yes</v>
      </c>
      <c r="Q249" t="s">
        <v>10</v>
      </c>
      <c r="R249" t="s">
        <v>78</v>
      </c>
      <c r="S249" t="s">
        <v>10</v>
      </c>
      <c r="T249" t="s">
        <v>57</v>
      </c>
      <c r="U249" t="s">
        <v>10</v>
      </c>
      <c r="V249" t="s">
        <v>10</v>
      </c>
      <c r="W249" t="s">
        <v>10</v>
      </c>
      <c r="X249" s="11">
        <v>125.15571478849915</v>
      </c>
      <c r="Y249">
        <f>_xlfn.XLOOKUP(Table1820[[#This Row],[Coverage]],CoverageTable[Coverage],CoverageTable[Base Rate],,0)</f>
        <v>41</v>
      </c>
      <c r="Z249">
        <f>INDEX(Table16[Ageband Factor],MATCH(Table1820[[#This Row],[Ageband]],Table16[Ageband],0))</f>
        <v>1.23</v>
      </c>
      <c r="AA249">
        <f>VLOOKUP(Table1820[[#This Row],[Years Driving]],Table1[],2)</f>
        <v>1.64</v>
      </c>
      <c r="AB249">
        <f>_xlfn.XLOOKUP(Table1820[[#This Row],[At Fault Accidents]],Table2[At Fault Accidents],Table2[At Fault Accident Factor],,0)</f>
        <v>2.12</v>
      </c>
      <c r="AC249">
        <f>_xlfn.XLOOKUP(Table1820[[#This Row],[Usage-Based Insurance]],Table3[Usage-Based Insurance],Table3[Usage-Based Insurance Discount],,0)</f>
        <v>0.95</v>
      </c>
      <c r="AD249">
        <f>_xlfn.XLOOKUP(Table1820[[#This Row],[Yearly Miles]],Table4[Yearly Miles],Table4[Yearly Miles Factor],,0)</f>
        <v>1.31</v>
      </c>
      <c r="AE249">
        <f>_xlfn.XLOOKUP(Table1820[[#This Row],[City/Zip Code]],Table5[City/Zip Code],Table5[City/Zip Code Factor],,0)</f>
        <v>1.21</v>
      </c>
      <c r="AF249">
        <f>_xlfn.XLOOKUP(Table1820[[#This Row],[Vehicle Price]],Table6[Vehicle Price],Table6[Vehicle Price Factor])</f>
        <v>0.82</v>
      </c>
      <c r="AG249">
        <f>_xlfn.XLOOKUP(Table1820[[#This Row],[Exotic Car]],Table7[Exotic Car],Table7[Exotic Car Factor],,0)</f>
        <v>1</v>
      </c>
      <c r="AH249">
        <f>_xlfn.XLOOKUP(Table1820[[#This Row],[Difficult Parts]],Table8[Difficult Parts],Table8[Difficult Parts Factor],,0)</f>
        <v>1.21</v>
      </c>
      <c r="AI249">
        <f>_xlfn.XLOOKUP(Table1820[[#This Row],[High Theft Rate]],Table9[High Theft Rate],Table9[High Theft Rate Factor],,0)</f>
        <v>1</v>
      </c>
      <c r="AJ249">
        <f>_xlfn.XLOOKUP(Table1820[[#This Row],[Advanced Safety Features]],Table10[Advanced Safety Features],Table10[Advanced Safety Features Factor],,0)</f>
        <v>0.88</v>
      </c>
      <c r="AK249">
        <f>_xlfn.XLOOKUP(Table1820[[#This Row],[Deductible]],Table12[Deductible],Table12[Deductible Factor],,0)</f>
        <v>1</v>
      </c>
      <c r="AL249">
        <f>_xlfn.XLOOKUP(Table1820[[#This Row],[Coverage Limit]],Table13[Coverage Limit],Table13[Coverage Limit Factor],,0)</f>
        <v>0.61</v>
      </c>
      <c r="AM249">
        <f>IF(Table1820[[#This Row],[Good Student Discount]]="Yes",'Rate Book'!$D$126,1)</f>
        <v>1</v>
      </c>
      <c r="AN249">
        <f>IF(Table1820[[#This Row],[Good Driver Discount]]="Yes",'Rate Book'!$D$127,1)</f>
        <v>0.89</v>
      </c>
      <c r="AO249">
        <f>IF(Table1820[[#This Row],[Multi Policy Discount]]="Yes",'Rate Book'!$D$128,1)</f>
        <v>1</v>
      </c>
      <c r="AP249">
        <f>IF(Table1820[[#This Row],[Loyal Customer Discount]]="Yes",'Rate Book'!$D$129,1)</f>
        <v>1</v>
      </c>
      <c r="AQ249">
        <f>IF(Table1820[[#This Row],[Organization Discount]]="Yes",'Rate Book'!$D$130,1)</f>
        <v>1</v>
      </c>
      <c r="AR249" cm="1">
        <f t="array" ref="AR249">IF(Table1820[[#This Row],[Effective Date]]&gt;=RateChangeTable[Effective Date],RateChangeTable[Rate Change Factor],1)</f>
        <v>1</v>
      </c>
      <c r="AS249" s="10">
        <f>PRODUCT(Table1820[[#This Row],[Base Rate]:[Rate Change Factor]])</f>
        <v>125.15571478849915</v>
      </c>
      <c r="AT249" s="9">
        <f>Table1820[[#This Row],[System-Generated Premium]]-Table1820[[#This Row],[Expected Premium]]</f>
        <v>0</v>
      </c>
      <c r="AU249" t="str">
        <f>IF(Table1820[[#This Row],[Difference]]=0,"PASS","FAIL")</f>
        <v>PASS</v>
      </c>
      <c r="AV249" s="9">
        <f>ABS(Table1820[[#This Row],[Difference]])</f>
        <v>0</v>
      </c>
      <c r="AW249" s="9" t="s">
        <v>1136</v>
      </c>
    </row>
    <row r="250" spans="1:49" x14ac:dyDescent="0.3">
      <c r="A250" t="s">
        <v>341</v>
      </c>
      <c r="B250" s="7">
        <v>46094</v>
      </c>
      <c r="C250" t="s">
        <v>71</v>
      </c>
      <c r="D250" t="s">
        <v>1101</v>
      </c>
      <c r="E250" s="3">
        <v>5</v>
      </c>
      <c r="F250" s="3">
        <v>0</v>
      </c>
      <c r="G250" t="s">
        <v>11</v>
      </c>
      <c r="H250" t="s">
        <v>1107</v>
      </c>
      <c r="I250" t="s">
        <v>43</v>
      </c>
      <c r="J250" t="s">
        <v>54</v>
      </c>
      <c r="K250" t="s">
        <v>10</v>
      </c>
      <c r="L250" t="s">
        <v>10</v>
      </c>
      <c r="M250" t="s">
        <v>10</v>
      </c>
      <c r="N250" t="s">
        <v>10</v>
      </c>
      <c r="O250" t="str">
        <f>INDEX(CoverageTable[Deductible Applies],MATCH(Table1820[[#This Row],[Coverage]],CoverageTable[Coverage],0))</f>
        <v>Yes</v>
      </c>
      <c r="P250" t="str">
        <f>INDEX(CoverageTable[Coverage Limit Applies],MATCH(Table1820[[#This Row],[Coverage]],CoverageTable[Coverage],0))</f>
        <v>No</v>
      </c>
      <c r="Q250" t="s">
        <v>80</v>
      </c>
      <c r="R250" t="s">
        <v>10</v>
      </c>
      <c r="S250" t="s">
        <v>10</v>
      </c>
      <c r="T250" t="s">
        <v>10</v>
      </c>
      <c r="U250" t="s">
        <v>10</v>
      </c>
      <c r="V250" t="s">
        <v>10</v>
      </c>
      <c r="W250" t="s">
        <v>10</v>
      </c>
      <c r="X250" s="11">
        <v>1239.6777941946266</v>
      </c>
      <c r="Y250">
        <f>_xlfn.XLOOKUP(Table1820[[#This Row],[Coverage]],CoverageTable[Coverage],CoverageTable[Base Rate],,0)</f>
        <v>453</v>
      </c>
      <c r="Z250">
        <f>INDEX(Table16[Ageband Factor],MATCH(Table1820[[#This Row],[Ageband]],Table16[Ageband],0))</f>
        <v>1.1200000000000001</v>
      </c>
      <c r="AA250">
        <f>VLOOKUP(Table1820[[#This Row],[Years Driving]],Table1[],2)</f>
        <v>1.07</v>
      </c>
      <c r="AB250">
        <f>_xlfn.XLOOKUP(Table1820[[#This Row],[At Fault Accidents]],Table2[At Fault Accidents],Table2[At Fault Accident Factor],,0)</f>
        <v>1</v>
      </c>
      <c r="AC250">
        <f>_xlfn.XLOOKUP(Table1820[[#This Row],[Usage-Based Insurance]],Table3[Usage-Based Insurance],Table3[Usage-Based Insurance Discount],,0)</f>
        <v>0.95</v>
      </c>
      <c r="AD250">
        <f>_xlfn.XLOOKUP(Table1820[[#This Row],[Yearly Miles]],Table4[Yearly Miles],Table4[Yearly Miles Factor],,0)</f>
        <v>0.93</v>
      </c>
      <c r="AE250">
        <f>_xlfn.XLOOKUP(Table1820[[#This Row],[City/Zip Code]],Table5[City/Zip Code],Table5[City/Zip Code Factor],,0)</f>
        <v>1.18</v>
      </c>
      <c r="AF250">
        <f>_xlfn.XLOOKUP(Table1820[[#This Row],[Vehicle Price]],Table6[Vehicle Price],Table6[Vehicle Price Factor])</f>
        <v>2.87</v>
      </c>
      <c r="AG250">
        <f>_xlfn.XLOOKUP(Table1820[[#This Row],[Exotic Car]],Table7[Exotic Car],Table7[Exotic Car Factor],,0)</f>
        <v>1</v>
      </c>
      <c r="AH250">
        <f>_xlfn.XLOOKUP(Table1820[[#This Row],[Difficult Parts]],Table8[Difficult Parts],Table8[Difficult Parts Factor],,0)</f>
        <v>1</v>
      </c>
      <c r="AI250">
        <f>_xlfn.XLOOKUP(Table1820[[#This Row],[High Theft Rate]],Table9[High Theft Rate],Table9[High Theft Rate Factor],,0)</f>
        <v>1</v>
      </c>
      <c r="AJ250">
        <f>_xlfn.XLOOKUP(Table1820[[#This Row],[Advanced Safety Features]],Table10[Advanced Safety Features],Table10[Advanced Safety Features Factor],,0)</f>
        <v>1</v>
      </c>
      <c r="AK250">
        <f>_xlfn.XLOOKUP(Table1820[[#This Row],[Deductible]],Table12[Deductible],Table12[Deductible Factor],,0)</f>
        <v>0.72</v>
      </c>
      <c r="AL250">
        <f>_xlfn.XLOOKUP(Table1820[[#This Row],[Coverage Limit]],Table13[Coverage Limit],Table13[Coverage Limit Factor],,0)</f>
        <v>1</v>
      </c>
      <c r="AM250">
        <f>IF(Table1820[[#This Row],[Good Student Discount]]="Yes",'Rate Book'!$D$126,1)</f>
        <v>1</v>
      </c>
      <c r="AN250">
        <f>IF(Table1820[[#This Row],[Good Driver Discount]]="Yes",'Rate Book'!$D$127,1)</f>
        <v>1</v>
      </c>
      <c r="AO250">
        <f>IF(Table1820[[#This Row],[Multi Policy Discount]]="Yes",'Rate Book'!$D$128,1)</f>
        <v>1</v>
      </c>
      <c r="AP250">
        <f>IF(Table1820[[#This Row],[Loyal Customer Discount]]="Yes",'Rate Book'!$D$129,1)</f>
        <v>1</v>
      </c>
      <c r="AQ250">
        <f>IF(Table1820[[#This Row],[Organization Discount]]="Yes",'Rate Book'!$D$130,1)</f>
        <v>1</v>
      </c>
      <c r="AR250" cm="1">
        <f t="array" ref="AR250">IF(Table1820[[#This Row],[Effective Date]]&gt;=RateChangeTable[Effective Date],RateChangeTable[Rate Change Factor],1)</f>
        <v>1.06</v>
      </c>
      <c r="AS250" s="10">
        <f>PRODUCT(Table1820[[#This Row],[Base Rate]:[Rate Change Factor]])</f>
        <v>1239.6777941946266</v>
      </c>
      <c r="AT250" s="9">
        <f>Table1820[[#This Row],[System-Generated Premium]]-Table1820[[#This Row],[Expected Premium]]</f>
        <v>0</v>
      </c>
      <c r="AU250" t="str">
        <f>IF(Table1820[[#This Row],[Difference]]=0,"PASS","FAIL")</f>
        <v>PASS</v>
      </c>
      <c r="AV250" s="9">
        <f>ABS(Table1820[[#This Row],[Difference]])</f>
        <v>0</v>
      </c>
      <c r="AW250" s="9" t="s">
        <v>1136</v>
      </c>
    </row>
    <row r="251" spans="1:49" x14ac:dyDescent="0.3">
      <c r="A251" t="s">
        <v>342</v>
      </c>
      <c r="B251" s="7">
        <v>45824</v>
      </c>
      <c r="C251" t="s">
        <v>73</v>
      </c>
      <c r="D251" t="s">
        <v>1097</v>
      </c>
      <c r="E251" s="3">
        <v>5</v>
      </c>
      <c r="F251" s="3">
        <v>0</v>
      </c>
      <c r="G251" t="s">
        <v>10</v>
      </c>
      <c r="H251" t="s">
        <v>1110</v>
      </c>
      <c r="I251" t="s">
        <v>33</v>
      </c>
      <c r="J251" t="s">
        <v>53</v>
      </c>
      <c r="K251" t="s">
        <v>10</v>
      </c>
      <c r="L251" t="s">
        <v>10</v>
      </c>
      <c r="M251" t="s">
        <v>10</v>
      </c>
      <c r="N251" t="s">
        <v>10</v>
      </c>
      <c r="O251" t="str">
        <f>INDEX(CoverageTable[Deductible Applies],MATCH(Table1820[[#This Row],[Coverage]],CoverageTable[Coverage],0))</f>
        <v>No</v>
      </c>
      <c r="P251" t="str">
        <f>INDEX(CoverageTable[Coverage Limit Applies],MATCH(Table1820[[#This Row],[Coverage]],CoverageTable[Coverage],0))</f>
        <v>Yes</v>
      </c>
      <c r="Q251" t="s">
        <v>10</v>
      </c>
      <c r="R251" t="s">
        <v>79</v>
      </c>
      <c r="S251" t="s">
        <v>10</v>
      </c>
      <c r="T251" t="s">
        <v>57</v>
      </c>
      <c r="U251" t="s">
        <v>10</v>
      </c>
      <c r="V251" t="s">
        <v>10</v>
      </c>
      <c r="W251" t="s">
        <v>57</v>
      </c>
      <c r="X251" s="11">
        <v>184.82869016558368</v>
      </c>
      <c r="Y251">
        <f>_xlfn.XLOOKUP(Table1820[[#This Row],[Coverage]],CoverageTable[Coverage],CoverageTable[Base Rate],,0)</f>
        <v>78</v>
      </c>
      <c r="Z251">
        <f>INDEX(Table16[Ageband Factor],MATCH(Table1820[[#This Row],[Ageband]],Table16[Ageband],0))</f>
        <v>1.32</v>
      </c>
      <c r="AA251">
        <f>VLOOKUP(Table1820[[#This Row],[Years Driving]],Table1[],2)</f>
        <v>1.07</v>
      </c>
      <c r="AB251">
        <f>_xlfn.XLOOKUP(Table1820[[#This Row],[At Fault Accidents]],Table2[At Fault Accidents],Table2[At Fault Accident Factor],,0)</f>
        <v>1</v>
      </c>
      <c r="AC251">
        <f>_xlfn.XLOOKUP(Table1820[[#This Row],[Usage-Based Insurance]],Table3[Usage-Based Insurance],Table3[Usage-Based Insurance Discount],,0)</f>
        <v>1</v>
      </c>
      <c r="AD251">
        <f>_xlfn.XLOOKUP(Table1820[[#This Row],[Yearly Miles]],Table4[Yearly Miles],Table4[Yearly Miles Factor],,0)</f>
        <v>1.31</v>
      </c>
      <c r="AE251">
        <f>_xlfn.XLOOKUP(Table1820[[#This Row],[City/Zip Code]],Table5[City/Zip Code],Table5[City/Zip Code Factor],,0)</f>
        <v>1.02</v>
      </c>
      <c r="AF251">
        <f>_xlfn.XLOOKUP(Table1820[[#This Row],[Vehicle Price]],Table6[Vehicle Price],Table6[Vehicle Price Factor])</f>
        <v>2.02</v>
      </c>
      <c r="AG251">
        <f>_xlfn.XLOOKUP(Table1820[[#This Row],[Exotic Car]],Table7[Exotic Car],Table7[Exotic Car Factor],,0)</f>
        <v>1</v>
      </c>
      <c r="AH251">
        <f>_xlfn.XLOOKUP(Table1820[[#This Row],[Difficult Parts]],Table8[Difficult Parts],Table8[Difficult Parts Factor],,0)</f>
        <v>1</v>
      </c>
      <c r="AI251">
        <f>_xlfn.XLOOKUP(Table1820[[#This Row],[High Theft Rate]],Table9[High Theft Rate],Table9[High Theft Rate Factor],,0)</f>
        <v>1</v>
      </c>
      <c r="AJ251">
        <f>_xlfn.XLOOKUP(Table1820[[#This Row],[Advanced Safety Features]],Table10[Advanced Safety Features],Table10[Advanced Safety Features Factor],,0)</f>
        <v>1</v>
      </c>
      <c r="AK251">
        <f>_xlfn.XLOOKUP(Table1820[[#This Row],[Deductible]],Table12[Deductible],Table12[Deductible Factor],,0)</f>
        <v>1</v>
      </c>
      <c r="AL251">
        <f>_xlfn.XLOOKUP(Table1820[[#This Row],[Coverage Limit]],Table13[Coverage Limit],Table13[Coverage Limit Factor],,0)</f>
        <v>0.72</v>
      </c>
      <c r="AM251">
        <f>IF(Table1820[[#This Row],[Good Student Discount]]="Yes",'Rate Book'!$D$126,1)</f>
        <v>1</v>
      </c>
      <c r="AN251">
        <f>IF(Table1820[[#This Row],[Good Driver Discount]]="Yes",'Rate Book'!$D$127,1)</f>
        <v>0.89</v>
      </c>
      <c r="AO251">
        <f>IF(Table1820[[#This Row],[Multi Policy Discount]]="Yes",'Rate Book'!$D$128,1)</f>
        <v>1</v>
      </c>
      <c r="AP251">
        <f>IF(Table1820[[#This Row],[Loyal Customer Discount]]="Yes",'Rate Book'!$D$129,1)</f>
        <v>1</v>
      </c>
      <c r="AQ251">
        <f>IF(Table1820[[#This Row],[Organization Discount]]="Yes",'Rate Book'!$D$130,1)</f>
        <v>0.97</v>
      </c>
      <c r="AR251" cm="1">
        <f t="array" ref="AR251">IF(Table1820[[#This Row],[Effective Date]]&gt;=RateChangeTable[Effective Date],RateChangeTable[Rate Change Factor],1)</f>
        <v>1</v>
      </c>
      <c r="AS251" s="10">
        <f>PRODUCT(Table1820[[#This Row],[Base Rate]:[Rate Change Factor]])</f>
        <v>184.82869016558368</v>
      </c>
      <c r="AT251" s="9">
        <f>Table1820[[#This Row],[System-Generated Premium]]-Table1820[[#This Row],[Expected Premium]]</f>
        <v>0</v>
      </c>
      <c r="AU251" t="str">
        <f>IF(Table1820[[#This Row],[Difference]]=0,"PASS","FAIL")</f>
        <v>PASS</v>
      </c>
      <c r="AV251" s="9">
        <f>ABS(Table1820[[#This Row],[Difference]])</f>
        <v>0</v>
      </c>
      <c r="AW251" s="9" t="s">
        <v>1136</v>
      </c>
    </row>
    <row r="252" spans="1:49" x14ac:dyDescent="0.3">
      <c r="A252" t="s">
        <v>343</v>
      </c>
      <c r="B252" s="7">
        <v>46031</v>
      </c>
      <c r="C252" t="s">
        <v>72</v>
      </c>
      <c r="D252" t="s">
        <v>1102</v>
      </c>
      <c r="E252" s="3">
        <v>2</v>
      </c>
      <c r="F252" s="3">
        <v>1</v>
      </c>
      <c r="G252" t="s">
        <v>10</v>
      </c>
      <c r="H252" t="s">
        <v>1109</v>
      </c>
      <c r="I252" t="s">
        <v>22</v>
      </c>
      <c r="J252" t="s">
        <v>50</v>
      </c>
      <c r="K252" t="s">
        <v>10</v>
      </c>
      <c r="L252" t="s">
        <v>57</v>
      </c>
      <c r="M252" t="s">
        <v>10</v>
      </c>
      <c r="N252" t="s">
        <v>57</v>
      </c>
      <c r="O252" t="str">
        <f>INDEX(CoverageTable[Deductible Applies],MATCH(Table1820[[#This Row],[Coverage]],CoverageTable[Coverage],0))</f>
        <v>Yes</v>
      </c>
      <c r="P252" t="str">
        <f>INDEX(CoverageTable[Coverage Limit Applies],MATCH(Table1820[[#This Row],[Coverage]],CoverageTable[Coverage],0))</f>
        <v>No</v>
      </c>
      <c r="Q252" t="s">
        <v>80</v>
      </c>
      <c r="R252" t="s">
        <v>10</v>
      </c>
      <c r="S252" t="s">
        <v>10</v>
      </c>
      <c r="T252" t="s">
        <v>10</v>
      </c>
      <c r="U252" t="s">
        <v>10</v>
      </c>
      <c r="V252" t="s">
        <v>10</v>
      </c>
      <c r="W252" t="s">
        <v>10</v>
      </c>
      <c r="X252" s="11">
        <v>363.84008089292837</v>
      </c>
      <c r="Y252">
        <f>_xlfn.XLOOKUP(Table1820[[#This Row],[Coverage]],CoverageTable[Coverage],CoverageTable[Base Rate],,0)</f>
        <v>121</v>
      </c>
      <c r="Z252">
        <f>INDEX(Table16[Ageband Factor],MATCH(Table1820[[#This Row],[Ageband]],Table16[Ageband],0))</f>
        <v>1.27</v>
      </c>
      <c r="AA252">
        <f>VLOOKUP(Table1820[[#This Row],[Years Driving]],Table1[],2)</f>
        <v>1.41</v>
      </c>
      <c r="AB252">
        <f>_xlfn.XLOOKUP(Table1820[[#This Row],[At Fault Accidents]],Table2[At Fault Accidents],Table2[At Fault Accident Factor],,0)</f>
        <v>1.34</v>
      </c>
      <c r="AC252">
        <f>_xlfn.XLOOKUP(Table1820[[#This Row],[Usage-Based Insurance]],Table3[Usage-Based Insurance],Table3[Usage-Based Insurance Discount],,0)</f>
        <v>1</v>
      </c>
      <c r="AD252">
        <f>_xlfn.XLOOKUP(Table1820[[#This Row],[Yearly Miles]],Table4[Yearly Miles],Table4[Yearly Miles Factor],,0)</f>
        <v>1.18</v>
      </c>
      <c r="AE252">
        <f>_xlfn.XLOOKUP(Table1820[[#This Row],[City/Zip Code]],Table5[City/Zip Code],Table5[City/Zip Code Factor],,0)</f>
        <v>1.21</v>
      </c>
      <c r="AF252">
        <f>_xlfn.XLOOKUP(Table1820[[#This Row],[Vehicle Price]],Table6[Vehicle Price],Table6[Vehicle Price Factor])</f>
        <v>1.08</v>
      </c>
      <c r="AG252">
        <f>_xlfn.XLOOKUP(Table1820[[#This Row],[Exotic Car]],Table7[Exotic Car],Table7[Exotic Car Factor],,0)</f>
        <v>1</v>
      </c>
      <c r="AH252">
        <f>_xlfn.XLOOKUP(Table1820[[#This Row],[Difficult Parts]],Table8[Difficult Parts],Table8[Difficult Parts Factor],,0)</f>
        <v>1.21</v>
      </c>
      <c r="AI252">
        <f>_xlfn.XLOOKUP(Table1820[[#This Row],[High Theft Rate]],Table9[High Theft Rate],Table9[High Theft Rate Factor],,0)</f>
        <v>1</v>
      </c>
      <c r="AJ252">
        <f>_xlfn.XLOOKUP(Table1820[[#This Row],[Advanced Safety Features]],Table10[Advanced Safety Features],Table10[Advanced Safety Features Factor],,0)</f>
        <v>0.88</v>
      </c>
      <c r="AK252">
        <f>_xlfn.XLOOKUP(Table1820[[#This Row],[Deductible]],Table12[Deductible],Table12[Deductible Factor],,0)</f>
        <v>0.72</v>
      </c>
      <c r="AL252">
        <f>_xlfn.XLOOKUP(Table1820[[#This Row],[Coverage Limit]],Table13[Coverage Limit],Table13[Coverage Limit Factor],,0)</f>
        <v>1</v>
      </c>
      <c r="AM252">
        <f>IF(Table1820[[#This Row],[Good Student Discount]]="Yes",'Rate Book'!$D$126,1)</f>
        <v>1</v>
      </c>
      <c r="AN252">
        <f>IF(Table1820[[#This Row],[Good Driver Discount]]="Yes",'Rate Book'!$D$127,1)</f>
        <v>1</v>
      </c>
      <c r="AO252">
        <f>IF(Table1820[[#This Row],[Multi Policy Discount]]="Yes",'Rate Book'!$D$128,1)</f>
        <v>1</v>
      </c>
      <c r="AP252">
        <f>IF(Table1820[[#This Row],[Loyal Customer Discount]]="Yes",'Rate Book'!$D$129,1)</f>
        <v>1</v>
      </c>
      <c r="AQ252">
        <f>IF(Table1820[[#This Row],[Organization Discount]]="Yes",'Rate Book'!$D$130,1)</f>
        <v>1</v>
      </c>
      <c r="AR252" cm="1">
        <f t="array" ref="AR252">IF(Table1820[[#This Row],[Effective Date]]&gt;=RateChangeTable[Effective Date],RateChangeTable[Rate Change Factor],1)</f>
        <v>1.06</v>
      </c>
      <c r="AS252" s="10">
        <f>PRODUCT(Table1820[[#This Row],[Base Rate]:[Rate Change Factor]])</f>
        <v>363.84008089292837</v>
      </c>
      <c r="AT252" s="9">
        <f>Table1820[[#This Row],[System-Generated Premium]]-Table1820[[#This Row],[Expected Premium]]</f>
        <v>0</v>
      </c>
      <c r="AU252" t="str">
        <f>IF(Table1820[[#This Row],[Difference]]=0,"PASS","FAIL")</f>
        <v>PASS</v>
      </c>
      <c r="AV252" s="9">
        <f>ABS(Table1820[[#This Row],[Difference]])</f>
        <v>0</v>
      </c>
      <c r="AW252" s="9" t="s">
        <v>1136</v>
      </c>
    </row>
    <row r="253" spans="1:49" x14ac:dyDescent="0.3">
      <c r="A253" t="s">
        <v>344</v>
      </c>
      <c r="B253" s="7">
        <v>46013</v>
      </c>
      <c r="C253" t="s">
        <v>71</v>
      </c>
      <c r="D253" t="s">
        <v>1101</v>
      </c>
      <c r="E253" s="3" t="s">
        <v>1103</v>
      </c>
      <c r="F253" s="3">
        <v>3</v>
      </c>
      <c r="G253" t="s">
        <v>10</v>
      </c>
      <c r="H253" t="s">
        <v>1106</v>
      </c>
      <c r="I253" t="s">
        <v>24</v>
      </c>
      <c r="J253" t="s">
        <v>54</v>
      </c>
      <c r="K253" t="s">
        <v>10</v>
      </c>
      <c r="L253" t="s">
        <v>10</v>
      </c>
      <c r="M253" t="s">
        <v>10</v>
      </c>
      <c r="N253" t="s">
        <v>10</v>
      </c>
      <c r="O253" t="str">
        <f>INDEX(CoverageTable[Deductible Applies],MATCH(Table1820[[#This Row],[Coverage]],CoverageTable[Coverage],0))</f>
        <v>Yes</v>
      </c>
      <c r="P253" t="str">
        <f>INDEX(CoverageTable[Coverage Limit Applies],MATCH(Table1820[[#This Row],[Coverage]],CoverageTable[Coverage],0))</f>
        <v>No</v>
      </c>
      <c r="Q253" t="s">
        <v>80</v>
      </c>
      <c r="R253" t="s">
        <v>10</v>
      </c>
      <c r="S253" t="s">
        <v>10</v>
      </c>
      <c r="T253" t="s">
        <v>57</v>
      </c>
      <c r="U253" t="s">
        <v>10</v>
      </c>
      <c r="V253" t="s">
        <v>57</v>
      </c>
      <c r="W253" t="s">
        <v>10</v>
      </c>
      <c r="X253" s="11">
        <v>1448.6505258874331</v>
      </c>
      <c r="Y253">
        <f>_xlfn.XLOOKUP(Table1820[[#This Row],[Coverage]],CoverageTable[Coverage],CoverageTable[Base Rate],,0)</f>
        <v>453</v>
      </c>
      <c r="Z253">
        <f>INDEX(Table16[Ageband Factor],MATCH(Table1820[[#This Row],[Ageband]],Table16[Ageband],0))</f>
        <v>1.1200000000000001</v>
      </c>
      <c r="AA253">
        <f>VLOOKUP(Table1820[[#This Row],[Years Driving]],Table1[],2)</f>
        <v>0.93</v>
      </c>
      <c r="AB253">
        <f>_xlfn.XLOOKUP(Table1820[[#This Row],[At Fault Accidents]],Table2[At Fault Accidents],Table2[At Fault Accident Factor],,0)</f>
        <v>1.82</v>
      </c>
      <c r="AC253">
        <f>_xlfn.XLOOKUP(Table1820[[#This Row],[Usage-Based Insurance]],Table3[Usage-Based Insurance],Table3[Usage-Based Insurance Discount],,0)</f>
        <v>1</v>
      </c>
      <c r="AD253">
        <f>_xlfn.XLOOKUP(Table1820[[#This Row],[Yearly Miles]],Table4[Yearly Miles],Table4[Yearly Miles Factor],,0)</f>
        <v>0.82</v>
      </c>
      <c r="AE253">
        <f>_xlfn.XLOOKUP(Table1820[[#This Row],[City/Zip Code]],Table5[City/Zip Code],Table5[City/Zip Code Factor],,0)</f>
        <v>1.19</v>
      </c>
      <c r="AF253">
        <f>_xlfn.XLOOKUP(Table1820[[#This Row],[Vehicle Price]],Table6[Vehicle Price],Table6[Vehicle Price Factor])</f>
        <v>2.87</v>
      </c>
      <c r="AG253">
        <f>_xlfn.XLOOKUP(Table1820[[#This Row],[Exotic Car]],Table7[Exotic Car],Table7[Exotic Car Factor],,0)</f>
        <v>1</v>
      </c>
      <c r="AH253">
        <f>_xlfn.XLOOKUP(Table1820[[#This Row],[Difficult Parts]],Table8[Difficult Parts],Table8[Difficult Parts Factor],,0)</f>
        <v>1</v>
      </c>
      <c r="AI253">
        <f>_xlfn.XLOOKUP(Table1820[[#This Row],[High Theft Rate]],Table9[High Theft Rate],Table9[High Theft Rate Factor],,0)</f>
        <v>1</v>
      </c>
      <c r="AJ253">
        <f>_xlfn.XLOOKUP(Table1820[[#This Row],[Advanced Safety Features]],Table10[Advanced Safety Features],Table10[Advanced Safety Features Factor],,0)</f>
        <v>1</v>
      </c>
      <c r="AK253">
        <f>_xlfn.XLOOKUP(Table1820[[#This Row],[Deductible]],Table12[Deductible],Table12[Deductible Factor],,0)</f>
        <v>0.72</v>
      </c>
      <c r="AL253">
        <f>_xlfn.XLOOKUP(Table1820[[#This Row],[Coverage Limit]],Table13[Coverage Limit],Table13[Coverage Limit Factor],,0)</f>
        <v>1</v>
      </c>
      <c r="AM253">
        <f>IF(Table1820[[#This Row],[Good Student Discount]]="Yes",'Rate Book'!$D$126,1)</f>
        <v>1</v>
      </c>
      <c r="AN253">
        <f>IF(Table1820[[#This Row],[Good Driver Discount]]="Yes",'Rate Book'!$D$127,1)</f>
        <v>0.89</v>
      </c>
      <c r="AO253">
        <f>IF(Table1820[[#This Row],[Multi Policy Discount]]="Yes",'Rate Book'!$D$128,1)</f>
        <v>1</v>
      </c>
      <c r="AP253">
        <f>IF(Table1820[[#This Row],[Loyal Customer Discount]]="Yes",'Rate Book'!$D$129,1)</f>
        <v>0.94</v>
      </c>
      <c r="AQ253">
        <f>IF(Table1820[[#This Row],[Organization Discount]]="Yes",'Rate Book'!$D$130,1)</f>
        <v>1</v>
      </c>
      <c r="AR253" cm="1">
        <f t="array" ref="AR253">IF(Table1820[[#This Row],[Effective Date]]&gt;=RateChangeTable[Effective Date],RateChangeTable[Rate Change Factor],1)</f>
        <v>1</v>
      </c>
      <c r="AS253" s="10">
        <f>PRODUCT(Table1820[[#This Row],[Base Rate]:[Rate Change Factor]])</f>
        <v>1448.6505258874331</v>
      </c>
      <c r="AT253" s="9">
        <f>Table1820[[#This Row],[System-Generated Premium]]-Table1820[[#This Row],[Expected Premium]]</f>
        <v>0</v>
      </c>
      <c r="AU253" t="str">
        <f>IF(Table1820[[#This Row],[Difference]]=0,"PASS","FAIL")</f>
        <v>PASS</v>
      </c>
      <c r="AV253" s="9">
        <f>ABS(Table1820[[#This Row],[Difference]])</f>
        <v>0</v>
      </c>
      <c r="AW253" s="9" t="s">
        <v>1136</v>
      </c>
    </row>
    <row r="254" spans="1:49" x14ac:dyDescent="0.3">
      <c r="A254" t="s">
        <v>345</v>
      </c>
      <c r="B254" s="7">
        <v>46114</v>
      </c>
      <c r="C254" t="s">
        <v>73</v>
      </c>
      <c r="D254" t="s">
        <v>1099</v>
      </c>
      <c r="E254" s="3">
        <v>7</v>
      </c>
      <c r="F254" s="3">
        <v>1</v>
      </c>
      <c r="G254" t="s">
        <v>10</v>
      </c>
      <c r="H254" t="s">
        <v>1108</v>
      </c>
      <c r="I254" t="s">
        <v>23</v>
      </c>
      <c r="J254" t="s">
        <v>50</v>
      </c>
      <c r="K254" t="s">
        <v>10</v>
      </c>
      <c r="L254" t="s">
        <v>57</v>
      </c>
      <c r="M254" t="s">
        <v>10</v>
      </c>
      <c r="N254" t="s">
        <v>57</v>
      </c>
      <c r="O254" t="str">
        <f>INDEX(CoverageTable[Deductible Applies],MATCH(Table1820[[#This Row],[Coverage]],CoverageTable[Coverage],0))</f>
        <v>No</v>
      </c>
      <c r="P254" t="str">
        <f>INDEX(CoverageTable[Coverage Limit Applies],MATCH(Table1820[[#This Row],[Coverage]],CoverageTable[Coverage],0))</f>
        <v>Yes</v>
      </c>
      <c r="Q254" t="s">
        <v>10</v>
      </c>
      <c r="R254" t="s">
        <v>79</v>
      </c>
      <c r="S254" t="s">
        <v>10</v>
      </c>
      <c r="T254" t="s">
        <v>10</v>
      </c>
      <c r="U254" t="s">
        <v>57</v>
      </c>
      <c r="V254" t="s">
        <v>10</v>
      </c>
      <c r="W254" t="s">
        <v>10</v>
      </c>
      <c r="X254" s="11">
        <v>74.563097622299324</v>
      </c>
      <c r="Y254">
        <f>_xlfn.XLOOKUP(Table1820[[#This Row],[Coverage]],CoverageTable[Coverage],CoverageTable[Base Rate],,0)</f>
        <v>78</v>
      </c>
      <c r="Z254">
        <f>INDEX(Table16[Ageband Factor],MATCH(Table1820[[#This Row],[Ageband]],Table16[Ageband],0))</f>
        <v>1</v>
      </c>
      <c r="AA254">
        <f>VLOOKUP(Table1820[[#This Row],[Years Driving]],Table1[],2)</f>
        <v>0.95</v>
      </c>
      <c r="AB254">
        <f>_xlfn.XLOOKUP(Table1820[[#This Row],[At Fault Accidents]],Table2[At Fault Accidents],Table2[At Fault Accident Factor],,0)</f>
        <v>1.34</v>
      </c>
      <c r="AC254">
        <f>_xlfn.XLOOKUP(Table1820[[#This Row],[Usage-Based Insurance]],Table3[Usage-Based Insurance],Table3[Usage-Based Insurance Discount],,0)</f>
        <v>1</v>
      </c>
      <c r="AD254">
        <f>_xlfn.XLOOKUP(Table1820[[#This Row],[Yearly Miles]],Table4[Yearly Miles],Table4[Yearly Miles Factor],,0)</f>
        <v>1</v>
      </c>
      <c r="AE254">
        <f>_xlfn.XLOOKUP(Table1820[[#This Row],[City/Zip Code]],Table5[City/Zip Code],Table5[City/Zip Code Factor],,0)</f>
        <v>0.92</v>
      </c>
      <c r="AF254">
        <f>_xlfn.XLOOKUP(Table1820[[#This Row],[Vehicle Price]],Table6[Vehicle Price],Table6[Vehicle Price Factor])</f>
        <v>1.08</v>
      </c>
      <c r="AG254">
        <f>_xlfn.XLOOKUP(Table1820[[#This Row],[Exotic Car]],Table7[Exotic Car],Table7[Exotic Car Factor],,0)</f>
        <v>1</v>
      </c>
      <c r="AH254">
        <f>_xlfn.XLOOKUP(Table1820[[#This Row],[Difficult Parts]],Table8[Difficult Parts],Table8[Difficult Parts Factor],,0)</f>
        <v>1.21</v>
      </c>
      <c r="AI254">
        <f>_xlfn.XLOOKUP(Table1820[[#This Row],[High Theft Rate]],Table9[High Theft Rate],Table9[High Theft Rate Factor],,0)</f>
        <v>1</v>
      </c>
      <c r="AJ254">
        <f>_xlfn.XLOOKUP(Table1820[[#This Row],[Advanced Safety Features]],Table10[Advanced Safety Features],Table10[Advanced Safety Features Factor],,0)</f>
        <v>0.88</v>
      </c>
      <c r="AK254">
        <f>_xlfn.XLOOKUP(Table1820[[#This Row],[Deductible]],Table12[Deductible],Table12[Deductible Factor],,0)</f>
        <v>1</v>
      </c>
      <c r="AL254">
        <f>_xlfn.XLOOKUP(Table1820[[#This Row],[Coverage Limit]],Table13[Coverage Limit],Table13[Coverage Limit Factor],,0)</f>
        <v>0.72</v>
      </c>
      <c r="AM254">
        <f>IF(Table1820[[#This Row],[Good Student Discount]]="Yes",'Rate Book'!$D$126,1)</f>
        <v>1</v>
      </c>
      <c r="AN254">
        <f>IF(Table1820[[#This Row],[Good Driver Discount]]="Yes",'Rate Book'!$D$127,1)</f>
        <v>1</v>
      </c>
      <c r="AO254">
        <f>IF(Table1820[[#This Row],[Multi Policy Discount]]="Yes",'Rate Book'!$D$128,1)</f>
        <v>0.93</v>
      </c>
      <c r="AP254">
        <f>IF(Table1820[[#This Row],[Loyal Customer Discount]]="Yes",'Rate Book'!$D$129,1)</f>
        <v>1</v>
      </c>
      <c r="AQ254">
        <f>IF(Table1820[[#This Row],[Organization Discount]]="Yes",'Rate Book'!$D$130,1)</f>
        <v>1</v>
      </c>
      <c r="AR254" cm="1">
        <f t="array" ref="AR254">IF(Table1820[[#This Row],[Effective Date]]&gt;=RateChangeTable[Effective Date],RateChangeTable[Rate Change Factor],1)</f>
        <v>1.06</v>
      </c>
      <c r="AS254" s="10">
        <f>PRODUCT(Table1820[[#This Row],[Base Rate]:[Rate Change Factor]])</f>
        <v>74.563097622299324</v>
      </c>
      <c r="AT254" s="9">
        <f>Table1820[[#This Row],[System-Generated Premium]]-Table1820[[#This Row],[Expected Premium]]</f>
        <v>0</v>
      </c>
      <c r="AU254" t="str">
        <f>IF(Table1820[[#This Row],[Difference]]=0,"PASS","FAIL")</f>
        <v>PASS</v>
      </c>
      <c r="AV254" s="9">
        <f>ABS(Table1820[[#This Row],[Difference]])</f>
        <v>0</v>
      </c>
      <c r="AW254" s="9" t="s">
        <v>1136</v>
      </c>
    </row>
    <row r="255" spans="1:49" x14ac:dyDescent="0.3">
      <c r="A255" t="s">
        <v>346</v>
      </c>
      <c r="B255" s="7">
        <v>45908</v>
      </c>
      <c r="C255" t="s">
        <v>72</v>
      </c>
      <c r="D255" t="s">
        <v>1101</v>
      </c>
      <c r="E255" s="3" t="s">
        <v>1103</v>
      </c>
      <c r="F255" s="3">
        <v>1</v>
      </c>
      <c r="G255" t="s">
        <v>10</v>
      </c>
      <c r="H255" t="s">
        <v>1110</v>
      </c>
      <c r="I255" t="s">
        <v>41</v>
      </c>
      <c r="J255" t="s">
        <v>49</v>
      </c>
      <c r="K255" t="s">
        <v>10</v>
      </c>
      <c r="L255" t="s">
        <v>10</v>
      </c>
      <c r="M255" t="s">
        <v>10</v>
      </c>
      <c r="N255" t="s">
        <v>10</v>
      </c>
      <c r="O255" t="str">
        <f>INDEX(CoverageTable[Deductible Applies],MATCH(Table1820[[#This Row],[Coverage]],CoverageTable[Coverage],0))</f>
        <v>Yes</v>
      </c>
      <c r="P255" t="str">
        <f>INDEX(CoverageTable[Coverage Limit Applies],MATCH(Table1820[[#This Row],[Coverage]],CoverageTable[Coverage],0))</f>
        <v>No</v>
      </c>
      <c r="Q255" t="s">
        <v>78</v>
      </c>
      <c r="R255" t="s">
        <v>10</v>
      </c>
      <c r="S255" t="s">
        <v>10</v>
      </c>
      <c r="T255" t="s">
        <v>10</v>
      </c>
      <c r="U255" t="s">
        <v>57</v>
      </c>
      <c r="V255" t="s">
        <v>10</v>
      </c>
      <c r="W255" t="s">
        <v>10</v>
      </c>
      <c r="X255" s="11">
        <v>218.04120025174879</v>
      </c>
      <c r="Y255">
        <f>_xlfn.XLOOKUP(Table1820[[#This Row],[Coverage]],CoverageTable[Coverage],CoverageTable[Base Rate],,0)</f>
        <v>121</v>
      </c>
      <c r="Z255">
        <f>INDEX(Table16[Ageband Factor],MATCH(Table1820[[#This Row],[Ageband]],Table16[Ageband],0))</f>
        <v>1.1200000000000001</v>
      </c>
      <c r="AA255">
        <f>VLOOKUP(Table1820[[#This Row],[Years Driving]],Table1[],2)</f>
        <v>0.93</v>
      </c>
      <c r="AB255">
        <f>_xlfn.XLOOKUP(Table1820[[#This Row],[At Fault Accidents]],Table2[At Fault Accidents],Table2[At Fault Accident Factor],,0)</f>
        <v>1.34</v>
      </c>
      <c r="AC255">
        <f>_xlfn.XLOOKUP(Table1820[[#This Row],[Usage-Based Insurance]],Table3[Usage-Based Insurance],Table3[Usage-Based Insurance Discount],,0)</f>
        <v>1</v>
      </c>
      <c r="AD255">
        <f>_xlfn.XLOOKUP(Table1820[[#This Row],[Yearly Miles]],Table4[Yearly Miles],Table4[Yearly Miles Factor],,0)</f>
        <v>1.31</v>
      </c>
      <c r="AE255">
        <f>_xlfn.XLOOKUP(Table1820[[#This Row],[City/Zip Code]],Table5[City/Zip Code],Table5[City/Zip Code Factor],,0)</f>
        <v>1.1499999999999999</v>
      </c>
      <c r="AF255">
        <f>_xlfn.XLOOKUP(Table1820[[#This Row],[Vehicle Price]],Table6[Vehicle Price],Table6[Vehicle Price Factor])</f>
        <v>0.97</v>
      </c>
      <c r="AG255">
        <f>_xlfn.XLOOKUP(Table1820[[#This Row],[Exotic Car]],Table7[Exotic Car],Table7[Exotic Car Factor],,0)</f>
        <v>1</v>
      </c>
      <c r="AH255">
        <f>_xlfn.XLOOKUP(Table1820[[#This Row],[Difficult Parts]],Table8[Difficult Parts],Table8[Difficult Parts Factor],,0)</f>
        <v>1</v>
      </c>
      <c r="AI255">
        <f>_xlfn.XLOOKUP(Table1820[[#This Row],[High Theft Rate]],Table9[High Theft Rate],Table9[High Theft Rate Factor],,0)</f>
        <v>1</v>
      </c>
      <c r="AJ255">
        <f>_xlfn.XLOOKUP(Table1820[[#This Row],[Advanced Safety Features]],Table10[Advanced Safety Features],Table10[Advanced Safety Features Factor],,0)</f>
        <v>1</v>
      </c>
      <c r="AK255">
        <f>_xlfn.XLOOKUP(Table1820[[#This Row],[Deductible]],Table12[Deductible],Table12[Deductible Factor],,0)</f>
        <v>0.95</v>
      </c>
      <c r="AL255">
        <f>_xlfn.XLOOKUP(Table1820[[#This Row],[Coverage Limit]],Table13[Coverage Limit],Table13[Coverage Limit Factor],,0)</f>
        <v>1</v>
      </c>
      <c r="AM255">
        <f>IF(Table1820[[#This Row],[Good Student Discount]]="Yes",'Rate Book'!$D$126,1)</f>
        <v>1</v>
      </c>
      <c r="AN255">
        <f>IF(Table1820[[#This Row],[Good Driver Discount]]="Yes",'Rate Book'!$D$127,1)</f>
        <v>1</v>
      </c>
      <c r="AO255">
        <f>IF(Table1820[[#This Row],[Multi Policy Discount]]="Yes",'Rate Book'!$D$128,1)</f>
        <v>0.93</v>
      </c>
      <c r="AP255">
        <f>IF(Table1820[[#This Row],[Loyal Customer Discount]]="Yes",'Rate Book'!$D$129,1)</f>
        <v>1</v>
      </c>
      <c r="AQ255">
        <f>IF(Table1820[[#This Row],[Organization Discount]]="Yes",'Rate Book'!$D$130,1)</f>
        <v>1</v>
      </c>
      <c r="AR255" cm="1">
        <f t="array" ref="AR255">IF(Table1820[[#This Row],[Effective Date]]&gt;=RateChangeTable[Effective Date],RateChangeTable[Rate Change Factor],1)</f>
        <v>1</v>
      </c>
      <c r="AS255" s="10">
        <f>PRODUCT(Table1820[[#This Row],[Base Rate]:[Rate Change Factor]])</f>
        <v>218.04120025174879</v>
      </c>
      <c r="AT255" s="9">
        <f>Table1820[[#This Row],[System-Generated Premium]]-Table1820[[#This Row],[Expected Premium]]</f>
        <v>0</v>
      </c>
      <c r="AU255" t="str">
        <f>IF(Table1820[[#This Row],[Difference]]=0,"PASS","FAIL")</f>
        <v>PASS</v>
      </c>
      <c r="AV255" s="9">
        <f>ABS(Table1820[[#This Row],[Difference]])</f>
        <v>0</v>
      </c>
      <c r="AW255" s="9" t="s">
        <v>1136</v>
      </c>
    </row>
    <row r="256" spans="1:49" x14ac:dyDescent="0.3">
      <c r="A256" t="s">
        <v>347</v>
      </c>
      <c r="B256" s="7">
        <v>46069</v>
      </c>
      <c r="C256" t="s">
        <v>70</v>
      </c>
      <c r="D256" t="s">
        <v>1099</v>
      </c>
      <c r="E256" s="3">
        <v>1</v>
      </c>
      <c r="F256" s="3" t="s">
        <v>7</v>
      </c>
      <c r="G256" t="s">
        <v>12</v>
      </c>
      <c r="H256" t="s">
        <v>1108</v>
      </c>
      <c r="I256" t="s">
        <v>29</v>
      </c>
      <c r="J256" t="s">
        <v>53</v>
      </c>
      <c r="K256" t="s">
        <v>10</v>
      </c>
      <c r="L256" t="s">
        <v>10</v>
      </c>
      <c r="M256" t="s">
        <v>10</v>
      </c>
      <c r="N256" t="s">
        <v>10</v>
      </c>
      <c r="O256" t="str">
        <f>INDEX(CoverageTable[Deductible Applies],MATCH(Table1820[[#This Row],[Coverage]],CoverageTable[Coverage],0))</f>
        <v>No</v>
      </c>
      <c r="P256" t="str">
        <f>INDEX(CoverageTable[Coverage Limit Applies],MATCH(Table1820[[#This Row],[Coverage]],CoverageTable[Coverage],0))</f>
        <v>Yes</v>
      </c>
      <c r="Q256" t="s">
        <v>10</v>
      </c>
      <c r="R256" t="s">
        <v>78</v>
      </c>
      <c r="S256" t="s">
        <v>10</v>
      </c>
      <c r="T256" t="s">
        <v>10</v>
      </c>
      <c r="U256" t="s">
        <v>10</v>
      </c>
      <c r="V256" t="s">
        <v>10</v>
      </c>
      <c r="W256" t="s">
        <v>10</v>
      </c>
      <c r="X256" s="11">
        <v>2869.6883897653511</v>
      </c>
      <c r="Y256">
        <f>_xlfn.XLOOKUP(Table1820[[#This Row],[Coverage]],CoverageTable[Coverage],CoverageTable[Base Rate],,0)</f>
        <v>622</v>
      </c>
      <c r="Z256">
        <f>INDEX(Table16[Ageband Factor],MATCH(Table1820[[#This Row],[Ageband]],Table16[Ageband],0))</f>
        <v>1</v>
      </c>
      <c r="AA256">
        <f>VLOOKUP(Table1820[[#This Row],[Years Driving]],Table1[],2)</f>
        <v>1.64</v>
      </c>
      <c r="AB256">
        <f>_xlfn.XLOOKUP(Table1820[[#This Row],[At Fault Accidents]],Table2[At Fault Accidents],Table2[At Fault Accident Factor],,0)</f>
        <v>2.4700000000000002</v>
      </c>
      <c r="AC256">
        <f>_xlfn.XLOOKUP(Table1820[[#This Row],[Usage-Based Insurance]],Table3[Usage-Based Insurance],Table3[Usage-Based Insurance Discount],,0)</f>
        <v>0.8</v>
      </c>
      <c r="AD256">
        <f>_xlfn.XLOOKUP(Table1820[[#This Row],[Yearly Miles]],Table4[Yearly Miles],Table4[Yearly Miles Factor],,0)</f>
        <v>1</v>
      </c>
      <c r="AE256">
        <f>_xlfn.XLOOKUP(Table1820[[#This Row],[City/Zip Code]],Table5[City/Zip Code],Table5[City/Zip Code Factor],,0)</f>
        <v>1.0900000000000001</v>
      </c>
      <c r="AF256">
        <f>_xlfn.XLOOKUP(Table1820[[#This Row],[Vehicle Price]],Table6[Vehicle Price],Table6[Vehicle Price Factor])</f>
        <v>2.02</v>
      </c>
      <c r="AG256">
        <f>_xlfn.XLOOKUP(Table1820[[#This Row],[Exotic Car]],Table7[Exotic Car],Table7[Exotic Car Factor],,0)</f>
        <v>1</v>
      </c>
      <c r="AH256">
        <f>_xlfn.XLOOKUP(Table1820[[#This Row],[Difficult Parts]],Table8[Difficult Parts],Table8[Difficult Parts Factor],,0)</f>
        <v>1</v>
      </c>
      <c r="AI256">
        <f>_xlfn.XLOOKUP(Table1820[[#This Row],[High Theft Rate]],Table9[High Theft Rate],Table9[High Theft Rate Factor],,0)</f>
        <v>1</v>
      </c>
      <c r="AJ256">
        <f>_xlfn.XLOOKUP(Table1820[[#This Row],[Advanced Safety Features]],Table10[Advanced Safety Features],Table10[Advanced Safety Features Factor],,0)</f>
        <v>1</v>
      </c>
      <c r="AK256">
        <f>_xlfn.XLOOKUP(Table1820[[#This Row],[Deductible]],Table12[Deductible],Table12[Deductible Factor],,0)</f>
        <v>1</v>
      </c>
      <c r="AL256">
        <f>_xlfn.XLOOKUP(Table1820[[#This Row],[Coverage Limit]],Table13[Coverage Limit],Table13[Coverage Limit Factor],,0)</f>
        <v>0.61</v>
      </c>
      <c r="AM256">
        <f>IF(Table1820[[#This Row],[Good Student Discount]]="Yes",'Rate Book'!$D$126,1)</f>
        <v>1</v>
      </c>
      <c r="AN256">
        <f>IF(Table1820[[#This Row],[Good Driver Discount]]="Yes",'Rate Book'!$D$127,1)</f>
        <v>1</v>
      </c>
      <c r="AO256">
        <f>IF(Table1820[[#This Row],[Multi Policy Discount]]="Yes",'Rate Book'!$D$128,1)</f>
        <v>1</v>
      </c>
      <c r="AP256">
        <f>IF(Table1820[[#This Row],[Loyal Customer Discount]]="Yes",'Rate Book'!$D$129,1)</f>
        <v>1</v>
      </c>
      <c r="AQ256">
        <f>IF(Table1820[[#This Row],[Organization Discount]]="Yes",'Rate Book'!$D$130,1)</f>
        <v>1</v>
      </c>
      <c r="AR256" cm="1">
        <f t="array" ref="AR256">IF(Table1820[[#This Row],[Effective Date]]&gt;=RateChangeTable[Effective Date],RateChangeTable[Rate Change Factor],1)</f>
        <v>1.06</v>
      </c>
      <c r="AS256" s="10">
        <f>PRODUCT(Table1820[[#This Row],[Base Rate]:[Rate Change Factor]])</f>
        <v>2869.6883897653511</v>
      </c>
      <c r="AT256" s="9">
        <f>Table1820[[#This Row],[System-Generated Premium]]-Table1820[[#This Row],[Expected Premium]]</f>
        <v>0</v>
      </c>
      <c r="AU256" t="str">
        <f>IF(Table1820[[#This Row],[Difference]]=0,"PASS","FAIL")</f>
        <v>PASS</v>
      </c>
      <c r="AV256" s="9">
        <f>ABS(Table1820[[#This Row],[Difference]])</f>
        <v>0</v>
      </c>
      <c r="AW256" s="9" t="s">
        <v>1136</v>
      </c>
    </row>
    <row r="257" spans="1:49" x14ac:dyDescent="0.3">
      <c r="A257" t="s">
        <v>348</v>
      </c>
      <c r="B257" s="7">
        <v>46020</v>
      </c>
      <c r="C257" t="s">
        <v>71</v>
      </c>
      <c r="D257" t="s">
        <v>1099</v>
      </c>
      <c r="E257" s="3" t="s">
        <v>1103</v>
      </c>
      <c r="F257" s="3">
        <v>1</v>
      </c>
      <c r="G257" t="s">
        <v>10</v>
      </c>
      <c r="H257" t="s">
        <v>1108</v>
      </c>
      <c r="I257" t="s">
        <v>30</v>
      </c>
      <c r="J257" t="s">
        <v>51</v>
      </c>
      <c r="K257" t="s">
        <v>10</v>
      </c>
      <c r="L257" t="s">
        <v>10</v>
      </c>
      <c r="M257" t="s">
        <v>10</v>
      </c>
      <c r="N257" t="s">
        <v>57</v>
      </c>
      <c r="O257" t="str">
        <f>INDEX(CoverageTable[Deductible Applies],MATCH(Table1820[[#This Row],[Coverage]],CoverageTable[Coverage],0))</f>
        <v>Yes</v>
      </c>
      <c r="P257" t="str">
        <f>INDEX(CoverageTable[Coverage Limit Applies],MATCH(Table1820[[#This Row],[Coverage]],CoverageTable[Coverage],0))</f>
        <v>No</v>
      </c>
      <c r="Q257" t="s">
        <v>80</v>
      </c>
      <c r="R257" t="s">
        <v>10</v>
      </c>
      <c r="S257" t="s">
        <v>10</v>
      </c>
      <c r="T257" t="s">
        <v>10</v>
      </c>
      <c r="U257" t="s">
        <v>57</v>
      </c>
      <c r="V257" t="s">
        <v>10</v>
      </c>
      <c r="W257" t="s">
        <v>10</v>
      </c>
      <c r="X257" s="11">
        <v>434.30437819219981</v>
      </c>
      <c r="Y257">
        <f>_xlfn.XLOOKUP(Table1820[[#This Row],[Coverage]],CoverageTable[Coverage],CoverageTable[Base Rate],,0)</f>
        <v>453</v>
      </c>
      <c r="Z257">
        <f>INDEX(Table16[Ageband Factor],MATCH(Table1820[[#This Row],[Ageband]],Table16[Ageband],0))</f>
        <v>1</v>
      </c>
      <c r="AA257">
        <f>VLOOKUP(Table1820[[#This Row],[Years Driving]],Table1[],2)</f>
        <v>0.93</v>
      </c>
      <c r="AB257">
        <f>_xlfn.XLOOKUP(Table1820[[#This Row],[At Fault Accidents]],Table2[At Fault Accidents],Table2[At Fault Accident Factor],,0)</f>
        <v>1.34</v>
      </c>
      <c r="AC257">
        <f>_xlfn.XLOOKUP(Table1820[[#This Row],[Usage-Based Insurance]],Table3[Usage-Based Insurance],Table3[Usage-Based Insurance Discount],,0)</f>
        <v>1</v>
      </c>
      <c r="AD257">
        <f>_xlfn.XLOOKUP(Table1820[[#This Row],[Yearly Miles]],Table4[Yearly Miles],Table4[Yearly Miles Factor],,0)</f>
        <v>1</v>
      </c>
      <c r="AE257">
        <f>_xlfn.XLOOKUP(Table1820[[#This Row],[City/Zip Code]],Table5[City/Zip Code],Table5[City/Zip Code Factor],,0)</f>
        <v>1.02</v>
      </c>
      <c r="AF257">
        <f>_xlfn.XLOOKUP(Table1820[[#This Row],[Vehicle Price]],Table6[Vehicle Price],Table6[Vehicle Price Factor])</f>
        <v>1.28</v>
      </c>
      <c r="AG257">
        <f>_xlfn.XLOOKUP(Table1820[[#This Row],[Exotic Car]],Table7[Exotic Car],Table7[Exotic Car Factor],,0)</f>
        <v>1</v>
      </c>
      <c r="AH257">
        <f>_xlfn.XLOOKUP(Table1820[[#This Row],[Difficult Parts]],Table8[Difficult Parts],Table8[Difficult Parts Factor],,0)</f>
        <v>1</v>
      </c>
      <c r="AI257">
        <f>_xlfn.XLOOKUP(Table1820[[#This Row],[High Theft Rate]],Table9[High Theft Rate],Table9[High Theft Rate Factor],,0)</f>
        <v>1</v>
      </c>
      <c r="AJ257">
        <f>_xlfn.XLOOKUP(Table1820[[#This Row],[Advanced Safety Features]],Table10[Advanced Safety Features],Table10[Advanced Safety Features Factor],,0)</f>
        <v>0.88</v>
      </c>
      <c r="AK257">
        <f>_xlfn.XLOOKUP(Table1820[[#This Row],[Deductible]],Table12[Deductible],Table12[Deductible Factor],,0)</f>
        <v>0.72</v>
      </c>
      <c r="AL257">
        <f>_xlfn.XLOOKUP(Table1820[[#This Row],[Coverage Limit]],Table13[Coverage Limit],Table13[Coverage Limit Factor],,0)</f>
        <v>1</v>
      </c>
      <c r="AM257">
        <f>IF(Table1820[[#This Row],[Good Student Discount]]="Yes",'Rate Book'!$D$126,1)</f>
        <v>1</v>
      </c>
      <c r="AN257">
        <f>IF(Table1820[[#This Row],[Good Driver Discount]]="Yes",'Rate Book'!$D$127,1)</f>
        <v>1</v>
      </c>
      <c r="AO257">
        <f>IF(Table1820[[#This Row],[Multi Policy Discount]]="Yes",'Rate Book'!$D$128,1)</f>
        <v>0.93</v>
      </c>
      <c r="AP257">
        <f>IF(Table1820[[#This Row],[Loyal Customer Discount]]="Yes",'Rate Book'!$D$129,1)</f>
        <v>1</v>
      </c>
      <c r="AQ257">
        <f>IF(Table1820[[#This Row],[Organization Discount]]="Yes",'Rate Book'!$D$130,1)</f>
        <v>1</v>
      </c>
      <c r="AR257" cm="1">
        <f t="array" ref="AR257">IF(Table1820[[#This Row],[Effective Date]]&gt;=RateChangeTable[Effective Date],RateChangeTable[Rate Change Factor],1)</f>
        <v>1</v>
      </c>
      <c r="AS257" s="10">
        <f>PRODUCT(Table1820[[#This Row],[Base Rate]:[Rate Change Factor]])</f>
        <v>434.30437819219981</v>
      </c>
      <c r="AT257" s="9">
        <f>Table1820[[#This Row],[System-Generated Premium]]-Table1820[[#This Row],[Expected Premium]]</f>
        <v>0</v>
      </c>
      <c r="AU257" t="str">
        <f>IF(Table1820[[#This Row],[Difference]]=0,"PASS","FAIL")</f>
        <v>PASS</v>
      </c>
      <c r="AV257" s="9">
        <f>ABS(Table1820[[#This Row],[Difference]])</f>
        <v>0</v>
      </c>
      <c r="AW257" s="9" t="s">
        <v>1136</v>
      </c>
    </row>
    <row r="258" spans="1:49" x14ac:dyDescent="0.3">
      <c r="A258" t="s">
        <v>349</v>
      </c>
      <c r="B258" s="7">
        <v>46133</v>
      </c>
      <c r="C258" t="s">
        <v>70</v>
      </c>
      <c r="D258" t="s">
        <v>1101</v>
      </c>
      <c r="E258" s="3">
        <v>5</v>
      </c>
      <c r="F258" s="3">
        <v>2</v>
      </c>
      <c r="G258" t="s">
        <v>12</v>
      </c>
      <c r="H258" t="s">
        <v>1107</v>
      </c>
      <c r="I258" t="s">
        <v>27</v>
      </c>
      <c r="J258" t="s">
        <v>48</v>
      </c>
      <c r="K258" t="s">
        <v>10</v>
      </c>
      <c r="L258" t="s">
        <v>10</v>
      </c>
      <c r="M258" t="s">
        <v>57</v>
      </c>
      <c r="N258" t="s">
        <v>57</v>
      </c>
      <c r="O258" t="str">
        <f>INDEX(CoverageTable[Deductible Applies],MATCH(Table1820[[#This Row],[Coverage]],CoverageTable[Coverage],0))</f>
        <v>No</v>
      </c>
      <c r="P258" t="str">
        <f>INDEX(CoverageTable[Coverage Limit Applies],MATCH(Table1820[[#This Row],[Coverage]],CoverageTable[Coverage],0))</f>
        <v>Yes</v>
      </c>
      <c r="Q258" t="s">
        <v>10</v>
      </c>
      <c r="R258" t="s">
        <v>78</v>
      </c>
      <c r="S258" t="s">
        <v>10</v>
      </c>
      <c r="T258" t="s">
        <v>10</v>
      </c>
      <c r="U258" t="s">
        <v>57</v>
      </c>
      <c r="V258" t="s">
        <v>10</v>
      </c>
      <c r="W258" t="s">
        <v>10</v>
      </c>
      <c r="X258" s="11">
        <v>406.72215966527961</v>
      </c>
      <c r="Y258">
        <f>_xlfn.XLOOKUP(Table1820[[#This Row],[Coverage]],CoverageTable[Coverage],CoverageTable[Base Rate],,0)</f>
        <v>622</v>
      </c>
      <c r="Z258">
        <f>INDEX(Table16[Ageband Factor],MATCH(Table1820[[#This Row],[Ageband]],Table16[Ageband],0))</f>
        <v>1.1200000000000001</v>
      </c>
      <c r="AA258">
        <f>VLOOKUP(Table1820[[#This Row],[Years Driving]],Table1[],2)</f>
        <v>1.07</v>
      </c>
      <c r="AB258">
        <f>_xlfn.XLOOKUP(Table1820[[#This Row],[At Fault Accidents]],Table2[At Fault Accidents],Table2[At Fault Accident Factor],,0)</f>
        <v>1.55</v>
      </c>
      <c r="AC258">
        <f>_xlfn.XLOOKUP(Table1820[[#This Row],[Usage-Based Insurance]],Table3[Usage-Based Insurance],Table3[Usage-Based Insurance Discount],,0)</f>
        <v>0.8</v>
      </c>
      <c r="AD258">
        <f>_xlfn.XLOOKUP(Table1820[[#This Row],[Yearly Miles]],Table4[Yearly Miles],Table4[Yearly Miles Factor],,0)</f>
        <v>0.93</v>
      </c>
      <c r="AE258">
        <f>_xlfn.XLOOKUP(Table1820[[#This Row],[City/Zip Code]],Table5[City/Zip Code],Table5[City/Zip Code Factor],,0)</f>
        <v>0.94</v>
      </c>
      <c r="AF258">
        <f>_xlfn.XLOOKUP(Table1820[[#This Row],[Vehicle Price]],Table6[Vehicle Price],Table6[Vehicle Price Factor])</f>
        <v>0.82</v>
      </c>
      <c r="AG258">
        <f>_xlfn.XLOOKUP(Table1820[[#This Row],[Exotic Car]],Table7[Exotic Car],Table7[Exotic Car Factor],,0)</f>
        <v>1</v>
      </c>
      <c r="AH258">
        <f>_xlfn.XLOOKUP(Table1820[[#This Row],[Difficult Parts]],Table8[Difficult Parts],Table8[Difficult Parts Factor],,0)</f>
        <v>1</v>
      </c>
      <c r="AI258">
        <f>_xlfn.XLOOKUP(Table1820[[#This Row],[High Theft Rate]],Table9[High Theft Rate],Table9[High Theft Rate Factor],,0)</f>
        <v>1.1599999999999999</v>
      </c>
      <c r="AJ258">
        <f>_xlfn.XLOOKUP(Table1820[[#This Row],[Advanced Safety Features]],Table10[Advanced Safety Features],Table10[Advanced Safety Features Factor],,0)</f>
        <v>0.88</v>
      </c>
      <c r="AK258">
        <f>_xlfn.XLOOKUP(Table1820[[#This Row],[Deductible]],Table12[Deductible],Table12[Deductible Factor],,0)</f>
        <v>1</v>
      </c>
      <c r="AL258">
        <f>_xlfn.XLOOKUP(Table1820[[#This Row],[Coverage Limit]],Table13[Coverage Limit],Table13[Coverage Limit Factor],,0)</f>
        <v>0.61</v>
      </c>
      <c r="AM258">
        <f>IF(Table1820[[#This Row],[Good Student Discount]]="Yes",'Rate Book'!$D$126,1)</f>
        <v>1</v>
      </c>
      <c r="AN258">
        <f>IF(Table1820[[#This Row],[Good Driver Discount]]="Yes",'Rate Book'!$D$127,1)</f>
        <v>1</v>
      </c>
      <c r="AO258">
        <f>IF(Table1820[[#This Row],[Multi Policy Discount]]="Yes",'Rate Book'!$D$128,1)</f>
        <v>0.93</v>
      </c>
      <c r="AP258">
        <f>IF(Table1820[[#This Row],[Loyal Customer Discount]]="Yes",'Rate Book'!$D$129,1)</f>
        <v>1</v>
      </c>
      <c r="AQ258">
        <f>IF(Table1820[[#This Row],[Organization Discount]]="Yes",'Rate Book'!$D$130,1)</f>
        <v>1</v>
      </c>
      <c r="AR258" cm="1">
        <f t="array" ref="AR258">IF(Table1820[[#This Row],[Effective Date]]&gt;=RateChangeTable[Effective Date],RateChangeTable[Rate Change Factor],1)</f>
        <v>1.06</v>
      </c>
      <c r="AS258" s="10">
        <f>PRODUCT(Table1820[[#This Row],[Base Rate]:[Rate Change Factor]])</f>
        <v>406.72215966527961</v>
      </c>
      <c r="AT258" s="9">
        <f>Table1820[[#This Row],[System-Generated Premium]]-Table1820[[#This Row],[Expected Premium]]</f>
        <v>0</v>
      </c>
      <c r="AU258" t="str">
        <f>IF(Table1820[[#This Row],[Difference]]=0,"PASS","FAIL")</f>
        <v>PASS</v>
      </c>
      <c r="AV258" s="9">
        <f>ABS(Table1820[[#This Row],[Difference]])</f>
        <v>0</v>
      </c>
      <c r="AW258" s="9" t="s">
        <v>1136</v>
      </c>
    </row>
    <row r="259" spans="1:49" x14ac:dyDescent="0.3">
      <c r="A259" t="s">
        <v>350</v>
      </c>
      <c r="B259" s="7">
        <v>45836</v>
      </c>
      <c r="C259" t="s">
        <v>72</v>
      </c>
      <c r="D259" t="s">
        <v>1097</v>
      </c>
      <c r="E259" s="3">
        <v>5</v>
      </c>
      <c r="F259" s="3">
        <v>3</v>
      </c>
      <c r="G259" t="s">
        <v>10</v>
      </c>
      <c r="H259" t="s">
        <v>1106</v>
      </c>
      <c r="I259" t="s">
        <v>32</v>
      </c>
      <c r="J259" t="s">
        <v>52</v>
      </c>
      <c r="K259" t="s">
        <v>10</v>
      </c>
      <c r="L259" t="s">
        <v>57</v>
      </c>
      <c r="M259" t="s">
        <v>10</v>
      </c>
      <c r="N259" t="s">
        <v>57</v>
      </c>
      <c r="O259" t="str">
        <f>INDEX(CoverageTable[Deductible Applies],MATCH(Table1820[[#This Row],[Coverage]],CoverageTable[Coverage],0))</f>
        <v>Yes</v>
      </c>
      <c r="P259" t="str">
        <f>INDEX(CoverageTable[Coverage Limit Applies],MATCH(Table1820[[#This Row],[Coverage]],CoverageTable[Coverage],0))</f>
        <v>No</v>
      </c>
      <c r="Q259" t="s">
        <v>80</v>
      </c>
      <c r="R259" t="s">
        <v>10</v>
      </c>
      <c r="S259" t="s">
        <v>10</v>
      </c>
      <c r="T259" t="s">
        <v>10</v>
      </c>
      <c r="U259" t="s">
        <v>10</v>
      </c>
      <c r="V259" t="s">
        <v>10</v>
      </c>
      <c r="W259" t="s">
        <v>10</v>
      </c>
      <c r="X259" s="11">
        <v>343.83219008405513</v>
      </c>
      <c r="Y259">
        <f>_xlfn.XLOOKUP(Table1820[[#This Row],[Coverage]],CoverageTable[Coverage],CoverageTable[Base Rate],,0)</f>
        <v>121</v>
      </c>
      <c r="Z259">
        <f>INDEX(Table16[Ageband Factor],MATCH(Table1820[[#This Row],[Ageband]],Table16[Ageband],0))</f>
        <v>1.32</v>
      </c>
      <c r="AA259">
        <f>VLOOKUP(Table1820[[#This Row],[Years Driving]],Table1[],2)</f>
        <v>1.07</v>
      </c>
      <c r="AB259">
        <f>_xlfn.XLOOKUP(Table1820[[#This Row],[At Fault Accidents]],Table2[At Fault Accidents],Table2[At Fault Accident Factor],,0)</f>
        <v>1.82</v>
      </c>
      <c r="AC259">
        <f>_xlfn.XLOOKUP(Table1820[[#This Row],[Usage-Based Insurance]],Table3[Usage-Based Insurance],Table3[Usage-Based Insurance Discount],,0)</f>
        <v>1</v>
      </c>
      <c r="AD259">
        <f>_xlfn.XLOOKUP(Table1820[[#This Row],[Yearly Miles]],Table4[Yearly Miles],Table4[Yearly Miles Factor],,0)</f>
        <v>0.82</v>
      </c>
      <c r="AE259">
        <f>_xlfn.XLOOKUP(Table1820[[#This Row],[City/Zip Code]],Table5[City/Zip Code],Table5[City/Zip Code Factor],,0)</f>
        <v>1.1200000000000001</v>
      </c>
      <c r="AF259">
        <f>_xlfn.XLOOKUP(Table1820[[#This Row],[Vehicle Price]],Table6[Vehicle Price],Table6[Vehicle Price Factor])</f>
        <v>1.57</v>
      </c>
      <c r="AG259">
        <f>_xlfn.XLOOKUP(Table1820[[#This Row],[Exotic Car]],Table7[Exotic Car],Table7[Exotic Car Factor],,0)</f>
        <v>1</v>
      </c>
      <c r="AH259">
        <f>_xlfn.XLOOKUP(Table1820[[#This Row],[Difficult Parts]],Table8[Difficult Parts],Table8[Difficult Parts Factor],,0)</f>
        <v>1.21</v>
      </c>
      <c r="AI259">
        <f>_xlfn.XLOOKUP(Table1820[[#This Row],[High Theft Rate]],Table9[High Theft Rate],Table9[High Theft Rate Factor],,0)</f>
        <v>1</v>
      </c>
      <c r="AJ259">
        <f>_xlfn.XLOOKUP(Table1820[[#This Row],[Advanced Safety Features]],Table10[Advanced Safety Features],Table10[Advanced Safety Features Factor],,0)</f>
        <v>0.88</v>
      </c>
      <c r="AK259">
        <f>_xlfn.XLOOKUP(Table1820[[#This Row],[Deductible]],Table12[Deductible],Table12[Deductible Factor],,0)</f>
        <v>0.72</v>
      </c>
      <c r="AL259">
        <f>_xlfn.XLOOKUP(Table1820[[#This Row],[Coverage Limit]],Table13[Coverage Limit],Table13[Coverage Limit Factor],,0)</f>
        <v>1</v>
      </c>
      <c r="AM259">
        <f>IF(Table1820[[#This Row],[Good Student Discount]]="Yes",'Rate Book'!$D$126,1)</f>
        <v>1</v>
      </c>
      <c r="AN259">
        <f>IF(Table1820[[#This Row],[Good Driver Discount]]="Yes",'Rate Book'!$D$127,1)</f>
        <v>1</v>
      </c>
      <c r="AO259">
        <f>IF(Table1820[[#This Row],[Multi Policy Discount]]="Yes",'Rate Book'!$D$128,1)</f>
        <v>1</v>
      </c>
      <c r="AP259">
        <f>IF(Table1820[[#This Row],[Loyal Customer Discount]]="Yes",'Rate Book'!$D$129,1)</f>
        <v>1</v>
      </c>
      <c r="AQ259">
        <f>IF(Table1820[[#This Row],[Organization Discount]]="Yes",'Rate Book'!$D$130,1)</f>
        <v>1</v>
      </c>
      <c r="AR259" cm="1">
        <f t="array" ref="AR259">IF(Table1820[[#This Row],[Effective Date]]&gt;=RateChangeTable[Effective Date],RateChangeTable[Rate Change Factor],1)</f>
        <v>1</v>
      </c>
      <c r="AS259" s="10">
        <f>PRODUCT(Table1820[[#This Row],[Base Rate]:[Rate Change Factor]])</f>
        <v>343.83219008405513</v>
      </c>
      <c r="AT259" s="9">
        <f>Table1820[[#This Row],[System-Generated Premium]]-Table1820[[#This Row],[Expected Premium]]</f>
        <v>0</v>
      </c>
      <c r="AU259" t="str">
        <f>IF(Table1820[[#This Row],[Difference]]=0,"PASS","FAIL")</f>
        <v>PASS</v>
      </c>
      <c r="AV259" s="9">
        <f>ABS(Table1820[[#This Row],[Difference]])</f>
        <v>0</v>
      </c>
      <c r="AW259" s="9" t="s">
        <v>1136</v>
      </c>
    </row>
    <row r="260" spans="1:49" x14ac:dyDescent="0.3">
      <c r="A260" t="s">
        <v>351</v>
      </c>
      <c r="B260" s="7">
        <v>45972</v>
      </c>
      <c r="C260" t="s">
        <v>70</v>
      </c>
      <c r="D260" t="s">
        <v>1098</v>
      </c>
      <c r="E260" s="3">
        <v>7</v>
      </c>
      <c r="F260" s="3">
        <v>1</v>
      </c>
      <c r="G260" t="s">
        <v>10</v>
      </c>
      <c r="H260" t="s">
        <v>1106</v>
      </c>
      <c r="I260" t="s">
        <v>35</v>
      </c>
      <c r="J260" t="s">
        <v>52</v>
      </c>
      <c r="K260" t="s">
        <v>10</v>
      </c>
      <c r="L260" t="s">
        <v>10</v>
      </c>
      <c r="M260" t="s">
        <v>57</v>
      </c>
      <c r="N260" t="s">
        <v>57</v>
      </c>
      <c r="O260" t="str">
        <f>INDEX(CoverageTable[Deductible Applies],MATCH(Table1820[[#This Row],[Coverage]],CoverageTable[Coverage],0))</f>
        <v>No</v>
      </c>
      <c r="P260" t="str">
        <f>INDEX(CoverageTable[Coverage Limit Applies],MATCH(Table1820[[#This Row],[Coverage]],CoverageTable[Coverage],0))</f>
        <v>Yes</v>
      </c>
      <c r="Q260" t="s">
        <v>10</v>
      </c>
      <c r="R260" t="s">
        <v>80</v>
      </c>
      <c r="S260" t="s">
        <v>10</v>
      </c>
      <c r="T260" t="s">
        <v>10</v>
      </c>
      <c r="U260" t="s">
        <v>10</v>
      </c>
      <c r="V260" t="s">
        <v>10</v>
      </c>
      <c r="W260" t="s">
        <v>10</v>
      </c>
      <c r="X260" s="11">
        <v>1204.1355397859431</v>
      </c>
      <c r="Y260">
        <f>_xlfn.XLOOKUP(Table1820[[#This Row],[Coverage]],CoverageTable[Coverage],CoverageTable[Base Rate],,0)</f>
        <v>622</v>
      </c>
      <c r="Z260">
        <f>INDEX(Table16[Ageband Factor],MATCH(Table1820[[#This Row],[Ageband]],Table16[Ageband],0))</f>
        <v>1.23</v>
      </c>
      <c r="AA260">
        <f>VLOOKUP(Table1820[[#This Row],[Years Driving]],Table1[],2)</f>
        <v>0.95</v>
      </c>
      <c r="AB260">
        <f>_xlfn.XLOOKUP(Table1820[[#This Row],[At Fault Accidents]],Table2[At Fault Accidents],Table2[At Fault Accident Factor],,0)</f>
        <v>1.34</v>
      </c>
      <c r="AC260">
        <f>_xlfn.XLOOKUP(Table1820[[#This Row],[Usage-Based Insurance]],Table3[Usage-Based Insurance],Table3[Usage-Based Insurance Discount],,0)</f>
        <v>1</v>
      </c>
      <c r="AD260">
        <f>_xlfn.XLOOKUP(Table1820[[#This Row],[Yearly Miles]],Table4[Yearly Miles],Table4[Yearly Miles Factor],,0)</f>
        <v>0.82</v>
      </c>
      <c r="AE260">
        <f>_xlfn.XLOOKUP(Table1820[[#This Row],[City/Zip Code]],Table5[City/Zip Code],Table5[City/Zip Code Factor],,0)</f>
        <v>1.1200000000000001</v>
      </c>
      <c r="AF260">
        <f>_xlfn.XLOOKUP(Table1820[[#This Row],[Vehicle Price]],Table6[Vehicle Price],Table6[Vehicle Price Factor])</f>
        <v>1.57</v>
      </c>
      <c r="AG260">
        <f>_xlfn.XLOOKUP(Table1820[[#This Row],[Exotic Car]],Table7[Exotic Car],Table7[Exotic Car Factor],,0)</f>
        <v>1</v>
      </c>
      <c r="AH260">
        <f>_xlfn.XLOOKUP(Table1820[[#This Row],[Difficult Parts]],Table8[Difficult Parts],Table8[Difficult Parts Factor],,0)</f>
        <v>1</v>
      </c>
      <c r="AI260">
        <f>_xlfn.XLOOKUP(Table1820[[#This Row],[High Theft Rate]],Table9[High Theft Rate],Table9[High Theft Rate Factor],,0)</f>
        <v>1.1599999999999999</v>
      </c>
      <c r="AJ260">
        <f>_xlfn.XLOOKUP(Table1820[[#This Row],[Advanced Safety Features]],Table10[Advanced Safety Features],Table10[Advanced Safety Features Factor],,0)</f>
        <v>0.88</v>
      </c>
      <c r="AK260">
        <f>_xlfn.XLOOKUP(Table1820[[#This Row],[Deductible]],Table12[Deductible],Table12[Deductible Factor],,0)</f>
        <v>1</v>
      </c>
      <c r="AL260">
        <f>_xlfn.XLOOKUP(Table1820[[#This Row],[Coverage Limit]],Table13[Coverage Limit],Table13[Coverage Limit Factor],,0)</f>
        <v>0.84</v>
      </c>
      <c r="AM260">
        <f>IF(Table1820[[#This Row],[Good Student Discount]]="Yes",'Rate Book'!$D$126,1)</f>
        <v>1</v>
      </c>
      <c r="AN260">
        <f>IF(Table1820[[#This Row],[Good Driver Discount]]="Yes",'Rate Book'!$D$127,1)</f>
        <v>1</v>
      </c>
      <c r="AO260">
        <f>IF(Table1820[[#This Row],[Multi Policy Discount]]="Yes",'Rate Book'!$D$128,1)</f>
        <v>1</v>
      </c>
      <c r="AP260">
        <f>IF(Table1820[[#This Row],[Loyal Customer Discount]]="Yes",'Rate Book'!$D$129,1)</f>
        <v>1</v>
      </c>
      <c r="AQ260">
        <f>IF(Table1820[[#This Row],[Organization Discount]]="Yes",'Rate Book'!$D$130,1)</f>
        <v>1</v>
      </c>
      <c r="AR260" cm="1">
        <f t="array" ref="AR260">IF(Table1820[[#This Row],[Effective Date]]&gt;=RateChangeTable[Effective Date],RateChangeTable[Rate Change Factor],1)</f>
        <v>1</v>
      </c>
      <c r="AS260" s="10">
        <f>PRODUCT(Table1820[[#This Row],[Base Rate]:[Rate Change Factor]])</f>
        <v>1204.1355397859431</v>
      </c>
      <c r="AT260" s="9">
        <f>Table1820[[#This Row],[System-Generated Premium]]-Table1820[[#This Row],[Expected Premium]]</f>
        <v>0</v>
      </c>
      <c r="AU260" t="str">
        <f>IF(Table1820[[#This Row],[Difference]]=0,"PASS","FAIL")</f>
        <v>PASS</v>
      </c>
      <c r="AV260" s="9">
        <f>ABS(Table1820[[#This Row],[Difference]])</f>
        <v>0</v>
      </c>
      <c r="AW260" s="9" t="s">
        <v>1136</v>
      </c>
    </row>
    <row r="261" spans="1:49" x14ac:dyDescent="0.3">
      <c r="A261" t="s">
        <v>352</v>
      </c>
      <c r="B261" s="7">
        <v>45859</v>
      </c>
      <c r="C261" t="s">
        <v>70</v>
      </c>
      <c r="D261" t="s">
        <v>1102</v>
      </c>
      <c r="E261" s="3">
        <v>1</v>
      </c>
      <c r="F261" s="3">
        <v>2</v>
      </c>
      <c r="G261" t="s">
        <v>10</v>
      </c>
      <c r="H261" t="s">
        <v>1107</v>
      </c>
      <c r="I261" t="s">
        <v>23</v>
      </c>
      <c r="J261" t="s">
        <v>54</v>
      </c>
      <c r="K261" t="s">
        <v>10</v>
      </c>
      <c r="L261" t="s">
        <v>57</v>
      </c>
      <c r="M261" t="s">
        <v>10</v>
      </c>
      <c r="N261" t="s">
        <v>10</v>
      </c>
      <c r="O261" t="str">
        <f>INDEX(CoverageTable[Deductible Applies],MATCH(Table1820[[#This Row],[Coverage]],CoverageTable[Coverage],0))</f>
        <v>No</v>
      </c>
      <c r="P261" t="str">
        <f>INDEX(CoverageTable[Coverage Limit Applies],MATCH(Table1820[[#This Row],[Coverage]],CoverageTable[Coverage],0))</f>
        <v>Yes</v>
      </c>
      <c r="Q261" t="s">
        <v>10</v>
      </c>
      <c r="R261" t="s">
        <v>78</v>
      </c>
      <c r="S261" t="s">
        <v>10</v>
      </c>
      <c r="T261" t="s">
        <v>57</v>
      </c>
      <c r="U261" t="s">
        <v>57</v>
      </c>
      <c r="V261" t="s">
        <v>10</v>
      </c>
      <c r="W261" t="s">
        <v>10</v>
      </c>
      <c r="X261" s="11">
        <v>3012.3850598900472</v>
      </c>
      <c r="Y261">
        <f>_xlfn.XLOOKUP(Table1820[[#This Row],[Coverage]],CoverageTable[Coverage],CoverageTable[Base Rate],,0)</f>
        <v>622</v>
      </c>
      <c r="Z261">
        <f>INDEX(Table16[Ageband Factor],MATCH(Table1820[[#This Row],[Ageband]],Table16[Ageband],0))</f>
        <v>1.27</v>
      </c>
      <c r="AA261">
        <f>VLOOKUP(Table1820[[#This Row],[Years Driving]],Table1[],2)</f>
        <v>1.64</v>
      </c>
      <c r="AB261">
        <f>_xlfn.XLOOKUP(Table1820[[#This Row],[At Fault Accidents]],Table2[At Fault Accidents],Table2[At Fault Accident Factor],,0)</f>
        <v>1.55</v>
      </c>
      <c r="AC261">
        <f>_xlfn.XLOOKUP(Table1820[[#This Row],[Usage-Based Insurance]],Table3[Usage-Based Insurance],Table3[Usage-Based Insurance Discount],,0)</f>
        <v>1</v>
      </c>
      <c r="AD261">
        <f>_xlfn.XLOOKUP(Table1820[[#This Row],[Yearly Miles]],Table4[Yearly Miles],Table4[Yearly Miles Factor],,0)</f>
        <v>0.93</v>
      </c>
      <c r="AE261">
        <f>_xlfn.XLOOKUP(Table1820[[#This Row],[City/Zip Code]],Table5[City/Zip Code],Table5[City/Zip Code Factor],,0)</f>
        <v>0.92</v>
      </c>
      <c r="AF261">
        <f>_xlfn.XLOOKUP(Table1820[[#This Row],[Vehicle Price]],Table6[Vehicle Price],Table6[Vehicle Price Factor])</f>
        <v>2.87</v>
      </c>
      <c r="AG261">
        <f>_xlfn.XLOOKUP(Table1820[[#This Row],[Exotic Car]],Table7[Exotic Car],Table7[Exotic Car Factor],,0)</f>
        <v>1</v>
      </c>
      <c r="AH261">
        <f>_xlfn.XLOOKUP(Table1820[[#This Row],[Difficult Parts]],Table8[Difficult Parts],Table8[Difficult Parts Factor],,0)</f>
        <v>1.21</v>
      </c>
      <c r="AI261">
        <f>_xlfn.XLOOKUP(Table1820[[#This Row],[High Theft Rate]],Table9[High Theft Rate],Table9[High Theft Rate Factor],,0)</f>
        <v>1</v>
      </c>
      <c r="AJ261">
        <f>_xlfn.XLOOKUP(Table1820[[#This Row],[Advanced Safety Features]],Table10[Advanced Safety Features],Table10[Advanced Safety Features Factor],,0)</f>
        <v>1</v>
      </c>
      <c r="AK261">
        <f>_xlfn.XLOOKUP(Table1820[[#This Row],[Deductible]],Table12[Deductible],Table12[Deductible Factor],,0)</f>
        <v>1</v>
      </c>
      <c r="AL261">
        <f>_xlfn.XLOOKUP(Table1820[[#This Row],[Coverage Limit]],Table13[Coverage Limit],Table13[Coverage Limit Factor],,0)</f>
        <v>0.61</v>
      </c>
      <c r="AM261">
        <f>IF(Table1820[[#This Row],[Good Student Discount]]="Yes",'Rate Book'!$D$126,1)</f>
        <v>1</v>
      </c>
      <c r="AN261">
        <f>IF(Table1820[[#This Row],[Good Driver Discount]]="Yes",'Rate Book'!$D$127,1)</f>
        <v>0.89</v>
      </c>
      <c r="AO261">
        <f>IF(Table1820[[#This Row],[Multi Policy Discount]]="Yes",'Rate Book'!$D$128,1)</f>
        <v>0.93</v>
      </c>
      <c r="AP261">
        <f>IF(Table1820[[#This Row],[Loyal Customer Discount]]="Yes",'Rate Book'!$D$129,1)</f>
        <v>1</v>
      </c>
      <c r="AQ261">
        <f>IF(Table1820[[#This Row],[Organization Discount]]="Yes",'Rate Book'!$D$130,1)</f>
        <v>1</v>
      </c>
      <c r="AR261" cm="1">
        <f t="array" ref="AR261">IF(Table1820[[#This Row],[Effective Date]]&gt;=RateChangeTable[Effective Date],RateChangeTable[Rate Change Factor],1)</f>
        <v>1</v>
      </c>
      <c r="AS261" s="10">
        <f>PRODUCT(Table1820[[#This Row],[Base Rate]:[Rate Change Factor]])</f>
        <v>3012.3850598900472</v>
      </c>
      <c r="AT261" s="9">
        <f>Table1820[[#This Row],[System-Generated Premium]]-Table1820[[#This Row],[Expected Premium]]</f>
        <v>0</v>
      </c>
      <c r="AU261" t="str">
        <f>IF(Table1820[[#This Row],[Difference]]=0,"PASS","FAIL")</f>
        <v>PASS</v>
      </c>
      <c r="AV261" s="9">
        <f>ABS(Table1820[[#This Row],[Difference]])</f>
        <v>0</v>
      </c>
      <c r="AW261" s="9" t="s">
        <v>1136</v>
      </c>
    </row>
    <row r="262" spans="1:49" x14ac:dyDescent="0.3">
      <c r="A262" t="s">
        <v>353</v>
      </c>
      <c r="B262" s="7">
        <v>45807</v>
      </c>
      <c r="C262" t="s">
        <v>74</v>
      </c>
      <c r="D262" t="s">
        <v>1097</v>
      </c>
      <c r="E262" s="3">
        <v>7</v>
      </c>
      <c r="F262" s="3">
        <v>0</v>
      </c>
      <c r="G262" t="s">
        <v>10</v>
      </c>
      <c r="H262" t="s">
        <v>1110</v>
      </c>
      <c r="I262" t="s">
        <v>44</v>
      </c>
      <c r="J262" t="s">
        <v>48</v>
      </c>
      <c r="K262" t="s">
        <v>10</v>
      </c>
      <c r="L262" t="s">
        <v>10</v>
      </c>
      <c r="M262" t="s">
        <v>57</v>
      </c>
      <c r="N262" t="s">
        <v>57</v>
      </c>
      <c r="O262" t="str">
        <f>INDEX(CoverageTable[Deductible Applies],MATCH(Table1820[[#This Row],[Coverage]],CoverageTable[Coverage],0))</f>
        <v>No</v>
      </c>
      <c r="P262" t="str">
        <f>INDEX(CoverageTable[Coverage Limit Applies],MATCH(Table1820[[#This Row],[Coverage]],CoverageTable[Coverage],0))</f>
        <v>Yes</v>
      </c>
      <c r="Q262" t="s">
        <v>10</v>
      </c>
      <c r="R262" t="s">
        <v>78</v>
      </c>
      <c r="S262" t="s">
        <v>10</v>
      </c>
      <c r="T262" t="s">
        <v>10</v>
      </c>
      <c r="U262" t="s">
        <v>10</v>
      </c>
      <c r="V262" t="s">
        <v>57</v>
      </c>
      <c r="W262" t="s">
        <v>57</v>
      </c>
      <c r="X262" s="11">
        <v>36.374297519022186</v>
      </c>
      <c r="Y262">
        <f>_xlfn.XLOOKUP(Table1820[[#This Row],[Coverage]],CoverageTable[Coverage],CoverageTable[Base Rate],,0)</f>
        <v>41</v>
      </c>
      <c r="Z262">
        <f>INDEX(Table16[Ageband Factor],MATCH(Table1820[[#This Row],[Ageband]],Table16[Ageband],0))</f>
        <v>1.32</v>
      </c>
      <c r="AA262">
        <f>VLOOKUP(Table1820[[#This Row],[Years Driving]],Table1[],2)</f>
        <v>0.95</v>
      </c>
      <c r="AB262">
        <f>_xlfn.XLOOKUP(Table1820[[#This Row],[At Fault Accidents]],Table2[At Fault Accidents],Table2[At Fault Accident Factor],,0)</f>
        <v>1</v>
      </c>
      <c r="AC262">
        <f>_xlfn.XLOOKUP(Table1820[[#This Row],[Usage-Based Insurance]],Table3[Usage-Based Insurance],Table3[Usage-Based Insurance Discount],,0)</f>
        <v>1</v>
      </c>
      <c r="AD262">
        <f>_xlfn.XLOOKUP(Table1820[[#This Row],[Yearly Miles]],Table4[Yearly Miles],Table4[Yearly Miles Factor],,0)</f>
        <v>1.31</v>
      </c>
      <c r="AE262">
        <f>_xlfn.XLOOKUP(Table1820[[#This Row],[City/Zip Code]],Table5[City/Zip Code],Table5[City/Zip Code Factor],,0)</f>
        <v>1.1599999999999999</v>
      </c>
      <c r="AF262">
        <f>_xlfn.XLOOKUP(Table1820[[#This Row],[Vehicle Price]],Table6[Vehicle Price],Table6[Vehicle Price Factor])</f>
        <v>0.82</v>
      </c>
      <c r="AG262">
        <f>_xlfn.XLOOKUP(Table1820[[#This Row],[Exotic Car]],Table7[Exotic Car],Table7[Exotic Car Factor],,0)</f>
        <v>1</v>
      </c>
      <c r="AH262">
        <f>_xlfn.XLOOKUP(Table1820[[#This Row],[Difficult Parts]],Table8[Difficult Parts],Table8[Difficult Parts Factor],,0)</f>
        <v>1</v>
      </c>
      <c r="AI262">
        <f>_xlfn.XLOOKUP(Table1820[[#This Row],[High Theft Rate]],Table9[High Theft Rate],Table9[High Theft Rate Factor],,0)</f>
        <v>1.1599999999999999</v>
      </c>
      <c r="AJ262">
        <f>_xlfn.XLOOKUP(Table1820[[#This Row],[Advanced Safety Features]],Table10[Advanced Safety Features],Table10[Advanced Safety Features Factor],,0)</f>
        <v>0.88</v>
      </c>
      <c r="AK262">
        <f>_xlfn.XLOOKUP(Table1820[[#This Row],[Deductible]],Table12[Deductible],Table12[Deductible Factor],,0)</f>
        <v>1</v>
      </c>
      <c r="AL262">
        <f>_xlfn.XLOOKUP(Table1820[[#This Row],[Coverage Limit]],Table13[Coverage Limit],Table13[Coverage Limit Factor],,0)</f>
        <v>0.61</v>
      </c>
      <c r="AM262">
        <f>IF(Table1820[[#This Row],[Good Student Discount]]="Yes",'Rate Book'!$D$126,1)</f>
        <v>1</v>
      </c>
      <c r="AN262">
        <f>IF(Table1820[[#This Row],[Good Driver Discount]]="Yes",'Rate Book'!$D$127,1)</f>
        <v>1</v>
      </c>
      <c r="AO262">
        <f>IF(Table1820[[#This Row],[Multi Policy Discount]]="Yes",'Rate Book'!$D$128,1)</f>
        <v>1</v>
      </c>
      <c r="AP262">
        <f>IF(Table1820[[#This Row],[Loyal Customer Discount]]="Yes",'Rate Book'!$D$129,1)</f>
        <v>0.94</v>
      </c>
      <c r="AQ262">
        <f>IF(Table1820[[#This Row],[Organization Discount]]="Yes",'Rate Book'!$D$130,1)</f>
        <v>0.97</v>
      </c>
      <c r="AR262" cm="1">
        <f t="array" ref="AR262">IF(Table1820[[#This Row],[Effective Date]]&gt;=RateChangeTable[Effective Date],RateChangeTable[Rate Change Factor],1)</f>
        <v>1</v>
      </c>
      <c r="AS262" s="10">
        <f>PRODUCT(Table1820[[#This Row],[Base Rate]:[Rate Change Factor]])</f>
        <v>36.374297519022186</v>
      </c>
      <c r="AT262" s="9">
        <f>Table1820[[#This Row],[System-Generated Premium]]-Table1820[[#This Row],[Expected Premium]]</f>
        <v>0</v>
      </c>
      <c r="AU262" t="str">
        <f>IF(Table1820[[#This Row],[Difference]]=0,"PASS","FAIL")</f>
        <v>PASS</v>
      </c>
      <c r="AV262" s="9">
        <f>ABS(Table1820[[#This Row],[Difference]])</f>
        <v>0</v>
      </c>
      <c r="AW262" s="9" t="s">
        <v>1136</v>
      </c>
    </row>
    <row r="263" spans="1:49" x14ac:dyDescent="0.3">
      <c r="A263" t="s">
        <v>354</v>
      </c>
      <c r="B263" s="7">
        <v>46095</v>
      </c>
      <c r="C263" t="s">
        <v>73</v>
      </c>
      <c r="D263" t="s">
        <v>1099</v>
      </c>
      <c r="E263" s="3">
        <v>3</v>
      </c>
      <c r="F263" s="3">
        <v>1</v>
      </c>
      <c r="G263" t="s">
        <v>10</v>
      </c>
      <c r="H263" t="s">
        <v>1106</v>
      </c>
      <c r="I263" t="s">
        <v>40</v>
      </c>
      <c r="J263" t="s">
        <v>51</v>
      </c>
      <c r="K263" t="s">
        <v>10</v>
      </c>
      <c r="L263" t="s">
        <v>10</v>
      </c>
      <c r="M263" t="s">
        <v>10</v>
      </c>
      <c r="N263" t="s">
        <v>57</v>
      </c>
      <c r="O263" t="str">
        <f>INDEX(CoverageTable[Deductible Applies],MATCH(Table1820[[#This Row],[Coverage]],CoverageTable[Coverage],0))</f>
        <v>No</v>
      </c>
      <c r="P263" t="str">
        <f>INDEX(CoverageTable[Coverage Limit Applies],MATCH(Table1820[[#This Row],[Coverage]],CoverageTable[Coverage],0))</f>
        <v>Yes</v>
      </c>
      <c r="Q263" t="s">
        <v>10</v>
      </c>
      <c r="R263" t="s">
        <v>79</v>
      </c>
      <c r="S263" t="s">
        <v>10</v>
      </c>
      <c r="T263" t="s">
        <v>10</v>
      </c>
      <c r="U263" t="s">
        <v>10</v>
      </c>
      <c r="V263" t="s">
        <v>10</v>
      </c>
      <c r="W263" t="s">
        <v>10</v>
      </c>
      <c r="X263" s="11">
        <v>97.978454698858897</v>
      </c>
      <c r="Y263">
        <f>_xlfn.XLOOKUP(Table1820[[#This Row],[Coverage]],CoverageTable[Coverage],CoverageTable[Base Rate],,0)</f>
        <v>78</v>
      </c>
      <c r="Z263">
        <f>INDEX(Table16[Ageband Factor],MATCH(Table1820[[#This Row],[Ageband]],Table16[Ageband],0))</f>
        <v>1</v>
      </c>
      <c r="AA263">
        <f>VLOOKUP(Table1820[[#This Row],[Years Driving]],Table1[],2)</f>
        <v>1.22</v>
      </c>
      <c r="AB263">
        <f>_xlfn.XLOOKUP(Table1820[[#This Row],[At Fault Accidents]],Table2[At Fault Accidents],Table2[At Fault Accident Factor],,0)</f>
        <v>1.34</v>
      </c>
      <c r="AC263">
        <f>_xlfn.XLOOKUP(Table1820[[#This Row],[Usage-Based Insurance]],Table3[Usage-Based Insurance],Table3[Usage-Based Insurance Discount],,0)</f>
        <v>1</v>
      </c>
      <c r="AD263">
        <f>_xlfn.XLOOKUP(Table1820[[#This Row],[Yearly Miles]],Table4[Yearly Miles],Table4[Yearly Miles Factor],,0)</f>
        <v>0.82</v>
      </c>
      <c r="AE263">
        <f>_xlfn.XLOOKUP(Table1820[[#This Row],[City/Zip Code]],Table5[City/Zip Code],Table5[City/Zip Code Factor],,0)</f>
        <v>1.0900000000000001</v>
      </c>
      <c r="AF263">
        <f>_xlfn.XLOOKUP(Table1820[[#This Row],[Vehicle Price]],Table6[Vehicle Price],Table6[Vehicle Price Factor])</f>
        <v>1.28</v>
      </c>
      <c r="AG263">
        <f>_xlfn.XLOOKUP(Table1820[[#This Row],[Exotic Car]],Table7[Exotic Car],Table7[Exotic Car Factor],,0)</f>
        <v>1</v>
      </c>
      <c r="AH263">
        <f>_xlfn.XLOOKUP(Table1820[[#This Row],[Difficult Parts]],Table8[Difficult Parts],Table8[Difficult Parts Factor],,0)</f>
        <v>1</v>
      </c>
      <c r="AI263">
        <f>_xlfn.XLOOKUP(Table1820[[#This Row],[High Theft Rate]],Table9[High Theft Rate],Table9[High Theft Rate Factor],,0)</f>
        <v>1</v>
      </c>
      <c r="AJ263">
        <f>_xlfn.XLOOKUP(Table1820[[#This Row],[Advanced Safety Features]],Table10[Advanced Safety Features],Table10[Advanced Safety Features Factor],,0)</f>
        <v>0.88</v>
      </c>
      <c r="AK263">
        <f>_xlfn.XLOOKUP(Table1820[[#This Row],[Deductible]],Table12[Deductible],Table12[Deductible Factor],,0)</f>
        <v>1</v>
      </c>
      <c r="AL263">
        <f>_xlfn.XLOOKUP(Table1820[[#This Row],[Coverage Limit]],Table13[Coverage Limit],Table13[Coverage Limit Factor],,0)</f>
        <v>0.72</v>
      </c>
      <c r="AM263">
        <f>IF(Table1820[[#This Row],[Good Student Discount]]="Yes",'Rate Book'!$D$126,1)</f>
        <v>1</v>
      </c>
      <c r="AN263">
        <f>IF(Table1820[[#This Row],[Good Driver Discount]]="Yes",'Rate Book'!$D$127,1)</f>
        <v>1</v>
      </c>
      <c r="AO263">
        <f>IF(Table1820[[#This Row],[Multi Policy Discount]]="Yes",'Rate Book'!$D$128,1)</f>
        <v>1</v>
      </c>
      <c r="AP263">
        <f>IF(Table1820[[#This Row],[Loyal Customer Discount]]="Yes",'Rate Book'!$D$129,1)</f>
        <v>1</v>
      </c>
      <c r="AQ263">
        <f>IF(Table1820[[#This Row],[Organization Discount]]="Yes",'Rate Book'!$D$130,1)</f>
        <v>1</v>
      </c>
      <c r="AR263" cm="1">
        <f t="array" ref="AR263">IF(Table1820[[#This Row],[Effective Date]]&gt;=RateChangeTable[Effective Date],RateChangeTable[Rate Change Factor],1)</f>
        <v>1.06</v>
      </c>
      <c r="AS263" s="10">
        <f>PRODUCT(Table1820[[#This Row],[Base Rate]:[Rate Change Factor]])</f>
        <v>97.978454698858897</v>
      </c>
      <c r="AT263" s="9">
        <f>Table1820[[#This Row],[System-Generated Premium]]-Table1820[[#This Row],[Expected Premium]]</f>
        <v>0</v>
      </c>
      <c r="AU263" t="str">
        <f>IF(Table1820[[#This Row],[Difference]]=0,"PASS","FAIL")</f>
        <v>PASS</v>
      </c>
      <c r="AV263" s="9">
        <f>ABS(Table1820[[#This Row],[Difference]])</f>
        <v>0</v>
      </c>
      <c r="AW263" s="9" t="s">
        <v>1136</v>
      </c>
    </row>
    <row r="264" spans="1:49" x14ac:dyDescent="0.3">
      <c r="A264" t="s">
        <v>355</v>
      </c>
      <c r="B264" s="7">
        <v>45794</v>
      </c>
      <c r="C264" t="s">
        <v>73</v>
      </c>
      <c r="D264" t="s">
        <v>1098</v>
      </c>
      <c r="E264" s="3">
        <v>2</v>
      </c>
      <c r="F264" s="3">
        <v>2</v>
      </c>
      <c r="G264" t="s">
        <v>11</v>
      </c>
      <c r="H264" t="s">
        <v>1106</v>
      </c>
      <c r="I264" t="s">
        <v>31</v>
      </c>
      <c r="J264" t="s">
        <v>49</v>
      </c>
      <c r="K264" t="s">
        <v>10</v>
      </c>
      <c r="L264" t="s">
        <v>10</v>
      </c>
      <c r="M264" t="s">
        <v>10</v>
      </c>
      <c r="N264" t="s">
        <v>57</v>
      </c>
      <c r="O264" t="str">
        <f>INDEX(CoverageTable[Deductible Applies],MATCH(Table1820[[#This Row],[Coverage]],CoverageTable[Coverage],0))</f>
        <v>No</v>
      </c>
      <c r="P264" t="str">
        <f>INDEX(CoverageTable[Coverage Limit Applies],MATCH(Table1820[[#This Row],[Coverage]],CoverageTable[Coverage],0))</f>
        <v>Yes</v>
      </c>
      <c r="Q264" t="s">
        <v>10</v>
      </c>
      <c r="R264" t="s">
        <v>78</v>
      </c>
      <c r="S264" t="s">
        <v>10</v>
      </c>
      <c r="T264" t="s">
        <v>57</v>
      </c>
      <c r="U264" t="s">
        <v>57</v>
      </c>
      <c r="V264" t="s">
        <v>10</v>
      </c>
      <c r="W264" t="s">
        <v>10</v>
      </c>
      <c r="X264" s="11">
        <v>78.139055611989917</v>
      </c>
      <c r="Y264">
        <f>_xlfn.XLOOKUP(Table1820[[#This Row],[Coverage]],CoverageTable[Coverage],CoverageTable[Base Rate],,0)</f>
        <v>78</v>
      </c>
      <c r="Z264">
        <f>INDEX(Table16[Ageband Factor],MATCH(Table1820[[#This Row],[Ageband]],Table16[Ageband],0))</f>
        <v>1.23</v>
      </c>
      <c r="AA264">
        <f>VLOOKUP(Table1820[[#This Row],[Years Driving]],Table1[],2)</f>
        <v>1.41</v>
      </c>
      <c r="AB264">
        <f>_xlfn.XLOOKUP(Table1820[[#This Row],[At Fault Accidents]],Table2[At Fault Accidents],Table2[At Fault Accident Factor],,0)</f>
        <v>1.55</v>
      </c>
      <c r="AC264">
        <f>_xlfn.XLOOKUP(Table1820[[#This Row],[Usage-Based Insurance]],Table3[Usage-Based Insurance],Table3[Usage-Based Insurance Discount],,0)</f>
        <v>0.95</v>
      </c>
      <c r="AD264">
        <f>_xlfn.XLOOKUP(Table1820[[#This Row],[Yearly Miles]],Table4[Yearly Miles],Table4[Yearly Miles Factor],,0)</f>
        <v>0.82</v>
      </c>
      <c r="AE264">
        <f>_xlfn.XLOOKUP(Table1820[[#This Row],[City/Zip Code]],Table5[City/Zip Code],Table5[City/Zip Code Factor],,0)</f>
        <v>1.1100000000000001</v>
      </c>
      <c r="AF264">
        <f>_xlfn.XLOOKUP(Table1820[[#This Row],[Vehicle Price]],Table6[Vehicle Price],Table6[Vehicle Price Factor])</f>
        <v>0.97</v>
      </c>
      <c r="AG264">
        <f>_xlfn.XLOOKUP(Table1820[[#This Row],[Exotic Car]],Table7[Exotic Car],Table7[Exotic Car Factor],,0)</f>
        <v>1</v>
      </c>
      <c r="AH264">
        <f>_xlfn.XLOOKUP(Table1820[[#This Row],[Difficult Parts]],Table8[Difficult Parts],Table8[Difficult Parts Factor],,0)</f>
        <v>1</v>
      </c>
      <c r="AI264">
        <f>_xlfn.XLOOKUP(Table1820[[#This Row],[High Theft Rate]],Table9[High Theft Rate],Table9[High Theft Rate Factor],,0)</f>
        <v>1</v>
      </c>
      <c r="AJ264">
        <f>_xlfn.XLOOKUP(Table1820[[#This Row],[Advanced Safety Features]],Table10[Advanced Safety Features],Table10[Advanced Safety Features Factor],,0)</f>
        <v>0.88</v>
      </c>
      <c r="AK264">
        <f>_xlfn.XLOOKUP(Table1820[[#This Row],[Deductible]],Table12[Deductible],Table12[Deductible Factor],,0)</f>
        <v>1</v>
      </c>
      <c r="AL264">
        <f>_xlfn.XLOOKUP(Table1820[[#This Row],[Coverage Limit]],Table13[Coverage Limit],Table13[Coverage Limit Factor],,0)</f>
        <v>0.61</v>
      </c>
      <c r="AM264">
        <f>IF(Table1820[[#This Row],[Good Student Discount]]="Yes",'Rate Book'!$D$126,1)</f>
        <v>1</v>
      </c>
      <c r="AN264">
        <f>IF(Table1820[[#This Row],[Good Driver Discount]]="Yes",'Rate Book'!$D$127,1)</f>
        <v>0.89</v>
      </c>
      <c r="AO264">
        <f>IF(Table1820[[#This Row],[Multi Policy Discount]]="Yes",'Rate Book'!$D$128,1)</f>
        <v>0.93</v>
      </c>
      <c r="AP264">
        <f>IF(Table1820[[#This Row],[Loyal Customer Discount]]="Yes",'Rate Book'!$D$129,1)</f>
        <v>1</v>
      </c>
      <c r="AQ264">
        <f>IF(Table1820[[#This Row],[Organization Discount]]="Yes",'Rate Book'!$D$130,1)</f>
        <v>1</v>
      </c>
      <c r="AR264" cm="1">
        <f t="array" ref="AR264">IF(Table1820[[#This Row],[Effective Date]]&gt;=RateChangeTable[Effective Date],RateChangeTable[Rate Change Factor],1)</f>
        <v>1</v>
      </c>
      <c r="AS264" s="10">
        <f>PRODUCT(Table1820[[#This Row],[Base Rate]:[Rate Change Factor]])</f>
        <v>78.139055611989917</v>
      </c>
      <c r="AT264" s="9">
        <f>Table1820[[#This Row],[System-Generated Premium]]-Table1820[[#This Row],[Expected Premium]]</f>
        <v>0</v>
      </c>
      <c r="AU264" t="str">
        <f>IF(Table1820[[#This Row],[Difference]]=0,"PASS","FAIL")</f>
        <v>PASS</v>
      </c>
      <c r="AV264" s="9">
        <f>ABS(Table1820[[#This Row],[Difference]])</f>
        <v>0</v>
      </c>
      <c r="AW264" s="9" t="s">
        <v>1136</v>
      </c>
    </row>
    <row r="265" spans="1:49" x14ac:dyDescent="0.3">
      <c r="A265" t="s">
        <v>356</v>
      </c>
      <c r="B265" s="7">
        <v>45852</v>
      </c>
      <c r="C265" t="s">
        <v>70</v>
      </c>
      <c r="D265" t="s">
        <v>1097</v>
      </c>
      <c r="E265" s="3">
        <v>5</v>
      </c>
      <c r="F265" s="3">
        <v>3</v>
      </c>
      <c r="G265" t="s">
        <v>10</v>
      </c>
      <c r="H265" t="s">
        <v>1110</v>
      </c>
      <c r="I265" t="s">
        <v>32</v>
      </c>
      <c r="J265" t="s">
        <v>54</v>
      </c>
      <c r="K265" t="s">
        <v>10</v>
      </c>
      <c r="L265" t="s">
        <v>10</v>
      </c>
      <c r="M265" t="s">
        <v>10</v>
      </c>
      <c r="N265" t="s">
        <v>10</v>
      </c>
      <c r="O265" t="str">
        <f>INDEX(CoverageTable[Deductible Applies],MATCH(Table1820[[#This Row],[Coverage]],CoverageTable[Coverage],0))</f>
        <v>No</v>
      </c>
      <c r="P265" t="str">
        <f>INDEX(CoverageTable[Coverage Limit Applies],MATCH(Table1820[[#This Row],[Coverage]],CoverageTable[Coverage],0))</f>
        <v>Yes</v>
      </c>
      <c r="Q265" t="s">
        <v>10</v>
      </c>
      <c r="R265" t="s">
        <v>80</v>
      </c>
      <c r="S265" t="s">
        <v>10</v>
      </c>
      <c r="T265" t="s">
        <v>57</v>
      </c>
      <c r="U265" t="s">
        <v>57</v>
      </c>
      <c r="V265" t="s">
        <v>10</v>
      </c>
      <c r="W265" t="s">
        <v>10</v>
      </c>
      <c r="X265" s="11">
        <v>4681.0463124325343</v>
      </c>
      <c r="Y265">
        <f>_xlfn.XLOOKUP(Table1820[[#This Row],[Coverage]],CoverageTable[Coverage],CoverageTable[Base Rate],,0)</f>
        <v>622</v>
      </c>
      <c r="Z265">
        <f>INDEX(Table16[Ageband Factor],MATCH(Table1820[[#This Row],[Ageband]],Table16[Ageband],0))</f>
        <v>1.32</v>
      </c>
      <c r="AA265">
        <f>VLOOKUP(Table1820[[#This Row],[Years Driving]],Table1[],2)</f>
        <v>1.07</v>
      </c>
      <c r="AB265">
        <f>_xlfn.XLOOKUP(Table1820[[#This Row],[At Fault Accidents]],Table2[At Fault Accidents],Table2[At Fault Accident Factor],,0)</f>
        <v>1.82</v>
      </c>
      <c r="AC265">
        <f>_xlfn.XLOOKUP(Table1820[[#This Row],[Usage-Based Insurance]],Table3[Usage-Based Insurance],Table3[Usage-Based Insurance Discount],,0)</f>
        <v>1</v>
      </c>
      <c r="AD265">
        <f>_xlfn.XLOOKUP(Table1820[[#This Row],[Yearly Miles]],Table4[Yearly Miles],Table4[Yearly Miles Factor],,0)</f>
        <v>1.31</v>
      </c>
      <c r="AE265">
        <f>_xlfn.XLOOKUP(Table1820[[#This Row],[City/Zip Code]],Table5[City/Zip Code],Table5[City/Zip Code Factor],,0)</f>
        <v>1.1200000000000001</v>
      </c>
      <c r="AF265">
        <f>_xlfn.XLOOKUP(Table1820[[#This Row],[Vehicle Price]],Table6[Vehicle Price],Table6[Vehicle Price Factor])</f>
        <v>2.87</v>
      </c>
      <c r="AG265">
        <f>_xlfn.XLOOKUP(Table1820[[#This Row],[Exotic Car]],Table7[Exotic Car],Table7[Exotic Car Factor],,0)</f>
        <v>1</v>
      </c>
      <c r="AH265">
        <f>_xlfn.XLOOKUP(Table1820[[#This Row],[Difficult Parts]],Table8[Difficult Parts],Table8[Difficult Parts Factor],,0)</f>
        <v>1</v>
      </c>
      <c r="AI265">
        <f>_xlfn.XLOOKUP(Table1820[[#This Row],[High Theft Rate]],Table9[High Theft Rate],Table9[High Theft Rate Factor],,0)</f>
        <v>1</v>
      </c>
      <c r="AJ265">
        <f>_xlfn.XLOOKUP(Table1820[[#This Row],[Advanced Safety Features]],Table10[Advanced Safety Features],Table10[Advanced Safety Features Factor],,0)</f>
        <v>1</v>
      </c>
      <c r="AK265">
        <f>_xlfn.XLOOKUP(Table1820[[#This Row],[Deductible]],Table12[Deductible],Table12[Deductible Factor],,0)</f>
        <v>1</v>
      </c>
      <c r="AL265">
        <f>_xlfn.XLOOKUP(Table1820[[#This Row],[Coverage Limit]],Table13[Coverage Limit],Table13[Coverage Limit Factor],,0)</f>
        <v>0.84</v>
      </c>
      <c r="AM265">
        <f>IF(Table1820[[#This Row],[Good Student Discount]]="Yes",'Rate Book'!$D$126,1)</f>
        <v>1</v>
      </c>
      <c r="AN265">
        <f>IF(Table1820[[#This Row],[Good Driver Discount]]="Yes",'Rate Book'!$D$127,1)</f>
        <v>0.89</v>
      </c>
      <c r="AO265">
        <f>IF(Table1820[[#This Row],[Multi Policy Discount]]="Yes",'Rate Book'!$D$128,1)</f>
        <v>0.93</v>
      </c>
      <c r="AP265">
        <f>IF(Table1820[[#This Row],[Loyal Customer Discount]]="Yes",'Rate Book'!$D$129,1)</f>
        <v>1</v>
      </c>
      <c r="AQ265">
        <f>IF(Table1820[[#This Row],[Organization Discount]]="Yes",'Rate Book'!$D$130,1)</f>
        <v>1</v>
      </c>
      <c r="AR265" cm="1">
        <f t="array" ref="AR265">IF(Table1820[[#This Row],[Effective Date]]&gt;=RateChangeTable[Effective Date],RateChangeTable[Rate Change Factor],1)</f>
        <v>1</v>
      </c>
      <c r="AS265" s="10">
        <f>PRODUCT(Table1820[[#This Row],[Base Rate]:[Rate Change Factor]])</f>
        <v>4681.0463124325343</v>
      </c>
      <c r="AT265" s="9">
        <f>Table1820[[#This Row],[System-Generated Premium]]-Table1820[[#This Row],[Expected Premium]]</f>
        <v>0</v>
      </c>
      <c r="AU265" t="str">
        <f>IF(Table1820[[#This Row],[Difference]]=0,"PASS","FAIL")</f>
        <v>PASS</v>
      </c>
      <c r="AV265" s="9">
        <f>ABS(Table1820[[#This Row],[Difference]])</f>
        <v>0</v>
      </c>
      <c r="AW265" s="9" t="s">
        <v>1136</v>
      </c>
    </row>
    <row r="266" spans="1:49" x14ac:dyDescent="0.3">
      <c r="A266" t="s">
        <v>357</v>
      </c>
      <c r="B266" s="7">
        <v>46129</v>
      </c>
      <c r="C266" t="s">
        <v>70</v>
      </c>
      <c r="D266" t="s">
        <v>1099</v>
      </c>
      <c r="E266" s="3">
        <v>7</v>
      </c>
      <c r="F266" s="3">
        <v>1</v>
      </c>
      <c r="G266" t="s">
        <v>13</v>
      </c>
      <c r="H266" t="s">
        <v>1109</v>
      </c>
      <c r="I266" t="s">
        <v>37</v>
      </c>
      <c r="J266" t="s">
        <v>53</v>
      </c>
      <c r="K266" t="s">
        <v>10</v>
      </c>
      <c r="L266" t="s">
        <v>10</v>
      </c>
      <c r="M266" t="s">
        <v>10</v>
      </c>
      <c r="N266" t="s">
        <v>10</v>
      </c>
      <c r="O266" t="str">
        <f>INDEX(CoverageTable[Deductible Applies],MATCH(Table1820[[#This Row],[Coverage]],CoverageTable[Coverage],0))</f>
        <v>No</v>
      </c>
      <c r="P266" t="str">
        <f>INDEX(CoverageTable[Coverage Limit Applies],MATCH(Table1820[[#This Row],[Coverage]],CoverageTable[Coverage],0))</f>
        <v>Yes</v>
      </c>
      <c r="Q266" t="s">
        <v>10</v>
      </c>
      <c r="R266" t="s">
        <v>79</v>
      </c>
      <c r="S266" t="s">
        <v>10</v>
      </c>
      <c r="T266" t="s">
        <v>57</v>
      </c>
      <c r="U266" t="s">
        <v>10</v>
      </c>
      <c r="V266" t="s">
        <v>10</v>
      </c>
      <c r="W266" t="s">
        <v>10</v>
      </c>
      <c r="X266" s="11">
        <v>908.28133166720181</v>
      </c>
      <c r="Y266">
        <f>_xlfn.XLOOKUP(Table1820[[#This Row],[Coverage]],CoverageTable[Coverage],CoverageTable[Base Rate],,0)</f>
        <v>622</v>
      </c>
      <c r="Z266">
        <f>INDEX(Table16[Ageband Factor],MATCH(Table1820[[#This Row],[Ageband]],Table16[Ageband],0))</f>
        <v>1</v>
      </c>
      <c r="AA266">
        <f>VLOOKUP(Table1820[[#This Row],[Years Driving]],Table1[],2)</f>
        <v>0.95</v>
      </c>
      <c r="AB266">
        <f>_xlfn.XLOOKUP(Table1820[[#This Row],[At Fault Accidents]],Table2[At Fault Accidents],Table2[At Fault Accident Factor],,0)</f>
        <v>1.34</v>
      </c>
      <c r="AC266">
        <f>_xlfn.XLOOKUP(Table1820[[#This Row],[Usage-Based Insurance]],Table3[Usage-Based Insurance],Table3[Usage-Based Insurance Discount],,0)</f>
        <v>0.65</v>
      </c>
      <c r="AD266">
        <f>_xlfn.XLOOKUP(Table1820[[#This Row],[Yearly Miles]],Table4[Yearly Miles],Table4[Yearly Miles Factor],,0)</f>
        <v>1.18</v>
      </c>
      <c r="AE266">
        <f>_xlfn.XLOOKUP(Table1820[[#This Row],[City/Zip Code]],Table5[City/Zip Code],Table5[City/Zip Code Factor],,0)</f>
        <v>1.0900000000000001</v>
      </c>
      <c r="AF266">
        <f>_xlfn.XLOOKUP(Table1820[[#This Row],[Vehicle Price]],Table6[Vehicle Price],Table6[Vehicle Price Factor])</f>
        <v>2.02</v>
      </c>
      <c r="AG266">
        <f>_xlfn.XLOOKUP(Table1820[[#This Row],[Exotic Car]],Table7[Exotic Car],Table7[Exotic Car Factor],,0)</f>
        <v>1</v>
      </c>
      <c r="AH266">
        <f>_xlfn.XLOOKUP(Table1820[[#This Row],[Difficult Parts]],Table8[Difficult Parts],Table8[Difficult Parts Factor],,0)</f>
        <v>1</v>
      </c>
      <c r="AI266">
        <f>_xlfn.XLOOKUP(Table1820[[#This Row],[High Theft Rate]],Table9[High Theft Rate],Table9[High Theft Rate Factor],,0)</f>
        <v>1</v>
      </c>
      <c r="AJ266">
        <f>_xlfn.XLOOKUP(Table1820[[#This Row],[Advanced Safety Features]],Table10[Advanced Safety Features],Table10[Advanced Safety Features Factor],,0)</f>
        <v>1</v>
      </c>
      <c r="AK266">
        <f>_xlfn.XLOOKUP(Table1820[[#This Row],[Deductible]],Table12[Deductible],Table12[Deductible Factor],,0)</f>
        <v>1</v>
      </c>
      <c r="AL266">
        <f>_xlfn.XLOOKUP(Table1820[[#This Row],[Coverage Limit]],Table13[Coverage Limit],Table13[Coverage Limit Factor],,0)</f>
        <v>0.72</v>
      </c>
      <c r="AM266">
        <f>IF(Table1820[[#This Row],[Good Student Discount]]="Yes",'Rate Book'!$D$126,1)</f>
        <v>1</v>
      </c>
      <c r="AN266">
        <f>IF(Table1820[[#This Row],[Good Driver Discount]]="Yes",'Rate Book'!$D$127,1)</f>
        <v>0.89</v>
      </c>
      <c r="AO266">
        <f>IF(Table1820[[#This Row],[Multi Policy Discount]]="Yes",'Rate Book'!$D$128,1)</f>
        <v>1</v>
      </c>
      <c r="AP266">
        <f>IF(Table1820[[#This Row],[Loyal Customer Discount]]="Yes",'Rate Book'!$D$129,1)</f>
        <v>1</v>
      </c>
      <c r="AQ266">
        <f>IF(Table1820[[#This Row],[Organization Discount]]="Yes",'Rate Book'!$D$130,1)</f>
        <v>1</v>
      </c>
      <c r="AR266" cm="1">
        <f t="array" ref="AR266">IF(Table1820[[#This Row],[Effective Date]]&gt;=RateChangeTable[Effective Date],RateChangeTable[Rate Change Factor],1)</f>
        <v>1.06</v>
      </c>
      <c r="AS266" s="10">
        <f>PRODUCT(Table1820[[#This Row],[Base Rate]:[Rate Change Factor]])</f>
        <v>908.28133166720181</v>
      </c>
      <c r="AT266" s="9">
        <f>Table1820[[#This Row],[System-Generated Premium]]-Table1820[[#This Row],[Expected Premium]]</f>
        <v>0</v>
      </c>
      <c r="AU266" t="str">
        <f>IF(Table1820[[#This Row],[Difference]]=0,"PASS","FAIL")</f>
        <v>PASS</v>
      </c>
      <c r="AV266" s="9">
        <f>ABS(Table1820[[#This Row],[Difference]])</f>
        <v>0</v>
      </c>
      <c r="AW266" s="9" t="s">
        <v>1136</v>
      </c>
    </row>
    <row r="267" spans="1:49" x14ac:dyDescent="0.3">
      <c r="A267" t="s">
        <v>358</v>
      </c>
      <c r="B267" s="7">
        <v>45830</v>
      </c>
      <c r="C267" t="s">
        <v>72</v>
      </c>
      <c r="D267" t="s">
        <v>1101</v>
      </c>
      <c r="E267" s="3">
        <v>2</v>
      </c>
      <c r="F267" s="3">
        <v>4</v>
      </c>
      <c r="G267" t="s">
        <v>10</v>
      </c>
      <c r="H267" t="s">
        <v>1107</v>
      </c>
      <c r="I267" t="s">
        <v>36</v>
      </c>
      <c r="J267" t="s">
        <v>51</v>
      </c>
      <c r="K267" t="s">
        <v>10</v>
      </c>
      <c r="L267" t="s">
        <v>10</v>
      </c>
      <c r="M267" t="s">
        <v>10</v>
      </c>
      <c r="N267" t="s">
        <v>10</v>
      </c>
      <c r="O267" t="str">
        <f>INDEX(CoverageTable[Deductible Applies],MATCH(Table1820[[#This Row],[Coverage]],CoverageTable[Coverage],0))</f>
        <v>Yes</v>
      </c>
      <c r="P267" t="str">
        <f>INDEX(CoverageTable[Coverage Limit Applies],MATCH(Table1820[[#This Row],[Coverage]],CoverageTable[Coverage],0))</f>
        <v>No</v>
      </c>
      <c r="Q267" t="s">
        <v>79</v>
      </c>
      <c r="R267" t="s">
        <v>10</v>
      </c>
      <c r="S267" t="s">
        <v>10</v>
      </c>
      <c r="T267" t="s">
        <v>10</v>
      </c>
      <c r="U267" t="s">
        <v>10</v>
      </c>
      <c r="V267" t="s">
        <v>10</v>
      </c>
      <c r="W267" t="s">
        <v>10</v>
      </c>
      <c r="X267" s="11">
        <v>396.96904867479554</v>
      </c>
      <c r="Y267">
        <f>_xlfn.XLOOKUP(Table1820[[#This Row],[Coverage]],CoverageTable[Coverage],CoverageTable[Base Rate],,0)</f>
        <v>121</v>
      </c>
      <c r="Z267">
        <f>INDEX(Table16[Ageband Factor],MATCH(Table1820[[#This Row],[Ageband]],Table16[Ageband],0))</f>
        <v>1.1200000000000001</v>
      </c>
      <c r="AA267">
        <f>VLOOKUP(Table1820[[#This Row],[Years Driving]],Table1[],2)</f>
        <v>1.41</v>
      </c>
      <c r="AB267">
        <f>_xlfn.XLOOKUP(Table1820[[#This Row],[At Fault Accidents]],Table2[At Fault Accidents],Table2[At Fault Accident Factor],,0)</f>
        <v>2.12</v>
      </c>
      <c r="AC267">
        <f>_xlfn.XLOOKUP(Table1820[[#This Row],[Usage-Based Insurance]],Table3[Usage-Based Insurance],Table3[Usage-Based Insurance Discount],,0)</f>
        <v>1</v>
      </c>
      <c r="AD267">
        <f>_xlfn.XLOOKUP(Table1820[[#This Row],[Yearly Miles]],Table4[Yearly Miles],Table4[Yearly Miles Factor],,0)</f>
        <v>0.93</v>
      </c>
      <c r="AE267">
        <f>_xlfn.XLOOKUP(Table1820[[#This Row],[City/Zip Code]],Table5[City/Zip Code],Table5[City/Zip Code Factor],,0)</f>
        <v>0.98</v>
      </c>
      <c r="AF267">
        <f>_xlfn.XLOOKUP(Table1820[[#This Row],[Vehicle Price]],Table6[Vehicle Price],Table6[Vehicle Price Factor])</f>
        <v>1.28</v>
      </c>
      <c r="AG267">
        <f>_xlfn.XLOOKUP(Table1820[[#This Row],[Exotic Car]],Table7[Exotic Car],Table7[Exotic Car Factor],,0)</f>
        <v>1</v>
      </c>
      <c r="AH267">
        <f>_xlfn.XLOOKUP(Table1820[[#This Row],[Difficult Parts]],Table8[Difficult Parts],Table8[Difficult Parts Factor],,0)</f>
        <v>1</v>
      </c>
      <c r="AI267">
        <f>_xlfn.XLOOKUP(Table1820[[#This Row],[High Theft Rate]],Table9[High Theft Rate],Table9[High Theft Rate Factor],,0)</f>
        <v>1</v>
      </c>
      <c r="AJ267">
        <f>_xlfn.XLOOKUP(Table1820[[#This Row],[Advanced Safety Features]],Table10[Advanced Safety Features],Table10[Advanced Safety Features Factor],,0)</f>
        <v>1</v>
      </c>
      <c r="AK267">
        <f>_xlfn.XLOOKUP(Table1820[[#This Row],[Deductible]],Table12[Deductible],Table12[Deductible Factor],,0)</f>
        <v>0.84</v>
      </c>
      <c r="AL267">
        <f>_xlfn.XLOOKUP(Table1820[[#This Row],[Coverage Limit]],Table13[Coverage Limit],Table13[Coverage Limit Factor],,0)</f>
        <v>1</v>
      </c>
      <c r="AM267">
        <f>IF(Table1820[[#This Row],[Good Student Discount]]="Yes",'Rate Book'!$D$126,1)</f>
        <v>1</v>
      </c>
      <c r="AN267">
        <f>IF(Table1820[[#This Row],[Good Driver Discount]]="Yes",'Rate Book'!$D$127,1)</f>
        <v>1</v>
      </c>
      <c r="AO267">
        <f>IF(Table1820[[#This Row],[Multi Policy Discount]]="Yes",'Rate Book'!$D$128,1)</f>
        <v>1</v>
      </c>
      <c r="AP267">
        <f>IF(Table1820[[#This Row],[Loyal Customer Discount]]="Yes",'Rate Book'!$D$129,1)</f>
        <v>1</v>
      </c>
      <c r="AQ267">
        <f>IF(Table1820[[#This Row],[Organization Discount]]="Yes",'Rate Book'!$D$130,1)</f>
        <v>1</v>
      </c>
      <c r="AR267" cm="1">
        <f t="array" ref="AR267">IF(Table1820[[#This Row],[Effective Date]]&gt;=RateChangeTable[Effective Date],RateChangeTable[Rate Change Factor],1)</f>
        <v>1</v>
      </c>
      <c r="AS267" s="10">
        <f>PRODUCT(Table1820[[#This Row],[Base Rate]:[Rate Change Factor]])</f>
        <v>396.96904867479554</v>
      </c>
      <c r="AT267" s="9">
        <f>Table1820[[#This Row],[System-Generated Premium]]-Table1820[[#This Row],[Expected Premium]]</f>
        <v>0</v>
      </c>
      <c r="AU267" t="str">
        <f>IF(Table1820[[#This Row],[Difference]]=0,"PASS","FAIL")</f>
        <v>PASS</v>
      </c>
      <c r="AV267" s="9">
        <f>ABS(Table1820[[#This Row],[Difference]])</f>
        <v>0</v>
      </c>
      <c r="AW267" s="9" t="s">
        <v>1136</v>
      </c>
    </row>
    <row r="268" spans="1:49" x14ac:dyDescent="0.3">
      <c r="A268" t="s">
        <v>359</v>
      </c>
      <c r="B268" s="7">
        <v>45870</v>
      </c>
      <c r="C268" t="s">
        <v>72</v>
      </c>
      <c r="D268" t="s">
        <v>1098</v>
      </c>
      <c r="E268" s="3">
        <v>4</v>
      </c>
      <c r="F268" s="3">
        <v>0</v>
      </c>
      <c r="G268" t="s">
        <v>10</v>
      </c>
      <c r="H268" t="s">
        <v>1107</v>
      </c>
      <c r="I268" t="s">
        <v>33</v>
      </c>
      <c r="J268" t="s">
        <v>48</v>
      </c>
      <c r="K268" t="s">
        <v>10</v>
      </c>
      <c r="L268" t="s">
        <v>10</v>
      </c>
      <c r="M268" t="s">
        <v>10</v>
      </c>
      <c r="N268" t="s">
        <v>57</v>
      </c>
      <c r="O268" t="str">
        <f>INDEX(CoverageTable[Deductible Applies],MATCH(Table1820[[#This Row],[Coverage]],CoverageTable[Coverage],0))</f>
        <v>Yes</v>
      </c>
      <c r="P268" t="str">
        <f>INDEX(CoverageTable[Coverage Limit Applies],MATCH(Table1820[[#This Row],[Coverage]],CoverageTable[Coverage],0))</f>
        <v>No</v>
      </c>
      <c r="Q268" t="s">
        <v>80</v>
      </c>
      <c r="R268" t="s">
        <v>10</v>
      </c>
      <c r="S268" t="s">
        <v>10</v>
      </c>
      <c r="T268" t="s">
        <v>10</v>
      </c>
      <c r="U268" t="s">
        <v>10</v>
      </c>
      <c r="V268" t="s">
        <v>57</v>
      </c>
      <c r="W268" t="s">
        <v>10</v>
      </c>
      <c r="X268" s="11">
        <v>79.291807325888229</v>
      </c>
      <c r="Y268">
        <f>_xlfn.XLOOKUP(Table1820[[#This Row],[Coverage]],CoverageTable[Coverage],CoverageTable[Base Rate],,0)</f>
        <v>121</v>
      </c>
      <c r="Z268">
        <f>INDEX(Table16[Ageband Factor],MATCH(Table1820[[#This Row],[Ageband]],Table16[Ageband],0))</f>
        <v>1.23</v>
      </c>
      <c r="AA268">
        <f>VLOOKUP(Table1820[[#This Row],[Years Driving]],Table1[],2)</f>
        <v>1.1499999999999999</v>
      </c>
      <c r="AB268">
        <f>_xlfn.XLOOKUP(Table1820[[#This Row],[At Fault Accidents]],Table2[At Fault Accidents],Table2[At Fault Accident Factor],,0)</f>
        <v>1</v>
      </c>
      <c r="AC268">
        <f>_xlfn.XLOOKUP(Table1820[[#This Row],[Usage-Based Insurance]],Table3[Usage-Based Insurance],Table3[Usage-Based Insurance Discount],,0)</f>
        <v>1</v>
      </c>
      <c r="AD268">
        <f>_xlfn.XLOOKUP(Table1820[[#This Row],[Yearly Miles]],Table4[Yearly Miles],Table4[Yearly Miles Factor],,0)</f>
        <v>0.93</v>
      </c>
      <c r="AE268">
        <f>_xlfn.XLOOKUP(Table1820[[#This Row],[City/Zip Code]],Table5[City/Zip Code],Table5[City/Zip Code Factor],,0)</f>
        <v>1.02</v>
      </c>
      <c r="AF268">
        <f>_xlfn.XLOOKUP(Table1820[[#This Row],[Vehicle Price]],Table6[Vehicle Price],Table6[Vehicle Price Factor])</f>
        <v>0.82</v>
      </c>
      <c r="AG268">
        <f>_xlfn.XLOOKUP(Table1820[[#This Row],[Exotic Car]],Table7[Exotic Car],Table7[Exotic Car Factor],,0)</f>
        <v>1</v>
      </c>
      <c r="AH268">
        <f>_xlfn.XLOOKUP(Table1820[[#This Row],[Difficult Parts]],Table8[Difficult Parts],Table8[Difficult Parts Factor],,0)</f>
        <v>1</v>
      </c>
      <c r="AI268">
        <f>_xlfn.XLOOKUP(Table1820[[#This Row],[High Theft Rate]],Table9[High Theft Rate],Table9[High Theft Rate Factor],,0)</f>
        <v>1</v>
      </c>
      <c r="AJ268">
        <f>_xlfn.XLOOKUP(Table1820[[#This Row],[Advanced Safety Features]],Table10[Advanced Safety Features],Table10[Advanced Safety Features Factor],,0)</f>
        <v>0.88</v>
      </c>
      <c r="AK268">
        <f>_xlfn.XLOOKUP(Table1820[[#This Row],[Deductible]],Table12[Deductible],Table12[Deductible Factor],,0)</f>
        <v>0.72</v>
      </c>
      <c r="AL268">
        <f>_xlfn.XLOOKUP(Table1820[[#This Row],[Coverage Limit]],Table13[Coverage Limit],Table13[Coverage Limit Factor],,0)</f>
        <v>1</v>
      </c>
      <c r="AM268">
        <f>IF(Table1820[[#This Row],[Good Student Discount]]="Yes",'Rate Book'!$D$126,1)</f>
        <v>1</v>
      </c>
      <c r="AN268">
        <f>IF(Table1820[[#This Row],[Good Driver Discount]]="Yes",'Rate Book'!$D$127,1)</f>
        <v>1</v>
      </c>
      <c r="AO268">
        <f>IF(Table1820[[#This Row],[Multi Policy Discount]]="Yes",'Rate Book'!$D$128,1)</f>
        <v>1</v>
      </c>
      <c r="AP268">
        <f>IF(Table1820[[#This Row],[Loyal Customer Discount]]="Yes",'Rate Book'!$D$129,1)</f>
        <v>0.94</v>
      </c>
      <c r="AQ268">
        <f>IF(Table1820[[#This Row],[Organization Discount]]="Yes",'Rate Book'!$D$130,1)</f>
        <v>1</v>
      </c>
      <c r="AR268" cm="1">
        <f t="array" ref="AR268">IF(Table1820[[#This Row],[Effective Date]]&gt;=RateChangeTable[Effective Date],RateChangeTable[Rate Change Factor],1)</f>
        <v>1</v>
      </c>
      <c r="AS268" s="10">
        <f>PRODUCT(Table1820[[#This Row],[Base Rate]:[Rate Change Factor]])</f>
        <v>79.291807325888229</v>
      </c>
      <c r="AT268" s="9">
        <f>Table1820[[#This Row],[System-Generated Premium]]-Table1820[[#This Row],[Expected Premium]]</f>
        <v>0</v>
      </c>
      <c r="AU268" t="str">
        <f>IF(Table1820[[#This Row],[Difference]]=0,"PASS","FAIL")</f>
        <v>PASS</v>
      </c>
      <c r="AV268" s="9">
        <f>ABS(Table1820[[#This Row],[Difference]])</f>
        <v>0</v>
      </c>
      <c r="AW268" s="9" t="s">
        <v>1136</v>
      </c>
    </row>
    <row r="269" spans="1:49" x14ac:dyDescent="0.3">
      <c r="A269" t="s">
        <v>360</v>
      </c>
      <c r="B269" s="7">
        <v>45966</v>
      </c>
      <c r="C269" t="s">
        <v>71</v>
      </c>
      <c r="D269" t="s">
        <v>1101</v>
      </c>
      <c r="E269" s="3">
        <v>6</v>
      </c>
      <c r="F269" s="3">
        <v>2</v>
      </c>
      <c r="G269" t="s">
        <v>11</v>
      </c>
      <c r="H269" t="s">
        <v>1108</v>
      </c>
      <c r="I269" t="s">
        <v>31</v>
      </c>
      <c r="J269" t="s">
        <v>51</v>
      </c>
      <c r="K269" t="s">
        <v>10</v>
      </c>
      <c r="L269" t="s">
        <v>10</v>
      </c>
      <c r="M269" t="s">
        <v>10</v>
      </c>
      <c r="N269" t="s">
        <v>10</v>
      </c>
      <c r="O269" t="str">
        <f>INDEX(CoverageTable[Deductible Applies],MATCH(Table1820[[#This Row],[Coverage]],CoverageTable[Coverage],0))</f>
        <v>Yes</v>
      </c>
      <c r="P269" t="str">
        <f>INDEX(CoverageTable[Coverage Limit Applies],MATCH(Table1820[[#This Row],[Coverage]],CoverageTable[Coverage],0))</f>
        <v>No</v>
      </c>
      <c r="Q269" t="s">
        <v>78</v>
      </c>
      <c r="R269" t="s">
        <v>10</v>
      </c>
      <c r="S269" t="s">
        <v>10</v>
      </c>
      <c r="T269" t="s">
        <v>10</v>
      </c>
      <c r="U269" t="s">
        <v>57</v>
      </c>
      <c r="V269" t="s">
        <v>10</v>
      </c>
      <c r="W269" t="s">
        <v>10</v>
      </c>
      <c r="X269" s="11">
        <v>937.80173184768012</v>
      </c>
      <c r="Y269">
        <f>_xlfn.XLOOKUP(Table1820[[#This Row],[Coverage]],CoverageTable[Coverage],CoverageTable[Base Rate],,0)</f>
        <v>453</v>
      </c>
      <c r="Z269">
        <f>INDEX(Table16[Ageband Factor],MATCH(Table1820[[#This Row],[Ageband]],Table16[Ageband],0))</f>
        <v>1.1200000000000001</v>
      </c>
      <c r="AA269">
        <f>VLOOKUP(Table1820[[#This Row],[Years Driving]],Table1[],2)</f>
        <v>1</v>
      </c>
      <c r="AB269">
        <f>_xlfn.XLOOKUP(Table1820[[#This Row],[At Fault Accidents]],Table2[At Fault Accidents],Table2[At Fault Accident Factor],,0)</f>
        <v>1.55</v>
      </c>
      <c r="AC269">
        <f>_xlfn.XLOOKUP(Table1820[[#This Row],[Usage-Based Insurance]],Table3[Usage-Based Insurance],Table3[Usage-Based Insurance Discount],,0)</f>
        <v>0.95</v>
      </c>
      <c r="AD269">
        <f>_xlfn.XLOOKUP(Table1820[[#This Row],[Yearly Miles]],Table4[Yearly Miles],Table4[Yearly Miles Factor],,0)</f>
        <v>1</v>
      </c>
      <c r="AE269">
        <f>_xlfn.XLOOKUP(Table1820[[#This Row],[City/Zip Code]],Table5[City/Zip Code],Table5[City/Zip Code Factor],,0)</f>
        <v>1.1100000000000001</v>
      </c>
      <c r="AF269">
        <f>_xlfn.XLOOKUP(Table1820[[#This Row],[Vehicle Price]],Table6[Vehicle Price],Table6[Vehicle Price Factor])</f>
        <v>1.28</v>
      </c>
      <c r="AG269">
        <f>_xlfn.XLOOKUP(Table1820[[#This Row],[Exotic Car]],Table7[Exotic Car],Table7[Exotic Car Factor],,0)</f>
        <v>1</v>
      </c>
      <c r="AH269">
        <f>_xlfn.XLOOKUP(Table1820[[#This Row],[Difficult Parts]],Table8[Difficult Parts],Table8[Difficult Parts Factor],,0)</f>
        <v>1</v>
      </c>
      <c r="AI269">
        <f>_xlfn.XLOOKUP(Table1820[[#This Row],[High Theft Rate]],Table9[High Theft Rate],Table9[High Theft Rate Factor],,0)</f>
        <v>1</v>
      </c>
      <c r="AJ269">
        <f>_xlfn.XLOOKUP(Table1820[[#This Row],[Advanced Safety Features]],Table10[Advanced Safety Features],Table10[Advanced Safety Features Factor],,0)</f>
        <v>1</v>
      </c>
      <c r="AK269">
        <f>_xlfn.XLOOKUP(Table1820[[#This Row],[Deductible]],Table12[Deductible],Table12[Deductible Factor],,0)</f>
        <v>0.95</v>
      </c>
      <c r="AL269">
        <f>_xlfn.XLOOKUP(Table1820[[#This Row],[Coverage Limit]],Table13[Coverage Limit],Table13[Coverage Limit Factor],,0)</f>
        <v>1</v>
      </c>
      <c r="AM269">
        <f>IF(Table1820[[#This Row],[Good Student Discount]]="Yes",'Rate Book'!$D$126,1)</f>
        <v>1</v>
      </c>
      <c r="AN269">
        <f>IF(Table1820[[#This Row],[Good Driver Discount]]="Yes",'Rate Book'!$D$127,1)</f>
        <v>1</v>
      </c>
      <c r="AO269">
        <f>IF(Table1820[[#This Row],[Multi Policy Discount]]="Yes",'Rate Book'!$D$128,1)</f>
        <v>0.93</v>
      </c>
      <c r="AP269">
        <f>IF(Table1820[[#This Row],[Loyal Customer Discount]]="Yes",'Rate Book'!$D$129,1)</f>
        <v>1</v>
      </c>
      <c r="AQ269">
        <f>IF(Table1820[[#This Row],[Organization Discount]]="Yes",'Rate Book'!$D$130,1)</f>
        <v>1</v>
      </c>
      <c r="AR269" cm="1">
        <f t="array" ref="AR269">IF(Table1820[[#This Row],[Effective Date]]&gt;=RateChangeTable[Effective Date],RateChangeTable[Rate Change Factor],1)</f>
        <v>1</v>
      </c>
      <c r="AS269" s="10">
        <f>PRODUCT(Table1820[[#This Row],[Base Rate]:[Rate Change Factor]])</f>
        <v>937.80173184768012</v>
      </c>
      <c r="AT269" s="9">
        <f>Table1820[[#This Row],[System-Generated Premium]]-Table1820[[#This Row],[Expected Premium]]</f>
        <v>0</v>
      </c>
      <c r="AU269" t="str">
        <f>IF(Table1820[[#This Row],[Difference]]=0,"PASS","FAIL")</f>
        <v>PASS</v>
      </c>
      <c r="AV269" s="9">
        <f>ABS(Table1820[[#This Row],[Difference]])</f>
        <v>0</v>
      </c>
      <c r="AW269" s="9" t="s">
        <v>1136</v>
      </c>
    </row>
    <row r="270" spans="1:49" x14ac:dyDescent="0.3">
      <c r="A270" t="s">
        <v>361</v>
      </c>
      <c r="B270" s="7">
        <v>45818</v>
      </c>
      <c r="C270" t="s">
        <v>70</v>
      </c>
      <c r="D270" t="s">
        <v>1098</v>
      </c>
      <c r="E270" s="3">
        <v>6</v>
      </c>
      <c r="F270" s="3">
        <v>3</v>
      </c>
      <c r="G270" t="s">
        <v>10</v>
      </c>
      <c r="H270" t="s">
        <v>1107</v>
      </c>
      <c r="I270" t="s">
        <v>28</v>
      </c>
      <c r="J270" t="s">
        <v>52</v>
      </c>
      <c r="K270" t="s">
        <v>10</v>
      </c>
      <c r="L270" t="s">
        <v>10</v>
      </c>
      <c r="M270" t="s">
        <v>10</v>
      </c>
      <c r="N270" t="s">
        <v>10</v>
      </c>
      <c r="O270" t="str">
        <f>INDEX(CoverageTable[Deductible Applies],MATCH(Table1820[[#This Row],[Coverage]],CoverageTable[Coverage],0))</f>
        <v>No</v>
      </c>
      <c r="P270" t="str">
        <f>INDEX(CoverageTable[Coverage Limit Applies],MATCH(Table1820[[#This Row],[Coverage]],CoverageTable[Coverage],0))</f>
        <v>Yes</v>
      </c>
      <c r="Q270" t="s">
        <v>10</v>
      </c>
      <c r="R270" t="s">
        <v>79</v>
      </c>
      <c r="S270" t="s">
        <v>57</v>
      </c>
      <c r="T270" t="s">
        <v>10</v>
      </c>
      <c r="U270" t="s">
        <v>57</v>
      </c>
      <c r="V270" t="s">
        <v>10</v>
      </c>
      <c r="W270" t="s">
        <v>10</v>
      </c>
      <c r="X270" s="11">
        <v>1189.8065699156409</v>
      </c>
      <c r="Y270">
        <f>_xlfn.XLOOKUP(Table1820[[#This Row],[Coverage]],CoverageTable[Coverage],CoverageTable[Base Rate],,0)</f>
        <v>622</v>
      </c>
      <c r="Z270">
        <f>INDEX(Table16[Ageband Factor],MATCH(Table1820[[#This Row],[Ageband]],Table16[Ageband],0))</f>
        <v>1.23</v>
      </c>
      <c r="AA270">
        <f>VLOOKUP(Table1820[[#This Row],[Years Driving]],Table1[],2)</f>
        <v>1</v>
      </c>
      <c r="AB270">
        <f>_xlfn.XLOOKUP(Table1820[[#This Row],[At Fault Accidents]],Table2[At Fault Accidents],Table2[At Fault Accident Factor],,0)</f>
        <v>1.82</v>
      </c>
      <c r="AC270">
        <f>_xlfn.XLOOKUP(Table1820[[#This Row],[Usage-Based Insurance]],Table3[Usage-Based Insurance],Table3[Usage-Based Insurance Discount],,0)</f>
        <v>1</v>
      </c>
      <c r="AD270">
        <f>_xlfn.XLOOKUP(Table1820[[#This Row],[Yearly Miles]],Table4[Yearly Miles],Table4[Yearly Miles Factor],,0)</f>
        <v>0.93</v>
      </c>
      <c r="AE270">
        <f>_xlfn.XLOOKUP(Table1820[[#This Row],[City/Zip Code]],Table5[City/Zip Code],Table5[City/Zip Code Factor],,0)</f>
        <v>0.95</v>
      </c>
      <c r="AF270">
        <f>_xlfn.XLOOKUP(Table1820[[#This Row],[Vehicle Price]],Table6[Vehicle Price],Table6[Vehicle Price Factor])</f>
        <v>1.57</v>
      </c>
      <c r="AG270">
        <f>_xlfn.XLOOKUP(Table1820[[#This Row],[Exotic Car]],Table7[Exotic Car],Table7[Exotic Car Factor],,0)</f>
        <v>1</v>
      </c>
      <c r="AH270">
        <f>_xlfn.XLOOKUP(Table1820[[#This Row],[Difficult Parts]],Table8[Difficult Parts],Table8[Difficult Parts Factor],,0)</f>
        <v>1</v>
      </c>
      <c r="AI270">
        <f>_xlfn.XLOOKUP(Table1820[[#This Row],[High Theft Rate]],Table9[High Theft Rate],Table9[High Theft Rate Factor],,0)</f>
        <v>1</v>
      </c>
      <c r="AJ270">
        <f>_xlfn.XLOOKUP(Table1820[[#This Row],[Advanced Safety Features]],Table10[Advanced Safety Features],Table10[Advanced Safety Features Factor],,0)</f>
        <v>1</v>
      </c>
      <c r="AK270">
        <f>_xlfn.XLOOKUP(Table1820[[#This Row],[Deductible]],Table12[Deductible],Table12[Deductible Factor],,0)</f>
        <v>1</v>
      </c>
      <c r="AL270">
        <f>_xlfn.XLOOKUP(Table1820[[#This Row],[Coverage Limit]],Table13[Coverage Limit],Table13[Coverage Limit Factor],,0)</f>
        <v>0.72</v>
      </c>
      <c r="AM270">
        <f>IF(Table1820[[#This Row],[Good Student Discount]]="Yes",'Rate Book'!$D$126,1)</f>
        <v>0.92</v>
      </c>
      <c r="AN270">
        <f>IF(Table1820[[#This Row],[Good Driver Discount]]="Yes",'Rate Book'!$D$127,1)</f>
        <v>1</v>
      </c>
      <c r="AO270">
        <f>IF(Table1820[[#This Row],[Multi Policy Discount]]="Yes",'Rate Book'!$D$128,1)</f>
        <v>0.93</v>
      </c>
      <c r="AP270">
        <f>IF(Table1820[[#This Row],[Loyal Customer Discount]]="Yes",'Rate Book'!$D$129,1)</f>
        <v>1</v>
      </c>
      <c r="AQ270">
        <f>IF(Table1820[[#This Row],[Organization Discount]]="Yes",'Rate Book'!$D$130,1)</f>
        <v>1</v>
      </c>
      <c r="AR270" cm="1">
        <f t="array" ref="AR270">IF(Table1820[[#This Row],[Effective Date]]&gt;=RateChangeTable[Effective Date],RateChangeTable[Rate Change Factor],1)</f>
        <v>1</v>
      </c>
      <c r="AS270" s="10">
        <f>PRODUCT(Table1820[[#This Row],[Base Rate]:[Rate Change Factor]])</f>
        <v>1189.8065699156409</v>
      </c>
      <c r="AT270" s="9">
        <f>Table1820[[#This Row],[System-Generated Premium]]-Table1820[[#This Row],[Expected Premium]]</f>
        <v>0</v>
      </c>
      <c r="AU270" t="str">
        <f>IF(Table1820[[#This Row],[Difference]]=0,"PASS","FAIL")</f>
        <v>PASS</v>
      </c>
      <c r="AV270" s="9">
        <f>ABS(Table1820[[#This Row],[Difference]])</f>
        <v>0</v>
      </c>
      <c r="AW270" s="9" t="s">
        <v>1136</v>
      </c>
    </row>
    <row r="271" spans="1:49" x14ac:dyDescent="0.3">
      <c r="A271" t="s">
        <v>362</v>
      </c>
      <c r="B271" s="7">
        <v>46054</v>
      </c>
      <c r="C271" t="s">
        <v>74</v>
      </c>
      <c r="D271" t="s">
        <v>1097</v>
      </c>
      <c r="E271" s="3" t="s">
        <v>1103</v>
      </c>
      <c r="F271" s="3">
        <v>0</v>
      </c>
      <c r="G271" t="s">
        <v>10</v>
      </c>
      <c r="H271" t="s">
        <v>1110</v>
      </c>
      <c r="I271" t="s">
        <v>41</v>
      </c>
      <c r="J271" t="s">
        <v>48</v>
      </c>
      <c r="K271" t="s">
        <v>10</v>
      </c>
      <c r="L271" t="s">
        <v>10</v>
      </c>
      <c r="M271" t="s">
        <v>10</v>
      </c>
      <c r="N271" t="s">
        <v>10</v>
      </c>
      <c r="O271" t="str">
        <f>INDEX(CoverageTable[Deductible Applies],MATCH(Table1820[[#This Row],[Coverage]],CoverageTable[Coverage],0))</f>
        <v>No</v>
      </c>
      <c r="P271" t="str">
        <f>INDEX(CoverageTable[Coverage Limit Applies],MATCH(Table1820[[#This Row],[Coverage]],CoverageTable[Coverage],0))</f>
        <v>Yes</v>
      </c>
      <c r="Q271" t="s">
        <v>10</v>
      </c>
      <c r="R271" t="s">
        <v>80</v>
      </c>
      <c r="S271" t="s">
        <v>10</v>
      </c>
      <c r="T271" t="s">
        <v>57</v>
      </c>
      <c r="U271" t="s">
        <v>10</v>
      </c>
      <c r="V271" t="s">
        <v>10</v>
      </c>
      <c r="W271" t="s">
        <v>10</v>
      </c>
      <c r="X271" s="11">
        <v>49.271851576731187</v>
      </c>
      <c r="Y271">
        <f>_xlfn.XLOOKUP(Table1820[[#This Row],[Coverage]],CoverageTable[Coverage],CoverageTable[Base Rate],,0)</f>
        <v>41</v>
      </c>
      <c r="Z271">
        <f>INDEX(Table16[Ageband Factor],MATCH(Table1820[[#This Row],[Ageband]],Table16[Ageband],0))</f>
        <v>1.32</v>
      </c>
      <c r="AA271">
        <f>VLOOKUP(Table1820[[#This Row],[Years Driving]],Table1[],2)</f>
        <v>0.93</v>
      </c>
      <c r="AB271">
        <f>_xlfn.XLOOKUP(Table1820[[#This Row],[At Fault Accidents]],Table2[At Fault Accidents],Table2[At Fault Accident Factor],,0)</f>
        <v>1</v>
      </c>
      <c r="AC271">
        <f>_xlfn.XLOOKUP(Table1820[[#This Row],[Usage-Based Insurance]],Table3[Usage-Based Insurance],Table3[Usage-Based Insurance Discount],,0)</f>
        <v>1</v>
      </c>
      <c r="AD271">
        <f>_xlfn.XLOOKUP(Table1820[[#This Row],[Yearly Miles]],Table4[Yearly Miles],Table4[Yearly Miles Factor],,0)</f>
        <v>1.31</v>
      </c>
      <c r="AE271">
        <f>_xlfn.XLOOKUP(Table1820[[#This Row],[City/Zip Code]],Table5[City/Zip Code],Table5[City/Zip Code Factor],,0)</f>
        <v>1.1499999999999999</v>
      </c>
      <c r="AF271">
        <f>_xlfn.XLOOKUP(Table1820[[#This Row],[Vehicle Price]],Table6[Vehicle Price],Table6[Vehicle Price Factor])</f>
        <v>0.82</v>
      </c>
      <c r="AG271">
        <f>_xlfn.XLOOKUP(Table1820[[#This Row],[Exotic Car]],Table7[Exotic Car],Table7[Exotic Car Factor],,0)</f>
        <v>1</v>
      </c>
      <c r="AH271">
        <f>_xlfn.XLOOKUP(Table1820[[#This Row],[Difficult Parts]],Table8[Difficult Parts],Table8[Difficult Parts Factor],,0)</f>
        <v>1</v>
      </c>
      <c r="AI271">
        <f>_xlfn.XLOOKUP(Table1820[[#This Row],[High Theft Rate]],Table9[High Theft Rate],Table9[High Theft Rate Factor],,0)</f>
        <v>1</v>
      </c>
      <c r="AJ271">
        <f>_xlfn.XLOOKUP(Table1820[[#This Row],[Advanced Safety Features]],Table10[Advanced Safety Features],Table10[Advanced Safety Features Factor],,0)</f>
        <v>1</v>
      </c>
      <c r="AK271">
        <f>_xlfn.XLOOKUP(Table1820[[#This Row],[Deductible]],Table12[Deductible],Table12[Deductible Factor],,0)</f>
        <v>1</v>
      </c>
      <c r="AL271">
        <f>_xlfn.XLOOKUP(Table1820[[#This Row],[Coverage Limit]],Table13[Coverage Limit],Table13[Coverage Limit Factor],,0)</f>
        <v>0.84</v>
      </c>
      <c r="AM271">
        <f>IF(Table1820[[#This Row],[Good Student Discount]]="Yes",'Rate Book'!$D$126,1)</f>
        <v>1</v>
      </c>
      <c r="AN271">
        <f>IF(Table1820[[#This Row],[Good Driver Discount]]="Yes",'Rate Book'!$D$127,1)</f>
        <v>0.89</v>
      </c>
      <c r="AO271">
        <f>IF(Table1820[[#This Row],[Multi Policy Discount]]="Yes",'Rate Book'!$D$128,1)</f>
        <v>1</v>
      </c>
      <c r="AP271">
        <f>IF(Table1820[[#This Row],[Loyal Customer Discount]]="Yes",'Rate Book'!$D$129,1)</f>
        <v>1</v>
      </c>
      <c r="AQ271">
        <f>IF(Table1820[[#This Row],[Organization Discount]]="Yes",'Rate Book'!$D$130,1)</f>
        <v>1</v>
      </c>
      <c r="AR271" cm="1">
        <f t="array" ref="AR271">IF(Table1820[[#This Row],[Effective Date]]&gt;=RateChangeTable[Effective Date],RateChangeTable[Rate Change Factor],1)</f>
        <v>1.06</v>
      </c>
      <c r="AS271" s="10">
        <f>PRODUCT(Table1820[[#This Row],[Base Rate]:[Rate Change Factor]])</f>
        <v>49.271851576731187</v>
      </c>
      <c r="AT271" s="9">
        <f>Table1820[[#This Row],[System-Generated Premium]]-Table1820[[#This Row],[Expected Premium]]</f>
        <v>0</v>
      </c>
      <c r="AU271" t="str">
        <f>IF(Table1820[[#This Row],[Difference]]=0,"PASS","FAIL")</f>
        <v>PASS</v>
      </c>
      <c r="AV271" s="9">
        <f>ABS(Table1820[[#This Row],[Difference]])</f>
        <v>0</v>
      </c>
      <c r="AW271" s="9" t="s">
        <v>1136</v>
      </c>
    </row>
    <row r="272" spans="1:49" x14ac:dyDescent="0.3">
      <c r="A272" t="s">
        <v>363</v>
      </c>
      <c r="B272" s="7">
        <v>46101</v>
      </c>
      <c r="C272" t="s">
        <v>70</v>
      </c>
      <c r="D272" t="s">
        <v>1101</v>
      </c>
      <c r="E272" s="3">
        <v>6</v>
      </c>
      <c r="F272" s="3">
        <v>1</v>
      </c>
      <c r="G272" t="s">
        <v>13</v>
      </c>
      <c r="H272" t="s">
        <v>1110</v>
      </c>
      <c r="I272" t="s">
        <v>21</v>
      </c>
      <c r="J272" t="s">
        <v>51</v>
      </c>
      <c r="K272" t="s">
        <v>10</v>
      </c>
      <c r="L272" t="s">
        <v>10</v>
      </c>
      <c r="M272" t="s">
        <v>10</v>
      </c>
      <c r="N272" t="s">
        <v>57</v>
      </c>
      <c r="O272" t="str">
        <f>INDEX(CoverageTable[Deductible Applies],MATCH(Table1820[[#This Row],[Coverage]],CoverageTable[Coverage],0))</f>
        <v>No</v>
      </c>
      <c r="P272" t="str">
        <f>INDEX(CoverageTable[Coverage Limit Applies],MATCH(Table1820[[#This Row],[Coverage]],CoverageTable[Coverage],0))</f>
        <v>Yes</v>
      </c>
      <c r="Q272" t="s">
        <v>10</v>
      </c>
      <c r="R272" t="s">
        <v>78</v>
      </c>
      <c r="S272" t="s">
        <v>57</v>
      </c>
      <c r="T272" t="s">
        <v>10</v>
      </c>
      <c r="U272" t="s">
        <v>10</v>
      </c>
      <c r="V272" t="s">
        <v>10</v>
      </c>
      <c r="W272" t="s">
        <v>57</v>
      </c>
      <c r="X272" s="11">
        <v>650.96300354396647</v>
      </c>
      <c r="Y272">
        <f>_xlfn.XLOOKUP(Table1820[[#This Row],[Coverage]],CoverageTable[Coverage],CoverageTable[Base Rate],,0)</f>
        <v>622</v>
      </c>
      <c r="Z272">
        <f>INDEX(Table16[Ageband Factor],MATCH(Table1820[[#This Row],[Ageband]],Table16[Ageband],0))</f>
        <v>1.1200000000000001</v>
      </c>
      <c r="AA272">
        <f>VLOOKUP(Table1820[[#This Row],[Years Driving]],Table1[],2)</f>
        <v>1</v>
      </c>
      <c r="AB272">
        <f>_xlfn.XLOOKUP(Table1820[[#This Row],[At Fault Accidents]],Table2[At Fault Accidents],Table2[At Fault Accident Factor],,0)</f>
        <v>1.34</v>
      </c>
      <c r="AC272">
        <f>_xlfn.XLOOKUP(Table1820[[#This Row],[Usage-Based Insurance]],Table3[Usage-Based Insurance],Table3[Usage-Based Insurance Discount],,0)</f>
        <v>0.65</v>
      </c>
      <c r="AD272">
        <f>_xlfn.XLOOKUP(Table1820[[#This Row],[Yearly Miles]],Table4[Yearly Miles],Table4[Yearly Miles Factor],,0)</f>
        <v>1.31</v>
      </c>
      <c r="AE272">
        <f>_xlfn.XLOOKUP(Table1820[[#This Row],[City/Zip Code]],Table5[City/Zip Code],Table5[City/Zip Code Factor],,0)</f>
        <v>1.26</v>
      </c>
      <c r="AF272">
        <f>_xlfn.XLOOKUP(Table1820[[#This Row],[Vehicle Price]],Table6[Vehicle Price],Table6[Vehicle Price Factor])</f>
        <v>1.28</v>
      </c>
      <c r="AG272">
        <f>_xlfn.XLOOKUP(Table1820[[#This Row],[Exotic Car]],Table7[Exotic Car],Table7[Exotic Car Factor],,0)</f>
        <v>1</v>
      </c>
      <c r="AH272">
        <f>_xlfn.XLOOKUP(Table1820[[#This Row],[Difficult Parts]],Table8[Difficult Parts],Table8[Difficult Parts Factor],,0)</f>
        <v>1</v>
      </c>
      <c r="AI272">
        <f>_xlfn.XLOOKUP(Table1820[[#This Row],[High Theft Rate]],Table9[High Theft Rate],Table9[High Theft Rate Factor],,0)</f>
        <v>1</v>
      </c>
      <c r="AJ272">
        <f>_xlfn.XLOOKUP(Table1820[[#This Row],[Advanced Safety Features]],Table10[Advanced Safety Features],Table10[Advanced Safety Features Factor],,0)</f>
        <v>0.88</v>
      </c>
      <c r="AK272">
        <f>_xlfn.XLOOKUP(Table1820[[#This Row],[Deductible]],Table12[Deductible],Table12[Deductible Factor],,0)</f>
        <v>1</v>
      </c>
      <c r="AL272">
        <f>_xlfn.XLOOKUP(Table1820[[#This Row],[Coverage Limit]],Table13[Coverage Limit],Table13[Coverage Limit Factor],,0)</f>
        <v>0.61</v>
      </c>
      <c r="AM272">
        <f>IF(Table1820[[#This Row],[Good Student Discount]]="Yes",'Rate Book'!$D$126,1)</f>
        <v>0.92</v>
      </c>
      <c r="AN272">
        <f>IF(Table1820[[#This Row],[Good Driver Discount]]="Yes",'Rate Book'!$D$127,1)</f>
        <v>1</v>
      </c>
      <c r="AO272">
        <f>IF(Table1820[[#This Row],[Multi Policy Discount]]="Yes",'Rate Book'!$D$128,1)</f>
        <v>1</v>
      </c>
      <c r="AP272">
        <f>IF(Table1820[[#This Row],[Loyal Customer Discount]]="Yes",'Rate Book'!$D$129,1)</f>
        <v>1</v>
      </c>
      <c r="AQ272">
        <f>IF(Table1820[[#This Row],[Organization Discount]]="Yes",'Rate Book'!$D$130,1)</f>
        <v>0.97</v>
      </c>
      <c r="AR272" cm="1">
        <f t="array" ref="AR272">IF(Table1820[[#This Row],[Effective Date]]&gt;=RateChangeTable[Effective Date],RateChangeTable[Rate Change Factor],1)</f>
        <v>1.06</v>
      </c>
      <c r="AS272" s="10">
        <f>PRODUCT(Table1820[[#This Row],[Base Rate]:[Rate Change Factor]])</f>
        <v>650.96300354396647</v>
      </c>
      <c r="AT272" s="9">
        <f>Table1820[[#This Row],[System-Generated Premium]]-Table1820[[#This Row],[Expected Premium]]</f>
        <v>0</v>
      </c>
      <c r="AU272" t="str">
        <f>IF(Table1820[[#This Row],[Difference]]=0,"PASS","FAIL")</f>
        <v>PASS</v>
      </c>
      <c r="AV272" s="9">
        <f>ABS(Table1820[[#This Row],[Difference]])</f>
        <v>0</v>
      </c>
      <c r="AW272" s="9" t="s">
        <v>1136</v>
      </c>
    </row>
    <row r="273" spans="1:49" x14ac:dyDescent="0.3">
      <c r="A273" t="s">
        <v>364</v>
      </c>
      <c r="B273" s="7">
        <v>45958</v>
      </c>
      <c r="C273" t="s">
        <v>73</v>
      </c>
      <c r="D273" t="s">
        <v>1098</v>
      </c>
      <c r="E273" s="3">
        <v>7</v>
      </c>
      <c r="F273" s="3">
        <v>1</v>
      </c>
      <c r="G273" t="s">
        <v>13</v>
      </c>
      <c r="H273" t="s">
        <v>1108</v>
      </c>
      <c r="I273" t="s">
        <v>27</v>
      </c>
      <c r="J273" t="s">
        <v>53</v>
      </c>
      <c r="K273" t="s">
        <v>57</v>
      </c>
      <c r="L273" t="s">
        <v>10</v>
      </c>
      <c r="M273" t="s">
        <v>57</v>
      </c>
      <c r="N273" t="s">
        <v>57</v>
      </c>
      <c r="O273" t="str">
        <f>INDEX(CoverageTable[Deductible Applies],MATCH(Table1820[[#This Row],[Coverage]],CoverageTable[Coverage],0))</f>
        <v>No</v>
      </c>
      <c r="P273" t="str">
        <f>INDEX(CoverageTable[Coverage Limit Applies],MATCH(Table1820[[#This Row],[Coverage]],CoverageTable[Coverage],0))</f>
        <v>Yes</v>
      </c>
      <c r="Q273" t="s">
        <v>10</v>
      </c>
      <c r="R273" t="s">
        <v>80</v>
      </c>
      <c r="S273" t="s">
        <v>10</v>
      </c>
      <c r="T273" t="s">
        <v>57</v>
      </c>
      <c r="U273" t="s">
        <v>10</v>
      </c>
      <c r="V273" t="s">
        <v>10</v>
      </c>
      <c r="W273" t="s">
        <v>10</v>
      </c>
      <c r="X273" s="11">
        <v>147.24502198267098</v>
      </c>
      <c r="Y273">
        <f>_xlfn.XLOOKUP(Table1820[[#This Row],[Coverage]],CoverageTable[Coverage],CoverageTable[Base Rate],,0)</f>
        <v>78</v>
      </c>
      <c r="Z273">
        <f>INDEX(Table16[Ageband Factor],MATCH(Table1820[[#This Row],[Ageband]],Table16[Ageband],0))</f>
        <v>1.23</v>
      </c>
      <c r="AA273">
        <f>VLOOKUP(Table1820[[#This Row],[Years Driving]],Table1[],2)</f>
        <v>0.95</v>
      </c>
      <c r="AB273">
        <f>_xlfn.XLOOKUP(Table1820[[#This Row],[At Fault Accidents]],Table2[At Fault Accidents],Table2[At Fault Accident Factor],,0)</f>
        <v>1.34</v>
      </c>
      <c r="AC273">
        <f>_xlfn.XLOOKUP(Table1820[[#This Row],[Usage-Based Insurance]],Table3[Usage-Based Insurance],Table3[Usage-Based Insurance Discount],,0)</f>
        <v>0.65</v>
      </c>
      <c r="AD273">
        <f>_xlfn.XLOOKUP(Table1820[[#This Row],[Yearly Miles]],Table4[Yearly Miles],Table4[Yearly Miles Factor],,0)</f>
        <v>1</v>
      </c>
      <c r="AE273">
        <f>_xlfn.XLOOKUP(Table1820[[#This Row],[City/Zip Code]],Table5[City/Zip Code],Table5[City/Zip Code Factor],,0)</f>
        <v>0.94</v>
      </c>
      <c r="AF273">
        <f>_xlfn.XLOOKUP(Table1820[[#This Row],[Vehicle Price]],Table6[Vehicle Price],Table6[Vehicle Price Factor])</f>
        <v>2.02</v>
      </c>
      <c r="AG273">
        <f>_xlfn.XLOOKUP(Table1820[[#This Row],[Exotic Car]],Table7[Exotic Car],Table7[Exotic Car Factor],,0)</f>
        <v>1.28</v>
      </c>
      <c r="AH273">
        <f>_xlfn.XLOOKUP(Table1820[[#This Row],[Difficult Parts]],Table8[Difficult Parts],Table8[Difficult Parts Factor],,0)</f>
        <v>1</v>
      </c>
      <c r="AI273">
        <f>_xlfn.XLOOKUP(Table1820[[#This Row],[High Theft Rate]],Table9[High Theft Rate],Table9[High Theft Rate Factor],,0)</f>
        <v>1.1599999999999999</v>
      </c>
      <c r="AJ273">
        <f>_xlfn.XLOOKUP(Table1820[[#This Row],[Advanced Safety Features]],Table10[Advanced Safety Features],Table10[Advanced Safety Features Factor],,0)</f>
        <v>0.88</v>
      </c>
      <c r="AK273">
        <f>_xlfn.XLOOKUP(Table1820[[#This Row],[Deductible]],Table12[Deductible],Table12[Deductible Factor],,0)</f>
        <v>1</v>
      </c>
      <c r="AL273">
        <f>_xlfn.XLOOKUP(Table1820[[#This Row],[Coverage Limit]],Table13[Coverage Limit],Table13[Coverage Limit Factor],,0)</f>
        <v>0.84</v>
      </c>
      <c r="AM273">
        <f>IF(Table1820[[#This Row],[Good Student Discount]]="Yes",'Rate Book'!$D$126,1)</f>
        <v>1</v>
      </c>
      <c r="AN273">
        <f>IF(Table1820[[#This Row],[Good Driver Discount]]="Yes",'Rate Book'!$D$127,1)</f>
        <v>0.89</v>
      </c>
      <c r="AO273">
        <f>IF(Table1820[[#This Row],[Multi Policy Discount]]="Yes",'Rate Book'!$D$128,1)</f>
        <v>1</v>
      </c>
      <c r="AP273">
        <f>IF(Table1820[[#This Row],[Loyal Customer Discount]]="Yes",'Rate Book'!$D$129,1)</f>
        <v>1</v>
      </c>
      <c r="AQ273">
        <f>IF(Table1820[[#This Row],[Organization Discount]]="Yes",'Rate Book'!$D$130,1)</f>
        <v>1</v>
      </c>
      <c r="AR273" cm="1">
        <f t="array" ref="AR273">IF(Table1820[[#This Row],[Effective Date]]&gt;=RateChangeTable[Effective Date],RateChangeTable[Rate Change Factor],1)</f>
        <v>1</v>
      </c>
      <c r="AS273" s="10">
        <f>PRODUCT(Table1820[[#This Row],[Base Rate]:[Rate Change Factor]])</f>
        <v>147.24502198267098</v>
      </c>
      <c r="AT273" s="9">
        <f>Table1820[[#This Row],[System-Generated Premium]]-Table1820[[#This Row],[Expected Premium]]</f>
        <v>0</v>
      </c>
      <c r="AU273" t="str">
        <f>IF(Table1820[[#This Row],[Difference]]=0,"PASS","FAIL")</f>
        <v>PASS</v>
      </c>
      <c r="AV273" s="9">
        <f>ABS(Table1820[[#This Row],[Difference]])</f>
        <v>0</v>
      </c>
      <c r="AW273" s="9" t="s">
        <v>1136</v>
      </c>
    </row>
    <row r="274" spans="1:49" x14ac:dyDescent="0.3">
      <c r="A274" t="s">
        <v>365</v>
      </c>
      <c r="B274" s="7">
        <v>46074</v>
      </c>
      <c r="C274" t="s">
        <v>70</v>
      </c>
      <c r="D274" t="s">
        <v>1102</v>
      </c>
      <c r="E274" s="3">
        <v>4</v>
      </c>
      <c r="F274" s="3">
        <v>1</v>
      </c>
      <c r="G274" t="s">
        <v>12</v>
      </c>
      <c r="H274" t="s">
        <v>1107</v>
      </c>
      <c r="I274" t="s">
        <v>26</v>
      </c>
      <c r="J274" t="s">
        <v>54</v>
      </c>
      <c r="K274" t="s">
        <v>10</v>
      </c>
      <c r="L274" t="s">
        <v>10</v>
      </c>
      <c r="M274" t="s">
        <v>10</v>
      </c>
      <c r="N274" t="s">
        <v>10</v>
      </c>
      <c r="O274" t="str">
        <f>INDEX(CoverageTable[Deductible Applies],MATCH(Table1820[[#This Row],[Coverage]],CoverageTable[Coverage],0))</f>
        <v>No</v>
      </c>
      <c r="P274" t="str">
        <f>INDEX(CoverageTable[Coverage Limit Applies],MATCH(Table1820[[#This Row],[Coverage]],CoverageTable[Coverage],0))</f>
        <v>Yes</v>
      </c>
      <c r="Q274" t="s">
        <v>10</v>
      </c>
      <c r="R274" t="s">
        <v>79</v>
      </c>
      <c r="S274" t="s">
        <v>10</v>
      </c>
      <c r="T274" t="s">
        <v>10</v>
      </c>
      <c r="U274" t="s">
        <v>57</v>
      </c>
      <c r="V274" t="s">
        <v>10</v>
      </c>
      <c r="W274" t="s">
        <v>10</v>
      </c>
      <c r="X274" s="11">
        <v>2121.6352737408492</v>
      </c>
      <c r="Y274">
        <f>_xlfn.XLOOKUP(Table1820[[#This Row],[Coverage]],CoverageTable[Coverage],CoverageTable[Base Rate],,0)</f>
        <v>622</v>
      </c>
      <c r="Z274">
        <f>INDEX(Table16[Ageband Factor],MATCH(Table1820[[#This Row],[Ageband]],Table16[Ageband],0))</f>
        <v>1.27</v>
      </c>
      <c r="AA274">
        <f>VLOOKUP(Table1820[[#This Row],[Years Driving]],Table1[],2)</f>
        <v>1.1499999999999999</v>
      </c>
      <c r="AB274">
        <f>_xlfn.XLOOKUP(Table1820[[#This Row],[At Fault Accidents]],Table2[At Fault Accidents],Table2[At Fault Accident Factor],,0)</f>
        <v>1.34</v>
      </c>
      <c r="AC274">
        <f>_xlfn.XLOOKUP(Table1820[[#This Row],[Usage-Based Insurance]],Table3[Usage-Based Insurance],Table3[Usage-Based Insurance Discount],,0)</f>
        <v>0.8</v>
      </c>
      <c r="AD274">
        <f>_xlfn.XLOOKUP(Table1820[[#This Row],[Yearly Miles]],Table4[Yearly Miles],Table4[Yearly Miles Factor],,0)</f>
        <v>0.93</v>
      </c>
      <c r="AE274">
        <f>_xlfn.XLOOKUP(Table1820[[#This Row],[City/Zip Code]],Table5[City/Zip Code],Table5[City/Zip Code Factor],,0)</f>
        <v>1.1499999999999999</v>
      </c>
      <c r="AF274">
        <f>_xlfn.XLOOKUP(Table1820[[#This Row],[Vehicle Price]],Table6[Vehicle Price],Table6[Vehicle Price Factor])</f>
        <v>2.87</v>
      </c>
      <c r="AG274">
        <f>_xlfn.XLOOKUP(Table1820[[#This Row],[Exotic Car]],Table7[Exotic Car],Table7[Exotic Car Factor],,0)</f>
        <v>1</v>
      </c>
      <c r="AH274">
        <f>_xlfn.XLOOKUP(Table1820[[#This Row],[Difficult Parts]],Table8[Difficult Parts],Table8[Difficult Parts Factor],,0)</f>
        <v>1</v>
      </c>
      <c r="AI274">
        <f>_xlfn.XLOOKUP(Table1820[[#This Row],[High Theft Rate]],Table9[High Theft Rate],Table9[High Theft Rate Factor],,0)</f>
        <v>1</v>
      </c>
      <c r="AJ274">
        <f>_xlfn.XLOOKUP(Table1820[[#This Row],[Advanced Safety Features]],Table10[Advanced Safety Features],Table10[Advanced Safety Features Factor],,0)</f>
        <v>1</v>
      </c>
      <c r="AK274">
        <f>_xlfn.XLOOKUP(Table1820[[#This Row],[Deductible]],Table12[Deductible],Table12[Deductible Factor],,0)</f>
        <v>1</v>
      </c>
      <c r="AL274">
        <f>_xlfn.XLOOKUP(Table1820[[#This Row],[Coverage Limit]],Table13[Coverage Limit],Table13[Coverage Limit Factor],,0)</f>
        <v>0.72</v>
      </c>
      <c r="AM274">
        <f>IF(Table1820[[#This Row],[Good Student Discount]]="Yes",'Rate Book'!$D$126,1)</f>
        <v>1</v>
      </c>
      <c r="AN274">
        <f>IF(Table1820[[#This Row],[Good Driver Discount]]="Yes",'Rate Book'!$D$127,1)</f>
        <v>1</v>
      </c>
      <c r="AO274">
        <f>IF(Table1820[[#This Row],[Multi Policy Discount]]="Yes",'Rate Book'!$D$128,1)</f>
        <v>0.93</v>
      </c>
      <c r="AP274">
        <f>IF(Table1820[[#This Row],[Loyal Customer Discount]]="Yes",'Rate Book'!$D$129,1)</f>
        <v>1</v>
      </c>
      <c r="AQ274">
        <f>IF(Table1820[[#This Row],[Organization Discount]]="Yes",'Rate Book'!$D$130,1)</f>
        <v>1</v>
      </c>
      <c r="AR274" cm="1">
        <f t="array" ref="AR274">IF(Table1820[[#This Row],[Effective Date]]&gt;=RateChangeTable[Effective Date],RateChangeTable[Rate Change Factor],1)</f>
        <v>1.06</v>
      </c>
      <c r="AS274" s="10">
        <f>PRODUCT(Table1820[[#This Row],[Base Rate]:[Rate Change Factor]])</f>
        <v>2121.6352737408492</v>
      </c>
      <c r="AT274" s="9">
        <f>Table1820[[#This Row],[System-Generated Premium]]-Table1820[[#This Row],[Expected Premium]]</f>
        <v>0</v>
      </c>
      <c r="AU274" t="str">
        <f>IF(Table1820[[#This Row],[Difference]]=0,"PASS","FAIL")</f>
        <v>PASS</v>
      </c>
      <c r="AV274" s="9">
        <f>ABS(Table1820[[#This Row],[Difference]])</f>
        <v>0</v>
      </c>
      <c r="AW274" s="9" t="s">
        <v>1136</v>
      </c>
    </row>
    <row r="275" spans="1:49" x14ac:dyDescent="0.3">
      <c r="A275" t="s">
        <v>366</v>
      </c>
      <c r="B275" s="7">
        <v>46092</v>
      </c>
      <c r="C275" t="s">
        <v>71</v>
      </c>
      <c r="D275" t="s">
        <v>1098</v>
      </c>
      <c r="E275" s="3">
        <v>6</v>
      </c>
      <c r="F275" s="3" t="s">
        <v>7</v>
      </c>
      <c r="G275" t="s">
        <v>11</v>
      </c>
      <c r="H275" t="s">
        <v>1109</v>
      </c>
      <c r="I275" t="s">
        <v>39</v>
      </c>
      <c r="J275" t="s">
        <v>52</v>
      </c>
      <c r="K275" t="s">
        <v>10</v>
      </c>
      <c r="L275" t="s">
        <v>57</v>
      </c>
      <c r="M275" t="s">
        <v>10</v>
      </c>
      <c r="N275" t="s">
        <v>57</v>
      </c>
      <c r="O275" t="str">
        <f>INDEX(CoverageTable[Deductible Applies],MATCH(Table1820[[#This Row],[Coverage]],CoverageTable[Coverage],0))</f>
        <v>Yes</v>
      </c>
      <c r="P275" t="str">
        <f>INDEX(CoverageTable[Coverage Limit Applies],MATCH(Table1820[[#This Row],[Coverage]],CoverageTable[Coverage],0))</f>
        <v>No</v>
      </c>
      <c r="Q275" t="s">
        <v>79</v>
      </c>
      <c r="R275" t="s">
        <v>10</v>
      </c>
      <c r="S275" t="s">
        <v>10</v>
      </c>
      <c r="T275" t="s">
        <v>10</v>
      </c>
      <c r="U275" t="s">
        <v>57</v>
      </c>
      <c r="V275" t="s">
        <v>10</v>
      </c>
      <c r="W275" t="s">
        <v>10</v>
      </c>
      <c r="X275" s="11">
        <v>2306.5635757172704</v>
      </c>
      <c r="Y275">
        <f>_xlfn.XLOOKUP(Table1820[[#This Row],[Coverage]],CoverageTable[Coverage],CoverageTable[Base Rate],,0)</f>
        <v>453</v>
      </c>
      <c r="Z275">
        <f>INDEX(Table16[Ageband Factor],MATCH(Table1820[[#This Row],[Ageband]],Table16[Ageband],0))</f>
        <v>1.23</v>
      </c>
      <c r="AA275">
        <f>VLOOKUP(Table1820[[#This Row],[Years Driving]],Table1[],2)</f>
        <v>1</v>
      </c>
      <c r="AB275">
        <f>_xlfn.XLOOKUP(Table1820[[#This Row],[At Fault Accidents]],Table2[At Fault Accidents],Table2[At Fault Accident Factor],,0)</f>
        <v>2.4700000000000002</v>
      </c>
      <c r="AC275">
        <f>_xlfn.XLOOKUP(Table1820[[#This Row],[Usage-Based Insurance]],Table3[Usage-Based Insurance],Table3[Usage-Based Insurance Discount],,0)</f>
        <v>0.95</v>
      </c>
      <c r="AD275">
        <f>_xlfn.XLOOKUP(Table1820[[#This Row],[Yearly Miles]],Table4[Yearly Miles],Table4[Yearly Miles Factor],,0)</f>
        <v>1.18</v>
      </c>
      <c r="AE275">
        <f>_xlfn.XLOOKUP(Table1820[[#This Row],[City/Zip Code]],Table5[City/Zip Code],Table5[City/Zip Code Factor],,0)</f>
        <v>1.08</v>
      </c>
      <c r="AF275">
        <f>_xlfn.XLOOKUP(Table1820[[#This Row],[Vehicle Price]],Table6[Vehicle Price],Table6[Vehicle Price Factor])</f>
        <v>1.57</v>
      </c>
      <c r="AG275">
        <f>_xlfn.XLOOKUP(Table1820[[#This Row],[Exotic Car]],Table7[Exotic Car],Table7[Exotic Car Factor],,0)</f>
        <v>1</v>
      </c>
      <c r="AH275">
        <f>_xlfn.XLOOKUP(Table1820[[#This Row],[Difficult Parts]],Table8[Difficult Parts],Table8[Difficult Parts Factor],,0)</f>
        <v>1.21</v>
      </c>
      <c r="AI275">
        <f>_xlfn.XLOOKUP(Table1820[[#This Row],[High Theft Rate]],Table9[High Theft Rate],Table9[High Theft Rate Factor],,0)</f>
        <v>1</v>
      </c>
      <c r="AJ275">
        <f>_xlfn.XLOOKUP(Table1820[[#This Row],[Advanced Safety Features]],Table10[Advanced Safety Features],Table10[Advanced Safety Features Factor],,0)</f>
        <v>0.88</v>
      </c>
      <c r="AK275">
        <f>_xlfn.XLOOKUP(Table1820[[#This Row],[Deductible]],Table12[Deductible],Table12[Deductible Factor],,0)</f>
        <v>0.84</v>
      </c>
      <c r="AL275">
        <f>_xlfn.XLOOKUP(Table1820[[#This Row],[Coverage Limit]],Table13[Coverage Limit],Table13[Coverage Limit Factor],,0)</f>
        <v>1</v>
      </c>
      <c r="AM275">
        <f>IF(Table1820[[#This Row],[Good Student Discount]]="Yes",'Rate Book'!$D$126,1)</f>
        <v>1</v>
      </c>
      <c r="AN275">
        <f>IF(Table1820[[#This Row],[Good Driver Discount]]="Yes",'Rate Book'!$D$127,1)</f>
        <v>1</v>
      </c>
      <c r="AO275">
        <f>IF(Table1820[[#This Row],[Multi Policy Discount]]="Yes",'Rate Book'!$D$128,1)</f>
        <v>0.93</v>
      </c>
      <c r="AP275">
        <f>IF(Table1820[[#This Row],[Loyal Customer Discount]]="Yes",'Rate Book'!$D$129,1)</f>
        <v>1</v>
      </c>
      <c r="AQ275">
        <f>IF(Table1820[[#This Row],[Organization Discount]]="Yes",'Rate Book'!$D$130,1)</f>
        <v>1</v>
      </c>
      <c r="AR275" cm="1">
        <f t="array" ref="AR275">IF(Table1820[[#This Row],[Effective Date]]&gt;=RateChangeTable[Effective Date],RateChangeTable[Rate Change Factor],1)</f>
        <v>1.06</v>
      </c>
      <c r="AS275" s="10">
        <f>PRODUCT(Table1820[[#This Row],[Base Rate]:[Rate Change Factor]])</f>
        <v>2306.5635757172704</v>
      </c>
      <c r="AT275" s="9">
        <f>Table1820[[#This Row],[System-Generated Premium]]-Table1820[[#This Row],[Expected Premium]]</f>
        <v>0</v>
      </c>
      <c r="AU275" t="str">
        <f>IF(Table1820[[#This Row],[Difference]]=0,"PASS","FAIL")</f>
        <v>PASS</v>
      </c>
      <c r="AV275" s="9">
        <f>ABS(Table1820[[#This Row],[Difference]])</f>
        <v>0</v>
      </c>
      <c r="AW275" s="9" t="s">
        <v>1136</v>
      </c>
    </row>
    <row r="276" spans="1:49" x14ac:dyDescent="0.3">
      <c r="A276" t="s">
        <v>367</v>
      </c>
      <c r="B276" s="7">
        <v>45838</v>
      </c>
      <c r="C276" t="s">
        <v>70</v>
      </c>
      <c r="D276" t="s">
        <v>1098</v>
      </c>
      <c r="E276" s="3">
        <v>2</v>
      </c>
      <c r="F276" s="3">
        <v>0</v>
      </c>
      <c r="G276" t="s">
        <v>10</v>
      </c>
      <c r="H276" t="s">
        <v>1109</v>
      </c>
      <c r="I276" t="s">
        <v>30</v>
      </c>
      <c r="J276" t="s">
        <v>51</v>
      </c>
      <c r="K276" t="s">
        <v>10</v>
      </c>
      <c r="L276" t="s">
        <v>10</v>
      </c>
      <c r="M276" t="s">
        <v>10</v>
      </c>
      <c r="N276" t="s">
        <v>10</v>
      </c>
      <c r="O276" t="str">
        <f>INDEX(CoverageTable[Deductible Applies],MATCH(Table1820[[#This Row],[Coverage]],CoverageTable[Coverage],0))</f>
        <v>No</v>
      </c>
      <c r="P276" t="str">
        <f>INDEX(CoverageTable[Coverage Limit Applies],MATCH(Table1820[[#This Row],[Coverage]],CoverageTable[Coverage],0))</f>
        <v>Yes</v>
      </c>
      <c r="Q276" t="s">
        <v>10</v>
      </c>
      <c r="R276" t="s">
        <v>80</v>
      </c>
      <c r="S276" t="s">
        <v>10</v>
      </c>
      <c r="T276" t="s">
        <v>10</v>
      </c>
      <c r="U276" t="s">
        <v>57</v>
      </c>
      <c r="V276" t="s">
        <v>57</v>
      </c>
      <c r="W276" t="s">
        <v>10</v>
      </c>
      <c r="X276" s="11">
        <v>1220.3849570501316</v>
      </c>
      <c r="Y276">
        <f>_xlfn.XLOOKUP(Table1820[[#This Row],[Coverage]],CoverageTable[Coverage],CoverageTable[Base Rate],,0)</f>
        <v>622</v>
      </c>
      <c r="Z276">
        <f>INDEX(Table16[Ageband Factor],MATCH(Table1820[[#This Row],[Ageband]],Table16[Ageband],0))</f>
        <v>1.23</v>
      </c>
      <c r="AA276">
        <f>VLOOKUP(Table1820[[#This Row],[Years Driving]],Table1[],2)</f>
        <v>1.41</v>
      </c>
      <c r="AB276">
        <f>_xlfn.XLOOKUP(Table1820[[#This Row],[At Fault Accidents]],Table2[At Fault Accidents],Table2[At Fault Accident Factor],,0)</f>
        <v>1</v>
      </c>
      <c r="AC276">
        <f>_xlfn.XLOOKUP(Table1820[[#This Row],[Usage-Based Insurance]],Table3[Usage-Based Insurance],Table3[Usage-Based Insurance Discount],,0)</f>
        <v>1</v>
      </c>
      <c r="AD276">
        <f>_xlfn.XLOOKUP(Table1820[[#This Row],[Yearly Miles]],Table4[Yearly Miles],Table4[Yearly Miles Factor],,0)</f>
        <v>1.18</v>
      </c>
      <c r="AE276">
        <f>_xlfn.XLOOKUP(Table1820[[#This Row],[City/Zip Code]],Table5[City/Zip Code],Table5[City/Zip Code Factor],,0)</f>
        <v>1.02</v>
      </c>
      <c r="AF276">
        <f>_xlfn.XLOOKUP(Table1820[[#This Row],[Vehicle Price]],Table6[Vehicle Price],Table6[Vehicle Price Factor])</f>
        <v>1.28</v>
      </c>
      <c r="AG276">
        <f>_xlfn.XLOOKUP(Table1820[[#This Row],[Exotic Car]],Table7[Exotic Car],Table7[Exotic Car Factor],,0)</f>
        <v>1</v>
      </c>
      <c r="AH276">
        <f>_xlfn.XLOOKUP(Table1820[[#This Row],[Difficult Parts]],Table8[Difficult Parts],Table8[Difficult Parts Factor],,0)</f>
        <v>1</v>
      </c>
      <c r="AI276">
        <f>_xlfn.XLOOKUP(Table1820[[#This Row],[High Theft Rate]],Table9[High Theft Rate],Table9[High Theft Rate Factor],,0)</f>
        <v>1</v>
      </c>
      <c r="AJ276">
        <f>_xlfn.XLOOKUP(Table1820[[#This Row],[Advanced Safety Features]],Table10[Advanced Safety Features],Table10[Advanced Safety Features Factor],,0)</f>
        <v>1</v>
      </c>
      <c r="AK276">
        <f>_xlfn.XLOOKUP(Table1820[[#This Row],[Deductible]],Table12[Deductible],Table12[Deductible Factor],,0)</f>
        <v>1</v>
      </c>
      <c r="AL276">
        <f>_xlfn.XLOOKUP(Table1820[[#This Row],[Coverage Limit]],Table13[Coverage Limit],Table13[Coverage Limit Factor],,0)</f>
        <v>0.84</v>
      </c>
      <c r="AM276">
        <f>IF(Table1820[[#This Row],[Good Student Discount]]="Yes",'Rate Book'!$D$126,1)</f>
        <v>1</v>
      </c>
      <c r="AN276">
        <f>IF(Table1820[[#This Row],[Good Driver Discount]]="Yes",'Rate Book'!$D$127,1)</f>
        <v>1</v>
      </c>
      <c r="AO276">
        <f>IF(Table1820[[#This Row],[Multi Policy Discount]]="Yes",'Rate Book'!$D$128,1)</f>
        <v>0.93</v>
      </c>
      <c r="AP276">
        <f>IF(Table1820[[#This Row],[Loyal Customer Discount]]="Yes",'Rate Book'!$D$129,1)</f>
        <v>0.94</v>
      </c>
      <c r="AQ276">
        <f>IF(Table1820[[#This Row],[Organization Discount]]="Yes",'Rate Book'!$D$130,1)</f>
        <v>1</v>
      </c>
      <c r="AR276" cm="1">
        <f t="array" ref="AR276">IF(Table1820[[#This Row],[Effective Date]]&gt;=RateChangeTable[Effective Date],RateChangeTable[Rate Change Factor],1)</f>
        <v>1</v>
      </c>
      <c r="AS276" s="10">
        <f>PRODUCT(Table1820[[#This Row],[Base Rate]:[Rate Change Factor]])</f>
        <v>1220.3849570501316</v>
      </c>
      <c r="AT276" s="9">
        <f>Table1820[[#This Row],[System-Generated Premium]]-Table1820[[#This Row],[Expected Premium]]</f>
        <v>0</v>
      </c>
      <c r="AU276" t="str">
        <f>IF(Table1820[[#This Row],[Difference]]=0,"PASS","FAIL")</f>
        <v>PASS</v>
      </c>
      <c r="AV276" s="9">
        <f>ABS(Table1820[[#This Row],[Difference]])</f>
        <v>0</v>
      </c>
      <c r="AW276" s="9" t="s">
        <v>1136</v>
      </c>
    </row>
    <row r="277" spans="1:49" x14ac:dyDescent="0.3">
      <c r="A277" t="s">
        <v>368</v>
      </c>
      <c r="B277" s="7">
        <v>45891</v>
      </c>
      <c r="C277" t="s">
        <v>73</v>
      </c>
      <c r="D277" t="s">
        <v>1102</v>
      </c>
      <c r="E277" s="3">
        <v>2</v>
      </c>
      <c r="F277" s="3">
        <v>0</v>
      </c>
      <c r="G277" t="s">
        <v>11</v>
      </c>
      <c r="H277" t="s">
        <v>1107</v>
      </c>
      <c r="I277" t="s">
        <v>26</v>
      </c>
      <c r="J277" t="s">
        <v>51</v>
      </c>
      <c r="K277" t="s">
        <v>10</v>
      </c>
      <c r="L277" t="s">
        <v>10</v>
      </c>
      <c r="M277" t="s">
        <v>10</v>
      </c>
      <c r="N277" t="s">
        <v>10</v>
      </c>
      <c r="O277" t="str">
        <f>INDEX(CoverageTable[Deductible Applies],MATCH(Table1820[[#This Row],[Coverage]],CoverageTable[Coverage],0))</f>
        <v>No</v>
      </c>
      <c r="P277" t="str">
        <f>INDEX(CoverageTable[Coverage Limit Applies],MATCH(Table1820[[#This Row],[Coverage]],CoverageTable[Coverage],0))</f>
        <v>Yes</v>
      </c>
      <c r="Q277" t="s">
        <v>10</v>
      </c>
      <c r="R277" t="s">
        <v>80</v>
      </c>
      <c r="S277" t="s">
        <v>10</v>
      </c>
      <c r="T277" t="s">
        <v>10</v>
      </c>
      <c r="U277" t="s">
        <v>10</v>
      </c>
      <c r="V277" t="s">
        <v>10</v>
      </c>
      <c r="W277" t="s">
        <v>10</v>
      </c>
      <c r="X277" s="11">
        <v>152.58473445196799</v>
      </c>
      <c r="Y277">
        <f>_xlfn.XLOOKUP(Table1820[[#This Row],[Coverage]],CoverageTable[Coverage],CoverageTable[Base Rate],,0)</f>
        <v>78</v>
      </c>
      <c r="Z277">
        <f>INDEX(Table16[Ageband Factor],MATCH(Table1820[[#This Row],[Ageband]],Table16[Ageband],0))</f>
        <v>1.27</v>
      </c>
      <c r="AA277">
        <f>VLOOKUP(Table1820[[#This Row],[Years Driving]],Table1[],2)</f>
        <v>1.41</v>
      </c>
      <c r="AB277">
        <f>_xlfn.XLOOKUP(Table1820[[#This Row],[At Fault Accidents]],Table2[At Fault Accidents],Table2[At Fault Accident Factor],,0)</f>
        <v>1</v>
      </c>
      <c r="AC277">
        <f>_xlfn.XLOOKUP(Table1820[[#This Row],[Usage-Based Insurance]],Table3[Usage-Based Insurance],Table3[Usage-Based Insurance Discount],,0)</f>
        <v>0.95</v>
      </c>
      <c r="AD277">
        <f>_xlfn.XLOOKUP(Table1820[[#This Row],[Yearly Miles]],Table4[Yearly Miles],Table4[Yearly Miles Factor],,0)</f>
        <v>0.93</v>
      </c>
      <c r="AE277">
        <f>_xlfn.XLOOKUP(Table1820[[#This Row],[City/Zip Code]],Table5[City/Zip Code],Table5[City/Zip Code Factor],,0)</f>
        <v>1.1499999999999999</v>
      </c>
      <c r="AF277">
        <f>_xlfn.XLOOKUP(Table1820[[#This Row],[Vehicle Price]],Table6[Vehicle Price],Table6[Vehicle Price Factor])</f>
        <v>1.28</v>
      </c>
      <c r="AG277">
        <f>_xlfn.XLOOKUP(Table1820[[#This Row],[Exotic Car]],Table7[Exotic Car],Table7[Exotic Car Factor],,0)</f>
        <v>1</v>
      </c>
      <c r="AH277">
        <f>_xlfn.XLOOKUP(Table1820[[#This Row],[Difficult Parts]],Table8[Difficult Parts],Table8[Difficult Parts Factor],,0)</f>
        <v>1</v>
      </c>
      <c r="AI277">
        <f>_xlfn.XLOOKUP(Table1820[[#This Row],[High Theft Rate]],Table9[High Theft Rate],Table9[High Theft Rate Factor],,0)</f>
        <v>1</v>
      </c>
      <c r="AJ277">
        <f>_xlfn.XLOOKUP(Table1820[[#This Row],[Advanced Safety Features]],Table10[Advanced Safety Features],Table10[Advanced Safety Features Factor],,0)</f>
        <v>1</v>
      </c>
      <c r="AK277">
        <f>_xlfn.XLOOKUP(Table1820[[#This Row],[Deductible]],Table12[Deductible],Table12[Deductible Factor],,0)</f>
        <v>1</v>
      </c>
      <c r="AL277">
        <f>_xlfn.XLOOKUP(Table1820[[#This Row],[Coverage Limit]],Table13[Coverage Limit],Table13[Coverage Limit Factor],,0)</f>
        <v>0.84</v>
      </c>
      <c r="AM277">
        <f>IF(Table1820[[#This Row],[Good Student Discount]]="Yes",'Rate Book'!$D$126,1)</f>
        <v>1</v>
      </c>
      <c r="AN277">
        <f>IF(Table1820[[#This Row],[Good Driver Discount]]="Yes",'Rate Book'!$D$127,1)</f>
        <v>1</v>
      </c>
      <c r="AO277">
        <f>IF(Table1820[[#This Row],[Multi Policy Discount]]="Yes",'Rate Book'!$D$128,1)</f>
        <v>1</v>
      </c>
      <c r="AP277">
        <f>IF(Table1820[[#This Row],[Loyal Customer Discount]]="Yes",'Rate Book'!$D$129,1)</f>
        <v>1</v>
      </c>
      <c r="AQ277">
        <f>IF(Table1820[[#This Row],[Organization Discount]]="Yes",'Rate Book'!$D$130,1)</f>
        <v>1</v>
      </c>
      <c r="AR277" cm="1">
        <f t="array" ref="AR277">IF(Table1820[[#This Row],[Effective Date]]&gt;=RateChangeTable[Effective Date],RateChangeTable[Rate Change Factor],1)</f>
        <v>1</v>
      </c>
      <c r="AS277" s="10">
        <f>PRODUCT(Table1820[[#This Row],[Base Rate]:[Rate Change Factor]])</f>
        <v>152.58473445196799</v>
      </c>
      <c r="AT277" s="9">
        <f>Table1820[[#This Row],[System-Generated Premium]]-Table1820[[#This Row],[Expected Premium]]</f>
        <v>0</v>
      </c>
      <c r="AU277" t="str">
        <f>IF(Table1820[[#This Row],[Difference]]=0,"PASS","FAIL")</f>
        <v>PASS</v>
      </c>
      <c r="AV277" s="9">
        <f>ABS(Table1820[[#This Row],[Difference]])</f>
        <v>0</v>
      </c>
      <c r="AW277" s="9" t="s">
        <v>1136</v>
      </c>
    </row>
    <row r="278" spans="1:49" x14ac:dyDescent="0.3">
      <c r="A278" t="s">
        <v>369</v>
      </c>
      <c r="B278" s="7">
        <v>45917</v>
      </c>
      <c r="C278" t="s">
        <v>72</v>
      </c>
      <c r="D278" t="s">
        <v>1099</v>
      </c>
      <c r="E278" s="3">
        <v>5</v>
      </c>
      <c r="F278" s="3">
        <v>1</v>
      </c>
      <c r="G278" t="s">
        <v>11</v>
      </c>
      <c r="H278" t="s">
        <v>1107</v>
      </c>
      <c r="I278" t="s">
        <v>35</v>
      </c>
      <c r="J278" t="s">
        <v>50</v>
      </c>
      <c r="K278" t="s">
        <v>10</v>
      </c>
      <c r="L278" t="s">
        <v>57</v>
      </c>
      <c r="M278" t="s">
        <v>10</v>
      </c>
      <c r="N278" t="s">
        <v>10</v>
      </c>
      <c r="O278" t="str">
        <f>INDEX(CoverageTable[Deductible Applies],MATCH(Table1820[[#This Row],[Coverage]],CoverageTable[Coverage],0))</f>
        <v>Yes</v>
      </c>
      <c r="P278" t="str">
        <f>INDEX(CoverageTable[Coverage Limit Applies],MATCH(Table1820[[#This Row],[Coverage]],CoverageTable[Coverage],0))</f>
        <v>No</v>
      </c>
      <c r="Q278" t="s">
        <v>80</v>
      </c>
      <c r="R278" t="s">
        <v>10</v>
      </c>
      <c r="S278" t="s">
        <v>10</v>
      </c>
      <c r="T278" t="s">
        <v>10</v>
      </c>
      <c r="U278" t="s">
        <v>10</v>
      </c>
      <c r="V278" t="s">
        <v>10</v>
      </c>
      <c r="W278" t="s">
        <v>10</v>
      </c>
      <c r="X278" s="11">
        <v>161.52514705993883</v>
      </c>
      <c r="Y278">
        <f>_xlfn.XLOOKUP(Table1820[[#This Row],[Coverage]],CoverageTable[Coverage],CoverageTable[Base Rate],,0)</f>
        <v>121</v>
      </c>
      <c r="Z278">
        <f>INDEX(Table16[Ageband Factor],MATCH(Table1820[[#This Row],[Ageband]],Table16[Ageband],0))</f>
        <v>1</v>
      </c>
      <c r="AA278">
        <f>VLOOKUP(Table1820[[#This Row],[Years Driving]],Table1[],2)</f>
        <v>1.07</v>
      </c>
      <c r="AB278">
        <f>_xlfn.XLOOKUP(Table1820[[#This Row],[At Fault Accidents]],Table2[At Fault Accidents],Table2[At Fault Accident Factor],,0)</f>
        <v>1.34</v>
      </c>
      <c r="AC278">
        <f>_xlfn.XLOOKUP(Table1820[[#This Row],[Usage-Based Insurance]],Table3[Usage-Based Insurance],Table3[Usage-Based Insurance Discount],,0)</f>
        <v>0.95</v>
      </c>
      <c r="AD278">
        <f>_xlfn.XLOOKUP(Table1820[[#This Row],[Yearly Miles]],Table4[Yearly Miles],Table4[Yearly Miles Factor],,0)</f>
        <v>0.93</v>
      </c>
      <c r="AE278">
        <f>_xlfn.XLOOKUP(Table1820[[#This Row],[City/Zip Code]],Table5[City/Zip Code],Table5[City/Zip Code Factor],,0)</f>
        <v>1.1200000000000001</v>
      </c>
      <c r="AF278">
        <f>_xlfn.XLOOKUP(Table1820[[#This Row],[Vehicle Price]],Table6[Vehicle Price],Table6[Vehicle Price Factor])</f>
        <v>1.08</v>
      </c>
      <c r="AG278">
        <f>_xlfn.XLOOKUP(Table1820[[#This Row],[Exotic Car]],Table7[Exotic Car],Table7[Exotic Car Factor],,0)</f>
        <v>1</v>
      </c>
      <c r="AH278">
        <f>_xlfn.XLOOKUP(Table1820[[#This Row],[Difficult Parts]],Table8[Difficult Parts],Table8[Difficult Parts Factor],,0)</f>
        <v>1.21</v>
      </c>
      <c r="AI278">
        <f>_xlfn.XLOOKUP(Table1820[[#This Row],[High Theft Rate]],Table9[High Theft Rate],Table9[High Theft Rate Factor],,0)</f>
        <v>1</v>
      </c>
      <c r="AJ278">
        <f>_xlfn.XLOOKUP(Table1820[[#This Row],[Advanced Safety Features]],Table10[Advanced Safety Features],Table10[Advanced Safety Features Factor],,0)</f>
        <v>1</v>
      </c>
      <c r="AK278">
        <f>_xlfn.XLOOKUP(Table1820[[#This Row],[Deductible]],Table12[Deductible],Table12[Deductible Factor],,0)</f>
        <v>0.72</v>
      </c>
      <c r="AL278">
        <f>_xlfn.XLOOKUP(Table1820[[#This Row],[Coverage Limit]],Table13[Coverage Limit],Table13[Coverage Limit Factor],,0)</f>
        <v>1</v>
      </c>
      <c r="AM278">
        <f>IF(Table1820[[#This Row],[Good Student Discount]]="Yes",'Rate Book'!$D$126,1)</f>
        <v>1</v>
      </c>
      <c r="AN278">
        <f>IF(Table1820[[#This Row],[Good Driver Discount]]="Yes",'Rate Book'!$D$127,1)</f>
        <v>1</v>
      </c>
      <c r="AO278">
        <f>IF(Table1820[[#This Row],[Multi Policy Discount]]="Yes",'Rate Book'!$D$128,1)</f>
        <v>1</v>
      </c>
      <c r="AP278">
        <f>IF(Table1820[[#This Row],[Loyal Customer Discount]]="Yes",'Rate Book'!$D$129,1)</f>
        <v>1</v>
      </c>
      <c r="AQ278">
        <f>IF(Table1820[[#This Row],[Organization Discount]]="Yes",'Rate Book'!$D$130,1)</f>
        <v>1</v>
      </c>
      <c r="AR278" cm="1">
        <f t="array" ref="AR278">IF(Table1820[[#This Row],[Effective Date]]&gt;=RateChangeTable[Effective Date],RateChangeTable[Rate Change Factor],1)</f>
        <v>1</v>
      </c>
      <c r="AS278" s="10">
        <f>PRODUCT(Table1820[[#This Row],[Base Rate]:[Rate Change Factor]])</f>
        <v>161.52514705993883</v>
      </c>
      <c r="AT278" s="9">
        <f>Table1820[[#This Row],[System-Generated Premium]]-Table1820[[#This Row],[Expected Premium]]</f>
        <v>0</v>
      </c>
      <c r="AU278" t="str">
        <f>IF(Table1820[[#This Row],[Difference]]=0,"PASS","FAIL")</f>
        <v>PASS</v>
      </c>
      <c r="AV278" s="9">
        <f>ABS(Table1820[[#This Row],[Difference]])</f>
        <v>0</v>
      </c>
      <c r="AW278" s="9" t="s">
        <v>1136</v>
      </c>
    </row>
    <row r="279" spans="1:49" x14ac:dyDescent="0.3">
      <c r="A279" t="s">
        <v>370</v>
      </c>
      <c r="B279" s="7">
        <v>45948</v>
      </c>
      <c r="C279" t="s">
        <v>71</v>
      </c>
      <c r="D279" t="s">
        <v>1101</v>
      </c>
      <c r="E279" s="3">
        <v>7</v>
      </c>
      <c r="F279" s="3">
        <v>1</v>
      </c>
      <c r="G279" t="s">
        <v>10</v>
      </c>
      <c r="H279" t="s">
        <v>1109</v>
      </c>
      <c r="I279" t="s">
        <v>33</v>
      </c>
      <c r="J279" t="s">
        <v>50</v>
      </c>
      <c r="K279" t="s">
        <v>10</v>
      </c>
      <c r="L279" t="s">
        <v>10</v>
      </c>
      <c r="M279" t="s">
        <v>10</v>
      </c>
      <c r="N279" t="s">
        <v>10</v>
      </c>
      <c r="O279" t="str">
        <f>INDEX(CoverageTable[Deductible Applies],MATCH(Table1820[[#This Row],[Coverage]],CoverageTable[Coverage],0))</f>
        <v>Yes</v>
      </c>
      <c r="P279" t="str">
        <f>INDEX(CoverageTable[Coverage Limit Applies],MATCH(Table1820[[#This Row],[Coverage]],CoverageTable[Coverage],0))</f>
        <v>No</v>
      </c>
      <c r="Q279" t="s">
        <v>79</v>
      </c>
      <c r="R279" t="s">
        <v>10</v>
      </c>
      <c r="S279" t="s">
        <v>57</v>
      </c>
      <c r="T279" t="s">
        <v>57</v>
      </c>
      <c r="U279" t="s">
        <v>10</v>
      </c>
      <c r="V279" t="s">
        <v>10</v>
      </c>
      <c r="W279" t="s">
        <v>10</v>
      </c>
      <c r="X279" s="11">
        <v>577.44108792161921</v>
      </c>
      <c r="Y279">
        <f>_xlfn.XLOOKUP(Table1820[[#This Row],[Coverage]],CoverageTable[Coverage],CoverageTable[Base Rate],,0)</f>
        <v>453</v>
      </c>
      <c r="Z279">
        <f>INDEX(Table16[Ageband Factor],MATCH(Table1820[[#This Row],[Ageband]],Table16[Ageband],0))</f>
        <v>1.1200000000000001</v>
      </c>
      <c r="AA279">
        <f>VLOOKUP(Table1820[[#This Row],[Years Driving]],Table1[],2)</f>
        <v>0.95</v>
      </c>
      <c r="AB279">
        <f>_xlfn.XLOOKUP(Table1820[[#This Row],[At Fault Accidents]],Table2[At Fault Accidents],Table2[At Fault Accident Factor],,0)</f>
        <v>1.34</v>
      </c>
      <c r="AC279">
        <f>_xlfn.XLOOKUP(Table1820[[#This Row],[Usage-Based Insurance]],Table3[Usage-Based Insurance],Table3[Usage-Based Insurance Discount],,0)</f>
        <v>1</v>
      </c>
      <c r="AD279">
        <f>_xlfn.XLOOKUP(Table1820[[#This Row],[Yearly Miles]],Table4[Yearly Miles],Table4[Yearly Miles Factor],,0)</f>
        <v>1.18</v>
      </c>
      <c r="AE279">
        <f>_xlfn.XLOOKUP(Table1820[[#This Row],[City/Zip Code]],Table5[City/Zip Code],Table5[City/Zip Code Factor],,0)</f>
        <v>1.02</v>
      </c>
      <c r="AF279">
        <f>_xlfn.XLOOKUP(Table1820[[#This Row],[Vehicle Price]],Table6[Vehicle Price],Table6[Vehicle Price Factor])</f>
        <v>1.08</v>
      </c>
      <c r="AG279">
        <f>_xlfn.XLOOKUP(Table1820[[#This Row],[Exotic Car]],Table7[Exotic Car],Table7[Exotic Car Factor],,0)</f>
        <v>1</v>
      </c>
      <c r="AH279">
        <f>_xlfn.XLOOKUP(Table1820[[#This Row],[Difficult Parts]],Table8[Difficult Parts],Table8[Difficult Parts Factor],,0)</f>
        <v>1</v>
      </c>
      <c r="AI279">
        <f>_xlfn.XLOOKUP(Table1820[[#This Row],[High Theft Rate]],Table9[High Theft Rate],Table9[High Theft Rate Factor],,0)</f>
        <v>1</v>
      </c>
      <c r="AJ279">
        <f>_xlfn.XLOOKUP(Table1820[[#This Row],[Advanced Safety Features]],Table10[Advanced Safety Features],Table10[Advanced Safety Features Factor],,0)</f>
        <v>1</v>
      </c>
      <c r="AK279">
        <f>_xlfn.XLOOKUP(Table1820[[#This Row],[Deductible]],Table12[Deductible],Table12[Deductible Factor],,0)</f>
        <v>0.84</v>
      </c>
      <c r="AL279">
        <f>_xlfn.XLOOKUP(Table1820[[#This Row],[Coverage Limit]],Table13[Coverage Limit],Table13[Coverage Limit Factor],,0)</f>
        <v>1</v>
      </c>
      <c r="AM279">
        <f>IF(Table1820[[#This Row],[Good Student Discount]]="Yes",'Rate Book'!$D$126,1)</f>
        <v>0.92</v>
      </c>
      <c r="AN279">
        <f>IF(Table1820[[#This Row],[Good Driver Discount]]="Yes",'Rate Book'!$D$127,1)</f>
        <v>0.89</v>
      </c>
      <c r="AO279">
        <f>IF(Table1820[[#This Row],[Multi Policy Discount]]="Yes",'Rate Book'!$D$128,1)</f>
        <v>1</v>
      </c>
      <c r="AP279">
        <f>IF(Table1820[[#This Row],[Loyal Customer Discount]]="Yes",'Rate Book'!$D$129,1)</f>
        <v>1</v>
      </c>
      <c r="AQ279">
        <f>IF(Table1820[[#This Row],[Organization Discount]]="Yes",'Rate Book'!$D$130,1)</f>
        <v>1</v>
      </c>
      <c r="AR279" cm="1">
        <f t="array" ref="AR279">IF(Table1820[[#This Row],[Effective Date]]&gt;=RateChangeTable[Effective Date],RateChangeTable[Rate Change Factor],1)</f>
        <v>1</v>
      </c>
      <c r="AS279" s="10">
        <f>PRODUCT(Table1820[[#This Row],[Base Rate]:[Rate Change Factor]])</f>
        <v>577.44108792161921</v>
      </c>
      <c r="AT279" s="9">
        <f>Table1820[[#This Row],[System-Generated Premium]]-Table1820[[#This Row],[Expected Premium]]</f>
        <v>0</v>
      </c>
      <c r="AU279" t="str">
        <f>IF(Table1820[[#This Row],[Difference]]=0,"PASS","FAIL")</f>
        <v>PASS</v>
      </c>
      <c r="AV279" s="9">
        <f>ABS(Table1820[[#This Row],[Difference]])</f>
        <v>0</v>
      </c>
      <c r="AW279" s="9" t="s">
        <v>1136</v>
      </c>
    </row>
    <row r="280" spans="1:49" x14ac:dyDescent="0.3">
      <c r="A280" t="s">
        <v>371</v>
      </c>
      <c r="B280" s="7">
        <v>45967</v>
      </c>
      <c r="C280" t="s">
        <v>70</v>
      </c>
      <c r="D280" t="s">
        <v>1101</v>
      </c>
      <c r="E280" s="3">
        <v>3</v>
      </c>
      <c r="F280" s="3">
        <v>0</v>
      </c>
      <c r="G280" t="s">
        <v>10</v>
      </c>
      <c r="H280" t="s">
        <v>1109</v>
      </c>
      <c r="I280" t="s">
        <v>28</v>
      </c>
      <c r="J280" t="s">
        <v>48</v>
      </c>
      <c r="K280" t="s">
        <v>10</v>
      </c>
      <c r="L280" t="s">
        <v>57</v>
      </c>
      <c r="M280" t="s">
        <v>10</v>
      </c>
      <c r="N280" t="s">
        <v>10</v>
      </c>
      <c r="O280" t="str">
        <f>INDEX(CoverageTable[Deductible Applies],MATCH(Table1820[[#This Row],[Coverage]],CoverageTable[Coverage],0))</f>
        <v>No</v>
      </c>
      <c r="P280" t="str">
        <f>INDEX(CoverageTable[Coverage Limit Applies],MATCH(Table1820[[#This Row],[Coverage]],CoverageTable[Coverage],0))</f>
        <v>Yes</v>
      </c>
      <c r="Q280" t="s">
        <v>10</v>
      </c>
      <c r="R280" t="s">
        <v>79</v>
      </c>
      <c r="S280" t="s">
        <v>10</v>
      </c>
      <c r="T280" t="s">
        <v>10</v>
      </c>
      <c r="U280" t="s">
        <v>57</v>
      </c>
      <c r="V280" t="s">
        <v>10</v>
      </c>
      <c r="W280" t="s">
        <v>10</v>
      </c>
      <c r="X280" s="11">
        <v>632.97785793024923</v>
      </c>
      <c r="Y280">
        <f>_xlfn.XLOOKUP(Table1820[[#This Row],[Coverage]],CoverageTable[Coverage],CoverageTable[Base Rate],,0)</f>
        <v>622</v>
      </c>
      <c r="Z280">
        <f>INDEX(Table16[Ageband Factor],MATCH(Table1820[[#This Row],[Ageband]],Table16[Ageband],0))</f>
        <v>1.1200000000000001</v>
      </c>
      <c r="AA280">
        <f>VLOOKUP(Table1820[[#This Row],[Years Driving]],Table1[],2)</f>
        <v>1.22</v>
      </c>
      <c r="AB280">
        <f>_xlfn.XLOOKUP(Table1820[[#This Row],[At Fault Accidents]],Table2[At Fault Accidents],Table2[At Fault Accident Factor],,0)</f>
        <v>1</v>
      </c>
      <c r="AC280">
        <f>_xlfn.XLOOKUP(Table1820[[#This Row],[Usage-Based Insurance]],Table3[Usage-Based Insurance],Table3[Usage-Based Insurance Discount],,0)</f>
        <v>1</v>
      </c>
      <c r="AD280">
        <f>_xlfn.XLOOKUP(Table1820[[#This Row],[Yearly Miles]],Table4[Yearly Miles],Table4[Yearly Miles Factor],,0)</f>
        <v>1.18</v>
      </c>
      <c r="AE280">
        <f>_xlfn.XLOOKUP(Table1820[[#This Row],[City/Zip Code]],Table5[City/Zip Code],Table5[City/Zip Code Factor],,0)</f>
        <v>0.95</v>
      </c>
      <c r="AF280">
        <f>_xlfn.XLOOKUP(Table1820[[#This Row],[Vehicle Price]],Table6[Vehicle Price],Table6[Vehicle Price Factor])</f>
        <v>0.82</v>
      </c>
      <c r="AG280">
        <f>_xlfn.XLOOKUP(Table1820[[#This Row],[Exotic Car]],Table7[Exotic Car],Table7[Exotic Car Factor],,0)</f>
        <v>1</v>
      </c>
      <c r="AH280">
        <f>_xlfn.XLOOKUP(Table1820[[#This Row],[Difficult Parts]],Table8[Difficult Parts],Table8[Difficult Parts Factor],,0)</f>
        <v>1.21</v>
      </c>
      <c r="AI280">
        <f>_xlfn.XLOOKUP(Table1820[[#This Row],[High Theft Rate]],Table9[High Theft Rate],Table9[High Theft Rate Factor],,0)</f>
        <v>1</v>
      </c>
      <c r="AJ280">
        <f>_xlfn.XLOOKUP(Table1820[[#This Row],[Advanced Safety Features]],Table10[Advanced Safety Features],Table10[Advanced Safety Features Factor],,0)</f>
        <v>1</v>
      </c>
      <c r="AK280">
        <f>_xlfn.XLOOKUP(Table1820[[#This Row],[Deductible]],Table12[Deductible],Table12[Deductible Factor],,0)</f>
        <v>1</v>
      </c>
      <c r="AL280">
        <f>_xlfn.XLOOKUP(Table1820[[#This Row],[Coverage Limit]],Table13[Coverage Limit],Table13[Coverage Limit Factor],,0)</f>
        <v>0.72</v>
      </c>
      <c r="AM280">
        <f>IF(Table1820[[#This Row],[Good Student Discount]]="Yes",'Rate Book'!$D$126,1)</f>
        <v>1</v>
      </c>
      <c r="AN280">
        <f>IF(Table1820[[#This Row],[Good Driver Discount]]="Yes",'Rate Book'!$D$127,1)</f>
        <v>1</v>
      </c>
      <c r="AO280">
        <f>IF(Table1820[[#This Row],[Multi Policy Discount]]="Yes",'Rate Book'!$D$128,1)</f>
        <v>0.93</v>
      </c>
      <c r="AP280">
        <f>IF(Table1820[[#This Row],[Loyal Customer Discount]]="Yes",'Rate Book'!$D$129,1)</f>
        <v>1</v>
      </c>
      <c r="AQ280">
        <f>IF(Table1820[[#This Row],[Organization Discount]]="Yes",'Rate Book'!$D$130,1)</f>
        <v>1</v>
      </c>
      <c r="AR280" cm="1">
        <f t="array" ref="AR280">IF(Table1820[[#This Row],[Effective Date]]&gt;=RateChangeTable[Effective Date],RateChangeTable[Rate Change Factor],1)</f>
        <v>1</v>
      </c>
      <c r="AS280" s="10">
        <f>PRODUCT(Table1820[[#This Row],[Base Rate]:[Rate Change Factor]])</f>
        <v>632.97785793024923</v>
      </c>
      <c r="AT280" s="9">
        <f>Table1820[[#This Row],[System-Generated Premium]]-Table1820[[#This Row],[Expected Premium]]</f>
        <v>0</v>
      </c>
      <c r="AU280" t="str">
        <f>IF(Table1820[[#This Row],[Difference]]=0,"PASS","FAIL")</f>
        <v>PASS</v>
      </c>
      <c r="AV280" s="9">
        <f>ABS(Table1820[[#This Row],[Difference]])</f>
        <v>0</v>
      </c>
      <c r="AW280" s="9" t="s">
        <v>1136</v>
      </c>
    </row>
    <row r="281" spans="1:49" x14ac:dyDescent="0.3">
      <c r="A281" t="s">
        <v>372</v>
      </c>
      <c r="B281" s="7">
        <v>46115</v>
      </c>
      <c r="C281" t="s">
        <v>72</v>
      </c>
      <c r="D281" t="s">
        <v>1101</v>
      </c>
      <c r="E281" s="3" t="s">
        <v>1103</v>
      </c>
      <c r="F281" s="3">
        <v>0</v>
      </c>
      <c r="G281" t="s">
        <v>10</v>
      </c>
      <c r="H281" t="s">
        <v>1107</v>
      </c>
      <c r="I281" t="s">
        <v>30</v>
      </c>
      <c r="J281" t="s">
        <v>51</v>
      </c>
      <c r="K281" t="s">
        <v>10</v>
      </c>
      <c r="L281" t="s">
        <v>10</v>
      </c>
      <c r="M281" t="s">
        <v>10</v>
      </c>
      <c r="N281" t="s">
        <v>10</v>
      </c>
      <c r="O281" t="str">
        <f>INDEX(CoverageTable[Deductible Applies],MATCH(Table1820[[#This Row],[Coverage]],CoverageTable[Coverage],0))</f>
        <v>Yes</v>
      </c>
      <c r="P281" t="str">
        <f>INDEX(CoverageTable[Coverage Limit Applies],MATCH(Table1820[[#This Row],[Coverage]],CoverageTable[Coverage],0))</f>
        <v>No</v>
      </c>
      <c r="Q281" t="s">
        <v>80</v>
      </c>
      <c r="R281" t="s">
        <v>10</v>
      </c>
      <c r="S281" t="s">
        <v>10</v>
      </c>
      <c r="T281" t="s">
        <v>10</v>
      </c>
      <c r="U281" t="s">
        <v>10</v>
      </c>
      <c r="V281" t="s">
        <v>57</v>
      </c>
      <c r="W281" t="s">
        <v>10</v>
      </c>
      <c r="X281" s="11">
        <v>109.78566751396826</v>
      </c>
      <c r="Y281">
        <f>_xlfn.XLOOKUP(Table1820[[#This Row],[Coverage]],CoverageTable[Coverage],CoverageTable[Base Rate],,0)</f>
        <v>121</v>
      </c>
      <c r="Z281">
        <f>INDEX(Table16[Ageband Factor],MATCH(Table1820[[#This Row],[Ageband]],Table16[Ageband],0))</f>
        <v>1.1200000000000001</v>
      </c>
      <c r="AA281">
        <f>VLOOKUP(Table1820[[#This Row],[Years Driving]],Table1[],2)</f>
        <v>0.93</v>
      </c>
      <c r="AB281">
        <f>_xlfn.XLOOKUP(Table1820[[#This Row],[At Fault Accidents]],Table2[At Fault Accidents],Table2[At Fault Accident Factor],,0)</f>
        <v>1</v>
      </c>
      <c r="AC281">
        <f>_xlfn.XLOOKUP(Table1820[[#This Row],[Usage-Based Insurance]],Table3[Usage-Based Insurance],Table3[Usage-Based Insurance Discount],,0)</f>
        <v>1</v>
      </c>
      <c r="AD281">
        <f>_xlfn.XLOOKUP(Table1820[[#This Row],[Yearly Miles]],Table4[Yearly Miles],Table4[Yearly Miles Factor],,0)</f>
        <v>0.93</v>
      </c>
      <c r="AE281">
        <f>_xlfn.XLOOKUP(Table1820[[#This Row],[City/Zip Code]],Table5[City/Zip Code],Table5[City/Zip Code Factor],,0)</f>
        <v>1.02</v>
      </c>
      <c r="AF281">
        <f>_xlfn.XLOOKUP(Table1820[[#This Row],[Vehicle Price]],Table6[Vehicle Price],Table6[Vehicle Price Factor])</f>
        <v>1.28</v>
      </c>
      <c r="AG281">
        <f>_xlfn.XLOOKUP(Table1820[[#This Row],[Exotic Car]],Table7[Exotic Car],Table7[Exotic Car Factor],,0)</f>
        <v>1</v>
      </c>
      <c r="AH281">
        <f>_xlfn.XLOOKUP(Table1820[[#This Row],[Difficult Parts]],Table8[Difficult Parts],Table8[Difficult Parts Factor],,0)</f>
        <v>1</v>
      </c>
      <c r="AI281">
        <f>_xlfn.XLOOKUP(Table1820[[#This Row],[High Theft Rate]],Table9[High Theft Rate],Table9[High Theft Rate Factor],,0)</f>
        <v>1</v>
      </c>
      <c r="AJ281">
        <f>_xlfn.XLOOKUP(Table1820[[#This Row],[Advanced Safety Features]],Table10[Advanced Safety Features],Table10[Advanced Safety Features Factor],,0)</f>
        <v>1</v>
      </c>
      <c r="AK281">
        <f>_xlfn.XLOOKUP(Table1820[[#This Row],[Deductible]],Table12[Deductible],Table12[Deductible Factor],,0)</f>
        <v>0.72</v>
      </c>
      <c r="AL281">
        <f>_xlfn.XLOOKUP(Table1820[[#This Row],[Coverage Limit]],Table13[Coverage Limit],Table13[Coverage Limit Factor],,0)</f>
        <v>1</v>
      </c>
      <c r="AM281">
        <f>IF(Table1820[[#This Row],[Good Student Discount]]="Yes",'Rate Book'!$D$126,1)</f>
        <v>1</v>
      </c>
      <c r="AN281">
        <f>IF(Table1820[[#This Row],[Good Driver Discount]]="Yes",'Rate Book'!$D$127,1)</f>
        <v>1</v>
      </c>
      <c r="AO281">
        <f>IF(Table1820[[#This Row],[Multi Policy Discount]]="Yes",'Rate Book'!$D$128,1)</f>
        <v>1</v>
      </c>
      <c r="AP281">
        <f>IF(Table1820[[#This Row],[Loyal Customer Discount]]="Yes",'Rate Book'!$D$129,1)</f>
        <v>0.94</v>
      </c>
      <c r="AQ281">
        <f>IF(Table1820[[#This Row],[Organization Discount]]="Yes",'Rate Book'!$D$130,1)</f>
        <v>1</v>
      </c>
      <c r="AR281" cm="1">
        <f t="array" ref="AR281">IF(Table1820[[#This Row],[Effective Date]]&gt;=RateChangeTable[Effective Date],RateChangeTable[Rate Change Factor],1)</f>
        <v>1.06</v>
      </c>
      <c r="AS281" s="10">
        <f>PRODUCT(Table1820[[#This Row],[Base Rate]:[Rate Change Factor]])</f>
        <v>109.78566751396826</v>
      </c>
      <c r="AT281" s="9">
        <f>Table1820[[#This Row],[System-Generated Premium]]-Table1820[[#This Row],[Expected Premium]]</f>
        <v>0</v>
      </c>
      <c r="AU281" t="str">
        <f>IF(Table1820[[#This Row],[Difference]]=0,"PASS","FAIL")</f>
        <v>PASS</v>
      </c>
      <c r="AV281" s="9">
        <f>ABS(Table1820[[#This Row],[Difference]])</f>
        <v>0</v>
      </c>
      <c r="AW281" s="9" t="s">
        <v>1136</v>
      </c>
    </row>
    <row r="282" spans="1:49" x14ac:dyDescent="0.3">
      <c r="A282" t="s">
        <v>373</v>
      </c>
      <c r="B282" s="7">
        <v>46019</v>
      </c>
      <c r="C282" t="s">
        <v>71</v>
      </c>
      <c r="D282" t="s">
        <v>1102</v>
      </c>
      <c r="E282" s="3">
        <v>5</v>
      </c>
      <c r="F282" s="3">
        <v>0</v>
      </c>
      <c r="G282" t="s">
        <v>12</v>
      </c>
      <c r="H282" t="s">
        <v>1107</v>
      </c>
      <c r="I282" t="s">
        <v>36</v>
      </c>
      <c r="J282" t="s">
        <v>48</v>
      </c>
      <c r="K282" t="s">
        <v>10</v>
      </c>
      <c r="L282" t="s">
        <v>10</v>
      </c>
      <c r="M282" t="s">
        <v>57</v>
      </c>
      <c r="N282" t="s">
        <v>10</v>
      </c>
      <c r="O282" t="str">
        <f>INDEX(CoverageTable[Deductible Applies],MATCH(Table1820[[#This Row],[Coverage]],CoverageTable[Coverage],0))</f>
        <v>Yes</v>
      </c>
      <c r="P282" t="str">
        <f>INDEX(CoverageTable[Coverage Limit Applies],MATCH(Table1820[[#This Row],[Coverage]],CoverageTable[Coverage],0))</f>
        <v>No</v>
      </c>
      <c r="Q282" t="s">
        <v>80</v>
      </c>
      <c r="R282" t="s">
        <v>10</v>
      </c>
      <c r="S282" t="s">
        <v>10</v>
      </c>
      <c r="T282" t="s">
        <v>10</v>
      </c>
      <c r="U282" t="s">
        <v>10</v>
      </c>
      <c r="V282" t="s">
        <v>10</v>
      </c>
      <c r="W282" t="s">
        <v>10</v>
      </c>
      <c r="X282" s="11">
        <v>307.38951515788187</v>
      </c>
      <c r="Y282">
        <f>_xlfn.XLOOKUP(Table1820[[#This Row],[Coverage]],CoverageTable[Coverage],CoverageTable[Base Rate],,0)</f>
        <v>453</v>
      </c>
      <c r="Z282">
        <f>INDEX(Table16[Ageband Factor],MATCH(Table1820[[#This Row],[Ageband]],Table16[Ageband],0))</f>
        <v>1.27</v>
      </c>
      <c r="AA282">
        <f>VLOOKUP(Table1820[[#This Row],[Years Driving]],Table1[],2)</f>
        <v>1.07</v>
      </c>
      <c r="AB282">
        <f>_xlfn.XLOOKUP(Table1820[[#This Row],[At Fault Accidents]],Table2[At Fault Accidents],Table2[At Fault Accident Factor],,0)</f>
        <v>1</v>
      </c>
      <c r="AC282">
        <f>_xlfn.XLOOKUP(Table1820[[#This Row],[Usage-Based Insurance]],Table3[Usage-Based Insurance],Table3[Usage-Based Insurance Discount],,0)</f>
        <v>0.8</v>
      </c>
      <c r="AD282">
        <f>_xlfn.XLOOKUP(Table1820[[#This Row],[Yearly Miles]],Table4[Yearly Miles],Table4[Yearly Miles Factor],,0)</f>
        <v>0.93</v>
      </c>
      <c r="AE282">
        <f>_xlfn.XLOOKUP(Table1820[[#This Row],[City/Zip Code]],Table5[City/Zip Code],Table5[City/Zip Code Factor],,0)</f>
        <v>0.98</v>
      </c>
      <c r="AF282">
        <f>_xlfn.XLOOKUP(Table1820[[#This Row],[Vehicle Price]],Table6[Vehicle Price],Table6[Vehicle Price Factor])</f>
        <v>0.82</v>
      </c>
      <c r="AG282">
        <f>_xlfn.XLOOKUP(Table1820[[#This Row],[Exotic Car]],Table7[Exotic Car],Table7[Exotic Car Factor],,0)</f>
        <v>1</v>
      </c>
      <c r="AH282">
        <f>_xlfn.XLOOKUP(Table1820[[#This Row],[Difficult Parts]],Table8[Difficult Parts],Table8[Difficult Parts Factor],,0)</f>
        <v>1</v>
      </c>
      <c r="AI282">
        <f>_xlfn.XLOOKUP(Table1820[[#This Row],[High Theft Rate]],Table9[High Theft Rate],Table9[High Theft Rate Factor],,0)</f>
        <v>1.1599999999999999</v>
      </c>
      <c r="AJ282">
        <f>_xlfn.XLOOKUP(Table1820[[#This Row],[Advanced Safety Features]],Table10[Advanced Safety Features],Table10[Advanced Safety Features Factor],,0)</f>
        <v>1</v>
      </c>
      <c r="AK282">
        <f>_xlfn.XLOOKUP(Table1820[[#This Row],[Deductible]],Table12[Deductible],Table12[Deductible Factor],,0)</f>
        <v>0.72</v>
      </c>
      <c r="AL282">
        <f>_xlfn.XLOOKUP(Table1820[[#This Row],[Coverage Limit]],Table13[Coverage Limit],Table13[Coverage Limit Factor],,0)</f>
        <v>1</v>
      </c>
      <c r="AM282">
        <f>IF(Table1820[[#This Row],[Good Student Discount]]="Yes",'Rate Book'!$D$126,1)</f>
        <v>1</v>
      </c>
      <c r="AN282">
        <f>IF(Table1820[[#This Row],[Good Driver Discount]]="Yes",'Rate Book'!$D$127,1)</f>
        <v>1</v>
      </c>
      <c r="AO282">
        <f>IF(Table1820[[#This Row],[Multi Policy Discount]]="Yes",'Rate Book'!$D$128,1)</f>
        <v>1</v>
      </c>
      <c r="AP282">
        <f>IF(Table1820[[#This Row],[Loyal Customer Discount]]="Yes",'Rate Book'!$D$129,1)</f>
        <v>1</v>
      </c>
      <c r="AQ282">
        <f>IF(Table1820[[#This Row],[Organization Discount]]="Yes",'Rate Book'!$D$130,1)</f>
        <v>1</v>
      </c>
      <c r="AR282" cm="1">
        <f t="array" ref="AR282">IF(Table1820[[#This Row],[Effective Date]]&gt;=RateChangeTable[Effective Date],RateChangeTable[Rate Change Factor],1)</f>
        <v>1</v>
      </c>
      <c r="AS282" s="10">
        <f>PRODUCT(Table1820[[#This Row],[Base Rate]:[Rate Change Factor]])</f>
        <v>307.38951515788187</v>
      </c>
      <c r="AT282" s="9">
        <f>Table1820[[#This Row],[System-Generated Premium]]-Table1820[[#This Row],[Expected Premium]]</f>
        <v>0</v>
      </c>
      <c r="AU282" t="str">
        <f>IF(Table1820[[#This Row],[Difference]]=0,"PASS","FAIL")</f>
        <v>PASS</v>
      </c>
      <c r="AV282" s="9">
        <f>ABS(Table1820[[#This Row],[Difference]])</f>
        <v>0</v>
      </c>
      <c r="AW282" s="9" t="s">
        <v>1136</v>
      </c>
    </row>
    <row r="283" spans="1:49" x14ac:dyDescent="0.3">
      <c r="A283" t="s">
        <v>374</v>
      </c>
      <c r="B283" s="7">
        <v>45985</v>
      </c>
      <c r="C283" t="s">
        <v>71</v>
      </c>
      <c r="D283" t="s">
        <v>1098</v>
      </c>
      <c r="E283" s="3" t="s">
        <v>1103</v>
      </c>
      <c r="F283" s="3">
        <v>0</v>
      </c>
      <c r="G283" t="s">
        <v>13</v>
      </c>
      <c r="H283" t="s">
        <v>1108</v>
      </c>
      <c r="I283" t="s">
        <v>42</v>
      </c>
      <c r="J283" t="s">
        <v>54</v>
      </c>
      <c r="K283" t="s">
        <v>10</v>
      </c>
      <c r="L283" t="s">
        <v>10</v>
      </c>
      <c r="M283" t="s">
        <v>10</v>
      </c>
      <c r="N283" t="s">
        <v>57</v>
      </c>
      <c r="O283" t="str">
        <f>INDEX(CoverageTable[Deductible Applies],MATCH(Table1820[[#This Row],[Coverage]],CoverageTable[Coverage],0))</f>
        <v>Yes</v>
      </c>
      <c r="P283" t="str">
        <f>INDEX(CoverageTable[Coverage Limit Applies],MATCH(Table1820[[#This Row],[Coverage]],CoverageTable[Coverage],0))</f>
        <v>No</v>
      </c>
      <c r="Q283" t="s">
        <v>79</v>
      </c>
      <c r="R283" t="s">
        <v>10</v>
      </c>
      <c r="S283" t="s">
        <v>10</v>
      </c>
      <c r="T283" t="s">
        <v>57</v>
      </c>
      <c r="U283" t="s">
        <v>10</v>
      </c>
      <c r="V283" t="s">
        <v>57</v>
      </c>
      <c r="W283" t="s">
        <v>57</v>
      </c>
      <c r="X283" s="11">
        <v>701.64662157018597</v>
      </c>
      <c r="Y283">
        <f>_xlfn.XLOOKUP(Table1820[[#This Row],[Coverage]],CoverageTable[Coverage],CoverageTable[Base Rate],,0)</f>
        <v>453</v>
      </c>
      <c r="Z283">
        <f>INDEX(Table16[Ageband Factor],MATCH(Table1820[[#This Row],[Ageband]],Table16[Ageband],0))</f>
        <v>1.23</v>
      </c>
      <c r="AA283">
        <f>VLOOKUP(Table1820[[#This Row],[Years Driving]],Table1[],2)</f>
        <v>0.93</v>
      </c>
      <c r="AB283">
        <f>_xlfn.XLOOKUP(Table1820[[#This Row],[At Fault Accidents]],Table2[At Fault Accidents],Table2[At Fault Accident Factor],,0)</f>
        <v>1</v>
      </c>
      <c r="AC283">
        <f>_xlfn.XLOOKUP(Table1820[[#This Row],[Usage-Based Insurance]],Table3[Usage-Based Insurance],Table3[Usage-Based Insurance Discount],,0)</f>
        <v>0.65</v>
      </c>
      <c r="AD283">
        <f>_xlfn.XLOOKUP(Table1820[[#This Row],[Yearly Miles]],Table4[Yearly Miles],Table4[Yearly Miles Factor],,0)</f>
        <v>1</v>
      </c>
      <c r="AE283">
        <f>_xlfn.XLOOKUP(Table1820[[#This Row],[City/Zip Code]],Table5[City/Zip Code],Table5[City/Zip Code Factor],,0)</f>
        <v>1.21</v>
      </c>
      <c r="AF283">
        <f>_xlfn.XLOOKUP(Table1820[[#This Row],[Vehicle Price]],Table6[Vehicle Price],Table6[Vehicle Price Factor])</f>
        <v>2.87</v>
      </c>
      <c r="AG283">
        <f>_xlfn.XLOOKUP(Table1820[[#This Row],[Exotic Car]],Table7[Exotic Car],Table7[Exotic Car Factor],,0)</f>
        <v>1</v>
      </c>
      <c r="AH283">
        <f>_xlfn.XLOOKUP(Table1820[[#This Row],[Difficult Parts]],Table8[Difficult Parts],Table8[Difficult Parts Factor],,0)</f>
        <v>1</v>
      </c>
      <c r="AI283">
        <f>_xlfn.XLOOKUP(Table1820[[#This Row],[High Theft Rate]],Table9[High Theft Rate],Table9[High Theft Rate Factor],,0)</f>
        <v>1</v>
      </c>
      <c r="AJ283">
        <f>_xlfn.XLOOKUP(Table1820[[#This Row],[Advanced Safety Features]],Table10[Advanced Safety Features],Table10[Advanced Safety Features Factor],,0)</f>
        <v>0.88</v>
      </c>
      <c r="AK283">
        <f>_xlfn.XLOOKUP(Table1820[[#This Row],[Deductible]],Table12[Deductible],Table12[Deductible Factor],,0)</f>
        <v>0.84</v>
      </c>
      <c r="AL283">
        <f>_xlfn.XLOOKUP(Table1820[[#This Row],[Coverage Limit]],Table13[Coverage Limit],Table13[Coverage Limit Factor],,0)</f>
        <v>1</v>
      </c>
      <c r="AM283">
        <f>IF(Table1820[[#This Row],[Good Student Discount]]="Yes",'Rate Book'!$D$126,1)</f>
        <v>1</v>
      </c>
      <c r="AN283">
        <f>IF(Table1820[[#This Row],[Good Driver Discount]]="Yes",'Rate Book'!$D$127,1)</f>
        <v>0.89</v>
      </c>
      <c r="AO283">
        <f>IF(Table1820[[#This Row],[Multi Policy Discount]]="Yes",'Rate Book'!$D$128,1)</f>
        <v>1</v>
      </c>
      <c r="AP283">
        <f>IF(Table1820[[#This Row],[Loyal Customer Discount]]="Yes",'Rate Book'!$D$129,1)</f>
        <v>0.94</v>
      </c>
      <c r="AQ283">
        <f>IF(Table1820[[#This Row],[Organization Discount]]="Yes",'Rate Book'!$D$130,1)</f>
        <v>0.97</v>
      </c>
      <c r="AR283" cm="1">
        <f t="array" ref="AR283">IF(Table1820[[#This Row],[Effective Date]]&gt;=RateChangeTable[Effective Date],RateChangeTable[Rate Change Factor],1)</f>
        <v>1</v>
      </c>
      <c r="AS283" s="10">
        <f>PRODUCT(Table1820[[#This Row],[Base Rate]:[Rate Change Factor]])</f>
        <v>701.64662157018597</v>
      </c>
      <c r="AT283" s="9">
        <f>Table1820[[#This Row],[System-Generated Premium]]-Table1820[[#This Row],[Expected Premium]]</f>
        <v>0</v>
      </c>
      <c r="AU283" t="str">
        <f>IF(Table1820[[#This Row],[Difference]]=0,"PASS","FAIL")</f>
        <v>PASS</v>
      </c>
      <c r="AV283" s="9">
        <f>ABS(Table1820[[#This Row],[Difference]])</f>
        <v>0</v>
      </c>
      <c r="AW283" s="9" t="s">
        <v>1136</v>
      </c>
    </row>
    <row r="284" spans="1:49" x14ac:dyDescent="0.3">
      <c r="A284" t="s">
        <v>375</v>
      </c>
      <c r="B284" s="7">
        <v>45915</v>
      </c>
      <c r="C284" t="s">
        <v>70</v>
      </c>
      <c r="D284" t="s">
        <v>1100</v>
      </c>
      <c r="E284" s="3" t="s">
        <v>1103</v>
      </c>
      <c r="F284" s="3">
        <v>2</v>
      </c>
      <c r="G284" t="s">
        <v>12</v>
      </c>
      <c r="H284" t="s">
        <v>1109</v>
      </c>
      <c r="I284" t="s">
        <v>34</v>
      </c>
      <c r="J284" t="s">
        <v>53</v>
      </c>
      <c r="K284" t="s">
        <v>10</v>
      </c>
      <c r="L284" t="s">
        <v>57</v>
      </c>
      <c r="M284" t="s">
        <v>57</v>
      </c>
      <c r="N284" t="s">
        <v>57</v>
      </c>
      <c r="O284" t="str">
        <f>INDEX(CoverageTable[Deductible Applies],MATCH(Table1820[[#This Row],[Coverage]],CoverageTable[Coverage],0))</f>
        <v>No</v>
      </c>
      <c r="P284" t="str">
        <f>INDEX(CoverageTable[Coverage Limit Applies],MATCH(Table1820[[#This Row],[Coverage]],CoverageTable[Coverage],0))</f>
        <v>Yes</v>
      </c>
      <c r="Q284" t="s">
        <v>10</v>
      </c>
      <c r="R284" t="s">
        <v>78</v>
      </c>
      <c r="S284" t="s">
        <v>57</v>
      </c>
      <c r="T284" t="s">
        <v>10</v>
      </c>
      <c r="U284" t="s">
        <v>10</v>
      </c>
      <c r="V284" t="s">
        <v>10</v>
      </c>
      <c r="W284" t="s">
        <v>10</v>
      </c>
      <c r="X284" s="11">
        <v>1978.2467697600343</v>
      </c>
      <c r="Y284">
        <f>_xlfn.XLOOKUP(Table1820[[#This Row],[Coverage]],CoverageTable[Coverage],CoverageTable[Base Rate],,0)</f>
        <v>622</v>
      </c>
      <c r="Z284">
        <f>INDEX(Table16[Ageband Factor],MATCH(Table1820[[#This Row],[Ageband]],Table16[Ageband],0))</f>
        <v>1.07</v>
      </c>
      <c r="AA284">
        <f>VLOOKUP(Table1820[[#This Row],[Years Driving]],Table1[],2)</f>
        <v>0.93</v>
      </c>
      <c r="AB284">
        <f>_xlfn.XLOOKUP(Table1820[[#This Row],[At Fault Accidents]],Table2[At Fault Accidents],Table2[At Fault Accident Factor],,0)</f>
        <v>1.55</v>
      </c>
      <c r="AC284">
        <f>_xlfn.XLOOKUP(Table1820[[#This Row],[Usage-Based Insurance]],Table3[Usage-Based Insurance],Table3[Usage-Based Insurance Discount],,0)</f>
        <v>0.8</v>
      </c>
      <c r="AD284">
        <f>_xlfn.XLOOKUP(Table1820[[#This Row],[Yearly Miles]],Table4[Yearly Miles],Table4[Yearly Miles Factor],,0)</f>
        <v>1.18</v>
      </c>
      <c r="AE284">
        <f>_xlfn.XLOOKUP(Table1820[[#This Row],[City/Zip Code]],Table5[City/Zip Code],Table5[City/Zip Code Factor],,0)</f>
        <v>1.56</v>
      </c>
      <c r="AF284">
        <f>_xlfn.XLOOKUP(Table1820[[#This Row],[Vehicle Price]],Table6[Vehicle Price],Table6[Vehicle Price Factor])</f>
        <v>2.02</v>
      </c>
      <c r="AG284">
        <f>_xlfn.XLOOKUP(Table1820[[#This Row],[Exotic Car]],Table7[Exotic Car],Table7[Exotic Car Factor],,0)</f>
        <v>1</v>
      </c>
      <c r="AH284">
        <f>_xlfn.XLOOKUP(Table1820[[#This Row],[Difficult Parts]],Table8[Difficult Parts],Table8[Difficult Parts Factor],,0)</f>
        <v>1.21</v>
      </c>
      <c r="AI284">
        <f>_xlfn.XLOOKUP(Table1820[[#This Row],[High Theft Rate]],Table9[High Theft Rate],Table9[High Theft Rate Factor],,0)</f>
        <v>1.1599999999999999</v>
      </c>
      <c r="AJ284">
        <f>_xlfn.XLOOKUP(Table1820[[#This Row],[Advanced Safety Features]],Table10[Advanced Safety Features],Table10[Advanced Safety Features Factor],,0)</f>
        <v>0.88</v>
      </c>
      <c r="AK284">
        <f>_xlfn.XLOOKUP(Table1820[[#This Row],[Deductible]],Table12[Deductible],Table12[Deductible Factor],,0)</f>
        <v>1</v>
      </c>
      <c r="AL284">
        <f>_xlfn.XLOOKUP(Table1820[[#This Row],[Coverage Limit]],Table13[Coverage Limit],Table13[Coverage Limit Factor],,0)</f>
        <v>0.61</v>
      </c>
      <c r="AM284">
        <f>IF(Table1820[[#This Row],[Good Student Discount]]="Yes",'Rate Book'!$D$126,1)</f>
        <v>0.92</v>
      </c>
      <c r="AN284">
        <f>IF(Table1820[[#This Row],[Good Driver Discount]]="Yes",'Rate Book'!$D$127,1)</f>
        <v>1</v>
      </c>
      <c r="AO284">
        <f>IF(Table1820[[#This Row],[Multi Policy Discount]]="Yes",'Rate Book'!$D$128,1)</f>
        <v>1</v>
      </c>
      <c r="AP284">
        <f>IF(Table1820[[#This Row],[Loyal Customer Discount]]="Yes",'Rate Book'!$D$129,1)</f>
        <v>1</v>
      </c>
      <c r="AQ284">
        <f>IF(Table1820[[#This Row],[Organization Discount]]="Yes",'Rate Book'!$D$130,1)</f>
        <v>1</v>
      </c>
      <c r="AR284" cm="1">
        <f t="array" ref="AR284">IF(Table1820[[#This Row],[Effective Date]]&gt;=RateChangeTable[Effective Date],RateChangeTable[Rate Change Factor],1)</f>
        <v>1</v>
      </c>
      <c r="AS284" s="10">
        <f>PRODUCT(Table1820[[#This Row],[Base Rate]:[Rate Change Factor]])</f>
        <v>1978.2467697600343</v>
      </c>
      <c r="AT284" s="9">
        <f>Table1820[[#This Row],[System-Generated Premium]]-Table1820[[#This Row],[Expected Premium]]</f>
        <v>0</v>
      </c>
      <c r="AU284" t="str">
        <f>IF(Table1820[[#This Row],[Difference]]=0,"PASS","FAIL")</f>
        <v>PASS</v>
      </c>
      <c r="AV284" s="9">
        <f>ABS(Table1820[[#This Row],[Difference]])</f>
        <v>0</v>
      </c>
      <c r="AW284" s="9" t="s">
        <v>1136</v>
      </c>
    </row>
    <row r="285" spans="1:49" x14ac:dyDescent="0.3">
      <c r="A285" t="s">
        <v>376</v>
      </c>
      <c r="B285" s="7">
        <v>45927</v>
      </c>
      <c r="C285" t="s">
        <v>72</v>
      </c>
      <c r="D285" t="s">
        <v>1098</v>
      </c>
      <c r="E285" s="3">
        <v>2</v>
      </c>
      <c r="F285" s="3">
        <v>1</v>
      </c>
      <c r="G285" t="s">
        <v>10</v>
      </c>
      <c r="H285" t="s">
        <v>1109</v>
      </c>
      <c r="I285" t="s">
        <v>35</v>
      </c>
      <c r="J285" t="s">
        <v>49</v>
      </c>
      <c r="K285" t="s">
        <v>10</v>
      </c>
      <c r="L285" t="s">
        <v>10</v>
      </c>
      <c r="M285" t="s">
        <v>10</v>
      </c>
      <c r="N285" t="s">
        <v>10</v>
      </c>
      <c r="O285" t="str">
        <f>INDEX(CoverageTable[Deductible Applies],MATCH(Table1820[[#This Row],[Coverage]],CoverageTable[Coverage],0))</f>
        <v>Yes</v>
      </c>
      <c r="P285" t="str">
        <f>INDEX(CoverageTable[Coverage Limit Applies],MATCH(Table1820[[#This Row],[Coverage]],CoverageTable[Coverage],0))</f>
        <v>No</v>
      </c>
      <c r="Q285" t="s">
        <v>78</v>
      </c>
      <c r="R285" t="s">
        <v>10</v>
      </c>
      <c r="S285" t="s">
        <v>10</v>
      </c>
      <c r="T285" t="s">
        <v>57</v>
      </c>
      <c r="U285" t="s">
        <v>57</v>
      </c>
      <c r="V285" t="s">
        <v>10</v>
      </c>
      <c r="W285" t="s">
        <v>10</v>
      </c>
      <c r="X285" s="11">
        <v>283.45408323584002</v>
      </c>
      <c r="Y285">
        <f>_xlfn.XLOOKUP(Table1820[[#This Row],[Coverage]],CoverageTable[Coverage],CoverageTable[Base Rate],,0)</f>
        <v>121</v>
      </c>
      <c r="Z285">
        <f>INDEX(Table16[Ageband Factor],MATCH(Table1820[[#This Row],[Ageband]],Table16[Ageband],0))</f>
        <v>1.23</v>
      </c>
      <c r="AA285">
        <f>VLOOKUP(Table1820[[#This Row],[Years Driving]],Table1[],2)</f>
        <v>1.41</v>
      </c>
      <c r="AB285">
        <f>_xlfn.XLOOKUP(Table1820[[#This Row],[At Fault Accidents]],Table2[At Fault Accidents],Table2[At Fault Accident Factor],,0)</f>
        <v>1.34</v>
      </c>
      <c r="AC285">
        <f>_xlfn.XLOOKUP(Table1820[[#This Row],[Usage-Based Insurance]],Table3[Usage-Based Insurance],Table3[Usage-Based Insurance Discount],,0)</f>
        <v>1</v>
      </c>
      <c r="AD285">
        <f>_xlfn.XLOOKUP(Table1820[[#This Row],[Yearly Miles]],Table4[Yearly Miles],Table4[Yearly Miles Factor],,0)</f>
        <v>1.18</v>
      </c>
      <c r="AE285">
        <f>_xlfn.XLOOKUP(Table1820[[#This Row],[City/Zip Code]],Table5[City/Zip Code],Table5[City/Zip Code Factor],,0)</f>
        <v>1.1200000000000001</v>
      </c>
      <c r="AF285">
        <f>_xlfn.XLOOKUP(Table1820[[#This Row],[Vehicle Price]],Table6[Vehicle Price],Table6[Vehicle Price Factor])</f>
        <v>0.97</v>
      </c>
      <c r="AG285">
        <f>_xlfn.XLOOKUP(Table1820[[#This Row],[Exotic Car]],Table7[Exotic Car],Table7[Exotic Car Factor],,0)</f>
        <v>1</v>
      </c>
      <c r="AH285">
        <f>_xlfn.XLOOKUP(Table1820[[#This Row],[Difficult Parts]],Table8[Difficult Parts],Table8[Difficult Parts Factor],,0)</f>
        <v>1</v>
      </c>
      <c r="AI285">
        <f>_xlfn.XLOOKUP(Table1820[[#This Row],[High Theft Rate]],Table9[High Theft Rate],Table9[High Theft Rate Factor],,0)</f>
        <v>1</v>
      </c>
      <c r="AJ285">
        <f>_xlfn.XLOOKUP(Table1820[[#This Row],[Advanced Safety Features]],Table10[Advanced Safety Features],Table10[Advanced Safety Features Factor],,0)</f>
        <v>1</v>
      </c>
      <c r="AK285">
        <f>_xlfn.XLOOKUP(Table1820[[#This Row],[Deductible]],Table12[Deductible],Table12[Deductible Factor],,0)</f>
        <v>0.95</v>
      </c>
      <c r="AL285">
        <f>_xlfn.XLOOKUP(Table1820[[#This Row],[Coverage Limit]],Table13[Coverage Limit],Table13[Coverage Limit Factor],,0)</f>
        <v>1</v>
      </c>
      <c r="AM285">
        <f>IF(Table1820[[#This Row],[Good Student Discount]]="Yes",'Rate Book'!$D$126,1)</f>
        <v>1</v>
      </c>
      <c r="AN285">
        <f>IF(Table1820[[#This Row],[Good Driver Discount]]="Yes",'Rate Book'!$D$127,1)</f>
        <v>0.89</v>
      </c>
      <c r="AO285">
        <f>IF(Table1820[[#This Row],[Multi Policy Discount]]="Yes",'Rate Book'!$D$128,1)</f>
        <v>0.93</v>
      </c>
      <c r="AP285">
        <f>IF(Table1820[[#This Row],[Loyal Customer Discount]]="Yes",'Rate Book'!$D$129,1)</f>
        <v>1</v>
      </c>
      <c r="AQ285">
        <f>IF(Table1820[[#This Row],[Organization Discount]]="Yes",'Rate Book'!$D$130,1)</f>
        <v>1</v>
      </c>
      <c r="AR285" cm="1">
        <f t="array" ref="AR285">IF(Table1820[[#This Row],[Effective Date]]&gt;=RateChangeTable[Effective Date],RateChangeTable[Rate Change Factor],1)</f>
        <v>1</v>
      </c>
      <c r="AS285" s="10">
        <f>PRODUCT(Table1820[[#This Row],[Base Rate]:[Rate Change Factor]])</f>
        <v>283.45408323584002</v>
      </c>
      <c r="AT285" s="9">
        <f>Table1820[[#This Row],[System-Generated Premium]]-Table1820[[#This Row],[Expected Premium]]</f>
        <v>0</v>
      </c>
      <c r="AU285" t="str">
        <f>IF(Table1820[[#This Row],[Difference]]=0,"PASS","FAIL")</f>
        <v>PASS</v>
      </c>
      <c r="AV285" s="9">
        <f>ABS(Table1820[[#This Row],[Difference]])</f>
        <v>0</v>
      </c>
      <c r="AW285" s="9" t="s">
        <v>1136</v>
      </c>
    </row>
    <row r="286" spans="1:49" x14ac:dyDescent="0.3">
      <c r="A286" t="s">
        <v>377</v>
      </c>
      <c r="B286" s="7">
        <v>46044</v>
      </c>
      <c r="C286" t="s">
        <v>73</v>
      </c>
      <c r="D286" t="s">
        <v>1097</v>
      </c>
      <c r="E286" s="3">
        <v>3</v>
      </c>
      <c r="F286" s="3">
        <v>1</v>
      </c>
      <c r="G286" t="s">
        <v>11</v>
      </c>
      <c r="H286" t="s">
        <v>1110</v>
      </c>
      <c r="I286" t="s">
        <v>37</v>
      </c>
      <c r="J286" t="s">
        <v>51</v>
      </c>
      <c r="K286" t="s">
        <v>10</v>
      </c>
      <c r="L286" t="s">
        <v>57</v>
      </c>
      <c r="M286" t="s">
        <v>10</v>
      </c>
      <c r="N286" t="s">
        <v>57</v>
      </c>
      <c r="O286" t="str">
        <f>INDEX(CoverageTable[Deductible Applies],MATCH(Table1820[[#This Row],[Coverage]],CoverageTable[Coverage],0))</f>
        <v>No</v>
      </c>
      <c r="P286" t="str">
        <f>INDEX(CoverageTable[Coverage Limit Applies],MATCH(Table1820[[#This Row],[Coverage]],CoverageTable[Coverage],0))</f>
        <v>Yes</v>
      </c>
      <c r="Q286" t="s">
        <v>10</v>
      </c>
      <c r="R286" t="s">
        <v>78</v>
      </c>
      <c r="S286" t="s">
        <v>10</v>
      </c>
      <c r="T286" t="s">
        <v>57</v>
      </c>
      <c r="U286" t="s">
        <v>10</v>
      </c>
      <c r="V286" t="s">
        <v>10</v>
      </c>
      <c r="W286" t="s">
        <v>10</v>
      </c>
      <c r="X286" s="11">
        <v>179.08461634312184</v>
      </c>
      <c r="Y286">
        <f>_xlfn.XLOOKUP(Table1820[[#This Row],[Coverage]],CoverageTable[Coverage],CoverageTable[Base Rate],,0)</f>
        <v>78</v>
      </c>
      <c r="Z286">
        <f>INDEX(Table16[Ageband Factor],MATCH(Table1820[[#This Row],[Ageband]],Table16[Ageband],0))</f>
        <v>1.32</v>
      </c>
      <c r="AA286">
        <f>VLOOKUP(Table1820[[#This Row],[Years Driving]],Table1[],2)</f>
        <v>1.22</v>
      </c>
      <c r="AB286">
        <f>_xlfn.XLOOKUP(Table1820[[#This Row],[At Fault Accidents]],Table2[At Fault Accidents],Table2[At Fault Accident Factor],,0)</f>
        <v>1.34</v>
      </c>
      <c r="AC286">
        <f>_xlfn.XLOOKUP(Table1820[[#This Row],[Usage-Based Insurance]],Table3[Usage-Based Insurance],Table3[Usage-Based Insurance Discount],,0)</f>
        <v>0.95</v>
      </c>
      <c r="AD286">
        <f>_xlfn.XLOOKUP(Table1820[[#This Row],[Yearly Miles]],Table4[Yearly Miles],Table4[Yearly Miles Factor],,0)</f>
        <v>1.31</v>
      </c>
      <c r="AE286">
        <f>_xlfn.XLOOKUP(Table1820[[#This Row],[City/Zip Code]],Table5[City/Zip Code],Table5[City/Zip Code Factor],,0)</f>
        <v>1.0900000000000001</v>
      </c>
      <c r="AF286">
        <f>_xlfn.XLOOKUP(Table1820[[#This Row],[Vehicle Price]],Table6[Vehicle Price],Table6[Vehicle Price Factor])</f>
        <v>1.28</v>
      </c>
      <c r="AG286">
        <f>_xlfn.XLOOKUP(Table1820[[#This Row],[Exotic Car]],Table7[Exotic Car],Table7[Exotic Car Factor],,0)</f>
        <v>1</v>
      </c>
      <c r="AH286">
        <f>_xlfn.XLOOKUP(Table1820[[#This Row],[Difficult Parts]],Table8[Difficult Parts],Table8[Difficult Parts Factor],,0)</f>
        <v>1.21</v>
      </c>
      <c r="AI286">
        <f>_xlfn.XLOOKUP(Table1820[[#This Row],[High Theft Rate]],Table9[High Theft Rate],Table9[High Theft Rate Factor],,0)</f>
        <v>1</v>
      </c>
      <c r="AJ286">
        <f>_xlfn.XLOOKUP(Table1820[[#This Row],[Advanced Safety Features]],Table10[Advanced Safety Features],Table10[Advanced Safety Features Factor],,0)</f>
        <v>0.88</v>
      </c>
      <c r="AK286">
        <f>_xlfn.XLOOKUP(Table1820[[#This Row],[Deductible]],Table12[Deductible],Table12[Deductible Factor],,0)</f>
        <v>1</v>
      </c>
      <c r="AL286">
        <f>_xlfn.XLOOKUP(Table1820[[#This Row],[Coverage Limit]],Table13[Coverage Limit],Table13[Coverage Limit Factor],,0)</f>
        <v>0.61</v>
      </c>
      <c r="AM286">
        <f>IF(Table1820[[#This Row],[Good Student Discount]]="Yes",'Rate Book'!$D$126,1)</f>
        <v>1</v>
      </c>
      <c r="AN286">
        <f>IF(Table1820[[#This Row],[Good Driver Discount]]="Yes",'Rate Book'!$D$127,1)</f>
        <v>0.89</v>
      </c>
      <c r="AO286">
        <f>IF(Table1820[[#This Row],[Multi Policy Discount]]="Yes",'Rate Book'!$D$128,1)</f>
        <v>1</v>
      </c>
      <c r="AP286">
        <f>IF(Table1820[[#This Row],[Loyal Customer Discount]]="Yes",'Rate Book'!$D$129,1)</f>
        <v>1</v>
      </c>
      <c r="AQ286">
        <f>IF(Table1820[[#This Row],[Organization Discount]]="Yes",'Rate Book'!$D$130,1)</f>
        <v>1</v>
      </c>
      <c r="AR286" cm="1">
        <f t="array" ref="AR286">IF(Table1820[[#This Row],[Effective Date]]&gt;=RateChangeTable[Effective Date],RateChangeTable[Rate Change Factor],1)</f>
        <v>1.06</v>
      </c>
      <c r="AS286" s="10">
        <f>PRODUCT(Table1820[[#This Row],[Base Rate]:[Rate Change Factor]])</f>
        <v>179.08461634312184</v>
      </c>
      <c r="AT286" s="9">
        <f>Table1820[[#This Row],[System-Generated Premium]]-Table1820[[#This Row],[Expected Premium]]</f>
        <v>0</v>
      </c>
      <c r="AU286" t="str">
        <f>IF(Table1820[[#This Row],[Difference]]=0,"PASS","FAIL")</f>
        <v>PASS</v>
      </c>
      <c r="AV286" s="9">
        <f>ABS(Table1820[[#This Row],[Difference]])</f>
        <v>0</v>
      </c>
      <c r="AW286" s="9" t="s">
        <v>1136</v>
      </c>
    </row>
    <row r="287" spans="1:49" x14ac:dyDescent="0.3">
      <c r="A287" t="s">
        <v>378</v>
      </c>
      <c r="B287" s="7">
        <v>45982</v>
      </c>
      <c r="C287" t="s">
        <v>72</v>
      </c>
      <c r="D287" t="s">
        <v>1102</v>
      </c>
      <c r="E287" s="3">
        <v>5</v>
      </c>
      <c r="F287" s="3">
        <v>1</v>
      </c>
      <c r="G287" t="s">
        <v>11</v>
      </c>
      <c r="H287" t="s">
        <v>1109</v>
      </c>
      <c r="I287" t="s">
        <v>38</v>
      </c>
      <c r="J287" t="s">
        <v>49</v>
      </c>
      <c r="K287" t="s">
        <v>10</v>
      </c>
      <c r="L287" t="s">
        <v>10</v>
      </c>
      <c r="M287" t="s">
        <v>10</v>
      </c>
      <c r="N287" t="s">
        <v>10</v>
      </c>
      <c r="O287" t="str">
        <f>INDEX(CoverageTable[Deductible Applies],MATCH(Table1820[[#This Row],[Coverage]],CoverageTable[Coverage],0))</f>
        <v>Yes</v>
      </c>
      <c r="P287" t="str">
        <f>INDEX(CoverageTable[Coverage Limit Applies],MATCH(Table1820[[#This Row],[Coverage]],CoverageTable[Coverage],0))</f>
        <v>No</v>
      </c>
      <c r="Q287" t="s">
        <v>78</v>
      </c>
      <c r="R287" t="s">
        <v>10</v>
      </c>
      <c r="S287" t="s">
        <v>10</v>
      </c>
      <c r="T287" t="s">
        <v>10</v>
      </c>
      <c r="U287" t="s">
        <v>10</v>
      </c>
      <c r="V287" t="s">
        <v>10</v>
      </c>
      <c r="W287" t="s">
        <v>10</v>
      </c>
      <c r="X287" s="11">
        <v>254.91573409799733</v>
      </c>
      <c r="Y287">
        <f>_xlfn.XLOOKUP(Table1820[[#This Row],[Coverage]],CoverageTable[Coverage],CoverageTable[Base Rate],,0)</f>
        <v>121</v>
      </c>
      <c r="Z287">
        <f>INDEX(Table16[Ageband Factor],MATCH(Table1820[[#This Row],[Ageband]],Table16[Ageband],0))</f>
        <v>1.27</v>
      </c>
      <c r="AA287">
        <f>VLOOKUP(Table1820[[#This Row],[Years Driving]],Table1[],2)</f>
        <v>1.07</v>
      </c>
      <c r="AB287">
        <f>_xlfn.XLOOKUP(Table1820[[#This Row],[At Fault Accidents]],Table2[At Fault Accidents],Table2[At Fault Accident Factor],,0)</f>
        <v>1.34</v>
      </c>
      <c r="AC287">
        <f>_xlfn.XLOOKUP(Table1820[[#This Row],[Usage-Based Insurance]],Table3[Usage-Based Insurance],Table3[Usage-Based Insurance Discount],,0)</f>
        <v>0.95</v>
      </c>
      <c r="AD287">
        <f>_xlfn.XLOOKUP(Table1820[[#This Row],[Yearly Miles]],Table4[Yearly Miles],Table4[Yearly Miles Factor],,0)</f>
        <v>1.18</v>
      </c>
      <c r="AE287">
        <f>_xlfn.XLOOKUP(Table1820[[#This Row],[City/Zip Code]],Table5[City/Zip Code],Table5[City/Zip Code Factor],,0)</f>
        <v>1.1200000000000001</v>
      </c>
      <c r="AF287">
        <f>_xlfn.XLOOKUP(Table1820[[#This Row],[Vehicle Price]],Table6[Vehicle Price],Table6[Vehicle Price Factor])</f>
        <v>0.97</v>
      </c>
      <c r="AG287">
        <f>_xlfn.XLOOKUP(Table1820[[#This Row],[Exotic Car]],Table7[Exotic Car],Table7[Exotic Car Factor],,0)</f>
        <v>1</v>
      </c>
      <c r="AH287">
        <f>_xlfn.XLOOKUP(Table1820[[#This Row],[Difficult Parts]],Table8[Difficult Parts],Table8[Difficult Parts Factor],,0)</f>
        <v>1</v>
      </c>
      <c r="AI287">
        <f>_xlfn.XLOOKUP(Table1820[[#This Row],[High Theft Rate]],Table9[High Theft Rate],Table9[High Theft Rate Factor],,0)</f>
        <v>1</v>
      </c>
      <c r="AJ287">
        <f>_xlfn.XLOOKUP(Table1820[[#This Row],[Advanced Safety Features]],Table10[Advanced Safety Features],Table10[Advanced Safety Features Factor],,0)</f>
        <v>1</v>
      </c>
      <c r="AK287">
        <f>_xlfn.XLOOKUP(Table1820[[#This Row],[Deductible]],Table12[Deductible],Table12[Deductible Factor],,0)</f>
        <v>0.95</v>
      </c>
      <c r="AL287">
        <f>_xlfn.XLOOKUP(Table1820[[#This Row],[Coverage Limit]],Table13[Coverage Limit],Table13[Coverage Limit Factor],,0)</f>
        <v>1</v>
      </c>
      <c r="AM287">
        <f>IF(Table1820[[#This Row],[Good Student Discount]]="Yes",'Rate Book'!$D$126,1)</f>
        <v>1</v>
      </c>
      <c r="AN287">
        <f>IF(Table1820[[#This Row],[Good Driver Discount]]="Yes",'Rate Book'!$D$127,1)</f>
        <v>1</v>
      </c>
      <c r="AO287">
        <f>IF(Table1820[[#This Row],[Multi Policy Discount]]="Yes",'Rate Book'!$D$128,1)</f>
        <v>1</v>
      </c>
      <c r="AP287">
        <f>IF(Table1820[[#This Row],[Loyal Customer Discount]]="Yes",'Rate Book'!$D$129,1)</f>
        <v>1</v>
      </c>
      <c r="AQ287">
        <f>IF(Table1820[[#This Row],[Organization Discount]]="Yes",'Rate Book'!$D$130,1)</f>
        <v>1</v>
      </c>
      <c r="AR287" cm="1">
        <f t="array" ref="AR287">IF(Table1820[[#This Row],[Effective Date]]&gt;=RateChangeTable[Effective Date],RateChangeTable[Rate Change Factor],1)</f>
        <v>1</v>
      </c>
      <c r="AS287" s="10">
        <f>PRODUCT(Table1820[[#This Row],[Base Rate]:[Rate Change Factor]])</f>
        <v>254.91573409799733</v>
      </c>
      <c r="AT287" s="9">
        <f>Table1820[[#This Row],[System-Generated Premium]]-Table1820[[#This Row],[Expected Premium]]</f>
        <v>0</v>
      </c>
      <c r="AU287" t="str">
        <f>IF(Table1820[[#This Row],[Difference]]=0,"PASS","FAIL")</f>
        <v>PASS</v>
      </c>
      <c r="AV287" s="9">
        <f>ABS(Table1820[[#This Row],[Difference]])</f>
        <v>0</v>
      </c>
      <c r="AW287" s="9" t="s">
        <v>1136</v>
      </c>
    </row>
    <row r="288" spans="1:49" x14ac:dyDescent="0.3">
      <c r="A288" t="s">
        <v>379</v>
      </c>
      <c r="B288" s="7">
        <v>45919</v>
      </c>
      <c r="C288" t="s">
        <v>71</v>
      </c>
      <c r="D288" t="s">
        <v>1100</v>
      </c>
      <c r="E288" s="3">
        <v>2</v>
      </c>
      <c r="F288" s="3" t="s">
        <v>7</v>
      </c>
      <c r="G288" t="s">
        <v>13</v>
      </c>
      <c r="H288" t="s">
        <v>1106</v>
      </c>
      <c r="I288" t="s">
        <v>35</v>
      </c>
      <c r="J288" t="s">
        <v>49</v>
      </c>
      <c r="K288" t="s">
        <v>10</v>
      </c>
      <c r="L288" t="s">
        <v>10</v>
      </c>
      <c r="M288" t="s">
        <v>10</v>
      </c>
      <c r="N288" t="s">
        <v>10</v>
      </c>
      <c r="O288" t="str">
        <f>INDEX(CoverageTable[Deductible Applies],MATCH(Table1820[[#This Row],[Coverage]],CoverageTable[Coverage],0))</f>
        <v>Yes</v>
      </c>
      <c r="P288" t="str">
        <f>INDEX(CoverageTable[Coverage Limit Applies],MATCH(Table1820[[#This Row],[Coverage]],CoverageTable[Coverage],0))</f>
        <v>No</v>
      </c>
      <c r="Q288" t="s">
        <v>78</v>
      </c>
      <c r="R288" t="s">
        <v>10</v>
      </c>
      <c r="S288" t="s">
        <v>10</v>
      </c>
      <c r="T288" t="s">
        <v>57</v>
      </c>
      <c r="U288" t="s">
        <v>10</v>
      </c>
      <c r="V288" t="s">
        <v>10</v>
      </c>
      <c r="W288" t="s">
        <v>57</v>
      </c>
      <c r="X288" s="11">
        <v>801.67872381827181</v>
      </c>
      <c r="Y288">
        <f>_xlfn.XLOOKUP(Table1820[[#This Row],[Coverage]],CoverageTable[Coverage],CoverageTable[Base Rate],,0)</f>
        <v>453</v>
      </c>
      <c r="Z288">
        <f>INDEX(Table16[Ageband Factor],MATCH(Table1820[[#This Row],[Ageband]],Table16[Ageband],0))</f>
        <v>1.07</v>
      </c>
      <c r="AA288">
        <f>VLOOKUP(Table1820[[#This Row],[Years Driving]],Table1[],2)</f>
        <v>1.41</v>
      </c>
      <c r="AB288">
        <f>_xlfn.XLOOKUP(Table1820[[#This Row],[At Fault Accidents]],Table2[At Fault Accidents],Table2[At Fault Accident Factor],,0)</f>
        <v>2.4700000000000002</v>
      </c>
      <c r="AC288">
        <f>_xlfn.XLOOKUP(Table1820[[#This Row],[Usage-Based Insurance]],Table3[Usage-Based Insurance],Table3[Usage-Based Insurance Discount],,0)</f>
        <v>0.65</v>
      </c>
      <c r="AD288">
        <f>_xlfn.XLOOKUP(Table1820[[#This Row],[Yearly Miles]],Table4[Yearly Miles],Table4[Yearly Miles Factor],,0)</f>
        <v>0.82</v>
      </c>
      <c r="AE288">
        <f>_xlfn.XLOOKUP(Table1820[[#This Row],[City/Zip Code]],Table5[City/Zip Code],Table5[City/Zip Code Factor],,0)</f>
        <v>1.1200000000000001</v>
      </c>
      <c r="AF288">
        <f>_xlfn.XLOOKUP(Table1820[[#This Row],[Vehicle Price]],Table6[Vehicle Price],Table6[Vehicle Price Factor])</f>
        <v>0.97</v>
      </c>
      <c r="AG288">
        <f>_xlfn.XLOOKUP(Table1820[[#This Row],[Exotic Car]],Table7[Exotic Car],Table7[Exotic Car Factor],,0)</f>
        <v>1</v>
      </c>
      <c r="AH288">
        <f>_xlfn.XLOOKUP(Table1820[[#This Row],[Difficult Parts]],Table8[Difficult Parts],Table8[Difficult Parts Factor],,0)</f>
        <v>1</v>
      </c>
      <c r="AI288">
        <f>_xlfn.XLOOKUP(Table1820[[#This Row],[High Theft Rate]],Table9[High Theft Rate],Table9[High Theft Rate Factor],,0)</f>
        <v>1</v>
      </c>
      <c r="AJ288">
        <f>_xlfn.XLOOKUP(Table1820[[#This Row],[Advanced Safety Features]],Table10[Advanced Safety Features],Table10[Advanced Safety Features Factor],,0)</f>
        <v>1</v>
      </c>
      <c r="AK288">
        <f>_xlfn.XLOOKUP(Table1820[[#This Row],[Deductible]],Table12[Deductible],Table12[Deductible Factor],,0)</f>
        <v>0.95</v>
      </c>
      <c r="AL288">
        <f>_xlfn.XLOOKUP(Table1820[[#This Row],[Coverage Limit]],Table13[Coverage Limit],Table13[Coverage Limit Factor],,0)</f>
        <v>1</v>
      </c>
      <c r="AM288">
        <f>IF(Table1820[[#This Row],[Good Student Discount]]="Yes",'Rate Book'!$D$126,1)</f>
        <v>1</v>
      </c>
      <c r="AN288">
        <f>IF(Table1820[[#This Row],[Good Driver Discount]]="Yes",'Rate Book'!$D$127,1)</f>
        <v>0.89</v>
      </c>
      <c r="AO288">
        <f>IF(Table1820[[#This Row],[Multi Policy Discount]]="Yes",'Rate Book'!$D$128,1)</f>
        <v>1</v>
      </c>
      <c r="AP288">
        <f>IF(Table1820[[#This Row],[Loyal Customer Discount]]="Yes",'Rate Book'!$D$129,1)</f>
        <v>1</v>
      </c>
      <c r="AQ288">
        <f>IF(Table1820[[#This Row],[Organization Discount]]="Yes",'Rate Book'!$D$130,1)</f>
        <v>0.97</v>
      </c>
      <c r="AR288" cm="1">
        <f t="array" ref="AR288">IF(Table1820[[#This Row],[Effective Date]]&gt;=RateChangeTable[Effective Date],RateChangeTable[Rate Change Factor],1)</f>
        <v>1</v>
      </c>
      <c r="AS288" s="10">
        <f>PRODUCT(Table1820[[#This Row],[Base Rate]:[Rate Change Factor]])</f>
        <v>801.67872381827181</v>
      </c>
      <c r="AT288" s="9">
        <f>Table1820[[#This Row],[System-Generated Premium]]-Table1820[[#This Row],[Expected Premium]]</f>
        <v>0</v>
      </c>
      <c r="AU288" t="str">
        <f>IF(Table1820[[#This Row],[Difference]]=0,"PASS","FAIL")</f>
        <v>PASS</v>
      </c>
      <c r="AV288" s="9">
        <f>ABS(Table1820[[#This Row],[Difference]])</f>
        <v>0</v>
      </c>
      <c r="AW288" s="9" t="s">
        <v>1136</v>
      </c>
    </row>
    <row r="289" spans="1:49" x14ac:dyDescent="0.3">
      <c r="A289" t="s">
        <v>380</v>
      </c>
      <c r="B289" s="7">
        <v>46095</v>
      </c>
      <c r="C289" t="s">
        <v>71</v>
      </c>
      <c r="D289" t="s">
        <v>1100</v>
      </c>
      <c r="E289" s="3">
        <v>2</v>
      </c>
      <c r="F289" s="3">
        <v>0</v>
      </c>
      <c r="G289" t="s">
        <v>10</v>
      </c>
      <c r="H289" t="s">
        <v>1108</v>
      </c>
      <c r="I289" t="s">
        <v>38</v>
      </c>
      <c r="J289" t="s">
        <v>51</v>
      </c>
      <c r="K289" t="s">
        <v>10</v>
      </c>
      <c r="L289" t="s">
        <v>10</v>
      </c>
      <c r="M289" t="s">
        <v>10</v>
      </c>
      <c r="N289" t="s">
        <v>10</v>
      </c>
      <c r="O289" t="str">
        <f>INDEX(CoverageTable[Deductible Applies],MATCH(Table1820[[#This Row],[Coverage]],CoverageTable[Coverage],0))</f>
        <v>Yes</v>
      </c>
      <c r="P289" t="str">
        <f>INDEX(CoverageTable[Coverage Limit Applies],MATCH(Table1820[[#This Row],[Coverage]],CoverageTable[Coverage],0))</f>
        <v>No</v>
      </c>
      <c r="Q289" t="s">
        <v>78</v>
      </c>
      <c r="R289" t="s">
        <v>10</v>
      </c>
      <c r="S289" t="s">
        <v>10</v>
      </c>
      <c r="T289" t="s">
        <v>10</v>
      </c>
      <c r="U289" t="s">
        <v>57</v>
      </c>
      <c r="V289" t="s">
        <v>10</v>
      </c>
      <c r="W289" t="s">
        <v>57</v>
      </c>
      <c r="X289" s="11">
        <v>890.04760939913035</v>
      </c>
      <c r="Y289">
        <f>_xlfn.XLOOKUP(Table1820[[#This Row],[Coverage]],CoverageTable[Coverage],CoverageTable[Base Rate],,0)</f>
        <v>453</v>
      </c>
      <c r="Z289">
        <f>INDEX(Table16[Ageband Factor],MATCH(Table1820[[#This Row],[Ageband]],Table16[Ageband],0))</f>
        <v>1.07</v>
      </c>
      <c r="AA289">
        <f>VLOOKUP(Table1820[[#This Row],[Years Driving]],Table1[],2)</f>
        <v>1.41</v>
      </c>
      <c r="AB289">
        <f>_xlfn.XLOOKUP(Table1820[[#This Row],[At Fault Accidents]],Table2[At Fault Accidents],Table2[At Fault Accident Factor],,0)</f>
        <v>1</v>
      </c>
      <c r="AC289">
        <f>_xlfn.XLOOKUP(Table1820[[#This Row],[Usage-Based Insurance]],Table3[Usage-Based Insurance],Table3[Usage-Based Insurance Discount],,0)</f>
        <v>1</v>
      </c>
      <c r="AD289">
        <f>_xlfn.XLOOKUP(Table1820[[#This Row],[Yearly Miles]],Table4[Yearly Miles],Table4[Yearly Miles Factor],,0)</f>
        <v>1</v>
      </c>
      <c r="AE289">
        <f>_xlfn.XLOOKUP(Table1820[[#This Row],[City/Zip Code]],Table5[City/Zip Code],Table5[City/Zip Code Factor],,0)</f>
        <v>1.1200000000000001</v>
      </c>
      <c r="AF289">
        <f>_xlfn.XLOOKUP(Table1820[[#This Row],[Vehicle Price]],Table6[Vehicle Price],Table6[Vehicle Price Factor])</f>
        <v>1.28</v>
      </c>
      <c r="AG289">
        <f>_xlfn.XLOOKUP(Table1820[[#This Row],[Exotic Car]],Table7[Exotic Car],Table7[Exotic Car Factor],,0)</f>
        <v>1</v>
      </c>
      <c r="AH289">
        <f>_xlfn.XLOOKUP(Table1820[[#This Row],[Difficult Parts]],Table8[Difficult Parts],Table8[Difficult Parts Factor],,0)</f>
        <v>1</v>
      </c>
      <c r="AI289">
        <f>_xlfn.XLOOKUP(Table1820[[#This Row],[High Theft Rate]],Table9[High Theft Rate],Table9[High Theft Rate Factor],,0)</f>
        <v>1</v>
      </c>
      <c r="AJ289">
        <f>_xlfn.XLOOKUP(Table1820[[#This Row],[Advanced Safety Features]],Table10[Advanced Safety Features],Table10[Advanced Safety Features Factor],,0)</f>
        <v>1</v>
      </c>
      <c r="AK289">
        <f>_xlfn.XLOOKUP(Table1820[[#This Row],[Deductible]],Table12[Deductible],Table12[Deductible Factor],,0)</f>
        <v>0.95</v>
      </c>
      <c r="AL289">
        <f>_xlfn.XLOOKUP(Table1820[[#This Row],[Coverage Limit]],Table13[Coverage Limit],Table13[Coverage Limit Factor],,0)</f>
        <v>1</v>
      </c>
      <c r="AM289">
        <f>IF(Table1820[[#This Row],[Good Student Discount]]="Yes",'Rate Book'!$D$126,1)</f>
        <v>1</v>
      </c>
      <c r="AN289">
        <f>IF(Table1820[[#This Row],[Good Driver Discount]]="Yes",'Rate Book'!$D$127,1)</f>
        <v>1</v>
      </c>
      <c r="AO289">
        <f>IF(Table1820[[#This Row],[Multi Policy Discount]]="Yes",'Rate Book'!$D$128,1)</f>
        <v>0.93</v>
      </c>
      <c r="AP289">
        <f>IF(Table1820[[#This Row],[Loyal Customer Discount]]="Yes",'Rate Book'!$D$129,1)</f>
        <v>1</v>
      </c>
      <c r="AQ289">
        <f>IF(Table1820[[#This Row],[Organization Discount]]="Yes",'Rate Book'!$D$130,1)</f>
        <v>0.97</v>
      </c>
      <c r="AR289" cm="1">
        <f t="array" ref="AR289">IF(Table1820[[#This Row],[Effective Date]]&gt;=RateChangeTable[Effective Date],RateChangeTable[Rate Change Factor],1)</f>
        <v>1.06</v>
      </c>
      <c r="AS289" s="10">
        <f>PRODUCT(Table1820[[#This Row],[Base Rate]:[Rate Change Factor]])</f>
        <v>890.04760939913035</v>
      </c>
      <c r="AT289" s="9">
        <f>Table1820[[#This Row],[System-Generated Premium]]-Table1820[[#This Row],[Expected Premium]]</f>
        <v>0</v>
      </c>
      <c r="AU289" t="str">
        <f>IF(Table1820[[#This Row],[Difference]]=0,"PASS","FAIL")</f>
        <v>PASS</v>
      </c>
      <c r="AV289" s="9">
        <f>ABS(Table1820[[#This Row],[Difference]])</f>
        <v>0</v>
      </c>
      <c r="AW289" s="9" t="s">
        <v>1136</v>
      </c>
    </row>
    <row r="290" spans="1:49" x14ac:dyDescent="0.3">
      <c r="A290" t="s">
        <v>381</v>
      </c>
      <c r="B290" s="7">
        <v>45951</v>
      </c>
      <c r="C290" t="s">
        <v>74</v>
      </c>
      <c r="D290" t="s">
        <v>1100</v>
      </c>
      <c r="E290" s="3">
        <v>2</v>
      </c>
      <c r="F290" s="3">
        <v>0</v>
      </c>
      <c r="G290" t="s">
        <v>12</v>
      </c>
      <c r="H290" t="s">
        <v>1109</v>
      </c>
      <c r="I290" t="s">
        <v>34</v>
      </c>
      <c r="J290" t="s">
        <v>49</v>
      </c>
      <c r="K290" t="s">
        <v>10</v>
      </c>
      <c r="L290" t="s">
        <v>10</v>
      </c>
      <c r="M290" t="s">
        <v>10</v>
      </c>
      <c r="N290" t="s">
        <v>57</v>
      </c>
      <c r="O290" t="str">
        <f>INDEX(CoverageTable[Deductible Applies],MATCH(Table1820[[#This Row],[Coverage]],CoverageTable[Coverage],0))</f>
        <v>No</v>
      </c>
      <c r="P290" t="str">
        <f>INDEX(CoverageTable[Coverage Limit Applies],MATCH(Table1820[[#This Row],[Coverage]],CoverageTable[Coverage],0))</f>
        <v>Yes</v>
      </c>
      <c r="Q290" t="s">
        <v>10</v>
      </c>
      <c r="R290" t="s">
        <v>80</v>
      </c>
      <c r="S290" t="s">
        <v>10</v>
      </c>
      <c r="T290" t="s">
        <v>57</v>
      </c>
      <c r="U290" t="s">
        <v>10</v>
      </c>
      <c r="V290" t="s">
        <v>10</v>
      </c>
      <c r="W290" t="s">
        <v>10</v>
      </c>
      <c r="X290" s="11">
        <v>58.130898922552127</v>
      </c>
      <c r="Y290">
        <f>_xlfn.XLOOKUP(Table1820[[#This Row],[Coverage]],CoverageTable[Coverage],CoverageTable[Base Rate],,0)</f>
        <v>41</v>
      </c>
      <c r="Z290">
        <f>INDEX(Table16[Ageband Factor],MATCH(Table1820[[#This Row],[Ageband]],Table16[Ageband],0))</f>
        <v>1.07</v>
      </c>
      <c r="AA290">
        <f>VLOOKUP(Table1820[[#This Row],[Years Driving]],Table1[],2)</f>
        <v>1.41</v>
      </c>
      <c r="AB290">
        <f>_xlfn.XLOOKUP(Table1820[[#This Row],[At Fault Accidents]],Table2[At Fault Accidents],Table2[At Fault Accident Factor],,0)</f>
        <v>1</v>
      </c>
      <c r="AC290">
        <f>_xlfn.XLOOKUP(Table1820[[#This Row],[Usage-Based Insurance]],Table3[Usage-Based Insurance],Table3[Usage-Based Insurance Discount],,0)</f>
        <v>0.8</v>
      </c>
      <c r="AD290">
        <f>_xlfn.XLOOKUP(Table1820[[#This Row],[Yearly Miles]],Table4[Yearly Miles],Table4[Yearly Miles Factor],,0)</f>
        <v>1.18</v>
      </c>
      <c r="AE290">
        <f>_xlfn.XLOOKUP(Table1820[[#This Row],[City/Zip Code]],Table5[City/Zip Code],Table5[City/Zip Code Factor],,0)</f>
        <v>1.56</v>
      </c>
      <c r="AF290">
        <f>_xlfn.XLOOKUP(Table1820[[#This Row],[Vehicle Price]],Table6[Vehicle Price],Table6[Vehicle Price Factor])</f>
        <v>0.97</v>
      </c>
      <c r="AG290">
        <f>_xlfn.XLOOKUP(Table1820[[#This Row],[Exotic Car]],Table7[Exotic Car],Table7[Exotic Car Factor],,0)</f>
        <v>1</v>
      </c>
      <c r="AH290">
        <f>_xlfn.XLOOKUP(Table1820[[#This Row],[Difficult Parts]],Table8[Difficult Parts],Table8[Difficult Parts Factor],,0)</f>
        <v>1</v>
      </c>
      <c r="AI290">
        <f>_xlfn.XLOOKUP(Table1820[[#This Row],[High Theft Rate]],Table9[High Theft Rate],Table9[High Theft Rate Factor],,0)</f>
        <v>1</v>
      </c>
      <c r="AJ290">
        <f>_xlfn.XLOOKUP(Table1820[[#This Row],[Advanced Safety Features]],Table10[Advanced Safety Features],Table10[Advanced Safety Features Factor],,0)</f>
        <v>0.88</v>
      </c>
      <c r="AK290">
        <f>_xlfn.XLOOKUP(Table1820[[#This Row],[Deductible]],Table12[Deductible],Table12[Deductible Factor],,0)</f>
        <v>1</v>
      </c>
      <c r="AL290">
        <f>_xlfn.XLOOKUP(Table1820[[#This Row],[Coverage Limit]],Table13[Coverage Limit],Table13[Coverage Limit Factor],,0)</f>
        <v>0.84</v>
      </c>
      <c r="AM290">
        <f>IF(Table1820[[#This Row],[Good Student Discount]]="Yes",'Rate Book'!$D$126,1)</f>
        <v>1</v>
      </c>
      <c r="AN290">
        <f>IF(Table1820[[#This Row],[Good Driver Discount]]="Yes",'Rate Book'!$D$127,1)</f>
        <v>0.89</v>
      </c>
      <c r="AO290">
        <f>IF(Table1820[[#This Row],[Multi Policy Discount]]="Yes",'Rate Book'!$D$128,1)</f>
        <v>1</v>
      </c>
      <c r="AP290">
        <f>IF(Table1820[[#This Row],[Loyal Customer Discount]]="Yes",'Rate Book'!$D$129,1)</f>
        <v>1</v>
      </c>
      <c r="AQ290">
        <f>IF(Table1820[[#This Row],[Organization Discount]]="Yes",'Rate Book'!$D$130,1)</f>
        <v>1</v>
      </c>
      <c r="AR290" cm="1">
        <f t="array" ref="AR290">IF(Table1820[[#This Row],[Effective Date]]&gt;=RateChangeTable[Effective Date],RateChangeTable[Rate Change Factor],1)</f>
        <v>1</v>
      </c>
      <c r="AS290" s="10">
        <f>PRODUCT(Table1820[[#This Row],[Base Rate]:[Rate Change Factor]])</f>
        <v>58.130898922552127</v>
      </c>
      <c r="AT290" s="9">
        <f>Table1820[[#This Row],[System-Generated Premium]]-Table1820[[#This Row],[Expected Premium]]</f>
        <v>0</v>
      </c>
      <c r="AU290" t="str">
        <f>IF(Table1820[[#This Row],[Difference]]=0,"PASS","FAIL")</f>
        <v>PASS</v>
      </c>
      <c r="AV290" s="9">
        <f>ABS(Table1820[[#This Row],[Difference]])</f>
        <v>0</v>
      </c>
      <c r="AW290" s="9" t="s">
        <v>1136</v>
      </c>
    </row>
    <row r="291" spans="1:49" x14ac:dyDescent="0.3">
      <c r="A291" t="s">
        <v>382</v>
      </c>
      <c r="B291" s="7">
        <v>45880</v>
      </c>
      <c r="C291" t="s">
        <v>72</v>
      </c>
      <c r="D291" t="s">
        <v>1102</v>
      </c>
      <c r="E291" s="3" t="s">
        <v>1103</v>
      </c>
      <c r="F291" s="3">
        <v>4</v>
      </c>
      <c r="G291" t="s">
        <v>11</v>
      </c>
      <c r="H291" t="s">
        <v>1108</v>
      </c>
      <c r="I291" t="s">
        <v>30</v>
      </c>
      <c r="J291" t="s">
        <v>49</v>
      </c>
      <c r="K291" t="s">
        <v>10</v>
      </c>
      <c r="L291" t="s">
        <v>10</v>
      </c>
      <c r="M291" t="s">
        <v>10</v>
      </c>
      <c r="N291" t="s">
        <v>10</v>
      </c>
      <c r="O291" t="str">
        <f>INDEX(CoverageTable[Deductible Applies],MATCH(Table1820[[#This Row],[Coverage]],CoverageTable[Coverage],0))</f>
        <v>Yes</v>
      </c>
      <c r="P291" t="str">
        <f>INDEX(CoverageTable[Coverage Limit Applies],MATCH(Table1820[[#This Row],[Coverage]],CoverageTable[Coverage],0))</f>
        <v>No</v>
      </c>
      <c r="Q291" t="s">
        <v>78</v>
      </c>
      <c r="R291" t="s">
        <v>10</v>
      </c>
      <c r="S291" t="s">
        <v>10</v>
      </c>
      <c r="T291" t="s">
        <v>10</v>
      </c>
      <c r="U291" t="s">
        <v>10</v>
      </c>
      <c r="V291" t="s">
        <v>10</v>
      </c>
      <c r="W291" t="s">
        <v>10</v>
      </c>
      <c r="X291" s="11">
        <v>270.53721650716204</v>
      </c>
      <c r="Y291">
        <f>_xlfn.XLOOKUP(Table1820[[#This Row],[Coverage]],CoverageTable[Coverage],CoverageTable[Base Rate],,0)</f>
        <v>121</v>
      </c>
      <c r="Z291">
        <f>INDEX(Table16[Ageband Factor],MATCH(Table1820[[#This Row],[Ageband]],Table16[Ageband],0))</f>
        <v>1.27</v>
      </c>
      <c r="AA291">
        <f>VLOOKUP(Table1820[[#This Row],[Years Driving]],Table1[],2)</f>
        <v>0.93</v>
      </c>
      <c r="AB291">
        <f>_xlfn.XLOOKUP(Table1820[[#This Row],[At Fault Accidents]],Table2[At Fault Accidents],Table2[At Fault Accident Factor],,0)</f>
        <v>2.12</v>
      </c>
      <c r="AC291">
        <f>_xlfn.XLOOKUP(Table1820[[#This Row],[Usage-Based Insurance]],Table3[Usage-Based Insurance],Table3[Usage-Based Insurance Discount],,0)</f>
        <v>0.95</v>
      </c>
      <c r="AD291">
        <f>_xlfn.XLOOKUP(Table1820[[#This Row],[Yearly Miles]],Table4[Yearly Miles],Table4[Yearly Miles Factor],,0)</f>
        <v>1</v>
      </c>
      <c r="AE291">
        <f>_xlfn.XLOOKUP(Table1820[[#This Row],[City/Zip Code]],Table5[City/Zip Code],Table5[City/Zip Code Factor],,0)</f>
        <v>1.02</v>
      </c>
      <c r="AF291">
        <f>_xlfn.XLOOKUP(Table1820[[#This Row],[Vehicle Price]],Table6[Vehicle Price],Table6[Vehicle Price Factor])</f>
        <v>0.97</v>
      </c>
      <c r="AG291">
        <f>_xlfn.XLOOKUP(Table1820[[#This Row],[Exotic Car]],Table7[Exotic Car],Table7[Exotic Car Factor],,0)</f>
        <v>1</v>
      </c>
      <c r="AH291">
        <f>_xlfn.XLOOKUP(Table1820[[#This Row],[Difficult Parts]],Table8[Difficult Parts],Table8[Difficult Parts Factor],,0)</f>
        <v>1</v>
      </c>
      <c r="AI291">
        <f>_xlfn.XLOOKUP(Table1820[[#This Row],[High Theft Rate]],Table9[High Theft Rate],Table9[High Theft Rate Factor],,0)</f>
        <v>1</v>
      </c>
      <c r="AJ291">
        <f>_xlfn.XLOOKUP(Table1820[[#This Row],[Advanced Safety Features]],Table10[Advanced Safety Features],Table10[Advanced Safety Features Factor],,0)</f>
        <v>1</v>
      </c>
      <c r="AK291">
        <f>_xlfn.XLOOKUP(Table1820[[#This Row],[Deductible]],Table12[Deductible],Table12[Deductible Factor],,0)</f>
        <v>0.95</v>
      </c>
      <c r="AL291">
        <f>_xlfn.XLOOKUP(Table1820[[#This Row],[Coverage Limit]],Table13[Coverage Limit],Table13[Coverage Limit Factor],,0)</f>
        <v>1</v>
      </c>
      <c r="AM291">
        <f>IF(Table1820[[#This Row],[Good Student Discount]]="Yes",'Rate Book'!$D$126,1)</f>
        <v>1</v>
      </c>
      <c r="AN291">
        <f>IF(Table1820[[#This Row],[Good Driver Discount]]="Yes",'Rate Book'!$D$127,1)</f>
        <v>1</v>
      </c>
      <c r="AO291">
        <f>IF(Table1820[[#This Row],[Multi Policy Discount]]="Yes",'Rate Book'!$D$128,1)</f>
        <v>1</v>
      </c>
      <c r="AP291">
        <f>IF(Table1820[[#This Row],[Loyal Customer Discount]]="Yes",'Rate Book'!$D$129,1)</f>
        <v>1</v>
      </c>
      <c r="AQ291">
        <f>IF(Table1820[[#This Row],[Organization Discount]]="Yes",'Rate Book'!$D$130,1)</f>
        <v>1</v>
      </c>
      <c r="AR291" cm="1">
        <f t="array" ref="AR291">IF(Table1820[[#This Row],[Effective Date]]&gt;=RateChangeTable[Effective Date],RateChangeTable[Rate Change Factor],1)</f>
        <v>1</v>
      </c>
      <c r="AS291" s="10">
        <f>PRODUCT(Table1820[[#This Row],[Base Rate]:[Rate Change Factor]])</f>
        <v>270.53721650716204</v>
      </c>
      <c r="AT291" s="9">
        <f>Table1820[[#This Row],[System-Generated Premium]]-Table1820[[#This Row],[Expected Premium]]</f>
        <v>0</v>
      </c>
      <c r="AU291" t="str">
        <f>IF(Table1820[[#This Row],[Difference]]=0,"PASS","FAIL")</f>
        <v>PASS</v>
      </c>
      <c r="AV291" s="9">
        <f>ABS(Table1820[[#This Row],[Difference]])</f>
        <v>0</v>
      </c>
      <c r="AW291" s="9" t="s">
        <v>1136</v>
      </c>
    </row>
    <row r="292" spans="1:49" x14ac:dyDescent="0.3">
      <c r="A292" t="s">
        <v>383</v>
      </c>
      <c r="B292" s="7">
        <v>46143</v>
      </c>
      <c r="C292" t="s">
        <v>70</v>
      </c>
      <c r="D292" t="s">
        <v>1102</v>
      </c>
      <c r="E292" s="3">
        <v>7</v>
      </c>
      <c r="F292" s="3">
        <v>0</v>
      </c>
      <c r="G292" t="s">
        <v>10</v>
      </c>
      <c r="H292" t="s">
        <v>1107</v>
      </c>
      <c r="I292" t="s">
        <v>41</v>
      </c>
      <c r="J292" t="s">
        <v>52</v>
      </c>
      <c r="K292" t="s">
        <v>10</v>
      </c>
      <c r="L292" t="s">
        <v>10</v>
      </c>
      <c r="M292" t="s">
        <v>57</v>
      </c>
      <c r="N292" t="s">
        <v>10</v>
      </c>
      <c r="O292" t="str">
        <f>INDEX(CoverageTable[Deductible Applies],MATCH(Table1820[[#This Row],[Coverage]],CoverageTable[Coverage],0))</f>
        <v>No</v>
      </c>
      <c r="P292" t="str">
        <f>INDEX(CoverageTable[Coverage Limit Applies],MATCH(Table1820[[#This Row],[Coverage]],CoverageTable[Coverage],0))</f>
        <v>Yes</v>
      </c>
      <c r="Q292" t="s">
        <v>10</v>
      </c>
      <c r="R292" t="s">
        <v>80</v>
      </c>
      <c r="S292" t="s">
        <v>10</v>
      </c>
      <c r="T292" t="s">
        <v>57</v>
      </c>
      <c r="U292" t="s">
        <v>57</v>
      </c>
      <c r="V292" t="s">
        <v>57</v>
      </c>
      <c r="W292" t="s">
        <v>10</v>
      </c>
      <c r="X292" s="11">
        <v>1012.6097427529173</v>
      </c>
      <c r="Y292">
        <f>_xlfn.XLOOKUP(Table1820[[#This Row],[Coverage]],CoverageTable[Coverage],CoverageTable[Base Rate],,0)</f>
        <v>622</v>
      </c>
      <c r="Z292">
        <f>INDEX(Table16[Ageband Factor],MATCH(Table1820[[#This Row],[Ageband]],Table16[Ageband],0))</f>
        <v>1.27</v>
      </c>
      <c r="AA292">
        <f>VLOOKUP(Table1820[[#This Row],[Years Driving]],Table1[],2)</f>
        <v>0.95</v>
      </c>
      <c r="AB292">
        <f>_xlfn.XLOOKUP(Table1820[[#This Row],[At Fault Accidents]],Table2[At Fault Accidents],Table2[At Fault Accident Factor],,0)</f>
        <v>1</v>
      </c>
      <c r="AC292">
        <f>_xlfn.XLOOKUP(Table1820[[#This Row],[Usage-Based Insurance]],Table3[Usage-Based Insurance],Table3[Usage-Based Insurance Discount],,0)</f>
        <v>1</v>
      </c>
      <c r="AD292">
        <f>_xlfn.XLOOKUP(Table1820[[#This Row],[Yearly Miles]],Table4[Yearly Miles],Table4[Yearly Miles Factor],,0)</f>
        <v>0.93</v>
      </c>
      <c r="AE292">
        <f>_xlfn.XLOOKUP(Table1820[[#This Row],[City/Zip Code]],Table5[City/Zip Code],Table5[City/Zip Code Factor],,0)</f>
        <v>1.1499999999999999</v>
      </c>
      <c r="AF292">
        <f>_xlfn.XLOOKUP(Table1820[[#This Row],[Vehicle Price]],Table6[Vehicle Price],Table6[Vehicle Price Factor])</f>
        <v>1.57</v>
      </c>
      <c r="AG292">
        <f>_xlfn.XLOOKUP(Table1820[[#This Row],[Exotic Car]],Table7[Exotic Car],Table7[Exotic Car Factor],,0)</f>
        <v>1</v>
      </c>
      <c r="AH292">
        <f>_xlfn.XLOOKUP(Table1820[[#This Row],[Difficult Parts]],Table8[Difficult Parts],Table8[Difficult Parts Factor],,0)</f>
        <v>1</v>
      </c>
      <c r="AI292">
        <f>_xlfn.XLOOKUP(Table1820[[#This Row],[High Theft Rate]],Table9[High Theft Rate],Table9[High Theft Rate Factor],,0)</f>
        <v>1.1599999999999999</v>
      </c>
      <c r="AJ292">
        <f>_xlfn.XLOOKUP(Table1820[[#This Row],[Advanced Safety Features]],Table10[Advanced Safety Features],Table10[Advanced Safety Features Factor],,0)</f>
        <v>1</v>
      </c>
      <c r="AK292">
        <f>_xlfn.XLOOKUP(Table1820[[#This Row],[Deductible]],Table12[Deductible],Table12[Deductible Factor],,0)</f>
        <v>1</v>
      </c>
      <c r="AL292">
        <f>_xlfn.XLOOKUP(Table1820[[#This Row],[Coverage Limit]],Table13[Coverage Limit],Table13[Coverage Limit Factor],,0)</f>
        <v>0.84</v>
      </c>
      <c r="AM292">
        <f>IF(Table1820[[#This Row],[Good Student Discount]]="Yes",'Rate Book'!$D$126,1)</f>
        <v>1</v>
      </c>
      <c r="AN292">
        <f>IF(Table1820[[#This Row],[Good Driver Discount]]="Yes",'Rate Book'!$D$127,1)</f>
        <v>0.89</v>
      </c>
      <c r="AO292">
        <f>IF(Table1820[[#This Row],[Multi Policy Discount]]="Yes",'Rate Book'!$D$128,1)</f>
        <v>0.93</v>
      </c>
      <c r="AP292">
        <f>IF(Table1820[[#This Row],[Loyal Customer Discount]]="Yes",'Rate Book'!$D$129,1)</f>
        <v>0.94</v>
      </c>
      <c r="AQ292">
        <f>IF(Table1820[[#This Row],[Organization Discount]]="Yes",'Rate Book'!$D$130,1)</f>
        <v>1</v>
      </c>
      <c r="AR292" cm="1">
        <f t="array" ref="AR292">IF(Table1820[[#This Row],[Effective Date]]&gt;=RateChangeTable[Effective Date],RateChangeTable[Rate Change Factor],1)</f>
        <v>1.06</v>
      </c>
      <c r="AS292" s="10">
        <f>PRODUCT(Table1820[[#This Row],[Base Rate]:[Rate Change Factor]])</f>
        <v>1012.6097427529173</v>
      </c>
      <c r="AT292" s="9">
        <f>Table1820[[#This Row],[System-Generated Premium]]-Table1820[[#This Row],[Expected Premium]]</f>
        <v>0</v>
      </c>
      <c r="AU292" t="str">
        <f>IF(Table1820[[#This Row],[Difference]]=0,"PASS","FAIL")</f>
        <v>PASS</v>
      </c>
      <c r="AV292" s="9">
        <f>ABS(Table1820[[#This Row],[Difference]])</f>
        <v>0</v>
      </c>
      <c r="AW292" s="9" t="s">
        <v>1136</v>
      </c>
    </row>
    <row r="293" spans="1:49" x14ac:dyDescent="0.3">
      <c r="A293" t="s">
        <v>384</v>
      </c>
      <c r="B293" s="7">
        <v>45974</v>
      </c>
      <c r="C293" t="s">
        <v>70</v>
      </c>
      <c r="D293" t="s">
        <v>1100</v>
      </c>
      <c r="E293" s="3">
        <v>1</v>
      </c>
      <c r="F293" s="3">
        <v>4</v>
      </c>
      <c r="G293" t="s">
        <v>10</v>
      </c>
      <c r="H293" t="s">
        <v>1106</v>
      </c>
      <c r="I293" t="s">
        <v>32</v>
      </c>
      <c r="J293" t="s">
        <v>54</v>
      </c>
      <c r="K293" t="s">
        <v>10</v>
      </c>
      <c r="L293" t="s">
        <v>57</v>
      </c>
      <c r="M293" t="s">
        <v>10</v>
      </c>
      <c r="N293" t="s">
        <v>10</v>
      </c>
      <c r="O293" t="str">
        <f>INDEX(CoverageTable[Deductible Applies],MATCH(Table1820[[#This Row],[Coverage]],CoverageTable[Coverage],0))</f>
        <v>No</v>
      </c>
      <c r="P293" t="str">
        <f>INDEX(CoverageTable[Coverage Limit Applies],MATCH(Table1820[[#This Row],[Coverage]],CoverageTable[Coverage],0))</f>
        <v>Yes</v>
      </c>
      <c r="Q293" t="s">
        <v>10</v>
      </c>
      <c r="R293" t="s">
        <v>79</v>
      </c>
      <c r="S293" t="s">
        <v>10</v>
      </c>
      <c r="T293" t="s">
        <v>57</v>
      </c>
      <c r="U293" t="s">
        <v>10</v>
      </c>
      <c r="V293" t="s">
        <v>10</v>
      </c>
      <c r="W293" t="s">
        <v>10</v>
      </c>
      <c r="X293" s="11">
        <v>4729.0675392303683</v>
      </c>
      <c r="Y293">
        <f>_xlfn.XLOOKUP(Table1820[[#This Row],[Coverage]],CoverageTable[Coverage],CoverageTable[Base Rate],,0)</f>
        <v>622</v>
      </c>
      <c r="Z293">
        <f>INDEX(Table16[Ageband Factor],MATCH(Table1820[[#This Row],[Ageband]],Table16[Ageband],0))</f>
        <v>1.07</v>
      </c>
      <c r="AA293">
        <f>VLOOKUP(Table1820[[#This Row],[Years Driving]],Table1[],2)</f>
        <v>1.64</v>
      </c>
      <c r="AB293">
        <f>_xlfn.XLOOKUP(Table1820[[#This Row],[At Fault Accidents]],Table2[At Fault Accidents],Table2[At Fault Accident Factor],,0)</f>
        <v>2.12</v>
      </c>
      <c r="AC293">
        <f>_xlfn.XLOOKUP(Table1820[[#This Row],[Usage-Based Insurance]],Table3[Usage-Based Insurance],Table3[Usage-Based Insurance Discount],,0)</f>
        <v>1</v>
      </c>
      <c r="AD293">
        <f>_xlfn.XLOOKUP(Table1820[[#This Row],[Yearly Miles]],Table4[Yearly Miles],Table4[Yearly Miles Factor],,0)</f>
        <v>0.82</v>
      </c>
      <c r="AE293">
        <f>_xlfn.XLOOKUP(Table1820[[#This Row],[City/Zip Code]],Table5[City/Zip Code],Table5[City/Zip Code Factor],,0)</f>
        <v>1.1200000000000001</v>
      </c>
      <c r="AF293">
        <f>_xlfn.XLOOKUP(Table1820[[#This Row],[Vehicle Price]],Table6[Vehicle Price],Table6[Vehicle Price Factor])</f>
        <v>2.87</v>
      </c>
      <c r="AG293">
        <f>_xlfn.XLOOKUP(Table1820[[#This Row],[Exotic Car]],Table7[Exotic Car],Table7[Exotic Car Factor],,0)</f>
        <v>1</v>
      </c>
      <c r="AH293">
        <f>_xlfn.XLOOKUP(Table1820[[#This Row],[Difficult Parts]],Table8[Difficult Parts],Table8[Difficult Parts Factor],,0)</f>
        <v>1.21</v>
      </c>
      <c r="AI293">
        <f>_xlfn.XLOOKUP(Table1820[[#This Row],[High Theft Rate]],Table9[High Theft Rate],Table9[High Theft Rate Factor],,0)</f>
        <v>1</v>
      </c>
      <c r="AJ293">
        <f>_xlfn.XLOOKUP(Table1820[[#This Row],[Advanced Safety Features]],Table10[Advanced Safety Features],Table10[Advanced Safety Features Factor],,0)</f>
        <v>1</v>
      </c>
      <c r="AK293">
        <f>_xlfn.XLOOKUP(Table1820[[#This Row],[Deductible]],Table12[Deductible],Table12[Deductible Factor],,0)</f>
        <v>1</v>
      </c>
      <c r="AL293">
        <f>_xlfn.XLOOKUP(Table1820[[#This Row],[Coverage Limit]],Table13[Coverage Limit],Table13[Coverage Limit Factor],,0)</f>
        <v>0.72</v>
      </c>
      <c r="AM293">
        <f>IF(Table1820[[#This Row],[Good Student Discount]]="Yes",'Rate Book'!$D$126,1)</f>
        <v>1</v>
      </c>
      <c r="AN293">
        <f>IF(Table1820[[#This Row],[Good Driver Discount]]="Yes",'Rate Book'!$D$127,1)</f>
        <v>0.89</v>
      </c>
      <c r="AO293">
        <f>IF(Table1820[[#This Row],[Multi Policy Discount]]="Yes",'Rate Book'!$D$128,1)</f>
        <v>1</v>
      </c>
      <c r="AP293">
        <f>IF(Table1820[[#This Row],[Loyal Customer Discount]]="Yes",'Rate Book'!$D$129,1)</f>
        <v>1</v>
      </c>
      <c r="AQ293">
        <f>IF(Table1820[[#This Row],[Organization Discount]]="Yes",'Rate Book'!$D$130,1)</f>
        <v>1</v>
      </c>
      <c r="AR293" cm="1">
        <f t="array" ref="AR293">IF(Table1820[[#This Row],[Effective Date]]&gt;=RateChangeTable[Effective Date],RateChangeTable[Rate Change Factor],1)</f>
        <v>1</v>
      </c>
      <c r="AS293" s="10">
        <f>PRODUCT(Table1820[[#This Row],[Base Rate]:[Rate Change Factor]])</f>
        <v>4729.0675392303683</v>
      </c>
      <c r="AT293" s="9">
        <f>Table1820[[#This Row],[System-Generated Premium]]-Table1820[[#This Row],[Expected Premium]]</f>
        <v>0</v>
      </c>
      <c r="AU293" t="str">
        <f>IF(Table1820[[#This Row],[Difference]]=0,"PASS","FAIL")</f>
        <v>PASS</v>
      </c>
      <c r="AV293" s="9">
        <f>ABS(Table1820[[#This Row],[Difference]])</f>
        <v>0</v>
      </c>
      <c r="AW293" s="9" t="s">
        <v>1136</v>
      </c>
    </row>
    <row r="294" spans="1:49" x14ac:dyDescent="0.3">
      <c r="A294" t="s">
        <v>385</v>
      </c>
      <c r="B294" s="7">
        <v>45860</v>
      </c>
      <c r="C294" t="s">
        <v>74</v>
      </c>
      <c r="D294" t="s">
        <v>1102</v>
      </c>
      <c r="E294" s="3" t="s">
        <v>1103</v>
      </c>
      <c r="F294" s="3">
        <v>0</v>
      </c>
      <c r="G294" t="s">
        <v>12</v>
      </c>
      <c r="H294" t="s">
        <v>1109</v>
      </c>
      <c r="I294" t="s">
        <v>23</v>
      </c>
      <c r="J294" t="s">
        <v>53</v>
      </c>
      <c r="K294" t="s">
        <v>10</v>
      </c>
      <c r="L294" t="s">
        <v>57</v>
      </c>
      <c r="M294" t="s">
        <v>10</v>
      </c>
      <c r="N294" t="s">
        <v>10</v>
      </c>
      <c r="O294" t="str">
        <f>INDEX(CoverageTable[Deductible Applies],MATCH(Table1820[[#This Row],[Coverage]],CoverageTable[Coverage],0))</f>
        <v>No</v>
      </c>
      <c r="P294" t="str">
        <f>INDEX(CoverageTable[Coverage Limit Applies],MATCH(Table1820[[#This Row],[Coverage]],CoverageTable[Coverage],0))</f>
        <v>Yes</v>
      </c>
      <c r="Q294" t="s">
        <v>10</v>
      </c>
      <c r="R294" t="s">
        <v>79</v>
      </c>
      <c r="S294" t="s">
        <v>57</v>
      </c>
      <c r="T294" t="s">
        <v>57</v>
      </c>
      <c r="U294" t="s">
        <v>10</v>
      </c>
      <c r="V294" t="s">
        <v>57</v>
      </c>
      <c r="W294" t="s">
        <v>10</v>
      </c>
      <c r="X294" s="11">
        <v>56.964628791683239</v>
      </c>
      <c r="Y294">
        <f>_xlfn.XLOOKUP(Table1820[[#This Row],[Coverage]],CoverageTable[Coverage],CoverageTable[Base Rate],,0)</f>
        <v>41</v>
      </c>
      <c r="Z294">
        <f>INDEX(Table16[Ageband Factor],MATCH(Table1820[[#This Row],[Ageband]],Table16[Ageband],0))</f>
        <v>1.27</v>
      </c>
      <c r="AA294">
        <f>VLOOKUP(Table1820[[#This Row],[Years Driving]],Table1[],2)</f>
        <v>0.93</v>
      </c>
      <c r="AB294">
        <f>_xlfn.XLOOKUP(Table1820[[#This Row],[At Fault Accidents]],Table2[At Fault Accidents],Table2[At Fault Accident Factor],,0)</f>
        <v>1</v>
      </c>
      <c r="AC294">
        <f>_xlfn.XLOOKUP(Table1820[[#This Row],[Usage-Based Insurance]],Table3[Usage-Based Insurance],Table3[Usage-Based Insurance Discount],,0)</f>
        <v>0.8</v>
      </c>
      <c r="AD294">
        <f>_xlfn.XLOOKUP(Table1820[[#This Row],[Yearly Miles]],Table4[Yearly Miles],Table4[Yearly Miles Factor],,0)</f>
        <v>1.18</v>
      </c>
      <c r="AE294">
        <f>_xlfn.XLOOKUP(Table1820[[#This Row],[City/Zip Code]],Table5[City/Zip Code],Table5[City/Zip Code Factor],,0)</f>
        <v>0.92</v>
      </c>
      <c r="AF294">
        <f>_xlfn.XLOOKUP(Table1820[[#This Row],[Vehicle Price]],Table6[Vehicle Price],Table6[Vehicle Price Factor])</f>
        <v>2.02</v>
      </c>
      <c r="AG294">
        <f>_xlfn.XLOOKUP(Table1820[[#This Row],[Exotic Car]],Table7[Exotic Car],Table7[Exotic Car Factor],,0)</f>
        <v>1</v>
      </c>
      <c r="AH294">
        <f>_xlfn.XLOOKUP(Table1820[[#This Row],[Difficult Parts]],Table8[Difficult Parts],Table8[Difficult Parts Factor],,0)</f>
        <v>1.21</v>
      </c>
      <c r="AI294">
        <f>_xlfn.XLOOKUP(Table1820[[#This Row],[High Theft Rate]],Table9[High Theft Rate],Table9[High Theft Rate Factor],,0)</f>
        <v>1</v>
      </c>
      <c r="AJ294">
        <f>_xlfn.XLOOKUP(Table1820[[#This Row],[Advanced Safety Features]],Table10[Advanced Safety Features],Table10[Advanced Safety Features Factor],,0)</f>
        <v>1</v>
      </c>
      <c r="AK294">
        <f>_xlfn.XLOOKUP(Table1820[[#This Row],[Deductible]],Table12[Deductible],Table12[Deductible Factor],,0)</f>
        <v>1</v>
      </c>
      <c r="AL294">
        <f>_xlfn.XLOOKUP(Table1820[[#This Row],[Coverage Limit]],Table13[Coverage Limit],Table13[Coverage Limit Factor],,0)</f>
        <v>0.72</v>
      </c>
      <c r="AM294">
        <f>IF(Table1820[[#This Row],[Good Student Discount]]="Yes",'Rate Book'!$D$126,1)</f>
        <v>0.92</v>
      </c>
      <c r="AN294">
        <f>IF(Table1820[[#This Row],[Good Driver Discount]]="Yes",'Rate Book'!$D$127,1)</f>
        <v>0.89</v>
      </c>
      <c r="AO294">
        <f>IF(Table1820[[#This Row],[Multi Policy Discount]]="Yes",'Rate Book'!$D$128,1)</f>
        <v>1</v>
      </c>
      <c r="AP294">
        <f>IF(Table1820[[#This Row],[Loyal Customer Discount]]="Yes",'Rate Book'!$D$129,1)</f>
        <v>0.94</v>
      </c>
      <c r="AQ294">
        <f>IF(Table1820[[#This Row],[Organization Discount]]="Yes",'Rate Book'!$D$130,1)</f>
        <v>1</v>
      </c>
      <c r="AR294" cm="1">
        <f t="array" ref="AR294">IF(Table1820[[#This Row],[Effective Date]]&gt;=RateChangeTable[Effective Date],RateChangeTable[Rate Change Factor],1)</f>
        <v>1</v>
      </c>
      <c r="AS294" s="10">
        <f>PRODUCT(Table1820[[#This Row],[Base Rate]:[Rate Change Factor]])</f>
        <v>56.964628791683239</v>
      </c>
      <c r="AT294" s="9">
        <f>Table1820[[#This Row],[System-Generated Premium]]-Table1820[[#This Row],[Expected Premium]]</f>
        <v>0</v>
      </c>
      <c r="AU294" t="str">
        <f>IF(Table1820[[#This Row],[Difference]]=0,"PASS","FAIL")</f>
        <v>PASS</v>
      </c>
      <c r="AV294" s="9">
        <f>ABS(Table1820[[#This Row],[Difference]])</f>
        <v>0</v>
      </c>
      <c r="AW294" s="9" t="s">
        <v>1136</v>
      </c>
    </row>
    <row r="295" spans="1:49" x14ac:dyDescent="0.3">
      <c r="A295" t="s">
        <v>386</v>
      </c>
      <c r="B295" s="7">
        <v>45873</v>
      </c>
      <c r="C295" t="s">
        <v>70</v>
      </c>
      <c r="D295" t="s">
        <v>1097</v>
      </c>
      <c r="E295" s="3">
        <v>6</v>
      </c>
      <c r="F295" s="3">
        <v>4</v>
      </c>
      <c r="G295" t="s">
        <v>10</v>
      </c>
      <c r="H295" t="s">
        <v>1106</v>
      </c>
      <c r="I295" t="s">
        <v>32</v>
      </c>
      <c r="J295" t="s">
        <v>48</v>
      </c>
      <c r="K295" t="s">
        <v>10</v>
      </c>
      <c r="L295" t="s">
        <v>10</v>
      </c>
      <c r="M295" t="s">
        <v>10</v>
      </c>
      <c r="N295" t="s">
        <v>57</v>
      </c>
      <c r="O295" t="str">
        <f>INDEX(CoverageTable[Deductible Applies],MATCH(Table1820[[#This Row],[Coverage]],CoverageTable[Coverage],0))</f>
        <v>No</v>
      </c>
      <c r="P295" t="str">
        <f>INDEX(CoverageTable[Coverage Limit Applies],MATCH(Table1820[[#This Row],[Coverage]],CoverageTable[Coverage],0))</f>
        <v>Yes</v>
      </c>
      <c r="Q295" t="s">
        <v>10</v>
      </c>
      <c r="R295" t="s">
        <v>80</v>
      </c>
      <c r="S295" t="s">
        <v>10</v>
      </c>
      <c r="T295" t="s">
        <v>10</v>
      </c>
      <c r="U295" t="s">
        <v>57</v>
      </c>
      <c r="V295" t="s">
        <v>10</v>
      </c>
      <c r="W295" t="s">
        <v>10</v>
      </c>
      <c r="X295" s="11">
        <v>901.13697753254462</v>
      </c>
      <c r="Y295">
        <f>_xlfn.XLOOKUP(Table1820[[#This Row],[Coverage]],CoverageTable[Coverage],CoverageTable[Base Rate],,0)</f>
        <v>622</v>
      </c>
      <c r="Z295">
        <f>INDEX(Table16[Ageband Factor],MATCH(Table1820[[#This Row],[Ageband]],Table16[Ageband],0))</f>
        <v>1.32</v>
      </c>
      <c r="AA295">
        <f>VLOOKUP(Table1820[[#This Row],[Years Driving]],Table1[],2)</f>
        <v>1</v>
      </c>
      <c r="AB295">
        <f>_xlfn.XLOOKUP(Table1820[[#This Row],[At Fault Accidents]],Table2[At Fault Accidents],Table2[At Fault Accident Factor],,0)</f>
        <v>2.12</v>
      </c>
      <c r="AC295">
        <f>_xlfn.XLOOKUP(Table1820[[#This Row],[Usage-Based Insurance]],Table3[Usage-Based Insurance],Table3[Usage-Based Insurance Discount],,0)</f>
        <v>1</v>
      </c>
      <c r="AD295">
        <f>_xlfn.XLOOKUP(Table1820[[#This Row],[Yearly Miles]],Table4[Yearly Miles],Table4[Yearly Miles Factor],,0)</f>
        <v>0.82</v>
      </c>
      <c r="AE295">
        <f>_xlfn.XLOOKUP(Table1820[[#This Row],[City/Zip Code]],Table5[City/Zip Code],Table5[City/Zip Code Factor],,0)</f>
        <v>1.1200000000000001</v>
      </c>
      <c r="AF295">
        <f>_xlfn.XLOOKUP(Table1820[[#This Row],[Vehicle Price]],Table6[Vehicle Price],Table6[Vehicle Price Factor])</f>
        <v>0.82</v>
      </c>
      <c r="AG295">
        <f>_xlfn.XLOOKUP(Table1820[[#This Row],[Exotic Car]],Table7[Exotic Car],Table7[Exotic Car Factor],,0)</f>
        <v>1</v>
      </c>
      <c r="AH295">
        <f>_xlfn.XLOOKUP(Table1820[[#This Row],[Difficult Parts]],Table8[Difficult Parts],Table8[Difficult Parts Factor],,0)</f>
        <v>1</v>
      </c>
      <c r="AI295">
        <f>_xlfn.XLOOKUP(Table1820[[#This Row],[High Theft Rate]],Table9[High Theft Rate],Table9[High Theft Rate Factor],,0)</f>
        <v>1</v>
      </c>
      <c r="AJ295">
        <f>_xlfn.XLOOKUP(Table1820[[#This Row],[Advanced Safety Features]],Table10[Advanced Safety Features],Table10[Advanced Safety Features Factor],,0)</f>
        <v>0.88</v>
      </c>
      <c r="AK295">
        <f>_xlfn.XLOOKUP(Table1820[[#This Row],[Deductible]],Table12[Deductible],Table12[Deductible Factor],,0)</f>
        <v>1</v>
      </c>
      <c r="AL295">
        <f>_xlfn.XLOOKUP(Table1820[[#This Row],[Coverage Limit]],Table13[Coverage Limit],Table13[Coverage Limit Factor],,0)</f>
        <v>0.84</v>
      </c>
      <c r="AM295">
        <f>IF(Table1820[[#This Row],[Good Student Discount]]="Yes",'Rate Book'!$D$126,1)</f>
        <v>1</v>
      </c>
      <c r="AN295">
        <f>IF(Table1820[[#This Row],[Good Driver Discount]]="Yes",'Rate Book'!$D$127,1)</f>
        <v>1</v>
      </c>
      <c r="AO295">
        <f>IF(Table1820[[#This Row],[Multi Policy Discount]]="Yes",'Rate Book'!$D$128,1)</f>
        <v>0.93</v>
      </c>
      <c r="AP295">
        <f>IF(Table1820[[#This Row],[Loyal Customer Discount]]="Yes",'Rate Book'!$D$129,1)</f>
        <v>1</v>
      </c>
      <c r="AQ295">
        <f>IF(Table1820[[#This Row],[Organization Discount]]="Yes",'Rate Book'!$D$130,1)</f>
        <v>1</v>
      </c>
      <c r="AR295" cm="1">
        <f t="array" ref="AR295">IF(Table1820[[#This Row],[Effective Date]]&gt;=RateChangeTable[Effective Date],RateChangeTable[Rate Change Factor],1)</f>
        <v>1</v>
      </c>
      <c r="AS295" s="10">
        <f>PRODUCT(Table1820[[#This Row],[Base Rate]:[Rate Change Factor]])</f>
        <v>901.13697753254462</v>
      </c>
      <c r="AT295" s="9">
        <f>Table1820[[#This Row],[System-Generated Premium]]-Table1820[[#This Row],[Expected Premium]]</f>
        <v>0</v>
      </c>
      <c r="AU295" t="str">
        <f>IF(Table1820[[#This Row],[Difference]]=0,"PASS","FAIL")</f>
        <v>PASS</v>
      </c>
      <c r="AV295" s="9">
        <f>ABS(Table1820[[#This Row],[Difference]])</f>
        <v>0</v>
      </c>
      <c r="AW295" s="9" t="s">
        <v>1136</v>
      </c>
    </row>
    <row r="296" spans="1:49" x14ac:dyDescent="0.3">
      <c r="A296" t="s">
        <v>387</v>
      </c>
      <c r="B296" s="7">
        <v>45921</v>
      </c>
      <c r="C296" t="s">
        <v>70</v>
      </c>
      <c r="D296" t="s">
        <v>1098</v>
      </c>
      <c r="E296" s="3">
        <v>7</v>
      </c>
      <c r="F296" s="3" t="s">
        <v>7</v>
      </c>
      <c r="G296" t="s">
        <v>11</v>
      </c>
      <c r="H296" t="s">
        <v>1109</v>
      </c>
      <c r="I296" t="s">
        <v>30</v>
      </c>
      <c r="J296" t="s">
        <v>49</v>
      </c>
      <c r="K296" t="s">
        <v>10</v>
      </c>
      <c r="L296" t="s">
        <v>10</v>
      </c>
      <c r="M296" t="s">
        <v>10</v>
      </c>
      <c r="N296" t="s">
        <v>57</v>
      </c>
      <c r="O296" t="str">
        <f>INDEX(CoverageTable[Deductible Applies],MATCH(Table1820[[#This Row],[Coverage]],CoverageTable[Coverage],0))</f>
        <v>No</v>
      </c>
      <c r="P296" t="str">
        <f>INDEX(CoverageTable[Coverage Limit Applies],MATCH(Table1820[[#This Row],[Coverage]],CoverageTable[Coverage],0))</f>
        <v>Yes</v>
      </c>
      <c r="Q296" t="s">
        <v>10</v>
      </c>
      <c r="R296" t="s">
        <v>78</v>
      </c>
      <c r="S296" t="s">
        <v>10</v>
      </c>
      <c r="T296" t="s">
        <v>10</v>
      </c>
      <c r="U296" t="s">
        <v>10</v>
      </c>
      <c r="V296" t="s">
        <v>10</v>
      </c>
      <c r="W296" t="s">
        <v>10</v>
      </c>
      <c r="X296" s="11">
        <v>1125.07</v>
      </c>
      <c r="Y296">
        <f>_xlfn.XLOOKUP(Table1820[[#This Row],[Coverage]],CoverageTable[Coverage],CoverageTable[Base Rate],,0)</f>
        <v>622</v>
      </c>
      <c r="Z296">
        <f>INDEX(Table16[Ageband Factor],MATCH(Table1820[[#This Row],[Ageband]],Table16[Ageband],0))</f>
        <v>1.23</v>
      </c>
      <c r="AA296">
        <f>VLOOKUP(Table1820[[#This Row],[Years Driving]],Table1[],2)</f>
        <v>0.95</v>
      </c>
      <c r="AB296">
        <f>_xlfn.XLOOKUP(Table1820[[#This Row],[At Fault Accidents]],Table2[At Fault Accidents],Table2[At Fault Accident Factor],,0)</f>
        <v>2.4700000000000002</v>
      </c>
      <c r="AC296">
        <f>_xlfn.XLOOKUP(Table1820[[#This Row],[Usage-Based Insurance]],Table3[Usage-Based Insurance],Table3[Usage-Based Insurance Discount],,0)</f>
        <v>0.95</v>
      </c>
      <c r="AD296">
        <f>_xlfn.XLOOKUP(Table1820[[#This Row],[Yearly Miles]],Table4[Yearly Miles],Table4[Yearly Miles Factor],,0)</f>
        <v>1.18</v>
      </c>
      <c r="AE296">
        <f>_xlfn.XLOOKUP(Table1820[[#This Row],[City/Zip Code]],Table5[City/Zip Code],Table5[City/Zip Code Factor],,0)</f>
        <v>1.02</v>
      </c>
      <c r="AF296">
        <f>_xlfn.XLOOKUP(Table1820[[#This Row],[Vehicle Price]],Table6[Vehicle Price],Table6[Vehicle Price Factor])</f>
        <v>0.97</v>
      </c>
      <c r="AG296">
        <f>_xlfn.XLOOKUP(Table1820[[#This Row],[Exotic Car]],Table7[Exotic Car],Table7[Exotic Car Factor],,0)</f>
        <v>1</v>
      </c>
      <c r="AH296">
        <f>_xlfn.XLOOKUP(Table1820[[#This Row],[Difficult Parts]],Table8[Difficult Parts],Table8[Difficult Parts Factor],,0)</f>
        <v>1</v>
      </c>
      <c r="AI296">
        <f>_xlfn.XLOOKUP(Table1820[[#This Row],[High Theft Rate]],Table9[High Theft Rate],Table9[High Theft Rate Factor],,0)</f>
        <v>1</v>
      </c>
      <c r="AJ296">
        <f>_xlfn.XLOOKUP(Table1820[[#This Row],[Advanced Safety Features]],Table10[Advanced Safety Features],Table10[Advanced Safety Features Factor],,0)</f>
        <v>0.88</v>
      </c>
      <c r="AK296">
        <f>_xlfn.XLOOKUP(Table1820[[#This Row],[Deductible]],Table12[Deductible],Table12[Deductible Factor],,0)</f>
        <v>1</v>
      </c>
      <c r="AL296">
        <f>_xlfn.XLOOKUP(Table1820[[#This Row],[Coverage Limit]],Table13[Coverage Limit],Table13[Coverage Limit Factor],,0)</f>
        <v>0.61</v>
      </c>
      <c r="AM296">
        <f>IF(Table1820[[#This Row],[Good Student Discount]]="Yes",'Rate Book'!$D$126,1)</f>
        <v>1</v>
      </c>
      <c r="AN296">
        <f>IF(Table1820[[#This Row],[Good Driver Discount]]="Yes",'Rate Book'!$D$127,1)</f>
        <v>1</v>
      </c>
      <c r="AO296">
        <f>IF(Table1820[[#This Row],[Multi Policy Discount]]="Yes",'Rate Book'!$D$128,1)</f>
        <v>1</v>
      </c>
      <c r="AP296">
        <f>IF(Table1820[[#This Row],[Loyal Customer Discount]]="Yes",'Rate Book'!$D$129,1)</f>
        <v>1</v>
      </c>
      <c r="AQ296">
        <f>IF(Table1820[[#This Row],[Organization Discount]]="Yes",'Rate Book'!$D$130,1)</f>
        <v>1</v>
      </c>
      <c r="AR296" cm="1">
        <f t="array" ref="AR296">IF(Table1820[[#This Row],[Effective Date]]&gt;=RateChangeTable[Effective Date],RateChangeTable[Rate Change Factor],1)</f>
        <v>1</v>
      </c>
      <c r="AS296" s="10">
        <f>PRODUCT(Table1820[[#This Row],[Base Rate]:[Rate Change Factor]])</f>
        <v>1068.8237128418518</v>
      </c>
      <c r="AT296" s="9">
        <f>Table1820[[#This Row],[System-Generated Premium]]-Table1820[[#This Row],[Expected Premium]]</f>
        <v>56.246287158148107</v>
      </c>
      <c r="AU296" t="str">
        <f>IF(Table1820[[#This Row],[Difference]]=0,"PASS","FAIL")</f>
        <v>FAIL</v>
      </c>
      <c r="AV296" s="9">
        <f>ABS(Table1820[[#This Row],[Difference]])</f>
        <v>56.246287158148107</v>
      </c>
      <c r="AW296" s="9" t="s">
        <v>1150</v>
      </c>
    </row>
    <row r="297" spans="1:49" x14ac:dyDescent="0.3">
      <c r="A297" t="s">
        <v>388</v>
      </c>
      <c r="B297" s="7">
        <v>46121</v>
      </c>
      <c r="C297" t="s">
        <v>70</v>
      </c>
      <c r="D297" t="s">
        <v>1100</v>
      </c>
      <c r="E297" s="3">
        <v>4</v>
      </c>
      <c r="F297" s="3">
        <v>0</v>
      </c>
      <c r="G297" t="s">
        <v>11</v>
      </c>
      <c r="H297" t="s">
        <v>1109</v>
      </c>
      <c r="I297" t="s">
        <v>35</v>
      </c>
      <c r="J297" t="s">
        <v>48</v>
      </c>
      <c r="K297" t="s">
        <v>10</v>
      </c>
      <c r="L297" t="s">
        <v>57</v>
      </c>
      <c r="M297" t="s">
        <v>10</v>
      </c>
      <c r="N297" t="s">
        <v>57</v>
      </c>
      <c r="O297" t="str">
        <f>INDEX(CoverageTable[Deductible Applies],MATCH(Table1820[[#This Row],[Coverage]],CoverageTable[Coverage],0))</f>
        <v>No</v>
      </c>
      <c r="P297" t="str">
        <f>INDEX(CoverageTable[Coverage Limit Applies],MATCH(Table1820[[#This Row],[Coverage]],CoverageTable[Coverage],0))</f>
        <v>Yes</v>
      </c>
      <c r="Q297" t="s">
        <v>10</v>
      </c>
      <c r="R297" t="s">
        <v>80</v>
      </c>
      <c r="S297" t="s">
        <v>10</v>
      </c>
      <c r="T297" t="s">
        <v>10</v>
      </c>
      <c r="U297" t="s">
        <v>10</v>
      </c>
      <c r="V297" t="s">
        <v>10</v>
      </c>
      <c r="W297" t="s">
        <v>57</v>
      </c>
      <c r="X297" s="11">
        <v>724.66021487323042</v>
      </c>
      <c r="Y297">
        <f>_xlfn.XLOOKUP(Table1820[[#This Row],[Coverage]],CoverageTable[Coverage],CoverageTable[Base Rate],,0)</f>
        <v>622</v>
      </c>
      <c r="Z297">
        <f>INDEX(Table16[Ageband Factor],MATCH(Table1820[[#This Row],[Ageband]],Table16[Ageband],0))</f>
        <v>1.07</v>
      </c>
      <c r="AA297">
        <f>VLOOKUP(Table1820[[#This Row],[Years Driving]],Table1[],2)</f>
        <v>1.1499999999999999</v>
      </c>
      <c r="AB297">
        <f>_xlfn.XLOOKUP(Table1820[[#This Row],[At Fault Accidents]],Table2[At Fault Accidents],Table2[At Fault Accident Factor],,0)</f>
        <v>1</v>
      </c>
      <c r="AC297">
        <f>_xlfn.XLOOKUP(Table1820[[#This Row],[Usage-Based Insurance]],Table3[Usage-Based Insurance],Table3[Usage-Based Insurance Discount],,0)</f>
        <v>0.95</v>
      </c>
      <c r="AD297">
        <f>_xlfn.XLOOKUP(Table1820[[#This Row],[Yearly Miles]],Table4[Yearly Miles],Table4[Yearly Miles Factor],,0)</f>
        <v>1.18</v>
      </c>
      <c r="AE297">
        <f>_xlfn.XLOOKUP(Table1820[[#This Row],[City/Zip Code]],Table5[City/Zip Code],Table5[City/Zip Code Factor],,0)</f>
        <v>1.1200000000000001</v>
      </c>
      <c r="AF297">
        <f>_xlfn.XLOOKUP(Table1820[[#This Row],[Vehicle Price]],Table6[Vehicle Price],Table6[Vehicle Price Factor])</f>
        <v>0.82</v>
      </c>
      <c r="AG297">
        <f>_xlfn.XLOOKUP(Table1820[[#This Row],[Exotic Car]],Table7[Exotic Car],Table7[Exotic Car Factor],,0)</f>
        <v>1</v>
      </c>
      <c r="AH297">
        <f>_xlfn.XLOOKUP(Table1820[[#This Row],[Difficult Parts]],Table8[Difficult Parts],Table8[Difficult Parts Factor],,0)</f>
        <v>1.21</v>
      </c>
      <c r="AI297">
        <f>_xlfn.XLOOKUP(Table1820[[#This Row],[High Theft Rate]],Table9[High Theft Rate],Table9[High Theft Rate Factor],,0)</f>
        <v>1</v>
      </c>
      <c r="AJ297">
        <f>_xlfn.XLOOKUP(Table1820[[#This Row],[Advanced Safety Features]],Table10[Advanced Safety Features],Table10[Advanced Safety Features Factor],,0)</f>
        <v>0.88</v>
      </c>
      <c r="AK297">
        <f>_xlfn.XLOOKUP(Table1820[[#This Row],[Deductible]],Table12[Deductible],Table12[Deductible Factor],,0)</f>
        <v>1</v>
      </c>
      <c r="AL297">
        <f>_xlfn.XLOOKUP(Table1820[[#This Row],[Coverage Limit]],Table13[Coverage Limit],Table13[Coverage Limit Factor],,0)</f>
        <v>0.84</v>
      </c>
      <c r="AM297">
        <f>IF(Table1820[[#This Row],[Good Student Discount]]="Yes",'Rate Book'!$D$126,1)</f>
        <v>1</v>
      </c>
      <c r="AN297">
        <f>IF(Table1820[[#This Row],[Good Driver Discount]]="Yes",'Rate Book'!$D$127,1)</f>
        <v>1</v>
      </c>
      <c r="AO297">
        <f>IF(Table1820[[#This Row],[Multi Policy Discount]]="Yes",'Rate Book'!$D$128,1)</f>
        <v>1</v>
      </c>
      <c r="AP297">
        <f>IF(Table1820[[#This Row],[Loyal Customer Discount]]="Yes",'Rate Book'!$D$129,1)</f>
        <v>1</v>
      </c>
      <c r="AQ297">
        <f>IF(Table1820[[#This Row],[Organization Discount]]="Yes",'Rate Book'!$D$130,1)</f>
        <v>0.97</v>
      </c>
      <c r="AR297" cm="1">
        <f t="array" ref="AR297">IF(Table1820[[#This Row],[Effective Date]]&gt;=RateChangeTable[Effective Date],RateChangeTable[Rate Change Factor],1)</f>
        <v>1.06</v>
      </c>
      <c r="AS297" s="10">
        <f>PRODUCT(Table1820[[#This Row],[Base Rate]:[Rate Change Factor]])</f>
        <v>724.66021487323042</v>
      </c>
      <c r="AT297" s="9">
        <f>Table1820[[#This Row],[System-Generated Premium]]-Table1820[[#This Row],[Expected Premium]]</f>
        <v>0</v>
      </c>
      <c r="AU297" t="str">
        <f>IF(Table1820[[#This Row],[Difference]]=0,"PASS","FAIL")</f>
        <v>PASS</v>
      </c>
      <c r="AV297" s="9">
        <f>ABS(Table1820[[#This Row],[Difference]])</f>
        <v>0</v>
      </c>
      <c r="AW297" s="9" t="s">
        <v>1136</v>
      </c>
    </row>
    <row r="298" spans="1:49" x14ac:dyDescent="0.3">
      <c r="A298" t="s">
        <v>389</v>
      </c>
      <c r="B298" s="7">
        <v>46018</v>
      </c>
      <c r="C298" t="s">
        <v>71</v>
      </c>
      <c r="D298" t="s">
        <v>1102</v>
      </c>
      <c r="E298" s="3">
        <v>4</v>
      </c>
      <c r="F298" s="3">
        <v>0</v>
      </c>
      <c r="G298" t="s">
        <v>12</v>
      </c>
      <c r="H298" t="s">
        <v>1106</v>
      </c>
      <c r="I298" t="s">
        <v>36</v>
      </c>
      <c r="J298" t="s">
        <v>54</v>
      </c>
      <c r="K298" t="s">
        <v>10</v>
      </c>
      <c r="L298" t="s">
        <v>10</v>
      </c>
      <c r="M298" t="s">
        <v>10</v>
      </c>
      <c r="N298" t="s">
        <v>10</v>
      </c>
      <c r="O298" t="str">
        <f>INDEX(CoverageTable[Deductible Applies],MATCH(Table1820[[#This Row],[Coverage]],CoverageTable[Coverage],0))</f>
        <v>Yes</v>
      </c>
      <c r="P298" t="str">
        <f>INDEX(CoverageTable[Coverage Limit Applies],MATCH(Table1820[[#This Row],[Coverage]],CoverageTable[Coverage],0))</f>
        <v>No</v>
      </c>
      <c r="Q298" t="s">
        <v>79</v>
      </c>
      <c r="R298" t="s">
        <v>10</v>
      </c>
      <c r="S298" t="s">
        <v>10</v>
      </c>
      <c r="T298" t="s">
        <v>10</v>
      </c>
      <c r="U298" t="s">
        <v>10</v>
      </c>
      <c r="V298" t="s">
        <v>10</v>
      </c>
      <c r="W298" t="s">
        <v>57</v>
      </c>
      <c r="X298" s="11">
        <v>994.63238453863869</v>
      </c>
      <c r="Y298">
        <f>_xlfn.XLOOKUP(Table1820[[#This Row],[Coverage]],CoverageTable[Coverage],CoverageTable[Base Rate],,0)</f>
        <v>453</v>
      </c>
      <c r="Z298">
        <f>INDEX(Table16[Ageband Factor],MATCH(Table1820[[#This Row],[Ageband]],Table16[Ageband],0))</f>
        <v>1.27</v>
      </c>
      <c r="AA298">
        <f>VLOOKUP(Table1820[[#This Row],[Years Driving]],Table1[],2)</f>
        <v>1.1499999999999999</v>
      </c>
      <c r="AB298">
        <f>_xlfn.XLOOKUP(Table1820[[#This Row],[At Fault Accidents]],Table2[At Fault Accidents],Table2[At Fault Accident Factor],,0)</f>
        <v>1</v>
      </c>
      <c r="AC298">
        <f>_xlfn.XLOOKUP(Table1820[[#This Row],[Usage-Based Insurance]],Table3[Usage-Based Insurance],Table3[Usage-Based Insurance Discount],,0)</f>
        <v>0.8</v>
      </c>
      <c r="AD298">
        <f>_xlfn.XLOOKUP(Table1820[[#This Row],[Yearly Miles]],Table4[Yearly Miles],Table4[Yearly Miles Factor],,0)</f>
        <v>0.82</v>
      </c>
      <c r="AE298">
        <f>_xlfn.XLOOKUP(Table1820[[#This Row],[City/Zip Code]],Table5[City/Zip Code],Table5[City/Zip Code Factor],,0)</f>
        <v>0.98</v>
      </c>
      <c r="AF298">
        <f>_xlfn.XLOOKUP(Table1820[[#This Row],[Vehicle Price]],Table6[Vehicle Price],Table6[Vehicle Price Factor])</f>
        <v>2.87</v>
      </c>
      <c r="AG298">
        <f>_xlfn.XLOOKUP(Table1820[[#This Row],[Exotic Car]],Table7[Exotic Car],Table7[Exotic Car Factor],,0)</f>
        <v>1</v>
      </c>
      <c r="AH298">
        <f>_xlfn.XLOOKUP(Table1820[[#This Row],[Difficult Parts]],Table8[Difficult Parts],Table8[Difficult Parts Factor],,0)</f>
        <v>1</v>
      </c>
      <c r="AI298">
        <f>_xlfn.XLOOKUP(Table1820[[#This Row],[High Theft Rate]],Table9[High Theft Rate],Table9[High Theft Rate Factor],,0)</f>
        <v>1</v>
      </c>
      <c r="AJ298">
        <f>_xlfn.XLOOKUP(Table1820[[#This Row],[Advanced Safety Features]],Table10[Advanced Safety Features],Table10[Advanced Safety Features Factor],,0)</f>
        <v>1</v>
      </c>
      <c r="AK298">
        <f>_xlfn.XLOOKUP(Table1820[[#This Row],[Deductible]],Table12[Deductible],Table12[Deductible Factor],,0)</f>
        <v>0.84</v>
      </c>
      <c r="AL298">
        <f>_xlfn.XLOOKUP(Table1820[[#This Row],[Coverage Limit]],Table13[Coverage Limit],Table13[Coverage Limit Factor],,0)</f>
        <v>1</v>
      </c>
      <c r="AM298">
        <f>IF(Table1820[[#This Row],[Good Student Discount]]="Yes",'Rate Book'!$D$126,1)</f>
        <v>1</v>
      </c>
      <c r="AN298">
        <f>IF(Table1820[[#This Row],[Good Driver Discount]]="Yes",'Rate Book'!$D$127,1)</f>
        <v>1</v>
      </c>
      <c r="AO298">
        <f>IF(Table1820[[#This Row],[Multi Policy Discount]]="Yes",'Rate Book'!$D$128,1)</f>
        <v>1</v>
      </c>
      <c r="AP298">
        <f>IF(Table1820[[#This Row],[Loyal Customer Discount]]="Yes",'Rate Book'!$D$129,1)</f>
        <v>1</v>
      </c>
      <c r="AQ298">
        <f>IF(Table1820[[#This Row],[Organization Discount]]="Yes",'Rate Book'!$D$130,1)</f>
        <v>0.97</v>
      </c>
      <c r="AR298" cm="1">
        <f t="array" ref="AR298">IF(Table1820[[#This Row],[Effective Date]]&gt;=RateChangeTable[Effective Date],RateChangeTable[Rate Change Factor],1)</f>
        <v>1</v>
      </c>
      <c r="AS298" s="10">
        <f>PRODUCT(Table1820[[#This Row],[Base Rate]:[Rate Change Factor]])</f>
        <v>994.63238453863869</v>
      </c>
      <c r="AT298" s="9">
        <f>Table1820[[#This Row],[System-Generated Premium]]-Table1820[[#This Row],[Expected Premium]]</f>
        <v>0</v>
      </c>
      <c r="AU298" t="str">
        <f>IF(Table1820[[#This Row],[Difference]]=0,"PASS","FAIL")</f>
        <v>PASS</v>
      </c>
      <c r="AV298" s="9">
        <f>ABS(Table1820[[#This Row],[Difference]])</f>
        <v>0</v>
      </c>
      <c r="AW298" s="9" t="s">
        <v>1136</v>
      </c>
    </row>
    <row r="299" spans="1:49" x14ac:dyDescent="0.3">
      <c r="A299" t="s">
        <v>390</v>
      </c>
      <c r="B299" s="7">
        <v>46072</v>
      </c>
      <c r="C299" t="s">
        <v>71</v>
      </c>
      <c r="D299" t="s">
        <v>1102</v>
      </c>
      <c r="E299" s="3">
        <v>5</v>
      </c>
      <c r="F299" s="3" t="s">
        <v>7</v>
      </c>
      <c r="G299" t="s">
        <v>10</v>
      </c>
      <c r="H299" t="s">
        <v>1109</v>
      </c>
      <c r="I299" t="s">
        <v>33</v>
      </c>
      <c r="J299" t="s">
        <v>48</v>
      </c>
      <c r="K299" t="s">
        <v>57</v>
      </c>
      <c r="L299" t="s">
        <v>10</v>
      </c>
      <c r="M299" t="s">
        <v>10</v>
      </c>
      <c r="N299" t="s">
        <v>10</v>
      </c>
      <c r="O299" t="str">
        <f>INDEX(CoverageTable[Deductible Applies],MATCH(Table1820[[#This Row],[Coverage]],CoverageTable[Coverage],0))</f>
        <v>Yes</v>
      </c>
      <c r="P299" t="str">
        <f>INDEX(CoverageTable[Coverage Limit Applies],MATCH(Table1820[[#This Row],[Coverage]],CoverageTable[Coverage],0))</f>
        <v>No</v>
      </c>
      <c r="Q299" t="s">
        <v>80</v>
      </c>
      <c r="R299" t="s">
        <v>10</v>
      </c>
      <c r="S299" t="s">
        <v>10</v>
      </c>
      <c r="T299" t="s">
        <v>10</v>
      </c>
      <c r="U299" t="s">
        <v>10</v>
      </c>
      <c r="V299" t="s">
        <v>10</v>
      </c>
      <c r="W299" t="s">
        <v>10</v>
      </c>
      <c r="X299" s="11">
        <v>1465.9765277013016</v>
      </c>
      <c r="Y299">
        <f>_xlfn.XLOOKUP(Table1820[[#This Row],[Coverage]],CoverageTable[Coverage],CoverageTable[Base Rate],,0)</f>
        <v>453</v>
      </c>
      <c r="Z299">
        <f>INDEX(Table16[Ageband Factor],MATCH(Table1820[[#This Row],[Ageband]],Table16[Ageband],0))</f>
        <v>1.27</v>
      </c>
      <c r="AA299">
        <f>VLOOKUP(Table1820[[#This Row],[Years Driving]],Table1[],2)</f>
        <v>1.07</v>
      </c>
      <c r="AB299">
        <f>_xlfn.XLOOKUP(Table1820[[#This Row],[At Fault Accidents]],Table2[At Fault Accidents],Table2[At Fault Accident Factor],,0)</f>
        <v>2.4700000000000002</v>
      </c>
      <c r="AC299">
        <f>_xlfn.XLOOKUP(Table1820[[#This Row],[Usage-Based Insurance]],Table3[Usage-Based Insurance],Table3[Usage-Based Insurance Discount],,0)</f>
        <v>1</v>
      </c>
      <c r="AD299">
        <f>_xlfn.XLOOKUP(Table1820[[#This Row],[Yearly Miles]],Table4[Yearly Miles],Table4[Yearly Miles Factor],,0)</f>
        <v>1.18</v>
      </c>
      <c r="AE299">
        <f>_xlfn.XLOOKUP(Table1820[[#This Row],[City/Zip Code]],Table5[City/Zip Code],Table5[City/Zip Code Factor],,0)</f>
        <v>1.02</v>
      </c>
      <c r="AF299">
        <f>_xlfn.XLOOKUP(Table1820[[#This Row],[Vehicle Price]],Table6[Vehicle Price],Table6[Vehicle Price Factor])</f>
        <v>0.82</v>
      </c>
      <c r="AG299">
        <f>_xlfn.XLOOKUP(Table1820[[#This Row],[Exotic Car]],Table7[Exotic Car],Table7[Exotic Car Factor],,0)</f>
        <v>1.28</v>
      </c>
      <c r="AH299">
        <f>_xlfn.XLOOKUP(Table1820[[#This Row],[Difficult Parts]],Table8[Difficult Parts],Table8[Difficult Parts Factor],,0)</f>
        <v>1</v>
      </c>
      <c r="AI299">
        <f>_xlfn.XLOOKUP(Table1820[[#This Row],[High Theft Rate]],Table9[High Theft Rate],Table9[High Theft Rate Factor],,0)</f>
        <v>1</v>
      </c>
      <c r="AJ299">
        <f>_xlfn.XLOOKUP(Table1820[[#This Row],[Advanced Safety Features]],Table10[Advanced Safety Features],Table10[Advanced Safety Features Factor],,0)</f>
        <v>1</v>
      </c>
      <c r="AK299">
        <f>_xlfn.XLOOKUP(Table1820[[#This Row],[Deductible]],Table12[Deductible],Table12[Deductible Factor],,0)</f>
        <v>0.72</v>
      </c>
      <c r="AL299">
        <f>_xlfn.XLOOKUP(Table1820[[#This Row],[Coverage Limit]],Table13[Coverage Limit],Table13[Coverage Limit Factor],,0)</f>
        <v>1</v>
      </c>
      <c r="AM299">
        <f>IF(Table1820[[#This Row],[Good Student Discount]]="Yes",'Rate Book'!$D$126,1)</f>
        <v>1</v>
      </c>
      <c r="AN299">
        <f>IF(Table1820[[#This Row],[Good Driver Discount]]="Yes",'Rate Book'!$D$127,1)</f>
        <v>1</v>
      </c>
      <c r="AO299">
        <f>IF(Table1820[[#This Row],[Multi Policy Discount]]="Yes",'Rate Book'!$D$128,1)</f>
        <v>1</v>
      </c>
      <c r="AP299">
        <f>IF(Table1820[[#This Row],[Loyal Customer Discount]]="Yes",'Rate Book'!$D$129,1)</f>
        <v>1</v>
      </c>
      <c r="AQ299">
        <f>IF(Table1820[[#This Row],[Organization Discount]]="Yes",'Rate Book'!$D$130,1)</f>
        <v>1</v>
      </c>
      <c r="AR299" cm="1">
        <f t="array" ref="AR299">IF(Table1820[[#This Row],[Effective Date]]&gt;=RateChangeTable[Effective Date],RateChangeTable[Rate Change Factor],1)</f>
        <v>1.06</v>
      </c>
      <c r="AS299" s="10">
        <f>PRODUCT(Table1820[[#This Row],[Base Rate]:[Rate Change Factor]])</f>
        <v>1465.9765277013016</v>
      </c>
      <c r="AT299" s="9">
        <f>Table1820[[#This Row],[System-Generated Premium]]-Table1820[[#This Row],[Expected Premium]]</f>
        <v>0</v>
      </c>
      <c r="AU299" t="str">
        <f>IF(Table1820[[#This Row],[Difference]]=0,"PASS","FAIL")</f>
        <v>PASS</v>
      </c>
      <c r="AV299" s="9">
        <f>ABS(Table1820[[#This Row],[Difference]])</f>
        <v>0</v>
      </c>
      <c r="AW299" s="9" t="s">
        <v>1136</v>
      </c>
    </row>
    <row r="300" spans="1:49" x14ac:dyDescent="0.3">
      <c r="A300" t="s">
        <v>391</v>
      </c>
      <c r="B300" s="7">
        <v>45994</v>
      </c>
      <c r="C300" t="s">
        <v>70</v>
      </c>
      <c r="D300" t="s">
        <v>1101</v>
      </c>
      <c r="E300" s="3" t="s">
        <v>1103</v>
      </c>
      <c r="F300" s="3">
        <v>0</v>
      </c>
      <c r="G300" t="s">
        <v>13</v>
      </c>
      <c r="H300" t="s">
        <v>1108</v>
      </c>
      <c r="I300" t="s">
        <v>37</v>
      </c>
      <c r="J300" t="s">
        <v>52</v>
      </c>
      <c r="K300" t="s">
        <v>10</v>
      </c>
      <c r="L300" t="s">
        <v>10</v>
      </c>
      <c r="M300" t="s">
        <v>57</v>
      </c>
      <c r="N300" t="s">
        <v>57</v>
      </c>
      <c r="O300" t="str">
        <f>INDEX(CoverageTable[Deductible Applies],MATCH(Table1820[[#This Row],[Coverage]],CoverageTable[Coverage],0))</f>
        <v>No</v>
      </c>
      <c r="P300" t="str">
        <f>INDEX(CoverageTable[Coverage Limit Applies],MATCH(Table1820[[#This Row],[Coverage]],CoverageTable[Coverage],0))</f>
        <v>Yes</v>
      </c>
      <c r="Q300" t="s">
        <v>10</v>
      </c>
      <c r="R300" t="s">
        <v>79</v>
      </c>
      <c r="S300" t="s">
        <v>10</v>
      </c>
      <c r="T300" t="s">
        <v>10</v>
      </c>
      <c r="U300" t="s">
        <v>57</v>
      </c>
      <c r="V300" t="s">
        <v>10</v>
      </c>
      <c r="W300" t="s">
        <v>10</v>
      </c>
      <c r="X300" s="11">
        <v>492.59156323088928</v>
      </c>
      <c r="Y300">
        <f>_xlfn.XLOOKUP(Table1820[[#This Row],[Coverage]],CoverageTable[Coverage],CoverageTable[Base Rate],,0)</f>
        <v>622</v>
      </c>
      <c r="Z300">
        <f>INDEX(Table16[Ageband Factor],MATCH(Table1820[[#This Row],[Ageband]],Table16[Ageband],0))</f>
        <v>1.1200000000000001</v>
      </c>
      <c r="AA300">
        <f>VLOOKUP(Table1820[[#This Row],[Years Driving]],Table1[],2)</f>
        <v>0.93</v>
      </c>
      <c r="AB300">
        <f>_xlfn.XLOOKUP(Table1820[[#This Row],[At Fault Accidents]],Table2[At Fault Accidents],Table2[At Fault Accident Factor],,0)</f>
        <v>1</v>
      </c>
      <c r="AC300">
        <f>_xlfn.XLOOKUP(Table1820[[#This Row],[Usage-Based Insurance]],Table3[Usage-Based Insurance],Table3[Usage-Based Insurance Discount],,0)</f>
        <v>0.65</v>
      </c>
      <c r="AD300">
        <f>_xlfn.XLOOKUP(Table1820[[#This Row],[Yearly Miles]],Table4[Yearly Miles],Table4[Yearly Miles Factor],,0)</f>
        <v>1</v>
      </c>
      <c r="AE300">
        <f>_xlfn.XLOOKUP(Table1820[[#This Row],[City/Zip Code]],Table5[City/Zip Code],Table5[City/Zip Code Factor],,0)</f>
        <v>1.0900000000000001</v>
      </c>
      <c r="AF300">
        <f>_xlfn.XLOOKUP(Table1820[[#This Row],[Vehicle Price]],Table6[Vehicle Price],Table6[Vehicle Price Factor])</f>
        <v>1.57</v>
      </c>
      <c r="AG300">
        <f>_xlfn.XLOOKUP(Table1820[[#This Row],[Exotic Car]],Table7[Exotic Car],Table7[Exotic Car Factor],,0)</f>
        <v>1</v>
      </c>
      <c r="AH300">
        <f>_xlfn.XLOOKUP(Table1820[[#This Row],[Difficult Parts]],Table8[Difficult Parts],Table8[Difficult Parts Factor],,0)</f>
        <v>1</v>
      </c>
      <c r="AI300">
        <f>_xlfn.XLOOKUP(Table1820[[#This Row],[High Theft Rate]],Table9[High Theft Rate],Table9[High Theft Rate Factor],,0)</f>
        <v>1.1599999999999999</v>
      </c>
      <c r="AJ300">
        <f>_xlfn.XLOOKUP(Table1820[[#This Row],[Advanced Safety Features]],Table10[Advanced Safety Features],Table10[Advanced Safety Features Factor],,0)</f>
        <v>0.88</v>
      </c>
      <c r="AK300">
        <f>_xlfn.XLOOKUP(Table1820[[#This Row],[Deductible]],Table12[Deductible],Table12[Deductible Factor],,0)</f>
        <v>1</v>
      </c>
      <c r="AL300">
        <f>_xlfn.XLOOKUP(Table1820[[#This Row],[Coverage Limit]],Table13[Coverage Limit],Table13[Coverage Limit Factor],,0)</f>
        <v>0.72</v>
      </c>
      <c r="AM300">
        <f>IF(Table1820[[#This Row],[Good Student Discount]]="Yes",'Rate Book'!$D$126,1)</f>
        <v>1</v>
      </c>
      <c r="AN300">
        <f>IF(Table1820[[#This Row],[Good Driver Discount]]="Yes",'Rate Book'!$D$127,1)</f>
        <v>1</v>
      </c>
      <c r="AO300">
        <f>IF(Table1820[[#This Row],[Multi Policy Discount]]="Yes",'Rate Book'!$D$128,1)</f>
        <v>0.93</v>
      </c>
      <c r="AP300">
        <f>IF(Table1820[[#This Row],[Loyal Customer Discount]]="Yes",'Rate Book'!$D$129,1)</f>
        <v>1</v>
      </c>
      <c r="AQ300">
        <f>IF(Table1820[[#This Row],[Organization Discount]]="Yes",'Rate Book'!$D$130,1)</f>
        <v>1</v>
      </c>
      <c r="AR300" cm="1">
        <f t="array" ref="AR300">IF(Table1820[[#This Row],[Effective Date]]&gt;=RateChangeTable[Effective Date],RateChangeTable[Rate Change Factor],1)</f>
        <v>1</v>
      </c>
      <c r="AS300" s="10">
        <f>PRODUCT(Table1820[[#This Row],[Base Rate]:[Rate Change Factor]])</f>
        <v>492.59156323088928</v>
      </c>
      <c r="AT300" s="9">
        <f>Table1820[[#This Row],[System-Generated Premium]]-Table1820[[#This Row],[Expected Premium]]</f>
        <v>0</v>
      </c>
      <c r="AU300" t="str">
        <f>IF(Table1820[[#This Row],[Difference]]=0,"PASS","FAIL")</f>
        <v>PASS</v>
      </c>
      <c r="AV300" s="9">
        <f>ABS(Table1820[[#This Row],[Difference]])</f>
        <v>0</v>
      </c>
      <c r="AW300" s="9" t="s">
        <v>1136</v>
      </c>
    </row>
    <row r="301" spans="1:49" x14ac:dyDescent="0.3">
      <c r="A301" t="s">
        <v>392</v>
      </c>
      <c r="B301" s="7">
        <v>45825</v>
      </c>
      <c r="C301" t="s">
        <v>70</v>
      </c>
      <c r="D301" t="s">
        <v>1100</v>
      </c>
      <c r="E301" s="3" t="s">
        <v>1103</v>
      </c>
      <c r="F301" s="3">
        <v>2</v>
      </c>
      <c r="G301" t="s">
        <v>11</v>
      </c>
      <c r="H301" t="s">
        <v>1108</v>
      </c>
      <c r="I301" t="s">
        <v>38</v>
      </c>
      <c r="J301" t="s">
        <v>54</v>
      </c>
      <c r="K301" t="s">
        <v>10</v>
      </c>
      <c r="L301" t="s">
        <v>10</v>
      </c>
      <c r="M301" t="s">
        <v>10</v>
      </c>
      <c r="N301" t="s">
        <v>10</v>
      </c>
      <c r="O301" t="str">
        <f>INDEX(CoverageTable[Deductible Applies],MATCH(Table1820[[#This Row],[Coverage]],CoverageTable[Coverage],0))</f>
        <v>No</v>
      </c>
      <c r="P301" t="str">
        <f>INDEX(CoverageTable[Coverage Limit Applies],MATCH(Table1820[[#This Row],[Coverage]],CoverageTable[Coverage],0))</f>
        <v>Yes</v>
      </c>
      <c r="Q301" t="s">
        <v>10</v>
      </c>
      <c r="R301" t="s">
        <v>79</v>
      </c>
      <c r="S301" t="s">
        <v>10</v>
      </c>
      <c r="T301" t="s">
        <v>10</v>
      </c>
      <c r="U301" t="s">
        <v>10</v>
      </c>
      <c r="V301" t="s">
        <v>10</v>
      </c>
      <c r="W301" t="s">
        <v>10</v>
      </c>
      <c r="X301" s="11">
        <v>2109.3314607711363</v>
      </c>
      <c r="Y301">
        <f>_xlfn.XLOOKUP(Table1820[[#This Row],[Coverage]],CoverageTable[Coverage],CoverageTable[Base Rate],,0)</f>
        <v>622</v>
      </c>
      <c r="Z301">
        <f>INDEX(Table16[Ageband Factor],MATCH(Table1820[[#This Row],[Ageband]],Table16[Ageband],0))</f>
        <v>1.07</v>
      </c>
      <c r="AA301">
        <f>VLOOKUP(Table1820[[#This Row],[Years Driving]],Table1[],2)</f>
        <v>0.93</v>
      </c>
      <c r="AB301">
        <f>_xlfn.XLOOKUP(Table1820[[#This Row],[At Fault Accidents]],Table2[At Fault Accidents],Table2[At Fault Accident Factor],,0)</f>
        <v>1.55</v>
      </c>
      <c r="AC301">
        <f>_xlfn.XLOOKUP(Table1820[[#This Row],[Usage-Based Insurance]],Table3[Usage-Based Insurance],Table3[Usage-Based Insurance Discount],,0)</f>
        <v>0.95</v>
      </c>
      <c r="AD301">
        <f>_xlfn.XLOOKUP(Table1820[[#This Row],[Yearly Miles]],Table4[Yearly Miles],Table4[Yearly Miles Factor],,0)</f>
        <v>1</v>
      </c>
      <c r="AE301">
        <f>_xlfn.XLOOKUP(Table1820[[#This Row],[City/Zip Code]],Table5[City/Zip Code],Table5[City/Zip Code Factor],,0)</f>
        <v>1.1200000000000001</v>
      </c>
      <c r="AF301">
        <f>_xlfn.XLOOKUP(Table1820[[#This Row],[Vehicle Price]],Table6[Vehicle Price],Table6[Vehicle Price Factor])</f>
        <v>2.87</v>
      </c>
      <c r="AG301">
        <f>_xlfn.XLOOKUP(Table1820[[#This Row],[Exotic Car]],Table7[Exotic Car],Table7[Exotic Car Factor],,0)</f>
        <v>1</v>
      </c>
      <c r="AH301">
        <f>_xlfn.XLOOKUP(Table1820[[#This Row],[Difficult Parts]],Table8[Difficult Parts],Table8[Difficult Parts Factor],,0)</f>
        <v>1</v>
      </c>
      <c r="AI301">
        <f>_xlfn.XLOOKUP(Table1820[[#This Row],[High Theft Rate]],Table9[High Theft Rate],Table9[High Theft Rate Factor],,0)</f>
        <v>1</v>
      </c>
      <c r="AJ301">
        <f>_xlfn.XLOOKUP(Table1820[[#This Row],[Advanced Safety Features]],Table10[Advanced Safety Features],Table10[Advanced Safety Features Factor],,0)</f>
        <v>1</v>
      </c>
      <c r="AK301">
        <f>_xlfn.XLOOKUP(Table1820[[#This Row],[Deductible]],Table12[Deductible],Table12[Deductible Factor],,0)</f>
        <v>1</v>
      </c>
      <c r="AL301">
        <f>_xlfn.XLOOKUP(Table1820[[#This Row],[Coverage Limit]],Table13[Coverage Limit],Table13[Coverage Limit Factor],,0)</f>
        <v>0.72</v>
      </c>
      <c r="AM301">
        <f>IF(Table1820[[#This Row],[Good Student Discount]]="Yes",'Rate Book'!$D$126,1)</f>
        <v>1</v>
      </c>
      <c r="AN301">
        <f>IF(Table1820[[#This Row],[Good Driver Discount]]="Yes",'Rate Book'!$D$127,1)</f>
        <v>1</v>
      </c>
      <c r="AO301">
        <f>IF(Table1820[[#This Row],[Multi Policy Discount]]="Yes",'Rate Book'!$D$128,1)</f>
        <v>1</v>
      </c>
      <c r="AP301">
        <f>IF(Table1820[[#This Row],[Loyal Customer Discount]]="Yes",'Rate Book'!$D$129,1)</f>
        <v>1</v>
      </c>
      <c r="AQ301">
        <f>IF(Table1820[[#This Row],[Organization Discount]]="Yes",'Rate Book'!$D$130,1)</f>
        <v>1</v>
      </c>
      <c r="AR301" cm="1">
        <f t="array" ref="AR301">IF(Table1820[[#This Row],[Effective Date]]&gt;=RateChangeTable[Effective Date],RateChangeTable[Rate Change Factor],1)</f>
        <v>1</v>
      </c>
      <c r="AS301" s="10">
        <f>PRODUCT(Table1820[[#This Row],[Base Rate]:[Rate Change Factor]])</f>
        <v>2109.3314607711363</v>
      </c>
      <c r="AT301" s="9">
        <f>Table1820[[#This Row],[System-Generated Premium]]-Table1820[[#This Row],[Expected Premium]]</f>
        <v>0</v>
      </c>
      <c r="AU301" t="str">
        <f>IF(Table1820[[#This Row],[Difference]]=0,"PASS","FAIL")</f>
        <v>PASS</v>
      </c>
      <c r="AV301" s="9">
        <f>ABS(Table1820[[#This Row],[Difference]])</f>
        <v>0</v>
      </c>
      <c r="AW301" s="9" t="s">
        <v>1136</v>
      </c>
    </row>
    <row r="302" spans="1:49" x14ac:dyDescent="0.3">
      <c r="A302" t="s">
        <v>393</v>
      </c>
      <c r="B302" s="7">
        <v>45877</v>
      </c>
      <c r="C302" t="s">
        <v>71</v>
      </c>
      <c r="D302" t="s">
        <v>1102</v>
      </c>
      <c r="E302" s="3">
        <v>2</v>
      </c>
      <c r="F302" s="3">
        <v>1</v>
      </c>
      <c r="G302" t="s">
        <v>10</v>
      </c>
      <c r="H302" t="s">
        <v>1108</v>
      </c>
      <c r="I302" t="s">
        <v>31</v>
      </c>
      <c r="J302" t="s">
        <v>49</v>
      </c>
      <c r="K302" t="s">
        <v>10</v>
      </c>
      <c r="L302" t="s">
        <v>10</v>
      </c>
      <c r="M302" t="s">
        <v>10</v>
      </c>
      <c r="N302" t="s">
        <v>57</v>
      </c>
      <c r="O302" t="str">
        <f>INDEX(CoverageTable[Deductible Applies],MATCH(Table1820[[#This Row],[Coverage]],CoverageTable[Coverage],0))</f>
        <v>Yes</v>
      </c>
      <c r="P302" t="str">
        <f>INDEX(CoverageTable[Coverage Limit Applies],MATCH(Table1820[[#This Row],[Coverage]],CoverageTable[Coverage],0))</f>
        <v>No</v>
      </c>
      <c r="Q302" t="s">
        <v>78</v>
      </c>
      <c r="R302" t="s">
        <v>10</v>
      </c>
      <c r="S302" t="s">
        <v>10</v>
      </c>
      <c r="T302" t="s">
        <v>10</v>
      </c>
      <c r="U302" t="s">
        <v>10</v>
      </c>
      <c r="V302" t="s">
        <v>10</v>
      </c>
      <c r="W302" t="s">
        <v>10</v>
      </c>
      <c r="X302" s="11">
        <v>978.42338587453696</v>
      </c>
      <c r="Y302">
        <f>_xlfn.XLOOKUP(Table1820[[#This Row],[Coverage]],CoverageTable[Coverage],CoverageTable[Base Rate],,0)</f>
        <v>453</v>
      </c>
      <c r="Z302">
        <f>INDEX(Table16[Ageband Factor],MATCH(Table1820[[#This Row],[Ageband]],Table16[Ageband],0))</f>
        <v>1.27</v>
      </c>
      <c r="AA302">
        <f>VLOOKUP(Table1820[[#This Row],[Years Driving]],Table1[],2)</f>
        <v>1.41</v>
      </c>
      <c r="AB302">
        <f>_xlfn.XLOOKUP(Table1820[[#This Row],[At Fault Accidents]],Table2[At Fault Accidents],Table2[At Fault Accident Factor],,0)</f>
        <v>1.34</v>
      </c>
      <c r="AC302">
        <f>_xlfn.XLOOKUP(Table1820[[#This Row],[Usage-Based Insurance]],Table3[Usage-Based Insurance],Table3[Usage-Based Insurance Discount],,0)</f>
        <v>1</v>
      </c>
      <c r="AD302">
        <f>_xlfn.XLOOKUP(Table1820[[#This Row],[Yearly Miles]],Table4[Yearly Miles],Table4[Yearly Miles Factor],,0)</f>
        <v>1</v>
      </c>
      <c r="AE302">
        <f>_xlfn.XLOOKUP(Table1820[[#This Row],[City/Zip Code]],Table5[City/Zip Code],Table5[City/Zip Code Factor],,0)</f>
        <v>1.1100000000000001</v>
      </c>
      <c r="AF302">
        <f>_xlfn.XLOOKUP(Table1820[[#This Row],[Vehicle Price]],Table6[Vehicle Price],Table6[Vehicle Price Factor])</f>
        <v>0.97</v>
      </c>
      <c r="AG302">
        <f>_xlfn.XLOOKUP(Table1820[[#This Row],[Exotic Car]],Table7[Exotic Car],Table7[Exotic Car Factor],,0)</f>
        <v>1</v>
      </c>
      <c r="AH302">
        <f>_xlfn.XLOOKUP(Table1820[[#This Row],[Difficult Parts]],Table8[Difficult Parts],Table8[Difficult Parts Factor],,0)</f>
        <v>1</v>
      </c>
      <c r="AI302">
        <f>_xlfn.XLOOKUP(Table1820[[#This Row],[High Theft Rate]],Table9[High Theft Rate],Table9[High Theft Rate Factor],,0)</f>
        <v>1</v>
      </c>
      <c r="AJ302">
        <f>_xlfn.XLOOKUP(Table1820[[#This Row],[Advanced Safety Features]],Table10[Advanced Safety Features],Table10[Advanced Safety Features Factor],,0)</f>
        <v>0.88</v>
      </c>
      <c r="AK302">
        <f>_xlfn.XLOOKUP(Table1820[[#This Row],[Deductible]],Table12[Deductible],Table12[Deductible Factor],,0)</f>
        <v>0.95</v>
      </c>
      <c r="AL302">
        <f>_xlfn.XLOOKUP(Table1820[[#This Row],[Coverage Limit]],Table13[Coverage Limit],Table13[Coverage Limit Factor],,0)</f>
        <v>1</v>
      </c>
      <c r="AM302">
        <f>IF(Table1820[[#This Row],[Good Student Discount]]="Yes",'Rate Book'!$D$126,1)</f>
        <v>1</v>
      </c>
      <c r="AN302">
        <f>IF(Table1820[[#This Row],[Good Driver Discount]]="Yes",'Rate Book'!$D$127,1)</f>
        <v>1</v>
      </c>
      <c r="AO302">
        <f>IF(Table1820[[#This Row],[Multi Policy Discount]]="Yes",'Rate Book'!$D$128,1)</f>
        <v>1</v>
      </c>
      <c r="AP302">
        <f>IF(Table1820[[#This Row],[Loyal Customer Discount]]="Yes",'Rate Book'!$D$129,1)</f>
        <v>1</v>
      </c>
      <c r="AQ302">
        <f>IF(Table1820[[#This Row],[Organization Discount]]="Yes",'Rate Book'!$D$130,1)</f>
        <v>1</v>
      </c>
      <c r="AR302" cm="1">
        <f t="array" ref="AR302">IF(Table1820[[#This Row],[Effective Date]]&gt;=RateChangeTable[Effective Date],RateChangeTable[Rate Change Factor],1)</f>
        <v>1</v>
      </c>
      <c r="AS302" s="10">
        <f>PRODUCT(Table1820[[#This Row],[Base Rate]:[Rate Change Factor]])</f>
        <v>978.42338587453696</v>
      </c>
      <c r="AT302" s="9">
        <f>Table1820[[#This Row],[System-Generated Premium]]-Table1820[[#This Row],[Expected Premium]]</f>
        <v>0</v>
      </c>
      <c r="AU302" t="str">
        <f>IF(Table1820[[#This Row],[Difference]]=0,"PASS","FAIL")</f>
        <v>PASS</v>
      </c>
      <c r="AV302" s="9">
        <f>ABS(Table1820[[#This Row],[Difference]])</f>
        <v>0</v>
      </c>
      <c r="AW302" s="9" t="s">
        <v>1136</v>
      </c>
    </row>
    <row r="303" spans="1:49" x14ac:dyDescent="0.3">
      <c r="A303" t="s">
        <v>394</v>
      </c>
      <c r="B303" s="7">
        <v>46061</v>
      </c>
      <c r="C303" t="s">
        <v>72</v>
      </c>
      <c r="D303" t="s">
        <v>1099</v>
      </c>
      <c r="E303" s="3">
        <v>5</v>
      </c>
      <c r="F303" s="3">
        <v>2</v>
      </c>
      <c r="G303" t="s">
        <v>10</v>
      </c>
      <c r="H303" t="s">
        <v>1107</v>
      </c>
      <c r="I303" t="s">
        <v>35</v>
      </c>
      <c r="J303" t="s">
        <v>49</v>
      </c>
      <c r="K303" t="s">
        <v>10</v>
      </c>
      <c r="L303" t="s">
        <v>57</v>
      </c>
      <c r="M303" t="s">
        <v>10</v>
      </c>
      <c r="N303" t="s">
        <v>10</v>
      </c>
      <c r="O303" t="str">
        <f>INDEX(CoverageTable[Deductible Applies],MATCH(Table1820[[#This Row],[Coverage]],CoverageTable[Coverage],0))</f>
        <v>Yes</v>
      </c>
      <c r="P303" t="str">
        <f>INDEX(CoverageTable[Coverage Limit Applies],MATCH(Table1820[[#This Row],[Coverage]],CoverageTable[Coverage],0))</f>
        <v>No</v>
      </c>
      <c r="Q303" t="s">
        <v>79</v>
      </c>
      <c r="R303" t="s">
        <v>10</v>
      </c>
      <c r="S303" t="s">
        <v>10</v>
      </c>
      <c r="T303" t="s">
        <v>57</v>
      </c>
      <c r="U303" t="s">
        <v>57</v>
      </c>
      <c r="V303" t="s">
        <v>10</v>
      </c>
      <c r="W303" t="s">
        <v>10</v>
      </c>
      <c r="X303" s="11">
        <v>180.80774446775069</v>
      </c>
      <c r="Y303">
        <f>_xlfn.XLOOKUP(Table1820[[#This Row],[Coverage]],CoverageTable[Coverage],CoverageTable[Base Rate],,0)</f>
        <v>121</v>
      </c>
      <c r="Z303">
        <f>INDEX(Table16[Ageband Factor],MATCH(Table1820[[#This Row],[Ageband]],Table16[Ageband],0))</f>
        <v>1</v>
      </c>
      <c r="AA303">
        <f>VLOOKUP(Table1820[[#This Row],[Years Driving]],Table1[],2)</f>
        <v>1.07</v>
      </c>
      <c r="AB303">
        <f>_xlfn.XLOOKUP(Table1820[[#This Row],[At Fault Accidents]],Table2[At Fault Accidents],Table2[At Fault Accident Factor],,0)</f>
        <v>1.55</v>
      </c>
      <c r="AC303">
        <f>_xlfn.XLOOKUP(Table1820[[#This Row],[Usage-Based Insurance]],Table3[Usage-Based Insurance],Table3[Usage-Based Insurance Discount],,0)</f>
        <v>1</v>
      </c>
      <c r="AD303">
        <f>_xlfn.XLOOKUP(Table1820[[#This Row],[Yearly Miles]],Table4[Yearly Miles],Table4[Yearly Miles Factor],,0)</f>
        <v>0.93</v>
      </c>
      <c r="AE303">
        <f>_xlfn.XLOOKUP(Table1820[[#This Row],[City/Zip Code]],Table5[City/Zip Code],Table5[City/Zip Code Factor],,0)</f>
        <v>1.1200000000000001</v>
      </c>
      <c r="AF303">
        <f>_xlfn.XLOOKUP(Table1820[[#This Row],[Vehicle Price]],Table6[Vehicle Price],Table6[Vehicle Price Factor])</f>
        <v>0.97</v>
      </c>
      <c r="AG303">
        <f>_xlfn.XLOOKUP(Table1820[[#This Row],[Exotic Car]],Table7[Exotic Car],Table7[Exotic Car Factor],,0)</f>
        <v>1</v>
      </c>
      <c r="AH303">
        <f>_xlfn.XLOOKUP(Table1820[[#This Row],[Difficult Parts]],Table8[Difficult Parts],Table8[Difficult Parts Factor],,0)</f>
        <v>1.21</v>
      </c>
      <c r="AI303">
        <f>_xlfn.XLOOKUP(Table1820[[#This Row],[High Theft Rate]],Table9[High Theft Rate],Table9[High Theft Rate Factor],,0)</f>
        <v>1</v>
      </c>
      <c r="AJ303">
        <f>_xlfn.XLOOKUP(Table1820[[#This Row],[Advanced Safety Features]],Table10[Advanced Safety Features],Table10[Advanced Safety Features Factor],,0)</f>
        <v>1</v>
      </c>
      <c r="AK303">
        <f>_xlfn.XLOOKUP(Table1820[[#This Row],[Deductible]],Table12[Deductible],Table12[Deductible Factor],,0)</f>
        <v>0.84</v>
      </c>
      <c r="AL303">
        <f>_xlfn.XLOOKUP(Table1820[[#This Row],[Coverage Limit]],Table13[Coverage Limit],Table13[Coverage Limit Factor],,0)</f>
        <v>1</v>
      </c>
      <c r="AM303">
        <f>IF(Table1820[[#This Row],[Good Student Discount]]="Yes",'Rate Book'!$D$126,1)</f>
        <v>1</v>
      </c>
      <c r="AN303">
        <f>IF(Table1820[[#This Row],[Good Driver Discount]]="Yes",'Rate Book'!$D$127,1)</f>
        <v>0.89</v>
      </c>
      <c r="AO303">
        <f>IF(Table1820[[#This Row],[Multi Policy Discount]]="Yes",'Rate Book'!$D$128,1)</f>
        <v>0.93</v>
      </c>
      <c r="AP303">
        <f>IF(Table1820[[#This Row],[Loyal Customer Discount]]="Yes",'Rate Book'!$D$129,1)</f>
        <v>1</v>
      </c>
      <c r="AQ303">
        <f>IF(Table1820[[#This Row],[Organization Discount]]="Yes",'Rate Book'!$D$130,1)</f>
        <v>1</v>
      </c>
      <c r="AR303" cm="1">
        <f t="array" ref="AR303">IF(Table1820[[#This Row],[Effective Date]]&gt;=RateChangeTable[Effective Date],RateChangeTable[Rate Change Factor],1)</f>
        <v>1.06</v>
      </c>
      <c r="AS303" s="10">
        <f>PRODUCT(Table1820[[#This Row],[Base Rate]:[Rate Change Factor]])</f>
        <v>180.80774446775069</v>
      </c>
      <c r="AT303" s="9">
        <f>Table1820[[#This Row],[System-Generated Premium]]-Table1820[[#This Row],[Expected Premium]]</f>
        <v>0</v>
      </c>
      <c r="AU303" t="str">
        <f>IF(Table1820[[#This Row],[Difference]]=0,"PASS","FAIL")</f>
        <v>PASS</v>
      </c>
      <c r="AV303" s="9">
        <f>ABS(Table1820[[#This Row],[Difference]])</f>
        <v>0</v>
      </c>
      <c r="AW303" s="9" t="s">
        <v>1136</v>
      </c>
    </row>
    <row r="304" spans="1:49" x14ac:dyDescent="0.3">
      <c r="A304" t="s">
        <v>395</v>
      </c>
      <c r="B304" s="7">
        <v>45815</v>
      </c>
      <c r="C304" t="s">
        <v>70</v>
      </c>
      <c r="D304" t="s">
        <v>1097</v>
      </c>
      <c r="E304" s="3">
        <v>7</v>
      </c>
      <c r="F304" s="3" t="s">
        <v>7</v>
      </c>
      <c r="G304" t="s">
        <v>10</v>
      </c>
      <c r="H304" t="s">
        <v>1110</v>
      </c>
      <c r="I304" t="s">
        <v>23</v>
      </c>
      <c r="J304" t="s">
        <v>51</v>
      </c>
      <c r="K304" t="s">
        <v>10</v>
      </c>
      <c r="L304" t="s">
        <v>10</v>
      </c>
      <c r="M304" t="s">
        <v>10</v>
      </c>
      <c r="N304" t="s">
        <v>57</v>
      </c>
      <c r="O304" t="str">
        <f>INDEX(CoverageTable[Deductible Applies],MATCH(Table1820[[#This Row],[Coverage]],CoverageTable[Coverage],0))</f>
        <v>No</v>
      </c>
      <c r="P304" t="str">
        <f>INDEX(CoverageTable[Coverage Limit Applies],MATCH(Table1820[[#This Row],[Coverage]],CoverageTable[Coverage],0))</f>
        <v>Yes</v>
      </c>
      <c r="Q304" t="s">
        <v>10</v>
      </c>
      <c r="R304" t="s">
        <v>78</v>
      </c>
      <c r="S304" t="s">
        <v>10</v>
      </c>
      <c r="T304" t="s">
        <v>57</v>
      </c>
      <c r="U304" t="s">
        <v>57</v>
      </c>
      <c r="V304" t="s">
        <v>10</v>
      </c>
      <c r="W304" t="s">
        <v>10</v>
      </c>
      <c r="X304" s="11">
        <v>1320.5031132708427</v>
      </c>
      <c r="Y304">
        <f>_xlfn.XLOOKUP(Table1820[[#This Row],[Coverage]],CoverageTable[Coverage],CoverageTable[Base Rate],,0)</f>
        <v>622</v>
      </c>
      <c r="Z304">
        <f>INDEX(Table16[Ageband Factor],MATCH(Table1820[[#This Row],[Ageband]],Table16[Ageband],0))</f>
        <v>1.32</v>
      </c>
      <c r="AA304">
        <f>VLOOKUP(Table1820[[#This Row],[Years Driving]],Table1[],2)</f>
        <v>0.95</v>
      </c>
      <c r="AB304">
        <f>_xlfn.XLOOKUP(Table1820[[#This Row],[At Fault Accidents]],Table2[At Fault Accidents],Table2[At Fault Accident Factor],,0)</f>
        <v>2.4700000000000002</v>
      </c>
      <c r="AC304">
        <f>_xlfn.XLOOKUP(Table1820[[#This Row],[Usage-Based Insurance]],Table3[Usage-Based Insurance],Table3[Usage-Based Insurance Discount],,0)</f>
        <v>1</v>
      </c>
      <c r="AD304">
        <f>_xlfn.XLOOKUP(Table1820[[#This Row],[Yearly Miles]],Table4[Yearly Miles],Table4[Yearly Miles Factor],,0)</f>
        <v>1.31</v>
      </c>
      <c r="AE304">
        <f>_xlfn.XLOOKUP(Table1820[[#This Row],[City/Zip Code]],Table5[City/Zip Code],Table5[City/Zip Code Factor],,0)</f>
        <v>0.92</v>
      </c>
      <c r="AF304">
        <f>_xlfn.XLOOKUP(Table1820[[#This Row],[Vehicle Price]],Table6[Vehicle Price],Table6[Vehicle Price Factor])</f>
        <v>1.28</v>
      </c>
      <c r="AG304">
        <f>_xlfn.XLOOKUP(Table1820[[#This Row],[Exotic Car]],Table7[Exotic Car],Table7[Exotic Car Factor],,0)</f>
        <v>1</v>
      </c>
      <c r="AH304">
        <f>_xlfn.XLOOKUP(Table1820[[#This Row],[Difficult Parts]],Table8[Difficult Parts],Table8[Difficult Parts Factor],,0)</f>
        <v>1</v>
      </c>
      <c r="AI304">
        <f>_xlfn.XLOOKUP(Table1820[[#This Row],[High Theft Rate]],Table9[High Theft Rate],Table9[High Theft Rate Factor],,0)</f>
        <v>1</v>
      </c>
      <c r="AJ304">
        <f>_xlfn.XLOOKUP(Table1820[[#This Row],[Advanced Safety Features]],Table10[Advanced Safety Features],Table10[Advanced Safety Features Factor],,0)</f>
        <v>0.88</v>
      </c>
      <c r="AK304">
        <f>_xlfn.XLOOKUP(Table1820[[#This Row],[Deductible]],Table12[Deductible],Table12[Deductible Factor],,0)</f>
        <v>1</v>
      </c>
      <c r="AL304">
        <f>_xlfn.XLOOKUP(Table1820[[#This Row],[Coverage Limit]],Table13[Coverage Limit],Table13[Coverage Limit Factor],,0)</f>
        <v>0.61</v>
      </c>
      <c r="AM304">
        <f>IF(Table1820[[#This Row],[Good Student Discount]]="Yes",'Rate Book'!$D$126,1)</f>
        <v>1</v>
      </c>
      <c r="AN304">
        <f>IF(Table1820[[#This Row],[Good Driver Discount]]="Yes",'Rate Book'!$D$127,1)</f>
        <v>0.89</v>
      </c>
      <c r="AO304">
        <f>IF(Table1820[[#This Row],[Multi Policy Discount]]="Yes",'Rate Book'!$D$128,1)</f>
        <v>0.93</v>
      </c>
      <c r="AP304">
        <f>IF(Table1820[[#This Row],[Loyal Customer Discount]]="Yes",'Rate Book'!$D$129,1)</f>
        <v>1</v>
      </c>
      <c r="AQ304">
        <f>IF(Table1820[[#This Row],[Organization Discount]]="Yes",'Rate Book'!$D$130,1)</f>
        <v>1</v>
      </c>
      <c r="AR304" cm="1">
        <f t="array" ref="AR304">IF(Table1820[[#This Row],[Effective Date]]&gt;=RateChangeTable[Effective Date],RateChangeTable[Rate Change Factor],1)</f>
        <v>1</v>
      </c>
      <c r="AS304" s="10">
        <f>PRODUCT(Table1820[[#This Row],[Base Rate]:[Rate Change Factor]])</f>
        <v>1320.5031132708427</v>
      </c>
      <c r="AT304" s="9">
        <f>Table1820[[#This Row],[System-Generated Premium]]-Table1820[[#This Row],[Expected Premium]]</f>
        <v>0</v>
      </c>
      <c r="AU304" t="str">
        <f>IF(Table1820[[#This Row],[Difference]]=0,"PASS","FAIL")</f>
        <v>PASS</v>
      </c>
      <c r="AV304" s="9">
        <f>ABS(Table1820[[#This Row],[Difference]])</f>
        <v>0</v>
      </c>
      <c r="AW304" s="9" t="s">
        <v>1136</v>
      </c>
    </row>
    <row r="305" spans="1:49" x14ac:dyDescent="0.3">
      <c r="A305" t="s">
        <v>396</v>
      </c>
      <c r="B305" s="7">
        <v>45916</v>
      </c>
      <c r="C305" t="s">
        <v>71</v>
      </c>
      <c r="D305" t="s">
        <v>1097</v>
      </c>
      <c r="E305" s="3" t="s">
        <v>1103</v>
      </c>
      <c r="F305" s="3">
        <v>0</v>
      </c>
      <c r="G305" t="s">
        <v>10</v>
      </c>
      <c r="H305" t="s">
        <v>1109</v>
      </c>
      <c r="I305" t="s">
        <v>33</v>
      </c>
      <c r="J305" t="s">
        <v>49</v>
      </c>
      <c r="K305" t="s">
        <v>10</v>
      </c>
      <c r="L305" t="s">
        <v>10</v>
      </c>
      <c r="M305" t="s">
        <v>10</v>
      </c>
      <c r="N305" t="s">
        <v>57</v>
      </c>
      <c r="O305" t="str">
        <f>INDEX(CoverageTable[Deductible Applies],MATCH(Table1820[[#This Row],[Coverage]],CoverageTable[Coverage],0))</f>
        <v>Yes</v>
      </c>
      <c r="P305" t="str">
        <f>INDEX(CoverageTable[Coverage Limit Applies],MATCH(Table1820[[#This Row],[Coverage]],CoverageTable[Coverage],0))</f>
        <v>No</v>
      </c>
      <c r="Q305" t="s">
        <v>80</v>
      </c>
      <c r="R305" t="s">
        <v>10</v>
      </c>
      <c r="S305" t="s">
        <v>57</v>
      </c>
      <c r="T305" t="s">
        <v>10</v>
      </c>
      <c r="U305" t="s">
        <v>10</v>
      </c>
      <c r="V305" t="s">
        <v>10</v>
      </c>
      <c r="W305" t="s">
        <v>10</v>
      </c>
      <c r="X305" s="11">
        <v>378.4530338033652</v>
      </c>
      <c r="Y305">
        <f>_xlfn.XLOOKUP(Table1820[[#This Row],[Coverage]],CoverageTable[Coverage],CoverageTable[Base Rate],,0)</f>
        <v>453</v>
      </c>
      <c r="Z305">
        <f>INDEX(Table16[Ageband Factor],MATCH(Table1820[[#This Row],[Ageband]],Table16[Ageband],0))</f>
        <v>1.32</v>
      </c>
      <c r="AA305">
        <f>VLOOKUP(Table1820[[#This Row],[Years Driving]],Table1[],2)</f>
        <v>0.93</v>
      </c>
      <c r="AB305">
        <f>_xlfn.XLOOKUP(Table1820[[#This Row],[At Fault Accidents]],Table2[At Fault Accidents],Table2[At Fault Accident Factor],,0)</f>
        <v>1</v>
      </c>
      <c r="AC305">
        <f>_xlfn.XLOOKUP(Table1820[[#This Row],[Usage-Based Insurance]],Table3[Usage-Based Insurance],Table3[Usage-Based Insurance Discount],,0)</f>
        <v>1</v>
      </c>
      <c r="AD305">
        <f>_xlfn.XLOOKUP(Table1820[[#This Row],[Yearly Miles]],Table4[Yearly Miles],Table4[Yearly Miles Factor],,0)</f>
        <v>1.18</v>
      </c>
      <c r="AE305">
        <f>_xlfn.XLOOKUP(Table1820[[#This Row],[City/Zip Code]],Table5[City/Zip Code],Table5[City/Zip Code Factor],,0)</f>
        <v>1.02</v>
      </c>
      <c r="AF305">
        <f>_xlfn.XLOOKUP(Table1820[[#This Row],[Vehicle Price]],Table6[Vehicle Price],Table6[Vehicle Price Factor])</f>
        <v>0.97</v>
      </c>
      <c r="AG305">
        <f>_xlfn.XLOOKUP(Table1820[[#This Row],[Exotic Car]],Table7[Exotic Car],Table7[Exotic Car Factor],,0)</f>
        <v>1</v>
      </c>
      <c r="AH305">
        <f>_xlfn.XLOOKUP(Table1820[[#This Row],[Difficult Parts]],Table8[Difficult Parts],Table8[Difficult Parts Factor],,0)</f>
        <v>1</v>
      </c>
      <c r="AI305">
        <f>_xlfn.XLOOKUP(Table1820[[#This Row],[High Theft Rate]],Table9[High Theft Rate],Table9[High Theft Rate Factor],,0)</f>
        <v>1</v>
      </c>
      <c r="AJ305">
        <f>_xlfn.XLOOKUP(Table1820[[#This Row],[Advanced Safety Features]],Table10[Advanced Safety Features],Table10[Advanced Safety Features Factor],,0)</f>
        <v>0.88</v>
      </c>
      <c r="AK305">
        <f>_xlfn.XLOOKUP(Table1820[[#This Row],[Deductible]],Table12[Deductible],Table12[Deductible Factor],,0)</f>
        <v>0.72</v>
      </c>
      <c r="AL305">
        <f>_xlfn.XLOOKUP(Table1820[[#This Row],[Coverage Limit]],Table13[Coverage Limit],Table13[Coverage Limit Factor],,0)</f>
        <v>1</v>
      </c>
      <c r="AM305">
        <f>IF(Table1820[[#This Row],[Good Student Discount]]="Yes",'Rate Book'!$D$126,1)</f>
        <v>0.92</v>
      </c>
      <c r="AN305">
        <f>IF(Table1820[[#This Row],[Good Driver Discount]]="Yes",'Rate Book'!$D$127,1)</f>
        <v>1</v>
      </c>
      <c r="AO305">
        <f>IF(Table1820[[#This Row],[Multi Policy Discount]]="Yes",'Rate Book'!$D$128,1)</f>
        <v>1</v>
      </c>
      <c r="AP305">
        <f>IF(Table1820[[#This Row],[Loyal Customer Discount]]="Yes",'Rate Book'!$D$129,1)</f>
        <v>1</v>
      </c>
      <c r="AQ305">
        <f>IF(Table1820[[#This Row],[Organization Discount]]="Yes",'Rate Book'!$D$130,1)</f>
        <v>1</v>
      </c>
      <c r="AR305" cm="1">
        <f t="array" ref="AR305">IF(Table1820[[#This Row],[Effective Date]]&gt;=RateChangeTable[Effective Date],RateChangeTable[Rate Change Factor],1)</f>
        <v>1</v>
      </c>
      <c r="AS305" s="10">
        <f>PRODUCT(Table1820[[#This Row],[Base Rate]:[Rate Change Factor]])</f>
        <v>378.4530338033652</v>
      </c>
      <c r="AT305" s="9">
        <f>Table1820[[#This Row],[System-Generated Premium]]-Table1820[[#This Row],[Expected Premium]]</f>
        <v>0</v>
      </c>
      <c r="AU305" t="str">
        <f>IF(Table1820[[#This Row],[Difference]]=0,"PASS","FAIL")</f>
        <v>PASS</v>
      </c>
      <c r="AV305" s="9">
        <f>ABS(Table1820[[#This Row],[Difference]])</f>
        <v>0</v>
      </c>
      <c r="AW305" s="9" t="s">
        <v>1136</v>
      </c>
    </row>
    <row r="306" spans="1:49" x14ac:dyDescent="0.3">
      <c r="A306" t="s">
        <v>397</v>
      </c>
      <c r="B306" s="7">
        <v>45852</v>
      </c>
      <c r="C306" t="s">
        <v>70</v>
      </c>
      <c r="D306" t="s">
        <v>1101</v>
      </c>
      <c r="E306" s="3">
        <v>2</v>
      </c>
      <c r="F306" s="3">
        <v>0</v>
      </c>
      <c r="G306" t="s">
        <v>13</v>
      </c>
      <c r="H306" t="s">
        <v>1109</v>
      </c>
      <c r="I306" t="s">
        <v>26</v>
      </c>
      <c r="J306" t="s">
        <v>52</v>
      </c>
      <c r="K306" t="s">
        <v>10</v>
      </c>
      <c r="L306" t="s">
        <v>10</v>
      </c>
      <c r="M306" t="s">
        <v>10</v>
      </c>
      <c r="N306" t="s">
        <v>57</v>
      </c>
      <c r="O306" t="str">
        <f>INDEX(CoverageTable[Deductible Applies],MATCH(Table1820[[#This Row],[Coverage]],CoverageTable[Coverage],0))</f>
        <v>No</v>
      </c>
      <c r="P306" t="str">
        <f>INDEX(CoverageTable[Coverage Limit Applies],MATCH(Table1820[[#This Row],[Coverage]],CoverageTable[Coverage],0))</f>
        <v>Yes</v>
      </c>
      <c r="Q306" t="s">
        <v>10</v>
      </c>
      <c r="R306" t="s">
        <v>78</v>
      </c>
      <c r="S306" t="s">
        <v>10</v>
      </c>
      <c r="T306" t="s">
        <v>10</v>
      </c>
      <c r="U306" t="s">
        <v>10</v>
      </c>
      <c r="V306" t="s">
        <v>10</v>
      </c>
      <c r="W306" t="s">
        <v>10</v>
      </c>
      <c r="X306" s="11">
        <v>730.18496096337799</v>
      </c>
      <c r="Y306">
        <f>_xlfn.XLOOKUP(Table1820[[#This Row],[Coverage]],CoverageTable[Coverage],CoverageTable[Base Rate],,0)</f>
        <v>622</v>
      </c>
      <c r="Z306">
        <f>INDEX(Table16[Ageband Factor],MATCH(Table1820[[#This Row],[Ageband]],Table16[Ageband],0))</f>
        <v>1.1200000000000001</v>
      </c>
      <c r="AA306">
        <f>VLOOKUP(Table1820[[#This Row],[Years Driving]],Table1[],2)</f>
        <v>1.41</v>
      </c>
      <c r="AB306">
        <f>_xlfn.XLOOKUP(Table1820[[#This Row],[At Fault Accidents]],Table2[At Fault Accidents],Table2[At Fault Accident Factor],,0)</f>
        <v>1</v>
      </c>
      <c r="AC306">
        <f>_xlfn.XLOOKUP(Table1820[[#This Row],[Usage-Based Insurance]],Table3[Usage-Based Insurance],Table3[Usage-Based Insurance Discount],,0)</f>
        <v>0.65</v>
      </c>
      <c r="AD306">
        <f>_xlfn.XLOOKUP(Table1820[[#This Row],[Yearly Miles]],Table4[Yearly Miles],Table4[Yearly Miles Factor],,0)</f>
        <v>1.18</v>
      </c>
      <c r="AE306">
        <f>_xlfn.XLOOKUP(Table1820[[#This Row],[City/Zip Code]],Table5[City/Zip Code],Table5[City/Zip Code Factor],,0)</f>
        <v>1.1499999999999999</v>
      </c>
      <c r="AF306">
        <f>_xlfn.XLOOKUP(Table1820[[#This Row],[Vehicle Price]],Table6[Vehicle Price],Table6[Vehicle Price Factor])</f>
        <v>1.57</v>
      </c>
      <c r="AG306">
        <f>_xlfn.XLOOKUP(Table1820[[#This Row],[Exotic Car]],Table7[Exotic Car],Table7[Exotic Car Factor],,0)</f>
        <v>1</v>
      </c>
      <c r="AH306">
        <f>_xlfn.XLOOKUP(Table1820[[#This Row],[Difficult Parts]],Table8[Difficult Parts],Table8[Difficult Parts Factor],,0)</f>
        <v>1</v>
      </c>
      <c r="AI306">
        <f>_xlfn.XLOOKUP(Table1820[[#This Row],[High Theft Rate]],Table9[High Theft Rate],Table9[High Theft Rate Factor],,0)</f>
        <v>1</v>
      </c>
      <c r="AJ306">
        <f>_xlfn.XLOOKUP(Table1820[[#This Row],[Advanced Safety Features]],Table10[Advanced Safety Features],Table10[Advanced Safety Features Factor],,0)</f>
        <v>0.88</v>
      </c>
      <c r="AK306">
        <f>_xlfn.XLOOKUP(Table1820[[#This Row],[Deductible]],Table12[Deductible],Table12[Deductible Factor],,0)</f>
        <v>1</v>
      </c>
      <c r="AL306">
        <f>_xlfn.XLOOKUP(Table1820[[#This Row],[Coverage Limit]],Table13[Coverage Limit],Table13[Coverage Limit Factor],,0)</f>
        <v>0.61</v>
      </c>
      <c r="AM306">
        <f>IF(Table1820[[#This Row],[Good Student Discount]]="Yes",'Rate Book'!$D$126,1)</f>
        <v>1</v>
      </c>
      <c r="AN306">
        <f>IF(Table1820[[#This Row],[Good Driver Discount]]="Yes",'Rate Book'!$D$127,1)</f>
        <v>1</v>
      </c>
      <c r="AO306">
        <f>IF(Table1820[[#This Row],[Multi Policy Discount]]="Yes",'Rate Book'!$D$128,1)</f>
        <v>1</v>
      </c>
      <c r="AP306">
        <f>IF(Table1820[[#This Row],[Loyal Customer Discount]]="Yes",'Rate Book'!$D$129,1)</f>
        <v>1</v>
      </c>
      <c r="AQ306">
        <f>IF(Table1820[[#This Row],[Organization Discount]]="Yes",'Rate Book'!$D$130,1)</f>
        <v>1</v>
      </c>
      <c r="AR306" cm="1">
        <f t="array" ref="AR306">IF(Table1820[[#This Row],[Effective Date]]&gt;=RateChangeTable[Effective Date],RateChangeTable[Rate Change Factor],1)</f>
        <v>1</v>
      </c>
      <c r="AS306" s="10">
        <f>PRODUCT(Table1820[[#This Row],[Base Rate]:[Rate Change Factor]])</f>
        <v>730.18496096337799</v>
      </c>
      <c r="AT306" s="9">
        <f>Table1820[[#This Row],[System-Generated Premium]]-Table1820[[#This Row],[Expected Premium]]</f>
        <v>0</v>
      </c>
      <c r="AU306" t="str">
        <f>IF(Table1820[[#This Row],[Difference]]=0,"PASS","FAIL")</f>
        <v>PASS</v>
      </c>
      <c r="AV306" s="9">
        <f>ABS(Table1820[[#This Row],[Difference]])</f>
        <v>0</v>
      </c>
      <c r="AW306" s="9" t="s">
        <v>1136</v>
      </c>
    </row>
    <row r="307" spans="1:49" x14ac:dyDescent="0.3">
      <c r="A307" t="s">
        <v>398</v>
      </c>
      <c r="B307" s="7">
        <v>46029</v>
      </c>
      <c r="C307" t="s">
        <v>71</v>
      </c>
      <c r="D307" t="s">
        <v>1097</v>
      </c>
      <c r="E307" s="3">
        <v>5</v>
      </c>
      <c r="F307" s="3">
        <v>0</v>
      </c>
      <c r="G307" t="s">
        <v>12</v>
      </c>
      <c r="H307" t="s">
        <v>1110</v>
      </c>
      <c r="I307" t="s">
        <v>32</v>
      </c>
      <c r="J307" t="s">
        <v>48</v>
      </c>
      <c r="K307" t="s">
        <v>10</v>
      </c>
      <c r="L307" t="s">
        <v>10</v>
      </c>
      <c r="M307" t="s">
        <v>57</v>
      </c>
      <c r="N307" t="s">
        <v>57</v>
      </c>
      <c r="O307" t="str">
        <f>INDEX(CoverageTable[Deductible Applies],MATCH(Table1820[[#This Row],[Coverage]],CoverageTable[Coverage],0))</f>
        <v>Yes</v>
      </c>
      <c r="P307" t="str">
        <f>INDEX(CoverageTable[Coverage Limit Applies],MATCH(Table1820[[#This Row],[Coverage]],CoverageTable[Coverage],0))</f>
        <v>No</v>
      </c>
      <c r="Q307" t="s">
        <v>80</v>
      </c>
      <c r="R307" t="s">
        <v>10</v>
      </c>
      <c r="S307" t="s">
        <v>10</v>
      </c>
      <c r="T307" t="s">
        <v>57</v>
      </c>
      <c r="U307" t="s">
        <v>57</v>
      </c>
      <c r="V307" t="s">
        <v>10</v>
      </c>
      <c r="W307" t="s">
        <v>57</v>
      </c>
      <c r="X307" s="11">
        <v>385.18802867001949</v>
      </c>
      <c r="Y307">
        <f>_xlfn.XLOOKUP(Table1820[[#This Row],[Coverage]],CoverageTable[Coverage],CoverageTable[Base Rate],,0)</f>
        <v>453</v>
      </c>
      <c r="Z307">
        <f>INDEX(Table16[Ageband Factor],MATCH(Table1820[[#This Row],[Ageband]],Table16[Ageband],0))</f>
        <v>1.32</v>
      </c>
      <c r="AA307">
        <f>VLOOKUP(Table1820[[#This Row],[Years Driving]],Table1[],2)</f>
        <v>1.07</v>
      </c>
      <c r="AB307">
        <f>_xlfn.XLOOKUP(Table1820[[#This Row],[At Fault Accidents]],Table2[At Fault Accidents],Table2[At Fault Accident Factor],,0)</f>
        <v>1</v>
      </c>
      <c r="AC307">
        <f>_xlfn.XLOOKUP(Table1820[[#This Row],[Usage-Based Insurance]],Table3[Usage-Based Insurance],Table3[Usage-Based Insurance Discount],,0)</f>
        <v>0.8</v>
      </c>
      <c r="AD307">
        <f>_xlfn.XLOOKUP(Table1820[[#This Row],[Yearly Miles]],Table4[Yearly Miles],Table4[Yearly Miles Factor],,0)</f>
        <v>1.31</v>
      </c>
      <c r="AE307">
        <f>_xlfn.XLOOKUP(Table1820[[#This Row],[City/Zip Code]],Table5[City/Zip Code],Table5[City/Zip Code Factor],,0)</f>
        <v>1.1200000000000001</v>
      </c>
      <c r="AF307">
        <f>_xlfn.XLOOKUP(Table1820[[#This Row],[Vehicle Price]],Table6[Vehicle Price],Table6[Vehicle Price Factor])</f>
        <v>0.82</v>
      </c>
      <c r="AG307">
        <f>_xlfn.XLOOKUP(Table1820[[#This Row],[Exotic Car]],Table7[Exotic Car],Table7[Exotic Car Factor],,0)</f>
        <v>1</v>
      </c>
      <c r="AH307">
        <f>_xlfn.XLOOKUP(Table1820[[#This Row],[Difficult Parts]],Table8[Difficult Parts],Table8[Difficult Parts Factor],,0)</f>
        <v>1</v>
      </c>
      <c r="AI307">
        <f>_xlfn.XLOOKUP(Table1820[[#This Row],[High Theft Rate]],Table9[High Theft Rate],Table9[High Theft Rate Factor],,0)</f>
        <v>1.1599999999999999</v>
      </c>
      <c r="AJ307">
        <f>_xlfn.XLOOKUP(Table1820[[#This Row],[Advanced Safety Features]],Table10[Advanced Safety Features],Table10[Advanced Safety Features Factor],,0)</f>
        <v>0.88</v>
      </c>
      <c r="AK307">
        <f>_xlfn.XLOOKUP(Table1820[[#This Row],[Deductible]],Table12[Deductible],Table12[Deductible Factor],,0)</f>
        <v>0.72</v>
      </c>
      <c r="AL307">
        <f>_xlfn.XLOOKUP(Table1820[[#This Row],[Coverage Limit]],Table13[Coverage Limit],Table13[Coverage Limit Factor],,0)</f>
        <v>1</v>
      </c>
      <c r="AM307">
        <f>IF(Table1820[[#This Row],[Good Student Discount]]="Yes",'Rate Book'!$D$126,1)</f>
        <v>1</v>
      </c>
      <c r="AN307">
        <f>IF(Table1820[[#This Row],[Good Driver Discount]]="Yes",'Rate Book'!$D$127,1)</f>
        <v>0.89</v>
      </c>
      <c r="AO307">
        <f>IF(Table1820[[#This Row],[Multi Policy Discount]]="Yes",'Rate Book'!$D$128,1)</f>
        <v>0.93</v>
      </c>
      <c r="AP307">
        <f>IF(Table1820[[#This Row],[Loyal Customer Discount]]="Yes",'Rate Book'!$D$129,1)</f>
        <v>1</v>
      </c>
      <c r="AQ307">
        <f>IF(Table1820[[#This Row],[Organization Discount]]="Yes",'Rate Book'!$D$130,1)</f>
        <v>0.97</v>
      </c>
      <c r="AR307" cm="1">
        <f t="array" ref="AR307">IF(Table1820[[#This Row],[Effective Date]]&gt;=RateChangeTable[Effective Date],RateChangeTable[Rate Change Factor],1)</f>
        <v>1.06</v>
      </c>
      <c r="AS307" s="10">
        <f>PRODUCT(Table1820[[#This Row],[Base Rate]:[Rate Change Factor]])</f>
        <v>385.18802867001949</v>
      </c>
      <c r="AT307" s="9">
        <f>Table1820[[#This Row],[System-Generated Premium]]-Table1820[[#This Row],[Expected Premium]]</f>
        <v>0</v>
      </c>
      <c r="AU307" t="str">
        <f>IF(Table1820[[#This Row],[Difference]]=0,"PASS","FAIL")</f>
        <v>PASS</v>
      </c>
      <c r="AV307" s="9">
        <f>ABS(Table1820[[#This Row],[Difference]])</f>
        <v>0</v>
      </c>
      <c r="AW307" s="9" t="s">
        <v>1136</v>
      </c>
    </row>
    <row r="308" spans="1:49" x14ac:dyDescent="0.3">
      <c r="A308" t="s">
        <v>399</v>
      </c>
      <c r="B308" s="7">
        <v>46120</v>
      </c>
      <c r="C308" t="s">
        <v>71</v>
      </c>
      <c r="D308" t="s">
        <v>1102</v>
      </c>
      <c r="E308" s="3">
        <v>5</v>
      </c>
      <c r="F308" s="3">
        <v>2</v>
      </c>
      <c r="G308" t="s">
        <v>10</v>
      </c>
      <c r="H308" t="s">
        <v>1108</v>
      </c>
      <c r="I308" t="s">
        <v>22</v>
      </c>
      <c r="J308" t="s">
        <v>51</v>
      </c>
      <c r="K308" t="s">
        <v>10</v>
      </c>
      <c r="L308" t="s">
        <v>10</v>
      </c>
      <c r="M308" t="s">
        <v>10</v>
      </c>
      <c r="N308" t="s">
        <v>10</v>
      </c>
      <c r="O308" t="str">
        <f>INDEX(CoverageTable[Deductible Applies],MATCH(Table1820[[#This Row],[Coverage]],CoverageTable[Coverage],0))</f>
        <v>Yes</v>
      </c>
      <c r="P308" t="str">
        <f>INDEX(CoverageTable[Coverage Limit Applies],MATCH(Table1820[[#This Row],[Coverage]],CoverageTable[Coverage],0))</f>
        <v>No</v>
      </c>
      <c r="Q308" t="s">
        <v>79</v>
      </c>
      <c r="R308" t="s">
        <v>10</v>
      </c>
      <c r="S308" t="s">
        <v>10</v>
      </c>
      <c r="T308" t="s">
        <v>10</v>
      </c>
      <c r="U308" t="s">
        <v>10</v>
      </c>
      <c r="V308" t="s">
        <v>10</v>
      </c>
      <c r="W308" t="s">
        <v>10</v>
      </c>
      <c r="X308" s="11">
        <v>1315.8242625572357</v>
      </c>
      <c r="Y308">
        <f>_xlfn.XLOOKUP(Table1820[[#This Row],[Coverage]],CoverageTable[Coverage],CoverageTable[Base Rate],,0)</f>
        <v>453</v>
      </c>
      <c r="Z308">
        <f>INDEX(Table16[Ageband Factor],MATCH(Table1820[[#This Row],[Ageband]],Table16[Ageband],0))</f>
        <v>1.27</v>
      </c>
      <c r="AA308">
        <f>VLOOKUP(Table1820[[#This Row],[Years Driving]],Table1[],2)</f>
        <v>1.07</v>
      </c>
      <c r="AB308">
        <f>_xlfn.XLOOKUP(Table1820[[#This Row],[At Fault Accidents]],Table2[At Fault Accidents],Table2[At Fault Accident Factor],,0)</f>
        <v>1.55</v>
      </c>
      <c r="AC308">
        <f>_xlfn.XLOOKUP(Table1820[[#This Row],[Usage-Based Insurance]],Table3[Usage-Based Insurance],Table3[Usage-Based Insurance Discount],,0)</f>
        <v>1</v>
      </c>
      <c r="AD308">
        <f>_xlfn.XLOOKUP(Table1820[[#This Row],[Yearly Miles]],Table4[Yearly Miles],Table4[Yearly Miles Factor],,0)</f>
        <v>1</v>
      </c>
      <c r="AE308">
        <f>_xlfn.XLOOKUP(Table1820[[#This Row],[City/Zip Code]],Table5[City/Zip Code],Table5[City/Zip Code Factor],,0)</f>
        <v>1.21</v>
      </c>
      <c r="AF308">
        <f>_xlfn.XLOOKUP(Table1820[[#This Row],[Vehicle Price]],Table6[Vehicle Price],Table6[Vehicle Price Factor])</f>
        <v>1.28</v>
      </c>
      <c r="AG308">
        <f>_xlfn.XLOOKUP(Table1820[[#This Row],[Exotic Car]],Table7[Exotic Car],Table7[Exotic Car Factor],,0)</f>
        <v>1</v>
      </c>
      <c r="AH308">
        <f>_xlfn.XLOOKUP(Table1820[[#This Row],[Difficult Parts]],Table8[Difficult Parts],Table8[Difficult Parts Factor],,0)</f>
        <v>1</v>
      </c>
      <c r="AI308">
        <f>_xlfn.XLOOKUP(Table1820[[#This Row],[High Theft Rate]],Table9[High Theft Rate],Table9[High Theft Rate Factor],,0)</f>
        <v>1</v>
      </c>
      <c r="AJ308">
        <f>_xlfn.XLOOKUP(Table1820[[#This Row],[Advanced Safety Features]],Table10[Advanced Safety Features],Table10[Advanced Safety Features Factor],,0)</f>
        <v>1</v>
      </c>
      <c r="AK308">
        <f>_xlfn.XLOOKUP(Table1820[[#This Row],[Deductible]],Table12[Deductible],Table12[Deductible Factor],,0)</f>
        <v>0.84</v>
      </c>
      <c r="AL308">
        <f>_xlfn.XLOOKUP(Table1820[[#This Row],[Coverage Limit]],Table13[Coverage Limit],Table13[Coverage Limit Factor],,0)</f>
        <v>1</v>
      </c>
      <c r="AM308">
        <f>IF(Table1820[[#This Row],[Good Student Discount]]="Yes",'Rate Book'!$D$126,1)</f>
        <v>1</v>
      </c>
      <c r="AN308">
        <f>IF(Table1820[[#This Row],[Good Driver Discount]]="Yes",'Rate Book'!$D$127,1)</f>
        <v>1</v>
      </c>
      <c r="AO308">
        <f>IF(Table1820[[#This Row],[Multi Policy Discount]]="Yes",'Rate Book'!$D$128,1)</f>
        <v>1</v>
      </c>
      <c r="AP308">
        <f>IF(Table1820[[#This Row],[Loyal Customer Discount]]="Yes",'Rate Book'!$D$129,1)</f>
        <v>1</v>
      </c>
      <c r="AQ308">
        <f>IF(Table1820[[#This Row],[Organization Discount]]="Yes",'Rate Book'!$D$130,1)</f>
        <v>1</v>
      </c>
      <c r="AR308" cm="1">
        <f t="array" ref="AR308">IF(Table1820[[#This Row],[Effective Date]]&gt;=RateChangeTable[Effective Date],RateChangeTable[Rate Change Factor],1)</f>
        <v>1.06</v>
      </c>
      <c r="AS308" s="10">
        <f>PRODUCT(Table1820[[#This Row],[Base Rate]:[Rate Change Factor]])</f>
        <v>1315.8242625572357</v>
      </c>
      <c r="AT308" s="9">
        <f>Table1820[[#This Row],[System-Generated Premium]]-Table1820[[#This Row],[Expected Premium]]</f>
        <v>0</v>
      </c>
      <c r="AU308" t="str">
        <f>IF(Table1820[[#This Row],[Difference]]=0,"PASS","FAIL")</f>
        <v>PASS</v>
      </c>
      <c r="AV308" s="9">
        <f>ABS(Table1820[[#This Row],[Difference]])</f>
        <v>0</v>
      </c>
      <c r="AW308" s="9" t="s">
        <v>1136</v>
      </c>
    </row>
    <row r="309" spans="1:49" x14ac:dyDescent="0.3">
      <c r="A309" t="s">
        <v>400</v>
      </c>
      <c r="B309" s="7">
        <v>46001</v>
      </c>
      <c r="C309" t="s">
        <v>70</v>
      </c>
      <c r="D309" t="s">
        <v>1102</v>
      </c>
      <c r="E309" s="3">
        <v>7</v>
      </c>
      <c r="F309" s="3">
        <v>1</v>
      </c>
      <c r="G309" t="s">
        <v>10</v>
      </c>
      <c r="H309" t="s">
        <v>1109</v>
      </c>
      <c r="I309" t="s">
        <v>38</v>
      </c>
      <c r="J309" t="s">
        <v>52</v>
      </c>
      <c r="K309" t="s">
        <v>57</v>
      </c>
      <c r="L309" t="s">
        <v>10</v>
      </c>
      <c r="M309" t="s">
        <v>10</v>
      </c>
      <c r="N309" t="s">
        <v>57</v>
      </c>
      <c r="O309" t="str">
        <f>INDEX(CoverageTable[Deductible Applies],MATCH(Table1820[[#This Row],[Coverage]],CoverageTable[Coverage],0))</f>
        <v>No</v>
      </c>
      <c r="P309" t="str">
        <f>INDEX(CoverageTable[Coverage Limit Applies],MATCH(Table1820[[#This Row],[Coverage]],CoverageTable[Coverage],0))</f>
        <v>Yes</v>
      </c>
      <c r="Q309" t="s">
        <v>10</v>
      </c>
      <c r="R309" t="s">
        <v>78</v>
      </c>
      <c r="S309" t="s">
        <v>10</v>
      </c>
      <c r="T309" t="s">
        <v>10</v>
      </c>
      <c r="U309" t="s">
        <v>10</v>
      </c>
      <c r="V309" t="s">
        <v>10</v>
      </c>
      <c r="W309" t="s">
        <v>57</v>
      </c>
      <c r="X309" s="11">
        <v>1390.6453974161343</v>
      </c>
      <c r="Y309">
        <f>_xlfn.XLOOKUP(Table1820[[#This Row],[Coverage]],CoverageTable[Coverage],CoverageTable[Base Rate],,0)</f>
        <v>622</v>
      </c>
      <c r="Z309">
        <f>INDEX(Table16[Ageband Factor],MATCH(Table1820[[#This Row],[Ageband]],Table16[Ageband],0))</f>
        <v>1.27</v>
      </c>
      <c r="AA309">
        <f>VLOOKUP(Table1820[[#This Row],[Years Driving]],Table1[],2)</f>
        <v>0.95</v>
      </c>
      <c r="AB309">
        <f>_xlfn.XLOOKUP(Table1820[[#This Row],[At Fault Accidents]],Table2[At Fault Accidents],Table2[At Fault Accident Factor],,0)</f>
        <v>1.34</v>
      </c>
      <c r="AC309">
        <f>_xlfn.XLOOKUP(Table1820[[#This Row],[Usage-Based Insurance]],Table3[Usage-Based Insurance],Table3[Usage-Based Insurance Discount],,0)</f>
        <v>1</v>
      </c>
      <c r="AD309">
        <f>_xlfn.XLOOKUP(Table1820[[#This Row],[Yearly Miles]],Table4[Yearly Miles],Table4[Yearly Miles Factor],,0)</f>
        <v>1.18</v>
      </c>
      <c r="AE309">
        <f>_xlfn.XLOOKUP(Table1820[[#This Row],[City/Zip Code]],Table5[City/Zip Code],Table5[City/Zip Code Factor],,0)</f>
        <v>1.1200000000000001</v>
      </c>
      <c r="AF309">
        <f>_xlfn.XLOOKUP(Table1820[[#This Row],[Vehicle Price]],Table6[Vehicle Price],Table6[Vehicle Price Factor])</f>
        <v>1.57</v>
      </c>
      <c r="AG309">
        <f>_xlfn.XLOOKUP(Table1820[[#This Row],[Exotic Car]],Table7[Exotic Car],Table7[Exotic Car Factor],,0)</f>
        <v>1.28</v>
      </c>
      <c r="AH309">
        <f>_xlfn.XLOOKUP(Table1820[[#This Row],[Difficult Parts]],Table8[Difficult Parts],Table8[Difficult Parts Factor],,0)</f>
        <v>1</v>
      </c>
      <c r="AI309">
        <f>_xlfn.XLOOKUP(Table1820[[#This Row],[High Theft Rate]],Table9[High Theft Rate],Table9[High Theft Rate Factor],,0)</f>
        <v>1</v>
      </c>
      <c r="AJ309">
        <f>_xlfn.XLOOKUP(Table1820[[#This Row],[Advanced Safety Features]],Table10[Advanced Safety Features],Table10[Advanced Safety Features Factor],,0)</f>
        <v>0.88</v>
      </c>
      <c r="AK309">
        <f>_xlfn.XLOOKUP(Table1820[[#This Row],[Deductible]],Table12[Deductible],Table12[Deductible Factor],,0)</f>
        <v>1</v>
      </c>
      <c r="AL309">
        <f>_xlfn.XLOOKUP(Table1820[[#This Row],[Coverage Limit]],Table13[Coverage Limit],Table13[Coverage Limit Factor],,0)</f>
        <v>0.61</v>
      </c>
      <c r="AM309">
        <f>IF(Table1820[[#This Row],[Good Student Discount]]="Yes",'Rate Book'!$D$126,1)</f>
        <v>1</v>
      </c>
      <c r="AN309">
        <f>IF(Table1820[[#This Row],[Good Driver Discount]]="Yes",'Rate Book'!$D$127,1)</f>
        <v>1</v>
      </c>
      <c r="AO309">
        <f>IF(Table1820[[#This Row],[Multi Policy Discount]]="Yes",'Rate Book'!$D$128,1)</f>
        <v>1</v>
      </c>
      <c r="AP309">
        <f>IF(Table1820[[#This Row],[Loyal Customer Discount]]="Yes",'Rate Book'!$D$129,1)</f>
        <v>1</v>
      </c>
      <c r="AQ309">
        <f>IF(Table1820[[#This Row],[Organization Discount]]="Yes",'Rate Book'!$D$130,1)</f>
        <v>0.97</v>
      </c>
      <c r="AR309" cm="1">
        <f t="array" ref="AR309">IF(Table1820[[#This Row],[Effective Date]]&gt;=RateChangeTable[Effective Date],RateChangeTable[Rate Change Factor],1)</f>
        <v>1</v>
      </c>
      <c r="AS309" s="10">
        <f>PRODUCT(Table1820[[#This Row],[Base Rate]:[Rate Change Factor]])</f>
        <v>1390.6453974161343</v>
      </c>
      <c r="AT309" s="9">
        <f>Table1820[[#This Row],[System-Generated Premium]]-Table1820[[#This Row],[Expected Premium]]</f>
        <v>0</v>
      </c>
      <c r="AU309" t="str">
        <f>IF(Table1820[[#This Row],[Difference]]=0,"PASS","FAIL")</f>
        <v>PASS</v>
      </c>
      <c r="AV309" s="9">
        <f>ABS(Table1820[[#This Row],[Difference]])</f>
        <v>0</v>
      </c>
      <c r="AW309" s="9" t="s">
        <v>1136</v>
      </c>
    </row>
    <row r="310" spans="1:49" x14ac:dyDescent="0.3">
      <c r="A310" t="s">
        <v>401</v>
      </c>
      <c r="B310" s="7">
        <v>45901</v>
      </c>
      <c r="C310" t="s">
        <v>74</v>
      </c>
      <c r="D310" t="s">
        <v>1100</v>
      </c>
      <c r="E310" s="3">
        <v>4</v>
      </c>
      <c r="F310" s="3">
        <v>1</v>
      </c>
      <c r="G310" t="s">
        <v>13</v>
      </c>
      <c r="H310" t="s">
        <v>1108</v>
      </c>
      <c r="I310" t="s">
        <v>38</v>
      </c>
      <c r="J310" t="s">
        <v>49</v>
      </c>
      <c r="K310" t="s">
        <v>10</v>
      </c>
      <c r="L310" t="s">
        <v>10</v>
      </c>
      <c r="M310" t="s">
        <v>10</v>
      </c>
      <c r="N310" t="s">
        <v>57</v>
      </c>
      <c r="O310" t="str">
        <f>INDEX(CoverageTable[Deductible Applies],MATCH(Table1820[[#This Row],[Coverage]],CoverageTable[Coverage],0))</f>
        <v>No</v>
      </c>
      <c r="P310" t="str">
        <f>INDEX(CoverageTable[Coverage Limit Applies],MATCH(Table1820[[#This Row],[Coverage]],CoverageTable[Coverage],0))</f>
        <v>Yes</v>
      </c>
      <c r="Q310" t="s">
        <v>10</v>
      </c>
      <c r="R310" t="s">
        <v>78</v>
      </c>
      <c r="S310" t="s">
        <v>10</v>
      </c>
      <c r="T310" t="s">
        <v>10</v>
      </c>
      <c r="U310" t="s">
        <v>10</v>
      </c>
      <c r="V310" t="s">
        <v>10</v>
      </c>
      <c r="W310" t="s">
        <v>10</v>
      </c>
      <c r="X310" s="11">
        <v>25.62629928354497</v>
      </c>
      <c r="Y310">
        <f>_xlfn.XLOOKUP(Table1820[[#This Row],[Coverage]],CoverageTable[Coverage],CoverageTable[Base Rate],,0)</f>
        <v>41</v>
      </c>
      <c r="Z310">
        <f>INDEX(Table16[Ageband Factor],MATCH(Table1820[[#This Row],[Ageband]],Table16[Ageband],0))</f>
        <v>1.07</v>
      </c>
      <c r="AA310">
        <f>VLOOKUP(Table1820[[#This Row],[Years Driving]],Table1[],2)</f>
        <v>1.1499999999999999</v>
      </c>
      <c r="AB310">
        <f>_xlfn.XLOOKUP(Table1820[[#This Row],[At Fault Accidents]],Table2[At Fault Accidents],Table2[At Fault Accident Factor],,0)</f>
        <v>1.34</v>
      </c>
      <c r="AC310">
        <f>_xlfn.XLOOKUP(Table1820[[#This Row],[Usage-Based Insurance]],Table3[Usage-Based Insurance],Table3[Usage-Based Insurance Discount],,0)</f>
        <v>0.65</v>
      </c>
      <c r="AD310">
        <f>_xlfn.XLOOKUP(Table1820[[#This Row],[Yearly Miles]],Table4[Yearly Miles],Table4[Yearly Miles Factor],,0)</f>
        <v>1</v>
      </c>
      <c r="AE310">
        <f>_xlfn.XLOOKUP(Table1820[[#This Row],[City/Zip Code]],Table5[City/Zip Code],Table5[City/Zip Code Factor],,0)</f>
        <v>1.1200000000000001</v>
      </c>
      <c r="AF310">
        <f>_xlfn.XLOOKUP(Table1820[[#This Row],[Vehicle Price]],Table6[Vehicle Price],Table6[Vehicle Price Factor])</f>
        <v>0.97</v>
      </c>
      <c r="AG310">
        <f>_xlfn.XLOOKUP(Table1820[[#This Row],[Exotic Car]],Table7[Exotic Car],Table7[Exotic Car Factor],,0)</f>
        <v>1</v>
      </c>
      <c r="AH310">
        <f>_xlfn.XLOOKUP(Table1820[[#This Row],[Difficult Parts]],Table8[Difficult Parts],Table8[Difficult Parts Factor],,0)</f>
        <v>1</v>
      </c>
      <c r="AI310">
        <f>_xlfn.XLOOKUP(Table1820[[#This Row],[High Theft Rate]],Table9[High Theft Rate],Table9[High Theft Rate Factor],,0)</f>
        <v>1</v>
      </c>
      <c r="AJ310">
        <f>_xlfn.XLOOKUP(Table1820[[#This Row],[Advanced Safety Features]],Table10[Advanced Safety Features],Table10[Advanced Safety Features Factor],,0)</f>
        <v>0.88</v>
      </c>
      <c r="AK310">
        <f>_xlfn.XLOOKUP(Table1820[[#This Row],[Deductible]],Table12[Deductible],Table12[Deductible Factor],,0)</f>
        <v>1</v>
      </c>
      <c r="AL310">
        <f>_xlfn.XLOOKUP(Table1820[[#This Row],[Coverage Limit]],Table13[Coverage Limit],Table13[Coverage Limit Factor],,0)</f>
        <v>0.61</v>
      </c>
      <c r="AM310">
        <f>IF(Table1820[[#This Row],[Good Student Discount]]="Yes",'Rate Book'!$D$126,1)</f>
        <v>1</v>
      </c>
      <c r="AN310">
        <f>IF(Table1820[[#This Row],[Good Driver Discount]]="Yes",'Rate Book'!$D$127,1)</f>
        <v>1</v>
      </c>
      <c r="AO310">
        <f>IF(Table1820[[#This Row],[Multi Policy Discount]]="Yes",'Rate Book'!$D$128,1)</f>
        <v>1</v>
      </c>
      <c r="AP310">
        <f>IF(Table1820[[#This Row],[Loyal Customer Discount]]="Yes",'Rate Book'!$D$129,1)</f>
        <v>1</v>
      </c>
      <c r="AQ310">
        <f>IF(Table1820[[#This Row],[Organization Discount]]="Yes",'Rate Book'!$D$130,1)</f>
        <v>1</v>
      </c>
      <c r="AR310" cm="1">
        <f t="array" ref="AR310">IF(Table1820[[#This Row],[Effective Date]]&gt;=RateChangeTable[Effective Date],RateChangeTable[Rate Change Factor],1)</f>
        <v>1</v>
      </c>
      <c r="AS310" s="10">
        <f>PRODUCT(Table1820[[#This Row],[Base Rate]:[Rate Change Factor]])</f>
        <v>25.62629928354497</v>
      </c>
      <c r="AT310" s="9">
        <f>Table1820[[#This Row],[System-Generated Premium]]-Table1820[[#This Row],[Expected Premium]]</f>
        <v>0</v>
      </c>
      <c r="AU310" t="str">
        <f>IF(Table1820[[#This Row],[Difference]]=0,"PASS","FAIL")</f>
        <v>PASS</v>
      </c>
      <c r="AV310" s="9">
        <f>ABS(Table1820[[#This Row],[Difference]])</f>
        <v>0</v>
      </c>
      <c r="AW310" s="9" t="s">
        <v>1136</v>
      </c>
    </row>
    <row r="311" spans="1:49" x14ac:dyDescent="0.3">
      <c r="A311" t="s">
        <v>402</v>
      </c>
      <c r="B311" s="7">
        <v>45951</v>
      </c>
      <c r="C311" t="s">
        <v>74</v>
      </c>
      <c r="D311" t="s">
        <v>1101</v>
      </c>
      <c r="E311" s="3">
        <v>4</v>
      </c>
      <c r="F311" s="3">
        <v>4</v>
      </c>
      <c r="G311" t="s">
        <v>11</v>
      </c>
      <c r="H311" t="s">
        <v>1110</v>
      </c>
      <c r="I311" t="s">
        <v>37</v>
      </c>
      <c r="J311" t="s">
        <v>52</v>
      </c>
      <c r="K311" t="s">
        <v>10</v>
      </c>
      <c r="L311" t="s">
        <v>10</v>
      </c>
      <c r="M311" t="s">
        <v>10</v>
      </c>
      <c r="N311" t="s">
        <v>57</v>
      </c>
      <c r="O311" t="str">
        <f>INDEX(CoverageTable[Deductible Applies],MATCH(Table1820[[#This Row],[Coverage]],CoverageTable[Coverage],0))</f>
        <v>No</v>
      </c>
      <c r="P311" t="str">
        <f>INDEX(CoverageTable[Coverage Limit Applies],MATCH(Table1820[[#This Row],[Coverage]],CoverageTable[Coverage],0))</f>
        <v>Yes</v>
      </c>
      <c r="Q311" t="s">
        <v>10</v>
      </c>
      <c r="R311" t="s">
        <v>79</v>
      </c>
      <c r="S311" t="s">
        <v>10</v>
      </c>
      <c r="T311" t="s">
        <v>57</v>
      </c>
      <c r="U311" t="s">
        <v>10</v>
      </c>
      <c r="V311" t="s">
        <v>10</v>
      </c>
      <c r="W311" t="s">
        <v>10</v>
      </c>
      <c r="X311" s="11">
        <v>134.45030977912961</v>
      </c>
      <c r="Y311">
        <f>_xlfn.XLOOKUP(Table1820[[#This Row],[Coverage]],CoverageTable[Coverage],CoverageTable[Base Rate],,0)</f>
        <v>41</v>
      </c>
      <c r="Z311">
        <f>INDEX(Table16[Ageband Factor],MATCH(Table1820[[#This Row],[Ageband]],Table16[Ageband],0))</f>
        <v>1.1200000000000001</v>
      </c>
      <c r="AA311">
        <f>VLOOKUP(Table1820[[#This Row],[Years Driving]],Table1[],2)</f>
        <v>1.1499999999999999</v>
      </c>
      <c r="AB311">
        <f>_xlfn.XLOOKUP(Table1820[[#This Row],[At Fault Accidents]],Table2[At Fault Accidents],Table2[At Fault Accident Factor],,0)</f>
        <v>2.12</v>
      </c>
      <c r="AC311">
        <f>_xlfn.XLOOKUP(Table1820[[#This Row],[Usage-Based Insurance]],Table3[Usage-Based Insurance],Table3[Usage-Based Insurance Discount],,0)</f>
        <v>0.95</v>
      </c>
      <c r="AD311">
        <f>_xlfn.XLOOKUP(Table1820[[#This Row],[Yearly Miles]],Table4[Yearly Miles],Table4[Yearly Miles Factor],,0)</f>
        <v>1.31</v>
      </c>
      <c r="AE311">
        <f>_xlfn.XLOOKUP(Table1820[[#This Row],[City/Zip Code]],Table5[City/Zip Code],Table5[City/Zip Code Factor],,0)</f>
        <v>1.0900000000000001</v>
      </c>
      <c r="AF311">
        <f>_xlfn.XLOOKUP(Table1820[[#This Row],[Vehicle Price]],Table6[Vehicle Price],Table6[Vehicle Price Factor])</f>
        <v>1.57</v>
      </c>
      <c r="AG311">
        <f>_xlfn.XLOOKUP(Table1820[[#This Row],[Exotic Car]],Table7[Exotic Car],Table7[Exotic Car Factor],,0)</f>
        <v>1</v>
      </c>
      <c r="AH311">
        <f>_xlfn.XLOOKUP(Table1820[[#This Row],[Difficult Parts]],Table8[Difficult Parts],Table8[Difficult Parts Factor],,0)</f>
        <v>1</v>
      </c>
      <c r="AI311">
        <f>_xlfn.XLOOKUP(Table1820[[#This Row],[High Theft Rate]],Table9[High Theft Rate],Table9[High Theft Rate Factor],,0)</f>
        <v>1</v>
      </c>
      <c r="AJ311">
        <f>_xlfn.XLOOKUP(Table1820[[#This Row],[Advanced Safety Features]],Table10[Advanced Safety Features],Table10[Advanced Safety Features Factor],,0)</f>
        <v>0.88</v>
      </c>
      <c r="AK311">
        <f>_xlfn.XLOOKUP(Table1820[[#This Row],[Deductible]],Table12[Deductible],Table12[Deductible Factor],,0)</f>
        <v>1</v>
      </c>
      <c r="AL311">
        <f>_xlfn.XLOOKUP(Table1820[[#This Row],[Coverage Limit]],Table13[Coverage Limit],Table13[Coverage Limit Factor],,0)</f>
        <v>0.72</v>
      </c>
      <c r="AM311">
        <f>IF(Table1820[[#This Row],[Good Student Discount]]="Yes",'Rate Book'!$D$126,1)</f>
        <v>1</v>
      </c>
      <c r="AN311">
        <f>IF(Table1820[[#This Row],[Good Driver Discount]]="Yes",'Rate Book'!$D$127,1)</f>
        <v>0.89</v>
      </c>
      <c r="AO311">
        <f>IF(Table1820[[#This Row],[Multi Policy Discount]]="Yes",'Rate Book'!$D$128,1)</f>
        <v>1</v>
      </c>
      <c r="AP311">
        <f>IF(Table1820[[#This Row],[Loyal Customer Discount]]="Yes",'Rate Book'!$D$129,1)</f>
        <v>1</v>
      </c>
      <c r="AQ311">
        <f>IF(Table1820[[#This Row],[Organization Discount]]="Yes",'Rate Book'!$D$130,1)</f>
        <v>1</v>
      </c>
      <c r="AR311" cm="1">
        <f t="array" ref="AR311">IF(Table1820[[#This Row],[Effective Date]]&gt;=RateChangeTable[Effective Date],RateChangeTable[Rate Change Factor],1)</f>
        <v>1</v>
      </c>
      <c r="AS311" s="10">
        <f>PRODUCT(Table1820[[#This Row],[Base Rate]:[Rate Change Factor]])</f>
        <v>134.45030977912961</v>
      </c>
      <c r="AT311" s="9">
        <f>Table1820[[#This Row],[System-Generated Premium]]-Table1820[[#This Row],[Expected Premium]]</f>
        <v>0</v>
      </c>
      <c r="AU311" t="str">
        <f>IF(Table1820[[#This Row],[Difference]]=0,"PASS","FAIL")</f>
        <v>PASS</v>
      </c>
      <c r="AV311" s="9">
        <f>ABS(Table1820[[#This Row],[Difference]])</f>
        <v>0</v>
      </c>
      <c r="AW311" s="9" t="s">
        <v>1136</v>
      </c>
    </row>
    <row r="312" spans="1:49" x14ac:dyDescent="0.3">
      <c r="A312" t="s">
        <v>403</v>
      </c>
      <c r="B312" s="7">
        <v>46016</v>
      </c>
      <c r="C312" t="s">
        <v>71</v>
      </c>
      <c r="D312" t="s">
        <v>1099</v>
      </c>
      <c r="E312" s="3">
        <v>7</v>
      </c>
      <c r="F312" s="3">
        <v>4</v>
      </c>
      <c r="G312" t="s">
        <v>10</v>
      </c>
      <c r="H312" t="s">
        <v>1109</v>
      </c>
      <c r="I312" t="s">
        <v>27</v>
      </c>
      <c r="J312" t="s">
        <v>54</v>
      </c>
      <c r="K312" t="s">
        <v>10</v>
      </c>
      <c r="L312" t="s">
        <v>10</v>
      </c>
      <c r="M312" t="s">
        <v>10</v>
      </c>
      <c r="N312" t="s">
        <v>10</v>
      </c>
      <c r="O312" t="str">
        <f>INDEX(CoverageTable[Deductible Applies],MATCH(Table1820[[#This Row],[Coverage]],CoverageTable[Coverage],0))</f>
        <v>Yes</v>
      </c>
      <c r="P312" t="str">
        <f>INDEX(CoverageTable[Coverage Limit Applies],MATCH(Table1820[[#This Row],[Coverage]],CoverageTable[Coverage],0))</f>
        <v>No</v>
      </c>
      <c r="Q312" t="s">
        <v>80</v>
      </c>
      <c r="R312" t="s">
        <v>10</v>
      </c>
      <c r="S312" t="s">
        <v>10</v>
      </c>
      <c r="T312" t="s">
        <v>10</v>
      </c>
      <c r="U312" t="s">
        <v>10</v>
      </c>
      <c r="V312" t="s">
        <v>10</v>
      </c>
      <c r="W312" t="s">
        <v>10</v>
      </c>
      <c r="X312" s="11">
        <v>2091.1342839609592</v>
      </c>
      <c r="Y312">
        <f>_xlfn.XLOOKUP(Table1820[[#This Row],[Coverage]],CoverageTable[Coverage],CoverageTable[Base Rate],,0)</f>
        <v>453</v>
      </c>
      <c r="Z312">
        <f>INDEX(Table16[Ageband Factor],MATCH(Table1820[[#This Row],[Ageband]],Table16[Ageband],0))</f>
        <v>1</v>
      </c>
      <c r="AA312">
        <f>VLOOKUP(Table1820[[#This Row],[Years Driving]],Table1[],2)</f>
        <v>0.95</v>
      </c>
      <c r="AB312">
        <f>_xlfn.XLOOKUP(Table1820[[#This Row],[At Fault Accidents]],Table2[At Fault Accidents],Table2[At Fault Accident Factor],,0)</f>
        <v>2.12</v>
      </c>
      <c r="AC312">
        <f>_xlfn.XLOOKUP(Table1820[[#This Row],[Usage-Based Insurance]],Table3[Usage-Based Insurance],Table3[Usage-Based Insurance Discount],,0)</f>
        <v>1</v>
      </c>
      <c r="AD312">
        <f>_xlfn.XLOOKUP(Table1820[[#This Row],[Yearly Miles]],Table4[Yearly Miles],Table4[Yearly Miles Factor],,0)</f>
        <v>1.18</v>
      </c>
      <c r="AE312">
        <f>_xlfn.XLOOKUP(Table1820[[#This Row],[City/Zip Code]],Table5[City/Zip Code],Table5[City/Zip Code Factor],,0)</f>
        <v>0.94</v>
      </c>
      <c r="AF312">
        <f>_xlfn.XLOOKUP(Table1820[[#This Row],[Vehicle Price]],Table6[Vehicle Price],Table6[Vehicle Price Factor])</f>
        <v>2.87</v>
      </c>
      <c r="AG312">
        <f>_xlfn.XLOOKUP(Table1820[[#This Row],[Exotic Car]],Table7[Exotic Car],Table7[Exotic Car Factor],,0)</f>
        <v>1</v>
      </c>
      <c r="AH312">
        <f>_xlfn.XLOOKUP(Table1820[[#This Row],[Difficult Parts]],Table8[Difficult Parts],Table8[Difficult Parts Factor],,0)</f>
        <v>1</v>
      </c>
      <c r="AI312">
        <f>_xlfn.XLOOKUP(Table1820[[#This Row],[High Theft Rate]],Table9[High Theft Rate],Table9[High Theft Rate Factor],,0)</f>
        <v>1</v>
      </c>
      <c r="AJ312">
        <f>_xlfn.XLOOKUP(Table1820[[#This Row],[Advanced Safety Features]],Table10[Advanced Safety Features],Table10[Advanced Safety Features Factor],,0)</f>
        <v>1</v>
      </c>
      <c r="AK312">
        <f>_xlfn.XLOOKUP(Table1820[[#This Row],[Deductible]],Table12[Deductible],Table12[Deductible Factor],,0)</f>
        <v>0.72</v>
      </c>
      <c r="AL312">
        <f>_xlfn.XLOOKUP(Table1820[[#This Row],[Coverage Limit]],Table13[Coverage Limit],Table13[Coverage Limit Factor],,0)</f>
        <v>1</v>
      </c>
      <c r="AM312">
        <f>IF(Table1820[[#This Row],[Good Student Discount]]="Yes",'Rate Book'!$D$126,1)</f>
        <v>1</v>
      </c>
      <c r="AN312">
        <f>IF(Table1820[[#This Row],[Good Driver Discount]]="Yes",'Rate Book'!$D$127,1)</f>
        <v>1</v>
      </c>
      <c r="AO312">
        <f>IF(Table1820[[#This Row],[Multi Policy Discount]]="Yes",'Rate Book'!$D$128,1)</f>
        <v>1</v>
      </c>
      <c r="AP312">
        <f>IF(Table1820[[#This Row],[Loyal Customer Discount]]="Yes",'Rate Book'!$D$129,1)</f>
        <v>1</v>
      </c>
      <c r="AQ312">
        <f>IF(Table1820[[#This Row],[Organization Discount]]="Yes",'Rate Book'!$D$130,1)</f>
        <v>1</v>
      </c>
      <c r="AR312" cm="1">
        <f t="array" ref="AR312">IF(Table1820[[#This Row],[Effective Date]]&gt;=RateChangeTable[Effective Date],RateChangeTable[Rate Change Factor],1)</f>
        <v>1</v>
      </c>
      <c r="AS312" s="10">
        <f>PRODUCT(Table1820[[#This Row],[Base Rate]:[Rate Change Factor]])</f>
        <v>2091.1342839609592</v>
      </c>
      <c r="AT312" s="9">
        <f>Table1820[[#This Row],[System-Generated Premium]]-Table1820[[#This Row],[Expected Premium]]</f>
        <v>0</v>
      </c>
      <c r="AU312" t="str">
        <f>IF(Table1820[[#This Row],[Difference]]=0,"PASS","FAIL")</f>
        <v>PASS</v>
      </c>
      <c r="AV312" s="9">
        <f>ABS(Table1820[[#This Row],[Difference]])</f>
        <v>0</v>
      </c>
      <c r="AW312" s="9" t="s">
        <v>1136</v>
      </c>
    </row>
    <row r="313" spans="1:49" x14ac:dyDescent="0.3">
      <c r="A313" t="s">
        <v>404</v>
      </c>
      <c r="B313" s="7">
        <v>46045</v>
      </c>
      <c r="C313" t="s">
        <v>71</v>
      </c>
      <c r="D313" t="s">
        <v>1099</v>
      </c>
      <c r="E313" s="3">
        <v>7</v>
      </c>
      <c r="F313" s="3">
        <v>1</v>
      </c>
      <c r="G313" t="s">
        <v>10</v>
      </c>
      <c r="H313" t="s">
        <v>1109</v>
      </c>
      <c r="I313" t="s">
        <v>28</v>
      </c>
      <c r="J313" t="s">
        <v>50</v>
      </c>
      <c r="K313" t="s">
        <v>10</v>
      </c>
      <c r="L313" t="s">
        <v>10</v>
      </c>
      <c r="M313" t="s">
        <v>10</v>
      </c>
      <c r="N313" t="s">
        <v>57</v>
      </c>
      <c r="O313" t="str">
        <f>INDEX(CoverageTable[Deductible Applies],MATCH(Table1820[[#This Row],[Coverage]],CoverageTable[Coverage],0))</f>
        <v>Yes</v>
      </c>
      <c r="P313" t="str">
        <f>INDEX(CoverageTable[Coverage Limit Applies],MATCH(Table1820[[#This Row],[Coverage]],CoverageTable[Coverage],0))</f>
        <v>No</v>
      </c>
      <c r="Q313" t="s">
        <v>79</v>
      </c>
      <c r="R313" t="s">
        <v>10</v>
      </c>
      <c r="S313" t="s">
        <v>10</v>
      </c>
      <c r="T313" t="s">
        <v>10</v>
      </c>
      <c r="U313" t="s">
        <v>10</v>
      </c>
      <c r="V313" t="s">
        <v>10</v>
      </c>
      <c r="W313" t="s">
        <v>10</v>
      </c>
      <c r="X313" s="11">
        <v>547.04593752931578</v>
      </c>
      <c r="Y313">
        <f>_xlfn.XLOOKUP(Table1820[[#This Row],[Coverage]],CoverageTable[Coverage],CoverageTable[Base Rate],,0)</f>
        <v>453</v>
      </c>
      <c r="Z313">
        <f>INDEX(Table16[Ageband Factor],MATCH(Table1820[[#This Row],[Ageband]],Table16[Ageband],0))</f>
        <v>1</v>
      </c>
      <c r="AA313">
        <f>VLOOKUP(Table1820[[#This Row],[Years Driving]],Table1[],2)</f>
        <v>0.95</v>
      </c>
      <c r="AB313">
        <f>_xlfn.XLOOKUP(Table1820[[#This Row],[At Fault Accidents]],Table2[At Fault Accidents],Table2[At Fault Accident Factor],,0)</f>
        <v>1.34</v>
      </c>
      <c r="AC313">
        <f>_xlfn.XLOOKUP(Table1820[[#This Row],[Usage-Based Insurance]],Table3[Usage-Based Insurance],Table3[Usage-Based Insurance Discount],,0)</f>
        <v>1</v>
      </c>
      <c r="AD313">
        <f>_xlfn.XLOOKUP(Table1820[[#This Row],[Yearly Miles]],Table4[Yearly Miles],Table4[Yearly Miles Factor],,0)</f>
        <v>1.18</v>
      </c>
      <c r="AE313">
        <f>_xlfn.XLOOKUP(Table1820[[#This Row],[City/Zip Code]],Table5[City/Zip Code],Table5[City/Zip Code Factor],,0)</f>
        <v>0.95</v>
      </c>
      <c r="AF313">
        <f>_xlfn.XLOOKUP(Table1820[[#This Row],[Vehicle Price]],Table6[Vehicle Price],Table6[Vehicle Price Factor])</f>
        <v>1.08</v>
      </c>
      <c r="AG313">
        <f>_xlfn.XLOOKUP(Table1820[[#This Row],[Exotic Car]],Table7[Exotic Car],Table7[Exotic Car Factor],,0)</f>
        <v>1</v>
      </c>
      <c r="AH313">
        <f>_xlfn.XLOOKUP(Table1820[[#This Row],[Difficult Parts]],Table8[Difficult Parts],Table8[Difficult Parts Factor],,0)</f>
        <v>1</v>
      </c>
      <c r="AI313">
        <f>_xlfn.XLOOKUP(Table1820[[#This Row],[High Theft Rate]],Table9[High Theft Rate],Table9[High Theft Rate Factor],,0)</f>
        <v>1</v>
      </c>
      <c r="AJ313">
        <f>_xlfn.XLOOKUP(Table1820[[#This Row],[Advanced Safety Features]],Table10[Advanced Safety Features],Table10[Advanced Safety Features Factor],,0)</f>
        <v>0.88</v>
      </c>
      <c r="AK313">
        <f>_xlfn.XLOOKUP(Table1820[[#This Row],[Deductible]],Table12[Deductible],Table12[Deductible Factor],,0)</f>
        <v>0.84</v>
      </c>
      <c r="AL313">
        <f>_xlfn.XLOOKUP(Table1820[[#This Row],[Coverage Limit]],Table13[Coverage Limit],Table13[Coverage Limit Factor],,0)</f>
        <v>1</v>
      </c>
      <c r="AM313">
        <f>IF(Table1820[[#This Row],[Good Student Discount]]="Yes",'Rate Book'!$D$126,1)</f>
        <v>1</v>
      </c>
      <c r="AN313">
        <f>IF(Table1820[[#This Row],[Good Driver Discount]]="Yes",'Rate Book'!$D$127,1)</f>
        <v>1</v>
      </c>
      <c r="AO313">
        <f>IF(Table1820[[#This Row],[Multi Policy Discount]]="Yes",'Rate Book'!$D$128,1)</f>
        <v>1</v>
      </c>
      <c r="AP313">
        <f>IF(Table1820[[#This Row],[Loyal Customer Discount]]="Yes",'Rate Book'!$D$129,1)</f>
        <v>1</v>
      </c>
      <c r="AQ313">
        <f>IF(Table1820[[#This Row],[Organization Discount]]="Yes",'Rate Book'!$D$130,1)</f>
        <v>1</v>
      </c>
      <c r="AR313" cm="1">
        <f t="array" ref="AR313">IF(Table1820[[#This Row],[Effective Date]]&gt;=RateChangeTable[Effective Date],RateChangeTable[Rate Change Factor],1)</f>
        <v>1.06</v>
      </c>
      <c r="AS313" s="10">
        <f>PRODUCT(Table1820[[#This Row],[Base Rate]:[Rate Change Factor]])</f>
        <v>547.04593752931578</v>
      </c>
      <c r="AT313" s="9">
        <f>Table1820[[#This Row],[System-Generated Premium]]-Table1820[[#This Row],[Expected Premium]]</f>
        <v>0</v>
      </c>
      <c r="AU313" t="str">
        <f>IF(Table1820[[#This Row],[Difference]]=0,"PASS","FAIL")</f>
        <v>PASS</v>
      </c>
      <c r="AV313" s="9">
        <f>ABS(Table1820[[#This Row],[Difference]])</f>
        <v>0</v>
      </c>
      <c r="AW313" s="9" t="s">
        <v>1136</v>
      </c>
    </row>
    <row r="314" spans="1:49" x14ac:dyDescent="0.3">
      <c r="A314" t="s">
        <v>405</v>
      </c>
      <c r="B314" s="7">
        <v>45834</v>
      </c>
      <c r="C314" t="s">
        <v>70</v>
      </c>
      <c r="D314" t="s">
        <v>1102</v>
      </c>
      <c r="E314" s="3">
        <v>2</v>
      </c>
      <c r="F314" s="3">
        <v>1</v>
      </c>
      <c r="G314" t="s">
        <v>10</v>
      </c>
      <c r="H314" t="s">
        <v>1107</v>
      </c>
      <c r="I314" t="s">
        <v>24</v>
      </c>
      <c r="J314" t="s">
        <v>49</v>
      </c>
      <c r="K314" t="s">
        <v>10</v>
      </c>
      <c r="L314" t="s">
        <v>10</v>
      </c>
      <c r="M314" t="s">
        <v>10</v>
      </c>
      <c r="N314" t="s">
        <v>57</v>
      </c>
      <c r="O314" t="str">
        <f>INDEX(CoverageTable[Deductible Applies],MATCH(Table1820[[#This Row],[Coverage]],CoverageTable[Coverage],0))</f>
        <v>No</v>
      </c>
      <c r="P314" t="str">
        <f>INDEX(CoverageTable[Coverage Limit Applies],MATCH(Table1820[[#This Row],[Coverage]],CoverageTable[Coverage],0))</f>
        <v>Yes</v>
      </c>
      <c r="Q314" t="s">
        <v>10</v>
      </c>
      <c r="R314" t="s">
        <v>78</v>
      </c>
      <c r="S314" t="s">
        <v>10</v>
      </c>
      <c r="T314" t="s">
        <v>57</v>
      </c>
      <c r="U314" t="s">
        <v>10</v>
      </c>
      <c r="V314" t="s">
        <v>10</v>
      </c>
      <c r="W314" t="s">
        <v>10</v>
      </c>
      <c r="X314" s="11">
        <v>765.45942474363414</v>
      </c>
      <c r="Y314">
        <f>_xlfn.XLOOKUP(Table1820[[#This Row],[Coverage]],CoverageTable[Coverage],CoverageTable[Base Rate],,0)</f>
        <v>622</v>
      </c>
      <c r="Z314">
        <f>INDEX(Table16[Ageband Factor],MATCH(Table1820[[#This Row],[Ageband]],Table16[Ageband],0))</f>
        <v>1.27</v>
      </c>
      <c r="AA314">
        <f>VLOOKUP(Table1820[[#This Row],[Years Driving]],Table1[],2)</f>
        <v>1.41</v>
      </c>
      <c r="AB314">
        <f>_xlfn.XLOOKUP(Table1820[[#This Row],[At Fault Accidents]],Table2[At Fault Accidents],Table2[At Fault Accident Factor],,0)</f>
        <v>1.34</v>
      </c>
      <c r="AC314">
        <f>_xlfn.XLOOKUP(Table1820[[#This Row],[Usage-Based Insurance]],Table3[Usage-Based Insurance],Table3[Usage-Based Insurance Discount],,0)</f>
        <v>1</v>
      </c>
      <c r="AD314">
        <f>_xlfn.XLOOKUP(Table1820[[#This Row],[Yearly Miles]],Table4[Yearly Miles],Table4[Yearly Miles Factor],,0)</f>
        <v>0.93</v>
      </c>
      <c r="AE314">
        <f>_xlfn.XLOOKUP(Table1820[[#This Row],[City/Zip Code]],Table5[City/Zip Code],Table5[City/Zip Code Factor],,0)</f>
        <v>1.19</v>
      </c>
      <c r="AF314">
        <f>_xlfn.XLOOKUP(Table1820[[#This Row],[Vehicle Price]],Table6[Vehicle Price],Table6[Vehicle Price Factor])</f>
        <v>0.97</v>
      </c>
      <c r="AG314">
        <f>_xlfn.XLOOKUP(Table1820[[#This Row],[Exotic Car]],Table7[Exotic Car],Table7[Exotic Car Factor],,0)</f>
        <v>1</v>
      </c>
      <c r="AH314">
        <f>_xlfn.XLOOKUP(Table1820[[#This Row],[Difficult Parts]],Table8[Difficult Parts],Table8[Difficult Parts Factor],,0)</f>
        <v>1</v>
      </c>
      <c r="AI314">
        <f>_xlfn.XLOOKUP(Table1820[[#This Row],[High Theft Rate]],Table9[High Theft Rate],Table9[High Theft Rate Factor],,0)</f>
        <v>1</v>
      </c>
      <c r="AJ314">
        <f>_xlfn.XLOOKUP(Table1820[[#This Row],[Advanced Safety Features]],Table10[Advanced Safety Features],Table10[Advanced Safety Features Factor],,0)</f>
        <v>0.88</v>
      </c>
      <c r="AK314">
        <f>_xlfn.XLOOKUP(Table1820[[#This Row],[Deductible]],Table12[Deductible],Table12[Deductible Factor],,0)</f>
        <v>1</v>
      </c>
      <c r="AL314">
        <f>_xlfn.XLOOKUP(Table1820[[#This Row],[Coverage Limit]],Table13[Coverage Limit],Table13[Coverage Limit Factor],,0)</f>
        <v>0.61</v>
      </c>
      <c r="AM314">
        <f>IF(Table1820[[#This Row],[Good Student Discount]]="Yes",'Rate Book'!$D$126,1)</f>
        <v>1</v>
      </c>
      <c r="AN314">
        <f>IF(Table1820[[#This Row],[Good Driver Discount]]="Yes",'Rate Book'!$D$127,1)</f>
        <v>0.89</v>
      </c>
      <c r="AO314">
        <f>IF(Table1820[[#This Row],[Multi Policy Discount]]="Yes",'Rate Book'!$D$128,1)</f>
        <v>1</v>
      </c>
      <c r="AP314">
        <f>IF(Table1820[[#This Row],[Loyal Customer Discount]]="Yes",'Rate Book'!$D$129,1)</f>
        <v>1</v>
      </c>
      <c r="AQ314">
        <f>IF(Table1820[[#This Row],[Organization Discount]]="Yes",'Rate Book'!$D$130,1)</f>
        <v>1</v>
      </c>
      <c r="AR314" cm="1">
        <f t="array" ref="AR314">IF(Table1820[[#This Row],[Effective Date]]&gt;=RateChangeTable[Effective Date],RateChangeTable[Rate Change Factor],1)</f>
        <v>1</v>
      </c>
      <c r="AS314" s="10">
        <f>PRODUCT(Table1820[[#This Row],[Base Rate]:[Rate Change Factor]])</f>
        <v>765.45942474363414</v>
      </c>
      <c r="AT314" s="9">
        <f>Table1820[[#This Row],[System-Generated Premium]]-Table1820[[#This Row],[Expected Premium]]</f>
        <v>0</v>
      </c>
      <c r="AU314" t="str">
        <f>IF(Table1820[[#This Row],[Difference]]=0,"PASS","FAIL")</f>
        <v>PASS</v>
      </c>
      <c r="AV314" s="9">
        <f>ABS(Table1820[[#This Row],[Difference]])</f>
        <v>0</v>
      </c>
      <c r="AW314" s="9" t="s">
        <v>1136</v>
      </c>
    </row>
    <row r="315" spans="1:49" x14ac:dyDescent="0.3">
      <c r="A315" t="s">
        <v>406</v>
      </c>
      <c r="B315" s="7">
        <v>45952</v>
      </c>
      <c r="C315" t="s">
        <v>74</v>
      </c>
      <c r="D315" t="s">
        <v>1101</v>
      </c>
      <c r="E315" s="3">
        <v>1</v>
      </c>
      <c r="F315" s="3">
        <v>0</v>
      </c>
      <c r="G315" t="s">
        <v>13</v>
      </c>
      <c r="H315" t="s">
        <v>1108</v>
      </c>
      <c r="I315" t="s">
        <v>44</v>
      </c>
      <c r="J315" t="s">
        <v>53</v>
      </c>
      <c r="K315" t="s">
        <v>10</v>
      </c>
      <c r="L315" t="s">
        <v>10</v>
      </c>
      <c r="M315" t="s">
        <v>10</v>
      </c>
      <c r="N315" t="s">
        <v>10</v>
      </c>
      <c r="O315" t="str">
        <f>INDEX(CoverageTable[Deductible Applies],MATCH(Table1820[[#This Row],[Coverage]],CoverageTable[Coverage],0))</f>
        <v>No</v>
      </c>
      <c r="P315" t="str">
        <f>INDEX(CoverageTable[Coverage Limit Applies],MATCH(Table1820[[#This Row],[Coverage]],CoverageTable[Coverage],0))</f>
        <v>Yes</v>
      </c>
      <c r="Q315" t="s">
        <v>10</v>
      </c>
      <c r="R315" t="s">
        <v>80</v>
      </c>
      <c r="S315" t="s">
        <v>10</v>
      </c>
      <c r="T315" t="s">
        <v>10</v>
      </c>
      <c r="U315" t="s">
        <v>10</v>
      </c>
      <c r="V315" t="s">
        <v>57</v>
      </c>
      <c r="W315" t="s">
        <v>57</v>
      </c>
      <c r="X315" s="11">
        <v>87.85112284487883</v>
      </c>
      <c r="Y315">
        <f>_xlfn.XLOOKUP(Table1820[[#This Row],[Coverage]],CoverageTable[Coverage],CoverageTable[Base Rate],,0)</f>
        <v>41</v>
      </c>
      <c r="Z315">
        <f>INDEX(Table16[Ageband Factor],MATCH(Table1820[[#This Row],[Ageband]],Table16[Ageband],0))</f>
        <v>1.1200000000000001</v>
      </c>
      <c r="AA315">
        <f>VLOOKUP(Table1820[[#This Row],[Years Driving]],Table1[],2)</f>
        <v>1.64</v>
      </c>
      <c r="AB315">
        <f>_xlfn.XLOOKUP(Table1820[[#This Row],[At Fault Accidents]],Table2[At Fault Accidents],Table2[At Fault Accident Factor],,0)</f>
        <v>1</v>
      </c>
      <c r="AC315">
        <f>_xlfn.XLOOKUP(Table1820[[#This Row],[Usage-Based Insurance]],Table3[Usage-Based Insurance],Table3[Usage-Based Insurance Discount],,0)</f>
        <v>0.65</v>
      </c>
      <c r="AD315">
        <f>_xlfn.XLOOKUP(Table1820[[#This Row],[Yearly Miles]],Table4[Yearly Miles],Table4[Yearly Miles Factor],,0)</f>
        <v>1</v>
      </c>
      <c r="AE315">
        <f>_xlfn.XLOOKUP(Table1820[[#This Row],[City/Zip Code]],Table5[City/Zip Code],Table5[City/Zip Code Factor],,0)</f>
        <v>1.1599999999999999</v>
      </c>
      <c r="AF315">
        <f>_xlfn.XLOOKUP(Table1820[[#This Row],[Vehicle Price]],Table6[Vehicle Price],Table6[Vehicle Price Factor])</f>
        <v>2.02</v>
      </c>
      <c r="AG315">
        <f>_xlfn.XLOOKUP(Table1820[[#This Row],[Exotic Car]],Table7[Exotic Car],Table7[Exotic Car Factor],,0)</f>
        <v>1</v>
      </c>
      <c r="AH315">
        <f>_xlfn.XLOOKUP(Table1820[[#This Row],[Difficult Parts]],Table8[Difficult Parts],Table8[Difficult Parts Factor],,0)</f>
        <v>1</v>
      </c>
      <c r="AI315">
        <f>_xlfn.XLOOKUP(Table1820[[#This Row],[High Theft Rate]],Table9[High Theft Rate],Table9[High Theft Rate Factor],,0)</f>
        <v>1</v>
      </c>
      <c r="AJ315">
        <f>_xlfn.XLOOKUP(Table1820[[#This Row],[Advanced Safety Features]],Table10[Advanced Safety Features],Table10[Advanced Safety Features Factor],,0)</f>
        <v>1</v>
      </c>
      <c r="AK315">
        <f>_xlfn.XLOOKUP(Table1820[[#This Row],[Deductible]],Table12[Deductible],Table12[Deductible Factor],,0)</f>
        <v>1</v>
      </c>
      <c r="AL315">
        <f>_xlfn.XLOOKUP(Table1820[[#This Row],[Coverage Limit]],Table13[Coverage Limit],Table13[Coverage Limit Factor],,0)</f>
        <v>0.84</v>
      </c>
      <c r="AM315">
        <f>IF(Table1820[[#This Row],[Good Student Discount]]="Yes",'Rate Book'!$D$126,1)</f>
        <v>1</v>
      </c>
      <c r="AN315">
        <f>IF(Table1820[[#This Row],[Good Driver Discount]]="Yes",'Rate Book'!$D$127,1)</f>
        <v>1</v>
      </c>
      <c r="AO315">
        <f>IF(Table1820[[#This Row],[Multi Policy Discount]]="Yes",'Rate Book'!$D$128,1)</f>
        <v>1</v>
      </c>
      <c r="AP315">
        <f>IF(Table1820[[#This Row],[Loyal Customer Discount]]="Yes",'Rate Book'!$D$129,1)</f>
        <v>0.94</v>
      </c>
      <c r="AQ315">
        <f>IF(Table1820[[#This Row],[Organization Discount]]="Yes",'Rate Book'!$D$130,1)</f>
        <v>0.97</v>
      </c>
      <c r="AR315" cm="1">
        <f t="array" ref="AR315">IF(Table1820[[#This Row],[Effective Date]]&gt;=RateChangeTable[Effective Date],RateChangeTable[Rate Change Factor],1)</f>
        <v>1</v>
      </c>
      <c r="AS315" s="10">
        <f>PRODUCT(Table1820[[#This Row],[Base Rate]:[Rate Change Factor]])</f>
        <v>87.85112284487883</v>
      </c>
      <c r="AT315" s="9">
        <f>Table1820[[#This Row],[System-Generated Premium]]-Table1820[[#This Row],[Expected Premium]]</f>
        <v>0</v>
      </c>
      <c r="AU315" t="str">
        <f>IF(Table1820[[#This Row],[Difference]]=0,"PASS","FAIL")</f>
        <v>PASS</v>
      </c>
      <c r="AV315" s="9">
        <f>ABS(Table1820[[#This Row],[Difference]])</f>
        <v>0</v>
      </c>
      <c r="AW315" s="9" t="s">
        <v>1136</v>
      </c>
    </row>
    <row r="316" spans="1:49" x14ac:dyDescent="0.3">
      <c r="A316" t="s">
        <v>407</v>
      </c>
      <c r="B316" s="7">
        <v>45844</v>
      </c>
      <c r="C316" t="s">
        <v>74</v>
      </c>
      <c r="D316" t="s">
        <v>1098</v>
      </c>
      <c r="E316" s="3">
        <v>4</v>
      </c>
      <c r="F316" s="3">
        <v>3</v>
      </c>
      <c r="G316" t="s">
        <v>11</v>
      </c>
      <c r="H316" t="s">
        <v>1110</v>
      </c>
      <c r="I316" t="s">
        <v>31</v>
      </c>
      <c r="J316" t="s">
        <v>52</v>
      </c>
      <c r="K316" t="s">
        <v>10</v>
      </c>
      <c r="L316" t="s">
        <v>10</v>
      </c>
      <c r="M316" t="s">
        <v>10</v>
      </c>
      <c r="N316" t="s">
        <v>10</v>
      </c>
      <c r="O316" t="str">
        <f>INDEX(CoverageTable[Deductible Applies],MATCH(Table1820[[#This Row],[Coverage]],CoverageTable[Coverage],0))</f>
        <v>No</v>
      </c>
      <c r="P316" t="str">
        <f>INDEX(CoverageTable[Coverage Limit Applies],MATCH(Table1820[[#This Row],[Coverage]],CoverageTable[Coverage],0))</f>
        <v>Yes</v>
      </c>
      <c r="Q316" t="s">
        <v>10</v>
      </c>
      <c r="R316" t="s">
        <v>79</v>
      </c>
      <c r="S316" t="s">
        <v>10</v>
      </c>
      <c r="T316" t="s">
        <v>57</v>
      </c>
      <c r="U316" t="s">
        <v>10</v>
      </c>
      <c r="V316" t="s">
        <v>57</v>
      </c>
      <c r="W316" t="s">
        <v>10</v>
      </c>
      <c r="X316" s="11">
        <v>137.88787709813121</v>
      </c>
      <c r="Y316">
        <f>_xlfn.XLOOKUP(Table1820[[#This Row],[Coverage]],CoverageTable[Coverage],CoverageTable[Base Rate],,0)</f>
        <v>41</v>
      </c>
      <c r="Z316">
        <f>INDEX(Table16[Ageband Factor],MATCH(Table1820[[#This Row],[Ageband]],Table16[Ageband],0))</f>
        <v>1.23</v>
      </c>
      <c r="AA316">
        <f>VLOOKUP(Table1820[[#This Row],[Years Driving]],Table1[],2)</f>
        <v>1.1499999999999999</v>
      </c>
      <c r="AB316">
        <f>_xlfn.XLOOKUP(Table1820[[#This Row],[At Fault Accidents]],Table2[At Fault Accidents],Table2[At Fault Accident Factor],,0)</f>
        <v>1.82</v>
      </c>
      <c r="AC316">
        <f>_xlfn.XLOOKUP(Table1820[[#This Row],[Usage-Based Insurance]],Table3[Usage-Based Insurance],Table3[Usage-Based Insurance Discount],,0)</f>
        <v>0.95</v>
      </c>
      <c r="AD316">
        <f>_xlfn.XLOOKUP(Table1820[[#This Row],[Yearly Miles]],Table4[Yearly Miles],Table4[Yearly Miles Factor],,0)</f>
        <v>1.31</v>
      </c>
      <c r="AE316">
        <f>_xlfn.XLOOKUP(Table1820[[#This Row],[City/Zip Code]],Table5[City/Zip Code],Table5[City/Zip Code Factor],,0)</f>
        <v>1.1100000000000001</v>
      </c>
      <c r="AF316">
        <f>_xlfn.XLOOKUP(Table1820[[#This Row],[Vehicle Price]],Table6[Vehicle Price],Table6[Vehicle Price Factor])</f>
        <v>1.57</v>
      </c>
      <c r="AG316">
        <f>_xlfn.XLOOKUP(Table1820[[#This Row],[Exotic Car]],Table7[Exotic Car],Table7[Exotic Car Factor],,0)</f>
        <v>1</v>
      </c>
      <c r="AH316">
        <f>_xlfn.XLOOKUP(Table1820[[#This Row],[Difficult Parts]],Table8[Difficult Parts],Table8[Difficult Parts Factor],,0)</f>
        <v>1</v>
      </c>
      <c r="AI316">
        <f>_xlfn.XLOOKUP(Table1820[[#This Row],[High Theft Rate]],Table9[High Theft Rate],Table9[High Theft Rate Factor],,0)</f>
        <v>1</v>
      </c>
      <c r="AJ316">
        <f>_xlfn.XLOOKUP(Table1820[[#This Row],[Advanced Safety Features]],Table10[Advanced Safety Features],Table10[Advanced Safety Features Factor],,0)</f>
        <v>1</v>
      </c>
      <c r="AK316">
        <f>_xlfn.XLOOKUP(Table1820[[#This Row],[Deductible]],Table12[Deductible],Table12[Deductible Factor],,0)</f>
        <v>1</v>
      </c>
      <c r="AL316">
        <f>_xlfn.XLOOKUP(Table1820[[#This Row],[Coverage Limit]],Table13[Coverage Limit],Table13[Coverage Limit Factor],,0)</f>
        <v>0.72</v>
      </c>
      <c r="AM316">
        <f>IF(Table1820[[#This Row],[Good Student Discount]]="Yes",'Rate Book'!$D$126,1)</f>
        <v>1</v>
      </c>
      <c r="AN316">
        <f>IF(Table1820[[#This Row],[Good Driver Discount]]="Yes",'Rate Book'!$D$127,1)</f>
        <v>0.89</v>
      </c>
      <c r="AO316">
        <f>IF(Table1820[[#This Row],[Multi Policy Discount]]="Yes",'Rate Book'!$D$128,1)</f>
        <v>1</v>
      </c>
      <c r="AP316">
        <f>IF(Table1820[[#This Row],[Loyal Customer Discount]]="Yes",'Rate Book'!$D$129,1)</f>
        <v>0.94</v>
      </c>
      <c r="AQ316">
        <f>IF(Table1820[[#This Row],[Organization Discount]]="Yes",'Rate Book'!$D$130,1)</f>
        <v>1</v>
      </c>
      <c r="AR316" cm="1">
        <f t="array" ref="AR316">IF(Table1820[[#This Row],[Effective Date]]&gt;=RateChangeTable[Effective Date],RateChangeTable[Rate Change Factor],1)</f>
        <v>1</v>
      </c>
      <c r="AS316" s="10">
        <f>PRODUCT(Table1820[[#This Row],[Base Rate]:[Rate Change Factor]])</f>
        <v>137.88787709813121</v>
      </c>
      <c r="AT316" s="9">
        <f>Table1820[[#This Row],[System-Generated Premium]]-Table1820[[#This Row],[Expected Premium]]</f>
        <v>0</v>
      </c>
      <c r="AU316" t="str">
        <f>IF(Table1820[[#This Row],[Difference]]=0,"PASS","FAIL")</f>
        <v>PASS</v>
      </c>
      <c r="AV316" s="9">
        <f>ABS(Table1820[[#This Row],[Difference]])</f>
        <v>0</v>
      </c>
      <c r="AW316" s="9" t="s">
        <v>1136</v>
      </c>
    </row>
    <row r="317" spans="1:49" x14ac:dyDescent="0.3">
      <c r="A317" t="s">
        <v>408</v>
      </c>
      <c r="B317" s="7">
        <v>45980</v>
      </c>
      <c r="C317" t="s">
        <v>70</v>
      </c>
      <c r="D317" t="s">
        <v>1101</v>
      </c>
      <c r="E317" s="3">
        <v>7</v>
      </c>
      <c r="F317" s="3">
        <v>1</v>
      </c>
      <c r="G317" t="s">
        <v>10</v>
      </c>
      <c r="H317" t="s">
        <v>1109</v>
      </c>
      <c r="I317" t="s">
        <v>40</v>
      </c>
      <c r="J317" t="s">
        <v>49</v>
      </c>
      <c r="K317" t="s">
        <v>10</v>
      </c>
      <c r="L317" t="s">
        <v>57</v>
      </c>
      <c r="M317" t="s">
        <v>10</v>
      </c>
      <c r="N317" t="s">
        <v>10</v>
      </c>
      <c r="O317" t="str">
        <f>INDEX(CoverageTable[Deductible Applies],MATCH(Table1820[[#This Row],[Coverage]],CoverageTable[Coverage],0))</f>
        <v>No</v>
      </c>
      <c r="P317" t="str">
        <f>INDEX(CoverageTable[Coverage Limit Applies],MATCH(Table1820[[#This Row],[Coverage]],CoverageTable[Coverage],0))</f>
        <v>Yes</v>
      </c>
      <c r="Q317" t="s">
        <v>10</v>
      </c>
      <c r="R317" t="s">
        <v>80</v>
      </c>
      <c r="S317" t="s">
        <v>10</v>
      </c>
      <c r="T317" t="s">
        <v>10</v>
      </c>
      <c r="U317" t="s">
        <v>10</v>
      </c>
      <c r="V317" t="s">
        <v>10</v>
      </c>
      <c r="W317" t="s">
        <v>10</v>
      </c>
      <c r="X317" s="11">
        <v>1124.5576050223176</v>
      </c>
      <c r="Y317">
        <f>_xlfn.XLOOKUP(Table1820[[#This Row],[Coverage]],CoverageTable[Coverage],CoverageTable[Base Rate],,0)</f>
        <v>622</v>
      </c>
      <c r="Z317">
        <f>INDEX(Table16[Ageband Factor],MATCH(Table1820[[#This Row],[Ageband]],Table16[Ageband],0))</f>
        <v>1.1200000000000001</v>
      </c>
      <c r="AA317">
        <f>VLOOKUP(Table1820[[#This Row],[Years Driving]],Table1[],2)</f>
        <v>0.95</v>
      </c>
      <c r="AB317">
        <f>_xlfn.XLOOKUP(Table1820[[#This Row],[At Fault Accidents]],Table2[At Fault Accidents],Table2[At Fault Accident Factor],,0)</f>
        <v>1.34</v>
      </c>
      <c r="AC317">
        <f>_xlfn.XLOOKUP(Table1820[[#This Row],[Usage-Based Insurance]],Table3[Usage-Based Insurance],Table3[Usage-Based Insurance Discount],,0)</f>
        <v>1</v>
      </c>
      <c r="AD317">
        <f>_xlfn.XLOOKUP(Table1820[[#This Row],[Yearly Miles]],Table4[Yearly Miles],Table4[Yearly Miles Factor],,0)</f>
        <v>1.18</v>
      </c>
      <c r="AE317">
        <f>_xlfn.XLOOKUP(Table1820[[#This Row],[City/Zip Code]],Table5[City/Zip Code],Table5[City/Zip Code Factor],,0)</f>
        <v>1.0900000000000001</v>
      </c>
      <c r="AF317">
        <f>_xlfn.XLOOKUP(Table1820[[#This Row],[Vehicle Price]],Table6[Vehicle Price],Table6[Vehicle Price Factor])</f>
        <v>0.97</v>
      </c>
      <c r="AG317">
        <f>_xlfn.XLOOKUP(Table1820[[#This Row],[Exotic Car]],Table7[Exotic Car],Table7[Exotic Car Factor],,0)</f>
        <v>1</v>
      </c>
      <c r="AH317">
        <f>_xlfn.XLOOKUP(Table1820[[#This Row],[Difficult Parts]],Table8[Difficult Parts],Table8[Difficult Parts Factor],,0)</f>
        <v>1.21</v>
      </c>
      <c r="AI317">
        <f>_xlfn.XLOOKUP(Table1820[[#This Row],[High Theft Rate]],Table9[High Theft Rate],Table9[High Theft Rate Factor],,0)</f>
        <v>1</v>
      </c>
      <c r="AJ317">
        <f>_xlfn.XLOOKUP(Table1820[[#This Row],[Advanced Safety Features]],Table10[Advanced Safety Features],Table10[Advanced Safety Features Factor],,0)</f>
        <v>1</v>
      </c>
      <c r="AK317">
        <f>_xlfn.XLOOKUP(Table1820[[#This Row],[Deductible]],Table12[Deductible],Table12[Deductible Factor],,0)</f>
        <v>1</v>
      </c>
      <c r="AL317">
        <f>_xlfn.XLOOKUP(Table1820[[#This Row],[Coverage Limit]],Table13[Coverage Limit],Table13[Coverage Limit Factor],,0)</f>
        <v>0.84</v>
      </c>
      <c r="AM317">
        <f>IF(Table1820[[#This Row],[Good Student Discount]]="Yes",'Rate Book'!$D$126,1)</f>
        <v>1</v>
      </c>
      <c r="AN317">
        <f>IF(Table1820[[#This Row],[Good Driver Discount]]="Yes",'Rate Book'!$D$127,1)</f>
        <v>1</v>
      </c>
      <c r="AO317">
        <f>IF(Table1820[[#This Row],[Multi Policy Discount]]="Yes",'Rate Book'!$D$128,1)</f>
        <v>1</v>
      </c>
      <c r="AP317">
        <f>IF(Table1820[[#This Row],[Loyal Customer Discount]]="Yes",'Rate Book'!$D$129,1)</f>
        <v>1</v>
      </c>
      <c r="AQ317">
        <f>IF(Table1820[[#This Row],[Organization Discount]]="Yes",'Rate Book'!$D$130,1)</f>
        <v>1</v>
      </c>
      <c r="AR317" cm="1">
        <f t="array" ref="AR317">IF(Table1820[[#This Row],[Effective Date]]&gt;=RateChangeTable[Effective Date],RateChangeTable[Rate Change Factor],1)</f>
        <v>1</v>
      </c>
      <c r="AS317" s="10">
        <f>PRODUCT(Table1820[[#This Row],[Base Rate]:[Rate Change Factor]])</f>
        <v>1124.5576050223176</v>
      </c>
      <c r="AT317" s="9">
        <f>Table1820[[#This Row],[System-Generated Premium]]-Table1820[[#This Row],[Expected Premium]]</f>
        <v>0</v>
      </c>
      <c r="AU317" t="str">
        <f>IF(Table1820[[#This Row],[Difference]]=0,"PASS","FAIL")</f>
        <v>PASS</v>
      </c>
      <c r="AV317" s="9">
        <f>ABS(Table1820[[#This Row],[Difference]])</f>
        <v>0</v>
      </c>
      <c r="AW317" s="9" t="s">
        <v>1136</v>
      </c>
    </row>
    <row r="318" spans="1:49" x14ac:dyDescent="0.3">
      <c r="A318" t="s">
        <v>409</v>
      </c>
      <c r="B318" s="7">
        <v>46011</v>
      </c>
      <c r="C318" t="s">
        <v>73</v>
      </c>
      <c r="D318" t="s">
        <v>1097</v>
      </c>
      <c r="E318" s="3" t="s">
        <v>1103</v>
      </c>
      <c r="F318" s="3">
        <v>0</v>
      </c>
      <c r="G318" t="s">
        <v>13</v>
      </c>
      <c r="H318" t="s">
        <v>1108</v>
      </c>
      <c r="I318" t="s">
        <v>21</v>
      </c>
      <c r="J318" t="s">
        <v>52</v>
      </c>
      <c r="K318" t="s">
        <v>10</v>
      </c>
      <c r="L318" t="s">
        <v>10</v>
      </c>
      <c r="M318" t="s">
        <v>10</v>
      </c>
      <c r="N318" t="s">
        <v>57</v>
      </c>
      <c r="O318" t="str">
        <f>INDEX(CoverageTable[Deductible Applies],MATCH(Table1820[[#This Row],[Coverage]],CoverageTable[Coverage],0))</f>
        <v>No</v>
      </c>
      <c r="P318" t="str">
        <f>INDEX(CoverageTable[Coverage Limit Applies],MATCH(Table1820[[#This Row],[Coverage]],CoverageTable[Coverage],0))</f>
        <v>Yes</v>
      </c>
      <c r="Q318" t="s">
        <v>10</v>
      </c>
      <c r="R318" t="s">
        <v>79</v>
      </c>
      <c r="S318" t="s">
        <v>10</v>
      </c>
      <c r="T318" t="s">
        <v>10</v>
      </c>
      <c r="U318" t="s">
        <v>57</v>
      </c>
      <c r="V318" t="s">
        <v>57</v>
      </c>
      <c r="W318" t="s">
        <v>57</v>
      </c>
      <c r="X318" s="11">
        <v>66.150440666550395</v>
      </c>
      <c r="Y318">
        <f>_xlfn.XLOOKUP(Table1820[[#This Row],[Coverage]],CoverageTable[Coverage],CoverageTable[Base Rate],,0)</f>
        <v>78</v>
      </c>
      <c r="Z318">
        <f>INDEX(Table16[Ageband Factor],MATCH(Table1820[[#This Row],[Ageband]],Table16[Ageband],0))</f>
        <v>1.32</v>
      </c>
      <c r="AA318">
        <f>VLOOKUP(Table1820[[#This Row],[Years Driving]],Table1[],2)</f>
        <v>0.93</v>
      </c>
      <c r="AB318">
        <f>_xlfn.XLOOKUP(Table1820[[#This Row],[At Fault Accidents]],Table2[At Fault Accidents],Table2[At Fault Accident Factor],,0)</f>
        <v>1</v>
      </c>
      <c r="AC318">
        <f>_xlfn.XLOOKUP(Table1820[[#This Row],[Usage-Based Insurance]],Table3[Usage-Based Insurance],Table3[Usage-Based Insurance Discount],,0)</f>
        <v>0.65</v>
      </c>
      <c r="AD318">
        <f>_xlfn.XLOOKUP(Table1820[[#This Row],[Yearly Miles]],Table4[Yearly Miles],Table4[Yearly Miles Factor],,0)</f>
        <v>1</v>
      </c>
      <c r="AE318">
        <f>_xlfn.XLOOKUP(Table1820[[#This Row],[City/Zip Code]],Table5[City/Zip Code],Table5[City/Zip Code Factor],,0)</f>
        <v>1.26</v>
      </c>
      <c r="AF318">
        <f>_xlfn.XLOOKUP(Table1820[[#This Row],[Vehicle Price]],Table6[Vehicle Price],Table6[Vehicle Price Factor])</f>
        <v>1.57</v>
      </c>
      <c r="AG318">
        <f>_xlfn.XLOOKUP(Table1820[[#This Row],[Exotic Car]],Table7[Exotic Car],Table7[Exotic Car Factor],,0)</f>
        <v>1</v>
      </c>
      <c r="AH318">
        <f>_xlfn.XLOOKUP(Table1820[[#This Row],[Difficult Parts]],Table8[Difficult Parts],Table8[Difficult Parts Factor],,0)</f>
        <v>1</v>
      </c>
      <c r="AI318">
        <f>_xlfn.XLOOKUP(Table1820[[#This Row],[High Theft Rate]],Table9[High Theft Rate],Table9[High Theft Rate Factor],,0)</f>
        <v>1</v>
      </c>
      <c r="AJ318">
        <f>_xlfn.XLOOKUP(Table1820[[#This Row],[Advanced Safety Features]],Table10[Advanced Safety Features],Table10[Advanced Safety Features Factor],,0)</f>
        <v>0.88</v>
      </c>
      <c r="AK318">
        <f>_xlfn.XLOOKUP(Table1820[[#This Row],[Deductible]],Table12[Deductible],Table12[Deductible Factor],,0)</f>
        <v>1</v>
      </c>
      <c r="AL318">
        <f>_xlfn.XLOOKUP(Table1820[[#This Row],[Coverage Limit]],Table13[Coverage Limit],Table13[Coverage Limit Factor],,0)</f>
        <v>0.72</v>
      </c>
      <c r="AM318">
        <f>IF(Table1820[[#This Row],[Good Student Discount]]="Yes",'Rate Book'!$D$126,1)</f>
        <v>1</v>
      </c>
      <c r="AN318">
        <f>IF(Table1820[[#This Row],[Good Driver Discount]]="Yes",'Rate Book'!$D$127,1)</f>
        <v>1</v>
      </c>
      <c r="AO318">
        <f>IF(Table1820[[#This Row],[Multi Policy Discount]]="Yes",'Rate Book'!$D$128,1)</f>
        <v>0.93</v>
      </c>
      <c r="AP318">
        <f>IF(Table1820[[#This Row],[Loyal Customer Discount]]="Yes",'Rate Book'!$D$129,1)</f>
        <v>0.94</v>
      </c>
      <c r="AQ318">
        <f>IF(Table1820[[#This Row],[Organization Discount]]="Yes",'Rate Book'!$D$130,1)</f>
        <v>0.97</v>
      </c>
      <c r="AR318" cm="1">
        <f t="array" ref="AR318">IF(Table1820[[#This Row],[Effective Date]]&gt;=RateChangeTable[Effective Date],RateChangeTable[Rate Change Factor],1)</f>
        <v>1</v>
      </c>
      <c r="AS318" s="10">
        <f>PRODUCT(Table1820[[#This Row],[Base Rate]:[Rate Change Factor]])</f>
        <v>66.150440666550395</v>
      </c>
      <c r="AT318" s="9">
        <f>Table1820[[#This Row],[System-Generated Premium]]-Table1820[[#This Row],[Expected Premium]]</f>
        <v>0</v>
      </c>
      <c r="AU318" t="str">
        <f>IF(Table1820[[#This Row],[Difference]]=0,"PASS","FAIL")</f>
        <v>PASS</v>
      </c>
      <c r="AV318" s="9">
        <f>ABS(Table1820[[#This Row],[Difference]])</f>
        <v>0</v>
      </c>
      <c r="AW318" s="9" t="s">
        <v>1136</v>
      </c>
    </row>
    <row r="319" spans="1:49" x14ac:dyDescent="0.3">
      <c r="A319" t="s">
        <v>410</v>
      </c>
      <c r="B319" s="7">
        <v>45951</v>
      </c>
      <c r="C319" t="s">
        <v>70</v>
      </c>
      <c r="D319" t="s">
        <v>1101</v>
      </c>
      <c r="E319" s="3">
        <v>6</v>
      </c>
      <c r="F319" s="3">
        <v>0</v>
      </c>
      <c r="G319" t="s">
        <v>13</v>
      </c>
      <c r="H319" t="s">
        <v>1107</v>
      </c>
      <c r="I319" t="s">
        <v>22</v>
      </c>
      <c r="J319" t="s">
        <v>51</v>
      </c>
      <c r="K319" t="s">
        <v>10</v>
      </c>
      <c r="L319" t="s">
        <v>10</v>
      </c>
      <c r="M319" t="s">
        <v>57</v>
      </c>
      <c r="N319" t="s">
        <v>10</v>
      </c>
      <c r="O319" t="str">
        <f>INDEX(CoverageTable[Deductible Applies],MATCH(Table1820[[#This Row],[Coverage]],CoverageTable[Coverage],0))</f>
        <v>No</v>
      </c>
      <c r="P319" t="str">
        <f>INDEX(CoverageTable[Coverage Limit Applies],MATCH(Table1820[[#This Row],[Coverage]],CoverageTable[Coverage],0))</f>
        <v>Yes</v>
      </c>
      <c r="Q319" t="s">
        <v>10</v>
      </c>
      <c r="R319" t="s">
        <v>79</v>
      </c>
      <c r="S319" t="s">
        <v>10</v>
      </c>
      <c r="T319" t="s">
        <v>10</v>
      </c>
      <c r="U319" t="s">
        <v>57</v>
      </c>
      <c r="V319" t="s">
        <v>10</v>
      </c>
      <c r="W319" t="s">
        <v>10</v>
      </c>
      <c r="X319" s="11">
        <v>506.60968344905325</v>
      </c>
      <c r="Y319">
        <f>_xlfn.XLOOKUP(Table1820[[#This Row],[Coverage]],CoverageTable[Coverage],CoverageTable[Base Rate],,0)</f>
        <v>622</v>
      </c>
      <c r="Z319">
        <f>INDEX(Table16[Ageband Factor],MATCH(Table1820[[#This Row],[Ageband]],Table16[Ageband],0))</f>
        <v>1.1200000000000001</v>
      </c>
      <c r="AA319">
        <f>VLOOKUP(Table1820[[#This Row],[Years Driving]],Table1[],2)</f>
        <v>1</v>
      </c>
      <c r="AB319">
        <f>_xlfn.XLOOKUP(Table1820[[#This Row],[At Fault Accidents]],Table2[At Fault Accidents],Table2[At Fault Accident Factor],,0)</f>
        <v>1</v>
      </c>
      <c r="AC319">
        <f>_xlfn.XLOOKUP(Table1820[[#This Row],[Usage-Based Insurance]],Table3[Usage-Based Insurance],Table3[Usage-Based Insurance Discount],,0)</f>
        <v>0.65</v>
      </c>
      <c r="AD319">
        <f>_xlfn.XLOOKUP(Table1820[[#This Row],[Yearly Miles]],Table4[Yearly Miles],Table4[Yearly Miles Factor],,0)</f>
        <v>0.93</v>
      </c>
      <c r="AE319">
        <f>_xlfn.XLOOKUP(Table1820[[#This Row],[City/Zip Code]],Table5[City/Zip Code],Table5[City/Zip Code Factor],,0)</f>
        <v>1.21</v>
      </c>
      <c r="AF319">
        <f>_xlfn.XLOOKUP(Table1820[[#This Row],[Vehicle Price]],Table6[Vehicle Price],Table6[Vehicle Price Factor])</f>
        <v>1.28</v>
      </c>
      <c r="AG319">
        <f>_xlfn.XLOOKUP(Table1820[[#This Row],[Exotic Car]],Table7[Exotic Car],Table7[Exotic Car Factor],,0)</f>
        <v>1</v>
      </c>
      <c r="AH319">
        <f>_xlfn.XLOOKUP(Table1820[[#This Row],[Difficult Parts]],Table8[Difficult Parts],Table8[Difficult Parts Factor],,0)</f>
        <v>1</v>
      </c>
      <c r="AI319">
        <f>_xlfn.XLOOKUP(Table1820[[#This Row],[High Theft Rate]],Table9[High Theft Rate],Table9[High Theft Rate Factor],,0)</f>
        <v>1.1599999999999999</v>
      </c>
      <c r="AJ319">
        <f>_xlfn.XLOOKUP(Table1820[[#This Row],[Advanced Safety Features]],Table10[Advanced Safety Features],Table10[Advanced Safety Features Factor],,0)</f>
        <v>1</v>
      </c>
      <c r="AK319">
        <f>_xlfn.XLOOKUP(Table1820[[#This Row],[Deductible]],Table12[Deductible],Table12[Deductible Factor],,0)</f>
        <v>1</v>
      </c>
      <c r="AL319">
        <f>_xlfn.XLOOKUP(Table1820[[#This Row],[Coverage Limit]],Table13[Coverage Limit],Table13[Coverage Limit Factor],,0)</f>
        <v>0.72</v>
      </c>
      <c r="AM319">
        <f>IF(Table1820[[#This Row],[Good Student Discount]]="Yes",'Rate Book'!$D$126,1)</f>
        <v>1</v>
      </c>
      <c r="AN319">
        <f>IF(Table1820[[#This Row],[Good Driver Discount]]="Yes",'Rate Book'!$D$127,1)</f>
        <v>1</v>
      </c>
      <c r="AO319">
        <f>IF(Table1820[[#This Row],[Multi Policy Discount]]="Yes",'Rate Book'!$D$128,1)</f>
        <v>0.93</v>
      </c>
      <c r="AP319">
        <f>IF(Table1820[[#This Row],[Loyal Customer Discount]]="Yes",'Rate Book'!$D$129,1)</f>
        <v>1</v>
      </c>
      <c r="AQ319">
        <f>IF(Table1820[[#This Row],[Organization Discount]]="Yes",'Rate Book'!$D$130,1)</f>
        <v>1</v>
      </c>
      <c r="AR319" cm="1">
        <f t="array" ref="AR319">IF(Table1820[[#This Row],[Effective Date]]&gt;=RateChangeTable[Effective Date],RateChangeTable[Rate Change Factor],1)</f>
        <v>1</v>
      </c>
      <c r="AS319" s="10">
        <f>PRODUCT(Table1820[[#This Row],[Base Rate]:[Rate Change Factor]])</f>
        <v>506.60968344905325</v>
      </c>
      <c r="AT319" s="9">
        <f>Table1820[[#This Row],[System-Generated Premium]]-Table1820[[#This Row],[Expected Premium]]</f>
        <v>0</v>
      </c>
      <c r="AU319" t="str">
        <f>IF(Table1820[[#This Row],[Difference]]=0,"PASS","FAIL")</f>
        <v>PASS</v>
      </c>
      <c r="AV319" s="9">
        <f>ABS(Table1820[[#This Row],[Difference]])</f>
        <v>0</v>
      </c>
      <c r="AW319" s="9" t="s">
        <v>1136</v>
      </c>
    </row>
    <row r="320" spans="1:49" x14ac:dyDescent="0.3">
      <c r="A320" t="s">
        <v>411</v>
      </c>
      <c r="B320" s="7">
        <v>45845</v>
      </c>
      <c r="C320" t="s">
        <v>72</v>
      </c>
      <c r="D320" t="s">
        <v>1097</v>
      </c>
      <c r="E320" s="3">
        <v>6</v>
      </c>
      <c r="F320" s="3">
        <v>4</v>
      </c>
      <c r="G320" t="s">
        <v>10</v>
      </c>
      <c r="H320" t="s">
        <v>1109</v>
      </c>
      <c r="I320" t="s">
        <v>25</v>
      </c>
      <c r="J320" t="s">
        <v>52</v>
      </c>
      <c r="K320" t="s">
        <v>10</v>
      </c>
      <c r="L320" t="s">
        <v>10</v>
      </c>
      <c r="M320" t="s">
        <v>10</v>
      </c>
      <c r="N320" t="s">
        <v>10</v>
      </c>
      <c r="O320" t="str">
        <f>INDEX(CoverageTable[Deductible Applies],MATCH(Table1820[[#This Row],[Coverage]],CoverageTable[Coverage],0))</f>
        <v>Yes</v>
      </c>
      <c r="P320" t="str">
        <f>INDEX(CoverageTable[Coverage Limit Applies],MATCH(Table1820[[#This Row],[Coverage]],CoverageTable[Coverage],0))</f>
        <v>No</v>
      </c>
      <c r="Q320" t="s">
        <v>78</v>
      </c>
      <c r="R320" t="s">
        <v>10</v>
      </c>
      <c r="S320" t="s">
        <v>10</v>
      </c>
      <c r="T320" t="s">
        <v>10</v>
      </c>
      <c r="U320" t="s">
        <v>10</v>
      </c>
      <c r="V320" t="s">
        <v>10</v>
      </c>
      <c r="W320" t="s">
        <v>10</v>
      </c>
      <c r="X320" s="11">
        <v>691.28704273727988</v>
      </c>
      <c r="Y320">
        <f>_xlfn.XLOOKUP(Table1820[[#This Row],[Coverage]],CoverageTable[Coverage],CoverageTable[Base Rate],,0)</f>
        <v>121</v>
      </c>
      <c r="Z320">
        <f>INDEX(Table16[Ageband Factor],MATCH(Table1820[[#This Row],[Ageband]],Table16[Ageband],0))</f>
        <v>1.32</v>
      </c>
      <c r="AA320">
        <f>VLOOKUP(Table1820[[#This Row],[Years Driving]],Table1[],2)</f>
        <v>1</v>
      </c>
      <c r="AB320">
        <f>_xlfn.XLOOKUP(Table1820[[#This Row],[At Fault Accidents]],Table2[At Fault Accidents],Table2[At Fault Accident Factor],,0)</f>
        <v>2.12</v>
      </c>
      <c r="AC320">
        <f>_xlfn.XLOOKUP(Table1820[[#This Row],[Usage-Based Insurance]],Table3[Usage-Based Insurance],Table3[Usage-Based Insurance Discount],,0)</f>
        <v>1</v>
      </c>
      <c r="AD320">
        <f>_xlfn.XLOOKUP(Table1820[[#This Row],[Yearly Miles]],Table4[Yearly Miles],Table4[Yearly Miles Factor],,0)</f>
        <v>1.18</v>
      </c>
      <c r="AE320">
        <f>_xlfn.XLOOKUP(Table1820[[#This Row],[City/Zip Code]],Table5[City/Zip Code],Table5[City/Zip Code Factor],,0)</f>
        <v>1.1599999999999999</v>
      </c>
      <c r="AF320">
        <f>_xlfn.XLOOKUP(Table1820[[#This Row],[Vehicle Price]],Table6[Vehicle Price],Table6[Vehicle Price Factor])</f>
        <v>1.57</v>
      </c>
      <c r="AG320">
        <f>_xlfn.XLOOKUP(Table1820[[#This Row],[Exotic Car]],Table7[Exotic Car],Table7[Exotic Car Factor],,0)</f>
        <v>1</v>
      </c>
      <c r="AH320">
        <f>_xlfn.XLOOKUP(Table1820[[#This Row],[Difficult Parts]],Table8[Difficult Parts],Table8[Difficult Parts Factor],,0)</f>
        <v>1</v>
      </c>
      <c r="AI320">
        <f>_xlfn.XLOOKUP(Table1820[[#This Row],[High Theft Rate]],Table9[High Theft Rate],Table9[High Theft Rate Factor],,0)</f>
        <v>1</v>
      </c>
      <c r="AJ320">
        <f>_xlfn.XLOOKUP(Table1820[[#This Row],[Advanced Safety Features]],Table10[Advanced Safety Features],Table10[Advanced Safety Features Factor],,0)</f>
        <v>1</v>
      </c>
      <c r="AK320">
        <f>_xlfn.XLOOKUP(Table1820[[#This Row],[Deductible]],Table12[Deductible],Table12[Deductible Factor],,0)</f>
        <v>0.95</v>
      </c>
      <c r="AL320">
        <f>_xlfn.XLOOKUP(Table1820[[#This Row],[Coverage Limit]],Table13[Coverage Limit],Table13[Coverage Limit Factor],,0)</f>
        <v>1</v>
      </c>
      <c r="AM320">
        <f>IF(Table1820[[#This Row],[Good Student Discount]]="Yes",'Rate Book'!$D$126,1)</f>
        <v>1</v>
      </c>
      <c r="AN320">
        <f>IF(Table1820[[#This Row],[Good Driver Discount]]="Yes",'Rate Book'!$D$127,1)</f>
        <v>1</v>
      </c>
      <c r="AO320">
        <f>IF(Table1820[[#This Row],[Multi Policy Discount]]="Yes",'Rate Book'!$D$128,1)</f>
        <v>1</v>
      </c>
      <c r="AP320">
        <f>IF(Table1820[[#This Row],[Loyal Customer Discount]]="Yes",'Rate Book'!$D$129,1)</f>
        <v>1</v>
      </c>
      <c r="AQ320">
        <f>IF(Table1820[[#This Row],[Organization Discount]]="Yes",'Rate Book'!$D$130,1)</f>
        <v>1</v>
      </c>
      <c r="AR320" cm="1">
        <f t="array" ref="AR320">IF(Table1820[[#This Row],[Effective Date]]&gt;=RateChangeTable[Effective Date],RateChangeTable[Rate Change Factor],1)</f>
        <v>1</v>
      </c>
      <c r="AS320" s="10">
        <f>PRODUCT(Table1820[[#This Row],[Base Rate]:[Rate Change Factor]])</f>
        <v>691.28704273727988</v>
      </c>
      <c r="AT320" s="9">
        <f>Table1820[[#This Row],[System-Generated Premium]]-Table1820[[#This Row],[Expected Premium]]</f>
        <v>0</v>
      </c>
      <c r="AU320" t="str">
        <f>IF(Table1820[[#This Row],[Difference]]=0,"PASS","FAIL")</f>
        <v>PASS</v>
      </c>
      <c r="AV320" s="9">
        <f>ABS(Table1820[[#This Row],[Difference]])</f>
        <v>0</v>
      </c>
      <c r="AW320" s="9" t="s">
        <v>1136</v>
      </c>
    </row>
    <row r="321" spans="1:49" x14ac:dyDescent="0.3">
      <c r="A321" t="s">
        <v>412</v>
      </c>
      <c r="B321" s="7">
        <v>45946</v>
      </c>
      <c r="C321" t="s">
        <v>70</v>
      </c>
      <c r="D321" t="s">
        <v>1101</v>
      </c>
      <c r="E321" s="3">
        <v>2</v>
      </c>
      <c r="F321" s="3">
        <v>1</v>
      </c>
      <c r="G321" t="s">
        <v>10</v>
      </c>
      <c r="H321" t="s">
        <v>1106</v>
      </c>
      <c r="I321" t="s">
        <v>44</v>
      </c>
      <c r="J321" t="s">
        <v>50</v>
      </c>
      <c r="K321" t="s">
        <v>10</v>
      </c>
      <c r="L321" t="s">
        <v>10</v>
      </c>
      <c r="M321" t="s">
        <v>10</v>
      </c>
      <c r="N321" t="s">
        <v>10</v>
      </c>
      <c r="O321" t="str">
        <f>INDEX(CoverageTable[Deductible Applies],MATCH(Table1820[[#This Row],[Coverage]],CoverageTable[Coverage],0))</f>
        <v>No</v>
      </c>
      <c r="P321" t="str">
        <f>INDEX(CoverageTable[Coverage Limit Applies],MATCH(Table1820[[#This Row],[Coverage]],CoverageTable[Coverage],0))</f>
        <v>Yes</v>
      </c>
      <c r="Q321" t="s">
        <v>10</v>
      </c>
      <c r="R321" t="s">
        <v>79</v>
      </c>
      <c r="S321" t="s">
        <v>10</v>
      </c>
      <c r="T321" t="s">
        <v>57</v>
      </c>
      <c r="U321" t="s">
        <v>10</v>
      </c>
      <c r="V321" t="s">
        <v>10</v>
      </c>
      <c r="W321" t="s">
        <v>10</v>
      </c>
      <c r="X321" s="11">
        <v>866.4637910611674</v>
      </c>
      <c r="Y321">
        <f>_xlfn.XLOOKUP(Table1820[[#This Row],[Coverage]],CoverageTable[Coverage],CoverageTable[Base Rate],,0)</f>
        <v>622</v>
      </c>
      <c r="Z321">
        <f>INDEX(Table16[Ageband Factor],MATCH(Table1820[[#This Row],[Ageband]],Table16[Ageband],0))</f>
        <v>1.1200000000000001</v>
      </c>
      <c r="AA321">
        <f>VLOOKUP(Table1820[[#This Row],[Years Driving]],Table1[],2)</f>
        <v>1.41</v>
      </c>
      <c r="AB321">
        <f>_xlfn.XLOOKUP(Table1820[[#This Row],[At Fault Accidents]],Table2[At Fault Accidents],Table2[At Fault Accident Factor],,0)</f>
        <v>1.34</v>
      </c>
      <c r="AC321">
        <f>_xlfn.XLOOKUP(Table1820[[#This Row],[Usage-Based Insurance]],Table3[Usage-Based Insurance],Table3[Usage-Based Insurance Discount],,0)</f>
        <v>1</v>
      </c>
      <c r="AD321">
        <f>_xlfn.XLOOKUP(Table1820[[#This Row],[Yearly Miles]],Table4[Yearly Miles],Table4[Yearly Miles Factor],,0)</f>
        <v>0.82</v>
      </c>
      <c r="AE321">
        <f>_xlfn.XLOOKUP(Table1820[[#This Row],[City/Zip Code]],Table5[City/Zip Code],Table5[City/Zip Code Factor],,0)</f>
        <v>1.1599999999999999</v>
      </c>
      <c r="AF321">
        <f>_xlfn.XLOOKUP(Table1820[[#This Row],[Vehicle Price]],Table6[Vehicle Price],Table6[Vehicle Price Factor])</f>
        <v>1.08</v>
      </c>
      <c r="AG321">
        <f>_xlfn.XLOOKUP(Table1820[[#This Row],[Exotic Car]],Table7[Exotic Car],Table7[Exotic Car Factor],,0)</f>
        <v>1</v>
      </c>
      <c r="AH321">
        <f>_xlfn.XLOOKUP(Table1820[[#This Row],[Difficult Parts]],Table8[Difficult Parts],Table8[Difficult Parts Factor],,0)</f>
        <v>1</v>
      </c>
      <c r="AI321">
        <f>_xlfn.XLOOKUP(Table1820[[#This Row],[High Theft Rate]],Table9[High Theft Rate],Table9[High Theft Rate Factor],,0)</f>
        <v>1</v>
      </c>
      <c r="AJ321">
        <f>_xlfn.XLOOKUP(Table1820[[#This Row],[Advanced Safety Features]],Table10[Advanced Safety Features],Table10[Advanced Safety Features Factor],,0)</f>
        <v>1</v>
      </c>
      <c r="AK321">
        <f>_xlfn.XLOOKUP(Table1820[[#This Row],[Deductible]],Table12[Deductible],Table12[Deductible Factor],,0)</f>
        <v>1</v>
      </c>
      <c r="AL321">
        <f>_xlfn.XLOOKUP(Table1820[[#This Row],[Coverage Limit]],Table13[Coverage Limit],Table13[Coverage Limit Factor],,0)</f>
        <v>0.72</v>
      </c>
      <c r="AM321">
        <f>IF(Table1820[[#This Row],[Good Student Discount]]="Yes",'Rate Book'!$D$126,1)</f>
        <v>1</v>
      </c>
      <c r="AN321">
        <f>IF(Table1820[[#This Row],[Good Driver Discount]]="Yes",'Rate Book'!$D$127,1)</f>
        <v>0.89</v>
      </c>
      <c r="AO321">
        <f>IF(Table1820[[#This Row],[Multi Policy Discount]]="Yes",'Rate Book'!$D$128,1)</f>
        <v>1</v>
      </c>
      <c r="AP321">
        <f>IF(Table1820[[#This Row],[Loyal Customer Discount]]="Yes",'Rate Book'!$D$129,1)</f>
        <v>1</v>
      </c>
      <c r="AQ321">
        <f>IF(Table1820[[#This Row],[Organization Discount]]="Yes",'Rate Book'!$D$130,1)</f>
        <v>1</v>
      </c>
      <c r="AR321" cm="1">
        <f t="array" ref="AR321">IF(Table1820[[#This Row],[Effective Date]]&gt;=RateChangeTable[Effective Date],RateChangeTable[Rate Change Factor],1)</f>
        <v>1</v>
      </c>
      <c r="AS321" s="10">
        <f>PRODUCT(Table1820[[#This Row],[Base Rate]:[Rate Change Factor]])</f>
        <v>866.4637910611674</v>
      </c>
      <c r="AT321" s="9">
        <f>Table1820[[#This Row],[System-Generated Premium]]-Table1820[[#This Row],[Expected Premium]]</f>
        <v>0</v>
      </c>
      <c r="AU321" t="str">
        <f>IF(Table1820[[#This Row],[Difference]]=0,"PASS","FAIL")</f>
        <v>PASS</v>
      </c>
      <c r="AV321" s="9">
        <f>ABS(Table1820[[#This Row],[Difference]])</f>
        <v>0</v>
      </c>
      <c r="AW321" s="9" t="s">
        <v>1136</v>
      </c>
    </row>
    <row r="322" spans="1:49" x14ac:dyDescent="0.3">
      <c r="A322" t="s">
        <v>413</v>
      </c>
      <c r="B322" s="7">
        <v>45838</v>
      </c>
      <c r="C322" t="s">
        <v>71</v>
      </c>
      <c r="D322" t="s">
        <v>1097</v>
      </c>
      <c r="E322" s="3">
        <v>4</v>
      </c>
      <c r="F322" s="3" t="s">
        <v>7</v>
      </c>
      <c r="G322" t="s">
        <v>11</v>
      </c>
      <c r="H322" t="s">
        <v>1108</v>
      </c>
      <c r="I322" t="s">
        <v>26</v>
      </c>
      <c r="J322" t="s">
        <v>49</v>
      </c>
      <c r="K322" t="s">
        <v>10</v>
      </c>
      <c r="L322" t="s">
        <v>10</v>
      </c>
      <c r="M322" t="s">
        <v>10</v>
      </c>
      <c r="N322" t="s">
        <v>57</v>
      </c>
      <c r="O322" t="str">
        <f>INDEX(CoverageTable[Deductible Applies],MATCH(Table1820[[#This Row],[Coverage]],CoverageTable[Coverage],0))</f>
        <v>Yes</v>
      </c>
      <c r="P322" t="str">
        <f>INDEX(CoverageTable[Coverage Limit Applies],MATCH(Table1820[[#This Row],[Coverage]],CoverageTable[Coverage],0))</f>
        <v>No</v>
      </c>
      <c r="Q322" t="s">
        <v>79</v>
      </c>
      <c r="R322" t="s">
        <v>10</v>
      </c>
      <c r="S322" t="s">
        <v>10</v>
      </c>
      <c r="T322" t="s">
        <v>57</v>
      </c>
      <c r="U322" t="s">
        <v>10</v>
      </c>
      <c r="V322" t="s">
        <v>10</v>
      </c>
      <c r="W322" t="s">
        <v>10</v>
      </c>
      <c r="X322" s="11">
        <v>1184.1645936491411</v>
      </c>
      <c r="Y322">
        <f>_xlfn.XLOOKUP(Table1820[[#This Row],[Coverage]],CoverageTable[Coverage],CoverageTable[Base Rate],,0)</f>
        <v>453</v>
      </c>
      <c r="Z322">
        <f>INDEX(Table16[Ageband Factor],MATCH(Table1820[[#This Row],[Ageband]],Table16[Ageband],0))</f>
        <v>1.32</v>
      </c>
      <c r="AA322">
        <f>VLOOKUP(Table1820[[#This Row],[Years Driving]],Table1[],2)</f>
        <v>1.1499999999999999</v>
      </c>
      <c r="AB322">
        <f>_xlfn.XLOOKUP(Table1820[[#This Row],[At Fault Accidents]],Table2[At Fault Accidents],Table2[At Fault Accident Factor],,0)</f>
        <v>2.4700000000000002</v>
      </c>
      <c r="AC322">
        <f>_xlfn.XLOOKUP(Table1820[[#This Row],[Usage-Based Insurance]],Table3[Usage-Based Insurance],Table3[Usage-Based Insurance Discount],,0)</f>
        <v>0.95</v>
      </c>
      <c r="AD322">
        <f>_xlfn.XLOOKUP(Table1820[[#This Row],[Yearly Miles]],Table4[Yearly Miles],Table4[Yearly Miles Factor],,0)</f>
        <v>1</v>
      </c>
      <c r="AE322">
        <f>_xlfn.XLOOKUP(Table1820[[#This Row],[City/Zip Code]],Table5[City/Zip Code],Table5[City/Zip Code Factor],,0)</f>
        <v>1.1499999999999999</v>
      </c>
      <c r="AF322">
        <f>_xlfn.XLOOKUP(Table1820[[#This Row],[Vehicle Price]],Table6[Vehicle Price],Table6[Vehicle Price Factor])</f>
        <v>0.97</v>
      </c>
      <c r="AG322">
        <f>_xlfn.XLOOKUP(Table1820[[#This Row],[Exotic Car]],Table7[Exotic Car],Table7[Exotic Car Factor],,0)</f>
        <v>1</v>
      </c>
      <c r="AH322">
        <f>_xlfn.XLOOKUP(Table1820[[#This Row],[Difficult Parts]],Table8[Difficult Parts],Table8[Difficult Parts Factor],,0)</f>
        <v>1</v>
      </c>
      <c r="AI322">
        <f>_xlfn.XLOOKUP(Table1820[[#This Row],[High Theft Rate]],Table9[High Theft Rate],Table9[High Theft Rate Factor],,0)</f>
        <v>1</v>
      </c>
      <c r="AJ322">
        <f>_xlfn.XLOOKUP(Table1820[[#This Row],[Advanced Safety Features]],Table10[Advanced Safety Features],Table10[Advanced Safety Features Factor],,0)</f>
        <v>0.88</v>
      </c>
      <c r="AK322">
        <f>_xlfn.XLOOKUP(Table1820[[#This Row],[Deductible]],Table12[Deductible],Table12[Deductible Factor],,0)</f>
        <v>0.84</v>
      </c>
      <c r="AL322">
        <f>_xlfn.XLOOKUP(Table1820[[#This Row],[Coverage Limit]],Table13[Coverage Limit],Table13[Coverage Limit Factor],,0)</f>
        <v>1</v>
      </c>
      <c r="AM322">
        <f>IF(Table1820[[#This Row],[Good Student Discount]]="Yes",'Rate Book'!$D$126,1)</f>
        <v>1</v>
      </c>
      <c r="AN322">
        <f>IF(Table1820[[#This Row],[Good Driver Discount]]="Yes",'Rate Book'!$D$127,1)</f>
        <v>0.89</v>
      </c>
      <c r="AO322">
        <f>IF(Table1820[[#This Row],[Multi Policy Discount]]="Yes",'Rate Book'!$D$128,1)</f>
        <v>1</v>
      </c>
      <c r="AP322">
        <f>IF(Table1820[[#This Row],[Loyal Customer Discount]]="Yes",'Rate Book'!$D$129,1)</f>
        <v>1</v>
      </c>
      <c r="AQ322">
        <f>IF(Table1820[[#This Row],[Organization Discount]]="Yes",'Rate Book'!$D$130,1)</f>
        <v>1</v>
      </c>
      <c r="AR322" cm="1">
        <f t="array" ref="AR322">IF(Table1820[[#This Row],[Effective Date]]&gt;=RateChangeTable[Effective Date],RateChangeTable[Rate Change Factor],1)</f>
        <v>1</v>
      </c>
      <c r="AS322" s="10">
        <f>PRODUCT(Table1820[[#This Row],[Base Rate]:[Rate Change Factor]])</f>
        <v>1184.1645936491411</v>
      </c>
      <c r="AT322" s="9">
        <f>Table1820[[#This Row],[System-Generated Premium]]-Table1820[[#This Row],[Expected Premium]]</f>
        <v>0</v>
      </c>
      <c r="AU322" t="str">
        <f>IF(Table1820[[#This Row],[Difference]]=0,"PASS","FAIL")</f>
        <v>PASS</v>
      </c>
      <c r="AV322" s="9">
        <f>ABS(Table1820[[#This Row],[Difference]])</f>
        <v>0</v>
      </c>
      <c r="AW322" s="9" t="s">
        <v>1136</v>
      </c>
    </row>
    <row r="323" spans="1:49" x14ac:dyDescent="0.3">
      <c r="A323" t="s">
        <v>414</v>
      </c>
      <c r="B323" s="7">
        <v>45902</v>
      </c>
      <c r="C323" t="s">
        <v>70</v>
      </c>
      <c r="D323" t="s">
        <v>1102</v>
      </c>
      <c r="E323" s="3">
        <v>1</v>
      </c>
      <c r="F323" s="3">
        <v>1</v>
      </c>
      <c r="G323" t="s">
        <v>11</v>
      </c>
      <c r="H323" t="s">
        <v>1110</v>
      </c>
      <c r="I323" t="s">
        <v>39</v>
      </c>
      <c r="J323" t="s">
        <v>49</v>
      </c>
      <c r="K323" t="s">
        <v>10</v>
      </c>
      <c r="L323" t="s">
        <v>10</v>
      </c>
      <c r="M323" t="s">
        <v>10</v>
      </c>
      <c r="N323" t="s">
        <v>10</v>
      </c>
      <c r="O323" t="str">
        <f>INDEX(CoverageTable[Deductible Applies],MATCH(Table1820[[#This Row],[Coverage]],CoverageTable[Coverage],0))</f>
        <v>No</v>
      </c>
      <c r="P323" t="str">
        <f>INDEX(CoverageTable[Coverage Limit Applies],MATCH(Table1820[[#This Row],[Coverage]],CoverageTable[Coverage],0))</f>
        <v>Yes</v>
      </c>
      <c r="Q323" t="s">
        <v>10</v>
      </c>
      <c r="R323" t="s">
        <v>79</v>
      </c>
      <c r="S323" t="s">
        <v>10</v>
      </c>
      <c r="T323" t="s">
        <v>57</v>
      </c>
      <c r="U323" t="s">
        <v>10</v>
      </c>
      <c r="V323" t="s">
        <v>57</v>
      </c>
      <c r="W323" t="s">
        <v>10</v>
      </c>
      <c r="X323" s="11">
        <v>1363.2750904835482</v>
      </c>
      <c r="Y323">
        <f>_xlfn.XLOOKUP(Table1820[[#This Row],[Coverage]],CoverageTable[Coverage],CoverageTable[Base Rate],,0)</f>
        <v>622</v>
      </c>
      <c r="Z323">
        <f>INDEX(Table16[Ageband Factor],MATCH(Table1820[[#This Row],[Ageband]],Table16[Ageband],0))</f>
        <v>1.27</v>
      </c>
      <c r="AA323">
        <f>VLOOKUP(Table1820[[#This Row],[Years Driving]],Table1[],2)</f>
        <v>1.64</v>
      </c>
      <c r="AB323">
        <f>_xlfn.XLOOKUP(Table1820[[#This Row],[At Fault Accidents]],Table2[At Fault Accidents],Table2[At Fault Accident Factor],,0)</f>
        <v>1.34</v>
      </c>
      <c r="AC323">
        <f>_xlfn.XLOOKUP(Table1820[[#This Row],[Usage-Based Insurance]],Table3[Usage-Based Insurance],Table3[Usage-Based Insurance Discount],,0)</f>
        <v>0.95</v>
      </c>
      <c r="AD323">
        <f>_xlfn.XLOOKUP(Table1820[[#This Row],[Yearly Miles]],Table4[Yearly Miles],Table4[Yearly Miles Factor],,0)</f>
        <v>1.31</v>
      </c>
      <c r="AE323">
        <f>_xlfn.XLOOKUP(Table1820[[#This Row],[City/Zip Code]],Table5[City/Zip Code],Table5[City/Zip Code Factor],,0)</f>
        <v>1.08</v>
      </c>
      <c r="AF323">
        <f>_xlfn.XLOOKUP(Table1820[[#This Row],[Vehicle Price]],Table6[Vehicle Price],Table6[Vehicle Price Factor])</f>
        <v>0.97</v>
      </c>
      <c r="AG323">
        <f>_xlfn.XLOOKUP(Table1820[[#This Row],[Exotic Car]],Table7[Exotic Car],Table7[Exotic Car Factor],,0)</f>
        <v>1</v>
      </c>
      <c r="AH323">
        <f>_xlfn.XLOOKUP(Table1820[[#This Row],[Difficult Parts]],Table8[Difficult Parts],Table8[Difficult Parts Factor],,0)</f>
        <v>1</v>
      </c>
      <c r="AI323">
        <f>_xlfn.XLOOKUP(Table1820[[#This Row],[High Theft Rate]],Table9[High Theft Rate],Table9[High Theft Rate Factor],,0)</f>
        <v>1</v>
      </c>
      <c r="AJ323">
        <f>_xlfn.XLOOKUP(Table1820[[#This Row],[Advanced Safety Features]],Table10[Advanced Safety Features],Table10[Advanced Safety Features Factor],,0)</f>
        <v>1</v>
      </c>
      <c r="AK323">
        <f>_xlfn.XLOOKUP(Table1820[[#This Row],[Deductible]],Table12[Deductible],Table12[Deductible Factor],,0)</f>
        <v>1</v>
      </c>
      <c r="AL323">
        <f>_xlfn.XLOOKUP(Table1820[[#This Row],[Coverage Limit]],Table13[Coverage Limit],Table13[Coverage Limit Factor],,0)</f>
        <v>0.72</v>
      </c>
      <c r="AM323">
        <f>IF(Table1820[[#This Row],[Good Student Discount]]="Yes",'Rate Book'!$D$126,1)</f>
        <v>1</v>
      </c>
      <c r="AN323">
        <f>IF(Table1820[[#This Row],[Good Driver Discount]]="Yes",'Rate Book'!$D$127,1)</f>
        <v>0.89</v>
      </c>
      <c r="AO323">
        <f>IF(Table1820[[#This Row],[Multi Policy Discount]]="Yes",'Rate Book'!$D$128,1)</f>
        <v>1</v>
      </c>
      <c r="AP323">
        <f>IF(Table1820[[#This Row],[Loyal Customer Discount]]="Yes",'Rate Book'!$D$129,1)</f>
        <v>0.94</v>
      </c>
      <c r="AQ323">
        <f>IF(Table1820[[#This Row],[Organization Discount]]="Yes",'Rate Book'!$D$130,1)</f>
        <v>1</v>
      </c>
      <c r="AR323" cm="1">
        <f t="array" ref="AR323">IF(Table1820[[#This Row],[Effective Date]]&gt;=RateChangeTable[Effective Date],RateChangeTable[Rate Change Factor],1)</f>
        <v>1</v>
      </c>
      <c r="AS323" s="10">
        <f>PRODUCT(Table1820[[#This Row],[Base Rate]:[Rate Change Factor]])</f>
        <v>1363.2750904835482</v>
      </c>
      <c r="AT323" s="9">
        <f>Table1820[[#This Row],[System-Generated Premium]]-Table1820[[#This Row],[Expected Premium]]</f>
        <v>0</v>
      </c>
      <c r="AU323" t="str">
        <f>IF(Table1820[[#This Row],[Difference]]=0,"PASS","FAIL")</f>
        <v>PASS</v>
      </c>
      <c r="AV323" s="9">
        <f>ABS(Table1820[[#This Row],[Difference]])</f>
        <v>0</v>
      </c>
      <c r="AW323" s="9" t="s">
        <v>1136</v>
      </c>
    </row>
    <row r="324" spans="1:49" x14ac:dyDescent="0.3">
      <c r="A324" t="s">
        <v>415</v>
      </c>
      <c r="B324" s="7">
        <v>46080</v>
      </c>
      <c r="C324" t="s">
        <v>72</v>
      </c>
      <c r="D324" t="s">
        <v>1101</v>
      </c>
      <c r="E324" s="3" t="s">
        <v>1103</v>
      </c>
      <c r="F324" s="3">
        <v>0</v>
      </c>
      <c r="G324" t="s">
        <v>11</v>
      </c>
      <c r="H324" t="s">
        <v>1106</v>
      </c>
      <c r="I324" t="s">
        <v>36</v>
      </c>
      <c r="J324" t="s">
        <v>48</v>
      </c>
      <c r="K324" t="s">
        <v>10</v>
      </c>
      <c r="L324" t="s">
        <v>57</v>
      </c>
      <c r="M324" t="s">
        <v>10</v>
      </c>
      <c r="N324" t="s">
        <v>10</v>
      </c>
      <c r="O324" t="str">
        <f>INDEX(CoverageTable[Deductible Applies],MATCH(Table1820[[#This Row],[Coverage]],CoverageTable[Coverage],0))</f>
        <v>Yes</v>
      </c>
      <c r="P324" t="str">
        <f>INDEX(CoverageTable[Coverage Limit Applies],MATCH(Table1820[[#This Row],[Coverage]],CoverageTable[Coverage],0))</f>
        <v>No</v>
      </c>
      <c r="Q324" t="s">
        <v>80</v>
      </c>
      <c r="R324" t="s">
        <v>10</v>
      </c>
      <c r="S324" t="s">
        <v>10</v>
      </c>
      <c r="T324" t="s">
        <v>10</v>
      </c>
      <c r="U324" t="s">
        <v>57</v>
      </c>
      <c r="V324" t="s">
        <v>10</v>
      </c>
      <c r="W324" t="s">
        <v>10</v>
      </c>
      <c r="X324" s="11">
        <v>67.759533575517764</v>
      </c>
      <c r="Y324">
        <f>_xlfn.XLOOKUP(Table1820[[#This Row],[Coverage]],CoverageTable[Coverage],CoverageTable[Base Rate],,0)</f>
        <v>121</v>
      </c>
      <c r="Z324">
        <f>INDEX(Table16[Ageband Factor],MATCH(Table1820[[#This Row],[Ageband]],Table16[Ageband],0))</f>
        <v>1.1200000000000001</v>
      </c>
      <c r="AA324">
        <f>VLOOKUP(Table1820[[#This Row],[Years Driving]],Table1[],2)</f>
        <v>0.93</v>
      </c>
      <c r="AB324">
        <f>_xlfn.XLOOKUP(Table1820[[#This Row],[At Fault Accidents]],Table2[At Fault Accidents],Table2[At Fault Accident Factor],,0)</f>
        <v>1</v>
      </c>
      <c r="AC324">
        <f>_xlfn.XLOOKUP(Table1820[[#This Row],[Usage-Based Insurance]],Table3[Usage-Based Insurance],Table3[Usage-Based Insurance Discount],,0)</f>
        <v>0.95</v>
      </c>
      <c r="AD324">
        <f>_xlfn.XLOOKUP(Table1820[[#This Row],[Yearly Miles]],Table4[Yearly Miles],Table4[Yearly Miles Factor],,0)</f>
        <v>0.82</v>
      </c>
      <c r="AE324">
        <f>_xlfn.XLOOKUP(Table1820[[#This Row],[City/Zip Code]],Table5[City/Zip Code],Table5[City/Zip Code Factor],,0)</f>
        <v>0.98</v>
      </c>
      <c r="AF324">
        <f>_xlfn.XLOOKUP(Table1820[[#This Row],[Vehicle Price]],Table6[Vehicle Price],Table6[Vehicle Price Factor])</f>
        <v>0.82</v>
      </c>
      <c r="AG324">
        <f>_xlfn.XLOOKUP(Table1820[[#This Row],[Exotic Car]],Table7[Exotic Car],Table7[Exotic Car Factor],,0)</f>
        <v>1</v>
      </c>
      <c r="AH324">
        <f>_xlfn.XLOOKUP(Table1820[[#This Row],[Difficult Parts]],Table8[Difficult Parts],Table8[Difficult Parts Factor],,0)</f>
        <v>1.21</v>
      </c>
      <c r="AI324">
        <f>_xlfn.XLOOKUP(Table1820[[#This Row],[High Theft Rate]],Table9[High Theft Rate],Table9[High Theft Rate Factor],,0)</f>
        <v>1</v>
      </c>
      <c r="AJ324">
        <f>_xlfn.XLOOKUP(Table1820[[#This Row],[Advanced Safety Features]],Table10[Advanced Safety Features],Table10[Advanced Safety Features Factor],,0)</f>
        <v>1</v>
      </c>
      <c r="AK324">
        <f>_xlfn.XLOOKUP(Table1820[[#This Row],[Deductible]],Table12[Deductible],Table12[Deductible Factor],,0)</f>
        <v>0.72</v>
      </c>
      <c r="AL324">
        <f>_xlfn.XLOOKUP(Table1820[[#This Row],[Coverage Limit]],Table13[Coverage Limit],Table13[Coverage Limit Factor],,0)</f>
        <v>1</v>
      </c>
      <c r="AM324">
        <f>IF(Table1820[[#This Row],[Good Student Discount]]="Yes",'Rate Book'!$D$126,1)</f>
        <v>1</v>
      </c>
      <c r="AN324">
        <f>IF(Table1820[[#This Row],[Good Driver Discount]]="Yes",'Rate Book'!$D$127,1)</f>
        <v>1</v>
      </c>
      <c r="AO324">
        <f>IF(Table1820[[#This Row],[Multi Policy Discount]]="Yes",'Rate Book'!$D$128,1)</f>
        <v>0.93</v>
      </c>
      <c r="AP324">
        <f>IF(Table1820[[#This Row],[Loyal Customer Discount]]="Yes",'Rate Book'!$D$129,1)</f>
        <v>1</v>
      </c>
      <c r="AQ324">
        <f>IF(Table1820[[#This Row],[Organization Discount]]="Yes",'Rate Book'!$D$130,1)</f>
        <v>1</v>
      </c>
      <c r="AR324" cm="1">
        <f t="array" ref="AR324">IF(Table1820[[#This Row],[Effective Date]]&gt;=RateChangeTable[Effective Date],RateChangeTable[Rate Change Factor],1)</f>
        <v>1.06</v>
      </c>
      <c r="AS324" s="10">
        <f>PRODUCT(Table1820[[#This Row],[Base Rate]:[Rate Change Factor]])</f>
        <v>67.759533575517764</v>
      </c>
      <c r="AT324" s="9">
        <f>Table1820[[#This Row],[System-Generated Premium]]-Table1820[[#This Row],[Expected Premium]]</f>
        <v>0</v>
      </c>
      <c r="AU324" t="str">
        <f>IF(Table1820[[#This Row],[Difference]]=0,"PASS","FAIL")</f>
        <v>PASS</v>
      </c>
      <c r="AV324" s="9">
        <f>ABS(Table1820[[#This Row],[Difference]])</f>
        <v>0</v>
      </c>
      <c r="AW324" s="9" t="s">
        <v>1136</v>
      </c>
    </row>
    <row r="325" spans="1:49" x14ac:dyDescent="0.3">
      <c r="A325" t="s">
        <v>416</v>
      </c>
      <c r="B325" s="7">
        <v>46020</v>
      </c>
      <c r="C325" t="s">
        <v>70</v>
      </c>
      <c r="D325" t="s">
        <v>1099</v>
      </c>
      <c r="E325" s="3">
        <v>7</v>
      </c>
      <c r="F325" s="3">
        <v>2</v>
      </c>
      <c r="G325" t="s">
        <v>11</v>
      </c>
      <c r="H325" t="s">
        <v>1110</v>
      </c>
      <c r="I325" t="s">
        <v>43</v>
      </c>
      <c r="J325" t="s">
        <v>53</v>
      </c>
      <c r="K325" t="s">
        <v>10</v>
      </c>
      <c r="L325" t="s">
        <v>10</v>
      </c>
      <c r="M325" t="s">
        <v>57</v>
      </c>
      <c r="N325" t="s">
        <v>57</v>
      </c>
      <c r="O325" t="str">
        <f>INDEX(CoverageTable[Deductible Applies],MATCH(Table1820[[#This Row],[Coverage]],CoverageTable[Coverage],0))</f>
        <v>No</v>
      </c>
      <c r="P325" t="str">
        <f>INDEX(CoverageTable[Coverage Limit Applies],MATCH(Table1820[[#This Row],[Coverage]],CoverageTable[Coverage],0))</f>
        <v>Yes</v>
      </c>
      <c r="Q325" t="s">
        <v>10</v>
      </c>
      <c r="R325" t="s">
        <v>78</v>
      </c>
      <c r="S325" t="s">
        <v>10</v>
      </c>
      <c r="T325" t="s">
        <v>10</v>
      </c>
      <c r="U325" t="s">
        <v>57</v>
      </c>
      <c r="V325" t="s">
        <v>10</v>
      </c>
      <c r="W325" t="s">
        <v>10</v>
      </c>
      <c r="X325" s="11">
        <v>1573.3574858315017</v>
      </c>
      <c r="Y325">
        <f>_xlfn.XLOOKUP(Table1820[[#This Row],[Coverage]],CoverageTable[Coverage],CoverageTable[Base Rate],,0)</f>
        <v>622</v>
      </c>
      <c r="Z325">
        <f>INDEX(Table16[Ageband Factor],MATCH(Table1820[[#This Row],[Ageband]],Table16[Ageband],0))</f>
        <v>1</v>
      </c>
      <c r="AA325">
        <f>VLOOKUP(Table1820[[#This Row],[Years Driving]],Table1[],2)</f>
        <v>0.95</v>
      </c>
      <c r="AB325">
        <f>_xlfn.XLOOKUP(Table1820[[#This Row],[At Fault Accidents]],Table2[At Fault Accidents],Table2[At Fault Accident Factor],,0)</f>
        <v>1.55</v>
      </c>
      <c r="AC325">
        <f>_xlfn.XLOOKUP(Table1820[[#This Row],[Usage-Based Insurance]],Table3[Usage-Based Insurance],Table3[Usage-Based Insurance Discount],,0)</f>
        <v>0.95</v>
      </c>
      <c r="AD325">
        <f>_xlfn.XLOOKUP(Table1820[[#This Row],[Yearly Miles]],Table4[Yearly Miles],Table4[Yearly Miles Factor],,0)</f>
        <v>1.31</v>
      </c>
      <c r="AE325">
        <f>_xlfn.XLOOKUP(Table1820[[#This Row],[City/Zip Code]],Table5[City/Zip Code],Table5[City/Zip Code Factor],,0)</f>
        <v>1.18</v>
      </c>
      <c r="AF325">
        <f>_xlfn.XLOOKUP(Table1820[[#This Row],[Vehicle Price]],Table6[Vehicle Price],Table6[Vehicle Price Factor])</f>
        <v>2.02</v>
      </c>
      <c r="AG325">
        <f>_xlfn.XLOOKUP(Table1820[[#This Row],[Exotic Car]],Table7[Exotic Car],Table7[Exotic Car Factor],,0)</f>
        <v>1</v>
      </c>
      <c r="AH325">
        <f>_xlfn.XLOOKUP(Table1820[[#This Row],[Difficult Parts]],Table8[Difficult Parts],Table8[Difficult Parts Factor],,0)</f>
        <v>1</v>
      </c>
      <c r="AI325">
        <f>_xlfn.XLOOKUP(Table1820[[#This Row],[High Theft Rate]],Table9[High Theft Rate],Table9[High Theft Rate Factor],,0)</f>
        <v>1.1599999999999999</v>
      </c>
      <c r="AJ325">
        <f>_xlfn.XLOOKUP(Table1820[[#This Row],[Advanced Safety Features]],Table10[Advanced Safety Features],Table10[Advanced Safety Features Factor],,0)</f>
        <v>0.88</v>
      </c>
      <c r="AK325">
        <f>_xlfn.XLOOKUP(Table1820[[#This Row],[Deductible]],Table12[Deductible],Table12[Deductible Factor],,0)</f>
        <v>1</v>
      </c>
      <c r="AL325">
        <f>_xlfn.XLOOKUP(Table1820[[#This Row],[Coverage Limit]],Table13[Coverage Limit],Table13[Coverage Limit Factor],,0)</f>
        <v>0.61</v>
      </c>
      <c r="AM325">
        <f>IF(Table1820[[#This Row],[Good Student Discount]]="Yes",'Rate Book'!$D$126,1)</f>
        <v>1</v>
      </c>
      <c r="AN325">
        <f>IF(Table1820[[#This Row],[Good Driver Discount]]="Yes",'Rate Book'!$D$127,1)</f>
        <v>1</v>
      </c>
      <c r="AO325">
        <f>IF(Table1820[[#This Row],[Multi Policy Discount]]="Yes",'Rate Book'!$D$128,1)</f>
        <v>0.93</v>
      </c>
      <c r="AP325">
        <f>IF(Table1820[[#This Row],[Loyal Customer Discount]]="Yes",'Rate Book'!$D$129,1)</f>
        <v>1</v>
      </c>
      <c r="AQ325">
        <f>IF(Table1820[[#This Row],[Organization Discount]]="Yes",'Rate Book'!$D$130,1)</f>
        <v>1</v>
      </c>
      <c r="AR325" cm="1">
        <f t="array" ref="AR325">IF(Table1820[[#This Row],[Effective Date]]&gt;=RateChangeTable[Effective Date],RateChangeTable[Rate Change Factor],1)</f>
        <v>1</v>
      </c>
      <c r="AS325" s="10">
        <f>PRODUCT(Table1820[[#This Row],[Base Rate]:[Rate Change Factor]])</f>
        <v>1573.3574858315017</v>
      </c>
      <c r="AT325" s="9">
        <f>Table1820[[#This Row],[System-Generated Premium]]-Table1820[[#This Row],[Expected Premium]]</f>
        <v>0</v>
      </c>
      <c r="AU325" t="str">
        <f>IF(Table1820[[#This Row],[Difference]]=0,"PASS","FAIL")</f>
        <v>PASS</v>
      </c>
      <c r="AV325" s="9">
        <f>ABS(Table1820[[#This Row],[Difference]])</f>
        <v>0</v>
      </c>
      <c r="AW325" s="9" t="s">
        <v>1136</v>
      </c>
    </row>
    <row r="326" spans="1:49" x14ac:dyDescent="0.3">
      <c r="A326" t="s">
        <v>417</v>
      </c>
      <c r="B326" s="7">
        <v>45914</v>
      </c>
      <c r="C326" t="s">
        <v>71</v>
      </c>
      <c r="D326" t="s">
        <v>1099</v>
      </c>
      <c r="E326" s="3">
        <v>4</v>
      </c>
      <c r="F326" s="3">
        <v>4</v>
      </c>
      <c r="G326" t="s">
        <v>10</v>
      </c>
      <c r="H326" t="s">
        <v>1107</v>
      </c>
      <c r="I326" t="s">
        <v>24</v>
      </c>
      <c r="J326" t="s">
        <v>54</v>
      </c>
      <c r="K326" t="s">
        <v>10</v>
      </c>
      <c r="L326" t="s">
        <v>10</v>
      </c>
      <c r="M326" t="s">
        <v>10</v>
      </c>
      <c r="N326" t="s">
        <v>57</v>
      </c>
      <c r="O326" t="str">
        <f>INDEX(CoverageTable[Deductible Applies],MATCH(Table1820[[#This Row],[Coverage]],CoverageTable[Coverage],0))</f>
        <v>Yes</v>
      </c>
      <c r="P326" t="str">
        <f>INDEX(CoverageTable[Coverage Limit Applies],MATCH(Table1820[[#This Row],[Coverage]],CoverageTable[Coverage],0))</f>
        <v>No</v>
      </c>
      <c r="Q326" t="s">
        <v>80</v>
      </c>
      <c r="R326" t="s">
        <v>10</v>
      </c>
      <c r="S326" t="s">
        <v>10</v>
      </c>
      <c r="T326" t="s">
        <v>10</v>
      </c>
      <c r="U326" t="s">
        <v>10</v>
      </c>
      <c r="V326" t="s">
        <v>10</v>
      </c>
      <c r="W326" t="s">
        <v>10</v>
      </c>
      <c r="X326" s="11">
        <v>2222.5875565170813</v>
      </c>
      <c r="Y326">
        <f>_xlfn.XLOOKUP(Table1820[[#This Row],[Coverage]],CoverageTable[Coverage],CoverageTable[Base Rate],,0)</f>
        <v>453</v>
      </c>
      <c r="Z326">
        <f>INDEX(Table16[Ageband Factor],MATCH(Table1820[[#This Row],[Ageband]],Table16[Ageband],0))</f>
        <v>1</v>
      </c>
      <c r="AA326">
        <f>VLOOKUP(Table1820[[#This Row],[Years Driving]],Table1[],2)</f>
        <v>1.1499999999999999</v>
      </c>
      <c r="AB326">
        <f>_xlfn.XLOOKUP(Table1820[[#This Row],[At Fault Accidents]],Table2[At Fault Accidents],Table2[At Fault Accident Factor],,0)</f>
        <v>2.12</v>
      </c>
      <c r="AC326">
        <f>_xlfn.XLOOKUP(Table1820[[#This Row],[Usage-Based Insurance]],Table3[Usage-Based Insurance],Table3[Usage-Based Insurance Discount],,0)</f>
        <v>1</v>
      </c>
      <c r="AD326">
        <f>_xlfn.XLOOKUP(Table1820[[#This Row],[Yearly Miles]],Table4[Yearly Miles],Table4[Yearly Miles Factor],,0)</f>
        <v>0.93</v>
      </c>
      <c r="AE326">
        <f>_xlfn.XLOOKUP(Table1820[[#This Row],[City/Zip Code]],Table5[City/Zip Code],Table5[City/Zip Code Factor],,0)</f>
        <v>1.19</v>
      </c>
      <c r="AF326">
        <f>_xlfn.XLOOKUP(Table1820[[#This Row],[Vehicle Price]],Table6[Vehicle Price],Table6[Vehicle Price Factor])</f>
        <v>2.87</v>
      </c>
      <c r="AG326">
        <f>_xlfn.XLOOKUP(Table1820[[#This Row],[Exotic Car]],Table7[Exotic Car],Table7[Exotic Car Factor],,0)</f>
        <v>1</v>
      </c>
      <c r="AH326">
        <f>_xlfn.XLOOKUP(Table1820[[#This Row],[Difficult Parts]],Table8[Difficult Parts],Table8[Difficult Parts Factor],,0)</f>
        <v>1</v>
      </c>
      <c r="AI326">
        <f>_xlfn.XLOOKUP(Table1820[[#This Row],[High Theft Rate]],Table9[High Theft Rate],Table9[High Theft Rate Factor],,0)</f>
        <v>1</v>
      </c>
      <c r="AJ326">
        <f>_xlfn.XLOOKUP(Table1820[[#This Row],[Advanced Safety Features]],Table10[Advanced Safety Features],Table10[Advanced Safety Features Factor],,0)</f>
        <v>0.88</v>
      </c>
      <c r="AK326">
        <f>_xlfn.XLOOKUP(Table1820[[#This Row],[Deductible]],Table12[Deductible],Table12[Deductible Factor],,0)</f>
        <v>0.72</v>
      </c>
      <c r="AL326">
        <f>_xlfn.XLOOKUP(Table1820[[#This Row],[Coverage Limit]],Table13[Coverage Limit],Table13[Coverage Limit Factor],,0)</f>
        <v>1</v>
      </c>
      <c r="AM326">
        <f>IF(Table1820[[#This Row],[Good Student Discount]]="Yes",'Rate Book'!$D$126,1)</f>
        <v>1</v>
      </c>
      <c r="AN326">
        <f>IF(Table1820[[#This Row],[Good Driver Discount]]="Yes",'Rate Book'!$D$127,1)</f>
        <v>1</v>
      </c>
      <c r="AO326">
        <f>IF(Table1820[[#This Row],[Multi Policy Discount]]="Yes",'Rate Book'!$D$128,1)</f>
        <v>1</v>
      </c>
      <c r="AP326">
        <f>IF(Table1820[[#This Row],[Loyal Customer Discount]]="Yes",'Rate Book'!$D$129,1)</f>
        <v>1</v>
      </c>
      <c r="AQ326">
        <f>IF(Table1820[[#This Row],[Organization Discount]]="Yes",'Rate Book'!$D$130,1)</f>
        <v>1</v>
      </c>
      <c r="AR326" cm="1">
        <f t="array" ref="AR326">IF(Table1820[[#This Row],[Effective Date]]&gt;=RateChangeTable[Effective Date],RateChangeTable[Rate Change Factor],1)</f>
        <v>1</v>
      </c>
      <c r="AS326" s="10">
        <f>PRODUCT(Table1820[[#This Row],[Base Rate]:[Rate Change Factor]])</f>
        <v>2222.5875565170813</v>
      </c>
      <c r="AT326" s="9">
        <f>Table1820[[#This Row],[System-Generated Premium]]-Table1820[[#This Row],[Expected Premium]]</f>
        <v>0</v>
      </c>
      <c r="AU326" t="str">
        <f>IF(Table1820[[#This Row],[Difference]]=0,"PASS","FAIL")</f>
        <v>PASS</v>
      </c>
      <c r="AV326" s="9">
        <f>ABS(Table1820[[#This Row],[Difference]])</f>
        <v>0</v>
      </c>
      <c r="AW326" s="9" t="s">
        <v>1136</v>
      </c>
    </row>
    <row r="327" spans="1:49" x14ac:dyDescent="0.3">
      <c r="A327" t="s">
        <v>418</v>
      </c>
      <c r="B327" s="7">
        <v>46042</v>
      </c>
      <c r="C327" t="s">
        <v>71</v>
      </c>
      <c r="D327" t="s">
        <v>1101</v>
      </c>
      <c r="E327" s="3">
        <v>2</v>
      </c>
      <c r="F327" s="3">
        <v>0</v>
      </c>
      <c r="G327" t="s">
        <v>11</v>
      </c>
      <c r="H327" t="s">
        <v>1109</v>
      </c>
      <c r="I327" t="s">
        <v>35</v>
      </c>
      <c r="J327" t="s">
        <v>50</v>
      </c>
      <c r="K327" t="s">
        <v>10</v>
      </c>
      <c r="L327" t="s">
        <v>10</v>
      </c>
      <c r="M327" t="s">
        <v>10</v>
      </c>
      <c r="N327" t="s">
        <v>10</v>
      </c>
      <c r="O327" t="str">
        <f>INDEX(CoverageTable[Deductible Applies],MATCH(Table1820[[#This Row],[Coverage]],CoverageTable[Coverage],0))</f>
        <v>Yes</v>
      </c>
      <c r="P327" t="str">
        <f>INDEX(CoverageTable[Coverage Limit Applies],MATCH(Table1820[[#This Row],[Coverage]],CoverageTable[Coverage],0))</f>
        <v>No</v>
      </c>
      <c r="Q327" t="s">
        <v>79</v>
      </c>
      <c r="R327" t="s">
        <v>10</v>
      </c>
      <c r="S327" t="s">
        <v>10</v>
      </c>
      <c r="T327" t="s">
        <v>57</v>
      </c>
      <c r="U327" t="s">
        <v>10</v>
      </c>
      <c r="V327" t="s">
        <v>10</v>
      </c>
      <c r="W327" t="s">
        <v>10</v>
      </c>
      <c r="X327" s="11">
        <v>768.70177883645238</v>
      </c>
      <c r="Y327">
        <f>_xlfn.XLOOKUP(Table1820[[#This Row],[Coverage]],CoverageTable[Coverage],CoverageTable[Base Rate],,0)</f>
        <v>453</v>
      </c>
      <c r="Z327">
        <f>INDEX(Table16[Ageband Factor],MATCH(Table1820[[#This Row],[Ageband]],Table16[Ageband],0))</f>
        <v>1.1200000000000001</v>
      </c>
      <c r="AA327">
        <f>VLOOKUP(Table1820[[#This Row],[Years Driving]],Table1[],2)</f>
        <v>1.41</v>
      </c>
      <c r="AB327">
        <f>_xlfn.XLOOKUP(Table1820[[#This Row],[At Fault Accidents]],Table2[At Fault Accidents],Table2[At Fault Accident Factor],,0)</f>
        <v>1</v>
      </c>
      <c r="AC327">
        <f>_xlfn.XLOOKUP(Table1820[[#This Row],[Usage-Based Insurance]],Table3[Usage-Based Insurance],Table3[Usage-Based Insurance Discount],,0)</f>
        <v>0.95</v>
      </c>
      <c r="AD327">
        <f>_xlfn.XLOOKUP(Table1820[[#This Row],[Yearly Miles]],Table4[Yearly Miles],Table4[Yearly Miles Factor],,0)</f>
        <v>1.18</v>
      </c>
      <c r="AE327">
        <f>_xlfn.XLOOKUP(Table1820[[#This Row],[City/Zip Code]],Table5[City/Zip Code],Table5[City/Zip Code Factor],,0)</f>
        <v>1.1200000000000001</v>
      </c>
      <c r="AF327">
        <f>_xlfn.XLOOKUP(Table1820[[#This Row],[Vehicle Price]],Table6[Vehicle Price],Table6[Vehicle Price Factor])</f>
        <v>1.08</v>
      </c>
      <c r="AG327">
        <f>_xlfn.XLOOKUP(Table1820[[#This Row],[Exotic Car]],Table7[Exotic Car],Table7[Exotic Car Factor],,0)</f>
        <v>1</v>
      </c>
      <c r="AH327">
        <f>_xlfn.XLOOKUP(Table1820[[#This Row],[Difficult Parts]],Table8[Difficult Parts],Table8[Difficult Parts Factor],,0)</f>
        <v>1</v>
      </c>
      <c r="AI327">
        <f>_xlfn.XLOOKUP(Table1820[[#This Row],[High Theft Rate]],Table9[High Theft Rate],Table9[High Theft Rate Factor],,0)</f>
        <v>1</v>
      </c>
      <c r="AJ327">
        <f>_xlfn.XLOOKUP(Table1820[[#This Row],[Advanced Safety Features]],Table10[Advanced Safety Features],Table10[Advanced Safety Features Factor],,0)</f>
        <v>1</v>
      </c>
      <c r="AK327">
        <f>_xlfn.XLOOKUP(Table1820[[#This Row],[Deductible]],Table12[Deductible],Table12[Deductible Factor],,0)</f>
        <v>0.84</v>
      </c>
      <c r="AL327">
        <f>_xlfn.XLOOKUP(Table1820[[#This Row],[Coverage Limit]],Table13[Coverage Limit],Table13[Coverage Limit Factor],,0)</f>
        <v>1</v>
      </c>
      <c r="AM327">
        <f>IF(Table1820[[#This Row],[Good Student Discount]]="Yes",'Rate Book'!$D$126,1)</f>
        <v>1</v>
      </c>
      <c r="AN327">
        <f>IF(Table1820[[#This Row],[Good Driver Discount]]="Yes",'Rate Book'!$D$127,1)</f>
        <v>0.89</v>
      </c>
      <c r="AO327">
        <f>IF(Table1820[[#This Row],[Multi Policy Discount]]="Yes",'Rate Book'!$D$128,1)</f>
        <v>1</v>
      </c>
      <c r="AP327">
        <f>IF(Table1820[[#This Row],[Loyal Customer Discount]]="Yes",'Rate Book'!$D$129,1)</f>
        <v>1</v>
      </c>
      <c r="AQ327">
        <f>IF(Table1820[[#This Row],[Organization Discount]]="Yes",'Rate Book'!$D$130,1)</f>
        <v>1</v>
      </c>
      <c r="AR327" cm="1">
        <f t="array" ref="AR327">IF(Table1820[[#This Row],[Effective Date]]&gt;=RateChangeTable[Effective Date],RateChangeTable[Rate Change Factor],1)</f>
        <v>1.06</v>
      </c>
      <c r="AS327" s="10">
        <f>PRODUCT(Table1820[[#This Row],[Base Rate]:[Rate Change Factor]])</f>
        <v>768.70177883645238</v>
      </c>
      <c r="AT327" s="9">
        <f>Table1820[[#This Row],[System-Generated Premium]]-Table1820[[#This Row],[Expected Premium]]</f>
        <v>0</v>
      </c>
      <c r="AU327" t="str">
        <f>IF(Table1820[[#This Row],[Difference]]=0,"PASS","FAIL")</f>
        <v>PASS</v>
      </c>
      <c r="AV327" s="9">
        <f>ABS(Table1820[[#This Row],[Difference]])</f>
        <v>0</v>
      </c>
      <c r="AW327" s="9" t="s">
        <v>1136</v>
      </c>
    </row>
    <row r="328" spans="1:49" x14ac:dyDescent="0.3">
      <c r="A328" t="s">
        <v>419</v>
      </c>
      <c r="B328" s="7">
        <v>45967</v>
      </c>
      <c r="C328" t="s">
        <v>71</v>
      </c>
      <c r="D328" t="s">
        <v>1100</v>
      </c>
      <c r="E328" s="3">
        <v>3</v>
      </c>
      <c r="F328" s="3">
        <v>2</v>
      </c>
      <c r="G328" t="s">
        <v>11</v>
      </c>
      <c r="H328" t="s">
        <v>1110</v>
      </c>
      <c r="I328" t="s">
        <v>37</v>
      </c>
      <c r="J328" t="s">
        <v>48</v>
      </c>
      <c r="K328" t="s">
        <v>10</v>
      </c>
      <c r="L328" t="s">
        <v>10</v>
      </c>
      <c r="M328" t="s">
        <v>10</v>
      </c>
      <c r="N328" t="s">
        <v>57</v>
      </c>
      <c r="O328" t="str">
        <f>INDEX(CoverageTable[Deductible Applies],MATCH(Table1820[[#This Row],[Coverage]],CoverageTable[Coverage],0))</f>
        <v>Yes</v>
      </c>
      <c r="P328" t="str">
        <f>INDEX(CoverageTable[Coverage Limit Applies],MATCH(Table1820[[#This Row],[Coverage]],CoverageTable[Coverage],0))</f>
        <v>No</v>
      </c>
      <c r="Q328" t="s">
        <v>79</v>
      </c>
      <c r="R328" t="s">
        <v>10</v>
      </c>
      <c r="S328" t="s">
        <v>10</v>
      </c>
      <c r="T328" t="s">
        <v>57</v>
      </c>
      <c r="U328" t="s">
        <v>10</v>
      </c>
      <c r="V328" t="s">
        <v>57</v>
      </c>
      <c r="W328" t="s">
        <v>10</v>
      </c>
      <c r="X328" s="11">
        <v>630.50506289889529</v>
      </c>
      <c r="Y328">
        <f>_xlfn.XLOOKUP(Table1820[[#This Row],[Coverage]],CoverageTable[Coverage],CoverageTable[Base Rate],,0)</f>
        <v>453</v>
      </c>
      <c r="Z328">
        <f>INDEX(Table16[Ageband Factor],MATCH(Table1820[[#This Row],[Ageband]],Table16[Ageband],0))</f>
        <v>1.07</v>
      </c>
      <c r="AA328">
        <f>VLOOKUP(Table1820[[#This Row],[Years Driving]],Table1[],2)</f>
        <v>1.22</v>
      </c>
      <c r="AB328">
        <f>_xlfn.XLOOKUP(Table1820[[#This Row],[At Fault Accidents]],Table2[At Fault Accidents],Table2[At Fault Accident Factor],,0)</f>
        <v>1.55</v>
      </c>
      <c r="AC328">
        <f>_xlfn.XLOOKUP(Table1820[[#This Row],[Usage-Based Insurance]],Table3[Usage-Based Insurance],Table3[Usage-Based Insurance Discount],,0)</f>
        <v>0.95</v>
      </c>
      <c r="AD328">
        <f>_xlfn.XLOOKUP(Table1820[[#This Row],[Yearly Miles]],Table4[Yearly Miles],Table4[Yearly Miles Factor],,0)</f>
        <v>1.31</v>
      </c>
      <c r="AE328">
        <f>_xlfn.XLOOKUP(Table1820[[#This Row],[City/Zip Code]],Table5[City/Zip Code],Table5[City/Zip Code Factor],,0)</f>
        <v>1.0900000000000001</v>
      </c>
      <c r="AF328">
        <f>_xlfn.XLOOKUP(Table1820[[#This Row],[Vehicle Price]],Table6[Vehicle Price],Table6[Vehicle Price Factor])</f>
        <v>0.82</v>
      </c>
      <c r="AG328">
        <f>_xlfn.XLOOKUP(Table1820[[#This Row],[Exotic Car]],Table7[Exotic Car],Table7[Exotic Car Factor],,0)</f>
        <v>1</v>
      </c>
      <c r="AH328">
        <f>_xlfn.XLOOKUP(Table1820[[#This Row],[Difficult Parts]],Table8[Difficult Parts],Table8[Difficult Parts Factor],,0)</f>
        <v>1</v>
      </c>
      <c r="AI328">
        <f>_xlfn.XLOOKUP(Table1820[[#This Row],[High Theft Rate]],Table9[High Theft Rate],Table9[High Theft Rate Factor],,0)</f>
        <v>1</v>
      </c>
      <c r="AJ328">
        <f>_xlfn.XLOOKUP(Table1820[[#This Row],[Advanced Safety Features]],Table10[Advanced Safety Features],Table10[Advanced Safety Features Factor],,0)</f>
        <v>0.88</v>
      </c>
      <c r="AK328">
        <f>_xlfn.XLOOKUP(Table1820[[#This Row],[Deductible]],Table12[Deductible],Table12[Deductible Factor],,0)</f>
        <v>0.84</v>
      </c>
      <c r="AL328">
        <f>_xlfn.XLOOKUP(Table1820[[#This Row],[Coverage Limit]],Table13[Coverage Limit],Table13[Coverage Limit Factor],,0)</f>
        <v>1</v>
      </c>
      <c r="AM328">
        <f>IF(Table1820[[#This Row],[Good Student Discount]]="Yes",'Rate Book'!$D$126,1)</f>
        <v>1</v>
      </c>
      <c r="AN328">
        <f>IF(Table1820[[#This Row],[Good Driver Discount]]="Yes",'Rate Book'!$D$127,1)</f>
        <v>0.89</v>
      </c>
      <c r="AO328">
        <f>IF(Table1820[[#This Row],[Multi Policy Discount]]="Yes",'Rate Book'!$D$128,1)</f>
        <v>1</v>
      </c>
      <c r="AP328">
        <f>IF(Table1820[[#This Row],[Loyal Customer Discount]]="Yes",'Rate Book'!$D$129,1)</f>
        <v>0.94</v>
      </c>
      <c r="AQ328">
        <f>IF(Table1820[[#This Row],[Organization Discount]]="Yes",'Rate Book'!$D$130,1)</f>
        <v>1</v>
      </c>
      <c r="AR328" cm="1">
        <f t="array" ref="AR328">IF(Table1820[[#This Row],[Effective Date]]&gt;=RateChangeTable[Effective Date],RateChangeTable[Rate Change Factor],1)</f>
        <v>1</v>
      </c>
      <c r="AS328" s="10">
        <f>PRODUCT(Table1820[[#This Row],[Base Rate]:[Rate Change Factor]])</f>
        <v>630.50506289889529</v>
      </c>
      <c r="AT328" s="9">
        <f>Table1820[[#This Row],[System-Generated Premium]]-Table1820[[#This Row],[Expected Premium]]</f>
        <v>0</v>
      </c>
      <c r="AU328" t="str">
        <f>IF(Table1820[[#This Row],[Difference]]=0,"PASS","FAIL")</f>
        <v>PASS</v>
      </c>
      <c r="AV328" s="9">
        <f>ABS(Table1820[[#This Row],[Difference]])</f>
        <v>0</v>
      </c>
      <c r="AW328" s="9" t="s">
        <v>1136</v>
      </c>
    </row>
    <row r="329" spans="1:49" x14ac:dyDescent="0.3">
      <c r="A329" t="s">
        <v>420</v>
      </c>
      <c r="B329" s="7">
        <v>46137</v>
      </c>
      <c r="C329" t="s">
        <v>70</v>
      </c>
      <c r="D329" t="s">
        <v>1100</v>
      </c>
      <c r="E329" s="3">
        <v>1</v>
      </c>
      <c r="F329" s="3">
        <v>0</v>
      </c>
      <c r="G329" t="s">
        <v>12</v>
      </c>
      <c r="H329" t="s">
        <v>1108</v>
      </c>
      <c r="I329" t="s">
        <v>31</v>
      </c>
      <c r="J329" t="s">
        <v>52</v>
      </c>
      <c r="K329" t="s">
        <v>10</v>
      </c>
      <c r="L329" t="s">
        <v>10</v>
      </c>
      <c r="M329" t="s">
        <v>57</v>
      </c>
      <c r="N329" t="s">
        <v>10</v>
      </c>
      <c r="O329" t="str">
        <f>INDEX(CoverageTable[Deductible Applies],MATCH(Table1820[[#This Row],[Coverage]],CoverageTable[Coverage],0))</f>
        <v>No</v>
      </c>
      <c r="P329" t="str">
        <f>INDEX(CoverageTable[Coverage Limit Applies],MATCH(Table1820[[#This Row],[Coverage]],CoverageTable[Coverage],0))</f>
        <v>Yes</v>
      </c>
      <c r="Q329" t="s">
        <v>10</v>
      </c>
      <c r="R329" t="s">
        <v>78</v>
      </c>
      <c r="S329" t="s">
        <v>10</v>
      </c>
      <c r="T329" t="s">
        <v>57</v>
      </c>
      <c r="U329" t="s">
        <v>10</v>
      </c>
      <c r="V329" t="s">
        <v>57</v>
      </c>
      <c r="W329" t="s">
        <v>10</v>
      </c>
      <c r="X329" s="11">
        <v>954.86544748903111</v>
      </c>
      <c r="Y329">
        <f>_xlfn.XLOOKUP(Table1820[[#This Row],[Coverage]],CoverageTable[Coverage],CoverageTable[Base Rate],,0)</f>
        <v>622</v>
      </c>
      <c r="Z329">
        <f>INDEX(Table16[Ageband Factor],MATCH(Table1820[[#This Row],[Ageband]],Table16[Ageband],0))</f>
        <v>1.07</v>
      </c>
      <c r="AA329">
        <f>VLOOKUP(Table1820[[#This Row],[Years Driving]],Table1[],2)</f>
        <v>1.64</v>
      </c>
      <c r="AB329">
        <f>_xlfn.XLOOKUP(Table1820[[#This Row],[At Fault Accidents]],Table2[At Fault Accidents],Table2[At Fault Accident Factor],,0)</f>
        <v>1</v>
      </c>
      <c r="AC329">
        <f>_xlfn.XLOOKUP(Table1820[[#This Row],[Usage-Based Insurance]],Table3[Usage-Based Insurance],Table3[Usage-Based Insurance Discount],,0)</f>
        <v>0.8</v>
      </c>
      <c r="AD329">
        <f>_xlfn.XLOOKUP(Table1820[[#This Row],[Yearly Miles]],Table4[Yearly Miles],Table4[Yearly Miles Factor],,0)</f>
        <v>1</v>
      </c>
      <c r="AE329">
        <f>_xlfn.XLOOKUP(Table1820[[#This Row],[City/Zip Code]],Table5[City/Zip Code],Table5[City/Zip Code Factor],,0)</f>
        <v>1.1100000000000001</v>
      </c>
      <c r="AF329">
        <f>_xlfn.XLOOKUP(Table1820[[#This Row],[Vehicle Price]],Table6[Vehicle Price],Table6[Vehicle Price Factor])</f>
        <v>1.57</v>
      </c>
      <c r="AG329">
        <f>_xlfn.XLOOKUP(Table1820[[#This Row],[Exotic Car]],Table7[Exotic Car],Table7[Exotic Car Factor],,0)</f>
        <v>1</v>
      </c>
      <c r="AH329">
        <f>_xlfn.XLOOKUP(Table1820[[#This Row],[Difficult Parts]],Table8[Difficult Parts],Table8[Difficult Parts Factor],,0)</f>
        <v>1</v>
      </c>
      <c r="AI329">
        <f>_xlfn.XLOOKUP(Table1820[[#This Row],[High Theft Rate]],Table9[High Theft Rate],Table9[High Theft Rate Factor],,0)</f>
        <v>1.1599999999999999</v>
      </c>
      <c r="AJ329">
        <f>_xlfn.XLOOKUP(Table1820[[#This Row],[Advanced Safety Features]],Table10[Advanced Safety Features],Table10[Advanced Safety Features Factor],,0)</f>
        <v>1</v>
      </c>
      <c r="AK329">
        <f>_xlfn.XLOOKUP(Table1820[[#This Row],[Deductible]],Table12[Deductible],Table12[Deductible Factor],,0)</f>
        <v>1</v>
      </c>
      <c r="AL329">
        <f>_xlfn.XLOOKUP(Table1820[[#This Row],[Coverage Limit]],Table13[Coverage Limit],Table13[Coverage Limit Factor],,0)</f>
        <v>0.61</v>
      </c>
      <c r="AM329">
        <f>IF(Table1820[[#This Row],[Good Student Discount]]="Yes",'Rate Book'!$D$126,1)</f>
        <v>1</v>
      </c>
      <c r="AN329">
        <f>IF(Table1820[[#This Row],[Good Driver Discount]]="Yes",'Rate Book'!$D$127,1)</f>
        <v>0.89</v>
      </c>
      <c r="AO329">
        <f>IF(Table1820[[#This Row],[Multi Policy Discount]]="Yes",'Rate Book'!$D$128,1)</f>
        <v>1</v>
      </c>
      <c r="AP329">
        <f>IF(Table1820[[#This Row],[Loyal Customer Discount]]="Yes",'Rate Book'!$D$129,1)</f>
        <v>0.94</v>
      </c>
      <c r="AQ329">
        <f>IF(Table1820[[#This Row],[Organization Discount]]="Yes",'Rate Book'!$D$130,1)</f>
        <v>1</v>
      </c>
      <c r="AR329" cm="1">
        <f t="array" ref="AR329">IF(Table1820[[#This Row],[Effective Date]]&gt;=RateChangeTable[Effective Date],RateChangeTable[Rate Change Factor],1)</f>
        <v>1.06</v>
      </c>
      <c r="AS329" s="10">
        <f>PRODUCT(Table1820[[#This Row],[Base Rate]:[Rate Change Factor]])</f>
        <v>954.86544748903111</v>
      </c>
      <c r="AT329" s="9">
        <f>Table1820[[#This Row],[System-Generated Premium]]-Table1820[[#This Row],[Expected Premium]]</f>
        <v>0</v>
      </c>
      <c r="AU329" t="str">
        <f>IF(Table1820[[#This Row],[Difference]]=0,"PASS","FAIL")</f>
        <v>PASS</v>
      </c>
      <c r="AV329" s="9">
        <f>ABS(Table1820[[#This Row],[Difference]])</f>
        <v>0</v>
      </c>
      <c r="AW329" s="9" t="s">
        <v>1136</v>
      </c>
    </row>
    <row r="330" spans="1:49" x14ac:dyDescent="0.3">
      <c r="A330" t="s">
        <v>421</v>
      </c>
      <c r="B330" s="7">
        <v>46007</v>
      </c>
      <c r="C330" t="s">
        <v>73</v>
      </c>
      <c r="D330" t="s">
        <v>1099</v>
      </c>
      <c r="E330" s="3">
        <v>1</v>
      </c>
      <c r="F330" s="3">
        <v>4</v>
      </c>
      <c r="G330" t="s">
        <v>10</v>
      </c>
      <c r="H330" t="s">
        <v>1107</v>
      </c>
      <c r="I330" t="s">
        <v>44</v>
      </c>
      <c r="J330" t="s">
        <v>48</v>
      </c>
      <c r="K330" t="s">
        <v>10</v>
      </c>
      <c r="L330" t="s">
        <v>10</v>
      </c>
      <c r="M330" t="s">
        <v>10</v>
      </c>
      <c r="N330" t="s">
        <v>10</v>
      </c>
      <c r="O330" t="str">
        <f>INDEX(CoverageTable[Deductible Applies],MATCH(Table1820[[#This Row],[Coverage]],CoverageTable[Coverage],0))</f>
        <v>No</v>
      </c>
      <c r="P330" t="str">
        <f>INDEX(CoverageTable[Coverage Limit Applies],MATCH(Table1820[[#This Row],[Coverage]],CoverageTable[Coverage],0))</f>
        <v>Yes</v>
      </c>
      <c r="Q330" t="s">
        <v>10</v>
      </c>
      <c r="R330" t="s">
        <v>79</v>
      </c>
      <c r="S330" t="s">
        <v>10</v>
      </c>
      <c r="T330" t="s">
        <v>57</v>
      </c>
      <c r="U330" t="s">
        <v>10</v>
      </c>
      <c r="V330" t="s">
        <v>57</v>
      </c>
      <c r="W330" t="s">
        <v>10</v>
      </c>
      <c r="X330" s="11">
        <v>144.50386344275682</v>
      </c>
      <c r="Y330">
        <f>_xlfn.XLOOKUP(Table1820[[#This Row],[Coverage]],CoverageTable[Coverage],CoverageTable[Base Rate],,0)</f>
        <v>78</v>
      </c>
      <c r="Z330">
        <f>INDEX(Table16[Ageband Factor],MATCH(Table1820[[#This Row],[Ageband]],Table16[Ageband],0))</f>
        <v>1</v>
      </c>
      <c r="AA330">
        <f>VLOOKUP(Table1820[[#This Row],[Years Driving]],Table1[],2)</f>
        <v>1.64</v>
      </c>
      <c r="AB330">
        <f>_xlfn.XLOOKUP(Table1820[[#This Row],[At Fault Accidents]],Table2[At Fault Accidents],Table2[At Fault Accident Factor],,0)</f>
        <v>2.12</v>
      </c>
      <c r="AC330">
        <f>_xlfn.XLOOKUP(Table1820[[#This Row],[Usage-Based Insurance]],Table3[Usage-Based Insurance],Table3[Usage-Based Insurance Discount],,0)</f>
        <v>1</v>
      </c>
      <c r="AD330">
        <f>_xlfn.XLOOKUP(Table1820[[#This Row],[Yearly Miles]],Table4[Yearly Miles],Table4[Yearly Miles Factor],,0)</f>
        <v>0.93</v>
      </c>
      <c r="AE330">
        <f>_xlfn.XLOOKUP(Table1820[[#This Row],[City/Zip Code]],Table5[City/Zip Code],Table5[City/Zip Code Factor],,0)</f>
        <v>1.1599999999999999</v>
      </c>
      <c r="AF330">
        <f>_xlfn.XLOOKUP(Table1820[[#This Row],[Vehicle Price]],Table6[Vehicle Price],Table6[Vehicle Price Factor])</f>
        <v>0.82</v>
      </c>
      <c r="AG330">
        <f>_xlfn.XLOOKUP(Table1820[[#This Row],[Exotic Car]],Table7[Exotic Car],Table7[Exotic Car Factor],,0)</f>
        <v>1</v>
      </c>
      <c r="AH330">
        <f>_xlfn.XLOOKUP(Table1820[[#This Row],[Difficult Parts]],Table8[Difficult Parts],Table8[Difficult Parts Factor],,0)</f>
        <v>1</v>
      </c>
      <c r="AI330">
        <f>_xlfn.XLOOKUP(Table1820[[#This Row],[High Theft Rate]],Table9[High Theft Rate],Table9[High Theft Rate Factor],,0)</f>
        <v>1</v>
      </c>
      <c r="AJ330">
        <f>_xlfn.XLOOKUP(Table1820[[#This Row],[Advanced Safety Features]],Table10[Advanced Safety Features],Table10[Advanced Safety Features Factor],,0)</f>
        <v>1</v>
      </c>
      <c r="AK330">
        <f>_xlfn.XLOOKUP(Table1820[[#This Row],[Deductible]],Table12[Deductible],Table12[Deductible Factor],,0)</f>
        <v>1</v>
      </c>
      <c r="AL330">
        <f>_xlfn.XLOOKUP(Table1820[[#This Row],[Coverage Limit]],Table13[Coverage Limit],Table13[Coverage Limit Factor],,0)</f>
        <v>0.72</v>
      </c>
      <c r="AM330">
        <f>IF(Table1820[[#This Row],[Good Student Discount]]="Yes",'Rate Book'!$D$126,1)</f>
        <v>1</v>
      </c>
      <c r="AN330">
        <f>IF(Table1820[[#This Row],[Good Driver Discount]]="Yes",'Rate Book'!$D$127,1)</f>
        <v>0.89</v>
      </c>
      <c r="AO330">
        <f>IF(Table1820[[#This Row],[Multi Policy Discount]]="Yes",'Rate Book'!$D$128,1)</f>
        <v>1</v>
      </c>
      <c r="AP330">
        <f>IF(Table1820[[#This Row],[Loyal Customer Discount]]="Yes",'Rate Book'!$D$129,1)</f>
        <v>0.94</v>
      </c>
      <c r="AQ330">
        <f>IF(Table1820[[#This Row],[Organization Discount]]="Yes",'Rate Book'!$D$130,1)</f>
        <v>1</v>
      </c>
      <c r="AR330" cm="1">
        <f t="array" ref="AR330">IF(Table1820[[#This Row],[Effective Date]]&gt;=RateChangeTable[Effective Date],RateChangeTable[Rate Change Factor],1)</f>
        <v>1</v>
      </c>
      <c r="AS330" s="10">
        <f>PRODUCT(Table1820[[#This Row],[Base Rate]:[Rate Change Factor]])</f>
        <v>144.50386344275682</v>
      </c>
      <c r="AT330" s="9">
        <f>Table1820[[#This Row],[System-Generated Premium]]-Table1820[[#This Row],[Expected Premium]]</f>
        <v>0</v>
      </c>
      <c r="AU330" t="str">
        <f>IF(Table1820[[#This Row],[Difference]]=0,"PASS","FAIL")</f>
        <v>PASS</v>
      </c>
      <c r="AV330" s="9">
        <f>ABS(Table1820[[#This Row],[Difference]])</f>
        <v>0</v>
      </c>
      <c r="AW330" s="9" t="s">
        <v>1136</v>
      </c>
    </row>
    <row r="331" spans="1:49" x14ac:dyDescent="0.3">
      <c r="A331" t="s">
        <v>422</v>
      </c>
      <c r="B331" s="7">
        <v>45786</v>
      </c>
      <c r="C331" t="s">
        <v>74</v>
      </c>
      <c r="D331" t="s">
        <v>1099</v>
      </c>
      <c r="E331" s="3">
        <v>3</v>
      </c>
      <c r="F331" s="3" t="s">
        <v>7</v>
      </c>
      <c r="G331" t="s">
        <v>13</v>
      </c>
      <c r="H331" t="s">
        <v>1107</v>
      </c>
      <c r="I331" t="s">
        <v>38</v>
      </c>
      <c r="J331" t="s">
        <v>50</v>
      </c>
      <c r="K331" t="s">
        <v>57</v>
      </c>
      <c r="L331" t="s">
        <v>10</v>
      </c>
      <c r="M331" t="s">
        <v>10</v>
      </c>
      <c r="N331" t="s">
        <v>10</v>
      </c>
      <c r="O331" t="str">
        <f>INDEX(CoverageTable[Deductible Applies],MATCH(Table1820[[#This Row],[Coverage]],CoverageTable[Coverage],0))</f>
        <v>No</v>
      </c>
      <c r="P331" t="str">
        <f>INDEX(CoverageTable[Coverage Limit Applies],MATCH(Table1820[[#This Row],[Coverage]],CoverageTable[Coverage],0))</f>
        <v>Yes</v>
      </c>
      <c r="Q331" t="s">
        <v>10</v>
      </c>
      <c r="R331" t="s">
        <v>79</v>
      </c>
      <c r="S331" t="s">
        <v>10</v>
      </c>
      <c r="T331" t="s">
        <v>10</v>
      </c>
      <c r="U331" t="s">
        <v>57</v>
      </c>
      <c r="V331" t="s">
        <v>10</v>
      </c>
      <c r="W331" t="s">
        <v>10</v>
      </c>
      <c r="X331" s="11">
        <v>77.429087053898741</v>
      </c>
      <c r="Y331">
        <f>_xlfn.XLOOKUP(Table1820[[#This Row],[Coverage]],CoverageTable[Coverage],CoverageTable[Base Rate],,0)</f>
        <v>41</v>
      </c>
      <c r="Z331">
        <f>INDEX(Table16[Ageband Factor],MATCH(Table1820[[#This Row],[Ageband]],Table16[Ageband],0))</f>
        <v>1</v>
      </c>
      <c r="AA331">
        <f>VLOOKUP(Table1820[[#This Row],[Years Driving]],Table1[],2)</f>
        <v>1.22</v>
      </c>
      <c r="AB331">
        <f>_xlfn.XLOOKUP(Table1820[[#This Row],[At Fault Accidents]],Table2[At Fault Accidents],Table2[At Fault Accident Factor],,0)</f>
        <v>2.4700000000000002</v>
      </c>
      <c r="AC331">
        <f>_xlfn.XLOOKUP(Table1820[[#This Row],[Usage-Based Insurance]],Table3[Usage-Based Insurance],Table3[Usage-Based Insurance Discount],,0)</f>
        <v>0.65</v>
      </c>
      <c r="AD331">
        <f>_xlfn.XLOOKUP(Table1820[[#This Row],[Yearly Miles]],Table4[Yearly Miles],Table4[Yearly Miles Factor],,0)</f>
        <v>0.93</v>
      </c>
      <c r="AE331">
        <f>_xlfn.XLOOKUP(Table1820[[#This Row],[City/Zip Code]],Table5[City/Zip Code],Table5[City/Zip Code Factor],,0)</f>
        <v>1.1200000000000001</v>
      </c>
      <c r="AF331">
        <f>_xlfn.XLOOKUP(Table1820[[#This Row],[Vehicle Price]],Table6[Vehicle Price],Table6[Vehicle Price Factor])</f>
        <v>1.08</v>
      </c>
      <c r="AG331">
        <f>_xlfn.XLOOKUP(Table1820[[#This Row],[Exotic Car]],Table7[Exotic Car],Table7[Exotic Car Factor],,0)</f>
        <v>1.28</v>
      </c>
      <c r="AH331">
        <f>_xlfn.XLOOKUP(Table1820[[#This Row],[Difficult Parts]],Table8[Difficult Parts],Table8[Difficult Parts Factor],,0)</f>
        <v>1</v>
      </c>
      <c r="AI331">
        <f>_xlfn.XLOOKUP(Table1820[[#This Row],[High Theft Rate]],Table9[High Theft Rate],Table9[High Theft Rate Factor],,0)</f>
        <v>1</v>
      </c>
      <c r="AJ331">
        <f>_xlfn.XLOOKUP(Table1820[[#This Row],[Advanced Safety Features]],Table10[Advanced Safety Features],Table10[Advanced Safety Features Factor],,0)</f>
        <v>1</v>
      </c>
      <c r="AK331">
        <f>_xlfn.XLOOKUP(Table1820[[#This Row],[Deductible]],Table12[Deductible],Table12[Deductible Factor],,0)</f>
        <v>1</v>
      </c>
      <c r="AL331">
        <f>_xlfn.XLOOKUP(Table1820[[#This Row],[Coverage Limit]],Table13[Coverage Limit],Table13[Coverage Limit Factor],,0)</f>
        <v>0.72</v>
      </c>
      <c r="AM331">
        <f>IF(Table1820[[#This Row],[Good Student Discount]]="Yes",'Rate Book'!$D$126,1)</f>
        <v>1</v>
      </c>
      <c r="AN331">
        <f>IF(Table1820[[#This Row],[Good Driver Discount]]="Yes",'Rate Book'!$D$127,1)</f>
        <v>1</v>
      </c>
      <c r="AO331">
        <f>IF(Table1820[[#This Row],[Multi Policy Discount]]="Yes",'Rate Book'!$D$128,1)</f>
        <v>0.93</v>
      </c>
      <c r="AP331">
        <f>IF(Table1820[[#This Row],[Loyal Customer Discount]]="Yes",'Rate Book'!$D$129,1)</f>
        <v>1</v>
      </c>
      <c r="AQ331">
        <f>IF(Table1820[[#This Row],[Organization Discount]]="Yes",'Rate Book'!$D$130,1)</f>
        <v>1</v>
      </c>
      <c r="AR331" cm="1">
        <f t="array" ref="AR331">IF(Table1820[[#This Row],[Effective Date]]&gt;=RateChangeTable[Effective Date],RateChangeTable[Rate Change Factor],1)</f>
        <v>1</v>
      </c>
      <c r="AS331" s="10">
        <f>PRODUCT(Table1820[[#This Row],[Base Rate]:[Rate Change Factor]])</f>
        <v>77.429087053898741</v>
      </c>
      <c r="AT331" s="9">
        <f>Table1820[[#This Row],[System-Generated Premium]]-Table1820[[#This Row],[Expected Premium]]</f>
        <v>0</v>
      </c>
      <c r="AU331" t="str">
        <f>IF(Table1820[[#This Row],[Difference]]=0,"PASS","FAIL")</f>
        <v>PASS</v>
      </c>
      <c r="AV331" s="9">
        <f>ABS(Table1820[[#This Row],[Difference]])</f>
        <v>0</v>
      </c>
      <c r="AW331" s="9" t="s">
        <v>1136</v>
      </c>
    </row>
    <row r="332" spans="1:49" x14ac:dyDescent="0.3">
      <c r="A332" t="s">
        <v>423</v>
      </c>
      <c r="B332" s="7">
        <v>45986</v>
      </c>
      <c r="C332" t="s">
        <v>70</v>
      </c>
      <c r="D332" t="s">
        <v>1102</v>
      </c>
      <c r="E332" s="3">
        <v>6</v>
      </c>
      <c r="F332" s="3">
        <v>2</v>
      </c>
      <c r="G332" t="s">
        <v>10</v>
      </c>
      <c r="H332" t="s">
        <v>1109</v>
      </c>
      <c r="I332" t="s">
        <v>34</v>
      </c>
      <c r="J332" t="s">
        <v>48</v>
      </c>
      <c r="K332" t="s">
        <v>10</v>
      </c>
      <c r="L332" t="s">
        <v>10</v>
      </c>
      <c r="M332" t="s">
        <v>10</v>
      </c>
      <c r="N332" t="s">
        <v>57</v>
      </c>
      <c r="O332" t="str">
        <f>INDEX(CoverageTable[Deductible Applies],MATCH(Table1820[[#This Row],[Coverage]],CoverageTable[Coverage],0))</f>
        <v>No</v>
      </c>
      <c r="P332" t="str">
        <f>INDEX(CoverageTable[Coverage Limit Applies],MATCH(Table1820[[#This Row],[Coverage]],CoverageTable[Coverage],0))</f>
        <v>Yes</v>
      </c>
      <c r="Q332" t="s">
        <v>10</v>
      </c>
      <c r="R332" t="s">
        <v>79</v>
      </c>
      <c r="S332" t="s">
        <v>10</v>
      </c>
      <c r="T332" t="s">
        <v>10</v>
      </c>
      <c r="U332" t="s">
        <v>57</v>
      </c>
      <c r="V332" t="s">
        <v>10</v>
      </c>
      <c r="W332" t="s">
        <v>10</v>
      </c>
      <c r="X332" s="11">
        <v>1089.041372882851</v>
      </c>
      <c r="Y332">
        <f>_xlfn.XLOOKUP(Table1820[[#This Row],[Coverage]],CoverageTable[Coverage],CoverageTable[Base Rate],,0)</f>
        <v>622</v>
      </c>
      <c r="Z332">
        <f>INDEX(Table16[Ageband Factor],MATCH(Table1820[[#This Row],[Ageband]],Table16[Ageband],0))</f>
        <v>1.27</v>
      </c>
      <c r="AA332">
        <f>VLOOKUP(Table1820[[#This Row],[Years Driving]],Table1[],2)</f>
        <v>1</v>
      </c>
      <c r="AB332">
        <f>_xlfn.XLOOKUP(Table1820[[#This Row],[At Fault Accidents]],Table2[At Fault Accidents],Table2[At Fault Accident Factor],,0)</f>
        <v>1.55</v>
      </c>
      <c r="AC332">
        <f>_xlfn.XLOOKUP(Table1820[[#This Row],[Usage-Based Insurance]],Table3[Usage-Based Insurance],Table3[Usage-Based Insurance Discount],,0)</f>
        <v>1</v>
      </c>
      <c r="AD332">
        <f>_xlfn.XLOOKUP(Table1820[[#This Row],[Yearly Miles]],Table4[Yearly Miles],Table4[Yearly Miles Factor],,0)</f>
        <v>1.18</v>
      </c>
      <c r="AE332">
        <f>_xlfn.XLOOKUP(Table1820[[#This Row],[City/Zip Code]],Table5[City/Zip Code],Table5[City/Zip Code Factor],,0)</f>
        <v>1.56</v>
      </c>
      <c r="AF332">
        <f>_xlfn.XLOOKUP(Table1820[[#This Row],[Vehicle Price]],Table6[Vehicle Price],Table6[Vehicle Price Factor])</f>
        <v>0.82</v>
      </c>
      <c r="AG332">
        <f>_xlfn.XLOOKUP(Table1820[[#This Row],[Exotic Car]],Table7[Exotic Car],Table7[Exotic Car Factor],,0)</f>
        <v>1</v>
      </c>
      <c r="AH332">
        <f>_xlfn.XLOOKUP(Table1820[[#This Row],[Difficult Parts]],Table8[Difficult Parts],Table8[Difficult Parts Factor],,0)</f>
        <v>1</v>
      </c>
      <c r="AI332">
        <f>_xlfn.XLOOKUP(Table1820[[#This Row],[High Theft Rate]],Table9[High Theft Rate],Table9[High Theft Rate Factor],,0)</f>
        <v>1</v>
      </c>
      <c r="AJ332">
        <f>_xlfn.XLOOKUP(Table1820[[#This Row],[Advanced Safety Features]],Table10[Advanced Safety Features],Table10[Advanced Safety Features Factor],,0)</f>
        <v>0.88</v>
      </c>
      <c r="AK332">
        <f>_xlfn.XLOOKUP(Table1820[[#This Row],[Deductible]],Table12[Deductible],Table12[Deductible Factor],,0)</f>
        <v>1</v>
      </c>
      <c r="AL332">
        <f>_xlfn.XLOOKUP(Table1820[[#This Row],[Coverage Limit]],Table13[Coverage Limit],Table13[Coverage Limit Factor],,0)</f>
        <v>0.72</v>
      </c>
      <c r="AM332">
        <f>IF(Table1820[[#This Row],[Good Student Discount]]="Yes",'Rate Book'!$D$126,1)</f>
        <v>1</v>
      </c>
      <c r="AN332">
        <f>IF(Table1820[[#This Row],[Good Driver Discount]]="Yes",'Rate Book'!$D$127,1)</f>
        <v>1</v>
      </c>
      <c r="AO332">
        <f>IF(Table1820[[#This Row],[Multi Policy Discount]]="Yes",'Rate Book'!$D$128,1)</f>
        <v>0.93</v>
      </c>
      <c r="AP332">
        <f>IF(Table1820[[#This Row],[Loyal Customer Discount]]="Yes",'Rate Book'!$D$129,1)</f>
        <v>1</v>
      </c>
      <c r="AQ332">
        <f>IF(Table1820[[#This Row],[Organization Discount]]="Yes",'Rate Book'!$D$130,1)</f>
        <v>1</v>
      </c>
      <c r="AR332" cm="1">
        <f t="array" ref="AR332">IF(Table1820[[#This Row],[Effective Date]]&gt;=RateChangeTable[Effective Date],RateChangeTable[Rate Change Factor],1)</f>
        <v>1</v>
      </c>
      <c r="AS332" s="10">
        <f>PRODUCT(Table1820[[#This Row],[Base Rate]:[Rate Change Factor]])</f>
        <v>1089.041372882851</v>
      </c>
      <c r="AT332" s="9">
        <f>Table1820[[#This Row],[System-Generated Premium]]-Table1820[[#This Row],[Expected Premium]]</f>
        <v>0</v>
      </c>
      <c r="AU332" t="str">
        <f>IF(Table1820[[#This Row],[Difference]]=0,"PASS","FAIL")</f>
        <v>PASS</v>
      </c>
      <c r="AV332" s="9">
        <f>ABS(Table1820[[#This Row],[Difference]])</f>
        <v>0</v>
      </c>
      <c r="AW332" s="9" t="s">
        <v>1136</v>
      </c>
    </row>
    <row r="333" spans="1:49" x14ac:dyDescent="0.3">
      <c r="A333" t="s">
        <v>424</v>
      </c>
      <c r="B333" s="7">
        <v>45827</v>
      </c>
      <c r="C333" t="s">
        <v>71</v>
      </c>
      <c r="D333" t="s">
        <v>1098</v>
      </c>
      <c r="E333" s="3">
        <v>6</v>
      </c>
      <c r="F333" s="3">
        <v>1</v>
      </c>
      <c r="G333" t="s">
        <v>10</v>
      </c>
      <c r="H333" t="s">
        <v>1108</v>
      </c>
      <c r="I333" t="s">
        <v>33</v>
      </c>
      <c r="J333" t="s">
        <v>49</v>
      </c>
      <c r="K333" t="s">
        <v>10</v>
      </c>
      <c r="L333" t="s">
        <v>10</v>
      </c>
      <c r="M333" t="s">
        <v>10</v>
      </c>
      <c r="N333" t="s">
        <v>10</v>
      </c>
      <c r="O333" t="str">
        <f>INDEX(CoverageTable[Deductible Applies],MATCH(Table1820[[#This Row],[Coverage]],CoverageTable[Coverage],0))</f>
        <v>Yes</v>
      </c>
      <c r="P333" t="str">
        <f>INDEX(CoverageTable[Coverage Limit Applies],MATCH(Table1820[[#This Row],[Coverage]],CoverageTable[Coverage],0))</f>
        <v>No</v>
      </c>
      <c r="Q333" t="s">
        <v>78</v>
      </c>
      <c r="R333" t="s">
        <v>10</v>
      </c>
      <c r="S333" t="s">
        <v>10</v>
      </c>
      <c r="T333" t="s">
        <v>10</v>
      </c>
      <c r="U333" t="s">
        <v>10</v>
      </c>
      <c r="V333" t="s">
        <v>10</v>
      </c>
      <c r="W333" t="s">
        <v>57</v>
      </c>
      <c r="X333" s="11">
        <v>680.73073179065989</v>
      </c>
      <c r="Y333">
        <f>_xlfn.XLOOKUP(Table1820[[#This Row],[Coverage]],CoverageTable[Coverage],CoverageTable[Base Rate],,0)</f>
        <v>453</v>
      </c>
      <c r="Z333">
        <f>INDEX(Table16[Ageband Factor],MATCH(Table1820[[#This Row],[Ageband]],Table16[Ageband],0))</f>
        <v>1.23</v>
      </c>
      <c r="AA333">
        <f>VLOOKUP(Table1820[[#This Row],[Years Driving]],Table1[],2)</f>
        <v>1</v>
      </c>
      <c r="AB333">
        <f>_xlfn.XLOOKUP(Table1820[[#This Row],[At Fault Accidents]],Table2[At Fault Accidents],Table2[At Fault Accident Factor],,0)</f>
        <v>1.34</v>
      </c>
      <c r="AC333">
        <f>_xlfn.XLOOKUP(Table1820[[#This Row],[Usage-Based Insurance]],Table3[Usage-Based Insurance],Table3[Usage-Based Insurance Discount],,0)</f>
        <v>1</v>
      </c>
      <c r="AD333">
        <f>_xlfn.XLOOKUP(Table1820[[#This Row],[Yearly Miles]],Table4[Yearly Miles],Table4[Yearly Miles Factor],,0)</f>
        <v>1</v>
      </c>
      <c r="AE333">
        <f>_xlfn.XLOOKUP(Table1820[[#This Row],[City/Zip Code]],Table5[City/Zip Code],Table5[City/Zip Code Factor],,0)</f>
        <v>1.02</v>
      </c>
      <c r="AF333">
        <f>_xlfn.XLOOKUP(Table1820[[#This Row],[Vehicle Price]],Table6[Vehicle Price],Table6[Vehicle Price Factor])</f>
        <v>0.97</v>
      </c>
      <c r="AG333">
        <f>_xlfn.XLOOKUP(Table1820[[#This Row],[Exotic Car]],Table7[Exotic Car],Table7[Exotic Car Factor],,0)</f>
        <v>1</v>
      </c>
      <c r="AH333">
        <f>_xlfn.XLOOKUP(Table1820[[#This Row],[Difficult Parts]],Table8[Difficult Parts],Table8[Difficult Parts Factor],,0)</f>
        <v>1</v>
      </c>
      <c r="AI333">
        <f>_xlfn.XLOOKUP(Table1820[[#This Row],[High Theft Rate]],Table9[High Theft Rate],Table9[High Theft Rate Factor],,0)</f>
        <v>1</v>
      </c>
      <c r="AJ333">
        <f>_xlfn.XLOOKUP(Table1820[[#This Row],[Advanced Safety Features]],Table10[Advanced Safety Features],Table10[Advanced Safety Features Factor],,0)</f>
        <v>1</v>
      </c>
      <c r="AK333">
        <f>_xlfn.XLOOKUP(Table1820[[#This Row],[Deductible]],Table12[Deductible],Table12[Deductible Factor],,0)</f>
        <v>0.95</v>
      </c>
      <c r="AL333">
        <f>_xlfn.XLOOKUP(Table1820[[#This Row],[Coverage Limit]],Table13[Coverage Limit],Table13[Coverage Limit Factor],,0)</f>
        <v>1</v>
      </c>
      <c r="AM333">
        <f>IF(Table1820[[#This Row],[Good Student Discount]]="Yes",'Rate Book'!$D$126,1)</f>
        <v>1</v>
      </c>
      <c r="AN333">
        <f>IF(Table1820[[#This Row],[Good Driver Discount]]="Yes",'Rate Book'!$D$127,1)</f>
        <v>1</v>
      </c>
      <c r="AO333">
        <f>IF(Table1820[[#This Row],[Multi Policy Discount]]="Yes",'Rate Book'!$D$128,1)</f>
        <v>1</v>
      </c>
      <c r="AP333">
        <f>IF(Table1820[[#This Row],[Loyal Customer Discount]]="Yes",'Rate Book'!$D$129,1)</f>
        <v>1</v>
      </c>
      <c r="AQ333">
        <f>IF(Table1820[[#This Row],[Organization Discount]]="Yes",'Rate Book'!$D$130,1)</f>
        <v>0.97</v>
      </c>
      <c r="AR333" cm="1">
        <f t="array" ref="AR333">IF(Table1820[[#This Row],[Effective Date]]&gt;=RateChangeTable[Effective Date],RateChangeTable[Rate Change Factor],1)</f>
        <v>1</v>
      </c>
      <c r="AS333" s="10">
        <f>PRODUCT(Table1820[[#This Row],[Base Rate]:[Rate Change Factor]])</f>
        <v>680.73073179065989</v>
      </c>
      <c r="AT333" s="9">
        <f>Table1820[[#This Row],[System-Generated Premium]]-Table1820[[#This Row],[Expected Premium]]</f>
        <v>0</v>
      </c>
      <c r="AU333" t="str">
        <f>IF(Table1820[[#This Row],[Difference]]=0,"PASS","FAIL")</f>
        <v>PASS</v>
      </c>
      <c r="AV333" s="9">
        <f>ABS(Table1820[[#This Row],[Difference]])</f>
        <v>0</v>
      </c>
      <c r="AW333" s="9" t="s">
        <v>1136</v>
      </c>
    </row>
    <row r="334" spans="1:49" x14ac:dyDescent="0.3">
      <c r="A334" t="s">
        <v>425</v>
      </c>
      <c r="B334" s="7">
        <v>45834</v>
      </c>
      <c r="C334" t="s">
        <v>71</v>
      </c>
      <c r="D334" t="s">
        <v>1097</v>
      </c>
      <c r="E334" s="3">
        <v>7</v>
      </c>
      <c r="F334" s="3">
        <v>1</v>
      </c>
      <c r="G334" t="s">
        <v>10</v>
      </c>
      <c r="H334" t="s">
        <v>1106</v>
      </c>
      <c r="I334" t="s">
        <v>39</v>
      </c>
      <c r="J334" t="s">
        <v>53</v>
      </c>
      <c r="K334" t="s">
        <v>10</v>
      </c>
      <c r="L334" t="s">
        <v>57</v>
      </c>
      <c r="M334" t="s">
        <v>57</v>
      </c>
      <c r="N334" t="s">
        <v>57</v>
      </c>
      <c r="O334" t="str">
        <f>INDEX(CoverageTable[Deductible Applies],MATCH(Table1820[[#This Row],[Coverage]],CoverageTable[Coverage],0))</f>
        <v>Yes</v>
      </c>
      <c r="P334" t="str">
        <f>INDEX(CoverageTable[Coverage Limit Applies],MATCH(Table1820[[#This Row],[Coverage]],CoverageTable[Coverage],0))</f>
        <v>No</v>
      </c>
      <c r="Q334" t="s">
        <v>79</v>
      </c>
      <c r="R334" t="s">
        <v>10</v>
      </c>
      <c r="S334" t="s">
        <v>57</v>
      </c>
      <c r="T334" t="s">
        <v>10</v>
      </c>
      <c r="U334" t="s">
        <v>10</v>
      </c>
      <c r="V334" t="s">
        <v>10</v>
      </c>
      <c r="W334" t="s">
        <v>10</v>
      </c>
      <c r="X334" s="11">
        <v>1299.8183366093388</v>
      </c>
      <c r="Y334">
        <f>_xlfn.XLOOKUP(Table1820[[#This Row],[Coverage]],CoverageTable[Coverage],CoverageTable[Base Rate],,0)</f>
        <v>453</v>
      </c>
      <c r="Z334">
        <f>INDEX(Table16[Ageband Factor],MATCH(Table1820[[#This Row],[Ageband]],Table16[Ageband],0))</f>
        <v>1.32</v>
      </c>
      <c r="AA334">
        <f>VLOOKUP(Table1820[[#This Row],[Years Driving]],Table1[],2)</f>
        <v>0.95</v>
      </c>
      <c r="AB334">
        <f>_xlfn.XLOOKUP(Table1820[[#This Row],[At Fault Accidents]],Table2[At Fault Accidents],Table2[At Fault Accident Factor],,0)</f>
        <v>1.34</v>
      </c>
      <c r="AC334">
        <f>_xlfn.XLOOKUP(Table1820[[#This Row],[Usage-Based Insurance]],Table3[Usage-Based Insurance],Table3[Usage-Based Insurance Discount],,0)</f>
        <v>1</v>
      </c>
      <c r="AD334">
        <f>_xlfn.XLOOKUP(Table1820[[#This Row],[Yearly Miles]],Table4[Yearly Miles],Table4[Yearly Miles Factor],,0)</f>
        <v>0.82</v>
      </c>
      <c r="AE334">
        <f>_xlfn.XLOOKUP(Table1820[[#This Row],[City/Zip Code]],Table5[City/Zip Code],Table5[City/Zip Code Factor],,0)</f>
        <v>1.08</v>
      </c>
      <c r="AF334">
        <f>_xlfn.XLOOKUP(Table1820[[#This Row],[Vehicle Price]],Table6[Vehicle Price],Table6[Vehicle Price Factor])</f>
        <v>2.02</v>
      </c>
      <c r="AG334">
        <f>_xlfn.XLOOKUP(Table1820[[#This Row],[Exotic Car]],Table7[Exotic Car],Table7[Exotic Car Factor],,0)</f>
        <v>1</v>
      </c>
      <c r="AH334">
        <f>_xlfn.XLOOKUP(Table1820[[#This Row],[Difficult Parts]],Table8[Difficult Parts],Table8[Difficult Parts Factor],,0)</f>
        <v>1.21</v>
      </c>
      <c r="AI334">
        <f>_xlfn.XLOOKUP(Table1820[[#This Row],[High Theft Rate]],Table9[High Theft Rate],Table9[High Theft Rate Factor],,0)</f>
        <v>1.1599999999999999</v>
      </c>
      <c r="AJ334">
        <f>_xlfn.XLOOKUP(Table1820[[#This Row],[Advanced Safety Features]],Table10[Advanced Safety Features],Table10[Advanced Safety Features Factor],,0)</f>
        <v>0.88</v>
      </c>
      <c r="AK334">
        <f>_xlfn.XLOOKUP(Table1820[[#This Row],[Deductible]],Table12[Deductible],Table12[Deductible Factor],,0)</f>
        <v>0.84</v>
      </c>
      <c r="AL334">
        <f>_xlfn.XLOOKUP(Table1820[[#This Row],[Coverage Limit]],Table13[Coverage Limit],Table13[Coverage Limit Factor],,0)</f>
        <v>1</v>
      </c>
      <c r="AM334">
        <f>IF(Table1820[[#This Row],[Good Student Discount]]="Yes",'Rate Book'!$D$126,1)</f>
        <v>0.92</v>
      </c>
      <c r="AN334">
        <f>IF(Table1820[[#This Row],[Good Driver Discount]]="Yes",'Rate Book'!$D$127,1)</f>
        <v>1</v>
      </c>
      <c r="AO334">
        <f>IF(Table1820[[#This Row],[Multi Policy Discount]]="Yes",'Rate Book'!$D$128,1)</f>
        <v>1</v>
      </c>
      <c r="AP334">
        <f>IF(Table1820[[#This Row],[Loyal Customer Discount]]="Yes",'Rate Book'!$D$129,1)</f>
        <v>1</v>
      </c>
      <c r="AQ334">
        <f>IF(Table1820[[#This Row],[Organization Discount]]="Yes",'Rate Book'!$D$130,1)</f>
        <v>1</v>
      </c>
      <c r="AR334" cm="1">
        <f t="array" ref="AR334">IF(Table1820[[#This Row],[Effective Date]]&gt;=RateChangeTable[Effective Date],RateChangeTable[Rate Change Factor],1)</f>
        <v>1</v>
      </c>
      <c r="AS334" s="10">
        <f>PRODUCT(Table1820[[#This Row],[Base Rate]:[Rate Change Factor]])</f>
        <v>1299.8183366093388</v>
      </c>
      <c r="AT334" s="9">
        <f>Table1820[[#This Row],[System-Generated Premium]]-Table1820[[#This Row],[Expected Premium]]</f>
        <v>0</v>
      </c>
      <c r="AU334" t="str">
        <f>IF(Table1820[[#This Row],[Difference]]=0,"PASS","FAIL")</f>
        <v>PASS</v>
      </c>
      <c r="AV334" s="9">
        <f>ABS(Table1820[[#This Row],[Difference]])</f>
        <v>0</v>
      </c>
      <c r="AW334" s="9" t="s">
        <v>1136</v>
      </c>
    </row>
    <row r="335" spans="1:49" x14ac:dyDescent="0.3">
      <c r="A335" t="s">
        <v>426</v>
      </c>
      <c r="B335" s="7">
        <v>45849</v>
      </c>
      <c r="C335" t="s">
        <v>74</v>
      </c>
      <c r="D335" t="s">
        <v>1102</v>
      </c>
      <c r="E335" s="3">
        <v>1</v>
      </c>
      <c r="F335" s="3">
        <v>1</v>
      </c>
      <c r="G335" t="s">
        <v>11</v>
      </c>
      <c r="H335" t="s">
        <v>1110</v>
      </c>
      <c r="I335" t="s">
        <v>36</v>
      </c>
      <c r="J335" t="s">
        <v>48</v>
      </c>
      <c r="K335" t="s">
        <v>10</v>
      </c>
      <c r="L335" t="s">
        <v>10</v>
      </c>
      <c r="M335" t="s">
        <v>10</v>
      </c>
      <c r="N335" t="s">
        <v>10</v>
      </c>
      <c r="O335" t="str">
        <f>INDEX(CoverageTable[Deductible Applies],MATCH(Table1820[[#This Row],[Coverage]],CoverageTable[Coverage],0))</f>
        <v>No</v>
      </c>
      <c r="P335" t="str">
        <f>INDEX(CoverageTable[Coverage Limit Applies],MATCH(Table1820[[#This Row],[Coverage]],CoverageTable[Coverage],0))</f>
        <v>Yes</v>
      </c>
      <c r="Q335" t="s">
        <v>10</v>
      </c>
      <c r="R335" t="s">
        <v>80</v>
      </c>
      <c r="S335" t="s">
        <v>10</v>
      </c>
      <c r="T335" t="s">
        <v>10</v>
      </c>
      <c r="U335" t="s">
        <v>10</v>
      </c>
      <c r="V335" t="s">
        <v>10</v>
      </c>
      <c r="W335" t="s">
        <v>10</v>
      </c>
      <c r="X335" s="11">
        <v>96.128095735027742</v>
      </c>
      <c r="Y335">
        <f>_xlfn.XLOOKUP(Table1820[[#This Row],[Coverage]],CoverageTable[Coverage],CoverageTable[Base Rate],,0)</f>
        <v>41</v>
      </c>
      <c r="Z335">
        <f>INDEX(Table16[Ageband Factor],MATCH(Table1820[[#This Row],[Ageband]],Table16[Ageband],0))</f>
        <v>1.27</v>
      </c>
      <c r="AA335">
        <f>VLOOKUP(Table1820[[#This Row],[Years Driving]],Table1[],2)</f>
        <v>1.64</v>
      </c>
      <c r="AB335">
        <f>_xlfn.XLOOKUP(Table1820[[#This Row],[At Fault Accidents]],Table2[At Fault Accidents],Table2[At Fault Accident Factor],,0)</f>
        <v>1.34</v>
      </c>
      <c r="AC335">
        <f>_xlfn.XLOOKUP(Table1820[[#This Row],[Usage-Based Insurance]],Table3[Usage-Based Insurance],Table3[Usage-Based Insurance Discount],,0)</f>
        <v>0.95</v>
      </c>
      <c r="AD335">
        <f>_xlfn.XLOOKUP(Table1820[[#This Row],[Yearly Miles]],Table4[Yearly Miles],Table4[Yearly Miles Factor],,0)</f>
        <v>1.31</v>
      </c>
      <c r="AE335">
        <f>_xlfn.XLOOKUP(Table1820[[#This Row],[City/Zip Code]],Table5[City/Zip Code],Table5[City/Zip Code Factor],,0)</f>
        <v>0.98</v>
      </c>
      <c r="AF335">
        <f>_xlfn.XLOOKUP(Table1820[[#This Row],[Vehicle Price]],Table6[Vehicle Price],Table6[Vehicle Price Factor])</f>
        <v>0.82</v>
      </c>
      <c r="AG335">
        <f>_xlfn.XLOOKUP(Table1820[[#This Row],[Exotic Car]],Table7[Exotic Car],Table7[Exotic Car Factor],,0)</f>
        <v>1</v>
      </c>
      <c r="AH335">
        <f>_xlfn.XLOOKUP(Table1820[[#This Row],[Difficult Parts]],Table8[Difficult Parts],Table8[Difficult Parts Factor],,0)</f>
        <v>1</v>
      </c>
      <c r="AI335">
        <f>_xlfn.XLOOKUP(Table1820[[#This Row],[High Theft Rate]],Table9[High Theft Rate],Table9[High Theft Rate Factor],,0)</f>
        <v>1</v>
      </c>
      <c r="AJ335">
        <f>_xlfn.XLOOKUP(Table1820[[#This Row],[Advanced Safety Features]],Table10[Advanced Safety Features],Table10[Advanced Safety Features Factor],,0)</f>
        <v>1</v>
      </c>
      <c r="AK335">
        <f>_xlfn.XLOOKUP(Table1820[[#This Row],[Deductible]],Table12[Deductible],Table12[Deductible Factor],,0)</f>
        <v>1</v>
      </c>
      <c r="AL335">
        <f>_xlfn.XLOOKUP(Table1820[[#This Row],[Coverage Limit]],Table13[Coverage Limit],Table13[Coverage Limit Factor],,0)</f>
        <v>0.84</v>
      </c>
      <c r="AM335">
        <f>IF(Table1820[[#This Row],[Good Student Discount]]="Yes",'Rate Book'!$D$126,1)</f>
        <v>1</v>
      </c>
      <c r="AN335">
        <f>IF(Table1820[[#This Row],[Good Driver Discount]]="Yes",'Rate Book'!$D$127,1)</f>
        <v>1</v>
      </c>
      <c r="AO335">
        <f>IF(Table1820[[#This Row],[Multi Policy Discount]]="Yes",'Rate Book'!$D$128,1)</f>
        <v>1</v>
      </c>
      <c r="AP335">
        <f>IF(Table1820[[#This Row],[Loyal Customer Discount]]="Yes",'Rate Book'!$D$129,1)</f>
        <v>1</v>
      </c>
      <c r="AQ335">
        <f>IF(Table1820[[#This Row],[Organization Discount]]="Yes",'Rate Book'!$D$130,1)</f>
        <v>1</v>
      </c>
      <c r="AR335" cm="1">
        <f t="array" ref="AR335">IF(Table1820[[#This Row],[Effective Date]]&gt;=RateChangeTable[Effective Date],RateChangeTable[Rate Change Factor],1)</f>
        <v>1</v>
      </c>
      <c r="AS335" s="10">
        <f>PRODUCT(Table1820[[#This Row],[Base Rate]:[Rate Change Factor]])</f>
        <v>96.128095735027742</v>
      </c>
      <c r="AT335" s="9">
        <f>Table1820[[#This Row],[System-Generated Premium]]-Table1820[[#This Row],[Expected Premium]]</f>
        <v>0</v>
      </c>
      <c r="AU335" t="str">
        <f>IF(Table1820[[#This Row],[Difference]]=0,"PASS","FAIL")</f>
        <v>PASS</v>
      </c>
      <c r="AV335" s="9">
        <f>ABS(Table1820[[#This Row],[Difference]])</f>
        <v>0</v>
      </c>
      <c r="AW335" s="9" t="s">
        <v>1136</v>
      </c>
    </row>
    <row r="336" spans="1:49" x14ac:dyDescent="0.3">
      <c r="A336" t="s">
        <v>427</v>
      </c>
      <c r="B336" s="7">
        <v>46001</v>
      </c>
      <c r="C336" t="s">
        <v>70</v>
      </c>
      <c r="D336" t="s">
        <v>1100</v>
      </c>
      <c r="E336" s="3">
        <v>4</v>
      </c>
      <c r="F336" s="3">
        <v>3</v>
      </c>
      <c r="G336" t="s">
        <v>11</v>
      </c>
      <c r="H336" t="s">
        <v>1107</v>
      </c>
      <c r="I336" t="s">
        <v>31</v>
      </c>
      <c r="J336" t="s">
        <v>51</v>
      </c>
      <c r="K336" t="s">
        <v>10</v>
      </c>
      <c r="L336" t="s">
        <v>10</v>
      </c>
      <c r="M336" t="s">
        <v>10</v>
      </c>
      <c r="N336" t="s">
        <v>57</v>
      </c>
      <c r="O336" t="str">
        <f>INDEX(CoverageTable[Deductible Applies],MATCH(Table1820[[#This Row],[Coverage]],CoverageTable[Coverage],0))</f>
        <v>No</v>
      </c>
      <c r="P336" t="str">
        <f>INDEX(CoverageTable[Coverage Limit Applies],MATCH(Table1820[[#This Row],[Coverage]],CoverageTable[Coverage],0))</f>
        <v>Yes</v>
      </c>
      <c r="Q336" t="s">
        <v>10</v>
      </c>
      <c r="R336" t="s">
        <v>80</v>
      </c>
      <c r="S336" t="s">
        <v>10</v>
      </c>
      <c r="T336" t="s">
        <v>10</v>
      </c>
      <c r="U336" t="s">
        <v>57</v>
      </c>
      <c r="V336" t="s">
        <v>10</v>
      </c>
      <c r="W336" t="s">
        <v>10</v>
      </c>
      <c r="X336" s="11">
        <v>1202.0645781336439</v>
      </c>
      <c r="Y336">
        <f>_xlfn.XLOOKUP(Table1820[[#This Row],[Coverage]],CoverageTable[Coverage],CoverageTable[Base Rate],,0)</f>
        <v>622</v>
      </c>
      <c r="Z336">
        <f>INDEX(Table16[Ageband Factor],MATCH(Table1820[[#This Row],[Ageband]],Table16[Ageband],0))</f>
        <v>1.07</v>
      </c>
      <c r="AA336">
        <f>VLOOKUP(Table1820[[#This Row],[Years Driving]],Table1[],2)</f>
        <v>1.1499999999999999</v>
      </c>
      <c r="AB336">
        <f>_xlfn.XLOOKUP(Table1820[[#This Row],[At Fault Accidents]],Table2[At Fault Accidents],Table2[At Fault Accident Factor],,0)</f>
        <v>1.82</v>
      </c>
      <c r="AC336">
        <f>_xlfn.XLOOKUP(Table1820[[#This Row],[Usage-Based Insurance]],Table3[Usage-Based Insurance],Table3[Usage-Based Insurance Discount],,0)</f>
        <v>0.95</v>
      </c>
      <c r="AD336">
        <f>_xlfn.XLOOKUP(Table1820[[#This Row],[Yearly Miles]],Table4[Yearly Miles],Table4[Yearly Miles Factor],,0)</f>
        <v>0.93</v>
      </c>
      <c r="AE336">
        <f>_xlfn.XLOOKUP(Table1820[[#This Row],[City/Zip Code]],Table5[City/Zip Code],Table5[City/Zip Code Factor],,0)</f>
        <v>1.1100000000000001</v>
      </c>
      <c r="AF336">
        <f>_xlfn.XLOOKUP(Table1820[[#This Row],[Vehicle Price]],Table6[Vehicle Price],Table6[Vehicle Price Factor])</f>
        <v>1.28</v>
      </c>
      <c r="AG336">
        <f>_xlfn.XLOOKUP(Table1820[[#This Row],[Exotic Car]],Table7[Exotic Car],Table7[Exotic Car Factor],,0)</f>
        <v>1</v>
      </c>
      <c r="AH336">
        <f>_xlfn.XLOOKUP(Table1820[[#This Row],[Difficult Parts]],Table8[Difficult Parts],Table8[Difficult Parts Factor],,0)</f>
        <v>1</v>
      </c>
      <c r="AI336">
        <f>_xlfn.XLOOKUP(Table1820[[#This Row],[High Theft Rate]],Table9[High Theft Rate],Table9[High Theft Rate Factor],,0)</f>
        <v>1</v>
      </c>
      <c r="AJ336">
        <f>_xlfn.XLOOKUP(Table1820[[#This Row],[Advanced Safety Features]],Table10[Advanced Safety Features],Table10[Advanced Safety Features Factor],,0)</f>
        <v>0.88</v>
      </c>
      <c r="AK336">
        <f>_xlfn.XLOOKUP(Table1820[[#This Row],[Deductible]],Table12[Deductible],Table12[Deductible Factor],,0)</f>
        <v>1</v>
      </c>
      <c r="AL336">
        <f>_xlfn.XLOOKUP(Table1820[[#This Row],[Coverage Limit]],Table13[Coverage Limit],Table13[Coverage Limit Factor],,0)</f>
        <v>0.84</v>
      </c>
      <c r="AM336">
        <f>IF(Table1820[[#This Row],[Good Student Discount]]="Yes",'Rate Book'!$D$126,1)</f>
        <v>1</v>
      </c>
      <c r="AN336">
        <f>IF(Table1820[[#This Row],[Good Driver Discount]]="Yes",'Rate Book'!$D$127,1)</f>
        <v>1</v>
      </c>
      <c r="AO336">
        <f>IF(Table1820[[#This Row],[Multi Policy Discount]]="Yes",'Rate Book'!$D$128,1)</f>
        <v>0.93</v>
      </c>
      <c r="AP336">
        <f>IF(Table1820[[#This Row],[Loyal Customer Discount]]="Yes",'Rate Book'!$D$129,1)</f>
        <v>1</v>
      </c>
      <c r="AQ336">
        <f>IF(Table1820[[#This Row],[Organization Discount]]="Yes",'Rate Book'!$D$130,1)</f>
        <v>1</v>
      </c>
      <c r="AR336" cm="1">
        <f t="array" ref="AR336">IF(Table1820[[#This Row],[Effective Date]]&gt;=RateChangeTable[Effective Date],RateChangeTable[Rate Change Factor],1)</f>
        <v>1</v>
      </c>
      <c r="AS336" s="10">
        <f>PRODUCT(Table1820[[#This Row],[Base Rate]:[Rate Change Factor]])</f>
        <v>1202.0645781336439</v>
      </c>
      <c r="AT336" s="9">
        <f>Table1820[[#This Row],[System-Generated Premium]]-Table1820[[#This Row],[Expected Premium]]</f>
        <v>0</v>
      </c>
      <c r="AU336" t="str">
        <f>IF(Table1820[[#This Row],[Difference]]=0,"PASS","FAIL")</f>
        <v>PASS</v>
      </c>
      <c r="AV336" s="9">
        <f>ABS(Table1820[[#This Row],[Difference]])</f>
        <v>0</v>
      </c>
      <c r="AW336" s="9" t="s">
        <v>1136</v>
      </c>
    </row>
    <row r="337" spans="1:49" x14ac:dyDescent="0.3">
      <c r="A337" t="s">
        <v>428</v>
      </c>
      <c r="B337" s="7">
        <v>46114</v>
      </c>
      <c r="C337" t="s">
        <v>70</v>
      </c>
      <c r="D337" t="s">
        <v>1102</v>
      </c>
      <c r="E337" s="3">
        <v>4</v>
      </c>
      <c r="F337" s="3">
        <v>1</v>
      </c>
      <c r="G337" t="s">
        <v>12</v>
      </c>
      <c r="H337" t="s">
        <v>1106</v>
      </c>
      <c r="I337" t="s">
        <v>32</v>
      </c>
      <c r="J337" t="s">
        <v>51</v>
      </c>
      <c r="K337" t="s">
        <v>57</v>
      </c>
      <c r="L337" t="s">
        <v>10</v>
      </c>
      <c r="M337" t="s">
        <v>10</v>
      </c>
      <c r="N337" t="s">
        <v>10</v>
      </c>
      <c r="O337" t="str">
        <f>INDEX(CoverageTable[Deductible Applies],MATCH(Table1820[[#This Row],[Coverage]],CoverageTable[Coverage],0))</f>
        <v>No</v>
      </c>
      <c r="P337" t="str">
        <f>INDEX(CoverageTable[Coverage Limit Applies],MATCH(Table1820[[#This Row],[Coverage]],CoverageTable[Coverage],0))</f>
        <v>Yes</v>
      </c>
      <c r="Q337" t="s">
        <v>10</v>
      </c>
      <c r="R337" t="s">
        <v>78</v>
      </c>
      <c r="S337" t="s">
        <v>10</v>
      </c>
      <c r="T337" t="s">
        <v>10</v>
      </c>
      <c r="U337" t="s">
        <v>10</v>
      </c>
      <c r="V337" t="s">
        <v>10</v>
      </c>
      <c r="W337" t="s">
        <v>10</v>
      </c>
      <c r="X337" s="11">
        <v>947.4891512176938</v>
      </c>
      <c r="Y337">
        <f>_xlfn.XLOOKUP(Table1820[[#This Row],[Coverage]],CoverageTable[Coverage],CoverageTable[Base Rate],,0)</f>
        <v>622</v>
      </c>
      <c r="Z337">
        <f>INDEX(Table16[Ageband Factor],MATCH(Table1820[[#This Row],[Ageband]],Table16[Ageband],0))</f>
        <v>1.27</v>
      </c>
      <c r="AA337">
        <f>VLOOKUP(Table1820[[#This Row],[Years Driving]],Table1[],2)</f>
        <v>1.1499999999999999</v>
      </c>
      <c r="AB337">
        <f>_xlfn.XLOOKUP(Table1820[[#This Row],[At Fault Accidents]],Table2[At Fault Accidents],Table2[At Fault Accident Factor],,0)</f>
        <v>1.34</v>
      </c>
      <c r="AC337">
        <f>_xlfn.XLOOKUP(Table1820[[#This Row],[Usage-Based Insurance]],Table3[Usage-Based Insurance],Table3[Usage-Based Insurance Discount],,0)</f>
        <v>0.8</v>
      </c>
      <c r="AD337">
        <f>_xlfn.XLOOKUP(Table1820[[#This Row],[Yearly Miles]],Table4[Yearly Miles],Table4[Yearly Miles Factor],,0)</f>
        <v>0.82</v>
      </c>
      <c r="AE337">
        <f>_xlfn.XLOOKUP(Table1820[[#This Row],[City/Zip Code]],Table5[City/Zip Code],Table5[City/Zip Code Factor],,0)</f>
        <v>1.1200000000000001</v>
      </c>
      <c r="AF337">
        <f>_xlfn.XLOOKUP(Table1820[[#This Row],[Vehicle Price]],Table6[Vehicle Price],Table6[Vehicle Price Factor])</f>
        <v>1.28</v>
      </c>
      <c r="AG337">
        <f>_xlfn.XLOOKUP(Table1820[[#This Row],[Exotic Car]],Table7[Exotic Car],Table7[Exotic Car Factor],,0)</f>
        <v>1.28</v>
      </c>
      <c r="AH337">
        <f>_xlfn.XLOOKUP(Table1820[[#This Row],[Difficult Parts]],Table8[Difficult Parts],Table8[Difficult Parts Factor],,0)</f>
        <v>1</v>
      </c>
      <c r="AI337">
        <f>_xlfn.XLOOKUP(Table1820[[#This Row],[High Theft Rate]],Table9[High Theft Rate],Table9[High Theft Rate Factor],,0)</f>
        <v>1</v>
      </c>
      <c r="AJ337">
        <f>_xlfn.XLOOKUP(Table1820[[#This Row],[Advanced Safety Features]],Table10[Advanced Safety Features],Table10[Advanced Safety Features Factor],,0)</f>
        <v>1</v>
      </c>
      <c r="AK337">
        <f>_xlfn.XLOOKUP(Table1820[[#This Row],[Deductible]],Table12[Deductible],Table12[Deductible Factor],,0)</f>
        <v>1</v>
      </c>
      <c r="AL337">
        <f>_xlfn.XLOOKUP(Table1820[[#This Row],[Coverage Limit]],Table13[Coverage Limit],Table13[Coverage Limit Factor],,0)</f>
        <v>0.61</v>
      </c>
      <c r="AM337">
        <f>IF(Table1820[[#This Row],[Good Student Discount]]="Yes",'Rate Book'!$D$126,1)</f>
        <v>1</v>
      </c>
      <c r="AN337">
        <f>IF(Table1820[[#This Row],[Good Driver Discount]]="Yes",'Rate Book'!$D$127,1)</f>
        <v>1</v>
      </c>
      <c r="AO337">
        <f>IF(Table1820[[#This Row],[Multi Policy Discount]]="Yes",'Rate Book'!$D$128,1)</f>
        <v>1</v>
      </c>
      <c r="AP337">
        <f>IF(Table1820[[#This Row],[Loyal Customer Discount]]="Yes",'Rate Book'!$D$129,1)</f>
        <v>1</v>
      </c>
      <c r="AQ337">
        <f>IF(Table1820[[#This Row],[Organization Discount]]="Yes",'Rate Book'!$D$130,1)</f>
        <v>1</v>
      </c>
      <c r="AR337" cm="1">
        <f t="array" ref="AR337">IF(Table1820[[#This Row],[Effective Date]]&gt;=RateChangeTable[Effective Date],RateChangeTable[Rate Change Factor],1)</f>
        <v>1.06</v>
      </c>
      <c r="AS337" s="10">
        <f>PRODUCT(Table1820[[#This Row],[Base Rate]:[Rate Change Factor]])</f>
        <v>947.4891512176938</v>
      </c>
      <c r="AT337" s="9">
        <f>Table1820[[#This Row],[System-Generated Premium]]-Table1820[[#This Row],[Expected Premium]]</f>
        <v>0</v>
      </c>
      <c r="AU337" t="str">
        <f>IF(Table1820[[#This Row],[Difference]]=0,"PASS","FAIL")</f>
        <v>PASS</v>
      </c>
      <c r="AV337" s="9">
        <f>ABS(Table1820[[#This Row],[Difference]])</f>
        <v>0</v>
      </c>
      <c r="AW337" s="9" t="s">
        <v>1136</v>
      </c>
    </row>
    <row r="338" spans="1:49" x14ac:dyDescent="0.3">
      <c r="A338" t="s">
        <v>429</v>
      </c>
      <c r="B338" s="7">
        <v>46067</v>
      </c>
      <c r="C338" t="s">
        <v>70</v>
      </c>
      <c r="D338" t="s">
        <v>1101</v>
      </c>
      <c r="E338" s="3">
        <v>4</v>
      </c>
      <c r="F338" s="3">
        <v>0</v>
      </c>
      <c r="G338" t="s">
        <v>13</v>
      </c>
      <c r="H338" t="s">
        <v>1106</v>
      </c>
      <c r="I338" t="s">
        <v>21</v>
      </c>
      <c r="J338" t="s">
        <v>54</v>
      </c>
      <c r="K338" t="s">
        <v>10</v>
      </c>
      <c r="L338" t="s">
        <v>10</v>
      </c>
      <c r="M338" t="s">
        <v>10</v>
      </c>
      <c r="N338" t="s">
        <v>10</v>
      </c>
      <c r="O338" t="str">
        <f>INDEX(CoverageTable[Deductible Applies],MATCH(Table1820[[#This Row],[Coverage]],CoverageTable[Coverage],0))</f>
        <v>No</v>
      </c>
      <c r="P338" t="str">
        <f>INDEX(CoverageTable[Coverage Limit Applies],MATCH(Table1820[[#This Row],[Coverage]],CoverageTable[Coverage],0))</f>
        <v>Yes</v>
      </c>
      <c r="Q338" t="s">
        <v>10</v>
      </c>
      <c r="R338" t="s">
        <v>79</v>
      </c>
      <c r="S338" t="s">
        <v>10</v>
      </c>
      <c r="T338" t="s">
        <v>10</v>
      </c>
      <c r="U338" t="s">
        <v>10</v>
      </c>
      <c r="V338" t="s">
        <v>10</v>
      </c>
      <c r="W338" t="s">
        <v>10</v>
      </c>
      <c r="X338" s="11">
        <v>1178.4855459225139</v>
      </c>
      <c r="Y338">
        <f>_xlfn.XLOOKUP(Table1820[[#This Row],[Coverage]],CoverageTable[Coverage],CoverageTable[Base Rate],,0)</f>
        <v>622</v>
      </c>
      <c r="Z338">
        <f>INDEX(Table16[Ageband Factor],MATCH(Table1820[[#This Row],[Ageband]],Table16[Ageband],0))</f>
        <v>1.1200000000000001</v>
      </c>
      <c r="AA338">
        <f>VLOOKUP(Table1820[[#This Row],[Years Driving]],Table1[],2)</f>
        <v>1.1499999999999999</v>
      </c>
      <c r="AB338">
        <f>_xlfn.XLOOKUP(Table1820[[#This Row],[At Fault Accidents]],Table2[At Fault Accidents],Table2[At Fault Accident Factor],,0)</f>
        <v>1</v>
      </c>
      <c r="AC338">
        <f>_xlfn.XLOOKUP(Table1820[[#This Row],[Usage-Based Insurance]],Table3[Usage-Based Insurance],Table3[Usage-Based Insurance Discount],,0)</f>
        <v>0.65</v>
      </c>
      <c r="AD338">
        <f>_xlfn.XLOOKUP(Table1820[[#This Row],[Yearly Miles]],Table4[Yearly Miles],Table4[Yearly Miles Factor],,0)</f>
        <v>0.82</v>
      </c>
      <c r="AE338">
        <f>_xlfn.XLOOKUP(Table1820[[#This Row],[City/Zip Code]],Table5[City/Zip Code],Table5[City/Zip Code Factor],,0)</f>
        <v>1.26</v>
      </c>
      <c r="AF338">
        <f>_xlfn.XLOOKUP(Table1820[[#This Row],[Vehicle Price]],Table6[Vehicle Price],Table6[Vehicle Price Factor])</f>
        <v>2.87</v>
      </c>
      <c r="AG338">
        <f>_xlfn.XLOOKUP(Table1820[[#This Row],[Exotic Car]],Table7[Exotic Car],Table7[Exotic Car Factor],,0)</f>
        <v>1</v>
      </c>
      <c r="AH338">
        <f>_xlfn.XLOOKUP(Table1820[[#This Row],[Difficult Parts]],Table8[Difficult Parts],Table8[Difficult Parts Factor],,0)</f>
        <v>1</v>
      </c>
      <c r="AI338">
        <f>_xlfn.XLOOKUP(Table1820[[#This Row],[High Theft Rate]],Table9[High Theft Rate],Table9[High Theft Rate Factor],,0)</f>
        <v>1</v>
      </c>
      <c r="AJ338">
        <f>_xlfn.XLOOKUP(Table1820[[#This Row],[Advanced Safety Features]],Table10[Advanced Safety Features],Table10[Advanced Safety Features Factor],,0)</f>
        <v>1</v>
      </c>
      <c r="AK338">
        <f>_xlfn.XLOOKUP(Table1820[[#This Row],[Deductible]],Table12[Deductible],Table12[Deductible Factor],,0)</f>
        <v>1</v>
      </c>
      <c r="AL338">
        <f>_xlfn.XLOOKUP(Table1820[[#This Row],[Coverage Limit]],Table13[Coverage Limit],Table13[Coverage Limit Factor],,0)</f>
        <v>0.72</v>
      </c>
      <c r="AM338">
        <f>IF(Table1820[[#This Row],[Good Student Discount]]="Yes",'Rate Book'!$D$126,1)</f>
        <v>1</v>
      </c>
      <c r="AN338">
        <f>IF(Table1820[[#This Row],[Good Driver Discount]]="Yes",'Rate Book'!$D$127,1)</f>
        <v>1</v>
      </c>
      <c r="AO338">
        <f>IF(Table1820[[#This Row],[Multi Policy Discount]]="Yes",'Rate Book'!$D$128,1)</f>
        <v>1</v>
      </c>
      <c r="AP338">
        <f>IF(Table1820[[#This Row],[Loyal Customer Discount]]="Yes",'Rate Book'!$D$129,1)</f>
        <v>1</v>
      </c>
      <c r="AQ338">
        <f>IF(Table1820[[#This Row],[Organization Discount]]="Yes",'Rate Book'!$D$130,1)</f>
        <v>1</v>
      </c>
      <c r="AR338" cm="1">
        <f t="array" ref="AR338">IF(Table1820[[#This Row],[Effective Date]]&gt;=RateChangeTable[Effective Date],RateChangeTable[Rate Change Factor],1)</f>
        <v>1.06</v>
      </c>
      <c r="AS338" s="10">
        <f>PRODUCT(Table1820[[#This Row],[Base Rate]:[Rate Change Factor]])</f>
        <v>1178.4855459225139</v>
      </c>
      <c r="AT338" s="9">
        <f>Table1820[[#This Row],[System-Generated Premium]]-Table1820[[#This Row],[Expected Premium]]</f>
        <v>0</v>
      </c>
      <c r="AU338" t="str">
        <f>IF(Table1820[[#This Row],[Difference]]=0,"PASS","FAIL")</f>
        <v>PASS</v>
      </c>
      <c r="AV338" s="9">
        <f>ABS(Table1820[[#This Row],[Difference]])</f>
        <v>0</v>
      </c>
      <c r="AW338" s="9" t="s">
        <v>1136</v>
      </c>
    </row>
    <row r="339" spans="1:49" x14ac:dyDescent="0.3">
      <c r="A339" t="s">
        <v>430</v>
      </c>
      <c r="B339" s="7">
        <v>45780</v>
      </c>
      <c r="C339" t="s">
        <v>70</v>
      </c>
      <c r="D339" t="s">
        <v>1097</v>
      </c>
      <c r="E339" s="3">
        <v>6</v>
      </c>
      <c r="F339" s="3">
        <v>1</v>
      </c>
      <c r="G339" t="s">
        <v>10</v>
      </c>
      <c r="H339" t="s">
        <v>1110</v>
      </c>
      <c r="I339" t="s">
        <v>26</v>
      </c>
      <c r="J339" t="s">
        <v>51</v>
      </c>
      <c r="K339" t="s">
        <v>10</v>
      </c>
      <c r="L339" t="s">
        <v>57</v>
      </c>
      <c r="M339" t="s">
        <v>10</v>
      </c>
      <c r="N339" t="s">
        <v>57</v>
      </c>
      <c r="O339" t="str">
        <f>INDEX(CoverageTable[Deductible Applies],MATCH(Table1820[[#This Row],[Coverage]],CoverageTable[Coverage],0))</f>
        <v>No</v>
      </c>
      <c r="P339" t="str">
        <f>INDEX(CoverageTable[Coverage Limit Applies],MATCH(Table1820[[#This Row],[Coverage]],CoverageTable[Coverage],0))</f>
        <v>Yes</v>
      </c>
      <c r="Q339" t="s">
        <v>10</v>
      </c>
      <c r="R339" t="s">
        <v>79</v>
      </c>
      <c r="S339" t="s">
        <v>57</v>
      </c>
      <c r="T339" t="s">
        <v>57</v>
      </c>
      <c r="U339" t="s">
        <v>57</v>
      </c>
      <c r="V339" t="s">
        <v>10</v>
      </c>
      <c r="W339" t="s">
        <v>57</v>
      </c>
      <c r="X339" s="11">
        <v>1201.3824284714972</v>
      </c>
      <c r="Y339">
        <f>_xlfn.XLOOKUP(Table1820[[#This Row],[Coverage]],CoverageTable[Coverage],CoverageTable[Base Rate],,0)</f>
        <v>622</v>
      </c>
      <c r="Z339">
        <f>INDEX(Table16[Ageband Factor],MATCH(Table1820[[#This Row],[Ageband]],Table16[Ageband],0))</f>
        <v>1.32</v>
      </c>
      <c r="AA339">
        <f>VLOOKUP(Table1820[[#This Row],[Years Driving]],Table1[],2)</f>
        <v>1</v>
      </c>
      <c r="AB339">
        <f>_xlfn.XLOOKUP(Table1820[[#This Row],[At Fault Accidents]],Table2[At Fault Accidents],Table2[At Fault Accident Factor],,0)</f>
        <v>1.34</v>
      </c>
      <c r="AC339">
        <f>_xlfn.XLOOKUP(Table1820[[#This Row],[Usage-Based Insurance]],Table3[Usage-Based Insurance],Table3[Usage-Based Insurance Discount],,0)</f>
        <v>1</v>
      </c>
      <c r="AD339">
        <f>_xlfn.XLOOKUP(Table1820[[#This Row],[Yearly Miles]],Table4[Yearly Miles],Table4[Yearly Miles Factor],,0)</f>
        <v>1.31</v>
      </c>
      <c r="AE339">
        <f>_xlfn.XLOOKUP(Table1820[[#This Row],[City/Zip Code]],Table5[City/Zip Code],Table5[City/Zip Code Factor],,0)</f>
        <v>1.1499999999999999</v>
      </c>
      <c r="AF339">
        <f>_xlfn.XLOOKUP(Table1820[[#This Row],[Vehicle Price]],Table6[Vehicle Price],Table6[Vehicle Price Factor])</f>
        <v>1.28</v>
      </c>
      <c r="AG339">
        <f>_xlfn.XLOOKUP(Table1820[[#This Row],[Exotic Car]],Table7[Exotic Car],Table7[Exotic Car Factor],,0)</f>
        <v>1</v>
      </c>
      <c r="AH339">
        <f>_xlfn.XLOOKUP(Table1820[[#This Row],[Difficult Parts]],Table8[Difficult Parts],Table8[Difficult Parts Factor],,0)</f>
        <v>1.21</v>
      </c>
      <c r="AI339">
        <f>_xlfn.XLOOKUP(Table1820[[#This Row],[High Theft Rate]],Table9[High Theft Rate],Table9[High Theft Rate Factor],,0)</f>
        <v>1</v>
      </c>
      <c r="AJ339">
        <f>_xlfn.XLOOKUP(Table1820[[#This Row],[Advanced Safety Features]],Table10[Advanced Safety Features],Table10[Advanced Safety Features Factor],,0)</f>
        <v>0.88</v>
      </c>
      <c r="AK339">
        <f>_xlfn.XLOOKUP(Table1820[[#This Row],[Deductible]],Table12[Deductible],Table12[Deductible Factor],,0)</f>
        <v>1</v>
      </c>
      <c r="AL339">
        <f>_xlfn.XLOOKUP(Table1820[[#This Row],[Coverage Limit]],Table13[Coverage Limit],Table13[Coverage Limit Factor],,0)</f>
        <v>0.72</v>
      </c>
      <c r="AM339">
        <f>IF(Table1820[[#This Row],[Good Student Discount]]="Yes",'Rate Book'!$D$126,1)</f>
        <v>0.92</v>
      </c>
      <c r="AN339">
        <f>IF(Table1820[[#This Row],[Good Driver Discount]]="Yes",'Rate Book'!$D$127,1)</f>
        <v>0.89</v>
      </c>
      <c r="AO339">
        <f>IF(Table1820[[#This Row],[Multi Policy Discount]]="Yes",'Rate Book'!$D$128,1)</f>
        <v>0.93</v>
      </c>
      <c r="AP339">
        <f>IF(Table1820[[#This Row],[Loyal Customer Discount]]="Yes",'Rate Book'!$D$129,1)</f>
        <v>1</v>
      </c>
      <c r="AQ339">
        <f>IF(Table1820[[#This Row],[Organization Discount]]="Yes",'Rate Book'!$D$130,1)</f>
        <v>0.97</v>
      </c>
      <c r="AR339" cm="1">
        <f t="array" ref="AR339">IF(Table1820[[#This Row],[Effective Date]]&gt;=RateChangeTable[Effective Date],RateChangeTable[Rate Change Factor],1)</f>
        <v>1</v>
      </c>
      <c r="AS339" s="10">
        <f>PRODUCT(Table1820[[#This Row],[Base Rate]:[Rate Change Factor]])</f>
        <v>1201.3824284714972</v>
      </c>
      <c r="AT339" s="9">
        <f>Table1820[[#This Row],[System-Generated Premium]]-Table1820[[#This Row],[Expected Premium]]</f>
        <v>0</v>
      </c>
      <c r="AU339" t="str">
        <f>IF(Table1820[[#This Row],[Difference]]=0,"PASS","FAIL")</f>
        <v>PASS</v>
      </c>
      <c r="AV339" s="9">
        <f>ABS(Table1820[[#This Row],[Difference]])</f>
        <v>0</v>
      </c>
      <c r="AW339" s="9" t="s">
        <v>1136</v>
      </c>
    </row>
    <row r="340" spans="1:49" x14ac:dyDescent="0.3">
      <c r="A340" t="s">
        <v>431</v>
      </c>
      <c r="B340" s="7">
        <v>46074</v>
      </c>
      <c r="C340" t="s">
        <v>70</v>
      </c>
      <c r="D340" t="s">
        <v>1102</v>
      </c>
      <c r="E340" s="3">
        <v>3</v>
      </c>
      <c r="F340" s="3">
        <v>4</v>
      </c>
      <c r="G340" t="s">
        <v>12</v>
      </c>
      <c r="H340" t="s">
        <v>1108</v>
      </c>
      <c r="I340" t="s">
        <v>26</v>
      </c>
      <c r="J340" t="s">
        <v>48</v>
      </c>
      <c r="K340" t="s">
        <v>10</v>
      </c>
      <c r="L340" t="s">
        <v>10</v>
      </c>
      <c r="M340" t="s">
        <v>10</v>
      </c>
      <c r="N340" t="s">
        <v>10</v>
      </c>
      <c r="O340" t="str">
        <f>INDEX(CoverageTable[Deductible Applies],MATCH(Table1820[[#This Row],[Coverage]],CoverageTable[Coverage],0))</f>
        <v>No</v>
      </c>
      <c r="P340" t="str">
        <f>INDEX(CoverageTable[Coverage Limit Applies],MATCH(Table1820[[#This Row],[Coverage]],CoverageTable[Coverage],0))</f>
        <v>Yes</v>
      </c>
      <c r="Q340" t="s">
        <v>10</v>
      </c>
      <c r="R340" t="s">
        <v>79</v>
      </c>
      <c r="S340" t="s">
        <v>10</v>
      </c>
      <c r="T340" t="s">
        <v>57</v>
      </c>
      <c r="U340" t="s">
        <v>10</v>
      </c>
      <c r="V340" t="s">
        <v>10</v>
      </c>
      <c r="W340" t="s">
        <v>10</v>
      </c>
      <c r="X340" s="11">
        <v>1046.9353047292682</v>
      </c>
      <c r="Y340">
        <f>_xlfn.XLOOKUP(Table1820[[#This Row],[Coverage]],CoverageTable[Coverage],CoverageTable[Base Rate],,0)</f>
        <v>622</v>
      </c>
      <c r="Z340">
        <f>INDEX(Table16[Ageband Factor],MATCH(Table1820[[#This Row],[Ageband]],Table16[Ageband],0))</f>
        <v>1.27</v>
      </c>
      <c r="AA340">
        <f>VLOOKUP(Table1820[[#This Row],[Years Driving]],Table1[],2)</f>
        <v>1.22</v>
      </c>
      <c r="AB340">
        <f>_xlfn.XLOOKUP(Table1820[[#This Row],[At Fault Accidents]],Table2[At Fault Accidents],Table2[At Fault Accident Factor],,0)</f>
        <v>2.12</v>
      </c>
      <c r="AC340">
        <f>_xlfn.XLOOKUP(Table1820[[#This Row],[Usage-Based Insurance]],Table3[Usage-Based Insurance],Table3[Usage-Based Insurance Discount],,0)</f>
        <v>0.8</v>
      </c>
      <c r="AD340">
        <f>_xlfn.XLOOKUP(Table1820[[#This Row],[Yearly Miles]],Table4[Yearly Miles],Table4[Yearly Miles Factor],,0)</f>
        <v>1</v>
      </c>
      <c r="AE340">
        <f>_xlfn.XLOOKUP(Table1820[[#This Row],[City/Zip Code]],Table5[City/Zip Code],Table5[City/Zip Code Factor],,0)</f>
        <v>1.1499999999999999</v>
      </c>
      <c r="AF340">
        <f>_xlfn.XLOOKUP(Table1820[[#This Row],[Vehicle Price]],Table6[Vehicle Price],Table6[Vehicle Price Factor])</f>
        <v>0.82</v>
      </c>
      <c r="AG340">
        <f>_xlfn.XLOOKUP(Table1820[[#This Row],[Exotic Car]],Table7[Exotic Car],Table7[Exotic Car Factor],,0)</f>
        <v>1</v>
      </c>
      <c r="AH340">
        <f>_xlfn.XLOOKUP(Table1820[[#This Row],[Difficult Parts]],Table8[Difficult Parts],Table8[Difficult Parts Factor],,0)</f>
        <v>1</v>
      </c>
      <c r="AI340">
        <f>_xlfn.XLOOKUP(Table1820[[#This Row],[High Theft Rate]],Table9[High Theft Rate],Table9[High Theft Rate Factor],,0)</f>
        <v>1</v>
      </c>
      <c r="AJ340">
        <f>_xlfn.XLOOKUP(Table1820[[#This Row],[Advanced Safety Features]],Table10[Advanced Safety Features],Table10[Advanced Safety Features Factor],,0)</f>
        <v>1</v>
      </c>
      <c r="AK340">
        <f>_xlfn.XLOOKUP(Table1820[[#This Row],[Deductible]],Table12[Deductible],Table12[Deductible Factor],,0)</f>
        <v>1</v>
      </c>
      <c r="AL340">
        <f>_xlfn.XLOOKUP(Table1820[[#This Row],[Coverage Limit]],Table13[Coverage Limit],Table13[Coverage Limit Factor],,0)</f>
        <v>0.72</v>
      </c>
      <c r="AM340">
        <f>IF(Table1820[[#This Row],[Good Student Discount]]="Yes",'Rate Book'!$D$126,1)</f>
        <v>1</v>
      </c>
      <c r="AN340">
        <f>IF(Table1820[[#This Row],[Good Driver Discount]]="Yes",'Rate Book'!$D$127,1)</f>
        <v>0.89</v>
      </c>
      <c r="AO340">
        <f>IF(Table1820[[#This Row],[Multi Policy Discount]]="Yes",'Rate Book'!$D$128,1)</f>
        <v>1</v>
      </c>
      <c r="AP340">
        <f>IF(Table1820[[#This Row],[Loyal Customer Discount]]="Yes",'Rate Book'!$D$129,1)</f>
        <v>1</v>
      </c>
      <c r="AQ340">
        <f>IF(Table1820[[#This Row],[Organization Discount]]="Yes",'Rate Book'!$D$130,1)</f>
        <v>1</v>
      </c>
      <c r="AR340" cm="1">
        <f t="array" ref="AR340">IF(Table1820[[#This Row],[Effective Date]]&gt;=RateChangeTable[Effective Date],RateChangeTable[Rate Change Factor],1)</f>
        <v>1.06</v>
      </c>
      <c r="AS340" s="10">
        <f>PRODUCT(Table1820[[#This Row],[Base Rate]:[Rate Change Factor]])</f>
        <v>1046.9353047292682</v>
      </c>
      <c r="AT340" s="9">
        <f>Table1820[[#This Row],[System-Generated Premium]]-Table1820[[#This Row],[Expected Premium]]</f>
        <v>0</v>
      </c>
      <c r="AU340" t="str">
        <f>IF(Table1820[[#This Row],[Difference]]=0,"PASS","FAIL")</f>
        <v>PASS</v>
      </c>
      <c r="AV340" s="9">
        <f>ABS(Table1820[[#This Row],[Difference]])</f>
        <v>0</v>
      </c>
      <c r="AW340" s="9" t="s">
        <v>1136</v>
      </c>
    </row>
    <row r="341" spans="1:49" x14ac:dyDescent="0.3">
      <c r="A341" t="s">
        <v>432</v>
      </c>
      <c r="B341" s="7">
        <v>46091</v>
      </c>
      <c r="C341" t="s">
        <v>71</v>
      </c>
      <c r="D341" t="s">
        <v>1099</v>
      </c>
      <c r="E341" s="3" t="s">
        <v>1103</v>
      </c>
      <c r="F341" s="3">
        <v>1</v>
      </c>
      <c r="G341" t="s">
        <v>10</v>
      </c>
      <c r="H341" t="s">
        <v>1109</v>
      </c>
      <c r="I341" t="s">
        <v>42</v>
      </c>
      <c r="J341" t="s">
        <v>48</v>
      </c>
      <c r="K341" t="s">
        <v>10</v>
      </c>
      <c r="L341" t="s">
        <v>10</v>
      </c>
      <c r="M341" t="s">
        <v>10</v>
      </c>
      <c r="N341" t="s">
        <v>57</v>
      </c>
      <c r="O341" t="str">
        <f>INDEX(CoverageTable[Deductible Applies],MATCH(Table1820[[#This Row],[Coverage]],CoverageTable[Coverage],0))</f>
        <v>Yes</v>
      </c>
      <c r="P341" t="str">
        <f>INDEX(CoverageTable[Coverage Limit Applies],MATCH(Table1820[[#This Row],[Coverage]],CoverageTable[Coverage],0))</f>
        <v>No</v>
      </c>
      <c r="Q341" t="s">
        <v>80</v>
      </c>
      <c r="R341" t="s">
        <v>10</v>
      </c>
      <c r="S341" t="s">
        <v>10</v>
      </c>
      <c r="T341" t="s">
        <v>10</v>
      </c>
      <c r="U341" t="s">
        <v>57</v>
      </c>
      <c r="V341" t="s">
        <v>10</v>
      </c>
      <c r="W341" t="s">
        <v>10</v>
      </c>
      <c r="X341" s="11">
        <v>412.82991612753494</v>
      </c>
      <c r="Y341">
        <f>_xlfn.XLOOKUP(Table1820[[#This Row],[Coverage]],CoverageTable[Coverage],CoverageTable[Base Rate],,0)</f>
        <v>453</v>
      </c>
      <c r="Z341">
        <f>INDEX(Table16[Ageband Factor],MATCH(Table1820[[#This Row],[Ageband]],Table16[Ageband],0))</f>
        <v>1</v>
      </c>
      <c r="AA341">
        <f>VLOOKUP(Table1820[[#This Row],[Years Driving]],Table1[],2)</f>
        <v>0.93</v>
      </c>
      <c r="AB341">
        <f>_xlfn.XLOOKUP(Table1820[[#This Row],[At Fault Accidents]],Table2[At Fault Accidents],Table2[At Fault Accident Factor],,0)</f>
        <v>1.34</v>
      </c>
      <c r="AC341">
        <f>_xlfn.XLOOKUP(Table1820[[#This Row],[Usage-Based Insurance]],Table3[Usage-Based Insurance],Table3[Usage-Based Insurance Discount],,0)</f>
        <v>1</v>
      </c>
      <c r="AD341">
        <f>_xlfn.XLOOKUP(Table1820[[#This Row],[Yearly Miles]],Table4[Yearly Miles],Table4[Yearly Miles Factor],,0)</f>
        <v>1.18</v>
      </c>
      <c r="AE341">
        <f>_xlfn.XLOOKUP(Table1820[[#This Row],[City/Zip Code]],Table5[City/Zip Code],Table5[City/Zip Code Factor],,0)</f>
        <v>1.21</v>
      </c>
      <c r="AF341">
        <f>_xlfn.XLOOKUP(Table1820[[#This Row],[Vehicle Price]],Table6[Vehicle Price],Table6[Vehicle Price Factor])</f>
        <v>0.82</v>
      </c>
      <c r="AG341">
        <f>_xlfn.XLOOKUP(Table1820[[#This Row],[Exotic Car]],Table7[Exotic Car],Table7[Exotic Car Factor],,0)</f>
        <v>1</v>
      </c>
      <c r="AH341">
        <f>_xlfn.XLOOKUP(Table1820[[#This Row],[Difficult Parts]],Table8[Difficult Parts],Table8[Difficult Parts Factor],,0)</f>
        <v>1</v>
      </c>
      <c r="AI341">
        <f>_xlfn.XLOOKUP(Table1820[[#This Row],[High Theft Rate]],Table9[High Theft Rate],Table9[High Theft Rate Factor],,0)</f>
        <v>1</v>
      </c>
      <c r="AJ341">
        <f>_xlfn.XLOOKUP(Table1820[[#This Row],[Advanced Safety Features]],Table10[Advanced Safety Features],Table10[Advanced Safety Features Factor],,0)</f>
        <v>0.88</v>
      </c>
      <c r="AK341">
        <f>_xlfn.XLOOKUP(Table1820[[#This Row],[Deductible]],Table12[Deductible],Table12[Deductible Factor],,0)</f>
        <v>0.72</v>
      </c>
      <c r="AL341">
        <f>_xlfn.XLOOKUP(Table1820[[#This Row],[Coverage Limit]],Table13[Coverage Limit],Table13[Coverage Limit Factor],,0)</f>
        <v>1</v>
      </c>
      <c r="AM341">
        <f>IF(Table1820[[#This Row],[Good Student Discount]]="Yes",'Rate Book'!$D$126,1)</f>
        <v>1</v>
      </c>
      <c r="AN341">
        <f>IF(Table1820[[#This Row],[Good Driver Discount]]="Yes",'Rate Book'!$D$127,1)</f>
        <v>1</v>
      </c>
      <c r="AO341">
        <f>IF(Table1820[[#This Row],[Multi Policy Discount]]="Yes",'Rate Book'!$D$128,1)</f>
        <v>0.93</v>
      </c>
      <c r="AP341">
        <f>IF(Table1820[[#This Row],[Loyal Customer Discount]]="Yes",'Rate Book'!$D$129,1)</f>
        <v>1</v>
      </c>
      <c r="AQ341">
        <f>IF(Table1820[[#This Row],[Organization Discount]]="Yes",'Rate Book'!$D$130,1)</f>
        <v>1</v>
      </c>
      <c r="AR341" cm="1">
        <f t="array" ref="AR341">IF(Table1820[[#This Row],[Effective Date]]&gt;=RateChangeTable[Effective Date],RateChangeTable[Rate Change Factor],1)</f>
        <v>1.06</v>
      </c>
      <c r="AS341" s="10">
        <f>PRODUCT(Table1820[[#This Row],[Base Rate]:[Rate Change Factor]])</f>
        <v>412.82991612753494</v>
      </c>
      <c r="AT341" s="9">
        <f>Table1820[[#This Row],[System-Generated Premium]]-Table1820[[#This Row],[Expected Premium]]</f>
        <v>0</v>
      </c>
      <c r="AU341" t="str">
        <f>IF(Table1820[[#This Row],[Difference]]=0,"PASS","FAIL")</f>
        <v>PASS</v>
      </c>
      <c r="AV341" s="9">
        <f>ABS(Table1820[[#This Row],[Difference]])</f>
        <v>0</v>
      </c>
      <c r="AW341" s="9" t="s">
        <v>1136</v>
      </c>
    </row>
    <row r="342" spans="1:49" x14ac:dyDescent="0.3">
      <c r="A342" t="s">
        <v>433</v>
      </c>
      <c r="B342" s="7">
        <v>45998</v>
      </c>
      <c r="C342" t="s">
        <v>74</v>
      </c>
      <c r="D342" t="s">
        <v>1101</v>
      </c>
      <c r="E342" s="3" t="s">
        <v>1103</v>
      </c>
      <c r="F342" s="3">
        <v>0</v>
      </c>
      <c r="G342" t="s">
        <v>10</v>
      </c>
      <c r="H342" t="s">
        <v>1108</v>
      </c>
      <c r="I342" t="s">
        <v>30</v>
      </c>
      <c r="J342" t="s">
        <v>53</v>
      </c>
      <c r="K342" t="s">
        <v>10</v>
      </c>
      <c r="L342" t="s">
        <v>10</v>
      </c>
      <c r="M342" t="s">
        <v>10</v>
      </c>
      <c r="N342" t="s">
        <v>10</v>
      </c>
      <c r="O342" t="str">
        <f>INDEX(CoverageTable[Deductible Applies],MATCH(Table1820[[#This Row],[Coverage]],CoverageTable[Coverage],0))</f>
        <v>No</v>
      </c>
      <c r="P342" t="str">
        <f>INDEX(CoverageTable[Coverage Limit Applies],MATCH(Table1820[[#This Row],[Coverage]],CoverageTable[Coverage],0))</f>
        <v>Yes</v>
      </c>
      <c r="Q342" t="s">
        <v>10</v>
      </c>
      <c r="R342" t="s">
        <v>78</v>
      </c>
      <c r="S342" t="s">
        <v>57</v>
      </c>
      <c r="T342" t="s">
        <v>10</v>
      </c>
      <c r="U342" t="s">
        <v>10</v>
      </c>
      <c r="V342" t="s">
        <v>57</v>
      </c>
      <c r="W342" t="s">
        <v>10</v>
      </c>
      <c r="X342" s="11">
        <v>46.417514858910721</v>
      </c>
      <c r="Y342">
        <f>_xlfn.XLOOKUP(Table1820[[#This Row],[Coverage]],CoverageTable[Coverage],CoverageTable[Base Rate],,0)</f>
        <v>41</v>
      </c>
      <c r="Z342">
        <f>INDEX(Table16[Ageband Factor],MATCH(Table1820[[#This Row],[Ageband]],Table16[Ageband],0))</f>
        <v>1.1200000000000001</v>
      </c>
      <c r="AA342">
        <f>VLOOKUP(Table1820[[#This Row],[Years Driving]],Table1[],2)</f>
        <v>0.93</v>
      </c>
      <c r="AB342">
        <f>_xlfn.XLOOKUP(Table1820[[#This Row],[At Fault Accidents]],Table2[At Fault Accidents],Table2[At Fault Accident Factor],,0)</f>
        <v>1</v>
      </c>
      <c r="AC342">
        <f>_xlfn.XLOOKUP(Table1820[[#This Row],[Usage-Based Insurance]],Table3[Usage-Based Insurance],Table3[Usage-Based Insurance Discount],,0)</f>
        <v>1</v>
      </c>
      <c r="AD342">
        <f>_xlfn.XLOOKUP(Table1820[[#This Row],[Yearly Miles]],Table4[Yearly Miles],Table4[Yearly Miles Factor],,0)</f>
        <v>1</v>
      </c>
      <c r="AE342">
        <f>_xlfn.XLOOKUP(Table1820[[#This Row],[City/Zip Code]],Table5[City/Zip Code],Table5[City/Zip Code Factor],,0)</f>
        <v>1.02</v>
      </c>
      <c r="AF342">
        <f>_xlfn.XLOOKUP(Table1820[[#This Row],[Vehicle Price]],Table6[Vehicle Price],Table6[Vehicle Price Factor])</f>
        <v>2.02</v>
      </c>
      <c r="AG342">
        <f>_xlfn.XLOOKUP(Table1820[[#This Row],[Exotic Car]],Table7[Exotic Car],Table7[Exotic Car Factor],,0)</f>
        <v>1</v>
      </c>
      <c r="AH342">
        <f>_xlfn.XLOOKUP(Table1820[[#This Row],[Difficult Parts]],Table8[Difficult Parts],Table8[Difficult Parts Factor],,0)</f>
        <v>1</v>
      </c>
      <c r="AI342">
        <f>_xlfn.XLOOKUP(Table1820[[#This Row],[High Theft Rate]],Table9[High Theft Rate],Table9[High Theft Rate Factor],,0)</f>
        <v>1</v>
      </c>
      <c r="AJ342">
        <f>_xlfn.XLOOKUP(Table1820[[#This Row],[Advanced Safety Features]],Table10[Advanced Safety Features],Table10[Advanced Safety Features Factor],,0)</f>
        <v>1</v>
      </c>
      <c r="AK342">
        <f>_xlfn.XLOOKUP(Table1820[[#This Row],[Deductible]],Table12[Deductible],Table12[Deductible Factor],,0)</f>
        <v>1</v>
      </c>
      <c r="AL342">
        <f>_xlfn.XLOOKUP(Table1820[[#This Row],[Coverage Limit]],Table13[Coverage Limit],Table13[Coverage Limit Factor],,0)</f>
        <v>0.61</v>
      </c>
      <c r="AM342">
        <f>IF(Table1820[[#This Row],[Good Student Discount]]="Yes",'Rate Book'!$D$126,1)</f>
        <v>0.92</v>
      </c>
      <c r="AN342">
        <f>IF(Table1820[[#This Row],[Good Driver Discount]]="Yes",'Rate Book'!$D$127,1)</f>
        <v>1</v>
      </c>
      <c r="AO342">
        <f>IF(Table1820[[#This Row],[Multi Policy Discount]]="Yes",'Rate Book'!$D$128,1)</f>
        <v>1</v>
      </c>
      <c r="AP342">
        <f>IF(Table1820[[#This Row],[Loyal Customer Discount]]="Yes",'Rate Book'!$D$129,1)</f>
        <v>0.94</v>
      </c>
      <c r="AQ342">
        <f>IF(Table1820[[#This Row],[Organization Discount]]="Yes",'Rate Book'!$D$130,1)</f>
        <v>1</v>
      </c>
      <c r="AR342" cm="1">
        <f t="array" ref="AR342">IF(Table1820[[#This Row],[Effective Date]]&gt;=RateChangeTable[Effective Date],RateChangeTable[Rate Change Factor],1)</f>
        <v>1</v>
      </c>
      <c r="AS342" s="10">
        <f>PRODUCT(Table1820[[#This Row],[Base Rate]:[Rate Change Factor]])</f>
        <v>46.417514858910721</v>
      </c>
      <c r="AT342" s="9">
        <f>Table1820[[#This Row],[System-Generated Premium]]-Table1820[[#This Row],[Expected Premium]]</f>
        <v>0</v>
      </c>
      <c r="AU342" t="str">
        <f>IF(Table1820[[#This Row],[Difference]]=0,"PASS","FAIL")</f>
        <v>PASS</v>
      </c>
      <c r="AV342" s="9">
        <f>ABS(Table1820[[#This Row],[Difference]])</f>
        <v>0</v>
      </c>
      <c r="AW342" s="9" t="s">
        <v>1136</v>
      </c>
    </row>
    <row r="343" spans="1:49" x14ac:dyDescent="0.3">
      <c r="A343" t="s">
        <v>434</v>
      </c>
      <c r="B343" s="7">
        <v>46135</v>
      </c>
      <c r="C343" t="s">
        <v>70</v>
      </c>
      <c r="D343" t="s">
        <v>1102</v>
      </c>
      <c r="E343" s="3" t="s">
        <v>1103</v>
      </c>
      <c r="F343" s="3">
        <v>0</v>
      </c>
      <c r="G343" t="s">
        <v>11</v>
      </c>
      <c r="H343" t="s">
        <v>1110</v>
      </c>
      <c r="I343" t="s">
        <v>38</v>
      </c>
      <c r="J343" t="s">
        <v>54</v>
      </c>
      <c r="K343" t="s">
        <v>10</v>
      </c>
      <c r="L343" t="s">
        <v>10</v>
      </c>
      <c r="M343" t="s">
        <v>10</v>
      </c>
      <c r="N343" t="s">
        <v>57</v>
      </c>
      <c r="O343" t="str">
        <f>INDEX(CoverageTable[Deductible Applies],MATCH(Table1820[[#This Row],[Coverage]],CoverageTable[Coverage],0))</f>
        <v>No</v>
      </c>
      <c r="P343" t="str">
        <f>INDEX(CoverageTable[Coverage Limit Applies],MATCH(Table1820[[#This Row],[Coverage]],CoverageTable[Coverage],0))</f>
        <v>Yes</v>
      </c>
      <c r="Q343" t="s">
        <v>10</v>
      </c>
      <c r="R343" t="s">
        <v>80</v>
      </c>
      <c r="S343" t="s">
        <v>10</v>
      </c>
      <c r="T343" t="s">
        <v>10</v>
      </c>
      <c r="U343" t="s">
        <v>10</v>
      </c>
      <c r="V343" t="s">
        <v>10</v>
      </c>
      <c r="W343" t="s">
        <v>10</v>
      </c>
      <c r="X343" s="11">
        <v>2302.7123915174493</v>
      </c>
      <c r="Y343">
        <f>_xlfn.XLOOKUP(Table1820[[#This Row],[Coverage]],CoverageTable[Coverage],CoverageTable[Base Rate],,0)</f>
        <v>622</v>
      </c>
      <c r="Z343">
        <f>INDEX(Table16[Ageband Factor],MATCH(Table1820[[#This Row],[Ageband]],Table16[Ageband],0))</f>
        <v>1.27</v>
      </c>
      <c r="AA343">
        <f>VLOOKUP(Table1820[[#This Row],[Years Driving]],Table1[],2)</f>
        <v>0.93</v>
      </c>
      <c r="AB343">
        <f>_xlfn.XLOOKUP(Table1820[[#This Row],[At Fault Accidents]],Table2[At Fault Accidents],Table2[At Fault Accident Factor],,0)</f>
        <v>1</v>
      </c>
      <c r="AC343">
        <f>_xlfn.XLOOKUP(Table1820[[#This Row],[Usage-Based Insurance]],Table3[Usage-Based Insurance],Table3[Usage-Based Insurance Discount],,0)</f>
        <v>0.95</v>
      </c>
      <c r="AD343">
        <f>_xlfn.XLOOKUP(Table1820[[#This Row],[Yearly Miles]],Table4[Yearly Miles],Table4[Yearly Miles Factor],,0)</f>
        <v>1.31</v>
      </c>
      <c r="AE343">
        <f>_xlfn.XLOOKUP(Table1820[[#This Row],[City/Zip Code]],Table5[City/Zip Code],Table5[City/Zip Code Factor],,0)</f>
        <v>1.1200000000000001</v>
      </c>
      <c r="AF343">
        <f>_xlfn.XLOOKUP(Table1820[[#This Row],[Vehicle Price]],Table6[Vehicle Price],Table6[Vehicle Price Factor])</f>
        <v>2.87</v>
      </c>
      <c r="AG343">
        <f>_xlfn.XLOOKUP(Table1820[[#This Row],[Exotic Car]],Table7[Exotic Car],Table7[Exotic Car Factor],,0)</f>
        <v>1</v>
      </c>
      <c r="AH343">
        <f>_xlfn.XLOOKUP(Table1820[[#This Row],[Difficult Parts]],Table8[Difficult Parts],Table8[Difficult Parts Factor],,0)</f>
        <v>1</v>
      </c>
      <c r="AI343">
        <f>_xlfn.XLOOKUP(Table1820[[#This Row],[High Theft Rate]],Table9[High Theft Rate],Table9[High Theft Rate Factor],,0)</f>
        <v>1</v>
      </c>
      <c r="AJ343">
        <f>_xlfn.XLOOKUP(Table1820[[#This Row],[Advanced Safety Features]],Table10[Advanced Safety Features],Table10[Advanced Safety Features Factor],,0)</f>
        <v>0.88</v>
      </c>
      <c r="AK343">
        <f>_xlfn.XLOOKUP(Table1820[[#This Row],[Deductible]],Table12[Deductible],Table12[Deductible Factor],,0)</f>
        <v>1</v>
      </c>
      <c r="AL343">
        <f>_xlfn.XLOOKUP(Table1820[[#This Row],[Coverage Limit]],Table13[Coverage Limit],Table13[Coverage Limit Factor],,0)</f>
        <v>0.84</v>
      </c>
      <c r="AM343">
        <f>IF(Table1820[[#This Row],[Good Student Discount]]="Yes",'Rate Book'!$D$126,1)</f>
        <v>1</v>
      </c>
      <c r="AN343">
        <f>IF(Table1820[[#This Row],[Good Driver Discount]]="Yes",'Rate Book'!$D$127,1)</f>
        <v>1</v>
      </c>
      <c r="AO343">
        <f>IF(Table1820[[#This Row],[Multi Policy Discount]]="Yes",'Rate Book'!$D$128,1)</f>
        <v>1</v>
      </c>
      <c r="AP343">
        <f>IF(Table1820[[#This Row],[Loyal Customer Discount]]="Yes",'Rate Book'!$D$129,1)</f>
        <v>1</v>
      </c>
      <c r="AQ343">
        <f>IF(Table1820[[#This Row],[Organization Discount]]="Yes",'Rate Book'!$D$130,1)</f>
        <v>1</v>
      </c>
      <c r="AR343" cm="1">
        <f t="array" ref="AR343">IF(Table1820[[#This Row],[Effective Date]]&gt;=RateChangeTable[Effective Date],RateChangeTable[Rate Change Factor],1)</f>
        <v>1.06</v>
      </c>
      <c r="AS343" s="10">
        <f>PRODUCT(Table1820[[#This Row],[Base Rate]:[Rate Change Factor]])</f>
        <v>2302.7123915174493</v>
      </c>
      <c r="AT343" s="9">
        <f>Table1820[[#This Row],[System-Generated Premium]]-Table1820[[#This Row],[Expected Premium]]</f>
        <v>0</v>
      </c>
      <c r="AU343" t="str">
        <f>IF(Table1820[[#This Row],[Difference]]=0,"PASS","FAIL")</f>
        <v>PASS</v>
      </c>
      <c r="AV343" s="9">
        <f>ABS(Table1820[[#This Row],[Difference]])</f>
        <v>0</v>
      </c>
      <c r="AW343" s="9" t="s">
        <v>1136</v>
      </c>
    </row>
    <row r="344" spans="1:49" x14ac:dyDescent="0.3">
      <c r="A344" t="s">
        <v>435</v>
      </c>
      <c r="B344" s="7">
        <v>45812</v>
      </c>
      <c r="C344" t="s">
        <v>71</v>
      </c>
      <c r="D344" t="s">
        <v>1101</v>
      </c>
      <c r="E344" s="3">
        <v>5</v>
      </c>
      <c r="F344" s="3">
        <v>0</v>
      </c>
      <c r="G344" t="s">
        <v>10</v>
      </c>
      <c r="H344" t="s">
        <v>1106</v>
      </c>
      <c r="I344" t="s">
        <v>30</v>
      </c>
      <c r="J344" t="s">
        <v>53</v>
      </c>
      <c r="K344" t="s">
        <v>10</v>
      </c>
      <c r="L344" t="s">
        <v>10</v>
      </c>
      <c r="M344" t="s">
        <v>57</v>
      </c>
      <c r="N344" t="s">
        <v>10</v>
      </c>
      <c r="O344" t="str">
        <f>INDEX(CoverageTable[Deductible Applies],MATCH(Table1820[[#This Row],[Coverage]],CoverageTable[Coverage],0))</f>
        <v>Yes</v>
      </c>
      <c r="P344" t="str">
        <f>INDEX(CoverageTable[Coverage Limit Applies],MATCH(Table1820[[#This Row],[Coverage]],CoverageTable[Coverage],0))</f>
        <v>No</v>
      </c>
      <c r="Q344" t="s">
        <v>78</v>
      </c>
      <c r="R344" t="s">
        <v>10</v>
      </c>
      <c r="S344" t="s">
        <v>10</v>
      </c>
      <c r="T344" t="s">
        <v>10</v>
      </c>
      <c r="U344" t="s">
        <v>57</v>
      </c>
      <c r="V344" t="s">
        <v>57</v>
      </c>
      <c r="W344" t="s">
        <v>10</v>
      </c>
      <c r="X344" s="11">
        <v>883.60424295236646</v>
      </c>
      <c r="Y344">
        <f>_xlfn.XLOOKUP(Table1820[[#This Row],[Coverage]],CoverageTable[Coverage],CoverageTable[Base Rate],,0)</f>
        <v>453</v>
      </c>
      <c r="Z344">
        <f>INDEX(Table16[Ageband Factor],MATCH(Table1820[[#This Row],[Ageband]],Table16[Ageband],0))</f>
        <v>1.1200000000000001</v>
      </c>
      <c r="AA344">
        <f>VLOOKUP(Table1820[[#This Row],[Years Driving]],Table1[],2)</f>
        <v>1.07</v>
      </c>
      <c r="AB344">
        <f>_xlfn.XLOOKUP(Table1820[[#This Row],[At Fault Accidents]],Table2[At Fault Accidents],Table2[At Fault Accident Factor],,0)</f>
        <v>1</v>
      </c>
      <c r="AC344">
        <f>_xlfn.XLOOKUP(Table1820[[#This Row],[Usage-Based Insurance]],Table3[Usage-Based Insurance],Table3[Usage-Based Insurance Discount],,0)</f>
        <v>1</v>
      </c>
      <c r="AD344">
        <f>_xlfn.XLOOKUP(Table1820[[#This Row],[Yearly Miles]],Table4[Yearly Miles],Table4[Yearly Miles Factor],,0)</f>
        <v>0.82</v>
      </c>
      <c r="AE344">
        <f>_xlfn.XLOOKUP(Table1820[[#This Row],[City/Zip Code]],Table5[City/Zip Code],Table5[City/Zip Code Factor],,0)</f>
        <v>1.02</v>
      </c>
      <c r="AF344">
        <f>_xlfn.XLOOKUP(Table1820[[#This Row],[Vehicle Price]],Table6[Vehicle Price],Table6[Vehicle Price Factor])</f>
        <v>2.02</v>
      </c>
      <c r="AG344">
        <f>_xlfn.XLOOKUP(Table1820[[#This Row],[Exotic Car]],Table7[Exotic Car],Table7[Exotic Car Factor],,0)</f>
        <v>1</v>
      </c>
      <c r="AH344">
        <f>_xlfn.XLOOKUP(Table1820[[#This Row],[Difficult Parts]],Table8[Difficult Parts],Table8[Difficult Parts Factor],,0)</f>
        <v>1</v>
      </c>
      <c r="AI344">
        <f>_xlfn.XLOOKUP(Table1820[[#This Row],[High Theft Rate]],Table9[High Theft Rate],Table9[High Theft Rate Factor],,0)</f>
        <v>1.1599999999999999</v>
      </c>
      <c r="AJ344">
        <f>_xlfn.XLOOKUP(Table1820[[#This Row],[Advanced Safety Features]],Table10[Advanced Safety Features],Table10[Advanced Safety Features Factor],,0)</f>
        <v>1</v>
      </c>
      <c r="AK344">
        <f>_xlfn.XLOOKUP(Table1820[[#This Row],[Deductible]],Table12[Deductible],Table12[Deductible Factor],,0)</f>
        <v>0.95</v>
      </c>
      <c r="AL344">
        <f>_xlfn.XLOOKUP(Table1820[[#This Row],[Coverage Limit]],Table13[Coverage Limit],Table13[Coverage Limit Factor],,0)</f>
        <v>1</v>
      </c>
      <c r="AM344">
        <f>IF(Table1820[[#This Row],[Good Student Discount]]="Yes",'Rate Book'!$D$126,1)</f>
        <v>1</v>
      </c>
      <c r="AN344">
        <f>IF(Table1820[[#This Row],[Good Driver Discount]]="Yes",'Rate Book'!$D$127,1)</f>
        <v>1</v>
      </c>
      <c r="AO344">
        <f>IF(Table1820[[#This Row],[Multi Policy Discount]]="Yes",'Rate Book'!$D$128,1)</f>
        <v>0.93</v>
      </c>
      <c r="AP344">
        <f>IF(Table1820[[#This Row],[Loyal Customer Discount]]="Yes",'Rate Book'!$D$129,1)</f>
        <v>0.94</v>
      </c>
      <c r="AQ344">
        <f>IF(Table1820[[#This Row],[Organization Discount]]="Yes",'Rate Book'!$D$130,1)</f>
        <v>1</v>
      </c>
      <c r="AR344" cm="1">
        <f t="array" ref="AR344">IF(Table1820[[#This Row],[Effective Date]]&gt;=RateChangeTable[Effective Date],RateChangeTable[Rate Change Factor],1)</f>
        <v>1</v>
      </c>
      <c r="AS344" s="10">
        <f>PRODUCT(Table1820[[#This Row],[Base Rate]:[Rate Change Factor]])</f>
        <v>883.60424295236646</v>
      </c>
      <c r="AT344" s="9">
        <f>Table1820[[#This Row],[System-Generated Premium]]-Table1820[[#This Row],[Expected Premium]]</f>
        <v>0</v>
      </c>
      <c r="AU344" t="str">
        <f>IF(Table1820[[#This Row],[Difference]]=0,"PASS","FAIL")</f>
        <v>PASS</v>
      </c>
      <c r="AV344" s="9">
        <f>ABS(Table1820[[#This Row],[Difference]])</f>
        <v>0</v>
      </c>
      <c r="AW344" s="9" t="s">
        <v>1136</v>
      </c>
    </row>
    <row r="345" spans="1:49" x14ac:dyDescent="0.3">
      <c r="A345" t="s">
        <v>436</v>
      </c>
      <c r="B345" s="7">
        <v>45982</v>
      </c>
      <c r="C345" t="s">
        <v>70</v>
      </c>
      <c r="D345" t="s">
        <v>1097</v>
      </c>
      <c r="E345" s="3">
        <v>1</v>
      </c>
      <c r="F345" s="3">
        <v>1</v>
      </c>
      <c r="G345" t="s">
        <v>12</v>
      </c>
      <c r="H345" t="s">
        <v>1106</v>
      </c>
      <c r="I345" t="s">
        <v>30</v>
      </c>
      <c r="J345" t="s">
        <v>48</v>
      </c>
      <c r="K345" t="s">
        <v>10</v>
      </c>
      <c r="L345" t="s">
        <v>57</v>
      </c>
      <c r="M345" t="s">
        <v>10</v>
      </c>
      <c r="N345" t="s">
        <v>10</v>
      </c>
      <c r="O345" t="str">
        <f>INDEX(CoverageTable[Deductible Applies],MATCH(Table1820[[#This Row],[Coverage]],CoverageTable[Coverage],0))</f>
        <v>No</v>
      </c>
      <c r="P345" t="str">
        <f>INDEX(CoverageTable[Coverage Limit Applies],MATCH(Table1820[[#This Row],[Coverage]],CoverageTable[Coverage],0))</f>
        <v>Yes</v>
      </c>
      <c r="Q345" t="s">
        <v>10</v>
      </c>
      <c r="R345" t="s">
        <v>79</v>
      </c>
      <c r="S345" t="s">
        <v>10</v>
      </c>
      <c r="T345" t="s">
        <v>57</v>
      </c>
      <c r="U345" t="s">
        <v>10</v>
      </c>
      <c r="V345" t="s">
        <v>57</v>
      </c>
      <c r="W345" t="s">
        <v>57</v>
      </c>
      <c r="X345" s="11">
        <v>699.90369628878091</v>
      </c>
      <c r="Y345">
        <f>_xlfn.XLOOKUP(Table1820[[#This Row],[Coverage]],CoverageTable[Coverage],CoverageTable[Base Rate],,0)</f>
        <v>622</v>
      </c>
      <c r="Z345">
        <f>INDEX(Table16[Ageband Factor],MATCH(Table1820[[#This Row],[Ageband]],Table16[Ageband],0))</f>
        <v>1.32</v>
      </c>
      <c r="AA345">
        <f>VLOOKUP(Table1820[[#This Row],[Years Driving]],Table1[],2)</f>
        <v>1.64</v>
      </c>
      <c r="AB345">
        <f>_xlfn.XLOOKUP(Table1820[[#This Row],[At Fault Accidents]],Table2[At Fault Accidents],Table2[At Fault Accident Factor],,0)</f>
        <v>1.34</v>
      </c>
      <c r="AC345">
        <f>_xlfn.XLOOKUP(Table1820[[#This Row],[Usage-Based Insurance]],Table3[Usage-Based Insurance],Table3[Usage-Based Insurance Discount],,0)</f>
        <v>0.8</v>
      </c>
      <c r="AD345">
        <f>_xlfn.XLOOKUP(Table1820[[#This Row],[Yearly Miles]],Table4[Yearly Miles],Table4[Yearly Miles Factor],,0)</f>
        <v>0.82</v>
      </c>
      <c r="AE345">
        <f>_xlfn.XLOOKUP(Table1820[[#This Row],[City/Zip Code]],Table5[City/Zip Code],Table5[City/Zip Code Factor],,0)</f>
        <v>1.02</v>
      </c>
      <c r="AF345">
        <f>_xlfn.XLOOKUP(Table1820[[#This Row],[Vehicle Price]],Table6[Vehicle Price],Table6[Vehicle Price Factor])</f>
        <v>0.82</v>
      </c>
      <c r="AG345">
        <f>_xlfn.XLOOKUP(Table1820[[#This Row],[Exotic Car]],Table7[Exotic Car],Table7[Exotic Car Factor],,0)</f>
        <v>1</v>
      </c>
      <c r="AH345">
        <f>_xlfn.XLOOKUP(Table1820[[#This Row],[Difficult Parts]],Table8[Difficult Parts],Table8[Difficult Parts Factor],,0)</f>
        <v>1.21</v>
      </c>
      <c r="AI345">
        <f>_xlfn.XLOOKUP(Table1820[[#This Row],[High Theft Rate]],Table9[High Theft Rate],Table9[High Theft Rate Factor],,0)</f>
        <v>1</v>
      </c>
      <c r="AJ345">
        <f>_xlfn.XLOOKUP(Table1820[[#This Row],[Advanced Safety Features]],Table10[Advanced Safety Features],Table10[Advanced Safety Features Factor],,0)</f>
        <v>1</v>
      </c>
      <c r="AK345">
        <f>_xlfn.XLOOKUP(Table1820[[#This Row],[Deductible]],Table12[Deductible],Table12[Deductible Factor],,0)</f>
        <v>1</v>
      </c>
      <c r="AL345">
        <f>_xlfn.XLOOKUP(Table1820[[#This Row],[Coverage Limit]],Table13[Coverage Limit],Table13[Coverage Limit Factor],,0)</f>
        <v>0.72</v>
      </c>
      <c r="AM345">
        <f>IF(Table1820[[#This Row],[Good Student Discount]]="Yes",'Rate Book'!$D$126,1)</f>
        <v>1</v>
      </c>
      <c r="AN345">
        <f>IF(Table1820[[#This Row],[Good Driver Discount]]="Yes",'Rate Book'!$D$127,1)</f>
        <v>0.89</v>
      </c>
      <c r="AO345">
        <f>IF(Table1820[[#This Row],[Multi Policy Discount]]="Yes",'Rate Book'!$D$128,1)</f>
        <v>1</v>
      </c>
      <c r="AP345">
        <f>IF(Table1820[[#This Row],[Loyal Customer Discount]]="Yes",'Rate Book'!$D$129,1)</f>
        <v>0.94</v>
      </c>
      <c r="AQ345">
        <f>IF(Table1820[[#This Row],[Organization Discount]]="Yes",'Rate Book'!$D$130,1)</f>
        <v>0.97</v>
      </c>
      <c r="AR345" cm="1">
        <f t="array" ref="AR345">IF(Table1820[[#This Row],[Effective Date]]&gt;=RateChangeTable[Effective Date],RateChangeTable[Rate Change Factor],1)</f>
        <v>1</v>
      </c>
      <c r="AS345" s="10">
        <f>PRODUCT(Table1820[[#This Row],[Base Rate]:[Rate Change Factor]])</f>
        <v>699.90369628878091</v>
      </c>
      <c r="AT345" s="9">
        <f>Table1820[[#This Row],[System-Generated Premium]]-Table1820[[#This Row],[Expected Premium]]</f>
        <v>0</v>
      </c>
      <c r="AU345" t="str">
        <f>IF(Table1820[[#This Row],[Difference]]=0,"PASS","FAIL")</f>
        <v>PASS</v>
      </c>
      <c r="AV345" s="9">
        <f>ABS(Table1820[[#This Row],[Difference]])</f>
        <v>0</v>
      </c>
      <c r="AW345" s="9" t="s">
        <v>1136</v>
      </c>
    </row>
    <row r="346" spans="1:49" x14ac:dyDescent="0.3">
      <c r="A346" t="s">
        <v>437</v>
      </c>
      <c r="B346" s="7">
        <v>45959</v>
      </c>
      <c r="C346" t="s">
        <v>71</v>
      </c>
      <c r="D346" t="s">
        <v>1100</v>
      </c>
      <c r="E346" s="3">
        <v>1</v>
      </c>
      <c r="F346" s="3">
        <v>0</v>
      </c>
      <c r="G346" t="s">
        <v>10</v>
      </c>
      <c r="H346" t="s">
        <v>1110</v>
      </c>
      <c r="I346" t="s">
        <v>29</v>
      </c>
      <c r="J346" t="s">
        <v>50</v>
      </c>
      <c r="K346" t="s">
        <v>10</v>
      </c>
      <c r="L346" t="s">
        <v>10</v>
      </c>
      <c r="M346" t="s">
        <v>57</v>
      </c>
      <c r="N346" t="s">
        <v>57</v>
      </c>
      <c r="O346" t="str">
        <f>INDEX(CoverageTable[Deductible Applies],MATCH(Table1820[[#This Row],[Coverage]],CoverageTable[Coverage],0))</f>
        <v>Yes</v>
      </c>
      <c r="P346" t="str">
        <f>INDEX(CoverageTable[Coverage Limit Applies],MATCH(Table1820[[#This Row],[Coverage]],CoverageTable[Coverage],0))</f>
        <v>No</v>
      </c>
      <c r="Q346" t="s">
        <v>80</v>
      </c>
      <c r="R346" t="s">
        <v>10</v>
      </c>
      <c r="S346" t="s">
        <v>10</v>
      </c>
      <c r="T346" t="s">
        <v>10</v>
      </c>
      <c r="U346" t="s">
        <v>57</v>
      </c>
      <c r="V346" t="s">
        <v>10</v>
      </c>
      <c r="W346" t="s">
        <v>10</v>
      </c>
      <c r="X346" s="11">
        <v>837.92178783287841</v>
      </c>
      <c r="Y346">
        <f>_xlfn.XLOOKUP(Table1820[[#This Row],[Coverage]],CoverageTable[Coverage],CoverageTable[Base Rate],,0)</f>
        <v>453</v>
      </c>
      <c r="Z346">
        <f>INDEX(Table16[Ageband Factor],MATCH(Table1820[[#This Row],[Ageband]],Table16[Ageband],0))</f>
        <v>1.07</v>
      </c>
      <c r="AA346">
        <f>VLOOKUP(Table1820[[#This Row],[Years Driving]],Table1[],2)</f>
        <v>1.64</v>
      </c>
      <c r="AB346">
        <f>_xlfn.XLOOKUP(Table1820[[#This Row],[At Fault Accidents]],Table2[At Fault Accidents],Table2[At Fault Accident Factor],,0)</f>
        <v>1</v>
      </c>
      <c r="AC346">
        <f>_xlfn.XLOOKUP(Table1820[[#This Row],[Usage-Based Insurance]],Table3[Usage-Based Insurance],Table3[Usage-Based Insurance Discount],,0)</f>
        <v>1</v>
      </c>
      <c r="AD346">
        <f>_xlfn.XLOOKUP(Table1820[[#This Row],[Yearly Miles]],Table4[Yearly Miles],Table4[Yearly Miles Factor],,0)</f>
        <v>1.31</v>
      </c>
      <c r="AE346">
        <f>_xlfn.XLOOKUP(Table1820[[#This Row],[City/Zip Code]],Table5[City/Zip Code],Table5[City/Zip Code Factor],,0)</f>
        <v>1.0900000000000001</v>
      </c>
      <c r="AF346">
        <f>_xlfn.XLOOKUP(Table1820[[#This Row],[Vehicle Price]],Table6[Vehicle Price],Table6[Vehicle Price Factor])</f>
        <v>1.08</v>
      </c>
      <c r="AG346">
        <f>_xlfn.XLOOKUP(Table1820[[#This Row],[Exotic Car]],Table7[Exotic Car],Table7[Exotic Car Factor],,0)</f>
        <v>1</v>
      </c>
      <c r="AH346">
        <f>_xlfn.XLOOKUP(Table1820[[#This Row],[Difficult Parts]],Table8[Difficult Parts],Table8[Difficult Parts Factor],,0)</f>
        <v>1</v>
      </c>
      <c r="AI346">
        <f>_xlfn.XLOOKUP(Table1820[[#This Row],[High Theft Rate]],Table9[High Theft Rate],Table9[High Theft Rate Factor],,0)</f>
        <v>1.1599999999999999</v>
      </c>
      <c r="AJ346">
        <f>_xlfn.XLOOKUP(Table1820[[#This Row],[Advanced Safety Features]],Table10[Advanced Safety Features],Table10[Advanced Safety Features Factor],,0)</f>
        <v>0.88</v>
      </c>
      <c r="AK346">
        <f>_xlfn.XLOOKUP(Table1820[[#This Row],[Deductible]],Table12[Deductible],Table12[Deductible Factor],,0)</f>
        <v>0.72</v>
      </c>
      <c r="AL346">
        <f>_xlfn.XLOOKUP(Table1820[[#This Row],[Coverage Limit]],Table13[Coverage Limit],Table13[Coverage Limit Factor],,0)</f>
        <v>1</v>
      </c>
      <c r="AM346">
        <f>IF(Table1820[[#This Row],[Good Student Discount]]="Yes",'Rate Book'!$D$126,1)</f>
        <v>1</v>
      </c>
      <c r="AN346">
        <f>IF(Table1820[[#This Row],[Good Driver Discount]]="Yes",'Rate Book'!$D$127,1)</f>
        <v>1</v>
      </c>
      <c r="AO346">
        <f>IF(Table1820[[#This Row],[Multi Policy Discount]]="Yes",'Rate Book'!$D$128,1)</f>
        <v>0.93</v>
      </c>
      <c r="AP346">
        <f>IF(Table1820[[#This Row],[Loyal Customer Discount]]="Yes",'Rate Book'!$D$129,1)</f>
        <v>1</v>
      </c>
      <c r="AQ346">
        <f>IF(Table1820[[#This Row],[Organization Discount]]="Yes",'Rate Book'!$D$130,1)</f>
        <v>1</v>
      </c>
      <c r="AR346" cm="1">
        <f t="array" ref="AR346">IF(Table1820[[#This Row],[Effective Date]]&gt;=RateChangeTable[Effective Date],RateChangeTable[Rate Change Factor],1)</f>
        <v>1</v>
      </c>
      <c r="AS346" s="10">
        <f>PRODUCT(Table1820[[#This Row],[Base Rate]:[Rate Change Factor]])</f>
        <v>837.92178783287841</v>
      </c>
      <c r="AT346" s="9">
        <f>Table1820[[#This Row],[System-Generated Premium]]-Table1820[[#This Row],[Expected Premium]]</f>
        <v>0</v>
      </c>
      <c r="AU346" t="str">
        <f>IF(Table1820[[#This Row],[Difference]]=0,"PASS","FAIL")</f>
        <v>PASS</v>
      </c>
      <c r="AV346" s="9">
        <f>ABS(Table1820[[#This Row],[Difference]])</f>
        <v>0</v>
      </c>
      <c r="AW346" s="9" t="s">
        <v>1136</v>
      </c>
    </row>
    <row r="347" spans="1:49" x14ac:dyDescent="0.3">
      <c r="A347" t="s">
        <v>438</v>
      </c>
      <c r="B347" s="7">
        <v>46095</v>
      </c>
      <c r="C347" t="s">
        <v>70</v>
      </c>
      <c r="D347" t="s">
        <v>1098</v>
      </c>
      <c r="E347" s="3" t="s">
        <v>1103</v>
      </c>
      <c r="F347" s="3">
        <v>1</v>
      </c>
      <c r="G347" t="s">
        <v>11</v>
      </c>
      <c r="H347" t="s">
        <v>1108</v>
      </c>
      <c r="I347" t="s">
        <v>24</v>
      </c>
      <c r="J347" t="s">
        <v>53</v>
      </c>
      <c r="K347" t="s">
        <v>10</v>
      </c>
      <c r="L347" t="s">
        <v>10</v>
      </c>
      <c r="M347" t="s">
        <v>10</v>
      </c>
      <c r="N347" t="s">
        <v>10</v>
      </c>
      <c r="O347" t="str">
        <f>INDEX(CoverageTable[Deductible Applies],MATCH(Table1820[[#This Row],[Coverage]],CoverageTable[Coverage],0))</f>
        <v>No</v>
      </c>
      <c r="P347" t="str">
        <f>INDEX(CoverageTable[Coverage Limit Applies],MATCH(Table1820[[#This Row],[Coverage]],CoverageTable[Coverage],0))</f>
        <v>Yes</v>
      </c>
      <c r="Q347" t="s">
        <v>10</v>
      </c>
      <c r="R347" t="s">
        <v>78</v>
      </c>
      <c r="S347" t="s">
        <v>10</v>
      </c>
      <c r="T347" t="s">
        <v>10</v>
      </c>
      <c r="U347" t="s">
        <v>57</v>
      </c>
      <c r="V347" t="s">
        <v>57</v>
      </c>
      <c r="W347" t="s">
        <v>10</v>
      </c>
      <c r="X347" s="11">
        <v>1230.6985292878851</v>
      </c>
      <c r="Y347">
        <f>_xlfn.XLOOKUP(Table1820[[#This Row],[Coverage]],CoverageTable[Coverage],CoverageTable[Base Rate],,0)</f>
        <v>622</v>
      </c>
      <c r="Z347">
        <f>INDEX(Table16[Ageband Factor],MATCH(Table1820[[#This Row],[Ageband]],Table16[Ageband],0))</f>
        <v>1.23</v>
      </c>
      <c r="AA347">
        <f>VLOOKUP(Table1820[[#This Row],[Years Driving]],Table1[],2)</f>
        <v>0.93</v>
      </c>
      <c r="AB347">
        <f>_xlfn.XLOOKUP(Table1820[[#This Row],[At Fault Accidents]],Table2[At Fault Accidents],Table2[At Fault Accident Factor],,0)</f>
        <v>1.34</v>
      </c>
      <c r="AC347">
        <f>_xlfn.XLOOKUP(Table1820[[#This Row],[Usage-Based Insurance]],Table3[Usage-Based Insurance],Table3[Usage-Based Insurance Discount],,0)</f>
        <v>0.95</v>
      </c>
      <c r="AD347">
        <f>_xlfn.XLOOKUP(Table1820[[#This Row],[Yearly Miles]],Table4[Yearly Miles],Table4[Yearly Miles Factor],,0)</f>
        <v>1</v>
      </c>
      <c r="AE347">
        <f>_xlfn.XLOOKUP(Table1820[[#This Row],[City/Zip Code]],Table5[City/Zip Code],Table5[City/Zip Code Factor],,0)</f>
        <v>1.19</v>
      </c>
      <c r="AF347">
        <f>_xlfn.XLOOKUP(Table1820[[#This Row],[Vehicle Price]],Table6[Vehicle Price],Table6[Vehicle Price Factor])</f>
        <v>2.02</v>
      </c>
      <c r="AG347">
        <f>_xlfn.XLOOKUP(Table1820[[#This Row],[Exotic Car]],Table7[Exotic Car],Table7[Exotic Car Factor],,0)</f>
        <v>1</v>
      </c>
      <c r="AH347">
        <f>_xlfn.XLOOKUP(Table1820[[#This Row],[Difficult Parts]],Table8[Difficult Parts],Table8[Difficult Parts Factor],,0)</f>
        <v>1</v>
      </c>
      <c r="AI347">
        <f>_xlfn.XLOOKUP(Table1820[[#This Row],[High Theft Rate]],Table9[High Theft Rate],Table9[High Theft Rate Factor],,0)</f>
        <v>1</v>
      </c>
      <c r="AJ347">
        <f>_xlfn.XLOOKUP(Table1820[[#This Row],[Advanced Safety Features]],Table10[Advanced Safety Features],Table10[Advanced Safety Features Factor],,0)</f>
        <v>1</v>
      </c>
      <c r="AK347">
        <f>_xlfn.XLOOKUP(Table1820[[#This Row],[Deductible]],Table12[Deductible],Table12[Deductible Factor],,0)</f>
        <v>1</v>
      </c>
      <c r="AL347">
        <f>_xlfn.XLOOKUP(Table1820[[#This Row],[Coverage Limit]],Table13[Coverage Limit],Table13[Coverage Limit Factor],,0)</f>
        <v>0.61</v>
      </c>
      <c r="AM347">
        <f>IF(Table1820[[#This Row],[Good Student Discount]]="Yes",'Rate Book'!$D$126,1)</f>
        <v>1</v>
      </c>
      <c r="AN347">
        <f>IF(Table1820[[#This Row],[Good Driver Discount]]="Yes",'Rate Book'!$D$127,1)</f>
        <v>1</v>
      </c>
      <c r="AO347">
        <f>IF(Table1820[[#This Row],[Multi Policy Discount]]="Yes",'Rate Book'!$D$128,1)</f>
        <v>0.93</v>
      </c>
      <c r="AP347">
        <f>IF(Table1820[[#This Row],[Loyal Customer Discount]]="Yes",'Rate Book'!$D$129,1)</f>
        <v>0.94</v>
      </c>
      <c r="AQ347">
        <f>IF(Table1820[[#This Row],[Organization Discount]]="Yes",'Rate Book'!$D$130,1)</f>
        <v>1</v>
      </c>
      <c r="AR347" cm="1">
        <f t="array" ref="AR347">IF(Table1820[[#This Row],[Effective Date]]&gt;=RateChangeTable[Effective Date],RateChangeTable[Rate Change Factor],1)</f>
        <v>1.06</v>
      </c>
      <c r="AS347" s="10">
        <f>PRODUCT(Table1820[[#This Row],[Base Rate]:[Rate Change Factor]])</f>
        <v>1230.6985292878851</v>
      </c>
      <c r="AT347" s="9">
        <f>Table1820[[#This Row],[System-Generated Premium]]-Table1820[[#This Row],[Expected Premium]]</f>
        <v>0</v>
      </c>
      <c r="AU347" t="str">
        <f>IF(Table1820[[#This Row],[Difference]]=0,"PASS","FAIL")</f>
        <v>PASS</v>
      </c>
      <c r="AV347" s="9">
        <f>ABS(Table1820[[#This Row],[Difference]])</f>
        <v>0</v>
      </c>
      <c r="AW347" s="9" t="s">
        <v>1136</v>
      </c>
    </row>
    <row r="348" spans="1:49" x14ac:dyDescent="0.3">
      <c r="A348" t="s">
        <v>439</v>
      </c>
      <c r="B348" s="7">
        <v>45981</v>
      </c>
      <c r="C348" t="s">
        <v>70</v>
      </c>
      <c r="D348" t="s">
        <v>1100</v>
      </c>
      <c r="E348" s="3">
        <v>6</v>
      </c>
      <c r="F348" s="3">
        <v>0</v>
      </c>
      <c r="G348" t="s">
        <v>10</v>
      </c>
      <c r="H348" t="s">
        <v>1110</v>
      </c>
      <c r="I348" t="s">
        <v>40</v>
      </c>
      <c r="J348" t="s">
        <v>54</v>
      </c>
      <c r="K348" t="s">
        <v>10</v>
      </c>
      <c r="L348" t="s">
        <v>10</v>
      </c>
      <c r="M348" t="s">
        <v>10</v>
      </c>
      <c r="N348" t="s">
        <v>57</v>
      </c>
      <c r="O348" t="str">
        <f>INDEX(CoverageTable[Deductible Applies],MATCH(Table1820[[#This Row],[Coverage]],CoverageTable[Coverage],0))</f>
        <v>No</v>
      </c>
      <c r="P348" t="str">
        <f>INDEX(CoverageTable[Coverage Limit Applies],MATCH(Table1820[[#This Row],[Coverage]],CoverageTable[Coverage],0))</f>
        <v>Yes</v>
      </c>
      <c r="Q348" t="s">
        <v>10</v>
      </c>
      <c r="R348" t="s">
        <v>80</v>
      </c>
      <c r="S348" t="s">
        <v>10</v>
      </c>
      <c r="T348" t="s">
        <v>10</v>
      </c>
      <c r="U348" t="s">
        <v>10</v>
      </c>
      <c r="V348" t="s">
        <v>10</v>
      </c>
      <c r="W348" t="s">
        <v>10</v>
      </c>
      <c r="X348" s="11">
        <v>2016.1173680672646</v>
      </c>
      <c r="Y348">
        <f>_xlfn.XLOOKUP(Table1820[[#This Row],[Coverage]],CoverageTable[Coverage],CoverageTable[Base Rate],,0)</f>
        <v>622</v>
      </c>
      <c r="Z348">
        <f>INDEX(Table16[Ageband Factor],MATCH(Table1820[[#This Row],[Ageband]],Table16[Ageband],0))</f>
        <v>1.07</v>
      </c>
      <c r="AA348">
        <f>VLOOKUP(Table1820[[#This Row],[Years Driving]],Table1[],2)</f>
        <v>1</v>
      </c>
      <c r="AB348">
        <f>_xlfn.XLOOKUP(Table1820[[#This Row],[At Fault Accidents]],Table2[At Fault Accidents],Table2[At Fault Accident Factor],,0)</f>
        <v>1</v>
      </c>
      <c r="AC348">
        <f>_xlfn.XLOOKUP(Table1820[[#This Row],[Usage-Based Insurance]],Table3[Usage-Based Insurance],Table3[Usage-Based Insurance Discount],,0)</f>
        <v>1</v>
      </c>
      <c r="AD348">
        <f>_xlfn.XLOOKUP(Table1820[[#This Row],[Yearly Miles]],Table4[Yearly Miles],Table4[Yearly Miles Factor],,0)</f>
        <v>1.31</v>
      </c>
      <c r="AE348">
        <f>_xlfn.XLOOKUP(Table1820[[#This Row],[City/Zip Code]],Table5[City/Zip Code],Table5[City/Zip Code Factor],,0)</f>
        <v>1.0900000000000001</v>
      </c>
      <c r="AF348">
        <f>_xlfn.XLOOKUP(Table1820[[#This Row],[Vehicle Price]],Table6[Vehicle Price],Table6[Vehicle Price Factor])</f>
        <v>2.87</v>
      </c>
      <c r="AG348">
        <f>_xlfn.XLOOKUP(Table1820[[#This Row],[Exotic Car]],Table7[Exotic Car],Table7[Exotic Car Factor],,0)</f>
        <v>1</v>
      </c>
      <c r="AH348">
        <f>_xlfn.XLOOKUP(Table1820[[#This Row],[Difficult Parts]],Table8[Difficult Parts],Table8[Difficult Parts Factor],,0)</f>
        <v>1</v>
      </c>
      <c r="AI348">
        <f>_xlfn.XLOOKUP(Table1820[[#This Row],[High Theft Rate]],Table9[High Theft Rate],Table9[High Theft Rate Factor],,0)</f>
        <v>1</v>
      </c>
      <c r="AJ348">
        <f>_xlfn.XLOOKUP(Table1820[[#This Row],[Advanced Safety Features]],Table10[Advanced Safety Features],Table10[Advanced Safety Features Factor],,0)</f>
        <v>0.88</v>
      </c>
      <c r="AK348">
        <f>_xlfn.XLOOKUP(Table1820[[#This Row],[Deductible]],Table12[Deductible],Table12[Deductible Factor],,0)</f>
        <v>1</v>
      </c>
      <c r="AL348">
        <f>_xlfn.XLOOKUP(Table1820[[#This Row],[Coverage Limit]],Table13[Coverage Limit],Table13[Coverage Limit Factor],,0)</f>
        <v>0.84</v>
      </c>
      <c r="AM348">
        <f>IF(Table1820[[#This Row],[Good Student Discount]]="Yes",'Rate Book'!$D$126,1)</f>
        <v>1</v>
      </c>
      <c r="AN348">
        <f>IF(Table1820[[#This Row],[Good Driver Discount]]="Yes",'Rate Book'!$D$127,1)</f>
        <v>1</v>
      </c>
      <c r="AO348">
        <f>IF(Table1820[[#This Row],[Multi Policy Discount]]="Yes",'Rate Book'!$D$128,1)</f>
        <v>1</v>
      </c>
      <c r="AP348">
        <f>IF(Table1820[[#This Row],[Loyal Customer Discount]]="Yes",'Rate Book'!$D$129,1)</f>
        <v>1</v>
      </c>
      <c r="AQ348">
        <f>IF(Table1820[[#This Row],[Organization Discount]]="Yes",'Rate Book'!$D$130,1)</f>
        <v>1</v>
      </c>
      <c r="AR348" cm="1">
        <f t="array" ref="AR348">IF(Table1820[[#This Row],[Effective Date]]&gt;=RateChangeTable[Effective Date],RateChangeTable[Rate Change Factor],1)</f>
        <v>1</v>
      </c>
      <c r="AS348" s="10">
        <f>PRODUCT(Table1820[[#This Row],[Base Rate]:[Rate Change Factor]])</f>
        <v>2016.1173680672646</v>
      </c>
      <c r="AT348" s="9">
        <f>Table1820[[#This Row],[System-Generated Premium]]-Table1820[[#This Row],[Expected Premium]]</f>
        <v>0</v>
      </c>
      <c r="AU348" t="str">
        <f>IF(Table1820[[#This Row],[Difference]]=0,"PASS","FAIL")</f>
        <v>PASS</v>
      </c>
      <c r="AV348" s="9">
        <f>ABS(Table1820[[#This Row],[Difference]])</f>
        <v>0</v>
      </c>
      <c r="AW348" s="9" t="s">
        <v>1136</v>
      </c>
    </row>
    <row r="349" spans="1:49" x14ac:dyDescent="0.3">
      <c r="A349" t="s">
        <v>440</v>
      </c>
      <c r="B349" s="7">
        <v>45825</v>
      </c>
      <c r="C349" t="s">
        <v>70</v>
      </c>
      <c r="D349" t="s">
        <v>1100</v>
      </c>
      <c r="E349" s="3">
        <v>7</v>
      </c>
      <c r="F349" s="3">
        <v>0</v>
      </c>
      <c r="G349" t="s">
        <v>10</v>
      </c>
      <c r="H349" t="s">
        <v>1109</v>
      </c>
      <c r="I349" t="s">
        <v>22</v>
      </c>
      <c r="J349" t="s">
        <v>50</v>
      </c>
      <c r="K349" t="s">
        <v>10</v>
      </c>
      <c r="L349" t="s">
        <v>57</v>
      </c>
      <c r="M349" t="s">
        <v>10</v>
      </c>
      <c r="N349" t="s">
        <v>57</v>
      </c>
      <c r="O349" t="str">
        <f>INDEX(CoverageTable[Deductible Applies],MATCH(Table1820[[#This Row],[Coverage]],CoverageTable[Coverage],0))</f>
        <v>No</v>
      </c>
      <c r="P349" t="str">
        <f>INDEX(CoverageTable[Coverage Limit Applies],MATCH(Table1820[[#This Row],[Coverage]],CoverageTable[Coverage],0))</f>
        <v>Yes</v>
      </c>
      <c r="Q349" t="s">
        <v>10</v>
      </c>
      <c r="R349" t="s">
        <v>79</v>
      </c>
      <c r="S349" t="s">
        <v>10</v>
      </c>
      <c r="T349" t="s">
        <v>10</v>
      </c>
      <c r="U349" t="s">
        <v>10</v>
      </c>
      <c r="V349" t="s">
        <v>10</v>
      </c>
      <c r="W349" t="s">
        <v>10</v>
      </c>
      <c r="X349" s="11">
        <v>747.46255261551664</v>
      </c>
      <c r="Y349">
        <f>_xlfn.XLOOKUP(Table1820[[#This Row],[Coverage]],CoverageTable[Coverage],CoverageTable[Base Rate],,0)</f>
        <v>622</v>
      </c>
      <c r="Z349">
        <f>INDEX(Table16[Ageband Factor],MATCH(Table1820[[#This Row],[Ageband]],Table16[Ageband],0))</f>
        <v>1.07</v>
      </c>
      <c r="AA349">
        <f>VLOOKUP(Table1820[[#This Row],[Years Driving]],Table1[],2)</f>
        <v>0.95</v>
      </c>
      <c r="AB349">
        <f>_xlfn.XLOOKUP(Table1820[[#This Row],[At Fault Accidents]],Table2[At Fault Accidents],Table2[At Fault Accident Factor],,0)</f>
        <v>1</v>
      </c>
      <c r="AC349">
        <f>_xlfn.XLOOKUP(Table1820[[#This Row],[Usage-Based Insurance]],Table3[Usage-Based Insurance],Table3[Usage-Based Insurance Discount],,0)</f>
        <v>1</v>
      </c>
      <c r="AD349">
        <f>_xlfn.XLOOKUP(Table1820[[#This Row],[Yearly Miles]],Table4[Yearly Miles],Table4[Yearly Miles Factor],,0)</f>
        <v>1.18</v>
      </c>
      <c r="AE349">
        <f>_xlfn.XLOOKUP(Table1820[[#This Row],[City/Zip Code]],Table5[City/Zip Code],Table5[City/Zip Code Factor],,0)</f>
        <v>1.21</v>
      </c>
      <c r="AF349">
        <f>_xlfn.XLOOKUP(Table1820[[#This Row],[Vehicle Price]],Table6[Vehicle Price],Table6[Vehicle Price Factor])</f>
        <v>1.08</v>
      </c>
      <c r="AG349">
        <f>_xlfn.XLOOKUP(Table1820[[#This Row],[Exotic Car]],Table7[Exotic Car],Table7[Exotic Car Factor],,0)</f>
        <v>1</v>
      </c>
      <c r="AH349">
        <f>_xlfn.XLOOKUP(Table1820[[#This Row],[Difficult Parts]],Table8[Difficult Parts],Table8[Difficult Parts Factor],,0)</f>
        <v>1.21</v>
      </c>
      <c r="AI349">
        <f>_xlfn.XLOOKUP(Table1820[[#This Row],[High Theft Rate]],Table9[High Theft Rate],Table9[High Theft Rate Factor],,0)</f>
        <v>1</v>
      </c>
      <c r="AJ349">
        <f>_xlfn.XLOOKUP(Table1820[[#This Row],[Advanced Safety Features]],Table10[Advanced Safety Features],Table10[Advanced Safety Features Factor],,0)</f>
        <v>0.88</v>
      </c>
      <c r="AK349">
        <f>_xlfn.XLOOKUP(Table1820[[#This Row],[Deductible]],Table12[Deductible],Table12[Deductible Factor],,0)</f>
        <v>1</v>
      </c>
      <c r="AL349">
        <f>_xlfn.XLOOKUP(Table1820[[#This Row],[Coverage Limit]],Table13[Coverage Limit],Table13[Coverage Limit Factor],,0)</f>
        <v>0.72</v>
      </c>
      <c r="AM349">
        <f>IF(Table1820[[#This Row],[Good Student Discount]]="Yes",'Rate Book'!$D$126,1)</f>
        <v>1</v>
      </c>
      <c r="AN349">
        <f>IF(Table1820[[#This Row],[Good Driver Discount]]="Yes",'Rate Book'!$D$127,1)</f>
        <v>1</v>
      </c>
      <c r="AO349">
        <f>IF(Table1820[[#This Row],[Multi Policy Discount]]="Yes",'Rate Book'!$D$128,1)</f>
        <v>1</v>
      </c>
      <c r="AP349">
        <f>IF(Table1820[[#This Row],[Loyal Customer Discount]]="Yes",'Rate Book'!$D$129,1)</f>
        <v>1</v>
      </c>
      <c r="AQ349">
        <f>IF(Table1820[[#This Row],[Organization Discount]]="Yes",'Rate Book'!$D$130,1)</f>
        <v>1</v>
      </c>
      <c r="AR349" cm="1">
        <f t="array" ref="AR349">IF(Table1820[[#This Row],[Effective Date]]&gt;=RateChangeTable[Effective Date],RateChangeTable[Rate Change Factor],1)</f>
        <v>1</v>
      </c>
      <c r="AS349" s="10">
        <f>PRODUCT(Table1820[[#This Row],[Base Rate]:[Rate Change Factor]])</f>
        <v>747.46255261551664</v>
      </c>
      <c r="AT349" s="9">
        <f>Table1820[[#This Row],[System-Generated Premium]]-Table1820[[#This Row],[Expected Premium]]</f>
        <v>0</v>
      </c>
      <c r="AU349" t="str">
        <f>IF(Table1820[[#This Row],[Difference]]=0,"PASS","FAIL")</f>
        <v>PASS</v>
      </c>
      <c r="AV349" s="9">
        <f>ABS(Table1820[[#This Row],[Difference]])</f>
        <v>0</v>
      </c>
      <c r="AW349" s="9" t="s">
        <v>1136</v>
      </c>
    </row>
    <row r="350" spans="1:49" x14ac:dyDescent="0.3">
      <c r="A350" t="s">
        <v>441</v>
      </c>
      <c r="B350" s="7">
        <v>46065</v>
      </c>
      <c r="C350" t="s">
        <v>70</v>
      </c>
      <c r="D350" t="s">
        <v>1097</v>
      </c>
      <c r="E350" s="3">
        <v>2</v>
      </c>
      <c r="F350" s="3">
        <v>1</v>
      </c>
      <c r="G350" t="s">
        <v>10</v>
      </c>
      <c r="H350" t="s">
        <v>1109</v>
      </c>
      <c r="I350" t="s">
        <v>28</v>
      </c>
      <c r="J350" t="s">
        <v>49</v>
      </c>
      <c r="K350" t="s">
        <v>10</v>
      </c>
      <c r="L350" t="s">
        <v>10</v>
      </c>
      <c r="M350" t="s">
        <v>10</v>
      </c>
      <c r="N350" t="s">
        <v>57</v>
      </c>
      <c r="O350" t="str">
        <f>INDEX(CoverageTable[Deductible Applies],MATCH(Table1820[[#This Row],[Coverage]],CoverageTable[Coverage],0))</f>
        <v>No</v>
      </c>
      <c r="P350" t="str">
        <f>INDEX(CoverageTable[Coverage Limit Applies],MATCH(Table1820[[#This Row],[Coverage]],CoverageTable[Coverage],0))</f>
        <v>Yes</v>
      </c>
      <c r="Q350" t="s">
        <v>10</v>
      </c>
      <c r="R350" t="s">
        <v>79</v>
      </c>
      <c r="S350" t="s">
        <v>10</v>
      </c>
      <c r="T350" t="s">
        <v>10</v>
      </c>
      <c r="U350" t="s">
        <v>57</v>
      </c>
      <c r="V350" t="s">
        <v>10</v>
      </c>
      <c r="W350" t="s">
        <v>10</v>
      </c>
      <c r="X350" s="11">
        <v>1053.5849448734989</v>
      </c>
      <c r="Y350">
        <f>_xlfn.XLOOKUP(Table1820[[#This Row],[Coverage]],CoverageTable[Coverage],CoverageTable[Base Rate],,0)</f>
        <v>622</v>
      </c>
      <c r="Z350">
        <f>INDEX(Table16[Ageband Factor],MATCH(Table1820[[#This Row],[Ageband]],Table16[Ageband],0))</f>
        <v>1.32</v>
      </c>
      <c r="AA350">
        <f>VLOOKUP(Table1820[[#This Row],[Years Driving]],Table1[],2)</f>
        <v>1.41</v>
      </c>
      <c r="AB350">
        <f>_xlfn.XLOOKUP(Table1820[[#This Row],[At Fault Accidents]],Table2[At Fault Accidents],Table2[At Fault Accident Factor],,0)</f>
        <v>1.34</v>
      </c>
      <c r="AC350">
        <f>_xlfn.XLOOKUP(Table1820[[#This Row],[Usage-Based Insurance]],Table3[Usage-Based Insurance],Table3[Usage-Based Insurance Discount],,0)</f>
        <v>1</v>
      </c>
      <c r="AD350">
        <f>_xlfn.XLOOKUP(Table1820[[#This Row],[Yearly Miles]],Table4[Yearly Miles],Table4[Yearly Miles Factor],,0)</f>
        <v>1.18</v>
      </c>
      <c r="AE350">
        <f>_xlfn.XLOOKUP(Table1820[[#This Row],[City/Zip Code]],Table5[City/Zip Code],Table5[City/Zip Code Factor],,0)</f>
        <v>0.95</v>
      </c>
      <c r="AF350">
        <f>_xlfn.XLOOKUP(Table1820[[#This Row],[Vehicle Price]],Table6[Vehicle Price],Table6[Vehicle Price Factor])</f>
        <v>0.97</v>
      </c>
      <c r="AG350">
        <f>_xlfn.XLOOKUP(Table1820[[#This Row],[Exotic Car]],Table7[Exotic Car],Table7[Exotic Car Factor],,0)</f>
        <v>1</v>
      </c>
      <c r="AH350">
        <f>_xlfn.XLOOKUP(Table1820[[#This Row],[Difficult Parts]],Table8[Difficult Parts],Table8[Difficult Parts Factor],,0)</f>
        <v>1</v>
      </c>
      <c r="AI350">
        <f>_xlfn.XLOOKUP(Table1820[[#This Row],[High Theft Rate]],Table9[High Theft Rate],Table9[High Theft Rate Factor],,0)</f>
        <v>1</v>
      </c>
      <c r="AJ350">
        <f>_xlfn.XLOOKUP(Table1820[[#This Row],[Advanced Safety Features]],Table10[Advanced Safety Features],Table10[Advanced Safety Features Factor],,0)</f>
        <v>0.88</v>
      </c>
      <c r="AK350">
        <f>_xlfn.XLOOKUP(Table1820[[#This Row],[Deductible]],Table12[Deductible],Table12[Deductible Factor],,0)</f>
        <v>1</v>
      </c>
      <c r="AL350">
        <f>_xlfn.XLOOKUP(Table1820[[#This Row],[Coverage Limit]],Table13[Coverage Limit],Table13[Coverage Limit Factor],,0)</f>
        <v>0.72</v>
      </c>
      <c r="AM350">
        <f>IF(Table1820[[#This Row],[Good Student Discount]]="Yes",'Rate Book'!$D$126,1)</f>
        <v>1</v>
      </c>
      <c r="AN350">
        <f>IF(Table1820[[#This Row],[Good Driver Discount]]="Yes",'Rate Book'!$D$127,1)</f>
        <v>1</v>
      </c>
      <c r="AO350">
        <f>IF(Table1820[[#This Row],[Multi Policy Discount]]="Yes",'Rate Book'!$D$128,1)</f>
        <v>0.93</v>
      </c>
      <c r="AP350">
        <f>IF(Table1820[[#This Row],[Loyal Customer Discount]]="Yes",'Rate Book'!$D$129,1)</f>
        <v>1</v>
      </c>
      <c r="AQ350">
        <f>IF(Table1820[[#This Row],[Organization Discount]]="Yes",'Rate Book'!$D$130,1)</f>
        <v>1</v>
      </c>
      <c r="AR350" cm="1">
        <f t="array" ref="AR350">IF(Table1820[[#This Row],[Effective Date]]&gt;=RateChangeTable[Effective Date],RateChangeTable[Rate Change Factor],1)</f>
        <v>1.06</v>
      </c>
      <c r="AS350" s="10">
        <f>PRODUCT(Table1820[[#This Row],[Base Rate]:[Rate Change Factor]])</f>
        <v>1053.5849448734989</v>
      </c>
      <c r="AT350" s="9">
        <f>Table1820[[#This Row],[System-Generated Premium]]-Table1820[[#This Row],[Expected Premium]]</f>
        <v>0</v>
      </c>
      <c r="AU350" t="str">
        <f>IF(Table1820[[#This Row],[Difference]]=0,"PASS","FAIL")</f>
        <v>PASS</v>
      </c>
      <c r="AV350" s="9">
        <f>ABS(Table1820[[#This Row],[Difference]])</f>
        <v>0</v>
      </c>
      <c r="AW350" s="9" t="s">
        <v>1136</v>
      </c>
    </row>
    <row r="351" spans="1:49" x14ac:dyDescent="0.3">
      <c r="A351" t="s">
        <v>442</v>
      </c>
      <c r="B351" s="7">
        <v>46136</v>
      </c>
      <c r="C351" t="s">
        <v>73</v>
      </c>
      <c r="D351" t="s">
        <v>1100</v>
      </c>
      <c r="E351" s="3">
        <v>5</v>
      </c>
      <c r="F351" s="3">
        <v>1</v>
      </c>
      <c r="G351" t="s">
        <v>13</v>
      </c>
      <c r="H351" t="s">
        <v>1109</v>
      </c>
      <c r="I351" t="s">
        <v>27</v>
      </c>
      <c r="J351" t="s">
        <v>50</v>
      </c>
      <c r="K351" t="s">
        <v>10</v>
      </c>
      <c r="L351" t="s">
        <v>57</v>
      </c>
      <c r="M351" t="s">
        <v>10</v>
      </c>
      <c r="N351" t="s">
        <v>57</v>
      </c>
      <c r="O351" t="str">
        <f>INDEX(CoverageTable[Deductible Applies],MATCH(Table1820[[#This Row],[Coverage]],CoverageTable[Coverage],0))</f>
        <v>No</v>
      </c>
      <c r="P351" t="str">
        <f>INDEX(CoverageTable[Coverage Limit Applies],MATCH(Table1820[[#This Row],[Coverage]],CoverageTable[Coverage],0))</f>
        <v>Yes</v>
      </c>
      <c r="Q351" t="s">
        <v>10</v>
      </c>
      <c r="R351" t="s">
        <v>79</v>
      </c>
      <c r="S351" t="s">
        <v>10</v>
      </c>
      <c r="T351" t="s">
        <v>57</v>
      </c>
      <c r="U351" t="s">
        <v>10</v>
      </c>
      <c r="V351" t="s">
        <v>10</v>
      </c>
      <c r="W351" t="s">
        <v>10</v>
      </c>
      <c r="X351" s="11">
        <v>67.392309591906354</v>
      </c>
      <c r="Y351">
        <f>_xlfn.XLOOKUP(Table1820[[#This Row],[Coverage]],CoverageTable[Coverage],CoverageTable[Base Rate],,0)</f>
        <v>78</v>
      </c>
      <c r="Z351">
        <f>INDEX(Table16[Ageband Factor],MATCH(Table1820[[#This Row],[Ageband]],Table16[Ageband],0))</f>
        <v>1.07</v>
      </c>
      <c r="AA351">
        <f>VLOOKUP(Table1820[[#This Row],[Years Driving]],Table1[],2)</f>
        <v>1.07</v>
      </c>
      <c r="AB351">
        <f>_xlfn.XLOOKUP(Table1820[[#This Row],[At Fault Accidents]],Table2[At Fault Accidents],Table2[At Fault Accident Factor],,0)</f>
        <v>1.34</v>
      </c>
      <c r="AC351">
        <f>_xlfn.XLOOKUP(Table1820[[#This Row],[Usage-Based Insurance]],Table3[Usage-Based Insurance],Table3[Usage-Based Insurance Discount],,0)</f>
        <v>0.65</v>
      </c>
      <c r="AD351">
        <f>_xlfn.XLOOKUP(Table1820[[#This Row],[Yearly Miles]],Table4[Yearly Miles],Table4[Yearly Miles Factor],,0)</f>
        <v>1.18</v>
      </c>
      <c r="AE351">
        <f>_xlfn.XLOOKUP(Table1820[[#This Row],[City/Zip Code]],Table5[City/Zip Code],Table5[City/Zip Code Factor],,0)</f>
        <v>0.94</v>
      </c>
      <c r="AF351">
        <f>_xlfn.XLOOKUP(Table1820[[#This Row],[Vehicle Price]],Table6[Vehicle Price],Table6[Vehicle Price Factor])</f>
        <v>1.08</v>
      </c>
      <c r="AG351">
        <f>_xlfn.XLOOKUP(Table1820[[#This Row],[Exotic Car]],Table7[Exotic Car],Table7[Exotic Car Factor],,0)</f>
        <v>1</v>
      </c>
      <c r="AH351">
        <f>_xlfn.XLOOKUP(Table1820[[#This Row],[Difficult Parts]],Table8[Difficult Parts],Table8[Difficult Parts Factor],,0)</f>
        <v>1.21</v>
      </c>
      <c r="AI351">
        <f>_xlfn.XLOOKUP(Table1820[[#This Row],[High Theft Rate]],Table9[High Theft Rate],Table9[High Theft Rate Factor],,0)</f>
        <v>1</v>
      </c>
      <c r="AJ351">
        <f>_xlfn.XLOOKUP(Table1820[[#This Row],[Advanced Safety Features]],Table10[Advanced Safety Features],Table10[Advanced Safety Features Factor],,0)</f>
        <v>0.88</v>
      </c>
      <c r="AK351">
        <f>_xlfn.XLOOKUP(Table1820[[#This Row],[Deductible]],Table12[Deductible],Table12[Deductible Factor],,0)</f>
        <v>1</v>
      </c>
      <c r="AL351">
        <f>_xlfn.XLOOKUP(Table1820[[#This Row],[Coverage Limit]],Table13[Coverage Limit],Table13[Coverage Limit Factor],,0)</f>
        <v>0.72</v>
      </c>
      <c r="AM351">
        <f>IF(Table1820[[#This Row],[Good Student Discount]]="Yes",'Rate Book'!$D$126,1)</f>
        <v>1</v>
      </c>
      <c r="AN351">
        <f>IF(Table1820[[#This Row],[Good Driver Discount]]="Yes",'Rate Book'!$D$127,1)</f>
        <v>0.89</v>
      </c>
      <c r="AO351">
        <f>IF(Table1820[[#This Row],[Multi Policy Discount]]="Yes",'Rate Book'!$D$128,1)</f>
        <v>1</v>
      </c>
      <c r="AP351">
        <f>IF(Table1820[[#This Row],[Loyal Customer Discount]]="Yes",'Rate Book'!$D$129,1)</f>
        <v>1</v>
      </c>
      <c r="AQ351">
        <f>IF(Table1820[[#This Row],[Organization Discount]]="Yes",'Rate Book'!$D$130,1)</f>
        <v>1</v>
      </c>
      <c r="AR351" cm="1">
        <f t="array" ref="AR351">IF(Table1820[[#This Row],[Effective Date]]&gt;=RateChangeTable[Effective Date],RateChangeTable[Rate Change Factor],1)</f>
        <v>1.06</v>
      </c>
      <c r="AS351" s="10">
        <f>PRODUCT(Table1820[[#This Row],[Base Rate]:[Rate Change Factor]])</f>
        <v>67.392309591906354</v>
      </c>
      <c r="AT351" s="9">
        <f>Table1820[[#This Row],[System-Generated Premium]]-Table1820[[#This Row],[Expected Premium]]</f>
        <v>0</v>
      </c>
      <c r="AU351" t="str">
        <f>IF(Table1820[[#This Row],[Difference]]=0,"PASS","FAIL")</f>
        <v>PASS</v>
      </c>
      <c r="AV351" s="9">
        <f>ABS(Table1820[[#This Row],[Difference]])</f>
        <v>0</v>
      </c>
      <c r="AW351" s="9" t="s">
        <v>1136</v>
      </c>
    </row>
    <row r="352" spans="1:49" x14ac:dyDescent="0.3">
      <c r="A352" t="s">
        <v>443</v>
      </c>
      <c r="B352" s="7">
        <v>46083</v>
      </c>
      <c r="C352" t="s">
        <v>71</v>
      </c>
      <c r="D352" t="s">
        <v>1100</v>
      </c>
      <c r="E352" s="3">
        <v>7</v>
      </c>
      <c r="F352" s="3">
        <v>1</v>
      </c>
      <c r="G352" t="s">
        <v>10</v>
      </c>
      <c r="H352" t="s">
        <v>1109</v>
      </c>
      <c r="I352" t="s">
        <v>40</v>
      </c>
      <c r="J352" t="s">
        <v>52</v>
      </c>
      <c r="K352" t="s">
        <v>10</v>
      </c>
      <c r="L352" t="s">
        <v>10</v>
      </c>
      <c r="M352" t="s">
        <v>10</v>
      </c>
      <c r="N352" t="s">
        <v>57</v>
      </c>
      <c r="O352" t="str">
        <f>INDEX(CoverageTable[Deductible Applies],MATCH(Table1820[[#This Row],[Coverage]],CoverageTable[Coverage],0))</f>
        <v>Yes</v>
      </c>
      <c r="P352" t="str">
        <f>INDEX(CoverageTable[Coverage Limit Applies],MATCH(Table1820[[#This Row],[Coverage]],CoverageTable[Coverage],0))</f>
        <v>No</v>
      </c>
      <c r="Q352" t="s">
        <v>79</v>
      </c>
      <c r="R352" t="s">
        <v>10</v>
      </c>
      <c r="S352" t="s">
        <v>10</v>
      </c>
      <c r="T352" t="s">
        <v>57</v>
      </c>
      <c r="U352" t="s">
        <v>57</v>
      </c>
      <c r="V352" t="s">
        <v>10</v>
      </c>
      <c r="W352" t="s">
        <v>10</v>
      </c>
      <c r="X352" s="11">
        <v>808.08923193728754</v>
      </c>
      <c r="Y352">
        <f>_xlfn.XLOOKUP(Table1820[[#This Row],[Coverage]],CoverageTable[Coverage],CoverageTable[Base Rate],,0)</f>
        <v>453</v>
      </c>
      <c r="Z352">
        <f>INDEX(Table16[Ageband Factor],MATCH(Table1820[[#This Row],[Ageband]],Table16[Ageband],0))</f>
        <v>1.07</v>
      </c>
      <c r="AA352">
        <f>VLOOKUP(Table1820[[#This Row],[Years Driving]],Table1[],2)</f>
        <v>0.95</v>
      </c>
      <c r="AB352">
        <f>_xlfn.XLOOKUP(Table1820[[#This Row],[At Fault Accidents]],Table2[At Fault Accidents],Table2[At Fault Accident Factor],,0)</f>
        <v>1.34</v>
      </c>
      <c r="AC352">
        <f>_xlfn.XLOOKUP(Table1820[[#This Row],[Usage-Based Insurance]],Table3[Usage-Based Insurance],Table3[Usage-Based Insurance Discount],,0)</f>
        <v>1</v>
      </c>
      <c r="AD352">
        <f>_xlfn.XLOOKUP(Table1820[[#This Row],[Yearly Miles]],Table4[Yearly Miles],Table4[Yearly Miles Factor],,0)</f>
        <v>1.18</v>
      </c>
      <c r="AE352">
        <f>_xlfn.XLOOKUP(Table1820[[#This Row],[City/Zip Code]],Table5[City/Zip Code],Table5[City/Zip Code Factor],,0)</f>
        <v>1.0900000000000001</v>
      </c>
      <c r="AF352">
        <f>_xlfn.XLOOKUP(Table1820[[#This Row],[Vehicle Price]],Table6[Vehicle Price],Table6[Vehicle Price Factor])</f>
        <v>1.57</v>
      </c>
      <c r="AG352">
        <f>_xlfn.XLOOKUP(Table1820[[#This Row],[Exotic Car]],Table7[Exotic Car],Table7[Exotic Car Factor],,0)</f>
        <v>1</v>
      </c>
      <c r="AH352">
        <f>_xlfn.XLOOKUP(Table1820[[#This Row],[Difficult Parts]],Table8[Difficult Parts],Table8[Difficult Parts Factor],,0)</f>
        <v>1</v>
      </c>
      <c r="AI352">
        <f>_xlfn.XLOOKUP(Table1820[[#This Row],[High Theft Rate]],Table9[High Theft Rate],Table9[High Theft Rate Factor],,0)</f>
        <v>1</v>
      </c>
      <c r="AJ352">
        <f>_xlfn.XLOOKUP(Table1820[[#This Row],[Advanced Safety Features]],Table10[Advanced Safety Features],Table10[Advanced Safety Features Factor],,0)</f>
        <v>0.88</v>
      </c>
      <c r="AK352">
        <f>_xlfn.XLOOKUP(Table1820[[#This Row],[Deductible]],Table12[Deductible],Table12[Deductible Factor],,0)</f>
        <v>0.84</v>
      </c>
      <c r="AL352">
        <f>_xlfn.XLOOKUP(Table1820[[#This Row],[Coverage Limit]],Table13[Coverage Limit],Table13[Coverage Limit Factor],,0)</f>
        <v>1</v>
      </c>
      <c r="AM352">
        <f>IF(Table1820[[#This Row],[Good Student Discount]]="Yes",'Rate Book'!$D$126,1)</f>
        <v>1</v>
      </c>
      <c r="AN352">
        <f>IF(Table1820[[#This Row],[Good Driver Discount]]="Yes",'Rate Book'!$D$127,1)</f>
        <v>0.89</v>
      </c>
      <c r="AO352">
        <f>IF(Table1820[[#This Row],[Multi Policy Discount]]="Yes",'Rate Book'!$D$128,1)</f>
        <v>0.93</v>
      </c>
      <c r="AP352">
        <f>IF(Table1820[[#This Row],[Loyal Customer Discount]]="Yes",'Rate Book'!$D$129,1)</f>
        <v>1</v>
      </c>
      <c r="AQ352">
        <f>IF(Table1820[[#This Row],[Organization Discount]]="Yes",'Rate Book'!$D$130,1)</f>
        <v>1</v>
      </c>
      <c r="AR352" cm="1">
        <f t="array" ref="AR352">IF(Table1820[[#This Row],[Effective Date]]&gt;=RateChangeTable[Effective Date],RateChangeTable[Rate Change Factor],1)</f>
        <v>1.06</v>
      </c>
      <c r="AS352" s="10">
        <f>PRODUCT(Table1820[[#This Row],[Base Rate]:[Rate Change Factor]])</f>
        <v>808.08923193728754</v>
      </c>
      <c r="AT352" s="9">
        <f>Table1820[[#This Row],[System-Generated Premium]]-Table1820[[#This Row],[Expected Premium]]</f>
        <v>0</v>
      </c>
      <c r="AU352" t="str">
        <f>IF(Table1820[[#This Row],[Difference]]=0,"PASS","FAIL")</f>
        <v>PASS</v>
      </c>
      <c r="AV352" s="9">
        <f>ABS(Table1820[[#This Row],[Difference]])</f>
        <v>0</v>
      </c>
      <c r="AW352" s="9" t="s">
        <v>1136</v>
      </c>
    </row>
    <row r="353" spans="1:49" x14ac:dyDescent="0.3">
      <c r="A353" t="s">
        <v>444</v>
      </c>
      <c r="B353" s="7">
        <v>46032</v>
      </c>
      <c r="C353" t="s">
        <v>72</v>
      </c>
      <c r="D353" t="s">
        <v>1099</v>
      </c>
      <c r="E353" s="3">
        <v>4</v>
      </c>
      <c r="F353" s="3">
        <v>1</v>
      </c>
      <c r="G353" t="s">
        <v>13</v>
      </c>
      <c r="H353" t="s">
        <v>1107</v>
      </c>
      <c r="I353" t="s">
        <v>34</v>
      </c>
      <c r="J353" t="s">
        <v>49</v>
      </c>
      <c r="K353" t="s">
        <v>10</v>
      </c>
      <c r="L353" t="s">
        <v>10</v>
      </c>
      <c r="M353" t="s">
        <v>10</v>
      </c>
      <c r="N353" t="s">
        <v>57</v>
      </c>
      <c r="O353" t="str">
        <f>INDEX(CoverageTable[Deductible Applies],MATCH(Table1820[[#This Row],[Coverage]],CoverageTable[Coverage],0))</f>
        <v>Yes</v>
      </c>
      <c r="P353" t="str">
        <f>INDEX(CoverageTable[Coverage Limit Applies],MATCH(Table1820[[#This Row],[Coverage]],CoverageTable[Coverage],0))</f>
        <v>No</v>
      </c>
      <c r="Q353" t="s">
        <v>80</v>
      </c>
      <c r="R353" t="s">
        <v>10</v>
      </c>
      <c r="S353" t="s">
        <v>57</v>
      </c>
      <c r="T353" t="s">
        <v>10</v>
      </c>
      <c r="U353" t="s">
        <v>10</v>
      </c>
      <c r="V353" t="s">
        <v>10</v>
      </c>
      <c r="W353" t="s">
        <v>10</v>
      </c>
      <c r="X353" s="11">
        <v>105.38759845709293</v>
      </c>
      <c r="Y353">
        <f>_xlfn.XLOOKUP(Table1820[[#This Row],[Coverage]],CoverageTable[Coverage],CoverageTable[Base Rate],,0)</f>
        <v>121</v>
      </c>
      <c r="Z353">
        <f>INDEX(Table16[Ageband Factor],MATCH(Table1820[[#This Row],[Ageband]],Table16[Ageband],0))</f>
        <v>1</v>
      </c>
      <c r="AA353">
        <f>VLOOKUP(Table1820[[#This Row],[Years Driving]],Table1[],2)</f>
        <v>1.1499999999999999</v>
      </c>
      <c r="AB353">
        <f>_xlfn.XLOOKUP(Table1820[[#This Row],[At Fault Accidents]],Table2[At Fault Accidents],Table2[At Fault Accident Factor],,0)</f>
        <v>1.34</v>
      </c>
      <c r="AC353">
        <f>_xlfn.XLOOKUP(Table1820[[#This Row],[Usage-Based Insurance]],Table3[Usage-Based Insurance],Table3[Usage-Based Insurance Discount],,0)</f>
        <v>0.65</v>
      </c>
      <c r="AD353">
        <f>_xlfn.XLOOKUP(Table1820[[#This Row],[Yearly Miles]],Table4[Yearly Miles],Table4[Yearly Miles Factor],,0)</f>
        <v>0.93</v>
      </c>
      <c r="AE353">
        <f>_xlfn.XLOOKUP(Table1820[[#This Row],[City/Zip Code]],Table5[City/Zip Code],Table5[City/Zip Code Factor],,0)</f>
        <v>1.56</v>
      </c>
      <c r="AF353">
        <f>_xlfn.XLOOKUP(Table1820[[#This Row],[Vehicle Price]],Table6[Vehicle Price],Table6[Vehicle Price Factor])</f>
        <v>0.97</v>
      </c>
      <c r="AG353">
        <f>_xlfn.XLOOKUP(Table1820[[#This Row],[Exotic Car]],Table7[Exotic Car],Table7[Exotic Car Factor],,0)</f>
        <v>1</v>
      </c>
      <c r="AH353">
        <f>_xlfn.XLOOKUP(Table1820[[#This Row],[Difficult Parts]],Table8[Difficult Parts],Table8[Difficult Parts Factor],,0)</f>
        <v>1</v>
      </c>
      <c r="AI353">
        <f>_xlfn.XLOOKUP(Table1820[[#This Row],[High Theft Rate]],Table9[High Theft Rate],Table9[High Theft Rate Factor],,0)</f>
        <v>1</v>
      </c>
      <c r="AJ353">
        <f>_xlfn.XLOOKUP(Table1820[[#This Row],[Advanced Safety Features]],Table10[Advanced Safety Features],Table10[Advanced Safety Features Factor],,0)</f>
        <v>0.88</v>
      </c>
      <c r="AK353">
        <f>_xlfn.XLOOKUP(Table1820[[#This Row],[Deductible]],Table12[Deductible],Table12[Deductible Factor],,0)</f>
        <v>0.72</v>
      </c>
      <c r="AL353">
        <f>_xlfn.XLOOKUP(Table1820[[#This Row],[Coverage Limit]],Table13[Coverage Limit],Table13[Coverage Limit Factor],,0)</f>
        <v>1</v>
      </c>
      <c r="AM353">
        <f>IF(Table1820[[#This Row],[Good Student Discount]]="Yes",'Rate Book'!$D$126,1)</f>
        <v>0.92</v>
      </c>
      <c r="AN353">
        <f>IF(Table1820[[#This Row],[Good Driver Discount]]="Yes",'Rate Book'!$D$127,1)</f>
        <v>1</v>
      </c>
      <c r="AO353">
        <f>IF(Table1820[[#This Row],[Multi Policy Discount]]="Yes",'Rate Book'!$D$128,1)</f>
        <v>1</v>
      </c>
      <c r="AP353">
        <f>IF(Table1820[[#This Row],[Loyal Customer Discount]]="Yes",'Rate Book'!$D$129,1)</f>
        <v>1</v>
      </c>
      <c r="AQ353">
        <f>IF(Table1820[[#This Row],[Organization Discount]]="Yes",'Rate Book'!$D$130,1)</f>
        <v>1</v>
      </c>
      <c r="AR353" cm="1">
        <f t="array" ref="AR353">IF(Table1820[[#This Row],[Effective Date]]&gt;=RateChangeTable[Effective Date],RateChangeTable[Rate Change Factor],1)</f>
        <v>1.06</v>
      </c>
      <c r="AS353" s="10">
        <f>PRODUCT(Table1820[[#This Row],[Base Rate]:[Rate Change Factor]])</f>
        <v>105.38759845709293</v>
      </c>
      <c r="AT353" s="9">
        <f>Table1820[[#This Row],[System-Generated Premium]]-Table1820[[#This Row],[Expected Premium]]</f>
        <v>0</v>
      </c>
      <c r="AU353" t="str">
        <f>IF(Table1820[[#This Row],[Difference]]=0,"PASS","FAIL")</f>
        <v>PASS</v>
      </c>
      <c r="AV353" s="9">
        <f>ABS(Table1820[[#This Row],[Difference]])</f>
        <v>0</v>
      </c>
      <c r="AW353" s="9" t="s">
        <v>1136</v>
      </c>
    </row>
    <row r="354" spans="1:49" x14ac:dyDescent="0.3">
      <c r="A354" t="s">
        <v>445</v>
      </c>
      <c r="B354" s="7">
        <v>45897</v>
      </c>
      <c r="C354" t="s">
        <v>74</v>
      </c>
      <c r="D354" t="s">
        <v>1097</v>
      </c>
      <c r="E354" s="3">
        <v>5</v>
      </c>
      <c r="F354" s="3">
        <v>1</v>
      </c>
      <c r="G354" t="s">
        <v>10</v>
      </c>
      <c r="H354" t="s">
        <v>1108</v>
      </c>
      <c r="I354" t="s">
        <v>29</v>
      </c>
      <c r="J354" t="s">
        <v>54</v>
      </c>
      <c r="K354" t="s">
        <v>10</v>
      </c>
      <c r="L354" t="s">
        <v>57</v>
      </c>
      <c r="M354" t="s">
        <v>57</v>
      </c>
      <c r="N354" t="s">
        <v>10</v>
      </c>
      <c r="O354" t="str">
        <f>INDEX(CoverageTable[Deductible Applies],MATCH(Table1820[[#This Row],[Coverage]],CoverageTable[Coverage],0))</f>
        <v>No</v>
      </c>
      <c r="P354" t="str">
        <f>INDEX(CoverageTable[Coverage Limit Applies],MATCH(Table1820[[#This Row],[Coverage]],CoverageTable[Coverage],0))</f>
        <v>Yes</v>
      </c>
      <c r="Q354" t="s">
        <v>10</v>
      </c>
      <c r="R354" t="s">
        <v>79</v>
      </c>
      <c r="S354" t="s">
        <v>10</v>
      </c>
      <c r="T354" t="s">
        <v>10</v>
      </c>
      <c r="U354" t="s">
        <v>57</v>
      </c>
      <c r="V354" t="s">
        <v>10</v>
      </c>
      <c r="W354" t="s">
        <v>57</v>
      </c>
      <c r="X354" s="11">
        <v>221.30197890224852</v>
      </c>
      <c r="Y354">
        <f>_xlfn.XLOOKUP(Table1820[[#This Row],[Coverage]],CoverageTable[Coverage],CoverageTable[Base Rate],,0)</f>
        <v>41</v>
      </c>
      <c r="Z354">
        <f>INDEX(Table16[Ageband Factor],MATCH(Table1820[[#This Row],[Ageband]],Table16[Ageband],0))</f>
        <v>1.32</v>
      </c>
      <c r="AA354">
        <f>VLOOKUP(Table1820[[#This Row],[Years Driving]],Table1[],2)</f>
        <v>1.07</v>
      </c>
      <c r="AB354">
        <f>_xlfn.XLOOKUP(Table1820[[#This Row],[At Fault Accidents]],Table2[At Fault Accidents],Table2[At Fault Accident Factor],,0)</f>
        <v>1.34</v>
      </c>
      <c r="AC354">
        <f>_xlfn.XLOOKUP(Table1820[[#This Row],[Usage-Based Insurance]],Table3[Usage-Based Insurance],Table3[Usage-Based Insurance Discount],,0)</f>
        <v>1</v>
      </c>
      <c r="AD354">
        <f>_xlfn.XLOOKUP(Table1820[[#This Row],[Yearly Miles]],Table4[Yearly Miles],Table4[Yearly Miles Factor],,0)</f>
        <v>1</v>
      </c>
      <c r="AE354">
        <f>_xlfn.XLOOKUP(Table1820[[#This Row],[City/Zip Code]],Table5[City/Zip Code],Table5[City/Zip Code Factor],,0)</f>
        <v>1.0900000000000001</v>
      </c>
      <c r="AF354">
        <f>_xlfn.XLOOKUP(Table1820[[#This Row],[Vehicle Price]],Table6[Vehicle Price],Table6[Vehicle Price Factor])</f>
        <v>2.87</v>
      </c>
      <c r="AG354">
        <f>_xlfn.XLOOKUP(Table1820[[#This Row],[Exotic Car]],Table7[Exotic Car],Table7[Exotic Car Factor],,0)</f>
        <v>1</v>
      </c>
      <c r="AH354">
        <f>_xlfn.XLOOKUP(Table1820[[#This Row],[Difficult Parts]],Table8[Difficult Parts],Table8[Difficult Parts Factor],,0)</f>
        <v>1.21</v>
      </c>
      <c r="AI354">
        <f>_xlfn.XLOOKUP(Table1820[[#This Row],[High Theft Rate]],Table9[High Theft Rate],Table9[High Theft Rate Factor],,0)</f>
        <v>1.1599999999999999</v>
      </c>
      <c r="AJ354">
        <f>_xlfn.XLOOKUP(Table1820[[#This Row],[Advanced Safety Features]],Table10[Advanced Safety Features],Table10[Advanced Safety Features Factor],,0)</f>
        <v>1</v>
      </c>
      <c r="AK354">
        <f>_xlfn.XLOOKUP(Table1820[[#This Row],[Deductible]],Table12[Deductible],Table12[Deductible Factor],,0)</f>
        <v>1</v>
      </c>
      <c r="AL354">
        <f>_xlfn.XLOOKUP(Table1820[[#This Row],[Coverage Limit]],Table13[Coverage Limit],Table13[Coverage Limit Factor],,0)</f>
        <v>0.72</v>
      </c>
      <c r="AM354">
        <f>IF(Table1820[[#This Row],[Good Student Discount]]="Yes",'Rate Book'!$D$126,1)</f>
        <v>1</v>
      </c>
      <c r="AN354">
        <f>IF(Table1820[[#This Row],[Good Driver Discount]]="Yes",'Rate Book'!$D$127,1)</f>
        <v>1</v>
      </c>
      <c r="AO354">
        <f>IF(Table1820[[#This Row],[Multi Policy Discount]]="Yes",'Rate Book'!$D$128,1)</f>
        <v>0.93</v>
      </c>
      <c r="AP354">
        <f>IF(Table1820[[#This Row],[Loyal Customer Discount]]="Yes",'Rate Book'!$D$129,1)</f>
        <v>1</v>
      </c>
      <c r="AQ354">
        <f>IF(Table1820[[#This Row],[Organization Discount]]="Yes",'Rate Book'!$D$130,1)</f>
        <v>0.97</v>
      </c>
      <c r="AR354" cm="1">
        <f t="array" ref="AR354">IF(Table1820[[#This Row],[Effective Date]]&gt;=RateChangeTable[Effective Date],RateChangeTable[Rate Change Factor],1)</f>
        <v>1</v>
      </c>
      <c r="AS354" s="10">
        <f>PRODUCT(Table1820[[#This Row],[Base Rate]:[Rate Change Factor]])</f>
        <v>221.30197890224852</v>
      </c>
      <c r="AT354" s="9">
        <f>Table1820[[#This Row],[System-Generated Premium]]-Table1820[[#This Row],[Expected Premium]]</f>
        <v>0</v>
      </c>
      <c r="AU354" t="str">
        <f>IF(Table1820[[#This Row],[Difference]]=0,"PASS","FAIL")</f>
        <v>PASS</v>
      </c>
      <c r="AV354" s="9">
        <f>ABS(Table1820[[#This Row],[Difference]])</f>
        <v>0</v>
      </c>
      <c r="AW354" s="9" t="s">
        <v>1136</v>
      </c>
    </row>
    <row r="355" spans="1:49" x14ac:dyDescent="0.3">
      <c r="A355" t="s">
        <v>446</v>
      </c>
      <c r="B355" s="7">
        <v>46035</v>
      </c>
      <c r="C355" t="s">
        <v>70</v>
      </c>
      <c r="D355" t="s">
        <v>1102</v>
      </c>
      <c r="E355" s="3">
        <v>3</v>
      </c>
      <c r="F355" s="3">
        <v>3</v>
      </c>
      <c r="G355" t="s">
        <v>10</v>
      </c>
      <c r="H355" t="s">
        <v>1107</v>
      </c>
      <c r="I355" t="s">
        <v>40</v>
      </c>
      <c r="J355" t="s">
        <v>49</v>
      </c>
      <c r="K355" t="s">
        <v>10</v>
      </c>
      <c r="L355" t="s">
        <v>10</v>
      </c>
      <c r="M355" t="s">
        <v>10</v>
      </c>
      <c r="N355" t="s">
        <v>10</v>
      </c>
      <c r="O355" t="str">
        <f>INDEX(CoverageTable[Deductible Applies],MATCH(Table1820[[#This Row],[Coverage]],CoverageTable[Coverage],0))</f>
        <v>No</v>
      </c>
      <c r="P355" t="str">
        <f>INDEX(CoverageTable[Coverage Limit Applies],MATCH(Table1820[[#This Row],[Coverage]],CoverageTable[Coverage],0))</f>
        <v>Yes</v>
      </c>
      <c r="Q355" t="s">
        <v>10</v>
      </c>
      <c r="R355" t="s">
        <v>78</v>
      </c>
      <c r="S355" t="s">
        <v>10</v>
      </c>
      <c r="T355" t="s">
        <v>10</v>
      </c>
      <c r="U355" t="s">
        <v>10</v>
      </c>
      <c r="V355" t="s">
        <v>10</v>
      </c>
      <c r="W355" t="s">
        <v>10</v>
      </c>
      <c r="X355" s="11">
        <v>1115.1728956922491</v>
      </c>
      <c r="Y355">
        <f>_xlfn.XLOOKUP(Table1820[[#This Row],[Coverage]],CoverageTable[Coverage],CoverageTable[Base Rate],,0)</f>
        <v>622</v>
      </c>
      <c r="Z355">
        <f>INDEX(Table16[Ageband Factor],MATCH(Table1820[[#This Row],[Ageband]],Table16[Ageband],0))</f>
        <v>1.27</v>
      </c>
      <c r="AA355">
        <f>VLOOKUP(Table1820[[#This Row],[Years Driving]],Table1[],2)</f>
        <v>1.22</v>
      </c>
      <c r="AB355">
        <f>_xlfn.XLOOKUP(Table1820[[#This Row],[At Fault Accidents]],Table2[At Fault Accidents],Table2[At Fault Accident Factor],,0)</f>
        <v>1.82</v>
      </c>
      <c r="AC355">
        <f>_xlfn.XLOOKUP(Table1820[[#This Row],[Usage-Based Insurance]],Table3[Usage-Based Insurance],Table3[Usage-Based Insurance Discount],,0)</f>
        <v>1</v>
      </c>
      <c r="AD355">
        <f>_xlfn.XLOOKUP(Table1820[[#This Row],[Yearly Miles]],Table4[Yearly Miles],Table4[Yearly Miles Factor],,0)</f>
        <v>0.93</v>
      </c>
      <c r="AE355">
        <f>_xlfn.XLOOKUP(Table1820[[#This Row],[City/Zip Code]],Table5[City/Zip Code],Table5[City/Zip Code Factor],,0)</f>
        <v>1.0900000000000001</v>
      </c>
      <c r="AF355">
        <f>_xlfn.XLOOKUP(Table1820[[#This Row],[Vehicle Price]],Table6[Vehicle Price],Table6[Vehicle Price Factor])</f>
        <v>0.97</v>
      </c>
      <c r="AG355">
        <f>_xlfn.XLOOKUP(Table1820[[#This Row],[Exotic Car]],Table7[Exotic Car],Table7[Exotic Car Factor],,0)</f>
        <v>1</v>
      </c>
      <c r="AH355">
        <f>_xlfn.XLOOKUP(Table1820[[#This Row],[Difficult Parts]],Table8[Difficult Parts],Table8[Difficult Parts Factor],,0)</f>
        <v>1</v>
      </c>
      <c r="AI355">
        <f>_xlfn.XLOOKUP(Table1820[[#This Row],[High Theft Rate]],Table9[High Theft Rate],Table9[High Theft Rate Factor],,0)</f>
        <v>1</v>
      </c>
      <c r="AJ355">
        <f>_xlfn.XLOOKUP(Table1820[[#This Row],[Advanced Safety Features]],Table10[Advanced Safety Features],Table10[Advanced Safety Features Factor],,0)</f>
        <v>1</v>
      </c>
      <c r="AK355">
        <f>_xlfn.XLOOKUP(Table1820[[#This Row],[Deductible]],Table12[Deductible],Table12[Deductible Factor],,0)</f>
        <v>1</v>
      </c>
      <c r="AL355">
        <f>_xlfn.XLOOKUP(Table1820[[#This Row],[Coverage Limit]],Table13[Coverage Limit],Table13[Coverage Limit Factor],,0)</f>
        <v>0.61</v>
      </c>
      <c r="AM355">
        <f>IF(Table1820[[#This Row],[Good Student Discount]]="Yes",'Rate Book'!$D$126,1)</f>
        <v>1</v>
      </c>
      <c r="AN355">
        <f>IF(Table1820[[#This Row],[Good Driver Discount]]="Yes",'Rate Book'!$D$127,1)</f>
        <v>1</v>
      </c>
      <c r="AO355">
        <f>IF(Table1820[[#This Row],[Multi Policy Discount]]="Yes",'Rate Book'!$D$128,1)</f>
        <v>1</v>
      </c>
      <c r="AP355">
        <f>IF(Table1820[[#This Row],[Loyal Customer Discount]]="Yes",'Rate Book'!$D$129,1)</f>
        <v>1</v>
      </c>
      <c r="AQ355">
        <f>IF(Table1820[[#This Row],[Organization Discount]]="Yes",'Rate Book'!$D$130,1)</f>
        <v>1</v>
      </c>
      <c r="AR355" cm="1">
        <f t="array" ref="AR355">IF(Table1820[[#This Row],[Effective Date]]&gt;=RateChangeTable[Effective Date],RateChangeTable[Rate Change Factor],1)</f>
        <v>1.06</v>
      </c>
      <c r="AS355" s="10">
        <f>PRODUCT(Table1820[[#This Row],[Base Rate]:[Rate Change Factor]])</f>
        <v>1115.1728956922491</v>
      </c>
      <c r="AT355" s="9">
        <f>Table1820[[#This Row],[System-Generated Premium]]-Table1820[[#This Row],[Expected Premium]]</f>
        <v>0</v>
      </c>
      <c r="AU355" t="str">
        <f>IF(Table1820[[#This Row],[Difference]]=0,"PASS","FAIL")</f>
        <v>PASS</v>
      </c>
      <c r="AV355" s="9">
        <f>ABS(Table1820[[#This Row],[Difference]])</f>
        <v>0</v>
      </c>
      <c r="AW355" s="9" t="s">
        <v>1136</v>
      </c>
    </row>
    <row r="356" spans="1:49" x14ac:dyDescent="0.3">
      <c r="A356" t="s">
        <v>447</v>
      </c>
      <c r="B356" s="7">
        <v>45991</v>
      </c>
      <c r="C356" t="s">
        <v>74</v>
      </c>
      <c r="D356" t="s">
        <v>1102</v>
      </c>
      <c r="E356" s="3">
        <v>2</v>
      </c>
      <c r="F356" s="3">
        <v>1</v>
      </c>
      <c r="G356" t="s">
        <v>12</v>
      </c>
      <c r="H356" t="s">
        <v>1106</v>
      </c>
      <c r="I356" t="s">
        <v>38</v>
      </c>
      <c r="J356" t="s">
        <v>50</v>
      </c>
      <c r="K356" t="s">
        <v>10</v>
      </c>
      <c r="L356" t="s">
        <v>57</v>
      </c>
      <c r="M356" t="s">
        <v>10</v>
      </c>
      <c r="N356" t="s">
        <v>10</v>
      </c>
      <c r="O356" t="str">
        <f>INDEX(CoverageTable[Deductible Applies],MATCH(Table1820[[#This Row],[Coverage]],CoverageTable[Coverage],0))</f>
        <v>No</v>
      </c>
      <c r="P356" t="str">
        <f>INDEX(CoverageTable[Coverage Limit Applies],MATCH(Table1820[[#This Row],[Coverage]],CoverageTable[Coverage],0))</f>
        <v>Yes</v>
      </c>
      <c r="Q356" t="s">
        <v>10</v>
      </c>
      <c r="R356" t="s">
        <v>80</v>
      </c>
      <c r="S356" t="s">
        <v>57</v>
      </c>
      <c r="T356" t="s">
        <v>57</v>
      </c>
      <c r="U356" t="s">
        <v>10</v>
      </c>
      <c r="V356" t="s">
        <v>10</v>
      </c>
      <c r="W356" t="s">
        <v>10</v>
      </c>
      <c r="X356" s="11">
        <v>64.968014827099225</v>
      </c>
      <c r="Y356">
        <f>_xlfn.XLOOKUP(Table1820[[#This Row],[Coverage]],CoverageTable[Coverage],CoverageTable[Base Rate],,0)</f>
        <v>41</v>
      </c>
      <c r="Z356">
        <f>INDEX(Table16[Ageband Factor],MATCH(Table1820[[#This Row],[Ageband]],Table16[Ageband],0))</f>
        <v>1.27</v>
      </c>
      <c r="AA356">
        <f>VLOOKUP(Table1820[[#This Row],[Years Driving]],Table1[],2)</f>
        <v>1.41</v>
      </c>
      <c r="AB356">
        <f>_xlfn.XLOOKUP(Table1820[[#This Row],[At Fault Accidents]],Table2[At Fault Accidents],Table2[At Fault Accident Factor],,0)</f>
        <v>1.34</v>
      </c>
      <c r="AC356">
        <f>_xlfn.XLOOKUP(Table1820[[#This Row],[Usage-Based Insurance]],Table3[Usage-Based Insurance],Table3[Usage-Based Insurance Discount],,0)</f>
        <v>0.8</v>
      </c>
      <c r="AD356">
        <f>_xlfn.XLOOKUP(Table1820[[#This Row],[Yearly Miles]],Table4[Yearly Miles],Table4[Yearly Miles Factor],,0)</f>
        <v>0.82</v>
      </c>
      <c r="AE356">
        <f>_xlfn.XLOOKUP(Table1820[[#This Row],[City/Zip Code]],Table5[City/Zip Code],Table5[City/Zip Code Factor],,0)</f>
        <v>1.1200000000000001</v>
      </c>
      <c r="AF356">
        <f>_xlfn.XLOOKUP(Table1820[[#This Row],[Vehicle Price]],Table6[Vehicle Price],Table6[Vehicle Price Factor])</f>
        <v>1.08</v>
      </c>
      <c r="AG356">
        <f>_xlfn.XLOOKUP(Table1820[[#This Row],[Exotic Car]],Table7[Exotic Car],Table7[Exotic Car Factor],,0)</f>
        <v>1</v>
      </c>
      <c r="AH356">
        <f>_xlfn.XLOOKUP(Table1820[[#This Row],[Difficult Parts]],Table8[Difficult Parts],Table8[Difficult Parts Factor],,0)</f>
        <v>1.21</v>
      </c>
      <c r="AI356">
        <f>_xlfn.XLOOKUP(Table1820[[#This Row],[High Theft Rate]],Table9[High Theft Rate],Table9[High Theft Rate Factor],,0)</f>
        <v>1</v>
      </c>
      <c r="AJ356">
        <f>_xlfn.XLOOKUP(Table1820[[#This Row],[Advanced Safety Features]],Table10[Advanced Safety Features],Table10[Advanced Safety Features Factor],,0)</f>
        <v>1</v>
      </c>
      <c r="AK356">
        <f>_xlfn.XLOOKUP(Table1820[[#This Row],[Deductible]],Table12[Deductible],Table12[Deductible Factor],,0)</f>
        <v>1</v>
      </c>
      <c r="AL356">
        <f>_xlfn.XLOOKUP(Table1820[[#This Row],[Coverage Limit]],Table13[Coverage Limit],Table13[Coverage Limit Factor],,0)</f>
        <v>0.84</v>
      </c>
      <c r="AM356">
        <f>IF(Table1820[[#This Row],[Good Student Discount]]="Yes",'Rate Book'!$D$126,1)</f>
        <v>0.92</v>
      </c>
      <c r="AN356">
        <f>IF(Table1820[[#This Row],[Good Driver Discount]]="Yes",'Rate Book'!$D$127,1)</f>
        <v>0.89</v>
      </c>
      <c r="AO356">
        <f>IF(Table1820[[#This Row],[Multi Policy Discount]]="Yes",'Rate Book'!$D$128,1)</f>
        <v>1</v>
      </c>
      <c r="AP356">
        <f>IF(Table1820[[#This Row],[Loyal Customer Discount]]="Yes",'Rate Book'!$D$129,1)</f>
        <v>1</v>
      </c>
      <c r="AQ356">
        <f>IF(Table1820[[#This Row],[Organization Discount]]="Yes",'Rate Book'!$D$130,1)</f>
        <v>1</v>
      </c>
      <c r="AR356" cm="1">
        <f t="array" ref="AR356">IF(Table1820[[#This Row],[Effective Date]]&gt;=RateChangeTable[Effective Date],RateChangeTable[Rate Change Factor],1)</f>
        <v>1</v>
      </c>
      <c r="AS356" s="10">
        <f>PRODUCT(Table1820[[#This Row],[Base Rate]:[Rate Change Factor]])</f>
        <v>64.968014827099225</v>
      </c>
      <c r="AT356" s="9">
        <f>Table1820[[#This Row],[System-Generated Premium]]-Table1820[[#This Row],[Expected Premium]]</f>
        <v>0</v>
      </c>
      <c r="AU356" t="str">
        <f>IF(Table1820[[#This Row],[Difference]]=0,"PASS","FAIL")</f>
        <v>PASS</v>
      </c>
      <c r="AV356" s="9">
        <f>ABS(Table1820[[#This Row],[Difference]])</f>
        <v>0</v>
      </c>
      <c r="AW356" s="9" t="s">
        <v>1136</v>
      </c>
    </row>
    <row r="357" spans="1:49" x14ac:dyDescent="0.3">
      <c r="A357" t="s">
        <v>448</v>
      </c>
      <c r="B357" s="7">
        <v>45850</v>
      </c>
      <c r="C357" t="s">
        <v>73</v>
      </c>
      <c r="D357" t="s">
        <v>1099</v>
      </c>
      <c r="E357" s="3">
        <v>6</v>
      </c>
      <c r="F357" s="3">
        <v>0</v>
      </c>
      <c r="G357" t="s">
        <v>11</v>
      </c>
      <c r="H357" t="s">
        <v>1110</v>
      </c>
      <c r="I357" t="s">
        <v>21</v>
      </c>
      <c r="J357" t="s">
        <v>51</v>
      </c>
      <c r="K357" t="s">
        <v>10</v>
      </c>
      <c r="L357" t="s">
        <v>10</v>
      </c>
      <c r="M357" t="s">
        <v>10</v>
      </c>
      <c r="N357" t="s">
        <v>57</v>
      </c>
      <c r="O357" t="str">
        <f>INDEX(CoverageTable[Deductible Applies],MATCH(Table1820[[#This Row],[Coverage]],CoverageTable[Coverage],0))</f>
        <v>No</v>
      </c>
      <c r="P357" t="str">
        <f>INDEX(CoverageTable[Coverage Limit Applies],MATCH(Table1820[[#This Row],[Coverage]],CoverageTable[Coverage],0))</f>
        <v>Yes</v>
      </c>
      <c r="Q357" t="s">
        <v>10</v>
      </c>
      <c r="R357" t="s">
        <v>80</v>
      </c>
      <c r="S357" t="s">
        <v>10</v>
      </c>
      <c r="T357" t="s">
        <v>57</v>
      </c>
      <c r="U357" t="s">
        <v>10</v>
      </c>
      <c r="V357" t="s">
        <v>10</v>
      </c>
      <c r="W357" t="s">
        <v>10</v>
      </c>
      <c r="X357" s="11">
        <v>102.99638530621439</v>
      </c>
      <c r="Y357">
        <f>_xlfn.XLOOKUP(Table1820[[#This Row],[Coverage]],CoverageTable[Coverage],CoverageTable[Base Rate],,0)</f>
        <v>78</v>
      </c>
      <c r="Z357">
        <f>INDEX(Table16[Ageband Factor],MATCH(Table1820[[#This Row],[Ageband]],Table16[Ageband],0))</f>
        <v>1</v>
      </c>
      <c r="AA357">
        <f>VLOOKUP(Table1820[[#This Row],[Years Driving]],Table1[],2)</f>
        <v>1</v>
      </c>
      <c r="AB357">
        <f>_xlfn.XLOOKUP(Table1820[[#This Row],[At Fault Accidents]],Table2[At Fault Accidents],Table2[At Fault Accident Factor],,0)</f>
        <v>1</v>
      </c>
      <c r="AC357">
        <f>_xlfn.XLOOKUP(Table1820[[#This Row],[Usage-Based Insurance]],Table3[Usage-Based Insurance],Table3[Usage-Based Insurance Discount],,0)</f>
        <v>0.95</v>
      </c>
      <c r="AD357">
        <f>_xlfn.XLOOKUP(Table1820[[#This Row],[Yearly Miles]],Table4[Yearly Miles],Table4[Yearly Miles Factor],,0)</f>
        <v>1.31</v>
      </c>
      <c r="AE357">
        <f>_xlfn.XLOOKUP(Table1820[[#This Row],[City/Zip Code]],Table5[City/Zip Code],Table5[City/Zip Code Factor],,0)</f>
        <v>1.26</v>
      </c>
      <c r="AF357">
        <f>_xlfn.XLOOKUP(Table1820[[#This Row],[Vehicle Price]],Table6[Vehicle Price],Table6[Vehicle Price Factor])</f>
        <v>1.28</v>
      </c>
      <c r="AG357">
        <f>_xlfn.XLOOKUP(Table1820[[#This Row],[Exotic Car]],Table7[Exotic Car],Table7[Exotic Car Factor],,0)</f>
        <v>1</v>
      </c>
      <c r="AH357">
        <f>_xlfn.XLOOKUP(Table1820[[#This Row],[Difficult Parts]],Table8[Difficult Parts],Table8[Difficult Parts Factor],,0)</f>
        <v>1</v>
      </c>
      <c r="AI357">
        <f>_xlfn.XLOOKUP(Table1820[[#This Row],[High Theft Rate]],Table9[High Theft Rate],Table9[High Theft Rate Factor],,0)</f>
        <v>1</v>
      </c>
      <c r="AJ357">
        <f>_xlfn.XLOOKUP(Table1820[[#This Row],[Advanced Safety Features]],Table10[Advanced Safety Features],Table10[Advanced Safety Features Factor],,0)</f>
        <v>0.88</v>
      </c>
      <c r="AK357">
        <f>_xlfn.XLOOKUP(Table1820[[#This Row],[Deductible]],Table12[Deductible],Table12[Deductible Factor],,0)</f>
        <v>1</v>
      </c>
      <c r="AL357">
        <f>_xlfn.XLOOKUP(Table1820[[#This Row],[Coverage Limit]],Table13[Coverage Limit],Table13[Coverage Limit Factor],,0)</f>
        <v>0.84</v>
      </c>
      <c r="AM357">
        <f>IF(Table1820[[#This Row],[Good Student Discount]]="Yes",'Rate Book'!$D$126,1)</f>
        <v>1</v>
      </c>
      <c r="AN357">
        <f>IF(Table1820[[#This Row],[Good Driver Discount]]="Yes",'Rate Book'!$D$127,1)</f>
        <v>0.89</v>
      </c>
      <c r="AO357">
        <f>IF(Table1820[[#This Row],[Multi Policy Discount]]="Yes",'Rate Book'!$D$128,1)</f>
        <v>1</v>
      </c>
      <c r="AP357">
        <f>IF(Table1820[[#This Row],[Loyal Customer Discount]]="Yes",'Rate Book'!$D$129,1)</f>
        <v>1</v>
      </c>
      <c r="AQ357">
        <f>IF(Table1820[[#This Row],[Organization Discount]]="Yes",'Rate Book'!$D$130,1)</f>
        <v>1</v>
      </c>
      <c r="AR357" cm="1">
        <f t="array" ref="AR357">IF(Table1820[[#This Row],[Effective Date]]&gt;=RateChangeTable[Effective Date],RateChangeTable[Rate Change Factor],1)</f>
        <v>1</v>
      </c>
      <c r="AS357" s="10">
        <f>PRODUCT(Table1820[[#This Row],[Base Rate]:[Rate Change Factor]])</f>
        <v>102.99638530621439</v>
      </c>
      <c r="AT357" s="9">
        <f>Table1820[[#This Row],[System-Generated Premium]]-Table1820[[#This Row],[Expected Premium]]</f>
        <v>0</v>
      </c>
      <c r="AU357" t="str">
        <f>IF(Table1820[[#This Row],[Difference]]=0,"PASS","FAIL")</f>
        <v>PASS</v>
      </c>
      <c r="AV357" s="9">
        <f>ABS(Table1820[[#This Row],[Difference]])</f>
        <v>0</v>
      </c>
      <c r="AW357" s="9" t="s">
        <v>1136</v>
      </c>
    </row>
    <row r="358" spans="1:49" x14ac:dyDescent="0.3">
      <c r="A358" t="s">
        <v>449</v>
      </c>
      <c r="B358" s="7">
        <v>45985</v>
      </c>
      <c r="C358" t="s">
        <v>71</v>
      </c>
      <c r="D358" t="s">
        <v>1100</v>
      </c>
      <c r="E358" s="3">
        <v>3</v>
      </c>
      <c r="F358" s="3" t="s">
        <v>7</v>
      </c>
      <c r="G358" t="s">
        <v>10</v>
      </c>
      <c r="H358" t="s">
        <v>1109</v>
      </c>
      <c r="I358" t="s">
        <v>42</v>
      </c>
      <c r="J358" t="s">
        <v>48</v>
      </c>
      <c r="K358" t="s">
        <v>10</v>
      </c>
      <c r="L358" t="s">
        <v>10</v>
      </c>
      <c r="M358" t="s">
        <v>10</v>
      </c>
      <c r="N358" t="s">
        <v>57</v>
      </c>
      <c r="O358" t="str">
        <f>INDEX(CoverageTable[Deductible Applies],MATCH(Table1820[[#This Row],[Coverage]],CoverageTable[Coverage],0))</f>
        <v>Yes</v>
      </c>
      <c r="P358" t="str">
        <f>INDEX(CoverageTable[Coverage Limit Applies],MATCH(Table1820[[#This Row],[Coverage]],CoverageTable[Coverage],0))</f>
        <v>No</v>
      </c>
      <c r="Q358" t="s">
        <v>79</v>
      </c>
      <c r="R358" t="s">
        <v>10</v>
      </c>
      <c r="S358" t="s">
        <v>57</v>
      </c>
      <c r="T358" t="s">
        <v>57</v>
      </c>
      <c r="U358" t="s">
        <v>10</v>
      </c>
      <c r="V358" t="s">
        <v>10</v>
      </c>
      <c r="W358" t="s">
        <v>10</v>
      </c>
      <c r="X358" s="11">
        <v>1035.0463205520682</v>
      </c>
      <c r="Y358">
        <f>_xlfn.XLOOKUP(Table1820[[#This Row],[Coverage]],CoverageTable[Coverage],CoverageTable[Base Rate],,0)</f>
        <v>453</v>
      </c>
      <c r="Z358">
        <f>INDEX(Table16[Ageband Factor],MATCH(Table1820[[#This Row],[Ageband]],Table16[Ageband],0))</f>
        <v>1.07</v>
      </c>
      <c r="AA358">
        <f>VLOOKUP(Table1820[[#This Row],[Years Driving]],Table1[],2)</f>
        <v>1.22</v>
      </c>
      <c r="AB358">
        <f>_xlfn.XLOOKUP(Table1820[[#This Row],[At Fault Accidents]],Table2[At Fault Accidents],Table2[At Fault Accident Factor],,0)</f>
        <v>2.4700000000000002</v>
      </c>
      <c r="AC358">
        <f>_xlfn.XLOOKUP(Table1820[[#This Row],[Usage-Based Insurance]],Table3[Usage-Based Insurance],Table3[Usage-Based Insurance Discount],,0)</f>
        <v>1</v>
      </c>
      <c r="AD358">
        <f>_xlfn.XLOOKUP(Table1820[[#This Row],[Yearly Miles]],Table4[Yearly Miles],Table4[Yearly Miles Factor],,0)</f>
        <v>1.18</v>
      </c>
      <c r="AE358">
        <f>_xlfn.XLOOKUP(Table1820[[#This Row],[City/Zip Code]],Table5[City/Zip Code],Table5[City/Zip Code Factor],,0)</f>
        <v>1.21</v>
      </c>
      <c r="AF358">
        <f>_xlfn.XLOOKUP(Table1820[[#This Row],[Vehicle Price]],Table6[Vehicle Price],Table6[Vehicle Price Factor])</f>
        <v>0.82</v>
      </c>
      <c r="AG358">
        <f>_xlfn.XLOOKUP(Table1820[[#This Row],[Exotic Car]],Table7[Exotic Car],Table7[Exotic Car Factor],,0)</f>
        <v>1</v>
      </c>
      <c r="AH358">
        <f>_xlfn.XLOOKUP(Table1820[[#This Row],[Difficult Parts]],Table8[Difficult Parts],Table8[Difficult Parts Factor],,0)</f>
        <v>1</v>
      </c>
      <c r="AI358">
        <f>_xlfn.XLOOKUP(Table1820[[#This Row],[High Theft Rate]],Table9[High Theft Rate],Table9[High Theft Rate Factor],,0)</f>
        <v>1</v>
      </c>
      <c r="AJ358">
        <f>_xlfn.XLOOKUP(Table1820[[#This Row],[Advanced Safety Features]],Table10[Advanced Safety Features],Table10[Advanced Safety Features Factor],,0)</f>
        <v>0.88</v>
      </c>
      <c r="AK358">
        <f>_xlfn.XLOOKUP(Table1820[[#This Row],[Deductible]],Table12[Deductible],Table12[Deductible Factor],,0)</f>
        <v>0.84</v>
      </c>
      <c r="AL358">
        <f>_xlfn.XLOOKUP(Table1820[[#This Row],[Coverage Limit]],Table13[Coverage Limit],Table13[Coverage Limit Factor],,0)</f>
        <v>1</v>
      </c>
      <c r="AM358">
        <f>IF(Table1820[[#This Row],[Good Student Discount]]="Yes",'Rate Book'!$D$126,1)</f>
        <v>0.92</v>
      </c>
      <c r="AN358">
        <f>IF(Table1820[[#This Row],[Good Driver Discount]]="Yes",'Rate Book'!$D$127,1)</f>
        <v>0.89</v>
      </c>
      <c r="AO358">
        <f>IF(Table1820[[#This Row],[Multi Policy Discount]]="Yes",'Rate Book'!$D$128,1)</f>
        <v>1</v>
      </c>
      <c r="AP358">
        <f>IF(Table1820[[#This Row],[Loyal Customer Discount]]="Yes",'Rate Book'!$D$129,1)</f>
        <v>1</v>
      </c>
      <c r="AQ358">
        <f>IF(Table1820[[#This Row],[Organization Discount]]="Yes",'Rate Book'!$D$130,1)</f>
        <v>1</v>
      </c>
      <c r="AR358" cm="1">
        <f t="array" ref="AR358">IF(Table1820[[#This Row],[Effective Date]]&gt;=RateChangeTable[Effective Date],RateChangeTable[Rate Change Factor],1)</f>
        <v>1</v>
      </c>
      <c r="AS358" s="10">
        <f>PRODUCT(Table1820[[#This Row],[Base Rate]:[Rate Change Factor]])</f>
        <v>1035.0463205520682</v>
      </c>
      <c r="AT358" s="9">
        <f>Table1820[[#This Row],[System-Generated Premium]]-Table1820[[#This Row],[Expected Premium]]</f>
        <v>0</v>
      </c>
      <c r="AU358" t="str">
        <f>IF(Table1820[[#This Row],[Difference]]=0,"PASS","FAIL")</f>
        <v>PASS</v>
      </c>
      <c r="AV358" s="9">
        <f>ABS(Table1820[[#This Row],[Difference]])</f>
        <v>0</v>
      </c>
      <c r="AW358" s="9" t="s">
        <v>1136</v>
      </c>
    </row>
    <row r="359" spans="1:49" x14ac:dyDescent="0.3">
      <c r="A359" t="s">
        <v>450</v>
      </c>
      <c r="B359" s="7">
        <v>45848</v>
      </c>
      <c r="C359" t="s">
        <v>71</v>
      </c>
      <c r="D359" t="s">
        <v>1101</v>
      </c>
      <c r="E359" s="3">
        <v>3</v>
      </c>
      <c r="F359" s="3">
        <v>0</v>
      </c>
      <c r="G359" t="s">
        <v>10</v>
      </c>
      <c r="H359" t="s">
        <v>1106</v>
      </c>
      <c r="I359" t="s">
        <v>39</v>
      </c>
      <c r="J359" t="s">
        <v>48</v>
      </c>
      <c r="K359" t="s">
        <v>57</v>
      </c>
      <c r="L359" t="s">
        <v>10</v>
      </c>
      <c r="M359" t="s">
        <v>10</v>
      </c>
      <c r="N359" t="s">
        <v>10</v>
      </c>
      <c r="O359" t="str">
        <f>INDEX(CoverageTable[Deductible Applies],MATCH(Table1820[[#This Row],[Coverage]],CoverageTable[Coverage],0))</f>
        <v>Yes</v>
      </c>
      <c r="P359" t="str">
        <f>INDEX(CoverageTable[Coverage Limit Applies],MATCH(Table1820[[#This Row],[Coverage]],CoverageTable[Coverage],0))</f>
        <v>No</v>
      </c>
      <c r="Q359" t="s">
        <v>80</v>
      </c>
      <c r="R359" t="s">
        <v>10</v>
      </c>
      <c r="S359" t="s">
        <v>10</v>
      </c>
      <c r="T359" t="s">
        <v>10</v>
      </c>
      <c r="U359" t="s">
        <v>57</v>
      </c>
      <c r="V359" t="s">
        <v>10</v>
      </c>
      <c r="W359" t="s">
        <v>10</v>
      </c>
      <c r="X359" s="11">
        <v>385.25912172928702</v>
      </c>
      <c r="Y359">
        <f>_xlfn.XLOOKUP(Table1820[[#This Row],[Coverage]],CoverageTable[Coverage],CoverageTable[Base Rate],,0)</f>
        <v>453</v>
      </c>
      <c r="Z359">
        <f>INDEX(Table16[Ageband Factor],MATCH(Table1820[[#This Row],[Ageband]],Table16[Ageband],0))</f>
        <v>1.1200000000000001</v>
      </c>
      <c r="AA359">
        <f>VLOOKUP(Table1820[[#This Row],[Years Driving]],Table1[],2)</f>
        <v>1.22</v>
      </c>
      <c r="AB359">
        <f>_xlfn.XLOOKUP(Table1820[[#This Row],[At Fault Accidents]],Table2[At Fault Accidents],Table2[At Fault Accident Factor],,0)</f>
        <v>1</v>
      </c>
      <c r="AC359">
        <f>_xlfn.XLOOKUP(Table1820[[#This Row],[Usage-Based Insurance]],Table3[Usage-Based Insurance],Table3[Usage-Based Insurance Discount],,0)</f>
        <v>1</v>
      </c>
      <c r="AD359">
        <f>_xlfn.XLOOKUP(Table1820[[#This Row],[Yearly Miles]],Table4[Yearly Miles],Table4[Yearly Miles Factor],,0)</f>
        <v>0.82</v>
      </c>
      <c r="AE359">
        <f>_xlfn.XLOOKUP(Table1820[[#This Row],[City/Zip Code]],Table5[City/Zip Code],Table5[City/Zip Code Factor],,0)</f>
        <v>1.08</v>
      </c>
      <c r="AF359">
        <f>_xlfn.XLOOKUP(Table1820[[#This Row],[Vehicle Price]],Table6[Vehicle Price],Table6[Vehicle Price Factor])</f>
        <v>0.82</v>
      </c>
      <c r="AG359">
        <f>_xlfn.XLOOKUP(Table1820[[#This Row],[Exotic Car]],Table7[Exotic Car],Table7[Exotic Car Factor],,0)</f>
        <v>1.28</v>
      </c>
      <c r="AH359">
        <f>_xlfn.XLOOKUP(Table1820[[#This Row],[Difficult Parts]],Table8[Difficult Parts],Table8[Difficult Parts Factor],,0)</f>
        <v>1</v>
      </c>
      <c r="AI359">
        <f>_xlfn.XLOOKUP(Table1820[[#This Row],[High Theft Rate]],Table9[High Theft Rate],Table9[High Theft Rate Factor],,0)</f>
        <v>1</v>
      </c>
      <c r="AJ359">
        <f>_xlfn.XLOOKUP(Table1820[[#This Row],[Advanced Safety Features]],Table10[Advanced Safety Features],Table10[Advanced Safety Features Factor],,0)</f>
        <v>1</v>
      </c>
      <c r="AK359">
        <f>_xlfn.XLOOKUP(Table1820[[#This Row],[Deductible]],Table12[Deductible],Table12[Deductible Factor],,0)</f>
        <v>0.72</v>
      </c>
      <c r="AL359">
        <f>_xlfn.XLOOKUP(Table1820[[#This Row],[Coverage Limit]],Table13[Coverage Limit],Table13[Coverage Limit Factor],,0)</f>
        <v>1</v>
      </c>
      <c r="AM359">
        <f>IF(Table1820[[#This Row],[Good Student Discount]]="Yes",'Rate Book'!$D$126,1)</f>
        <v>1</v>
      </c>
      <c r="AN359">
        <f>IF(Table1820[[#This Row],[Good Driver Discount]]="Yes",'Rate Book'!$D$127,1)</f>
        <v>1</v>
      </c>
      <c r="AO359">
        <f>IF(Table1820[[#This Row],[Multi Policy Discount]]="Yes",'Rate Book'!$D$128,1)</f>
        <v>0.93</v>
      </c>
      <c r="AP359">
        <f>IF(Table1820[[#This Row],[Loyal Customer Discount]]="Yes",'Rate Book'!$D$129,1)</f>
        <v>1</v>
      </c>
      <c r="AQ359">
        <f>IF(Table1820[[#This Row],[Organization Discount]]="Yes",'Rate Book'!$D$130,1)</f>
        <v>1</v>
      </c>
      <c r="AR359" cm="1">
        <f t="array" ref="AR359">IF(Table1820[[#This Row],[Effective Date]]&gt;=RateChangeTable[Effective Date],RateChangeTable[Rate Change Factor],1)</f>
        <v>1</v>
      </c>
      <c r="AS359" s="10">
        <f>PRODUCT(Table1820[[#This Row],[Base Rate]:[Rate Change Factor]])</f>
        <v>385.25912172928702</v>
      </c>
      <c r="AT359" s="9">
        <f>Table1820[[#This Row],[System-Generated Premium]]-Table1820[[#This Row],[Expected Premium]]</f>
        <v>0</v>
      </c>
      <c r="AU359" t="str">
        <f>IF(Table1820[[#This Row],[Difference]]=0,"PASS","FAIL")</f>
        <v>PASS</v>
      </c>
      <c r="AV359" s="9">
        <f>ABS(Table1820[[#This Row],[Difference]])</f>
        <v>0</v>
      </c>
      <c r="AW359" s="9" t="s">
        <v>1136</v>
      </c>
    </row>
    <row r="360" spans="1:49" x14ac:dyDescent="0.3">
      <c r="A360" t="s">
        <v>451</v>
      </c>
      <c r="B360" s="7">
        <v>46024</v>
      </c>
      <c r="C360" t="s">
        <v>72</v>
      </c>
      <c r="D360" t="s">
        <v>1098</v>
      </c>
      <c r="E360" s="3">
        <v>2</v>
      </c>
      <c r="F360" s="3">
        <v>1</v>
      </c>
      <c r="G360" t="s">
        <v>13</v>
      </c>
      <c r="H360" t="s">
        <v>1108</v>
      </c>
      <c r="I360" t="s">
        <v>29</v>
      </c>
      <c r="J360" t="s">
        <v>54</v>
      </c>
      <c r="K360" t="s">
        <v>10</v>
      </c>
      <c r="L360" t="s">
        <v>10</v>
      </c>
      <c r="M360" t="s">
        <v>10</v>
      </c>
      <c r="N360" t="s">
        <v>57</v>
      </c>
      <c r="O360" t="str">
        <f>INDEX(CoverageTable[Deductible Applies],MATCH(Table1820[[#This Row],[Coverage]],CoverageTable[Coverage],0))</f>
        <v>Yes</v>
      </c>
      <c r="P360" t="str">
        <f>INDEX(CoverageTable[Coverage Limit Applies],MATCH(Table1820[[#This Row],[Coverage]],CoverageTable[Coverage],0))</f>
        <v>No</v>
      </c>
      <c r="Q360" t="s">
        <v>80</v>
      </c>
      <c r="R360" t="s">
        <v>10</v>
      </c>
      <c r="S360" t="s">
        <v>10</v>
      </c>
      <c r="T360" t="s">
        <v>10</v>
      </c>
      <c r="U360" t="s">
        <v>10</v>
      </c>
      <c r="V360" t="s">
        <v>57</v>
      </c>
      <c r="W360" t="s">
        <v>10</v>
      </c>
      <c r="X360" s="11">
        <v>360.98157172548736</v>
      </c>
      <c r="Y360">
        <f>_xlfn.XLOOKUP(Table1820[[#This Row],[Coverage]],CoverageTable[Coverage],CoverageTable[Base Rate],,0)</f>
        <v>121</v>
      </c>
      <c r="Z360">
        <f>INDEX(Table16[Ageband Factor],MATCH(Table1820[[#This Row],[Ageband]],Table16[Ageband],0))</f>
        <v>1.23</v>
      </c>
      <c r="AA360">
        <f>VLOOKUP(Table1820[[#This Row],[Years Driving]],Table1[],2)</f>
        <v>1.41</v>
      </c>
      <c r="AB360">
        <f>_xlfn.XLOOKUP(Table1820[[#This Row],[At Fault Accidents]],Table2[At Fault Accidents],Table2[At Fault Accident Factor],,0)</f>
        <v>1.34</v>
      </c>
      <c r="AC360">
        <f>_xlfn.XLOOKUP(Table1820[[#This Row],[Usage-Based Insurance]],Table3[Usage-Based Insurance],Table3[Usage-Based Insurance Discount],,0)</f>
        <v>0.65</v>
      </c>
      <c r="AD360">
        <f>_xlfn.XLOOKUP(Table1820[[#This Row],[Yearly Miles]],Table4[Yearly Miles],Table4[Yearly Miles Factor],,0)</f>
        <v>1</v>
      </c>
      <c r="AE360">
        <f>_xlfn.XLOOKUP(Table1820[[#This Row],[City/Zip Code]],Table5[City/Zip Code],Table5[City/Zip Code Factor],,0)</f>
        <v>1.0900000000000001</v>
      </c>
      <c r="AF360">
        <f>_xlfn.XLOOKUP(Table1820[[#This Row],[Vehicle Price]],Table6[Vehicle Price],Table6[Vehicle Price Factor])</f>
        <v>2.87</v>
      </c>
      <c r="AG360">
        <f>_xlfn.XLOOKUP(Table1820[[#This Row],[Exotic Car]],Table7[Exotic Car],Table7[Exotic Car Factor],,0)</f>
        <v>1</v>
      </c>
      <c r="AH360">
        <f>_xlfn.XLOOKUP(Table1820[[#This Row],[Difficult Parts]],Table8[Difficult Parts],Table8[Difficult Parts Factor],,0)</f>
        <v>1</v>
      </c>
      <c r="AI360">
        <f>_xlfn.XLOOKUP(Table1820[[#This Row],[High Theft Rate]],Table9[High Theft Rate],Table9[High Theft Rate Factor],,0)</f>
        <v>1</v>
      </c>
      <c r="AJ360">
        <f>_xlfn.XLOOKUP(Table1820[[#This Row],[Advanced Safety Features]],Table10[Advanced Safety Features],Table10[Advanced Safety Features Factor],,0)</f>
        <v>0.88</v>
      </c>
      <c r="AK360">
        <f>_xlfn.XLOOKUP(Table1820[[#This Row],[Deductible]],Table12[Deductible],Table12[Deductible Factor],,0)</f>
        <v>0.72</v>
      </c>
      <c r="AL360">
        <f>_xlfn.XLOOKUP(Table1820[[#This Row],[Coverage Limit]],Table13[Coverage Limit],Table13[Coverage Limit Factor],,0)</f>
        <v>1</v>
      </c>
      <c r="AM360">
        <f>IF(Table1820[[#This Row],[Good Student Discount]]="Yes",'Rate Book'!$D$126,1)</f>
        <v>1</v>
      </c>
      <c r="AN360">
        <f>IF(Table1820[[#This Row],[Good Driver Discount]]="Yes",'Rate Book'!$D$127,1)</f>
        <v>1</v>
      </c>
      <c r="AO360">
        <f>IF(Table1820[[#This Row],[Multi Policy Discount]]="Yes",'Rate Book'!$D$128,1)</f>
        <v>1</v>
      </c>
      <c r="AP360">
        <f>IF(Table1820[[#This Row],[Loyal Customer Discount]]="Yes",'Rate Book'!$D$129,1)</f>
        <v>0.94</v>
      </c>
      <c r="AQ360">
        <f>IF(Table1820[[#This Row],[Organization Discount]]="Yes",'Rate Book'!$D$130,1)</f>
        <v>1</v>
      </c>
      <c r="AR360" cm="1">
        <f t="array" ref="AR360">IF(Table1820[[#This Row],[Effective Date]]&gt;=RateChangeTable[Effective Date],RateChangeTable[Rate Change Factor],1)</f>
        <v>1.06</v>
      </c>
      <c r="AS360" s="10">
        <f>PRODUCT(Table1820[[#This Row],[Base Rate]:[Rate Change Factor]])</f>
        <v>360.98157172548736</v>
      </c>
      <c r="AT360" s="9">
        <f>Table1820[[#This Row],[System-Generated Premium]]-Table1820[[#This Row],[Expected Premium]]</f>
        <v>0</v>
      </c>
      <c r="AU360" t="str">
        <f>IF(Table1820[[#This Row],[Difference]]=0,"PASS","FAIL")</f>
        <v>PASS</v>
      </c>
      <c r="AV360" s="9">
        <f>ABS(Table1820[[#This Row],[Difference]])</f>
        <v>0</v>
      </c>
      <c r="AW360" s="9" t="s">
        <v>1136</v>
      </c>
    </row>
    <row r="361" spans="1:49" x14ac:dyDescent="0.3">
      <c r="A361" t="s">
        <v>452</v>
      </c>
      <c r="B361" s="7">
        <v>45921</v>
      </c>
      <c r="C361" t="s">
        <v>71</v>
      </c>
      <c r="D361" t="s">
        <v>1097</v>
      </c>
      <c r="E361" s="3">
        <v>4</v>
      </c>
      <c r="F361" s="3">
        <v>0</v>
      </c>
      <c r="G361" t="s">
        <v>10</v>
      </c>
      <c r="H361" t="s">
        <v>1108</v>
      </c>
      <c r="I361" t="s">
        <v>32</v>
      </c>
      <c r="J361" t="s">
        <v>53</v>
      </c>
      <c r="K361" t="s">
        <v>10</v>
      </c>
      <c r="L361" t="s">
        <v>10</v>
      </c>
      <c r="M361" t="s">
        <v>57</v>
      </c>
      <c r="N361" t="s">
        <v>10</v>
      </c>
      <c r="O361" t="str">
        <f>INDEX(CoverageTable[Deductible Applies],MATCH(Table1820[[#This Row],[Coverage]],CoverageTable[Coverage],0))</f>
        <v>Yes</v>
      </c>
      <c r="P361" t="str">
        <f>INDEX(CoverageTable[Coverage Limit Applies],MATCH(Table1820[[#This Row],[Coverage]],CoverageTable[Coverage],0))</f>
        <v>No</v>
      </c>
      <c r="Q361" t="s">
        <v>79</v>
      </c>
      <c r="R361" t="s">
        <v>10</v>
      </c>
      <c r="S361" t="s">
        <v>10</v>
      </c>
      <c r="T361" t="s">
        <v>57</v>
      </c>
      <c r="U361" t="s">
        <v>10</v>
      </c>
      <c r="V361" t="s">
        <v>10</v>
      </c>
      <c r="W361" t="s">
        <v>10</v>
      </c>
      <c r="X361" s="11">
        <v>1349.1699127796735</v>
      </c>
      <c r="Y361">
        <f>_xlfn.XLOOKUP(Table1820[[#This Row],[Coverage]],CoverageTable[Coverage],CoverageTable[Base Rate],,0)</f>
        <v>453</v>
      </c>
      <c r="Z361">
        <f>INDEX(Table16[Ageband Factor],MATCH(Table1820[[#This Row],[Ageband]],Table16[Ageband],0))</f>
        <v>1.32</v>
      </c>
      <c r="AA361">
        <f>VLOOKUP(Table1820[[#This Row],[Years Driving]],Table1[],2)</f>
        <v>1.1499999999999999</v>
      </c>
      <c r="AB361">
        <f>_xlfn.XLOOKUP(Table1820[[#This Row],[At Fault Accidents]],Table2[At Fault Accidents],Table2[At Fault Accident Factor],,0)</f>
        <v>1</v>
      </c>
      <c r="AC361">
        <f>_xlfn.XLOOKUP(Table1820[[#This Row],[Usage-Based Insurance]],Table3[Usage-Based Insurance],Table3[Usage-Based Insurance Discount],,0)</f>
        <v>1</v>
      </c>
      <c r="AD361">
        <f>_xlfn.XLOOKUP(Table1820[[#This Row],[Yearly Miles]],Table4[Yearly Miles],Table4[Yearly Miles Factor],,0)</f>
        <v>1</v>
      </c>
      <c r="AE361">
        <f>_xlfn.XLOOKUP(Table1820[[#This Row],[City/Zip Code]],Table5[City/Zip Code],Table5[City/Zip Code Factor],,0)</f>
        <v>1.1200000000000001</v>
      </c>
      <c r="AF361">
        <f>_xlfn.XLOOKUP(Table1820[[#This Row],[Vehicle Price]],Table6[Vehicle Price],Table6[Vehicle Price Factor])</f>
        <v>2.02</v>
      </c>
      <c r="AG361">
        <f>_xlfn.XLOOKUP(Table1820[[#This Row],[Exotic Car]],Table7[Exotic Car],Table7[Exotic Car Factor],,0)</f>
        <v>1</v>
      </c>
      <c r="AH361">
        <f>_xlfn.XLOOKUP(Table1820[[#This Row],[Difficult Parts]],Table8[Difficult Parts],Table8[Difficult Parts Factor],,0)</f>
        <v>1</v>
      </c>
      <c r="AI361">
        <f>_xlfn.XLOOKUP(Table1820[[#This Row],[High Theft Rate]],Table9[High Theft Rate],Table9[High Theft Rate Factor],,0)</f>
        <v>1.1599999999999999</v>
      </c>
      <c r="AJ361">
        <f>_xlfn.XLOOKUP(Table1820[[#This Row],[Advanced Safety Features]],Table10[Advanced Safety Features],Table10[Advanced Safety Features Factor],,0)</f>
        <v>1</v>
      </c>
      <c r="AK361">
        <f>_xlfn.XLOOKUP(Table1820[[#This Row],[Deductible]],Table12[Deductible],Table12[Deductible Factor],,0)</f>
        <v>0.84</v>
      </c>
      <c r="AL361">
        <f>_xlfn.XLOOKUP(Table1820[[#This Row],[Coverage Limit]],Table13[Coverage Limit],Table13[Coverage Limit Factor],,0)</f>
        <v>1</v>
      </c>
      <c r="AM361">
        <f>IF(Table1820[[#This Row],[Good Student Discount]]="Yes",'Rate Book'!$D$126,1)</f>
        <v>1</v>
      </c>
      <c r="AN361">
        <f>IF(Table1820[[#This Row],[Good Driver Discount]]="Yes",'Rate Book'!$D$127,1)</f>
        <v>0.89</v>
      </c>
      <c r="AO361">
        <f>IF(Table1820[[#This Row],[Multi Policy Discount]]="Yes",'Rate Book'!$D$128,1)</f>
        <v>1</v>
      </c>
      <c r="AP361">
        <f>IF(Table1820[[#This Row],[Loyal Customer Discount]]="Yes",'Rate Book'!$D$129,1)</f>
        <v>1</v>
      </c>
      <c r="AQ361">
        <f>IF(Table1820[[#This Row],[Organization Discount]]="Yes",'Rate Book'!$D$130,1)</f>
        <v>1</v>
      </c>
      <c r="AR361" cm="1">
        <f t="array" ref="AR361">IF(Table1820[[#This Row],[Effective Date]]&gt;=RateChangeTable[Effective Date],RateChangeTable[Rate Change Factor],1)</f>
        <v>1</v>
      </c>
      <c r="AS361" s="10">
        <f>PRODUCT(Table1820[[#This Row],[Base Rate]:[Rate Change Factor]])</f>
        <v>1349.1699127796735</v>
      </c>
      <c r="AT361" s="9">
        <f>Table1820[[#This Row],[System-Generated Premium]]-Table1820[[#This Row],[Expected Premium]]</f>
        <v>0</v>
      </c>
      <c r="AU361" t="str">
        <f>IF(Table1820[[#This Row],[Difference]]=0,"PASS","FAIL")</f>
        <v>PASS</v>
      </c>
      <c r="AV361" s="9">
        <f>ABS(Table1820[[#This Row],[Difference]])</f>
        <v>0</v>
      </c>
      <c r="AW361" s="9" t="s">
        <v>1136</v>
      </c>
    </row>
    <row r="362" spans="1:49" x14ac:dyDescent="0.3">
      <c r="A362" t="s">
        <v>453</v>
      </c>
      <c r="B362" s="7">
        <v>46014</v>
      </c>
      <c r="C362" t="s">
        <v>70</v>
      </c>
      <c r="D362" t="s">
        <v>1097</v>
      </c>
      <c r="E362" s="3">
        <v>1</v>
      </c>
      <c r="F362" s="3">
        <v>3</v>
      </c>
      <c r="G362" t="s">
        <v>11</v>
      </c>
      <c r="H362" t="s">
        <v>1110</v>
      </c>
      <c r="I362" t="s">
        <v>35</v>
      </c>
      <c r="J362" t="s">
        <v>49</v>
      </c>
      <c r="K362" t="s">
        <v>10</v>
      </c>
      <c r="L362" t="s">
        <v>10</v>
      </c>
      <c r="M362" t="s">
        <v>10</v>
      </c>
      <c r="N362" t="s">
        <v>57</v>
      </c>
      <c r="O362" t="str">
        <f>INDEX(CoverageTable[Deductible Applies],MATCH(Table1820[[#This Row],[Coverage]],CoverageTable[Coverage],0))</f>
        <v>No</v>
      </c>
      <c r="P362" t="str">
        <f>INDEX(CoverageTable[Coverage Limit Applies],MATCH(Table1820[[#This Row],[Coverage]],CoverageTable[Coverage],0))</f>
        <v>Yes</v>
      </c>
      <c r="Q362" t="s">
        <v>10</v>
      </c>
      <c r="R362" t="s">
        <v>80</v>
      </c>
      <c r="S362" t="s">
        <v>10</v>
      </c>
      <c r="T362" t="s">
        <v>57</v>
      </c>
      <c r="U362" t="s">
        <v>10</v>
      </c>
      <c r="V362" t="s">
        <v>10</v>
      </c>
      <c r="W362" t="s">
        <v>10</v>
      </c>
      <c r="X362" s="11">
        <v>2179.7976230258491</v>
      </c>
      <c r="Y362">
        <f>_xlfn.XLOOKUP(Table1820[[#This Row],[Coverage]],CoverageTable[Coverage],CoverageTable[Base Rate],,0)</f>
        <v>622</v>
      </c>
      <c r="Z362">
        <f>INDEX(Table16[Ageband Factor],MATCH(Table1820[[#This Row],[Ageband]],Table16[Ageband],0))</f>
        <v>1.32</v>
      </c>
      <c r="AA362">
        <f>VLOOKUP(Table1820[[#This Row],[Years Driving]],Table1[],2)</f>
        <v>1.64</v>
      </c>
      <c r="AB362">
        <f>_xlfn.XLOOKUP(Table1820[[#This Row],[At Fault Accidents]],Table2[At Fault Accidents],Table2[At Fault Accident Factor],,0)</f>
        <v>1.82</v>
      </c>
      <c r="AC362">
        <f>_xlfn.XLOOKUP(Table1820[[#This Row],[Usage-Based Insurance]],Table3[Usage-Based Insurance],Table3[Usage-Based Insurance Discount],,0)</f>
        <v>0.95</v>
      </c>
      <c r="AD362">
        <f>_xlfn.XLOOKUP(Table1820[[#This Row],[Yearly Miles]],Table4[Yearly Miles],Table4[Yearly Miles Factor],,0)</f>
        <v>1.31</v>
      </c>
      <c r="AE362">
        <f>_xlfn.XLOOKUP(Table1820[[#This Row],[City/Zip Code]],Table5[City/Zip Code],Table5[City/Zip Code Factor],,0)</f>
        <v>1.1200000000000001</v>
      </c>
      <c r="AF362">
        <f>_xlfn.XLOOKUP(Table1820[[#This Row],[Vehicle Price]],Table6[Vehicle Price],Table6[Vehicle Price Factor])</f>
        <v>0.97</v>
      </c>
      <c r="AG362">
        <f>_xlfn.XLOOKUP(Table1820[[#This Row],[Exotic Car]],Table7[Exotic Car],Table7[Exotic Car Factor],,0)</f>
        <v>1</v>
      </c>
      <c r="AH362">
        <f>_xlfn.XLOOKUP(Table1820[[#This Row],[Difficult Parts]],Table8[Difficult Parts],Table8[Difficult Parts Factor],,0)</f>
        <v>1</v>
      </c>
      <c r="AI362">
        <f>_xlfn.XLOOKUP(Table1820[[#This Row],[High Theft Rate]],Table9[High Theft Rate],Table9[High Theft Rate Factor],,0)</f>
        <v>1</v>
      </c>
      <c r="AJ362">
        <f>_xlfn.XLOOKUP(Table1820[[#This Row],[Advanced Safety Features]],Table10[Advanced Safety Features],Table10[Advanced Safety Features Factor],,0)</f>
        <v>0.88</v>
      </c>
      <c r="AK362">
        <f>_xlfn.XLOOKUP(Table1820[[#This Row],[Deductible]],Table12[Deductible],Table12[Deductible Factor],,0)</f>
        <v>1</v>
      </c>
      <c r="AL362">
        <f>_xlfn.XLOOKUP(Table1820[[#This Row],[Coverage Limit]],Table13[Coverage Limit],Table13[Coverage Limit Factor],,0)</f>
        <v>0.84</v>
      </c>
      <c r="AM362">
        <f>IF(Table1820[[#This Row],[Good Student Discount]]="Yes",'Rate Book'!$D$126,1)</f>
        <v>1</v>
      </c>
      <c r="AN362">
        <f>IF(Table1820[[#This Row],[Good Driver Discount]]="Yes",'Rate Book'!$D$127,1)</f>
        <v>0.89</v>
      </c>
      <c r="AO362">
        <f>IF(Table1820[[#This Row],[Multi Policy Discount]]="Yes",'Rate Book'!$D$128,1)</f>
        <v>1</v>
      </c>
      <c r="AP362">
        <f>IF(Table1820[[#This Row],[Loyal Customer Discount]]="Yes",'Rate Book'!$D$129,1)</f>
        <v>1</v>
      </c>
      <c r="AQ362">
        <f>IF(Table1820[[#This Row],[Organization Discount]]="Yes",'Rate Book'!$D$130,1)</f>
        <v>1</v>
      </c>
      <c r="AR362" cm="1">
        <f t="array" ref="AR362">IF(Table1820[[#This Row],[Effective Date]]&gt;=RateChangeTable[Effective Date],RateChangeTable[Rate Change Factor],1)</f>
        <v>1</v>
      </c>
      <c r="AS362" s="10">
        <f>PRODUCT(Table1820[[#This Row],[Base Rate]:[Rate Change Factor]])</f>
        <v>2179.7976230258491</v>
      </c>
      <c r="AT362" s="9">
        <f>Table1820[[#This Row],[System-Generated Premium]]-Table1820[[#This Row],[Expected Premium]]</f>
        <v>0</v>
      </c>
      <c r="AU362" t="str">
        <f>IF(Table1820[[#This Row],[Difference]]=0,"PASS","FAIL")</f>
        <v>PASS</v>
      </c>
      <c r="AV362" s="9">
        <f>ABS(Table1820[[#This Row],[Difference]])</f>
        <v>0</v>
      </c>
      <c r="AW362" s="9" t="s">
        <v>1136</v>
      </c>
    </row>
    <row r="363" spans="1:49" x14ac:dyDescent="0.3">
      <c r="A363" t="s">
        <v>454</v>
      </c>
      <c r="B363" s="7">
        <v>45933</v>
      </c>
      <c r="C363" t="s">
        <v>73</v>
      </c>
      <c r="D363" t="s">
        <v>1102</v>
      </c>
      <c r="E363" s="3">
        <v>6</v>
      </c>
      <c r="F363" s="3">
        <v>1</v>
      </c>
      <c r="G363" t="s">
        <v>10</v>
      </c>
      <c r="H363" t="s">
        <v>1110</v>
      </c>
      <c r="I363" t="s">
        <v>31</v>
      </c>
      <c r="J363" t="s">
        <v>51</v>
      </c>
      <c r="K363" t="s">
        <v>10</v>
      </c>
      <c r="L363" t="s">
        <v>10</v>
      </c>
      <c r="M363" t="s">
        <v>10</v>
      </c>
      <c r="N363" t="s">
        <v>10</v>
      </c>
      <c r="O363" t="str">
        <f>INDEX(CoverageTable[Deductible Applies],MATCH(Table1820[[#This Row],[Coverage]],CoverageTable[Coverage],0))</f>
        <v>No</v>
      </c>
      <c r="P363" t="str">
        <f>INDEX(CoverageTable[Coverage Limit Applies],MATCH(Table1820[[#This Row],[Coverage]],CoverageTable[Coverage],0))</f>
        <v>Yes</v>
      </c>
      <c r="Q363" t="s">
        <v>10</v>
      </c>
      <c r="R363" t="s">
        <v>79</v>
      </c>
      <c r="S363" t="s">
        <v>10</v>
      </c>
      <c r="T363" t="s">
        <v>10</v>
      </c>
      <c r="U363" t="s">
        <v>10</v>
      </c>
      <c r="V363" t="s">
        <v>10</v>
      </c>
      <c r="W363" t="s">
        <v>10</v>
      </c>
      <c r="X363" s="11">
        <v>177.88521889382406</v>
      </c>
      <c r="Y363">
        <f>_xlfn.XLOOKUP(Table1820[[#This Row],[Coverage]],CoverageTable[Coverage],CoverageTable[Base Rate],,0)</f>
        <v>78</v>
      </c>
      <c r="Z363">
        <f>INDEX(Table16[Ageband Factor],MATCH(Table1820[[#This Row],[Ageband]],Table16[Ageband],0))</f>
        <v>1.27</v>
      </c>
      <c r="AA363">
        <f>VLOOKUP(Table1820[[#This Row],[Years Driving]],Table1[],2)</f>
        <v>1</v>
      </c>
      <c r="AB363">
        <f>_xlfn.XLOOKUP(Table1820[[#This Row],[At Fault Accidents]],Table2[At Fault Accidents],Table2[At Fault Accident Factor],,0)</f>
        <v>1.34</v>
      </c>
      <c r="AC363">
        <f>_xlfn.XLOOKUP(Table1820[[#This Row],[Usage-Based Insurance]],Table3[Usage-Based Insurance],Table3[Usage-Based Insurance Discount],,0)</f>
        <v>1</v>
      </c>
      <c r="AD363">
        <f>_xlfn.XLOOKUP(Table1820[[#This Row],[Yearly Miles]],Table4[Yearly Miles],Table4[Yearly Miles Factor],,0)</f>
        <v>1.31</v>
      </c>
      <c r="AE363">
        <f>_xlfn.XLOOKUP(Table1820[[#This Row],[City/Zip Code]],Table5[City/Zip Code],Table5[City/Zip Code Factor],,0)</f>
        <v>1.1100000000000001</v>
      </c>
      <c r="AF363">
        <f>_xlfn.XLOOKUP(Table1820[[#This Row],[Vehicle Price]],Table6[Vehicle Price],Table6[Vehicle Price Factor])</f>
        <v>1.28</v>
      </c>
      <c r="AG363">
        <f>_xlfn.XLOOKUP(Table1820[[#This Row],[Exotic Car]],Table7[Exotic Car],Table7[Exotic Car Factor],,0)</f>
        <v>1</v>
      </c>
      <c r="AH363">
        <f>_xlfn.XLOOKUP(Table1820[[#This Row],[Difficult Parts]],Table8[Difficult Parts],Table8[Difficult Parts Factor],,0)</f>
        <v>1</v>
      </c>
      <c r="AI363">
        <f>_xlfn.XLOOKUP(Table1820[[#This Row],[High Theft Rate]],Table9[High Theft Rate],Table9[High Theft Rate Factor],,0)</f>
        <v>1</v>
      </c>
      <c r="AJ363">
        <f>_xlfn.XLOOKUP(Table1820[[#This Row],[Advanced Safety Features]],Table10[Advanced Safety Features],Table10[Advanced Safety Features Factor],,0)</f>
        <v>1</v>
      </c>
      <c r="AK363">
        <f>_xlfn.XLOOKUP(Table1820[[#This Row],[Deductible]],Table12[Deductible],Table12[Deductible Factor],,0)</f>
        <v>1</v>
      </c>
      <c r="AL363">
        <f>_xlfn.XLOOKUP(Table1820[[#This Row],[Coverage Limit]],Table13[Coverage Limit],Table13[Coverage Limit Factor],,0)</f>
        <v>0.72</v>
      </c>
      <c r="AM363">
        <f>IF(Table1820[[#This Row],[Good Student Discount]]="Yes",'Rate Book'!$D$126,1)</f>
        <v>1</v>
      </c>
      <c r="AN363">
        <f>IF(Table1820[[#This Row],[Good Driver Discount]]="Yes",'Rate Book'!$D$127,1)</f>
        <v>1</v>
      </c>
      <c r="AO363">
        <f>IF(Table1820[[#This Row],[Multi Policy Discount]]="Yes",'Rate Book'!$D$128,1)</f>
        <v>1</v>
      </c>
      <c r="AP363">
        <f>IF(Table1820[[#This Row],[Loyal Customer Discount]]="Yes",'Rate Book'!$D$129,1)</f>
        <v>1</v>
      </c>
      <c r="AQ363">
        <f>IF(Table1820[[#This Row],[Organization Discount]]="Yes",'Rate Book'!$D$130,1)</f>
        <v>1</v>
      </c>
      <c r="AR363" cm="1">
        <f t="array" ref="AR363">IF(Table1820[[#This Row],[Effective Date]]&gt;=RateChangeTable[Effective Date],RateChangeTable[Rate Change Factor],1)</f>
        <v>1</v>
      </c>
      <c r="AS363" s="10">
        <f>PRODUCT(Table1820[[#This Row],[Base Rate]:[Rate Change Factor]])</f>
        <v>177.88521889382406</v>
      </c>
      <c r="AT363" s="9">
        <f>Table1820[[#This Row],[System-Generated Premium]]-Table1820[[#This Row],[Expected Premium]]</f>
        <v>0</v>
      </c>
      <c r="AU363" t="str">
        <f>IF(Table1820[[#This Row],[Difference]]=0,"PASS","FAIL")</f>
        <v>PASS</v>
      </c>
      <c r="AV363" s="9">
        <f>ABS(Table1820[[#This Row],[Difference]])</f>
        <v>0</v>
      </c>
      <c r="AW363" s="9" t="s">
        <v>1136</v>
      </c>
    </row>
    <row r="364" spans="1:49" x14ac:dyDescent="0.3">
      <c r="A364" t="s">
        <v>455</v>
      </c>
      <c r="B364" s="7">
        <v>46082</v>
      </c>
      <c r="C364" t="s">
        <v>70</v>
      </c>
      <c r="D364" t="s">
        <v>1101</v>
      </c>
      <c r="E364" s="3">
        <v>3</v>
      </c>
      <c r="F364" s="3">
        <v>1</v>
      </c>
      <c r="G364" t="s">
        <v>10</v>
      </c>
      <c r="H364" t="s">
        <v>1109</v>
      </c>
      <c r="I364" t="s">
        <v>44</v>
      </c>
      <c r="J364" t="s">
        <v>50</v>
      </c>
      <c r="K364" t="s">
        <v>57</v>
      </c>
      <c r="L364" t="s">
        <v>10</v>
      </c>
      <c r="M364" t="s">
        <v>10</v>
      </c>
      <c r="N364" t="s">
        <v>57</v>
      </c>
      <c r="O364" t="str">
        <f>INDEX(CoverageTable[Deductible Applies],MATCH(Table1820[[#This Row],[Coverage]],CoverageTable[Coverage],0))</f>
        <v>No</v>
      </c>
      <c r="P364" t="str">
        <f>INDEX(CoverageTable[Coverage Limit Applies],MATCH(Table1820[[#This Row],[Coverage]],CoverageTable[Coverage],0))</f>
        <v>Yes</v>
      </c>
      <c r="Q364" t="s">
        <v>10</v>
      </c>
      <c r="R364" t="s">
        <v>78</v>
      </c>
      <c r="S364" t="s">
        <v>10</v>
      </c>
      <c r="T364" t="s">
        <v>10</v>
      </c>
      <c r="U364" t="s">
        <v>10</v>
      </c>
      <c r="V364" t="s">
        <v>10</v>
      </c>
      <c r="W364" t="s">
        <v>10</v>
      </c>
      <c r="X364" s="11">
        <v>1226.2107818871484</v>
      </c>
      <c r="Y364">
        <f>_xlfn.XLOOKUP(Table1820[[#This Row],[Coverage]],CoverageTable[Coverage],CoverageTable[Base Rate],,0)</f>
        <v>622</v>
      </c>
      <c r="Z364">
        <f>INDEX(Table16[Ageband Factor],MATCH(Table1820[[#This Row],[Ageband]],Table16[Ageband],0))</f>
        <v>1.1200000000000001</v>
      </c>
      <c r="AA364">
        <f>VLOOKUP(Table1820[[#This Row],[Years Driving]],Table1[],2)</f>
        <v>1.22</v>
      </c>
      <c r="AB364">
        <f>_xlfn.XLOOKUP(Table1820[[#This Row],[At Fault Accidents]],Table2[At Fault Accidents],Table2[At Fault Accident Factor],,0)</f>
        <v>1.34</v>
      </c>
      <c r="AC364">
        <f>_xlfn.XLOOKUP(Table1820[[#This Row],[Usage-Based Insurance]],Table3[Usage-Based Insurance],Table3[Usage-Based Insurance Discount],,0)</f>
        <v>1</v>
      </c>
      <c r="AD364">
        <f>_xlfn.XLOOKUP(Table1820[[#This Row],[Yearly Miles]],Table4[Yearly Miles],Table4[Yearly Miles Factor],,0)</f>
        <v>1.18</v>
      </c>
      <c r="AE364">
        <f>_xlfn.XLOOKUP(Table1820[[#This Row],[City/Zip Code]],Table5[City/Zip Code],Table5[City/Zip Code Factor],,0)</f>
        <v>1.1599999999999999</v>
      </c>
      <c r="AF364">
        <f>_xlfn.XLOOKUP(Table1820[[#This Row],[Vehicle Price]],Table6[Vehicle Price],Table6[Vehicle Price Factor])</f>
        <v>1.08</v>
      </c>
      <c r="AG364">
        <f>_xlfn.XLOOKUP(Table1820[[#This Row],[Exotic Car]],Table7[Exotic Car],Table7[Exotic Car Factor],,0)</f>
        <v>1.28</v>
      </c>
      <c r="AH364">
        <f>_xlfn.XLOOKUP(Table1820[[#This Row],[Difficult Parts]],Table8[Difficult Parts],Table8[Difficult Parts Factor],,0)</f>
        <v>1</v>
      </c>
      <c r="AI364">
        <f>_xlfn.XLOOKUP(Table1820[[#This Row],[High Theft Rate]],Table9[High Theft Rate],Table9[High Theft Rate Factor],,0)</f>
        <v>1</v>
      </c>
      <c r="AJ364">
        <f>_xlfn.XLOOKUP(Table1820[[#This Row],[Advanced Safety Features]],Table10[Advanced Safety Features],Table10[Advanced Safety Features Factor],,0)</f>
        <v>0.88</v>
      </c>
      <c r="AK364">
        <f>_xlfn.XLOOKUP(Table1820[[#This Row],[Deductible]],Table12[Deductible],Table12[Deductible Factor],,0)</f>
        <v>1</v>
      </c>
      <c r="AL364">
        <f>_xlfn.XLOOKUP(Table1820[[#This Row],[Coverage Limit]],Table13[Coverage Limit],Table13[Coverage Limit Factor],,0)</f>
        <v>0.61</v>
      </c>
      <c r="AM364">
        <f>IF(Table1820[[#This Row],[Good Student Discount]]="Yes",'Rate Book'!$D$126,1)</f>
        <v>1</v>
      </c>
      <c r="AN364">
        <f>IF(Table1820[[#This Row],[Good Driver Discount]]="Yes",'Rate Book'!$D$127,1)</f>
        <v>1</v>
      </c>
      <c r="AO364">
        <f>IF(Table1820[[#This Row],[Multi Policy Discount]]="Yes",'Rate Book'!$D$128,1)</f>
        <v>1</v>
      </c>
      <c r="AP364">
        <f>IF(Table1820[[#This Row],[Loyal Customer Discount]]="Yes",'Rate Book'!$D$129,1)</f>
        <v>1</v>
      </c>
      <c r="AQ364">
        <f>IF(Table1820[[#This Row],[Organization Discount]]="Yes",'Rate Book'!$D$130,1)</f>
        <v>1</v>
      </c>
      <c r="AR364" cm="1">
        <f t="array" ref="AR364">IF(Table1820[[#This Row],[Effective Date]]&gt;=RateChangeTable[Effective Date],RateChangeTable[Rate Change Factor],1)</f>
        <v>1.06</v>
      </c>
      <c r="AS364" s="10">
        <f>PRODUCT(Table1820[[#This Row],[Base Rate]:[Rate Change Factor]])</f>
        <v>1226.2107818871484</v>
      </c>
      <c r="AT364" s="9">
        <f>Table1820[[#This Row],[System-Generated Premium]]-Table1820[[#This Row],[Expected Premium]]</f>
        <v>0</v>
      </c>
      <c r="AU364" t="str">
        <f>IF(Table1820[[#This Row],[Difference]]=0,"PASS","FAIL")</f>
        <v>PASS</v>
      </c>
      <c r="AV364" s="9">
        <f>ABS(Table1820[[#This Row],[Difference]])</f>
        <v>0</v>
      </c>
      <c r="AW364" s="9" t="s">
        <v>1136</v>
      </c>
    </row>
    <row r="365" spans="1:49" x14ac:dyDescent="0.3">
      <c r="A365" t="s">
        <v>456</v>
      </c>
      <c r="B365" s="7">
        <v>46000</v>
      </c>
      <c r="C365" t="s">
        <v>71</v>
      </c>
      <c r="D365" t="s">
        <v>1097</v>
      </c>
      <c r="E365" s="3">
        <v>1</v>
      </c>
      <c r="F365" s="3">
        <v>4</v>
      </c>
      <c r="G365" t="s">
        <v>11</v>
      </c>
      <c r="H365" t="s">
        <v>1107</v>
      </c>
      <c r="I365" t="s">
        <v>41</v>
      </c>
      <c r="J365" t="s">
        <v>50</v>
      </c>
      <c r="K365" t="s">
        <v>10</v>
      </c>
      <c r="L365" t="s">
        <v>10</v>
      </c>
      <c r="M365" t="s">
        <v>10</v>
      </c>
      <c r="N365" t="s">
        <v>57</v>
      </c>
      <c r="O365" t="str">
        <f>INDEX(CoverageTable[Deductible Applies],MATCH(Table1820[[#This Row],[Coverage]],CoverageTable[Coverage],0))</f>
        <v>Yes</v>
      </c>
      <c r="P365" t="str">
        <f>INDEX(CoverageTable[Coverage Limit Applies],MATCH(Table1820[[#This Row],[Coverage]],CoverageTable[Coverage],0))</f>
        <v>No</v>
      </c>
      <c r="Q365" t="s">
        <v>78</v>
      </c>
      <c r="R365" t="s">
        <v>10</v>
      </c>
      <c r="S365" t="s">
        <v>57</v>
      </c>
      <c r="T365" t="s">
        <v>57</v>
      </c>
      <c r="U365" t="s">
        <v>10</v>
      </c>
      <c r="V365" t="s">
        <v>10</v>
      </c>
      <c r="W365" t="s">
        <v>10</v>
      </c>
      <c r="X365" s="11">
        <v>1561.579515282584</v>
      </c>
      <c r="Y365">
        <f>_xlfn.XLOOKUP(Table1820[[#This Row],[Coverage]],CoverageTable[Coverage],CoverageTable[Base Rate],,0)</f>
        <v>453</v>
      </c>
      <c r="Z365">
        <f>INDEX(Table16[Ageband Factor],MATCH(Table1820[[#This Row],[Ageband]],Table16[Ageband],0))</f>
        <v>1.32</v>
      </c>
      <c r="AA365">
        <f>VLOOKUP(Table1820[[#This Row],[Years Driving]],Table1[],2)</f>
        <v>1.64</v>
      </c>
      <c r="AB365">
        <f>_xlfn.XLOOKUP(Table1820[[#This Row],[At Fault Accidents]],Table2[At Fault Accidents],Table2[At Fault Accident Factor],,0)</f>
        <v>2.12</v>
      </c>
      <c r="AC365">
        <f>_xlfn.XLOOKUP(Table1820[[#This Row],[Usage-Based Insurance]],Table3[Usage-Based Insurance],Table3[Usage-Based Insurance Discount],,0)</f>
        <v>0.95</v>
      </c>
      <c r="AD365">
        <f>_xlfn.XLOOKUP(Table1820[[#This Row],[Yearly Miles]],Table4[Yearly Miles],Table4[Yearly Miles Factor],,0)</f>
        <v>0.93</v>
      </c>
      <c r="AE365">
        <f>_xlfn.XLOOKUP(Table1820[[#This Row],[City/Zip Code]],Table5[City/Zip Code],Table5[City/Zip Code Factor],,0)</f>
        <v>1.1499999999999999</v>
      </c>
      <c r="AF365">
        <f>_xlfn.XLOOKUP(Table1820[[#This Row],[Vehicle Price]],Table6[Vehicle Price],Table6[Vehicle Price Factor])</f>
        <v>1.08</v>
      </c>
      <c r="AG365">
        <f>_xlfn.XLOOKUP(Table1820[[#This Row],[Exotic Car]],Table7[Exotic Car],Table7[Exotic Car Factor],,0)</f>
        <v>1</v>
      </c>
      <c r="AH365">
        <f>_xlfn.XLOOKUP(Table1820[[#This Row],[Difficult Parts]],Table8[Difficult Parts],Table8[Difficult Parts Factor],,0)</f>
        <v>1</v>
      </c>
      <c r="AI365">
        <f>_xlfn.XLOOKUP(Table1820[[#This Row],[High Theft Rate]],Table9[High Theft Rate],Table9[High Theft Rate Factor],,0)</f>
        <v>1</v>
      </c>
      <c r="AJ365">
        <f>_xlfn.XLOOKUP(Table1820[[#This Row],[Advanced Safety Features]],Table10[Advanced Safety Features],Table10[Advanced Safety Features Factor],,0)</f>
        <v>0.88</v>
      </c>
      <c r="AK365">
        <f>_xlfn.XLOOKUP(Table1820[[#This Row],[Deductible]],Table12[Deductible],Table12[Deductible Factor],,0)</f>
        <v>0.95</v>
      </c>
      <c r="AL365">
        <f>_xlfn.XLOOKUP(Table1820[[#This Row],[Coverage Limit]],Table13[Coverage Limit],Table13[Coverage Limit Factor],,0)</f>
        <v>1</v>
      </c>
      <c r="AM365">
        <f>IF(Table1820[[#This Row],[Good Student Discount]]="Yes",'Rate Book'!$D$126,1)</f>
        <v>0.92</v>
      </c>
      <c r="AN365">
        <f>IF(Table1820[[#This Row],[Good Driver Discount]]="Yes",'Rate Book'!$D$127,1)</f>
        <v>0.89</v>
      </c>
      <c r="AO365">
        <f>IF(Table1820[[#This Row],[Multi Policy Discount]]="Yes",'Rate Book'!$D$128,1)</f>
        <v>1</v>
      </c>
      <c r="AP365">
        <f>IF(Table1820[[#This Row],[Loyal Customer Discount]]="Yes",'Rate Book'!$D$129,1)</f>
        <v>1</v>
      </c>
      <c r="AQ365">
        <f>IF(Table1820[[#This Row],[Organization Discount]]="Yes",'Rate Book'!$D$130,1)</f>
        <v>1</v>
      </c>
      <c r="AR365" cm="1">
        <f t="array" ref="AR365">IF(Table1820[[#This Row],[Effective Date]]&gt;=RateChangeTable[Effective Date],RateChangeTable[Rate Change Factor],1)</f>
        <v>1</v>
      </c>
      <c r="AS365" s="10">
        <f>PRODUCT(Table1820[[#This Row],[Base Rate]:[Rate Change Factor]])</f>
        <v>1561.579515282584</v>
      </c>
      <c r="AT365" s="9">
        <f>Table1820[[#This Row],[System-Generated Premium]]-Table1820[[#This Row],[Expected Premium]]</f>
        <v>0</v>
      </c>
      <c r="AU365" t="str">
        <f>IF(Table1820[[#This Row],[Difference]]=0,"PASS","FAIL")</f>
        <v>PASS</v>
      </c>
      <c r="AV365" s="9">
        <f>ABS(Table1820[[#This Row],[Difference]])</f>
        <v>0</v>
      </c>
      <c r="AW365" s="9" t="s">
        <v>1136</v>
      </c>
    </row>
    <row r="366" spans="1:49" x14ac:dyDescent="0.3">
      <c r="A366" t="s">
        <v>457</v>
      </c>
      <c r="B366" s="7">
        <v>46052</v>
      </c>
      <c r="C366" t="s">
        <v>70</v>
      </c>
      <c r="D366" t="s">
        <v>1100</v>
      </c>
      <c r="E366" s="3">
        <v>3</v>
      </c>
      <c r="F366" s="3">
        <v>3</v>
      </c>
      <c r="G366" t="s">
        <v>11</v>
      </c>
      <c r="H366" t="s">
        <v>1109</v>
      </c>
      <c r="I366" t="s">
        <v>37</v>
      </c>
      <c r="J366" t="s">
        <v>48</v>
      </c>
      <c r="K366" t="s">
        <v>10</v>
      </c>
      <c r="L366" t="s">
        <v>10</v>
      </c>
      <c r="M366" t="s">
        <v>10</v>
      </c>
      <c r="N366" t="s">
        <v>57</v>
      </c>
      <c r="O366" t="str">
        <f>INDEX(CoverageTable[Deductible Applies],MATCH(Table1820[[#This Row],[Coverage]],CoverageTable[Coverage],0))</f>
        <v>No</v>
      </c>
      <c r="P366" t="str">
        <f>INDEX(CoverageTable[Coverage Limit Applies],MATCH(Table1820[[#This Row],[Coverage]],CoverageTable[Coverage],0))</f>
        <v>Yes</v>
      </c>
      <c r="Q366" t="s">
        <v>10</v>
      </c>
      <c r="R366" t="s">
        <v>78</v>
      </c>
      <c r="S366" t="s">
        <v>10</v>
      </c>
      <c r="T366" t="s">
        <v>10</v>
      </c>
      <c r="U366" t="s">
        <v>57</v>
      </c>
      <c r="V366" t="s">
        <v>10</v>
      </c>
      <c r="W366" t="s">
        <v>57</v>
      </c>
      <c r="X366" s="11">
        <v>760.01891196395309</v>
      </c>
      <c r="Y366">
        <f>_xlfn.XLOOKUP(Table1820[[#This Row],[Coverage]],CoverageTable[Coverage],CoverageTable[Base Rate],,0)</f>
        <v>622</v>
      </c>
      <c r="Z366">
        <f>INDEX(Table16[Ageband Factor],MATCH(Table1820[[#This Row],[Ageband]],Table16[Ageband],0))</f>
        <v>1.07</v>
      </c>
      <c r="AA366">
        <f>VLOOKUP(Table1820[[#This Row],[Years Driving]],Table1[],2)</f>
        <v>1.22</v>
      </c>
      <c r="AB366">
        <f>_xlfn.XLOOKUP(Table1820[[#This Row],[At Fault Accidents]],Table2[At Fault Accidents],Table2[At Fault Accident Factor],,0)</f>
        <v>1.82</v>
      </c>
      <c r="AC366">
        <f>_xlfn.XLOOKUP(Table1820[[#This Row],[Usage-Based Insurance]],Table3[Usage-Based Insurance],Table3[Usage-Based Insurance Discount],,0)</f>
        <v>0.95</v>
      </c>
      <c r="AD366">
        <f>_xlfn.XLOOKUP(Table1820[[#This Row],[Yearly Miles]],Table4[Yearly Miles],Table4[Yearly Miles Factor],,0)</f>
        <v>1.18</v>
      </c>
      <c r="AE366">
        <f>_xlfn.XLOOKUP(Table1820[[#This Row],[City/Zip Code]],Table5[City/Zip Code],Table5[City/Zip Code Factor],,0)</f>
        <v>1.0900000000000001</v>
      </c>
      <c r="AF366">
        <f>_xlfn.XLOOKUP(Table1820[[#This Row],[Vehicle Price]],Table6[Vehicle Price],Table6[Vehicle Price Factor])</f>
        <v>0.82</v>
      </c>
      <c r="AG366">
        <f>_xlfn.XLOOKUP(Table1820[[#This Row],[Exotic Car]],Table7[Exotic Car],Table7[Exotic Car Factor],,0)</f>
        <v>1</v>
      </c>
      <c r="AH366">
        <f>_xlfn.XLOOKUP(Table1820[[#This Row],[Difficult Parts]],Table8[Difficult Parts],Table8[Difficult Parts Factor],,0)</f>
        <v>1</v>
      </c>
      <c r="AI366">
        <f>_xlfn.XLOOKUP(Table1820[[#This Row],[High Theft Rate]],Table9[High Theft Rate],Table9[High Theft Rate Factor],,0)</f>
        <v>1</v>
      </c>
      <c r="AJ366">
        <f>_xlfn.XLOOKUP(Table1820[[#This Row],[Advanced Safety Features]],Table10[Advanced Safety Features],Table10[Advanced Safety Features Factor],,0)</f>
        <v>0.88</v>
      </c>
      <c r="AK366">
        <f>_xlfn.XLOOKUP(Table1820[[#This Row],[Deductible]],Table12[Deductible],Table12[Deductible Factor],,0)</f>
        <v>1</v>
      </c>
      <c r="AL366">
        <f>_xlfn.XLOOKUP(Table1820[[#This Row],[Coverage Limit]],Table13[Coverage Limit],Table13[Coverage Limit Factor],,0)</f>
        <v>0.61</v>
      </c>
      <c r="AM366">
        <f>IF(Table1820[[#This Row],[Good Student Discount]]="Yes",'Rate Book'!$D$126,1)</f>
        <v>1</v>
      </c>
      <c r="AN366">
        <f>IF(Table1820[[#This Row],[Good Driver Discount]]="Yes",'Rate Book'!$D$127,1)</f>
        <v>1</v>
      </c>
      <c r="AO366">
        <f>IF(Table1820[[#This Row],[Multi Policy Discount]]="Yes",'Rate Book'!$D$128,1)</f>
        <v>0.93</v>
      </c>
      <c r="AP366">
        <f>IF(Table1820[[#This Row],[Loyal Customer Discount]]="Yes",'Rate Book'!$D$129,1)</f>
        <v>1</v>
      </c>
      <c r="AQ366">
        <f>IF(Table1820[[#This Row],[Organization Discount]]="Yes",'Rate Book'!$D$130,1)</f>
        <v>0.97</v>
      </c>
      <c r="AR366" cm="1">
        <f t="array" ref="AR366">IF(Table1820[[#This Row],[Effective Date]]&gt;=RateChangeTable[Effective Date],RateChangeTable[Rate Change Factor],1)</f>
        <v>1.06</v>
      </c>
      <c r="AS366" s="10">
        <f>PRODUCT(Table1820[[#This Row],[Base Rate]:[Rate Change Factor]])</f>
        <v>760.01891196395309</v>
      </c>
      <c r="AT366" s="9">
        <f>Table1820[[#This Row],[System-Generated Premium]]-Table1820[[#This Row],[Expected Premium]]</f>
        <v>0</v>
      </c>
      <c r="AU366" t="str">
        <f>IF(Table1820[[#This Row],[Difference]]=0,"PASS","FAIL")</f>
        <v>PASS</v>
      </c>
      <c r="AV366" s="9">
        <f>ABS(Table1820[[#This Row],[Difference]])</f>
        <v>0</v>
      </c>
      <c r="AW366" s="9" t="s">
        <v>1136</v>
      </c>
    </row>
    <row r="367" spans="1:49" x14ac:dyDescent="0.3">
      <c r="A367" t="s">
        <v>458</v>
      </c>
      <c r="B367" s="7">
        <v>45856</v>
      </c>
      <c r="C367" t="s">
        <v>73</v>
      </c>
      <c r="D367" t="s">
        <v>1097</v>
      </c>
      <c r="E367" s="3">
        <v>7</v>
      </c>
      <c r="F367" s="3">
        <v>0</v>
      </c>
      <c r="G367" t="s">
        <v>11</v>
      </c>
      <c r="H367" t="s">
        <v>1107</v>
      </c>
      <c r="I367" t="s">
        <v>22</v>
      </c>
      <c r="J367" t="s">
        <v>52</v>
      </c>
      <c r="K367" t="s">
        <v>10</v>
      </c>
      <c r="L367" t="s">
        <v>57</v>
      </c>
      <c r="M367" t="s">
        <v>10</v>
      </c>
      <c r="N367" t="s">
        <v>57</v>
      </c>
      <c r="O367" t="str">
        <f>INDEX(CoverageTable[Deductible Applies],MATCH(Table1820[[#This Row],[Coverage]],CoverageTable[Coverage],0))</f>
        <v>No</v>
      </c>
      <c r="P367" t="str">
        <f>INDEX(CoverageTable[Coverage Limit Applies],MATCH(Table1820[[#This Row],[Coverage]],CoverageTable[Coverage],0))</f>
        <v>Yes</v>
      </c>
      <c r="Q367" t="s">
        <v>10</v>
      </c>
      <c r="R367" t="s">
        <v>80</v>
      </c>
      <c r="S367" t="s">
        <v>10</v>
      </c>
      <c r="T367" t="s">
        <v>10</v>
      </c>
      <c r="U367" t="s">
        <v>10</v>
      </c>
      <c r="V367" t="s">
        <v>10</v>
      </c>
      <c r="W367" t="s">
        <v>10</v>
      </c>
      <c r="X367" s="11">
        <v>157.88999999999999</v>
      </c>
      <c r="Y367">
        <f>_xlfn.XLOOKUP(Table1820[[#This Row],[Coverage]],CoverageTable[Coverage],CoverageTable[Base Rate],,0)</f>
        <v>78</v>
      </c>
      <c r="Z367">
        <f>INDEX(Table16[Ageband Factor],MATCH(Table1820[[#This Row],[Ageband]],Table16[Ageband],0))</f>
        <v>1.32</v>
      </c>
      <c r="AA367">
        <f>VLOOKUP(Table1820[[#This Row],[Years Driving]],Table1[],2)</f>
        <v>0.95</v>
      </c>
      <c r="AB367">
        <f>_xlfn.XLOOKUP(Table1820[[#This Row],[At Fault Accidents]],Table2[At Fault Accidents],Table2[At Fault Accident Factor],,0)</f>
        <v>1</v>
      </c>
      <c r="AC367">
        <f>_xlfn.XLOOKUP(Table1820[[#This Row],[Usage-Based Insurance]],Table3[Usage-Based Insurance],Table3[Usage-Based Insurance Discount],,0)</f>
        <v>0.95</v>
      </c>
      <c r="AD367">
        <f>_xlfn.XLOOKUP(Table1820[[#This Row],[Yearly Miles]],Table4[Yearly Miles],Table4[Yearly Miles Factor],,0)</f>
        <v>0.93</v>
      </c>
      <c r="AE367">
        <f>_xlfn.XLOOKUP(Table1820[[#This Row],[City/Zip Code]],Table5[City/Zip Code],Table5[City/Zip Code Factor],,0)</f>
        <v>1.21</v>
      </c>
      <c r="AF367">
        <f>_xlfn.XLOOKUP(Table1820[[#This Row],[Vehicle Price]],Table6[Vehicle Price],Table6[Vehicle Price Factor])</f>
        <v>1.57</v>
      </c>
      <c r="AG367">
        <f>_xlfn.XLOOKUP(Table1820[[#This Row],[Exotic Car]],Table7[Exotic Car],Table7[Exotic Car Factor],,0)</f>
        <v>1</v>
      </c>
      <c r="AH367">
        <f>_xlfn.XLOOKUP(Table1820[[#This Row],[Difficult Parts]],Table8[Difficult Parts],Table8[Difficult Parts Factor],,0)</f>
        <v>1.21</v>
      </c>
      <c r="AI367">
        <f>_xlfn.XLOOKUP(Table1820[[#This Row],[High Theft Rate]],Table9[High Theft Rate],Table9[High Theft Rate Factor],,0)</f>
        <v>1</v>
      </c>
      <c r="AJ367">
        <f>_xlfn.XLOOKUP(Table1820[[#This Row],[Advanced Safety Features]],Table10[Advanced Safety Features],Table10[Advanced Safety Features Factor],,0)</f>
        <v>0.88</v>
      </c>
      <c r="AK367">
        <f>_xlfn.XLOOKUP(Table1820[[#This Row],[Deductible]],Table12[Deductible],Table12[Deductible Factor],,0)</f>
        <v>1</v>
      </c>
      <c r="AL367">
        <f>_xlfn.XLOOKUP(Table1820[[#This Row],[Coverage Limit]],Table13[Coverage Limit],Table13[Coverage Limit Factor],,0)</f>
        <v>0.84</v>
      </c>
      <c r="AM367">
        <f>IF(Table1820[[#This Row],[Good Student Discount]]="Yes",'Rate Book'!$D$126,1)</f>
        <v>1</v>
      </c>
      <c r="AN367">
        <f>IF(Table1820[[#This Row],[Good Driver Discount]]="Yes",'Rate Book'!$D$127,1)</f>
        <v>1</v>
      </c>
      <c r="AO367">
        <f>IF(Table1820[[#This Row],[Multi Policy Discount]]="Yes",'Rate Book'!$D$128,1)</f>
        <v>1</v>
      </c>
      <c r="AP367">
        <f>IF(Table1820[[#This Row],[Loyal Customer Discount]]="Yes",'Rate Book'!$D$129,1)</f>
        <v>1</v>
      </c>
      <c r="AQ367">
        <f>IF(Table1820[[#This Row],[Organization Discount]]="Yes",'Rate Book'!$D$130,1)</f>
        <v>1</v>
      </c>
      <c r="AR367" cm="1">
        <f t="array" ref="AR367">IF(Table1820[[#This Row],[Effective Date]]&gt;=RateChangeTable[Effective Date],RateChangeTable[Rate Change Factor],1)</f>
        <v>1</v>
      </c>
      <c r="AS367" s="10">
        <f>PRODUCT(Table1820[[#This Row],[Base Rate]:[Rate Change Factor]])</f>
        <v>146.83549251761465</v>
      </c>
      <c r="AT367" s="9">
        <f>Table1820[[#This Row],[System-Generated Premium]]-Table1820[[#This Row],[Expected Premium]]</f>
        <v>11.054507482385333</v>
      </c>
      <c r="AU367" t="str">
        <f>IF(Table1820[[#This Row],[Difference]]=0,"PASS","FAIL")</f>
        <v>FAIL</v>
      </c>
      <c r="AV367" s="9">
        <f>ABS(Table1820[[#This Row],[Difference]])</f>
        <v>11.054507482385333</v>
      </c>
      <c r="AW367" s="9" t="s">
        <v>1146</v>
      </c>
    </row>
    <row r="368" spans="1:49" x14ac:dyDescent="0.3">
      <c r="A368" t="s">
        <v>459</v>
      </c>
      <c r="B368" s="7">
        <v>46128</v>
      </c>
      <c r="C368" t="s">
        <v>70</v>
      </c>
      <c r="D368" t="s">
        <v>1102</v>
      </c>
      <c r="E368" s="3">
        <v>7</v>
      </c>
      <c r="F368" s="3">
        <v>1</v>
      </c>
      <c r="G368" t="s">
        <v>10</v>
      </c>
      <c r="H368" t="s">
        <v>1110</v>
      </c>
      <c r="I368" t="s">
        <v>43</v>
      </c>
      <c r="J368" t="s">
        <v>54</v>
      </c>
      <c r="K368" t="s">
        <v>10</v>
      </c>
      <c r="L368" t="s">
        <v>10</v>
      </c>
      <c r="M368" t="s">
        <v>10</v>
      </c>
      <c r="N368" t="s">
        <v>10</v>
      </c>
      <c r="O368" t="str">
        <f>INDEX(CoverageTable[Deductible Applies],MATCH(Table1820[[#This Row],[Coverage]],CoverageTable[Coverage],0))</f>
        <v>No</v>
      </c>
      <c r="P368" t="str">
        <f>INDEX(CoverageTable[Coverage Limit Applies],MATCH(Table1820[[#This Row],[Coverage]],CoverageTable[Coverage],0))</f>
        <v>Yes</v>
      </c>
      <c r="Q368" t="s">
        <v>10</v>
      </c>
      <c r="R368" t="s">
        <v>80</v>
      </c>
      <c r="S368" t="s">
        <v>10</v>
      </c>
      <c r="T368" t="s">
        <v>10</v>
      </c>
      <c r="U368" t="s">
        <v>10</v>
      </c>
      <c r="V368" t="s">
        <v>57</v>
      </c>
      <c r="W368" t="s">
        <v>57</v>
      </c>
      <c r="X368" s="11">
        <v>3621.9499790047289</v>
      </c>
      <c r="Y368">
        <f>_xlfn.XLOOKUP(Table1820[[#This Row],[Coverage]],CoverageTable[Coverage],CoverageTable[Base Rate],,0)</f>
        <v>622</v>
      </c>
      <c r="Z368">
        <f>INDEX(Table16[Ageband Factor],MATCH(Table1820[[#This Row],[Ageband]],Table16[Ageband],0))</f>
        <v>1.27</v>
      </c>
      <c r="AA368">
        <f>VLOOKUP(Table1820[[#This Row],[Years Driving]],Table1[],2)</f>
        <v>0.95</v>
      </c>
      <c r="AB368">
        <f>_xlfn.XLOOKUP(Table1820[[#This Row],[At Fault Accidents]],Table2[At Fault Accidents],Table2[At Fault Accident Factor],,0)</f>
        <v>1.34</v>
      </c>
      <c r="AC368">
        <f>_xlfn.XLOOKUP(Table1820[[#This Row],[Usage-Based Insurance]],Table3[Usage-Based Insurance],Table3[Usage-Based Insurance Discount],,0)</f>
        <v>1</v>
      </c>
      <c r="AD368">
        <f>_xlfn.XLOOKUP(Table1820[[#This Row],[Yearly Miles]],Table4[Yearly Miles],Table4[Yearly Miles Factor],,0)</f>
        <v>1.31</v>
      </c>
      <c r="AE368">
        <f>_xlfn.XLOOKUP(Table1820[[#This Row],[City/Zip Code]],Table5[City/Zip Code],Table5[City/Zip Code Factor],,0)</f>
        <v>1.18</v>
      </c>
      <c r="AF368">
        <f>_xlfn.XLOOKUP(Table1820[[#This Row],[Vehicle Price]],Table6[Vehicle Price],Table6[Vehicle Price Factor])</f>
        <v>2.87</v>
      </c>
      <c r="AG368">
        <f>_xlfn.XLOOKUP(Table1820[[#This Row],[Exotic Car]],Table7[Exotic Car],Table7[Exotic Car Factor],,0)</f>
        <v>1</v>
      </c>
      <c r="AH368">
        <f>_xlfn.XLOOKUP(Table1820[[#This Row],[Difficult Parts]],Table8[Difficult Parts],Table8[Difficult Parts Factor],,0)</f>
        <v>1</v>
      </c>
      <c r="AI368">
        <f>_xlfn.XLOOKUP(Table1820[[#This Row],[High Theft Rate]],Table9[High Theft Rate],Table9[High Theft Rate Factor],,0)</f>
        <v>1</v>
      </c>
      <c r="AJ368">
        <f>_xlfn.XLOOKUP(Table1820[[#This Row],[Advanced Safety Features]],Table10[Advanced Safety Features],Table10[Advanced Safety Features Factor],,0)</f>
        <v>1</v>
      </c>
      <c r="AK368">
        <f>_xlfn.XLOOKUP(Table1820[[#This Row],[Deductible]],Table12[Deductible],Table12[Deductible Factor],,0)</f>
        <v>1</v>
      </c>
      <c r="AL368">
        <f>_xlfn.XLOOKUP(Table1820[[#This Row],[Coverage Limit]],Table13[Coverage Limit],Table13[Coverage Limit Factor],,0)</f>
        <v>0.84</v>
      </c>
      <c r="AM368">
        <f>IF(Table1820[[#This Row],[Good Student Discount]]="Yes",'Rate Book'!$D$126,1)</f>
        <v>1</v>
      </c>
      <c r="AN368">
        <f>IF(Table1820[[#This Row],[Good Driver Discount]]="Yes",'Rate Book'!$D$127,1)</f>
        <v>1</v>
      </c>
      <c r="AO368">
        <f>IF(Table1820[[#This Row],[Multi Policy Discount]]="Yes",'Rate Book'!$D$128,1)</f>
        <v>1</v>
      </c>
      <c r="AP368">
        <f>IF(Table1820[[#This Row],[Loyal Customer Discount]]="Yes",'Rate Book'!$D$129,1)</f>
        <v>0.94</v>
      </c>
      <c r="AQ368">
        <f>IF(Table1820[[#This Row],[Organization Discount]]="Yes",'Rate Book'!$D$130,1)</f>
        <v>0.97</v>
      </c>
      <c r="AR368" cm="1">
        <f t="array" ref="AR368">IF(Table1820[[#This Row],[Effective Date]]&gt;=RateChangeTable[Effective Date],RateChangeTable[Rate Change Factor],1)</f>
        <v>1.06</v>
      </c>
      <c r="AS368" s="10">
        <f>PRODUCT(Table1820[[#This Row],[Base Rate]:[Rate Change Factor]])</f>
        <v>3621.9499790047289</v>
      </c>
      <c r="AT368" s="9">
        <f>Table1820[[#This Row],[System-Generated Premium]]-Table1820[[#This Row],[Expected Premium]]</f>
        <v>0</v>
      </c>
      <c r="AU368" t="str">
        <f>IF(Table1820[[#This Row],[Difference]]=0,"PASS","FAIL")</f>
        <v>PASS</v>
      </c>
      <c r="AV368" s="9">
        <f>ABS(Table1820[[#This Row],[Difference]])</f>
        <v>0</v>
      </c>
      <c r="AW368" s="9" t="s">
        <v>1136</v>
      </c>
    </row>
    <row r="369" spans="1:49" x14ac:dyDescent="0.3">
      <c r="A369" t="s">
        <v>460</v>
      </c>
      <c r="B369" s="7">
        <v>45896</v>
      </c>
      <c r="C369" t="s">
        <v>73</v>
      </c>
      <c r="D369" t="s">
        <v>1100</v>
      </c>
      <c r="E369" s="3">
        <v>4</v>
      </c>
      <c r="F369" s="3">
        <v>0</v>
      </c>
      <c r="G369" t="s">
        <v>10</v>
      </c>
      <c r="H369" t="s">
        <v>1106</v>
      </c>
      <c r="I369" t="s">
        <v>39</v>
      </c>
      <c r="J369" t="s">
        <v>53</v>
      </c>
      <c r="K369" t="s">
        <v>10</v>
      </c>
      <c r="L369" t="s">
        <v>10</v>
      </c>
      <c r="M369" t="s">
        <v>57</v>
      </c>
      <c r="N369" t="s">
        <v>10</v>
      </c>
      <c r="O369" t="str">
        <f>INDEX(CoverageTable[Deductible Applies],MATCH(Table1820[[#This Row],[Coverage]],CoverageTable[Coverage],0))</f>
        <v>No</v>
      </c>
      <c r="P369" t="str">
        <f>INDEX(CoverageTable[Coverage Limit Applies],MATCH(Table1820[[#This Row],[Coverage]],CoverageTable[Coverage],0))</f>
        <v>Yes</v>
      </c>
      <c r="Q369" t="s">
        <v>10</v>
      </c>
      <c r="R369" t="s">
        <v>79</v>
      </c>
      <c r="S369" t="s">
        <v>10</v>
      </c>
      <c r="T369" t="s">
        <v>10</v>
      </c>
      <c r="U369" t="s">
        <v>10</v>
      </c>
      <c r="V369" t="s">
        <v>10</v>
      </c>
      <c r="W369" t="s">
        <v>10</v>
      </c>
      <c r="X369" s="11">
        <v>143.4021569450496</v>
      </c>
      <c r="Y369">
        <f>_xlfn.XLOOKUP(Table1820[[#This Row],[Coverage]],CoverageTable[Coverage],CoverageTable[Base Rate],,0)</f>
        <v>78</v>
      </c>
      <c r="Z369">
        <f>INDEX(Table16[Ageband Factor],MATCH(Table1820[[#This Row],[Ageband]],Table16[Ageband],0))</f>
        <v>1.07</v>
      </c>
      <c r="AA369">
        <f>VLOOKUP(Table1820[[#This Row],[Years Driving]],Table1[],2)</f>
        <v>1.1499999999999999</v>
      </c>
      <c r="AB369">
        <f>_xlfn.XLOOKUP(Table1820[[#This Row],[At Fault Accidents]],Table2[At Fault Accidents],Table2[At Fault Accident Factor],,0)</f>
        <v>1</v>
      </c>
      <c r="AC369">
        <f>_xlfn.XLOOKUP(Table1820[[#This Row],[Usage-Based Insurance]],Table3[Usage-Based Insurance],Table3[Usage-Based Insurance Discount],,0)</f>
        <v>1</v>
      </c>
      <c r="AD369">
        <f>_xlfn.XLOOKUP(Table1820[[#This Row],[Yearly Miles]],Table4[Yearly Miles],Table4[Yearly Miles Factor],,0)</f>
        <v>0.82</v>
      </c>
      <c r="AE369">
        <f>_xlfn.XLOOKUP(Table1820[[#This Row],[City/Zip Code]],Table5[City/Zip Code],Table5[City/Zip Code Factor],,0)</f>
        <v>1.08</v>
      </c>
      <c r="AF369">
        <f>_xlfn.XLOOKUP(Table1820[[#This Row],[Vehicle Price]],Table6[Vehicle Price],Table6[Vehicle Price Factor])</f>
        <v>2.02</v>
      </c>
      <c r="AG369">
        <f>_xlfn.XLOOKUP(Table1820[[#This Row],[Exotic Car]],Table7[Exotic Car],Table7[Exotic Car Factor],,0)</f>
        <v>1</v>
      </c>
      <c r="AH369">
        <f>_xlfn.XLOOKUP(Table1820[[#This Row],[Difficult Parts]],Table8[Difficult Parts],Table8[Difficult Parts Factor],,0)</f>
        <v>1</v>
      </c>
      <c r="AI369">
        <f>_xlfn.XLOOKUP(Table1820[[#This Row],[High Theft Rate]],Table9[High Theft Rate],Table9[High Theft Rate Factor],,0)</f>
        <v>1.1599999999999999</v>
      </c>
      <c r="AJ369">
        <f>_xlfn.XLOOKUP(Table1820[[#This Row],[Advanced Safety Features]],Table10[Advanced Safety Features],Table10[Advanced Safety Features Factor],,0)</f>
        <v>1</v>
      </c>
      <c r="AK369">
        <f>_xlfn.XLOOKUP(Table1820[[#This Row],[Deductible]],Table12[Deductible],Table12[Deductible Factor],,0)</f>
        <v>1</v>
      </c>
      <c r="AL369">
        <f>_xlfn.XLOOKUP(Table1820[[#This Row],[Coverage Limit]],Table13[Coverage Limit],Table13[Coverage Limit Factor],,0)</f>
        <v>0.72</v>
      </c>
      <c r="AM369">
        <f>IF(Table1820[[#This Row],[Good Student Discount]]="Yes",'Rate Book'!$D$126,1)</f>
        <v>1</v>
      </c>
      <c r="AN369">
        <f>IF(Table1820[[#This Row],[Good Driver Discount]]="Yes",'Rate Book'!$D$127,1)</f>
        <v>1</v>
      </c>
      <c r="AO369">
        <f>IF(Table1820[[#This Row],[Multi Policy Discount]]="Yes",'Rate Book'!$D$128,1)</f>
        <v>1</v>
      </c>
      <c r="AP369">
        <f>IF(Table1820[[#This Row],[Loyal Customer Discount]]="Yes",'Rate Book'!$D$129,1)</f>
        <v>1</v>
      </c>
      <c r="AQ369">
        <f>IF(Table1820[[#This Row],[Organization Discount]]="Yes",'Rate Book'!$D$130,1)</f>
        <v>1</v>
      </c>
      <c r="AR369" cm="1">
        <f t="array" ref="AR369">IF(Table1820[[#This Row],[Effective Date]]&gt;=RateChangeTable[Effective Date],RateChangeTable[Rate Change Factor],1)</f>
        <v>1</v>
      </c>
      <c r="AS369" s="10">
        <f>PRODUCT(Table1820[[#This Row],[Base Rate]:[Rate Change Factor]])</f>
        <v>143.4021569450496</v>
      </c>
      <c r="AT369" s="9">
        <f>Table1820[[#This Row],[System-Generated Premium]]-Table1820[[#This Row],[Expected Premium]]</f>
        <v>0</v>
      </c>
      <c r="AU369" t="str">
        <f>IF(Table1820[[#This Row],[Difference]]=0,"PASS","FAIL")</f>
        <v>PASS</v>
      </c>
      <c r="AV369" s="9">
        <f>ABS(Table1820[[#This Row],[Difference]])</f>
        <v>0</v>
      </c>
      <c r="AW369" s="9" t="s">
        <v>1136</v>
      </c>
    </row>
    <row r="370" spans="1:49" x14ac:dyDescent="0.3">
      <c r="A370" t="s">
        <v>461</v>
      </c>
      <c r="B370" s="7">
        <v>46089</v>
      </c>
      <c r="C370" t="s">
        <v>73</v>
      </c>
      <c r="D370" t="s">
        <v>1098</v>
      </c>
      <c r="E370" s="3">
        <v>7</v>
      </c>
      <c r="F370" s="3" t="s">
        <v>7</v>
      </c>
      <c r="G370" t="s">
        <v>11</v>
      </c>
      <c r="H370" t="s">
        <v>1110</v>
      </c>
      <c r="I370" t="s">
        <v>38</v>
      </c>
      <c r="J370" t="s">
        <v>51</v>
      </c>
      <c r="K370" t="s">
        <v>57</v>
      </c>
      <c r="L370" t="s">
        <v>10</v>
      </c>
      <c r="M370" t="s">
        <v>10</v>
      </c>
      <c r="N370" t="s">
        <v>10</v>
      </c>
      <c r="O370" t="str">
        <f>INDEX(CoverageTable[Deductible Applies],MATCH(Table1820[[#This Row],[Coverage]],CoverageTable[Coverage],0))</f>
        <v>No</v>
      </c>
      <c r="P370" t="str">
        <f>INDEX(CoverageTable[Coverage Limit Applies],MATCH(Table1820[[#This Row],[Coverage]],CoverageTable[Coverage],0))</f>
        <v>Yes</v>
      </c>
      <c r="Q370" t="s">
        <v>10</v>
      </c>
      <c r="R370" t="s">
        <v>80</v>
      </c>
      <c r="S370" t="s">
        <v>10</v>
      </c>
      <c r="T370" t="s">
        <v>57</v>
      </c>
      <c r="U370" t="s">
        <v>57</v>
      </c>
      <c r="V370" t="s">
        <v>10</v>
      </c>
      <c r="W370" t="s">
        <v>10</v>
      </c>
      <c r="X370" s="11">
        <v>378.88834149671766</v>
      </c>
      <c r="Y370">
        <f>_xlfn.XLOOKUP(Table1820[[#This Row],[Coverage]],CoverageTable[Coverage],CoverageTable[Base Rate],,0)</f>
        <v>78</v>
      </c>
      <c r="Z370">
        <f>INDEX(Table16[Ageband Factor],MATCH(Table1820[[#This Row],[Ageband]],Table16[Ageband],0))</f>
        <v>1.23</v>
      </c>
      <c r="AA370">
        <f>VLOOKUP(Table1820[[#This Row],[Years Driving]],Table1[],2)</f>
        <v>0.95</v>
      </c>
      <c r="AB370">
        <f>_xlfn.XLOOKUP(Table1820[[#This Row],[At Fault Accidents]],Table2[At Fault Accidents],Table2[At Fault Accident Factor],,0)</f>
        <v>2.4700000000000002</v>
      </c>
      <c r="AC370">
        <f>_xlfn.XLOOKUP(Table1820[[#This Row],[Usage-Based Insurance]],Table3[Usage-Based Insurance],Table3[Usage-Based Insurance Discount],,0)</f>
        <v>0.95</v>
      </c>
      <c r="AD370">
        <f>_xlfn.XLOOKUP(Table1820[[#This Row],[Yearly Miles]],Table4[Yearly Miles],Table4[Yearly Miles Factor],,0)</f>
        <v>1.31</v>
      </c>
      <c r="AE370">
        <f>_xlfn.XLOOKUP(Table1820[[#This Row],[City/Zip Code]],Table5[City/Zip Code],Table5[City/Zip Code Factor],,0)</f>
        <v>1.1200000000000001</v>
      </c>
      <c r="AF370">
        <f>_xlfn.XLOOKUP(Table1820[[#This Row],[Vehicle Price]],Table6[Vehicle Price],Table6[Vehicle Price Factor])</f>
        <v>1.28</v>
      </c>
      <c r="AG370">
        <f>_xlfn.XLOOKUP(Table1820[[#This Row],[Exotic Car]],Table7[Exotic Car],Table7[Exotic Car Factor],,0)</f>
        <v>1.28</v>
      </c>
      <c r="AH370">
        <f>_xlfn.XLOOKUP(Table1820[[#This Row],[Difficult Parts]],Table8[Difficult Parts],Table8[Difficult Parts Factor],,0)</f>
        <v>1</v>
      </c>
      <c r="AI370">
        <f>_xlfn.XLOOKUP(Table1820[[#This Row],[High Theft Rate]],Table9[High Theft Rate],Table9[High Theft Rate Factor],,0)</f>
        <v>1</v>
      </c>
      <c r="AJ370">
        <f>_xlfn.XLOOKUP(Table1820[[#This Row],[Advanced Safety Features]],Table10[Advanced Safety Features],Table10[Advanced Safety Features Factor],,0)</f>
        <v>1</v>
      </c>
      <c r="AK370">
        <f>_xlfn.XLOOKUP(Table1820[[#This Row],[Deductible]],Table12[Deductible],Table12[Deductible Factor],,0)</f>
        <v>1</v>
      </c>
      <c r="AL370">
        <f>_xlfn.XLOOKUP(Table1820[[#This Row],[Coverage Limit]],Table13[Coverage Limit],Table13[Coverage Limit Factor],,0)</f>
        <v>0.84</v>
      </c>
      <c r="AM370">
        <f>IF(Table1820[[#This Row],[Good Student Discount]]="Yes",'Rate Book'!$D$126,1)</f>
        <v>1</v>
      </c>
      <c r="AN370">
        <f>IF(Table1820[[#This Row],[Good Driver Discount]]="Yes",'Rate Book'!$D$127,1)</f>
        <v>0.89</v>
      </c>
      <c r="AO370">
        <f>IF(Table1820[[#This Row],[Multi Policy Discount]]="Yes",'Rate Book'!$D$128,1)</f>
        <v>0.93</v>
      </c>
      <c r="AP370">
        <f>IF(Table1820[[#This Row],[Loyal Customer Discount]]="Yes",'Rate Book'!$D$129,1)</f>
        <v>1</v>
      </c>
      <c r="AQ370">
        <f>IF(Table1820[[#This Row],[Organization Discount]]="Yes",'Rate Book'!$D$130,1)</f>
        <v>1</v>
      </c>
      <c r="AR370" cm="1">
        <f t="array" ref="AR370">IF(Table1820[[#This Row],[Effective Date]]&gt;=RateChangeTable[Effective Date],RateChangeTable[Rate Change Factor],1)</f>
        <v>1.06</v>
      </c>
      <c r="AS370" s="10">
        <f>PRODUCT(Table1820[[#This Row],[Base Rate]:[Rate Change Factor]])</f>
        <v>378.88834149671766</v>
      </c>
      <c r="AT370" s="9">
        <f>Table1820[[#This Row],[System-Generated Premium]]-Table1820[[#This Row],[Expected Premium]]</f>
        <v>0</v>
      </c>
      <c r="AU370" t="str">
        <f>IF(Table1820[[#This Row],[Difference]]=0,"PASS","FAIL")</f>
        <v>PASS</v>
      </c>
      <c r="AV370" s="9">
        <f>ABS(Table1820[[#This Row],[Difference]])</f>
        <v>0</v>
      </c>
      <c r="AW370" s="9" t="s">
        <v>1136</v>
      </c>
    </row>
    <row r="371" spans="1:49" x14ac:dyDescent="0.3">
      <c r="A371" t="s">
        <v>462</v>
      </c>
      <c r="B371" s="7">
        <v>45891</v>
      </c>
      <c r="C371" t="s">
        <v>72</v>
      </c>
      <c r="D371" t="s">
        <v>1097</v>
      </c>
      <c r="E371" s="3">
        <v>3</v>
      </c>
      <c r="F371" s="3">
        <v>1</v>
      </c>
      <c r="G371" t="s">
        <v>13</v>
      </c>
      <c r="H371" t="s">
        <v>1107</v>
      </c>
      <c r="I371" t="s">
        <v>26</v>
      </c>
      <c r="J371" t="s">
        <v>53</v>
      </c>
      <c r="K371" t="s">
        <v>10</v>
      </c>
      <c r="L371" t="s">
        <v>10</v>
      </c>
      <c r="M371" t="s">
        <v>10</v>
      </c>
      <c r="N371" t="s">
        <v>57</v>
      </c>
      <c r="O371" t="str">
        <f>INDEX(CoverageTable[Deductible Applies],MATCH(Table1820[[#This Row],[Coverage]],CoverageTable[Coverage],0))</f>
        <v>Yes</v>
      </c>
      <c r="P371" t="str">
        <f>INDEX(CoverageTable[Coverage Limit Applies],MATCH(Table1820[[#This Row],[Coverage]],CoverageTable[Coverage],0))</f>
        <v>No</v>
      </c>
      <c r="Q371" t="s">
        <v>78</v>
      </c>
      <c r="R371" t="s">
        <v>10</v>
      </c>
      <c r="S371" t="s">
        <v>10</v>
      </c>
      <c r="T371" t="s">
        <v>10</v>
      </c>
      <c r="U371" t="s">
        <v>10</v>
      </c>
      <c r="V371" t="s">
        <v>57</v>
      </c>
      <c r="W371" t="s">
        <v>10</v>
      </c>
      <c r="X371" s="11">
        <v>288.14001642834239</v>
      </c>
      <c r="Y371">
        <f>_xlfn.XLOOKUP(Table1820[[#This Row],[Coverage]],CoverageTable[Coverage],CoverageTable[Base Rate],,0)</f>
        <v>121</v>
      </c>
      <c r="Z371">
        <f>INDEX(Table16[Ageband Factor],MATCH(Table1820[[#This Row],[Ageband]],Table16[Ageband],0))</f>
        <v>1.32</v>
      </c>
      <c r="AA371">
        <f>VLOOKUP(Table1820[[#This Row],[Years Driving]],Table1[],2)</f>
        <v>1.22</v>
      </c>
      <c r="AB371">
        <f>_xlfn.XLOOKUP(Table1820[[#This Row],[At Fault Accidents]],Table2[At Fault Accidents],Table2[At Fault Accident Factor],,0)</f>
        <v>1.34</v>
      </c>
      <c r="AC371">
        <f>_xlfn.XLOOKUP(Table1820[[#This Row],[Usage-Based Insurance]],Table3[Usage-Based Insurance],Table3[Usage-Based Insurance Discount],,0)</f>
        <v>0.65</v>
      </c>
      <c r="AD371">
        <f>_xlfn.XLOOKUP(Table1820[[#This Row],[Yearly Miles]],Table4[Yearly Miles],Table4[Yearly Miles Factor],,0)</f>
        <v>0.93</v>
      </c>
      <c r="AE371">
        <f>_xlfn.XLOOKUP(Table1820[[#This Row],[City/Zip Code]],Table5[City/Zip Code],Table5[City/Zip Code Factor],,0)</f>
        <v>1.1499999999999999</v>
      </c>
      <c r="AF371">
        <f>_xlfn.XLOOKUP(Table1820[[#This Row],[Vehicle Price]],Table6[Vehicle Price],Table6[Vehicle Price Factor])</f>
        <v>2.02</v>
      </c>
      <c r="AG371">
        <f>_xlfn.XLOOKUP(Table1820[[#This Row],[Exotic Car]],Table7[Exotic Car],Table7[Exotic Car Factor],,0)</f>
        <v>1</v>
      </c>
      <c r="AH371">
        <f>_xlfn.XLOOKUP(Table1820[[#This Row],[Difficult Parts]],Table8[Difficult Parts],Table8[Difficult Parts Factor],,0)</f>
        <v>1</v>
      </c>
      <c r="AI371">
        <f>_xlfn.XLOOKUP(Table1820[[#This Row],[High Theft Rate]],Table9[High Theft Rate],Table9[High Theft Rate Factor],,0)</f>
        <v>1</v>
      </c>
      <c r="AJ371">
        <f>_xlfn.XLOOKUP(Table1820[[#This Row],[Advanced Safety Features]],Table10[Advanced Safety Features],Table10[Advanced Safety Features Factor],,0)</f>
        <v>0.88</v>
      </c>
      <c r="AK371">
        <f>_xlfn.XLOOKUP(Table1820[[#This Row],[Deductible]],Table12[Deductible],Table12[Deductible Factor],,0)</f>
        <v>0.95</v>
      </c>
      <c r="AL371">
        <f>_xlfn.XLOOKUP(Table1820[[#This Row],[Coverage Limit]],Table13[Coverage Limit],Table13[Coverage Limit Factor],,0)</f>
        <v>1</v>
      </c>
      <c r="AM371">
        <f>IF(Table1820[[#This Row],[Good Student Discount]]="Yes",'Rate Book'!$D$126,1)</f>
        <v>1</v>
      </c>
      <c r="AN371">
        <f>IF(Table1820[[#This Row],[Good Driver Discount]]="Yes",'Rate Book'!$D$127,1)</f>
        <v>1</v>
      </c>
      <c r="AO371">
        <f>IF(Table1820[[#This Row],[Multi Policy Discount]]="Yes",'Rate Book'!$D$128,1)</f>
        <v>1</v>
      </c>
      <c r="AP371">
        <f>IF(Table1820[[#This Row],[Loyal Customer Discount]]="Yes",'Rate Book'!$D$129,1)</f>
        <v>0.94</v>
      </c>
      <c r="AQ371">
        <f>IF(Table1820[[#This Row],[Organization Discount]]="Yes",'Rate Book'!$D$130,1)</f>
        <v>1</v>
      </c>
      <c r="AR371" cm="1">
        <f t="array" ref="AR371">IF(Table1820[[#This Row],[Effective Date]]&gt;=RateChangeTable[Effective Date],RateChangeTable[Rate Change Factor],1)</f>
        <v>1</v>
      </c>
      <c r="AS371" s="10">
        <f>PRODUCT(Table1820[[#This Row],[Base Rate]:[Rate Change Factor]])</f>
        <v>288.14001642834239</v>
      </c>
      <c r="AT371" s="9">
        <f>Table1820[[#This Row],[System-Generated Premium]]-Table1820[[#This Row],[Expected Premium]]</f>
        <v>0</v>
      </c>
      <c r="AU371" t="str">
        <f>IF(Table1820[[#This Row],[Difference]]=0,"PASS","FAIL")</f>
        <v>PASS</v>
      </c>
      <c r="AV371" s="9">
        <f>ABS(Table1820[[#This Row],[Difference]])</f>
        <v>0</v>
      </c>
      <c r="AW371" s="9" t="s">
        <v>1136</v>
      </c>
    </row>
    <row r="372" spans="1:49" x14ac:dyDescent="0.3">
      <c r="A372" t="s">
        <v>463</v>
      </c>
      <c r="B372" s="7">
        <v>46046</v>
      </c>
      <c r="C372" t="s">
        <v>74</v>
      </c>
      <c r="D372" t="s">
        <v>1097</v>
      </c>
      <c r="E372" s="3">
        <v>1</v>
      </c>
      <c r="F372" s="3">
        <v>2</v>
      </c>
      <c r="G372" t="s">
        <v>10</v>
      </c>
      <c r="H372" t="s">
        <v>1109</v>
      </c>
      <c r="I372" t="s">
        <v>27</v>
      </c>
      <c r="J372" t="s">
        <v>53</v>
      </c>
      <c r="K372" t="s">
        <v>10</v>
      </c>
      <c r="L372" t="s">
        <v>10</v>
      </c>
      <c r="M372" t="s">
        <v>10</v>
      </c>
      <c r="N372" t="s">
        <v>10</v>
      </c>
      <c r="O372" t="str">
        <f>INDEX(CoverageTable[Deductible Applies],MATCH(Table1820[[#This Row],[Coverage]],CoverageTable[Coverage],0))</f>
        <v>No</v>
      </c>
      <c r="P372" t="str">
        <f>INDEX(CoverageTable[Coverage Limit Applies],MATCH(Table1820[[#This Row],[Coverage]],CoverageTable[Coverage],0))</f>
        <v>Yes</v>
      </c>
      <c r="Q372" t="s">
        <v>10</v>
      </c>
      <c r="R372" t="s">
        <v>79</v>
      </c>
      <c r="S372" t="s">
        <v>10</v>
      </c>
      <c r="T372" t="s">
        <v>10</v>
      </c>
      <c r="U372" t="s">
        <v>57</v>
      </c>
      <c r="V372" t="s">
        <v>10</v>
      </c>
      <c r="W372" t="s">
        <v>10</v>
      </c>
      <c r="X372" s="11">
        <v>218.78415945600042</v>
      </c>
      <c r="Y372">
        <f>_xlfn.XLOOKUP(Table1820[[#This Row],[Coverage]],CoverageTable[Coverage],CoverageTable[Base Rate],,0)</f>
        <v>41</v>
      </c>
      <c r="Z372">
        <f>INDEX(Table16[Ageband Factor],MATCH(Table1820[[#This Row],[Ageband]],Table16[Ageband],0))</f>
        <v>1.32</v>
      </c>
      <c r="AA372">
        <f>VLOOKUP(Table1820[[#This Row],[Years Driving]],Table1[],2)</f>
        <v>1.64</v>
      </c>
      <c r="AB372">
        <f>_xlfn.XLOOKUP(Table1820[[#This Row],[At Fault Accidents]],Table2[At Fault Accidents],Table2[At Fault Accident Factor],,0)</f>
        <v>1.55</v>
      </c>
      <c r="AC372">
        <f>_xlfn.XLOOKUP(Table1820[[#This Row],[Usage-Based Insurance]],Table3[Usage-Based Insurance],Table3[Usage-Based Insurance Discount],,0)</f>
        <v>1</v>
      </c>
      <c r="AD372">
        <f>_xlfn.XLOOKUP(Table1820[[#This Row],[Yearly Miles]],Table4[Yearly Miles],Table4[Yearly Miles Factor],,0)</f>
        <v>1.18</v>
      </c>
      <c r="AE372">
        <f>_xlfn.XLOOKUP(Table1820[[#This Row],[City/Zip Code]],Table5[City/Zip Code],Table5[City/Zip Code Factor],,0)</f>
        <v>0.94</v>
      </c>
      <c r="AF372">
        <f>_xlfn.XLOOKUP(Table1820[[#This Row],[Vehicle Price]],Table6[Vehicle Price],Table6[Vehicle Price Factor])</f>
        <v>2.02</v>
      </c>
      <c r="AG372">
        <f>_xlfn.XLOOKUP(Table1820[[#This Row],[Exotic Car]],Table7[Exotic Car],Table7[Exotic Car Factor],,0)</f>
        <v>1</v>
      </c>
      <c r="AH372">
        <f>_xlfn.XLOOKUP(Table1820[[#This Row],[Difficult Parts]],Table8[Difficult Parts],Table8[Difficult Parts Factor],,0)</f>
        <v>1</v>
      </c>
      <c r="AI372">
        <f>_xlfn.XLOOKUP(Table1820[[#This Row],[High Theft Rate]],Table9[High Theft Rate],Table9[High Theft Rate Factor],,0)</f>
        <v>1</v>
      </c>
      <c r="AJ372">
        <f>_xlfn.XLOOKUP(Table1820[[#This Row],[Advanced Safety Features]],Table10[Advanced Safety Features],Table10[Advanced Safety Features Factor],,0)</f>
        <v>1</v>
      </c>
      <c r="AK372">
        <f>_xlfn.XLOOKUP(Table1820[[#This Row],[Deductible]],Table12[Deductible],Table12[Deductible Factor],,0)</f>
        <v>1</v>
      </c>
      <c r="AL372">
        <f>_xlfn.XLOOKUP(Table1820[[#This Row],[Coverage Limit]],Table13[Coverage Limit],Table13[Coverage Limit Factor],,0)</f>
        <v>0.72</v>
      </c>
      <c r="AM372">
        <f>IF(Table1820[[#This Row],[Good Student Discount]]="Yes",'Rate Book'!$D$126,1)</f>
        <v>1</v>
      </c>
      <c r="AN372">
        <f>IF(Table1820[[#This Row],[Good Driver Discount]]="Yes",'Rate Book'!$D$127,1)</f>
        <v>1</v>
      </c>
      <c r="AO372">
        <f>IF(Table1820[[#This Row],[Multi Policy Discount]]="Yes",'Rate Book'!$D$128,1)</f>
        <v>0.93</v>
      </c>
      <c r="AP372">
        <f>IF(Table1820[[#This Row],[Loyal Customer Discount]]="Yes",'Rate Book'!$D$129,1)</f>
        <v>1</v>
      </c>
      <c r="AQ372">
        <f>IF(Table1820[[#This Row],[Organization Discount]]="Yes",'Rate Book'!$D$130,1)</f>
        <v>1</v>
      </c>
      <c r="AR372" cm="1">
        <f t="array" ref="AR372">IF(Table1820[[#This Row],[Effective Date]]&gt;=RateChangeTable[Effective Date],RateChangeTable[Rate Change Factor],1)</f>
        <v>1.06</v>
      </c>
      <c r="AS372" s="10">
        <f>PRODUCT(Table1820[[#This Row],[Base Rate]:[Rate Change Factor]])</f>
        <v>218.78415945600042</v>
      </c>
      <c r="AT372" s="9">
        <f>Table1820[[#This Row],[System-Generated Premium]]-Table1820[[#This Row],[Expected Premium]]</f>
        <v>0</v>
      </c>
      <c r="AU372" t="str">
        <f>IF(Table1820[[#This Row],[Difference]]=0,"PASS","FAIL")</f>
        <v>PASS</v>
      </c>
      <c r="AV372" s="9">
        <f>ABS(Table1820[[#This Row],[Difference]])</f>
        <v>0</v>
      </c>
      <c r="AW372" s="9" t="s">
        <v>1136</v>
      </c>
    </row>
    <row r="373" spans="1:49" x14ac:dyDescent="0.3">
      <c r="A373" t="s">
        <v>464</v>
      </c>
      <c r="B373" s="7">
        <v>45931</v>
      </c>
      <c r="C373" t="s">
        <v>72</v>
      </c>
      <c r="D373" t="s">
        <v>1101</v>
      </c>
      <c r="E373" s="3">
        <v>7</v>
      </c>
      <c r="F373" s="3" t="s">
        <v>7</v>
      </c>
      <c r="G373" t="s">
        <v>13</v>
      </c>
      <c r="H373" t="s">
        <v>1110</v>
      </c>
      <c r="I373" t="s">
        <v>31</v>
      </c>
      <c r="J373" t="s">
        <v>49</v>
      </c>
      <c r="K373" t="s">
        <v>10</v>
      </c>
      <c r="L373" t="s">
        <v>10</v>
      </c>
      <c r="M373" t="s">
        <v>10</v>
      </c>
      <c r="N373" t="s">
        <v>10</v>
      </c>
      <c r="O373" t="str">
        <f>INDEX(CoverageTable[Deductible Applies],MATCH(Table1820[[#This Row],[Coverage]],CoverageTable[Coverage],0))</f>
        <v>Yes</v>
      </c>
      <c r="P373" t="str">
        <f>INDEX(CoverageTable[Coverage Limit Applies],MATCH(Table1820[[#This Row],[Coverage]],CoverageTable[Coverage],0))</f>
        <v>No</v>
      </c>
      <c r="Q373" t="s">
        <v>80</v>
      </c>
      <c r="R373" t="s">
        <v>10</v>
      </c>
      <c r="S373" t="s">
        <v>10</v>
      </c>
      <c r="T373" t="s">
        <v>10</v>
      </c>
      <c r="U373" t="s">
        <v>10</v>
      </c>
      <c r="V373" t="s">
        <v>10</v>
      </c>
      <c r="W373" t="s">
        <v>10</v>
      </c>
      <c r="X373" s="11">
        <v>209.9112976084925</v>
      </c>
      <c r="Y373">
        <f>_xlfn.XLOOKUP(Table1820[[#This Row],[Coverage]],CoverageTable[Coverage],CoverageTable[Base Rate],,0)</f>
        <v>121</v>
      </c>
      <c r="Z373">
        <f>INDEX(Table16[Ageband Factor],MATCH(Table1820[[#This Row],[Ageband]],Table16[Ageband],0))</f>
        <v>1.1200000000000001</v>
      </c>
      <c r="AA373">
        <f>VLOOKUP(Table1820[[#This Row],[Years Driving]],Table1[],2)</f>
        <v>0.95</v>
      </c>
      <c r="AB373">
        <f>_xlfn.XLOOKUP(Table1820[[#This Row],[At Fault Accidents]],Table2[At Fault Accidents],Table2[At Fault Accident Factor],,0)</f>
        <v>2.4700000000000002</v>
      </c>
      <c r="AC373">
        <f>_xlfn.XLOOKUP(Table1820[[#This Row],[Usage-Based Insurance]],Table3[Usage-Based Insurance],Table3[Usage-Based Insurance Discount],,0)</f>
        <v>0.65</v>
      </c>
      <c r="AD373">
        <f>_xlfn.XLOOKUP(Table1820[[#This Row],[Yearly Miles]],Table4[Yearly Miles],Table4[Yearly Miles Factor],,0)</f>
        <v>1.31</v>
      </c>
      <c r="AE373">
        <f>_xlfn.XLOOKUP(Table1820[[#This Row],[City/Zip Code]],Table5[City/Zip Code],Table5[City/Zip Code Factor],,0)</f>
        <v>1.1100000000000001</v>
      </c>
      <c r="AF373">
        <f>_xlfn.XLOOKUP(Table1820[[#This Row],[Vehicle Price]],Table6[Vehicle Price],Table6[Vehicle Price Factor])</f>
        <v>0.97</v>
      </c>
      <c r="AG373">
        <f>_xlfn.XLOOKUP(Table1820[[#This Row],[Exotic Car]],Table7[Exotic Car],Table7[Exotic Car Factor],,0)</f>
        <v>1</v>
      </c>
      <c r="AH373">
        <f>_xlfn.XLOOKUP(Table1820[[#This Row],[Difficult Parts]],Table8[Difficult Parts],Table8[Difficult Parts Factor],,0)</f>
        <v>1</v>
      </c>
      <c r="AI373">
        <f>_xlfn.XLOOKUP(Table1820[[#This Row],[High Theft Rate]],Table9[High Theft Rate],Table9[High Theft Rate Factor],,0)</f>
        <v>1</v>
      </c>
      <c r="AJ373">
        <f>_xlfn.XLOOKUP(Table1820[[#This Row],[Advanced Safety Features]],Table10[Advanced Safety Features],Table10[Advanced Safety Features Factor],,0)</f>
        <v>1</v>
      </c>
      <c r="AK373">
        <f>_xlfn.XLOOKUP(Table1820[[#This Row],[Deductible]],Table12[Deductible],Table12[Deductible Factor],,0)</f>
        <v>0.72</v>
      </c>
      <c r="AL373">
        <f>_xlfn.XLOOKUP(Table1820[[#This Row],[Coverage Limit]],Table13[Coverage Limit],Table13[Coverage Limit Factor],,0)</f>
        <v>1</v>
      </c>
      <c r="AM373">
        <f>IF(Table1820[[#This Row],[Good Student Discount]]="Yes",'Rate Book'!$D$126,1)</f>
        <v>1</v>
      </c>
      <c r="AN373">
        <f>IF(Table1820[[#This Row],[Good Driver Discount]]="Yes",'Rate Book'!$D$127,1)</f>
        <v>1</v>
      </c>
      <c r="AO373">
        <f>IF(Table1820[[#This Row],[Multi Policy Discount]]="Yes",'Rate Book'!$D$128,1)</f>
        <v>1</v>
      </c>
      <c r="AP373">
        <f>IF(Table1820[[#This Row],[Loyal Customer Discount]]="Yes",'Rate Book'!$D$129,1)</f>
        <v>1</v>
      </c>
      <c r="AQ373">
        <f>IF(Table1820[[#This Row],[Organization Discount]]="Yes",'Rate Book'!$D$130,1)</f>
        <v>1</v>
      </c>
      <c r="AR373" cm="1">
        <f t="array" ref="AR373">IF(Table1820[[#This Row],[Effective Date]]&gt;=RateChangeTable[Effective Date],RateChangeTable[Rate Change Factor],1)</f>
        <v>1</v>
      </c>
      <c r="AS373" s="10">
        <f>PRODUCT(Table1820[[#This Row],[Base Rate]:[Rate Change Factor]])</f>
        <v>209.9112976084925</v>
      </c>
      <c r="AT373" s="9">
        <f>Table1820[[#This Row],[System-Generated Premium]]-Table1820[[#This Row],[Expected Premium]]</f>
        <v>0</v>
      </c>
      <c r="AU373" t="str">
        <f>IF(Table1820[[#This Row],[Difference]]=0,"PASS","FAIL")</f>
        <v>PASS</v>
      </c>
      <c r="AV373" s="9">
        <f>ABS(Table1820[[#This Row],[Difference]])</f>
        <v>0</v>
      </c>
      <c r="AW373" s="9" t="s">
        <v>1136</v>
      </c>
    </row>
    <row r="374" spans="1:49" x14ac:dyDescent="0.3">
      <c r="A374" t="s">
        <v>465</v>
      </c>
      <c r="B374" s="7">
        <v>45916</v>
      </c>
      <c r="C374" t="s">
        <v>70</v>
      </c>
      <c r="D374" t="s">
        <v>1100</v>
      </c>
      <c r="E374" s="3">
        <v>5</v>
      </c>
      <c r="F374" s="3">
        <v>2</v>
      </c>
      <c r="G374" t="s">
        <v>13</v>
      </c>
      <c r="H374" t="s">
        <v>1108</v>
      </c>
      <c r="I374" t="s">
        <v>44</v>
      </c>
      <c r="J374" t="s">
        <v>49</v>
      </c>
      <c r="K374" t="s">
        <v>10</v>
      </c>
      <c r="L374" t="s">
        <v>10</v>
      </c>
      <c r="M374" t="s">
        <v>10</v>
      </c>
      <c r="N374" t="s">
        <v>10</v>
      </c>
      <c r="O374" t="str">
        <f>INDEX(CoverageTable[Deductible Applies],MATCH(Table1820[[#This Row],[Coverage]],CoverageTable[Coverage],0))</f>
        <v>No</v>
      </c>
      <c r="P374" t="str">
        <f>INDEX(CoverageTable[Coverage Limit Applies],MATCH(Table1820[[#This Row],[Coverage]],CoverageTable[Coverage],0))</f>
        <v>Yes</v>
      </c>
      <c r="Q374" t="s">
        <v>10</v>
      </c>
      <c r="R374" t="s">
        <v>78</v>
      </c>
      <c r="S374" t="s">
        <v>10</v>
      </c>
      <c r="T374" t="s">
        <v>57</v>
      </c>
      <c r="U374" t="s">
        <v>10</v>
      </c>
      <c r="V374" t="s">
        <v>10</v>
      </c>
      <c r="W374" t="s">
        <v>10</v>
      </c>
      <c r="X374" s="11">
        <v>438.28091537115432</v>
      </c>
      <c r="Y374">
        <f>_xlfn.XLOOKUP(Table1820[[#This Row],[Coverage]],CoverageTable[Coverage],CoverageTable[Base Rate],,0)</f>
        <v>622</v>
      </c>
      <c r="Z374">
        <f>INDEX(Table16[Ageband Factor],MATCH(Table1820[[#This Row],[Ageband]],Table16[Ageband],0))</f>
        <v>1.07</v>
      </c>
      <c r="AA374">
        <f>VLOOKUP(Table1820[[#This Row],[Years Driving]],Table1[],2)</f>
        <v>1.07</v>
      </c>
      <c r="AB374">
        <f>_xlfn.XLOOKUP(Table1820[[#This Row],[At Fault Accidents]],Table2[At Fault Accidents],Table2[At Fault Accident Factor],,0)</f>
        <v>1.55</v>
      </c>
      <c r="AC374">
        <f>_xlfn.XLOOKUP(Table1820[[#This Row],[Usage-Based Insurance]],Table3[Usage-Based Insurance],Table3[Usage-Based Insurance Discount],,0)</f>
        <v>0.65</v>
      </c>
      <c r="AD374">
        <f>_xlfn.XLOOKUP(Table1820[[#This Row],[Yearly Miles]],Table4[Yearly Miles],Table4[Yearly Miles Factor],,0)</f>
        <v>1</v>
      </c>
      <c r="AE374">
        <f>_xlfn.XLOOKUP(Table1820[[#This Row],[City/Zip Code]],Table5[City/Zip Code],Table5[City/Zip Code Factor],,0)</f>
        <v>1.1599999999999999</v>
      </c>
      <c r="AF374">
        <f>_xlfn.XLOOKUP(Table1820[[#This Row],[Vehicle Price]],Table6[Vehicle Price],Table6[Vehicle Price Factor])</f>
        <v>0.97</v>
      </c>
      <c r="AG374">
        <f>_xlfn.XLOOKUP(Table1820[[#This Row],[Exotic Car]],Table7[Exotic Car],Table7[Exotic Car Factor],,0)</f>
        <v>1</v>
      </c>
      <c r="AH374">
        <f>_xlfn.XLOOKUP(Table1820[[#This Row],[Difficult Parts]],Table8[Difficult Parts],Table8[Difficult Parts Factor],,0)</f>
        <v>1</v>
      </c>
      <c r="AI374">
        <f>_xlfn.XLOOKUP(Table1820[[#This Row],[High Theft Rate]],Table9[High Theft Rate],Table9[High Theft Rate Factor],,0)</f>
        <v>1</v>
      </c>
      <c r="AJ374">
        <f>_xlfn.XLOOKUP(Table1820[[#This Row],[Advanced Safety Features]],Table10[Advanced Safety Features],Table10[Advanced Safety Features Factor],,0)</f>
        <v>1</v>
      </c>
      <c r="AK374">
        <f>_xlfn.XLOOKUP(Table1820[[#This Row],[Deductible]],Table12[Deductible],Table12[Deductible Factor],,0)</f>
        <v>1</v>
      </c>
      <c r="AL374">
        <f>_xlfn.XLOOKUP(Table1820[[#This Row],[Coverage Limit]],Table13[Coverage Limit],Table13[Coverage Limit Factor],,0)</f>
        <v>0.61</v>
      </c>
      <c r="AM374">
        <f>IF(Table1820[[#This Row],[Good Student Discount]]="Yes",'Rate Book'!$D$126,1)</f>
        <v>1</v>
      </c>
      <c r="AN374">
        <f>IF(Table1820[[#This Row],[Good Driver Discount]]="Yes",'Rate Book'!$D$127,1)</f>
        <v>0.89</v>
      </c>
      <c r="AO374">
        <f>IF(Table1820[[#This Row],[Multi Policy Discount]]="Yes",'Rate Book'!$D$128,1)</f>
        <v>1</v>
      </c>
      <c r="AP374">
        <f>IF(Table1820[[#This Row],[Loyal Customer Discount]]="Yes",'Rate Book'!$D$129,1)</f>
        <v>1</v>
      </c>
      <c r="AQ374">
        <f>IF(Table1820[[#This Row],[Organization Discount]]="Yes",'Rate Book'!$D$130,1)</f>
        <v>1</v>
      </c>
      <c r="AR374" cm="1">
        <f t="array" ref="AR374">IF(Table1820[[#This Row],[Effective Date]]&gt;=RateChangeTable[Effective Date],RateChangeTable[Rate Change Factor],1)</f>
        <v>1</v>
      </c>
      <c r="AS374" s="10">
        <f>PRODUCT(Table1820[[#This Row],[Base Rate]:[Rate Change Factor]])</f>
        <v>438.28091537115432</v>
      </c>
      <c r="AT374" s="9">
        <f>Table1820[[#This Row],[System-Generated Premium]]-Table1820[[#This Row],[Expected Premium]]</f>
        <v>0</v>
      </c>
      <c r="AU374" t="str">
        <f>IF(Table1820[[#This Row],[Difference]]=0,"PASS","FAIL")</f>
        <v>PASS</v>
      </c>
      <c r="AV374" s="9">
        <f>ABS(Table1820[[#This Row],[Difference]])</f>
        <v>0</v>
      </c>
      <c r="AW374" s="9" t="s">
        <v>1136</v>
      </c>
    </row>
    <row r="375" spans="1:49" x14ac:dyDescent="0.3">
      <c r="A375" t="s">
        <v>466</v>
      </c>
      <c r="B375" s="7">
        <v>46132</v>
      </c>
      <c r="C375" t="s">
        <v>70</v>
      </c>
      <c r="D375" t="s">
        <v>1097</v>
      </c>
      <c r="E375" s="3">
        <v>4</v>
      </c>
      <c r="F375" s="3">
        <v>2</v>
      </c>
      <c r="G375" t="s">
        <v>12</v>
      </c>
      <c r="H375" t="s">
        <v>1106</v>
      </c>
      <c r="I375" t="s">
        <v>32</v>
      </c>
      <c r="J375" t="s">
        <v>51</v>
      </c>
      <c r="K375" t="s">
        <v>57</v>
      </c>
      <c r="L375" t="s">
        <v>10</v>
      </c>
      <c r="M375" t="s">
        <v>10</v>
      </c>
      <c r="N375" t="s">
        <v>10</v>
      </c>
      <c r="O375" t="str">
        <f>INDEX(CoverageTable[Deductible Applies],MATCH(Table1820[[#This Row],[Coverage]],CoverageTable[Coverage],0))</f>
        <v>No</v>
      </c>
      <c r="P375" t="str">
        <f>INDEX(CoverageTable[Coverage Limit Applies],MATCH(Table1820[[#This Row],[Coverage]],CoverageTable[Coverage],0))</f>
        <v>Yes</v>
      </c>
      <c r="Q375" t="s">
        <v>10</v>
      </c>
      <c r="R375" t="s">
        <v>80</v>
      </c>
      <c r="S375" t="s">
        <v>57</v>
      </c>
      <c r="T375" t="s">
        <v>10</v>
      </c>
      <c r="U375" t="s">
        <v>57</v>
      </c>
      <c r="V375" t="s">
        <v>10</v>
      </c>
      <c r="W375" t="s">
        <v>10</v>
      </c>
      <c r="X375" s="11">
        <v>1342.1207256430646</v>
      </c>
      <c r="Y375">
        <f>_xlfn.XLOOKUP(Table1820[[#This Row],[Coverage]],CoverageTable[Coverage],CoverageTable[Base Rate],,0)</f>
        <v>622</v>
      </c>
      <c r="Z375">
        <f>INDEX(Table16[Ageband Factor],MATCH(Table1820[[#This Row],[Ageband]],Table16[Ageband],0))</f>
        <v>1.32</v>
      </c>
      <c r="AA375">
        <f>VLOOKUP(Table1820[[#This Row],[Years Driving]],Table1[],2)</f>
        <v>1.1499999999999999</v>
      </c>
      <c r="AB375">
        <f>_xlfn.XLOOKUP(Table1820[[#This Row],[At Fault Accidents]],Table2[At Fault Accidents],Table2[At Fault Accident Factor],,0)</f>
        <v>1.55</v>
      </c>
      <c r="AC375">
        <f>_xlfn.XLOOKUP(Table1820[[#This Row],[Usage-Based Insurance]],Table3[Usage-Based Insurance],Table3[Usage-Based Insurance Discount],,0)</f>
        <v>0.8</v>
      </c>
      <c r="AD375">
        <f>_xlfn.XLOOKUP(Table1820[[#This Row],[Yearly Miles]],Table4[Yearly Miles],Table4[Yearly Miles Factor],,0)</f>
        <v>0.82</v>
      </c>
      <c r="AE375">
        <f>_xlfn.XLOOKUP(Table1820[[#This Row],[City/Zip Code]],Table5[City/Zip Code],Table5[City/Zip Code Factor],,0)</f>
        <v>1.1200000000000001</v>
      </c>
      <c r="AF375">
        <f>_xlfn.XLOOKUP(Table1820[[#This Row],[Vehicle Price]],Table6[Vehicle Price],Table6[Vehicle Price Factor])</f>
        <v>1.28</v>
      </c>
      <c r="AG375">
        <f>_xlfn.XLOOKUP(Table1820[[#This Row],[Exotic Car]],Table7[Exotic Car],Table7[Exotic Car Factor],,0)</f>
        <v>1.28</v>
      </c>
      <c r="AH375">
        <f>_xlfn.XLOOKUP(Table1820[[#This Row],[Difficult Parts]],Table8[Difficult Parts],Table8[Difficult Parts Factor],,0)</f>
        <v>1</v>
      </c>
      <c r="AI375">
        <f>_xlfn.XLOOKUP(Table1820[[#This Row],[High Theft Rate]],Table9[High Theft Rate],Table9[High Theft Rate Factor],,0)</f>
        <v>1</v>
      </c>
      <c r="AJ375">
        <f>_xlfn.XLOOKUP(Table1820[[#This Row],[Advanced Safety Features]],Table10[Advanced Safety Features],Table10[Advanced Safety Features Factor],,0)</f>
        <v>1</v>
      </c>
      <c r="AK375">
        <f>_xlfn.XLOOKUP(Table1820[[#This Row],[Deductible]],Table12[Deductible],Table12[Deductible Factor],,0)</f>
        <v>1</v>
      </c>
      <c r="AL375">
        <f>_xlfn.XLOOKUP(Table1820[[#This Row],[Coverage Limit]],Table13[Coverage Limit],Table13[Coverage Limit Factor],,0)</f>
        <v>0.84</v>
      </c>
      <c r="AM375">
        <f>IF(Table1820[[#This Row],[Good Student Discount]]="Yes",'Rate Book'!$D$126,1)</f>
        <v>0.92</v>
      </c>
      <c r="AN375">
        <f>IF(Table1820[[#This Row],[Good Driver Discount]]="Yes",'Rate Book'!$D$127,1)</f>
        <v>1</v>
      </c>
      <c r="AO375">
        <f>IF(Table1820[[#This Row],[Multi Policy Discount]]="Yes",'Rate Book'!$D$128,1)</f>
        <v>0.93</v>
      </c>
      <c r="AP375">
        <f>IF(Table1820[[#This Row],[Loyal Customer Discount]]="Yes",'Rate Book'!$D$129,1)</f>
        <v>1</v>
      </c>
      <c r="AQ375">
        <f>IF(Table1820[[#This Row],[Organization Discount]]="Yes",'Rate Book'!$D$130,1)</f>
        <v>1</v>
      </c>
      <c r="AR375" cm="1">
        <f t="array" ref="AR375">IF(Table1820[[#This Row],[Effective Date]]&gt;=RateChangeTable[Effective Date],RateChangeTable[Rate Change Factor],1)</f>
        <v>1.06</v>
      </c>
      <c r="AS375" s="10">
        <f>PRODUCT(Table1820[[#This Row],[Base Rate]:[Rate Change Factor]])</f>
        <v>1342.1207256430646</v>
      </c>
      <c r="AT375" s="9">
        <f>Table1820[[#This Row],[System-Generated Premium]]-Table1820[[#This Row],[Expected Premium]]</f>
        <v>0</v>
      </c>
      <c r="AU375" t="str">
        <f>IF(Table1820[[#This Row],[Difference]]=0,"PASS","FAIL")</f>
        <v>PASS</v>
      </c>
      <c r="AV375" s="9">
        <f>ABS(Table1820[[#This Row],[Difference]])</f>
        <v>0</v>
      </c>
      <c r="AW375" s="9" t="s">
        <v>1136</v>
      </c>
    </row>
    <row r="376" spans="1:49" x14ac:dyDescent="0.3">
      <c r="A376" t="s">
        <v>467</v>
      </c>
      <c r="B376" s="7">
        <v>45850</v>
      </c>
      <c r="C376" t="s">
        <v>71</v>
      </c>
      <c r="D376" t="s">
        <v>1102</v>
      </c>
      <c r="E376" s="3">
        <v>5</v>
      </c>
      <c r="F376" s="3">
        <v>3</v>
      </c>
      <c r="G376" t="s">
        <v>12</v>
      </c>
      <c r="H376" t="s">
        <v>1106</v>
      </c>
      <c r="I376" t="s">
        <v>21</v>
      </c>
      <c r="J376" t="s">
        <v>52</v>
      </c>
      <c r="K376" t="s">
        <v>10</v>
      </c>
      <c r="L376" t="s">
        <v>10</v>
      </c>
      <c r="M376" t="s">
        <v>10</v>
      </c>
      <c r="N376" t="s">
        <v>10</v>
      </c>
      <c r="O376" t="str">
        <f>INDEX(CoverageTable[Deductible Applies],MATCH(Table1820[[#This Row],[Coverage]],CoverageTable[Coverage],0))</f>
        <v>Yes</v>
      </c>
      <c r="P376" t="str">
        <f>INDEX(CoverageTable[Coverage Limit Applies],MATCH(Table1820[[#This Row],[Coverage]],CoverageTable[Coverage],0))</f>
        <v>No</v>
      </c>
      <c r="Q376" t="s">
        <v>80</v>
      </c>
      <c r="R376" t="s">
        <v>10</v>
      </c>
      <c r="S376" t="s">
        <v>10</v>
      </c>
      <c r="T376" t="s">
        <v>10</v>
      </c>
      <c r="U376" t="s">
        <v>10</v>
      </c>
      <c r="V376" t="s">
        <v>10</v>
      </c>
      <c r="W376" t="s">
        <v>10</v>
      </c>
      <c r="X376" s="11">
        <v>1046.7997782601285</v>
      </c>
      <c r="Y376">
        <f>_xlfn.XLOOKUP(Table1820[[#This Row],[Coverage]],CoverageTable[Coverage],CoverageTable[Base Rate],,0)</f>
        <v>453</v>
      </c>
      <c r="Z376">
        <f>INDEX(Table16[Ageband Factor],MATCH(Table1820[[#This Row],[Ageband]],Table16[Ageband],0))</f>
        <v>1.27</v>
      </c>
      <c r="AA376">
        <f>VLOOKUP(Table1820[[#This Row],[Years Driving]],Table1[],2)</f>
        <v>1.07</v>
      </c>
      <c r="AB376">
        <f>_xlfn.XLOOKUP(Table1820[[#This Row],[At Fault Accidents]],Table2[At Fault Accidents],Table2[At Fault Accident Factor],,0)</f>
        <v>1.82</v>
      </c>
      <c r="AC376">
        <f>_xlfn.XLOOKUP(Table1820[[#This Row],[Usage-Based Insurance]],Table3[Usage-Based Insurance],Table3[Usage-Based Insurance Discount],,0)</f>
        <v>0.8</v>
      </c>
      <c r="AD376">
        <f>_xlfn.XLOOKUP(Table1820[[#This Row],[Yearly Miles]],Table4[Yearly Miles],Table4[Yearly Miles Factor],,0)</f>
        <v>0.82</v>
      </c>
      <c r="AE376">
        <f>_xlfn.XLOOKUP(Table1820[[#This Row],[City/Zip Code]],Table5[City/Zip Code],Table5[City/Zip Code Factor],,0)</f>
        <v>1.26</v>
      </c>
      <c r="AF376">
        <f>_xlfn.XLOOKUP(Table1820[[#This Row],[Vehicle Price]],Table6[Vehicle Price],Table6[Vehicle Price Factor])</f>
        <v>1.57</v>
      </c>
      <c r="AG376">
        <f>_xlfn.XLOOKUP(Table1820[[#This Row],[Exotic Car]],Table7[Exotic Car],Table7[Exotic Car Factor],,0)</f>
        <v>1</v>
      </c>
      <c r="AH376">
        <f>_xlfn.XLOOKUP(Table1820[[#This Row],[Difficult Parts]],Table8[Difficult Parts],Table8[Difficult Parts Factor],,0)</f>
        <v>1</v>
      </c>
      <c r="AI376">
        <f>_xlfn.XLOOKUP(Table1820[[#This Row],[High Theft Rate]],Table9[High Theft Rate],Table9[High Theft Rate Factor],,0)</f>
        <v>1</v>
      </c>
      <c r="AJ376">
        <f>_xlfn.XLOOKUP(Table1820[[#This Row],[Advanced Safety Features]],Table10[Advanced Safety Features],Table10[Advanced Safety Features Factor],,0)</f>
        <v>1</v>
      </c>
      <c r="AK376">
        <f>_xlfn.XLOOKUP(Table1820[[#This Row],[Deductible]],Table12[Deductible],Table12[Deductible Factor],,0)</f>
        <v>0.72</v>
      </c>
      <c r="AL376">
        <f>_xlfn.XLOOKUP(Table1820[[#This Row],[Coverage Limit]],Table13[Coverage Limit],Table13[Coverage Limit Factor],,0)</f>
        <v>1</v>
      </c>
      <c r="AM376">
        <f>IF(Table1820[[#This Row],[Good Student Discount]]="Yes",'Rate Book'!$D$126,1)</f>
        <v>1</v>
      </c>
      <c r="AN376">
        <f>IF(Table1820[[#This Row],[Good Driver Discount]]="Yes",'Rate Book'!$D$127,1)</f>
        <v>1</v>
      </c>
      <c r="AO376">
        <f>IF(Table1820[[#This Row],[Multi Policy Discount]]="Yes",'Rate Book'!$D$128,1)</f>
        <v>1</v>
      </c>
      <c r="AP376">
        <f>IF(Table1820[[#This Row],[Loyal Customer Discount]]="Yes",'Rate Book'!$D$129,1)</f>
        <v>1</v>
      </c>
      <c r="AQ376">
        <f>IF(Table1820[[#This Row],[Organization Discount]]="Yes",'Rate Book'!$D$130,1)</f>
        <v>1</v>
      </c>
      <c r="AR376" cm="1">
        <f t="array" ref="AR376">IF(Table1820[[#This Row],[Effective Date]]&gt;=RateChangeTable[Effective Date],RateChangeTable[Rate Change Factor],1)</f>
        <v>1</v>
      </c>
      <c r="AS376" s="10">
        <f>PRODUCT(Table1820[[#This Row],[Base Rate]:[Rate Change Factor]])</f>
        <v>1046.7997782601285</v>
      </c>
      <c r="AT376" s="9">
        <f>Table1820[[#This Row],[System-Generated Premium]]-Table1820[[#This Row],[Expected Premium]]</f>
        <v>0</v>
      </c>
      <c r="AU376" t="str">
        <f>IF(Table1820[[#This Row],[Difference]]=0,"PASS","FAIL")</f>
        <v>PASS</v>
      </c>
      <c r="AV376" s="9">
        <f>ABS(Table1820[[#This Row],[Difference]])</f>
        <v>0</v>
      </c>
      <c r="AW376" s="9" t="s">
        <v>1136</v>
      </c>
    </row>
    <row r="377" spans="1:49" x14ac:dyDescent="0.3">
      <c r="A377" t="s">
        <v>468</v>
      </c>
      <c r="B377" s="7">
        <v>46076</v>
      </c>
      <c r="C377" t="s">
        <v>70</v>
      </c>
      <c r="D377" t="s">
        <v>1098</v>
      </c>
      <c r="E377" s="3">
        <v>6</v>
      </c>
      <c r="F377" s="3">
        <v>2</v>
      </c>
      <c r="G377" t="s">
        <v>12</v>
      </c>
      <c r="H377" t="s">
        <v>1107</v>
      </c>
      <c r="I377" t="s">
        <v>35</v>
      </c>
      <c r="J377" t="s">
        <v>54</v>
      </c>
      <c r="K377" t="s">
        <v>10</v>
      </c>
      <c r="L377" t="s">
        <v>10</v>
      </c>
      <c r="M377" t="s">
        <v>10</v>
      </c>
      <c r="N377" t="s">
        <v>10</v>
      </c>
      <c r="O377" t="str">
        <f>INDEX(CoverageTable[Deductible Applies],MATCH(Table1820[[#This Row],[Coverage]],CoverageTable[Coverage],0))</f>
        <v>No</v>
      </c>
      <c r="P377" t="str">
        <f>INDEX(CoverageTable[Coverage Limit Applies],MATCH(Table1820[[#This Row],[Coverage]],CoverageTable[Coverage],0))</f>
        <v>Yes</v>
      </c>
      <c r="Q377" t="s">
        <v>10</v>
      </c>
      <c r="R377" t="s">
        <v>78</v>
      </c>
      <c r="S377" t="s">
        <v>10</v>
      </c>
      <c r="T377" t="s">
        <v>10</v>
      </c>
      <c r="U377" t="s">
        <v>10</v>
      </c>
      <c r="V377" t="s">
        <v>10</v>
      </c>
      <c r="W377" t="s">
        <v>10</v>
      </c>
      <c r="X377" s="11">
        <v>1833.7315174264397</v>
      </c>
      <c r="Y377">
        <f>_xlfn.XLOOKUP(Table1820[[#This Row],[Coverage]],CoverageTable[Coverage],CoverageTable[Base Rate],,0)</f>
        <v>622</v>
      </c>
      <c r="Z377">
        <f>INDEX(Table16[Ageband Factor],MATCH(Table1820[[#This Row],[Ageband]],Table16[Ageband],0))</f>
        <v>1.23</v>
      </c>
      <c r="AA377">
        <f>VLOOKUP(Table1820[[#This Row],[Years Driving]],Table1[],2)</f>
        <v>1</v>
      </c>
      <c r="AB377">
        <f>_xlfn.XLOOKUP(Table1820[[#This Row],[At Fault Accidents]],Table2[At Fault Accidents],Table2[At Fault Accident Factor],,0)</f>
        <v>1.55</v>
      </c>
      <c r="AC377">
        <f>_xlfn.XLOOKUP(Table1820[[#This Row],[Usage-Based Insurance]],Table3[Usage-Based Insurance],Table3[Usage-Based Insurance Discount],,0)</f>
        <v>0.8</v>
      </c>
      <c r="AD377">
        <f>_xlfn.XLOOKUP(Table1820[[#This Row],[Yearly Miles]],Table4[Yearly Miles],Table4[Yearly Miles Factor],,0)</f>
        <v>0.93</v>
      </c>
      <c r="AE377">
        <f>_xlfn.XLOOKUP(Table1820[[#This Row],[City/Zip Code]],Table5[City/Zip Code],Table5[City/Zip Code Factor],,0)</f>
        <v>1.1200000000000001</v>
      </c>
      <c r="AF377">
        <f>_xlfn.XLOOKUP(Table1820[[#This Row],[Vehicle Price]],Table6[Vehicle Price],Table6[Vehicle Price Factor])</f>
        <v>2.87</v>
      </c>
      <c r="AG377">
        <f>_xlfn.XLOOKUP(Table1820[[#This Row],[Exotic Car]],Table7[Exotic Car],Table7[Exotic Car Factor],,0)</f>
        <v>1</v>
      </c>
      <c r="AH377">
        <f>_xlfn.XLOOKUP(Table1820[[#This Row],[Difficult Parts]],Table8[Difficult Parts],Table8[Difficult Parts Factor],,0)</f>
        <v>1</v>
      </c>
      <c r="AI377">
        <f>_xlfn.XLOOKUP(Table1820[[#This Row],[High Theft Rate]],Table9[High Theft Rate],Table9[High Theft Rate Factor],,0)</f>
        <v>1</v>
      </c>
      <c r="AJ377">
        <f>_xlfn.XLOOKUP(Table1820[[#This Row],[Advanced Safety Features]],Table10[Advanced Safety Features],Table10[Advanced Safety Features Factor],,0)</f>
        <v>1</v>
      </c>
      <c r="AK377">
        <f>_xlfn.XLOOKUP(Table1820[[#This Row],[Deductible]],Table12[Deductible],Table12[Deductible Factor],,0)</f>
        <v>1</v>
      </c>
      <c r="AL377">
        <f>_xlfn.XLOOKUP(Table1820[[#This Row],[Coverage Limit]],Table13[Coverage Limit],Table13[Coverage Limit Factor],,0)</f>
        <v>0.61</v>
      </c>
      <c r="AM377">
        <f>IF(Table1820[[#This Row],[Good Student Discount]]="Yes",'Rate Book'!$D$126,1)</f>
        <v>1</v>
      </c>
      <c r="AN377">
        <f>IF(Table1820[[#This Row],[Good Driver Discount]]="Yes",'Rate Book'!$D$127,1)</f>
        <v>1</v>
      </c>
      <c r="AO377">
        <f>IF(Table1820[[#This Row],[Multi Policy Discount]]="Yes",'Rate Book'!$D$128,1)</f>
        <v>1</v>
      </c>
      <c r="AP377">
        <f>IF(Table1820[[#This Row],[Loyal Customer Discount]]="Yes",'Rate Book'!$D$129,1)</f>
        <v>1</v>
      </c>
      <c r="AQ377">
        <f>IF(Table1820[[#This Row],[Organization Discount]]="Yes",'Rate Book'!$D$130,1)</f>
        <v>1</v>
      </c>
      <c r="AR377" cm="1">
        <f t="array" ref="AR377">IF(Table1820[[#This Row],[Effective Date]]&gt;=RateChangeTable[Effective Date],RateChangeTable[Rate Change Factor],1)</f>
        <v>1.06</v>
      </c>
      <c r="AS377" s="10">
        <f>PRODUCT(Table1820[[#This Row],[Base Rate]:[Rate Change Factor]])</f>
        <v>1833.7315174264397</v>
      </c>
      <c r="AT377" s="9">
        <f>Table1820[[#This Row],[System-Generated Premium]]-Table1820[[#This Row],[Expected Premium]]</f>
        <v>0</v>
      </c>
      <c r="AU377" t="str">
        <f>IF(Table1820[[#This Row],[Difference]]=0,"PASS","FAIL")</f>
        <v>PASS</v>
      </c>
      <c r="AV377" s="9">
        <f>ABS(Table1820[[#This Row],[Difference]])</f>
        <v>0</v>
      </c>
      <c r="AW377" s="9" t="s">
        <v>1136</v>
      </c>
    </row>
    <row r="378" spans="1:49" x14ac:dyDescent="0.3">
      <c r="A378" t="s">
        <v>469</v>
      </c>
      <c r="B378" s="7">
        <v>46049</v>
      </c>
      <c r="C378" t="s">
        <v>71</v>
      </c>
      <c r="D378" t="s">
        <v>1099</v>
      </c>
      <c r="E378" s="3">
        <v>3</v>
      </c>
      <c r="F378" s="3">
        <v>4</v>
      </c>
      <c r="G378" t="s">
        <v>12</v>
      </c>
      <c r="H378" t="s">
        <v>1110</v>
      </c>
      <c r="I378" t="s">
        <v>33</v>
      </c>
      <c r="J378" t="s">
        <v>50</v>
      </c>
      <c r="K378" t="s">
        <v>10</v>
      </c>
      <c r="L378" t="s">
        <v>10</v>
      </c>
      <c r="M378" t="s">
        <v>10</v>
      </c>
      <c r="N378" t="s">
        <v>57</v>
      </c>
      <c r="O378" t="str">
        <f>INDEX(CoverageTable[Deductible Applies],MATCH(Table1820[[#This Row],[Coverage]],CoverageTable[Coverage],0))</f>
        <v>Yes</v>
      </c>
      <c r="P378" t="str">
        <f>INDEX(CoverageTable[Coverage Limit Applies],MATCH(Table1820[[#This Row],[Coverage]],CoverageTable[Coverage],0))</f>
        <v>No</v>
      </c>
      <c r="Q378" t="s">
        <v>79</v>
      </c>
      <c r="R378" t="s">
        <v>10</v>
      </c>
      <c r="S378" t="s">
        <v>10</v>
      </c>
      <c r="T378" t="s">
        <v>10</v>
      </c>
      <c r="U378" t="s">
        <v>10</v>
      </c>
      <c r="V378" t="s">
        <v>10</v>
      </c>
      <c r="W378" t="s">
        <v>10</v>
      </c>
      <c r="X378" s="11">
        <v>1059.8561567436011</v>
      </c>
      <c r="Y378">
        <f>_xlfn.XLOOKUP(Table1820[[#This Row],[Coverage]],CoverageTable[Coverage],CoverageTable[Base Rate],,0)</f>
        <v>453</v>
      </c>
      <c r="Z378">
        <f>INDEX(Table16[Ageband Factor],MATCH(Table1820[[#This Row],[Ageband]],Table16[Ageband],0))</f>
        <v>1</v>
      </c>
      <c r="AA378">
        <f>VLOOKUP(Table1820[[#This Row],[Years Driving]],Table1[],2)</f>
        <v>1.22</v>
      </c>
      <c r="AB378">
        <f>_xlfn.XLOOKUP(Table1820[[#This Row],[At Fault Accidents]],Table2[At Fault Accidents],Table2[At Fault Accident Factor],,0)</f>
        <v>2.12</v>
      </c>
      <c r="AC378">
        <f>_xlfn.XLOOKUP(Table1820[[#This Row],[Usage-Based Insurance]],Table3[Usage-Based Insurance],Table3[Usage-Based Insurance Discount],,0)</f>
        <v>0.8</v>
      </c>
      <c r="AD378">
        <f>_xlfn.XLOOKUP(Table1820[[#This Row],[Yearly Miles]],Table4[Yearly Miles],Table4[Yearly Miles Factor],,0)</f>
        <v>1.31</v>
      </c>
      <c r="AE378">
        <f>_xlfn.XLOOKUP(Table1820[[#This Row],[City/Zip Code]],Table5[City/Zip Code],Table5[City/Zip Code Factor],,0)</f>
        <v>1.02</v>
      </c>
      <c r="AF378">
        <f>_xlfn.XLOOKUP(Table1820[[#This Row],[Vehicle Price]],Table6[Vehicle Price],Table6[Vehicle Price Factor])</f>
        <v>1.08</v>
      </c>
      <c r="AG378">
        <f>_xlfn.XLOOKUP(Table1820[[#This Row],[Exotic Car]],Table7[Exotic Car],Table7[Exotic Car Factor],,0)</f>
        <v>1</v>
      </c>
      <c r="AH378">
        <f>_xlfn.XLOOKUP(Table1820[[#This Row],[Difficult Parts]],Table8[Difficult Parts],Table8[Difficult Parts Factor],,0)</f>
        <v>1</v>
      </c>
      <c r="AI378">
        <f>_xlfn.XLOOKUP(Table1820[[#This Row],[High Theft Rate]],Table9[High Theft Rate],Table9[High Theft Rate Factor],,0)</f>
        <v>1</v>
      </c>
      <c r="AJ378">
        <f>_xlfn.XLOOKUP(Table1820[[#This Row],[Advanced Safety Features]],Table10[Advanced Safety Features],Table10[Advanced Safety Features Factor],,0)</f>
        <v>0.88</v>
      </c>
      <c r="AK378">
        <f>_xlfn.XLOOKUP(Table1820[[#This Row],[Deductible]],Table12[Deductible],Table12[Deductible Factor],,0)</f>
        <v>0.84</v>
      </c>
      <c r="AL378">
        <f>_xlfn.XLOOKUP(Table1820[[#This Row],[Coverage Limit]],Table13[Coverage Limit],Table13[Coverage Limit Factor],,0)</f>
        <v>1</v>
      </c>
      <c r="AM378">
        <f>IF(Table1820[[#This Row],[Good Student Discount]]="Yes",'Rate Book'!$D$126,1)</f>
        <v>1</v>
      </c>
      <c r="AN378">
        <f>IF(Table1820[[#This Row],[Good Driver Discount]]="Yes",'Rate Book'!$D$127,1)</f>
        <v>1</v>
      </c>
      <c r="AO378">
        <f>IF(Table1820[[#This Row],[Multi Policy Discount]]="Yes",'Rate Book'!$D$128,1)</f>
        <v>1</v>
      </c>
      <c r="AP378">
        <f>IF(Table1820[[#This Row],[Loyal Customer Discount]]="Yes",'Rate Book'!$D$129,1)</f>
        <v>1</v>
      </c>
      <c r="AQ378">
        <f>IF(Table1820[[#This Row],[Organization Discount]]="Yes",'Rate Book'!$D$130,1)</f>
        <v>1</v>
      </c>
      <c r="AR378" cm="1">
        <f t="array" ref="AR378">IF(Table1820[[#This Row],[Effective Date]]&gt;=RateChangeTable[Effective Date],RateChangeTable[Rate Change Factor],1)</f>
        <v>1.06</v>
      </c>
      <c r="AS378" s="10">
        <f>PRODUCT(Table1820[[#This Row],[Base Rate]:[Rate Change Factor]])</f>
        <v>1059.8561567436011</v>
      </c>
      <c r="AT378" s="9">
        <f>Table1820[[#This Row],[System-Generated Premium]]-Table1820[[#This Row],[Expected Premium]]</f>
        <v>0</v>
      </c>
      <c r="AU378" t="str">
        <f>IF(Table1820[[#This Row],[Difference]]=0,"PASS","FAIL")</f>
        <v>PASS</v>
      </c>
      <c r="AV378" s="9">
        <f>ABS(Table1820[[#This Row],[Difference]])</f>
        <v>0</v>
      </c>
      <c r="AW378" s="9" t="s">
        <v>1136</v>
      </c>
    </row>
    <row r="379" spans="1:49" x14ac:dyDescent="0.3">
      <c r="A379" t="s">
        <v>470</v>
      </c>
      <c r="B379" s="7">
        <v>46100</v>
      </c>
      <c r="C379" t="s">
        <v>71</v>
      </c>
      <c r="D379" t="s">
        <v>1099</v>
      </c>
      <c r="E379" s="3">
        <v>7</v>
      </c>
      <c r="F379" s="3" t="s">
        <v>7</v>
      </c>
      <c r="G379" t="s">
        <v>10</v>
      </c>
      <c r="H379" t="s">
        <v>1108</v>
      </c>
      <c r="I379" t="s">
        <v>22</v>
      </c>
      <c r="J379" t="s">
        <v>54</v>
      </c>
      <c r="K379" t="s">
        <v>10</v>
      </c>
      <c r="L379" t="s">
        <v>57</v>
      </c>
      <c r="M379" t="s">
        <v>10</v>
      </c>
      <c r="N379" t="s">
        <v>10</v>
      </c>
      <c r="O379" t="str">
        <f>INDEX(CoverageTable[Deductible Applies],MATCH(Table1820[[#This Row],[Coverage]],CoverageTable[Coverage],0))</f>
        <v>Yes</v>
      </c>
      <c r="P379" t="str">
        <f>INDEX(CoverageTable[Coverage Limit Applies],MATCH(Table1820[[#This Row],[Coverage]],CoverageTable[Coverage],0))</f>
        <v>No</v>
      </c>
      <c r="Q379" t="s">
        <v>79</v>
      </c>
      <c r="R379" t="s">
        <v>10</v>
      </c>
      <c r="S379" t="s">
        <v>10</v>
      </c>
      <c r="T379" t="s">
        <v>10</v>
      </c>
      <c r="U379" t="s">
        <v>10</v>
      </c>
      <c r="V379" t="s">
        <v>10</v>
      </c>
      <c r="W379" t="s">
        <v>10</v>
      </c>
      <c r="X379" s="11">
        <v>3977.0087752431041</v>
      </c>
      <c r="Y379">
        <f>_xlfn.XLOOKUP(Table1820[[#This Row],[Coverage]],CoverageTable[Coverage],CoverageTable[Base Rate],,0)</f>
        <v>453</v>
      </c>
      <c r="Z379">
        <f>INDEX(Table16[Ageband Factor],MATCH(Table1820[[#This Row],[Ageband]],Table16[Ageband],0))</f>
        <v>1</v>
      </c>
      <c r="AA379">
        <f>VLOOKUP(Table1820[[#This Row],[Years Driving]],Table1[],2)</f>
        <v>0.95</v>
      </c>
      <c r="AB379">
        <f>_xlfn.XLOOKUP(Table1820[[#This Row],[At Fault Accidents]],Table2[At Fault Accidents],Table2[At Fault Accident Factor],,0)</f>
        <v>2.4700000000000002</v>
      </c>
      <c r="AC379">
        <f>_xlfn.XLOOKUP(Table1820[[#This Row],[Usage-Based Insurance]],Table3[Usage-Based Insurance],Table3[Usage-Based Insurance Discount],,0)</f>
        <v>1</v>
      </c>
      <c r="AD379">
        <f>_xlfn.XLOOKUP(Table1820[[#This Row],[Yearly Miles]],Table4[Yearly Miles],Table4[Yearly Miles Factor],,0)</f>
        <v>1</v>
      </c>
      <c r="AE379">
        <f>_xlfn.XLOOKUP(Table1820[[#This Row],[City/Zip Code]],Table5[City/Zip Code],Table5[City/Zip Code Factor],,0)</f>
        <v>1.21</v>
      </c>
      <c r="AF379">
        <f>_xlfn.XLOOKUP(Table1820[[#This Row],[Vehicle Price]],Table6[Vehicle Price],Table6[Vehicle Price Factor])</f>
        <v>2.87</v>
      </c>
      <c r="AG379">
        <f>_xlfn.XLOOKUP(Table1820[[#This Row],[Exotic Car]],Table7[Exotic Car],Table7[Exotic Car Factor],,0)</f>
        <v>1</v>
      </c>
      <c r="AH379">
        <f>_xlfn.XLOOKUP(Table1820[[#This Row],[Difficult Parts]],Table8[Difficult Parts],Table8[Difficult Parts Factor],,0)</f>
        <v>1.21</v>
      </c>
      <c r="AI379">
        <f>_xlfn.XLOOKUP(Table1820[[#This Row],[High Theft Rate]],Table9[High Theft Rate],Table9[High Theft Rate Factor],,0)</f>
        <v>1</v>
      </c>
      <c r="AJ379">
        <f>_xlfn.XLOOKUP(Table1820[[#This Row],[Advanced Safety Features]],Table10[Advanced Safety Features],Table10[Advanced Safety Features Factor],,0)</f>
        <v>1</v>
      </c>
      <c r="AK379">
        <f>_xlfn.XLOOKUP(Table1820[[#This Row],[Deductible]],Table12[Deductible],Table12[Deductible Factor],,0)</f>
        <v>0.84</v>
      </c>
      <c r="AL379">
        <f>_xlfn.XLOOKUP(Table1820[[#This Row],[Coverage Limit]],Table13[Coverage Limit],Table13[Coverage Limit Factor],,0)</f>
        <v>1</v>
      </c>
      <c r="AM379">
        <f>IF(Table1820[[#This Row],[Good Student Discount]]="Yes",'Rate Book'!$D$126,1)</f>
        <v>1</v>
      </c>
      <c r="AN379">
        <f>IF(Table1820[[#This Row],[Good Driver Discount]]="Yes",'Rate Book'!$D$127,1)</f>
        <v>1</v>
      </c>
      <c r="AO379">
        <f>IF(Table1820[[#This Row],[Multi Policy Discount]]="Yes",'Rate Book'!$D$128,1)</f>
        <v>1</v>
      </c>
      <c r="AP379">
        <f>IF(Table1820[[#This Row],[Loyal Customer Discount]]="Yes",'Rate Book'!$D$129,1)</f>
        <v>1</v>
      </c>
      <c r="AQ379">
        <f>IF(Table1820[[#This Row],[Organization Discount]]="Yes",'Rate Book'!$D$130,1)</f>
        <v>1</v>
      </c>
      <c r="AR379" cm="1">
        <f t="array" ref="AR379">IF(Table1820[[#This Row],[Effective Date]]&gt;=RateChangeTable[Effective Date],RateChangeTable[Rate Change Factor],1)</f>
        <v>1.06</v>
      </c>
      <c r="AS379" s="10">
        <f>PRODUCT(Table1820[[#This Row],[Base Rate]:[Rate Change Factor]])</f>
        <v>3977.0087752431041</v>
      </c>
      <c r="AT379" s="9">
        <f>Table1820[[#This Row],[System-Generated Premium]]-Table1820[[#This Row],[Expected Premium]]</f>
        <v>0</v>
      </c>
      <c r="AU379" t="str">
        <f>IF(Table1820[[#This Row],[Difference]]=0,"PASS","FAIL")</f>
        <v>PASS</v>
      </c>
      <c r="AV379" s="9">
        <f>ABS(Table1820[[#This Row],[Difference]])</f>
        <v>0</v>
      </c>
      <c r="AW379" s="9" t="s">
        <v>1136</v>
      </c>
    </row>
    <row r="380" spans="1:49" x14ac:dyDescent="0.3">
      <c r="A380" t="s">
        <v>471</v>
      </c>
      <c r="B380" s="7">
        <v>46118</v>
      </c>
      <c r="C380" t="s">
        <v>70</v>
      </c>
      <c r="D380" t="s">
        <v>1098</v>
      </c>
      <c r="E380" s="3">
        <v>6</v>
      </c>
      <c r="F380" s="3">
        <v>0</v>
      </c>
      <c r="G380" t="s">
        <v>10</v>
      </c>
      <c r="H380" t="s">
        <v>1106</v>
      </c>
      <c r="I380" t="s">
        <v>22</v>
      </c>
      <c r="J380" t="s">
        <v>50</v>
      </c>
      <c r="K380" t="s">
        <v>10</v>
      </c>
      <c r="L380" t="s">
        <v>57</v>
      </c>
      <c r="M380" t="s">
        <v>10</v>
      </c>
      <c r="N380" t="s">
        <v>57</v>
      </c>
      <c r="O380" t="str">
        <f>INDEX(CoverageTable[Deductible Applies],MATCH(Table1820[[#This Row],[Coverage]],CoverageTable[Coverage],0))</f>
        <v>No</v>
      </c>
      <c r="P380" t="str">
        <f>INDEX(CoverageTable[Coverage Limit Applies],MATCH(Table1820[[#This Row],[Coverage]],CoverageTable[Coverage],0))</f>
        <v>Yes</v>
      </c>
      <c r="Q380" t="s">
        <v>10</v>
      </c>
      <c r="R380" t="s">
        <v>78</v>
      </c>
      <c r="S380" t="s">
        <v>57</v>
      </c>
      <c r="T380" t="s">
        <v>10</v>
      </c>
      <c r="U380" t="s">
        <v>10</v>
      </c>
      <c r="V380" t="s">
        <v>10</v>
      </c>
      <c r="W380" t="s">
        <v>10</v>
      </c>
      <c r="X380" s="11">
        <v>519.2901015940065</v>
      </c>
      <c r="Y380">
        <f>_xlfn.XLOOKUP(Table1820[[#This Row],[Coverage]],CoverageTable[Coverage],CoverageTable[Base Rate],,0)</f>
        <v>622</v>
      </c>
      <c r="Z380">
        <f>INDEX(Table16[Ageband Factor],MATCH(Table1820[[#This Row],[Ageband]],Table16[Ageband],0))</f>
        <v>1.23</v>
      </c>
      <c r="AA380">
        <f>VLOOKUP(Table1820[[#This Row],[Years Driving]],Table1[],2)</f>
        <v>1</v>
      </c>
      <c r="AB380">
        <f>_xlfn.XLOOKUP(Table1820[[#This Row],[At Fault Accidents]],Table2[At Fault Accidents],Table2[At Fault Accident Factor],,0)</f>
        <v>1</v>
      </c>
      <c r="AC380">
        <f>_xlfn.XLOOKUP(Table1820[[#This Row],[Usage-Based Insurance]],Table3[Usage-Based Insurance],Table3[Usage-Based Insurance Discount],,0)</f>
        <v>1</v>
      </c>
      <c r="AD380">
        <f>_xlfn.XLOOKUP(Table1820[[#This Row],[Yearly Miles]],Table4[Yearly Miles],Table4[Yearly Miles Factor],,0)</f>
        <v>0.82</v>
      </c>
      <c r="AE380">
        <f>_xlfn.XLOOKUP(Table1820[[#This Row],[City/Zip Code]],Table5[City/Zip Code],Table5[City/Zip Code Factor],,0)</f>
        <v>1.21</v>
      </c>
      <c r="AF380">
        <f>_xlfn.XLOOKUP(Table1820[[#This Row],[Vehicle Price]],Table6[Vehicle Price],Table6[Vehicle Price Factor])</f>
        <v>1.08</v>
      </c>
      <c r="AG380">
        <f>_xlfn.XLOOKUP(Table1820[[#This Row],[Exotic Car]],Table7[Exotic Car],Table7[Exotic Car Factor],,0)</f>
        <v>1</v>
      </c>
      <c r="AH380">
        <f>_xlfn.XLOOKUP(Table1820[[#This Row],[Difficult Parts]],Table8[Difficult Parts],Table8[Difficult Parts Factor],,0)</f>
        <v>1.21</v>
      </c>
      <c r="AI380">
        <f>_xlfn.XLOOKUP(Table1820[[#This Row],[High Theft Rate]],Table9[High Theft Rate],Table9[High Theft Rate Factor],,0)</f>
        <v>1</v>
      </c>
      <c r="AJ380">
        <f>_xlfn.XLOOKUP(Table1820[[#This Row],[Advanced Safety Features]],Table10[Advanced Safety Features],Table10[Advanced Safety Features Factor],,0)</f>
        <v>0.88</v>
      </c>
      <c r="AK380">
        <f>_xlfn.XLOOKUP(Table1820[[#This Row],[Deductible]],Table12[Deductible],Table12[Deductible Factor],,0)</f>
        <v>1</v>
      </c>
      <c r="AL380">
        <f>_xlfn.XLOOKUP(Table1820[[#This Row],[Coverage Limit]],Table13[Coverage Limit],Table13[Coverage Limit Factor],,0)</f>
        <v>0.61</v>
      </c>
      <c r="AM380">
        <f>IF(Table1820[[#This Row],[Good Student Discount]]="Yes",'Rate Book'!$D$126,1)</f>
        <v>0.92</v>
      </c>
      <c r="AN380">
        <f>IF(Table1820[[#This Row],[Good Driver Discount]]="Yes",'Rate Book'!$D$127,1)</f>
        <v>1</v>
      </c>
      <c r="AO380">
        <f>IF(Table1820[[#This Row],[Multi Policy Discount]]="Yes",'Rate Book'!$D$128,1)</f>
        <v>1</v>
      </c>
      <c r="AP380">
        <f>IF(Table1820[[#This Row],[Loyal Customer Discount]]="Yes",'Rate Book'!$D$129,1)</f>
        <v>1</v>
      </c>
      <c r="AQ380">
        <f>IF(Table1820[[#This Row],[Organization Discount]]="Yes",'Rate Book'!$D$130,1)</f>
        <v>1</v>
      </c>
      <c r="AR380" cm="1">
        <f t="array" ref="AR380">IF(Table1820[[#This Row],[Effective Date]]&gt;=RateChangeTable[Effective Date],RateChangeTable[Rate Change Factor],1)</f>
        <v>1.06</v>
      </c>
      <c r="AS380" s="10">
        <f>PRODUCT(Table1820[[#This Row],[Base Rate]:[Rate Change Factor]])</f>
        <v>519.2901015940065</v>
      </c>
      <c r="AT380" s="9">
        <f>Table1820[[#This Row],[System-Generated Premium]]-Table1820[[#This Row],[Expected Premium]]</f>
        <v>0</v>
      </c>
      <c r="AU380" t="str">
        <f>IF(Table1820[[#This Row],[Difference]]=0,"PASS","FAIL")</f>
        <v>PASS</v>
      </c>
      <c r="AV380" s="9">
        <f>ABS(Table1820[[#This Row],[Difference]])</f>
        <v>0</v>
      </c>
      <c r="AW380" s="9" t="s">
        <v>1136</v>
      </c>
    </row>
    <row r="381" spans="1:49" x14ac:dyDescent="0.3">
      <c r="A381" t="s">
        <v>472</v>
      </c>
      <c r="B381" s="7">
        <v>45967</v>
      </c>
      <c r="C381" t="s">
        <v>70</v>
      </c>
      <c r="D381" t="s">
        <v>1100</v>
      </c>
      <c r="E381" s="3">
        <v>7</v>
      </c>
      <c r="F381" s="3">
        <v>0</v>
      </c>
      <c r="G381" t="s">
        <v>10</v>
      </c>
      <c r="H381" t="s">
        <v>1110</v>
      </c>
      <c r="I381" t="s">
        <v>38</v>
      </c>
      <c r="J381" t="s">
        <v>54</v>
      </c>
      <c r="K381" t="s">
        <v>10</v>
      </c>
      <c r="L381" t="s">
        <v>57</v>
      </c>
      <c r="M381" t="s">
        <v>10</v>
      </c>
      <c r="N381" t="s">
        <v>10</v>
      </c>
      <c r="O381" t="str">
        <f>INDEX(CoverageTable[Deductible Applies],MATCH(Table1820[[#This Row],[Coverage]],CoverageTable[Coverage],0))</f>
        <v>No</v>
      </c>
      <c r="P381" t="str">
        <f>INDEX(CoverageTable[Coverage Limit Applies],MATCH(Table1820[[#This Row],[Coverage]],CoverageTable[Coverage],0))</f>
        <v>Yes</v>
      </c>
      <c r="Q381" t="s">
        <v>10</v>
      </c>
      <c r="R381" t="s">
        <v>79</v>
      </c>
      <c r="S381" t="s">
        <v>57</v>
      </c>
      <c r="T381" t="s">
        <v>10</v>
      </c>
      <c r="U381" t="s">
        <v>10</v>
      </c>
      <c r="V381" t="s">
        <v>10</v>
      </c>
      <c r="W381" t="s">
        <v>10</v>
      </c>
      <c r="X381" s="11">
        <v>2133.903013937469</v>
      </c>
      <c r="Y381">
        <f>_xlfn.XLOOKUP(Table1820[[#This Row],[Coverage]],CoverageTable[Coverage],CoverageTable[Base Rate],,0)</f>
        <v>622</v>
      </c>
      <c r="Z381">
        <f>INDEX(Table16[Ageband Factor],MATCH(Table1820[[#This Row],[Ageband]],Table16[Ageband],0))</f>
        <v>1.07</v>
      </c>
      <c r="AA381">
        <f>VLOOKUP(Table1820[[#This Row],[Years Driving]],Table1[],2)</f>
        <v>0.95</v>
      </c>
      <c r="AB381">
        <f>_xlfn.XLOOKUP(Table1820[[#This Row],[At Fault Accidents]],Table2[At Fault Accidents],Table2[At Fault Accident Factor],,0)</f>
        <v>1</v>
      </c>
      <c r="AC381">
        <f>_xlfn.XLOOKUP(Table1820[[#This Row],[Usage-Based Insurance]],Table3[Usage-Based Insurance],Table3[Usage-Based Insurance Discount],,0)</f>
        <v>1</v>
      </c>
      <c r="AD381">
        <f>_xlfn.XLOOKUP(Table1820[[#This Row],[Yearly Miles]],Table4[Yearly Miles],Table4[Yearly Miles Factor],,0)</f>
        <v>1.31</v>
      </c>
      <c r="AE381">
        <f>_xlfn.XLOOKUP(Table1820[[#This Row],[City/Zip Code]],Table5[City/Zip Code],Table5[City/Zip Code Factor],,0)</f>
        <v>1.1200000000000001</v>
      </c>
      <c r="AF381">
        <f>_xlfn.XLOOKUP(Table1820[[#This Row],[Vehicle Price]],Table6[Vehicle Price],Table6[Vehicle Price Factor])</f>
        <v>2.87</v>
      </c>
      <c r="AG381">
        <f>_xlfn.XLOOKUP(Table1820[[#This Row],[Exotic Car]],Table7[Exotic Car],Table7[Exotic Car Factor],,0)</f>
        <v>1</v>
      </c>
      <c r="AH381">
        <f>_xlfn.XLOOKUP(Table1820[[#This Row],[Difficult Parts]],Table8[Difficult Parts],Table8[Difficult Parts Factor],,0)</f>
        <v>1.21</v>
      </c>
      <c r="AI381">
        <f>_xlfn.XLOOKUP(Table1820[[#This Row],[High Theft Rate]],Table9[High Theft Rate],Table9[High Theft Rate Factor],,0)</f>
        <v>1</v>
      </c>
      <c r="AJ381">
        <f>_xlfn.XLOOKUP(Table1820[[#This Row],[Advanced Safety Features]],Table10[Advanced Safety Features],Table10[Advanced Safety Features Factor],,0)</f>
        <v>1</v>
      </c>
      <c r="AK381">
        <f>_xlfn.XLOOKUP(Table1820[[#This Row],[Deductible]],Table12[Deductible],Table12[Deductible Factor],,0)</f>
        <v>1</v>
      </c>
      <c r="AL381">
        <f>_xlfn.XLOOKUP(Table1820[[#This Row],[Coverage Limit]],Table13[Coverage Limit],Table13[Coverage Limit Factor],,0)</f>
        <v>0.72</v>
      </c>
      <c r="AM381">
        <f>IF(Table1820[[#This Row],[Good Student Discount]]="Yes",'Rate Book'!$D$126,1)</f>
        <v>0.92</v>
      </c>
      <c r="AN381">
        <f>IF(Table1820[[#This Row],[Good Driver Discount]]="Yes",'Rate Book'!$D$127,1)</f>
        <v>1</v>
      </c>
      <c r="AO381">
        <f>IF(Table1820[[#This Row],[Multi Policy Discount]]="Yes",'Rate Book'!$D$128,1)</f>
        <v>1</v>
      </c>
      <c r="AP381">
        <f>IF(Table1820[[#This Row],[Loyal Customer Discount]]="Yes",'Rate Book'!$D$129,1)</f>
        <v>1</v>
      </c>
      <c r="AQ381">
        <f>IF(Table1820[[#This Row],[Organization Discount]]="Yes",'Rate Book'!$D$130,1)</f>
        <v>1</v>
      </c>
      <c r="AR381" cm="1">
        <f t="array" ref="AR381">IF(Table1820[[#This Row],[Effective Date]]&gt;=RateChangeTable[Effective Date],RateChangeTable[Rate Change Factor],1)</f>
        <v>1</v>
      </c>
      <c r="AS381" s="10">
        <f>PRODUCT(Table1820[[#This Row],[Base Rate]:[Rate Change Factor]])</f>
        <v>2133.903013937469</v>
      </c>
      <c r="AT381" s="9">
        <f>Table1820[[#This Row],[System-Generated Premium]]-Table1820[[#This Row],[Expected Premium]]</f>
        <v>0</v>
      </c>
      <c r="AU381" t="str">
        <f>IF(Table1820[[#This Row],[Difference]]=0,"PASS","FAIL")</f>
        <v>PASS</v>
      </c>
      <c r="AV381" s="9">
        <f>ABS(Table1820[[#This Row],[Difference]])</f>
        <v>0</v>
      </c>
      <c r="AW381" s="9" t="s">
        <v>1136</v>
      </c>
    </row>
    <row r="382" spans="1:49" x14ac:dyDescent="0.3">
      <c r="A382" t="s">
        <v>473</v>
      </c>
      <c r="B382" s="7">
        <v>45817</v>
      </c>
      <c r="C382" t="s">
        <v>71</v>
      </c>
      <c r="D382" t="s">
        <v>1098</v>
      </c>
      <c r="E382" s="3">
        <v>4</v>
      </c>
      <c r="F382" s="3">
        <v>0</v>
      </c>
      <c r="G382" t="s">
        <v>11</v>
      </c>
      <c r="H382" t="s">
        <v>1108</v>
      </c>
      <c r="I382" t="s">
        <v>43</v>
      </c>
      <c r="J382" t="s">
        <v>48</v>
      </c>
      <c r="K382" t="s">
        <v>57</v>
      </c>
      <c r="L382" t="s">
        <v>10</v>
      </c>
      <c r="M382" t="s">
        <v>10</v>
      </c>
      <c r="N382" t="s">
        <v>57</v>
      </c>
      <c r="O382" t="str">
        <f>INDEX(CoverageTable[Deductible Applies],MATCH(Table1820[[#This Row],[Coverage]],CoverageTable[Coverage],0))</f>
        <v>Yes</v>
      </c>
      <c r="P382" t="str">
        <f>INDEX(CoverageTable[Coverage Limit Applies],MATCH(Table1820[[#This Row],[Coverage]],CoverageTable[Coverage],0))</f>
        <v>No</v>
      </c>
      <c r="Q382" t="s">
        <v>80</v>
      </c>
      <c r="R382" t="s">
        <v>10</v>
      </c>
      <c r="S382" t="s">
        <v>10</v>
      </c>
      <c r="T382" t="s">
        <v>10</v>
      </c>
      <c r="U382" t="s">
        <v>10</v>
      </c>
      <c r="V382" t="s">
        <v>10</v>
      </c>
      <c r="W382" t="s">
        <v>57</v>
      </c>
      <c r="X382" s="11">
        <v>463.35888090183323</v>
      </c>
      <c r="Y382">
        <f>_xlfn.XLOOKUP(Table1820[[#This Row],[Coverage]],CoverageTable[Coverage],CoverageTable[Base Rate],,0)</f>
        <v>453</v>
      </c>
      <c r="Z382">
        <f>INDEX(Table16[Ageband Factor],MATCH(Table1820[[#This Row],[Ageband]],Table16[Ageband],0))</f>
        <v>1.23</v>
      </c>
      <c r="AA382">
        <f>VLOOKUP(Table1820[[#This Row],[Years Driving]],Table1[],2)</f>
        <v>1.1499999999999999</v>
      </c>
      <c r="AB382">
        <f>_xlfn.XLOOKUP(Table1820[[#This Row],[At Fault Accidents]],Table2[At Fault Accidents],Table2[At Fault Accident Factor],,0)</f>
        <v>1</v>
      </c>
      <c r="AC382">
        <f>_xlfn.XLOOKUP(Table1820[[#This Row],[Usage-Based Insurance]],Table3[Usage-Based Insurance],Table3[Usage-Based Insurance Discount],,0)</f>
        <v>0.95</v>
      </c>
      <c r="AD382">
        <f>_xlfn.XLOOKUP(Table1820[[#This Row],[Yearly Miles]],Table4[Yearly Miles],Table4[Yearly Miles Factor],,0)</f>
        <v>1</v>
      </c>
      <c r="AE382">
        <f>_xlfn.XLOOKUP(Table1820[[#This Row],[City/Zip Code]],Table5[City/Zip Code],Table5[City/Zip Code Factor],,0)</f>
        <v>1.18</v>
      </c>
      <c r="AF382">
        <f>_xlfn.XLOOKUP(Table1820[[#This Row],[Vehicle Price]],Table6[Vehicle Price],Table6[Vehicle Price Factor])</f>
        <v>0.82</v>
      </c>
      <c r="AG382">
        <f>_xlfn.XLOOKUP(Table1820[[#This Row],[Exotic Car]],Table7[Exotic Car],Table7[Exotic Car Factor],,0)</f>
        <v>1.28</v>
      </c>
      <c r="AH382">
        <f>_xlfn.XLOOKUP(Table1820[[#This Row],[Difficult Parts]],Table8[Difficult Parts],Table8[Difficult Parts Factor],,0)</f>
        <v>1</v>
      </c>
      <c r="AI382">
        <f>_xlfn.XLOOKUP(Table1820[[#This Row],[High Theft Rate]],Table9[High Theft Rate],Table9[High Theft Rate Factor],,0)</f>
        <v>1</v>
      </c>
      <c r="AJ382">
        <f>_xlfn.XLOOKUP(Table1820[[#This Row],[Advanced Safety Features]],Table10[Advanced Safety Features],Table10[Advanced Safety Features Factor],,0)</f>
        <v>0.88</v>
      </c>
      <c r="AK382">
        <f>_xlfn.XLOOKUP(Table1820[[#This Row],[Deductible]],Table12[Deductible],Table12[Deductible Factor],,0)</f>
        <v>0.72</v>
      </c>
      <c r="AL382">
        <f>_xlfn.XLOOKUP(Table1820[[#This Row],[Coverage Limit]],Table13[Coverage Limit],Table13[Coverage Limit Factor],,0)</f>
        <v>1</v>
      </c>
      <c r="AM382">
        <f>IF(Table1820[[#This Row],[Good Student Discount]]="Yes",'Rate Book'!$D$126,1)</f>
        <v>1</v>
      </c>
      <c r="AN382">
        <f>IF(Table1820[[#This Row],[Good Driver Discount]]="Yes",'Rate Book'!$D$127,1)</f>
        <v>1</v>
      </c>
      <c r="AO382">
        <f>IF(Table1820[[#This Row],[Multi Policy Discount]]="Yes",'Rate Book'!$D$128,1)</f>
        <v>1</v>
      </c>
      <c r="AP382">
        <f>IF(Table1820[[#This Row],[Loyal Customer Discount]]="Yes",'Rate Book'!$D$129,1)</f>
        <v>1</v>
      </c>
      <c r="AQ382">
        <f>IF(Table1820[[#This Row],[Organization Discount]]="Yes",'Rate Book'!$D$130,1)</f>
        <v>0.97</v>
      </c>
      <c r="AR382" cm="1">
        <f t="array" ref="AR382">IF(Table1820[[#This Row],[Effective Date]]&gt;=RateChangeTable[Effective Date],RateChangeTable[Rate Change Factor],1)</f>
        <v>1</v>
      </c>
      <c r="AS382" s="10">
        <f>PRODUCT(Table1820[[#This Row],[Base Rate]:[Rate Change Factor]])</f>
        <v>463.35888090183323</v>
      </c>
      <c r="AT382" s="9">
        <f>Table1820[[#This Row],[System-Generated Premium]]-Table1820[[#This Row],[Expected Premium]]</f>
        <v>0</v>
      </c>
      <c r="AU382" t="str">
        <f>IF(Table1820[[#This Row],[Difference]]=0,"PASS","FAIL")</f>
        <v>PASS</v>
      </c>
      <c r="AV382" s="9">
        <f>ABS(Table1820[[#This Row],[Difference]])</f>
        <v>0</v>
      </c>
      <c r="AW382" s="9" t="s">
        <v>1136</v>
      </c>
    </row>
    <row r="383" spans="1:49" x14ac:dyDescent="0.3">
      <c r="A383" t="s">
        <v>474</v>
      </c>
      <c r="B383" s="7">
        <v>45968</v>
      </c>
      <c r="C383" t="s">
        <v>70</v>
      </c>
      <c r="D383" t="s">
        <v>1099</v>
      </c>
      <c r="E383" s="3">
        <v>7</v>
      </c>
      <c r="F383" s="3">
        <v>0</v>
      </c>
      <c r="G383" t="s">
        <v>11</v>
      </c>
      <c r="H383" t="s">
        <v>1107</v>
      </c>
      <c r="I383" t="s">
        <v>21</v>
      </c>
      <c r="J383" t="s">
        <v>54</v>
      </c>
      <c r="K383" t="s">
        <v>10</v>
      </c>
      <c r="L383" t="s">
        <v>10</v>
      </c>
      <c r="M383" t="s">
        <v>10</v>
      </c>
      <c r="N383" t="s">
        <v>10</v>
      </c>
      <c r="O383" t="str">
        <f>INDEX(CoverageTable[Deductible Applies],MATCH(Table1820[[#This Row],[Coverage]],CoverageTable[Coverage],0))</f>
        <v>No</v>
      </c>
      <c r="P383" t="str">
        <f>INDEX(CoverageTable[Coverage Limit Applies],MATCH(Table1820[[#This Row],[Coverage]],CoverageTable[Coverage],0))</f>
        <v>Yes</v>
      </c>
      <c r="Q383" t="s">
        <v>10</v>
      </c>
      <c r="R383" t="s">
        <v>78</v>
      </c>
      <c r="S383" t="s">
        <v>10</v>
      </c>
      <c r="T383" t="s">
        <v>57</v>
      </c>
      <c r="U383" t="s">
        <v>57</v>
      </c>
      <c r="V383" t="s">
        <v>10</v>
      </c>
      <c r="W383" t="s">
        <v>10</v>
      </c>
      <c r="X383" s="11">
        <v>953.1818757739635</v>
      </c>
      <c r="Y383">
        <f>_xlfn.XLOOKUP(Table1820[[#This Row],[Coverage]],CoverageTable[Coverage],CoverageTable[Base Rate],,0)</f>
        <v>622</v>
      </c>
      <c r="Z383">
        <f>INDEX(Table16[Ageband Factor],MATCH(Table1820[[#This Row],[Ageband]],Table16[Ageband],0))</f>
        <v>1</v>
      </c>
      <c r="AA383">
        <f>VLOOKUP(Table1820[[#This Row],[Years Driving]],Table1[],2)</f>
        <v>0.95</v>
      </c>
      <c r="AB383">
        <f>_xlfn.XLOOKUP(Table1820[[#This Row],[At Fault Accidents]],Table2[At Fault Accidents],Table2[At Fault Accident Factor],,0)</f>
        <v>1</v>
      </c>
      <c r="AC383">
        <f>_xlfn.XLOOKUP(Table1820[[#This Row],[Usage-Based Insurance]],Table3[Usage-Based Insurance],Table3[Usage-Based Insurance Discount],,0)</f>
        <v>0.95</v>
      </c>
      <c r="AD383">
        <f>_xlfn.XLOOKUP(Table1820[[#This Row],[Yearly Miles]],Table4[Yearly Miles],Table4[Yearly Miles Factor],,0)</f>
        <v>0.93</v>
      </c>
      <c r="AE383">
        <f>_xlfn.XLOOKUP(Table1820[[#This Row],[City/Zip Code]],Table5[City/Zip Code],Table5[City/Zip Code Factor],,0)</f>
        <v>1.26</v>
      </c>
      <c r="AF383">
        <f>_xlfn.XLOOKUP(Table1820[[#This Row],[Vehicle Price]],Table6[Vehicle Price],Table6[Vehicle Price Factor])</f>
        <v>2.87</v>
      </c>
      <c r="AG383">
        <f>_xlfn.XLOOKUP(Table1820[[#This Row],[Exotic Car]],Table7[Exotic Car],Table7[Exotic Car Factor],,0)</f>
        <v>1</v>
      </c>
      <c r="AH383">
        <f>_xlfn.XLOOKUP(Table1820[[#This Row],[Difficult Parts]],Table8[Difficult Parts],Table8[Difficult Parts Factor],,0)</f>
        <v>1</v>
      </c>
      <c r="AI383">
        <f>_xlfn.XLOOKUP(Table1820[[#This Row],[High Theft Rate]],Table9[High Theft Rate],Table9[High Theft Rate Factor],,0)</f>
        <v>1</v>
      </c>
      <c r="AJ383">
        <f>_xlfn.XLOOKUP(Table1820[[#This Row],[Advanced Safety Features]],Table10[Advanced Safety Features],Table10[Advanced Safety Features Factor],,0)</f>
        <v>1</v>
      </c>
      <c r="AK383">
        <f>_xlfn.XLOOKUP(Table1820[[#This Row],[Deductible]],Table12[Deductible],Table12[Deductible Factor],,0)</f>
        <v>1</v>
      </c>
      <c r="AL383">
        <f>_xlfn.XLOOKUP(Table1820[[#This Row],[Coverage Limit]],Table13[Coverage Limit],Table13[Coverage Limit Factor],,0)</f>
        <v>0.61</v>
      </c>
      <c r="AM383">
        <f>IF(Table1820[[#This Row],[Good Student Discount]]="Yes",'Rate Book'!$D$126,1)</f>
        <v>1</v>
      </c>
      <c r="AN383">
        <f>IF(Table1820[[#This Row],[Good Driver Discount]]="Yes",'Rate Book'!$D$127,1)</f>
        <v>0.89</v>
      </c>
      <c r="AO383">
        <f>IF(Table1820[[#This Row],[Multi Policy Discount]]="Yes",'Rate Book'!$D$128,1)</f>
        <v>0.93</v>
      </c>
      <c r="AP383">
        <f>IF(Table1820[[#This Row],[Loyal Customer Discount]]="Yes",'Rate Book'!$D$129,1)</f>
        <v>1</v>
      </c>
      <c r="AQ383">
        <f>IF(Table1820[[#This Row],[Organization Discount]]="Yes",'Rate Book'!$D$130,1)</f>
        <v>1</v>
      </c>
      <c r="AR383" cm="1">
        <f t="array" ref="AR383">IF(Table1820[[#This Row],[Effective Date]]&gt;=RateChangeTable[Effective Date],RateChangeTable[Rate Change Factor],1)</f>
        <v>1</v>
      </c>
      <c r="AS383" s="10">
        <f>PRODUCT(Table1820[[#This Row],[Base Rate]:[Rate Change Factor]])</f>
        <v>953.1818757739635</v>
      </c>
      <c r="AT383" s="9">
        <f>Table1820[[#This Row],[System-Generated Premium]]-Table1820[[#This Row],[Expected Premium]]</f>
        <v>0</v>
      </c>
      <c r="AU383" t="str">
        <f>IF(Table1820[[#This Row],[Difference]]=0,"PASS","FAIL")</f>
        <v>PASS</v>
      </c>
      <c r="AV383" s="9">
        <f>ABS(Table1820[[#This Row],[Difference]])</f>
        <v>0</v>
      </c>
      <c r="AW383" s="9" t="s">
        <v>1136</v>
      </c>
    </row>
    <row r="384" spans="1:49" x14ac:dyDescent="0.3">
      <c r="A384" t="s">
        <v>475</v>
      </c>
      <c r="B384" s="7">
        <v>46089</v>
      </c>
      <c r="C384" t="s">
        <v>71</v>
      </c>
      <c r="D384" t="s">
        <v>1099</v>
      </c>
      <c r="E384" s="3">
        <v>2</v>
      </c>
      <c r="F384" s="3">
        <v>0</v>
      </c>
      <c r="G384" t="s">
        <v>10</v>
      </c>
      <c r="H384" t="s">
        <v>1106</v>
      </c>
      <c r="I384" t="s">
        <v>24</v>
      </c>
      <c r="J384" t="s">
        <v>49</v>
      </c>
      <c r="K384" t="s">
        <v>10</v>
      </c>
      <c r="L384" t="s">
        <v>57</v>
      </c>
      <c r="M384" t="s">
        <v>10</v>
      </c>
      <c r="N384" t="s">
        <v>57</v>
      </c>
      <c r="O384" t="str">
        <f>INDEX(CoverageTable[Deductible Applies],MATCH(Table1820[[#This Row],[Coverage]],CoverageTable[Coverage],0))</f>
        <v>Yes</v>
      </c>
      <c r="P384" t="str">
        <f>INDEX(CoverageTable[Coverage Limit Applies],MATCH(Table1820[[#This Row],[Coverage]],CoverageTable[Coverage],0))</f>
        <v>No</v>
      </c>
      <c r="Q384" t="s">
        <v>79</v>
      </c>
      <c r="R384" t="s">
        <v>10</v>
      </c>
      <c r="S384" t="s">
        <v>10</v>
      </c>
      <c r="T384" t="s">
        <v>57</v>
      </c>
      <c r="U384" t="s">
        <v>10</v>
      </c>
      <c r="V384" t="s">
        <v>10</v>
      </c>
      <c r="W384" t="s">
        <v>10</v>
      </c>
      <c r="X384" s="11">
        <v>510.14432894328127</v>
      </c>
      <c r="Y384">
        <f>_xlfn.XLOOKUP(Table1820[[#This Row],[Coverage]],CoverageTable[Coverage],CoverageTable[Base Rate],,0)</f>
        <v>453</v>
      </c>
      <c r="Z384">
        <f>INDEX(Table16[Ageband Factor],MATCH(Table1820[[#This Row],[Ageband]],Table16[Ageband],0))</f>
        <v>1</v>
      </c>
      <c r="AA384">
        <f>VLOOKUP(Table1820[[#This Row],[Years Driving]],Table1[],2)</f>
        <v>1.41</v>
      </c>
      <c r="AB384">
        <f>_xlfn.XLOOKUP(Table1820[[#This Row],[At Fault Accidents]],Table2[At Fault Accidents],Table2[At Fault Accident Factor],,0)</f>
        <v>1</v>
      </c>
      <c r="AC384">
        <f>_xlfn.XLOOKUP(Table1820[[#This Row],[Usage-Based Insurance]],Table3[Usage-Based Insurance],Table3[Usage-Based Insurance Discount],,0)</f>
        <v>1</v>
      </c>
      <c r="AD384">
        <f>_xlfn.XLOOKUP(Table1820[[#This Row],[Yearly Miles]],Table4[Yearly Miles],Table4[Yearly Miles Factor],,0)</f>
        <v>0.82</v>
      </c>
      <c r="AE384">
        <f>_xlfn.XLOOKUP(Table1820[[#This Row],[City/Zip Code]],Table5[City/Zip Code],Table5[City/Zip Code Factor],,0)</f>
        <v>1.19</v>
      </c>
      <c r="AF384">
        <f>_xlfn.XLOOKUP(Table1820[[#This Row],[Vehicle Price]],Table6[Vehicle Price],Table6[Vehicle Price Factor])</f>
        <v>0.97</v>
      </c>
      <c r="AG384">
        <f>_xlfn.XLOOKUP(Table1820[[#This Row],[Exotic Car]],Table7[Exotic Car],Table7[Exotic Car Factor],,0)</f>
        <v>1</v>
      </c>
      <c r="AH384">
        <f>_xlfn.XLOOKUP(Table1820[[#This Row],[Difficult Parts]],Table8[Difficult Parts],Table8[Difficult Parts Factor],,0)</f>
        <v>1.21</v>
      </c>
      <c r="AI384">
        <f>_xlfn.XLOOKUP(Table1820[[#This Row],[High Theft Rate]],Table9[High Theft Rate],Table9[High Theft Rate Factor],,0)</f>
        <v>1</v>
      </c>
      <c r="AJ384">
        <f>_xlfn.XLOOKUP(Table1820[[#This Row],[Advanced Safety Features]],Table10[Advanced Safety Features],Table10[Advanced Safety Features Factor],,0)</f>
        <v>0.88</v>
      </c>
      <c r="AK384">
        <f>_xlfn.XLOOKUP(Table1820[[#This Row],[Deductible]],Table12[Deductible],Table12[Deductible Factor],,0)</f>
        <v>0.84</v>
      </c>
      <c r="AL384">
        <f>_xlfn.XLOOKUP(Table1820[[#This Row],[Coverage Limit]],Table13[Coverage Limit],Table13[Coverage Limit Factor],,0)</f>
        <v>1</v>
      </c>
      <c r="AM384">
        <f>IF(Table1820[[#This Row],[Good Student Discount]]="Yes",'Rate Book'!$D$126,1)</f>
        <v>1</v>
      </c>
      <c r="AN384">
        <f>IF(Table1820[[#This Row],[Good Driver Discount]]="Yes",'Rate Book'!$D$127,1)</f>
        <v>0.89</v>
      </c>
      <c r="AO384">
        <f>IF(Table1820[[#This Row],[Multi Policy Discount]]="Yes",'Rate Book'!$D$128,1)</f>
        <v>1</v>
      </c>
      <c r="AP384">
        <f>IF(Table1820[[#This Row],[Loyal Customer Discount]]="Yes",'Rate Book'!$D$129,1)</f>
        <v>1</v>
      </c>
      <c r="AQ384">
        <f>IF(Table1820[[#This Row],[Organization Discount]]="Yes",'Rate Book'!$D$130,1)</f>
        <v>1</v>
      </c>
      <c r="AR384" cm="1">
        <f t="array" ref="AR384">IF(Table1820[[#This Row],[Effective Date]]&gt;=RateChangeTable[Effective Date],RateChangeTable[Rate Change Factor],1)</f>
        <v>1.06</v>
      </c>
      <c r="AS384" s="10">
        <f>PRODUCT(Table1820[[#This Row],[Base Rate]:[Rate Change Factor]])</f>
        <v>510.14432894328127</v>
      </c>
      <c r="AT384" s="9">
        <f>Table1820[[#This Row],[System-Generated Premium]]-Table1820[[#This Row],[Expected Premium]]</f>
        <v>0</v>
      </c>
      <c r="AU384" t="str">
        <f>IF(Table1820[[#This Row],[Difference]]=0,"PASS","FAIL")</f>
        <v>PASS</v>
      </c>
      <c r="AV384" s="9">
        <f>ABS(Table1820[[#This Row],[Difference]])</f>
        <v>0</v>
      </c>
      <c r="AW384" s="9" t="s">
        <v>1136</v>
      </c>
    </row>
    <row r="385" spans="1:49" x14ac:dyDescent="0.3">
      <c r="A385" t="s">
        <v>476</v>
      </c>
      <c r="B385" s="7">
        <v>45953</v>
      </c>
      <c r="C385" t="s">
        <v>71</v>
      </c>
      <c r="D385" t="s">
        <v>1099</v>
      </c>
      <c r="E385" s="3">
        <v>6</v>
      </c>
      <c r="F385" s="3">
        <v>1</v>
      </c>
      <c r="G385" t="s">
        <v>13</v>
      </c>
      <c r="H385" t="s">
        <v>1109</v>
      </c>
      <c r="I385" t="s">
        <v>22</v>
      </c>
      <c r="J385" t="s">
        <v>54</v>
      </c>
      <c r="K385" t="s">
        <v>10</v>
      </c>
      <c r="L385" t="s">
        <v>10</v>
      </c>
      <c r="M385" t="s">
        <v>10</v>
      </c>
      <c r="N385" t="s">
        <v>10</v>
      </c>
      <c r="O385" t="str">
        <f>INDEX(CoverageTable[Deductible Applies],MATCH(Table1820[[#This Row],[Coverage]],CoverageTable[Coverage],0))</f>
        <v>Yes</v>
      </c>
      <c r="P385" t="str">
        <f>INDEX(CoverageTable[Coverage Limit Applies],MATCH(Table1820[[#This Row],[Coverage]],CoverageTable[Coverage],0))</f>
        <v>No</v>
      </c>
      <c r="Q385" t="s">
        <v>78</v>
      </c>
      <c r="R385" t="s">
        <v>10</v>
      </c>
      <c r="S385" t="s">
        <v>10</v>
      </c>
      <c r="T385" t="s">
        <v>57</v>
      </c>
      <c r="U385" t="s">
        <v>10</v>
      </c>
      <c r="V385" t="s">
        <v>10</v>
      </c>
      <c r="W385" t="s">
        <v>10</v>
      </c>
      <c r="X385" s="11">
        <v>1367.0337705714687</v>
      </c>
      <c r="Y385">
        <f>_xlfn.XLOOKUP(Table1820[[#This Row],[Coverage]],CoverageTable[Coverage],CoverageTable[Base Rate],,0)</f>
        <v>453</v>
      </c>
      <c r="Z385">
        <f>INDEX(Table16[Ageband Factor],MATCH(Table1820[[#This Row],[Ageband]],Table16[Ageband],0))</f>
        <v>1</v>
      </c>
      <c r="AA385">
        <f>VLOOKUP(Table1820[[#This Row],[Years Driving]],Table1[],2)</f>
        <v>1</v>
      </c>
      <c r="AB385">
        <f>_xlfn.XLOOKUP(Table1820[[#This Row],[At Fault Accidents]],Table2[At Fault Accidents],Table2[At Fault Accident Factor],,0)</f>
        <v>1.34</v>
      </c>
      <c r="AC385">
        <f>_xlfn.XLOOKUP(Table1820[[#This Row],[Usage-Based Insurance]],Table3[Usage-Based Insurance],Table3[Usage-Based Insurance Discount],,0)</f>
        <v>0.65</v>
      </c>
      <c r="AD385">
        <f>_xlfn.XLOOKUP(Table1820[[#This Row],[Yearly Miles]],Table4[Yearly Miles],Table4[Yearly Miles Factor],,0)</f>
        <v>1.18</v>
      </c>
      <c r="AE385">
        <f>_xlfn.XLOOKUP(Table1820[[#This Row],[City/Zip Code]],Table5[City/Zip Code],Table5[City/Zip Code Factor],,0)</f>
        <v>1.21</v>
      </c>
      <c r="AF385">
        <f>_xlfn.XLOOKUP(Table1820[[#This Row],[Vehicle Price]],Table6[Vehicle Price],Table6[Vehicle Price Factor])</f>
        <v>2.87</v>
      </c>
      <c r="AG385">
        <f>_xlfn.XLOOKUP(Table1820[[#This Row],[Exotic Car]],Table7[Exotic Car],Table7[Exotic Car Factor],,0)</f>
        <v>1</v>
      </c>
      <c r="AH385">
        <f>_xlfn.XLOOKUP(Table1820[[#This Row],[Difficult Parts]],Table8[Difficult Parts],Table8[Difficult Parts Factor],,0)</f>
        <v>1</v>
      </c>
      <c r="AI385">
        <f>_xlfn.XLOOKUP(Table1820[[#This Row],[High Theft Rate]],Table9[High Theft Rate],Table9[High Theft Rate Factor],,0)</f>
        <v>1</v>
      </c>
      <c r="AJ385">
        <f>_xlfn.XLOOKUP(Table1820[[#This Row],[Advanced Safety Features]],Table10[Advanced Safety Features],Table10[Advanced Safety Features Factor],,0)</f>
        <v>1</v>
      </c>
      <c r="AK385">
        <f>_xlfn.XLOOKUP(Table1820[[#This Row],[Deductible]],Table12[Deductible],Table12[Deductible Factor],,0)</f>
        <v>0.95</v>
      </c>
      <c r="AL385">
        <f>_xlfn.XLOOKUP(Table1820[[#This Row],[Coverage Limit]],Table13[Coverage Limit],Table13[Coverage Limit Factor],,0)</f>
        <v>1</v>
      </c>
      <c r="AM385">
        <f>IF(Table1820[[#This Row],[Good Student Discount]]="Yes",'Rate Book'!$D$126,1)</f>
        <v>1</v>
      </c>
      <c r="AN385">
        <f>IF(Table1820[[#This Row],[Good Driver Discount]]="Yes",'Rate Book'!$D$127,1)</f>
        <v>0.89</v>
      </c>
      <c r="AO385">
        <f>IF(Table1820[[#This Row],[Multi Policy Discount]]="Yes",'Rate Book'!$D$128,1)</f>
        <v>1</v>
      </c>
      <c r="AP385">
        <f>IF(Table1820[[#This Row],[Loyal Customer Discount]]="Yes",'Rate Book'!$D$129,1)</f>
        <v>1</v>
      </c>
      <c r="AQ385">
        <f>IF(Table1820[[#This Row],[Organization Discount]]="Yes",'Rate Book'!$D$130,1)</f>
        <v>1</v>
      </c>
      <c r="AR385" cm="1">
        <f t="array" ref="AR385">IF(Table1820[[#This Row],[Effective Date]]&gt;=RateChangeTable[Effective Date],RateChangeTable[Rate Change Factor],1)</f>
        <v>1</v>
      </c>
      <c r="AS385" s="10">
        <f>PRODUCT(Table1820[[#This Row],[Base Rate]:[Rate Change Factor]])</f>
        <v>1367.0337705714687</v>
      </c>
      <c r="AT385" s="9">
        <f>Table1820[[#This Row],[System-Generated Premium]]-Table1820[[#This Row],[Expected Premium]]</f>
        <v>0</v>
      </c>
      <c r="AU385" t="str">
        <f>IF(Table1820[[#This Row],[Difference]]=0,"PASS","FAIL")</f>
        <v>PASS</v>
      </c>
      <c r="AV385" s="9">
        <f>ABS(Table1820[[#This Row],[Difference]])</f>
        <v>0</v>
      </c>
      <c r="AW385" s="9" t="s">
        <v>1136</v>
      </c>
    </row>
    <row r="386" spans="1:49" x14ac:dyDescent="0.3">
      <c r="A386" t="s">
        <v>477</v>
      </c>
      <c r="B386" s="7">
        <v>46028</v>
      </c>
      <c r="C386" t="s">
        <v>70</v>
      </c>
      <c r="D386" t="s">
        <v>1097</v>
      </c>
      <c r="E386" s="3">
        <v>4</v>
      </c>
      <c r="F386" s="3" t="s">
        <v>7</v>
      </c>
      <c r="G386" t="s">
        <v>11</v>
      </c>
      <c r="H386" t="s">
        <v>1106</v>
      </c>
      <c r="I386" t="s">
        <v>41</v>
      </c>
      <c r="J386" t="s">
        <v>54</v>
      </c>
      <c r="K386" t="s">
        <v>10</v>
      </c>
      <c r="L386" t="s">
        <v>10</v>
      </c>
      <c r="M386" t="s">
        <v>57</v>
      </c>
      <c r="N386" t="s">
        <v>10</v>
      </c>
      <c r="O386" t="str">
        <f>INDEX(CoverageTable[Deductible Applies],MATCH(Table1820[[#This Row],[Coverage]],CoverageTable[Coverage],0))</f>
        <v>No</v>
      </c>
      <c r="P386" t="str">
        <f>INDEX(CoverageTable[Coverage Limit Applies],MATCH(Table1820[[#This Row],[Coverage]],CoverageTable[Coverage],0))</f>
        <v>Yes</v>
      </c>
      <c r="Q386" t="s">
        <v>10</v>
      </c>
      <c r="R386" t="s">
        <v>79</v>
      </c>
      <c r="S386" t="s">
        <v>10</v>
      </c>
      <c r="T386" t="s">
        <v>57</v>
      </c>
      <c r="U386" t="s">
        <v>57</v>
      </c>
      <c r="V386" t="s">
        <v>10</v>
      </c>
      <c r="W386" t="s">
        <v>10</v>
      </c>
      <c r="X386" s="11">
        <v>4393.8538826955601</v>
      </c>
      <c r="Y386">
        <f>_xlfn.XLOOKUP(Table1820[[#This Row],[Coverage]],CoverageTable[Coverage],CoverageTable[Base Rate],,0)</f>
        <v>622</v>
      </c>
      <c r="Z386">
        <f>INDEX(Table16[Ageband Factor],MATCH(Table1820[[#This Row],[Ageband]],Table16[Ageband],0))</f>
        <v>1.32</v>
      </c>
      <c r="AA386">
        <f>VLOOKUP(Table1820[[#This Row],[Years Driving]],Table1[],2)</f>
        <v>1.1499999999999999</v>
      </c>
      <c r="AB386">
        <f>_xlfn.XLOOKUP(Table1820[[#This Row],[At Fault Accidents]],Table2[At Fault Accidents],Table2[At Fault Accident Factor],,0)</f>
        <v>2.4700000000000002</v>
      </c>
      <c r="AC386">
        <f>_xlfn.XLOOKUP(Table1820[[#This Row],[Usage-Based Insurance]],Table3[Usage-Based Insurance],Table3[Usage-Based Insurance Discount],,0)</f>
        <v>0.95</v>
      </c>
      <c r="AD386">
        <f>_xlfn.XLOOKUP(Table1820[[#This Row],[Yearly Miles]],Table4[Yearly Miles],Table4[Yearly Miles Factor],,0)</f>
        <v>0.82</v>
      </c>
      <c r="AE386">
        <f>_xlfn.XLOOKUP(Table1820[[#This Row],[City/Zip Code]],Table5[City/Zip Code],Table5[City/Zip Code Factor],,0)</f>
        <v>1.1499999999999999</v>
      </c>
      <c r="AF386">
        <f>_xlfn.XLOOKUP(Table1820[[#This Row],[Vehicle Price]],Table6[Vehicle Price],Table6[Vehicle Price Factor])</f>
        <v>2.87</v>
      </c>
      <c r="AG386">
        <f>_xlfn.XLOOKUP(Table1820[[#This Row],[Exotic Car]],Table7[Exotic Car],Table7[Exotic Car Factor],,0)</f>
        <v>1</v>
      </c>
      <c r="AH386">
        <f>_xlfn.XLOOKUP(Table1820[[#This Row],[Difficult Parts]],Table8[Difficult Parts],Table8[Difficult Parts Factor],,0)</f>
        <v>1</v>
      </c>
      <c r="AI386">
        <f>_xlfn.XLOOKUP(Table1820[[#This Row],[High Theft Rate]],Table9[High Theft Rate],Table9[High Theft Rate Factor],,0)</f>
        <v>1.1599999999999999</v>
      </c>
      <c r="AJ386">
        <f>_xlfn.XLOOKUP(Table1820[[#This Row],[Advanced Safety Features]],Table10[Advanced Safety Features],Table10[Advanced Safety Features Factor],,0)</f>
        <v>1</v>
      </c>
      <c r="AK386">
        <f>_xlfn.XLOOKUP(Table1820[[#This Row],[Deductible]],Table12[Deductible],Table12[Deductible Factor],,0)</f>
        <v>1</v>
      </c>
      <c r="AL386">
        <f>_xlfn.XLOOKUP(Table1820[[#This Row],[Coverage Limit]],Table13[Coverage Limit],Table13[Coverage Limit Factor],,0)</f>
        <v>0.72</v>
      </c>
      <c r="AM386">
        <f>IF(Table1820[[#This Row],[Good Student Discount]]="Yes",'Rate Book'!$D$126,1)</f>
        <v>1</v>
      </c>
      <c r="AN386">
        <f>IF(Table1820[[#This Row],[Good Driver Discount]]="Yes",'Rate Book'!$D$127,1)</f>
        <v>0.89</v>
      </c>
      <c r="AO386">
        <f>IF(Table1820[[#This Row],[Multi Policy Discount]]="Yes",'Rate Book'!$D$128,1)</f>
        <v>0.93</v>
      </c>
      <c r="AP386">
        <f>IF(Table1820[[#This Row],[Loyal Customer Discount]]="Yes",'Rate Book'!$D$129,1)</f>
        <v>1</v>
      </c>
      <c r="AQ386">
        <f>IF(Table1820[[#This Row],[Organization Discount]]="Yes",'Rate Book'!$D$130,1)</f>
        <v>1</v>
      </c>
      <c r="AR386" cm="1">
        <f t="array" ref="AR386">IF(Table1820[[#This Row],[Effective Date]]&gt;=RateChangeTable[Effective Date],RateChangeTable[Rate Change Factor],1)</f>
        <v>1.06</v>
      </c>
      <c r="AS386" s="10">
        <f>PRODUCT(Table1820[[#This Row],[Base Rate]:[Rate Change Factor]])</f>
        <v>4393.8538826955601</v>
      </c>
      <c r="AT386" s="9">
        <f>Table1820[[#This Row],[System-Generated Premium]]-Table1820[[#This Row],[Expected Premium]]</f>
        <v>0</v>
      </c>
      <c r="AU386" t="str">
        <f>IF(Table1820[[#This Row],[Difference]]=0,"PASS","FAIL")</f>
        <v>PASS</v>
      </c>
      <c r="AV386" s="9">
        <f>ABS(Table1820[[#This Row],[Difference]])</f>
        <v>0</v>
      </c>
      <c r="AW386" s="9" t="s">
        <v>1136</v>
      </c>
    </row>
    <row r="387" spans="1:49" x14ac:dyDescent="0.3">
      <c r="A387" t="s">
        <v>478</v>
      </c>
      <c r="B387" s="7">
        <v>45893</v>
      </c>
      <c r="C387" t="s">
        <v>70</v>
      </c>
      <c r="D387" t="s">
        <v>1100</v>
      </c>
      <c r="E387" s="3">
        <v>6</v>
      </c>
      <c r="F387" s="3">
        <v>1</v>
      </c>
      <c r="G387" t="s">
        <v>10</v>
      </c>
      <c r="H387" t="s">
        <v>1108</v>
      </c>
      <c r="I387" t="s">
        <v>32</v>
      </c>
      <c r="J387" t="s">
        <v>51</v>
      </c>
      <c r="K387" t="s">
        <v>10</v>
      </c>
      <c r="L387" t="s">
        <v>10</v>
      </c>
      <c r="M387" t="s">
        <v>10</v>
      </c>
      <c r="N387" t="s">
        <v>57</v>
      </c>
      <c r="O387" t="str">
        <f>INDEX(CoverageTable[Deductible Applies],MATCH(Table1820[[#This Row],[Coverage]],CoverageTable[Coverage],0))</f>
        <v>No</v>
      </c>
      <c r="P387" t="str">
        <f>INDEX(CoverageTable[Coverage Limit Applies],MATCH(Table1820[[#This Row],[Coverage]],CoverageTable[Coverage],0))</f>
        <v>Yes</v>
      </c>
      <c r="Q387" t="s">
        <v>10</v>
      </c>
      <c r="R387" t="s">
        <v>80</v>
      </c>
      <c r="S387" t="s">
        <v>10</v>
      </c>
      <c r="T387" t="s">
        <v>10</v>
      </c>
      <c r="U387" t="s">
        <v>10</v>
      </c>
      <c r="V387" t="s">
        <v>10</v>
      </c>
      <c r="W387" t="s">
        <v>10</v>
      </c>
      <c r="X387" s="11">
        <v>945.08073694003235</v>
      </c>
      <c r="Y387">
        <f>_xlfn.XLOOKUP(Table1820[[#This Row],[Coverage]],CoverageTable[Coverage],CoverageTable[Base Rate],,0)</f>
        <v>622</v>
      </c>
      <c r="Z387">
        <f>INDEX(Table16[Ageband Factor],MATCH(Table1820[[#This Row],[Ageband]],Table16[Ageband],0))</f>
        <v>1.07</v>
      </c>
      <c r="AA387">
        <f>VLOOKUP(Table1820[[#This Row],[Years Driving]],Table1[],2)</f>
        <v>1</v>
      </c>
      <c r="AB387">
        <f>_xlfn.XLOOKUP(Table1820[[#This Row],[At Fault Accidents]],Table2[At Fault Accidents],Table2[At Fault Accident Factor],,0)</f>
        <v>1.34</v>
      </c>
      <c r="AC387">
        <f>_xlfn.XLOOKUP(Table1820[[#This Row],[Usage-Based Insurance]],Table3[Usage-Based Insurance],Table3[Usage-Based Insurance Discount],,0)</f>
        <v>1</v>
      </c>
      <c r="AD387">
        <f>_xlfn.XLOOKUP(Table1820[[#This Row],[Yearly Miles]],Table4[Yearly Miles],Table4[Yearly Miles Factor],,0)</f>
        <v>1</v>
      </c>
      <c r="AE387">
        <f>_xlfn.XLOOKUP(Table1820[[#This Row],[City/Zip Code]],Table5[City/Zip Code],Table5[City/Zip Code Factor],,0)</f>
        <v>1.1200000000000001</v>
      </c>
      <c r="AF387">
        <f>_xlfn.XLOOKUP(Table1820[[#This Row],[Vehicle Price]],Table6[Vehicle Price],Table6[Vehicle Price Factor])</f>
        <v>1.28</v>
      </c>
      <c r="AG387">
        <f>_xlfn.XLOOKUP(Table1820[[#This Row],[Exotic Car]],Table7[Exotic Car],Table7[Exotic Car Factor],,0)</f>
        <v>1</v>
      </c>
      <c r="AH387">
        <f>_xlfn.XLOOKUP(Table1820[[#This Row],[Difficult Parts]],Table8[Difficult Parts],Table8[Difficult Parts Factor],,0)</f>
        <v>1</v>
      </c>
      <c r="AI387">
        <f>_xlfn.XLOOKUP(Table1820[[#This Row],[High Theft Rate]],Table9[High Theft Rate],Table9[High Theft Rate Factor],,0)</f>
        <v>1</v>
      </c>
      <c r="AJ387">
        <f>_xlfn.XLOOKUP(Table1820[[#This Row],[Advanced Safety Features]],Table10[Advanced Safety Features],Table10[Advanced Safety Features Factor],,0)</f>
        <v>0.88</v>
      </c>
      <c r="AK387">
        <f>_xlfn.XLOOKUP(Table1820[[#This Row],[Deductible]],Table12[Deductible],Table12[Deductible Factor],,0)</f>
        <v>1</v>
      </c>
      <c r="AL387">
        <f>_xlfn.XLOOKUP(Table1820[[#This Row],[Coverage Limit]],Table13[Coverage Limit],Table13[Coverage Limit Factor],,0)</f>
        <v>0.84</v>
      </c>
      <c r="AM387">
        <f>IF(Table1820[[#This Row],[Good Student Discount]]="Yes",'Rate Book'!$D$126,1)</f>
        <v>1</v>
      </c>
      <c r="AN387">
        <f>IF(Table1820[[#This Row],[Good Driver Discount]]="Yes",'Rate Book'!$D$127,1)</f>
        <v>1</v>
      </c>
      <c r="AO387">
        <f>IF(Table1820[[#This Row],[Multi Policy Discount]]="Yes",'Rate Book'!$D$128,1)</f>
        <v>1</v>
      </c>
      <c r="AP387">
        <f>IF(Table1820[[#This Row],[Loyal Customer Discount]]="Yes",'Rate Book'!$D$129,1)</f>
        <v>1</v>
      </c>
      <c r="AQ387">
        <f>IF(Table1820[[#This Row],[Organization Discount]]="Yes",'Rate Book'!$D$130,1)</f>
        <v>1</v>
      </c>
      <c r="AR387" cm="1">
        <f t="array" ref="AR387">IF(Table1820[[#This Row],[Effective Date]]&gt;=RateChangeTable[Effective Date],RateChangeTable[Rate Change Factor],1)</f>
        <v>1</v>
      </c>
      <c r="AS387" s="10">
        <f>PRODUCT(Table1820[[#This Row],[Base Rate]:[Rate Change Factor]])</f>
        <v>945.08073694003235</v>
      </c>
      <c r="AT387" s="9">
        <f>Table1820[[#This Row],[System-Generated Premium]]-Table1820[[#This Row],[Expected Premium]]</f>
        <v>0</v>
      </c>
      <c r="AU387" t="str">
        <f>IF(Table1820[[#This Row],[Difference]]=0,"PASS","FAIL")</f>
        <v>PASS</v>
      </c>
      <c r="AV387" s="9">
        <f>ABS(Table1820[[#This Row],[Difference]])</f>
        <v>0</v>
      </c>
      <c r="AW387" s="9" t="s">
        <v>1136</v>
      </c>
    </row>
    <row r="388" spans="1:49" x14ac:dyDescent="0.3">
      <c r="A388" t="s">
        <v>479</v>
      </c>
      <c r="B388" s="7">
        <v>46127</v>
      </c>
      <c r="C388" t="s">
        <v>71</v>
      </c>
      <c r="D388" t="s">
        <v>1100</v>
      </c>
      <c r="E388" s="3">
        <v>7</v>
      </c>
      <c r="F388" s="3">
        <v>0</v>
      </c>
      <c r="G388" t="s">
        <v>12</v>
      </c>
      <c r="H388" t="s">
        <v>1110</v>
      </c>
      <c r="I388" t="s">
        <v>32</v>
      </c>
      <c r="J388" t="s">
        <v>54</v>
      </c>
      <c r="K388" t="s">
        <v>10</v>
      </c>
      <c r="L388" t="s">
        <v>10</v>
      </c>
      <c r="M388" t="s">
        <v>57</v>
      </c>
      <c r="N388" t="s">
        <v>10</v>
      </c>
      <c r="O388" t="str">
        <f>INDEX(CoverageTable[Deductible Applies],MATCH(Table1820[[#This Row],[Coverage]],CoverageTable[Coverage],0))</f>
        <v>Yes</v>
      </c>
      <c r="P388" t="str">
        <f>INDEX(CoverageTable[Coverage Limit Applies],MATCH(Table1820[[#This Row],[Coverage]],CoverageTable[Coverage],0))</f>
        <v>No</v>
      </c>
      <c r="Q388" t="s">
        <v>78</v>
      </c>
      <c r="R388" t="s">
        <v>10</v>
      </c>
      <c r="S388" t="s">
        <v>10</v>
      </c>
      <c r="T388" t="s">
        <v>10</v>
      </c>
      <c r="U388" t="s">
        <v>57</v>
      </c>
      <c r="V388" t="s">
        <v>57</v>
      </c>
      <c r="W388" t="s">
        <v>57</v>
      </c>
      <c r="X388" s="11">
        <v>1536.514925315757</v>
      </c>
      <c r="Y388">
        <f>_xlfn.XLOOKUP(Table1820[[#This Row],[Coverage]],CoverageTable[Coverage],CoverageTable[Base Rate],,0)</f>
        <v>453</v>
      </c>
      <c r="Z388">
        <f>INDEX(Table16[Ageband Factor],MATCH(Table1820[[#This Row],[Ageband]],Table16[Ageband],0))</f>
        <v>1.07</v>
      </c>
      <c r="AA388">
        <f>VLOOKUP(Table1820[[#This Row],[Years Driving]],Table1[],2)</f>
        <v>0.95</v>
      </c>
      <c r="AB388">
        <f>_xlfn.XLOOKUP(Table1820[[#This Row],[At Fault Accidents]],Table2[At Fault Accidents],Table2[At Fault Accident Factor],,0)</f>
        <v>1</v>
      </c>
      <c r="AC388">
        <f>_xlfn.XLOOKUP(Table1820[[#This Row],[Usage-Based Insurance]],Table3[Usage-Based Insurance],Table3[Usage-Based Insurance Discount],,0)</f>
        <v>0.8</v>
      </c>
      <c r="AD388">
        <f>_xlfn.XLOOKUP(Table1820[[#This Row],[Yearly Miles]],Table4[Yearly Miles],Table4[Yearly Miles Factor],,0)</f>
        <v>1.31</v>
      </c>
      <c r="AE388">
        <f>_xlfn.XLOOKUP(Table1820[[#This Row],[City/Zip Code]],Table5[City/Zip Code],Table5[City/Zip Code Factor],,0)</f>
        <v>1.1200000000000001</v>
      </c>
      <c r="AF388">
        <f>_xlfn.XLOOKUP(Table1820[[#This Row],[Vehicle Price]],Table6[Vehicle Price],Table6[Vehicle Price Factor])</f>
        <v>2.87</v>
      </c>
      <c r="AG388">
        <f>_xlfn.XLOOKUP(Table1820[[#This Row],[Exotic Car]],Table7[Exotic Car],Table7[Exotic Car Factor],,0)</f>
        <v>1</v>
      </c>
      <c r="AH388">
        <f>_xlfn.XLOOKUP(Table1820[[#This Row],[Difficult Parts]],Table8[Difficult Parts],Table8[Difficult Parts Factor],,0)</f>
        <v>1</v>
      </c>
      <c r="AI388">
        <f>_xlfn.XLOOKUP(Table1820[[#This Row],[High Theft Rate]],Table9[High Theft Rate],Table9[High Theft Rate Factor],,0)</f>
        <v>1.1599999999999999</v>
      </c>
      <c r="AJ388">
        <f>_xlfn.XLOOKUP(Table1820[[#This Row],[Advanced Safety Features]],Table10[Advanced Safety Features],Table10[Advanced Safety Features Factor],,0)</f>
        <v>1</v>
      </c>
      <c r="AK388">
        <f>_xlfn.XLOOKUP(Table1820[[#This Row],[Deductible]],Table12[Deductible],Table12[Deductible Factor],,0)</f>
        <v>0.95</v>
      </c>
      <c r="AL388">
        <f>_xlfn.XLOOKUP(Table1820[[#This Row],[Coverage Limit]],Table13[Coverage Limit],Table13[Coverage Limit Factor],,0)</f>
        <v>1</v>
      </c>
      <c r="AM388">
        <f>IF(Table1820[[#This Row],[Good Student Discount]]="Yes",'Rate Book'!$D$126,1)</f>
        <v>1</v>
      </c>
      <c r="AN388">
        <f>IF(Table1820[[#This Row],[Good Driver Discount]]="Yes",'Rate Book'!$D$127,1)</f>
        <v>1</v>
      </c>
      <c r="AO388">
        <f>IF(Table1820[[#This Row],[Multi Policy Discount]]="Yes",'Rate Book'!$D$128,1)</f>
        <v>0.93</v>
      </c>
      <c r="AP388">
        <f>IF(Table1820[[#This Row],[Loyal Customer Discount]]="Yes",'Rate Book'!$D$129,1)</f>
        <v>0.94</v>
      </c>
      <c r="AQ388">
        <f>IF(Table1820[[#This Row],[Organization Discount]]="Yes",'Rate Book'!$D$130,1)</f>
        <v>0.97</v>
      </c>
      <c r="AR388" cm="1">
        <f t="array" ref="AR388">IF(Table1820[[#This Row],[Effective Date]]&gt;=RateChangeTable[Effective Date],RateChangeTable[Rate Change Factor],1)</f>
        <v>1.06</v>
      </c>
      <c r="AS388" s="10">
        <f>PRODUCT(Table1820[[#This Row],[Base Rate]:[Rate Change Factor]])</f>
        <v>1536.514925315757</v>
      </c>
      <c r="AT388" s="9">
        <f>Table1820[[#This Row],[System-Generated Premium]]-Table1820[[#This Row],[Expected Premium]]</f>
        <v>0</v>
      </c>
      <c r="AU388" t="str">
        <f>IF(Table1820[[#This Row],[Difference]]=0,"PASS","FAIL")</f>
        <v>PASS</v>
      </c>
      <c r="AV388" s="9">
        <f>ABS(Table1820[[#This Row],[Difference]])</f>
        <v>0</v>
      </c>
      <c r="AW388" s="9" t="s">
        <v>1136</v>
      </c>
    </row>
    <row r="389" spans="1:49" x14ac:dyDescent="0.3">
      <c r="A389" t="s">
        <v>480</v>
      </c>
      <c r="B389" s="7">
        <v>45870</v>
      </c>
      <c r="C389" t="s">
        <v>70</v>
      </c>
      <c r="D389" t="s">
        <v>1100</v>
      </c>
      <c r="E389" s="3">
        <v>7</v>
      </c>
      <c r="F389" s="3" t="s">
        <v>7</v>
      </c>
      <c r="G389" t="s">
        <v>10</v>
      </c>
      <c r="H389" t="s">
        <v>1108</v>
      </c>
      <c r="I389" t="s">
        <v>22</v>
      </c>
      <c r="J389" t="s">
        <v>48</v>
      </c>
      <c r="K389" t="s">
        <v>10</v>
      </c>
      <c r="L389" t="s">
        <v>10</v>
      </c>
      <c r="M389" t="s">
        <v>10</v>
      </c>
      <c r="N389" t="s">
        <v>10</v>
      </c>
      <c r="O389" t="str">
        <f>INDEX(CoverageTable[Deductible Applies],MATCH(Table1820[[#This Row],[Coverage]],CoverageTable[Coverage],0))</f>
        <v>No</v>
      </c>
      <c r="P389" t="str">
        <f>INDEX(CoverageTable[Coverage Limit Applies],MATCH(Table1820[[#This Row],[Coverage]],CoverageTable[Coverage],0))</f>
        <v>Yes</v>
      </c>
      <c r="Q389" t="s">
        <v>10</v>
      </c>
      <c r="R389" t="s">
        <v>80</v>
      </c>
      <c r="S389" t="s">
        <v>10</v>
      </c>
      <c r="T389" t="s">
        <v>57</v>
      </c>
      <c r="U389" t="s">
        <v>10</v>
      </c>
      <c r="V389" t="s">
        <v>57</v>
      </c>
      <c r="W389" t="s">
        <v>10</v>
      </c>
      <c r="X389" s="11">
        <v>1088.9077528641792</v>
      </c>
      <c r="Y389">
        <f>_xlfn.XLOOKUP(Table1820[[#This Row],[Coverage]],CoverageTable[Coverage],CoverageTable[Base Rate],,0)</f>
        <v>622</v>
      </c>
      <c r="Z389">
        <f>INDEX(Table16[Ageband Factor],MATCH(Table1820[[#This Row],[Ageband]],Table16[Ageband],0))</f>
        <v>1.07</v>
      </c>
      <c r="AA389">
        <f>VLOOKUP(Table1820[[#This Row],[Years Driving]],Table1[],2)</f>
        <v>0.95</v>
      </c>
      <c r="AB389">
        <f>_xlfn.XLOOKUP(Table1820[[#This Row],[At Fault Accidents]],Table2[At Fault Accidents],Table2[At Fault Accident Factor],,0)</f>
        <v>2.4700000000000002</v>
      </c>
      <c r="AC389">
        <f>_xlfn.XLOOKUP(Table1820[[#This Row],[Usage-Based Insurance]],Table3[Usage-Based Insurance],Table3[Usage-Based Insurance Discount],,0)</f>
        <v>1</v>
      </c>
      <c r="AD389">
        <f>_xlfn.XLOOKUP(Table1820[[#This Row],[Yearly Miles]],Table4[Yearly Miles],Table4[Yearly Miles Factor],,0)</f>
        <v>1</v>
      </c>
      <c r="AE389">
        <f>_xlfn.XLOOKUP(Table1820[[#This Row],[City/Zip Code]],Table5[City/Zip Code],Table5[City/Zip Code Factor],,0)</f>
        <v>1.21</v>
      </c>
      <c r="AF389">
        <f>_xlfn.XLOOKUP(Table1820[[#This Row],[Vehicle Price]],Table6[Vehicle Price],Table6[Vehicle Price Factor])</f>
        <v>0.82</v>
      </c>
      <c r="AG389">
        <f>_xlfn.XLOOKUP(Table1820[[#This Row],[Exotic Car]],Table7[Exotic Car],Table7[Exotic Car Factor],,0)</f>
        <v>1</v>
      </c>
      <c r="AH389">
        <f>_xlfn.XLOOKUP(Table1820[[#This Row],[Difficult Parts]],Table8[Difficult Parts],Table8[Difficult Parts Factor],,0)</f>
        <v>1</v>
      </c>
      <c r="AI389">
        <f>_xlfn.XLOOKUP(Table1820[[#This Row],[High Theft Rate]],Table9[High Theft Rate],Table9[High Theft Rate Factor],,0)</f>
        <v>1</v>
      </c>
      <c r="AJ389">
        <f>_xlfn.XLOOKUP(Table1820[[#This Row],[Advanced Safety Features]],Table10[Advanced Safety Features],Table10[Advanced Safety Features Factor],,0)</f>
        <v>1</v>
      </c>
      <c r="AK389">
        <f>_xlfn.XLOOKUP(Table1820[[#This Row],[Deductible]],Table12[Deductible],Table12[Deductible Factor],,0)</f>
        <v>1</v>
      </c>
      <c r="AL389">
        <f>_xlfn.XLOOKUP(Table1820[[#This Row],[Coverage Limit]],Table13[Coverage Limit],Table13[Coverage Limit Factor],,0)</f>
        <v>0.84</v>
      </c>
      <c r="AM389">
        <f>IF(Table1820[[#This Row],[Good Student Discount]]="Yes",'Rate Book'!$D$126,1)</f>
        <v>1</v>
      </c>
      <c r="AN389">
        <f>IF(Table1820[[#This Row],[Good Driver Discount]]="Yes",'Rate Book'!$D$127,1)</f>
        <v>0.89</v>
      </c>
      <c r="AO389">
        <f>IF(Table1820[[#This Row],[Multi Policy Discount]]="Yes",'Rate Book'!$D$128,1)</f>
        <v>1</v>
      </c>
      <c r="AP389">
        <f>IF(Table1820[[#This Row],[Loyal Customer Discount]]="Yes",'Rate Book'!$D$129,1)</f>
        <v>0.94</v>
      </c>
      <c r="AQ389">
        <f>IF(Table1820[[#This Row],[Organization Discount]]="Yes",'Rate Book'!$D$130,1)</f>
        <v>1</v>
      </c>
      <c r="AR389" cm="1">
        <f t="array" ref="AR389">IF(Table1820[[#This Row],[Effective Date]]&gt;=RateChangeTable[Effective Date],RateChangeTable[Rate Change Factor],1)</f>
        <v>1</v>
      </c>
      <c r="AS389" s="10">
        <f>PRODUCT(Table1820[[#This Row],[Base Rate]:[Rate Change Factor]])</f>
        <v>1088.9077528641792</v>
      </c>
      <c r="AT389" s="9">
        <f>Table1820[[#This Row],[System-Generated Premium]]-Table1820[[#This Row],[Expected Premium]]</f>
        <v>0</v>
      </c>
      <c r="AU389" t="str">
        <f>IF(Table1820[[#This Row],[Difference]]=0,"PASS","FAIL")</f>
        <v>PASS</v>
      </c>
      <c r="AV389" s="9">
        <f>ABS(Table1820[[#This Row],[Difference]])</f>
        <v>0</v>
      </c>
      <c r="AW389" s="9" t="s">
        <v>1136</v>
      </c>
    </row>
    <row r="390" spans="1:49" x14ac:dyDescent="0.3">
      <c r="A390" t="s">
        <v>481</v>
      </c>
      <c r="B390" s="7">
        <v>46070</v>
      </c>
      <c r="C390" t="s">
        <v>74</v>
      </c>
      <c r="D390" t="s">
        <v>1098</v>
      </c>
      <c r="E390" s="3">
        <v>7</v>
      </c>
      <c r="F390" s="3">
        <v>1</v>
      </c>
      <c r="G390" t="s">
        <v>10</v>
      </c>
      <c r="H390" t="s">
        <v>1110</v>
      </c>
      <c r="I390" t="s">
        <v>25</v>
      </c>
      <c r="J390" t="s">
        <v>50</v>
      </c>
      <c r="K390" t="s">
        <v>10</v>
      </c>
      <c r="L390" t="s">
        <v>10</v>
      </c>
      <c r="M390" t="s">
        <v>10</v>
      </c>
      <c r="N390" t="s">
        <v>57</v>
      </c>
      <c r="O390" t="str">
        <f>INDEX(CoverageTable[Deductible Applies],MATCH(Table1820[[#This Row],[Coverage]],CoverageTable[Coverage],0))</f>
        <v>No</v>
      </c>
      <c r="P390" t="str">
        <f>INDEX(CoverageTable[Coverage Limit Applies],MATCH(Table1820[[#This Row],[Coverage]],CoverageTable[Coverage],0))</f>
        <v>Yes</v>
      </c>
      <c r="Q390" t="s">
        <v>10</v>
      </c>
      <c r="R390" t="s">
        <v>78</v>
      </c>
      <c r="S390" t="s">
        <v>10</v>
      </c>
      <c r="T390" t="s">
        <v>10</v>
      </c>
      <c r="U390" t="s">
        <v>10</v>
      </c>
      <c r="V390" t="s">
        <v>10</v>
      </c>
      <c r="W390" t="s">
        <v>57</v>
      </c>
      <c r="X390" s="11">
        <v>58.151446062017129</v>
      </c>
      <c r="Y390">
        <f>_xlfn.XLOOKUP(Table1820[[#This Row],[Coverage]],CoverageTable[Coverage],CoverageTable[Base Rate],,0)</f>
        <v>41</v>
      </c>
      <c r="Z390">
        <f>INDEX(Table16[Ageband Factor],MATCH(Table1820[[#This Row],[Ageband]],Table16[Ageband],0))</f>
        <v>1.23</v>
      </c>
      <c r="AA390">
        <f>VLOOKUP(Table1820[[#This Row],[Years Driving]],Table1[],2)</f>
        <v>0.95</v>
      </c>
      <c r="AB390">
        <f>_xlfn.XLOOKUP(Table1820[[#This Row],[At Fault Accidents]],Table2[At Fault Accidents],Table2[At Fault Accident Factor],,0)</f>
        <v>1.34</v>
      </c>
      <c r="AC390">
        <f>_xlfn.XLOOKUP(Table1820[[#This Row],[Usage-Based Insurance]],Table3[Usage-Based Insurance],Table3[Usage-Based Insurance Discount],,0)</f>
        <v>1</v>
      </c>
      <c r="AD390">
        <f>_xlfn.XLOOKUP(Table1820[[#This Row],[Yearly Miles]],Table4[Yearly Miles],Table4[Yearly Miles Factor],,0)</f>
        <v>1.31</v>
      </c>
      <c r="AE390">
        <f>_xlfn.XLOOKUP(Table1820[[#This Row],[City/Zip Code]],Table5[City/Zip Code],Table5[City/Zip Code Factor],,0)</f>
        <v>1.1599999999999999</v>
      </c>
      <c r="AF390">
        <f>_xlfn.XLOOKUP(Table1820[[#This Row],[Vehicle Price]],Table6[Vehicle Price],Table6[Vehicle Price Factor])</f>
        <v>1.08</v>
      </c>
      <c r="AG390">
        <f>_xlfn.XLOOKUP(Table1820[[#This Row],[Exotic Car]],Table7[Exotic Car],Table7[Exotic Car Factor],,0)</f>
        <v>1</v>
      </c>
      <c r="AH390">
        <f>_xlfn.XLOOKUP(Table1820[[#This Row],[Difficult Parts]],Table8[Difficult Parts],Table8[Difficult Parts Factor],,0)</f>
        <v>1</v>
      </c>
      <c r="AI390">
        <f>_xlfn.XLOOKUP(Table1820[[#This Row],[High Theft Rate]],Table9[High Theft Rate],Table9[High Theft Rate Factor],,0)</f>
        <v>1</v>
      </c>
      <c r="AJ390">
        <f>_xlfn.XLOOKUP(Table1820[[#This Row],[Advanced Safety Features]],Table10[Advanced Safety Features],Table10[Advanced Safety Features Factor],,0)</f>
        <v>0.88</v>
      </c>
      <c r="AK390">
        <f>_xlfn.XLOOKUP(Table1820[[#This Row],[Deductible]],Table12[Deductible],Table12[Deductible Factor],,0)</f>
        <v>1</v>
      </c>
      <c r="AL390">
        <f>_xlfn.XLOOKUP(Table1820[[#This Row],[Coverage Limit]],Table13[Coverage Limit],Table13[Coverage Limit Factor],,0)</f>
        <v>0.61</v>
      </c>
      <c r="AM390">
        <f>IF(Table1820[[#This Row],[Good Student Discount]]="Yes",'Rate Book'!$D$126,1)</f>
        <v>1</v>
      </c>
      <c r="AN390">
        <f>IF(Table1820[[#This Row],[Good Driver Discount]]="Yes",'Rate Book'!$D$127,1)</f>
        <v>1</v>
      </c>
      <c r="AO390">
        <f>IF(Table1820[[#This Row],[Multi Policy Discount]]="Yes",'Rate Book'!$D$128,1)</f>
        <v>1</v>
      </c>
      <c r="AP390">
        <f>IF(Table1820[[#This Row],[Loyal Customer Discount]]="Yes",'Rate Book'!$D$129,1)</f>
        <v>1</v>
      </c>
      <c r="AQ390">
        <f>IF(Table1820[[#This Row],[Organization Discount]]="Yes",'Rate Book'!$D$130,1)</f>
        <v>0.97</v>
      </c>
      <c r="AR390" cm="1">
        <f t="array" ref="AR390">IF(Table1820[[#This Row],[Effective Date]]&gt;=RateChangeTable[Effective Date],RateChangeTable[Rate Change Factor],1)</f>
        <v>1.06</v>
      </c>
      <c r="AS390" s="10">
        <f>PRODUCT(Table1820[[#This Row],[Base Rate]:[Rate Change Factor]])</f>
        <v>58.151446062017129</v>
      </c>
      <c r="AT390" s="9">
        <f>Table1820[[#This Row],[System-Generated Premium]]-Table1820[[#This Row],[Expected Premium]]</f>
        <v>0</v>
      </c>
      <c r="AU390" t="str">
        <f>IF(Table1820[[#This Row],[Difference]]=0,"PASS","FAIL")</f>
        <v>PASS</v>
      </c>
      <c r="AV390" s="9">
        <f>ABS(Table1820[[#This Row],[Difference]])</f>
        <v>0</v>
      </c>
      <c r="AW390" s="9" t="s">
        <v>1136</v>
      </c>
    </row>
    <row r="391" spans="1:49" x14ac:dyDescent="0.3">
      <c r="A391" t="s">
        <v>482</v>
      </c>
      <c r="B391" s="7">
        <v>45897</v>
      </c>
      <c r="C391" t="s">
        <v>70</v>
      </c>
      <c r="D391" t="s">
        <v>1099</v>
      </c>
      <c r="E391" s="3">
        <v>4</v>
      </c>
      <c r="F391" s="3">
        <v>1</v>
      </c>
      <c r="G391" t="s">
        <v>11</v>
      </c>
      <c r="H391" t="s">
        <v>1110</v>
      </c>
      <c r="I391" t="s">
        <v>23</v>
      </c>
      <c r="J391" t="s">
        <v>51</v>
      </c>
      <c r="K391" t="s">
        <v>10</v>
      </c>
      <c r="L391" t="s">
        <v>10</v>
      </c>
      <c r="M391" t="s">
        <v>10</v>
      </c>
      <c r="N391" t="s">
        <v>10</v>
      </c>
      <c r="O391" t="str">
        <f>INDEX(CoverageTable[Deductible Applies],MATCH(Table1820[[#This Row],[Coverage]],CoverageTable[Coverage],0))</f>
        <v>No</v>
      </c>
      <c r="P391" t="str">
        <f>INDEX(CoverageTable[Coverage Limit Applies],MATCH(Table1820[[#This Row],[Coverage]],CoverageTable[Coverage],0))</f>
        <v>Yes</v>
      </c>
      <c r="Q391" t="s">
        <v>10</v>
      </c>
      <c r="R391" t="s">
        <v>79</v>
      </c>
      <c r="S391" t="s">
        <v>57</v>
      </c>
      <c r="T391" t="s">
        <v>57</v>
      </c>
      <c r="U391" t="s">
        <v>10</v>
      </c>
      <c r="V391" t="s">
        <v>10</v>
      </c>
      <c r="W391" t="s">
        <v>10</v>
      </c>
      <c r="X391" s="11">
        <v>828.12529775530959</v>
      </c>
      <c r="Y391">
        <f>_xlfn.XLOOKUP(Table1820[[#This Row],[Coverage]],CoverageTable[Coverage],CoverageTable[Base Rate],,0)</f>
        <v>622</v>
      </c>
      <c r="Z391">
        <f>INDEX(Table16[Ageband Factor],MATCH(Table1820[[#This Row],[Ageband]],Table16[Ageband],0))</f>
        <v>1</v>
      </c>
      <c r="AA391">
        <f>VLOOKUP(Table1820[[#This Row],[Years Driving]],Table1[],2)</f>
        <v>1.1499999999999999</v>
      </c>
      <c r="AB391">
        <f>_xlfn.XLOOKUP(Table1820[[#This Row],[At Fault Accidents]],Table2[At Fault Accidents],Table2[At Fault Accident Factor],,0)</f>
        <v>1.34</v>
      </c>
      <c r="AC391">
        <f>_xlfn.XLOOKUP(Table1820[[#This Row],[Usage-Based Insurance]],Table3[Usage-Based Insurance],Table3[Usage-Based Insurance Discount],,0)</f>
        <v>0.95</v>
      </c>
      <c r="AD391">
        <f>_xlfn.XLOOKUP(Table1820[[#This Row],[Yearly Miles]],Table4[Yearly Miles],Table4[Yearly Miles Factor],,0)</f>
        <v>1.31</v>
      </c>
      <c r="AE391">
        <f>_xlfn.XLOOKUP(Table1820[[#This Row],[City/Zip Code]],Table5[City/Zip Code],Table5[City/Zip Code Factor],,0)</f>
        <v>0.92</v>
      </c>
      <c r="AF391">
        <f>_xlfn.XLOOKUP(Table1820[[#This Row],[Vehicle Price]],Table6[Vehicle Price],Table6[Vehicle Price Factor])</f>
        <v>1.28</v>
      </c>
      <c r="AG391">
        <f>_xlfn.XLOOKUP(Table1820[[#This Row],[Exotic Car]],Table7[Exotic Car],Table7[Exotic Car Factor],,0)</f>
        <v>1</v>
      </c>
      <c r="AH391">
        <f>_xlfn.XLOOKUP(Table1820[[#This Row],[Difficult Parts]],Table8[Difficult Parts],Table8[Difficult Parts Factor],,0)</f>
        <v>1</v>
      </c>
      <c r="AI391">
        <f>_xlfn.XLOOKUP(Table1820[[#This Row],[High Theft Rate]],Table9[High Theft Rate],Table9[High Theft Rate Factor],,0)</f>
        <v>1</v>
      </c>
      <c r="AJ391">
        <f>_xlfn.XLOOKUP(Table1820[[#This Row],[Advanced Safety Features]],Table10[Advanced Safety Features],Table10[Advanced Safety Features Factor],,0)</f>
        <v>1</v>
      </c>
      <c r="AK391">
        <f>_xlfn.XLOOKUP(Table1820[[#This Row],[Deductible]],Table12[Deductible],Table12[Deductible Factor],,0)</f>
        <v>1</v>
      </c>
      <c r="AL391">
        <f>_xlfn.XLOOKUP(Table1820[[#This Row],[Coverage Limit]],Table13[Coverage Limit],Table13[Coverage Limit Factor],,0)</f>
        <v>0.72</v>
      </c>
      <c r="AM391">
        <f>IF(Table1820[[#This Row],[Good Student Discount]]="Yes",'Rate Book'!$D$126,1)</f>
        <v>0.92</v>
      </c>
      <c r="AN391">
        <f>IF(Table1820[[#This Row],[Good Driver Discount]]="Yes",'Rate Book'!$D$127,1)</f>
        <v>0.89</v>
      </c>
      <c r="AO391">
        <f>IF(Table1820[[#This Row],[Multi Policy Discount]]="Yes",'Rate Book'!$D$128,1)</f>
        <v>1</v>
      </c>
      <c r="AP391">
        <f>IF(Table1820[[#This Row],[Loyal Customer Discount]]="Yes",'Rate Book'!$D$129,1)</f>
        <v>1</v>
      </c>
      <c r="AQ391">
        <f>IF(Table1820[[#This Row],[Organization Discount]]="Yes",'Rate Book'!$D$130,1)</f>
        <v>1</v>
      </c>
      <c r="AR391" cm="1">
        <f t="array" ref="AR391">IF(Table1820[[#This Row],[Effective Date]]&gt;=RateChangeTable[Effective Date],RateChangeTable[Rate Change Factor],1)</f>
        <v>1</v>
      </c>
      <c r="AS391" s="10">
        <f>PRODUCT(Table1820[[#This Row],[Base Rate]:[Rate Change Factor]])</f>
        <v>828.12529775530959</v>
      </c>
      <c r="AT391" s="9">
        <f>Table1820[[#This Row],[System-Generated Premium]]-Table1820[[#This Row],[Expected Premium]]</f>
        <v>0</v>
      </c>
      <c r="AU391" t="str">
        <f>IF(Table1820[[#This Row],[Difference]]=0,"PASS","FAIL")</f>
        <v>PASS</v>
      </c>
      <c r="AV391" s="9">
        <f>ABS(Table1820[[#This Row],[Difference]])</f>
        <v>0</v>
      </c>
      <c r="AW391" s="9" t="s">
        <v>1136</v>
      </c>
    </row>
    <row r="392" spans="1:49" x14ac:dyDescent="0.3">
      <c r="A392" t="s">
        <v>483</v>
      </c>
      <c r="B392" s="7">
        <v>45895</v>
      </c>
      <c r="C392" t="s">
        <v>71</v>
      </c>
      <c r="D392" t="s">
        <v>1098</v>
      </c>
      <c r="E392" s="3" t="s">
        <v>1103</v>
      </c>
      <c r="F392" s="3">
        <v>1</v>
      </c>
      <c r="G392" t="s">
        <v>12</v>
      </c>
      <c r="H392" t="s">
        <v>1110</v>
      </c>
      <c r="I392" t="s">
        <v>21</v>
      </c>
      <c r="J392" t="s">
        <v>53</v>
      </c>
      <c r="K392" t="s">
        <v>10</v>
      </c>
      <c r="L392" t="s">
        <v>57</v>
      </c>
      <c r="M392" t="s">
        <v>10</v>
      </c>
      <c r="N392" t="s">
        <v>10</v>
      </c>
      <c r="O392" t="str">
        <f>INDEX(CoverageTable[Deductible Applies],MATCH(Table1820[[#This Row],[Coverage]],CoverageTable[Coverage],0))</f>
        <v>Yes</v>
      </c>
      <c r="P392" t="str">
        <f>INDEX(CoverageTable[Coverage Limit Applies],MATCH(Table1820[[#This Row],[Coverage]],CoverageTable[Coverage],0))</f>
        <v>No</v>
      </c>
      <c r="Q392" t="s">
        <v>80</v>
      </c>
      <c r="R392" t="s">
        <v>10</v>
      </c>
      <c r="S392" t="s">
        <v>10</v>
      </c>
      <c r="T392" t="s">
        <v>57</v>
      </c>
      <c r="U392" t="s">
        <v>10</v>
      </c>
      <c r="V392" t="s">
        <v>10</v>
      </c>
      <c r="W392" t="s">
        <v>10</v>
      </c>
      <c r="X392" s="11">
        <v>1436.0915637770879</v>
      </c>
      <c r="Y392">
        <f>_xlfn.XLOOKUP(Table1820[[#This Row],[Coverage]],CoverageTable[Coverage],CoverageTable[Base Rate],,0)</f>
        <v>453</v>
      </c>
      <c r="Z392">
        <f>INDEX(Table16[Ageband Factor],MATCH(Table1820[[#This Row],[Ageband]],Table16[Ageband],0))</f>
        <v>1.23</v>
      </c>
      <c r="AA392">
        <f>VLOOKUP(Table1820[[#This Row],[Years Driving]],Table1[],2)</f>
        <v>0.93</v>
      </c>
      <c r="AB392">
        <f>_xlfn.XLOOKUP(Table1820[[#This Row],[At Fault Accidents]],Table2[At Fault Accidents],Table2[At Fault Accident Factor],,0)</f>
        <v>1.34</v>
      </c>
      <c r="AC392">
        <f>_xlfn.XLOOKUP(Table1820[[#This Row],[Usage-Based Insurance]],Table3[Usage-Based Insurance],Table3[Usage-Based Insurance Discount],,0)</f>
        <v>0.8</v>
      </c>
      <c r="AD392">
        <f>_xlfn.XLOOKUP(Table1820[[#This Row],[Yearly Miles]],Table4[Yearly Miles],Table4[Yearly Miles Factor],,0)</f>
        <v>1.31</v>
      </c>
      <c r="AE392">
        <f>_xlfn.XLOOKUP(Table1820[[#This Row],[City/Zip Code]],Table5[City/Zip Code],Table5[City/Zip Code Factor],,0)</f>
        <v>1.26</v>
      </c>
      <c r="AF392">
        <f>_xlfn.XLOOKUP(Table1820[[#This Row],[Vehicle Price]],Table6[Vehicle Price],Table6[Vehicle Price Factor])</f>
        <v>2.02</v>
      </c>
      <c r="AG392">
        <f>_xlfn.XLOOKUP(Table1820[[#This Row],[Exotic Car]],Table7[Exotic Car],Table7[Exotic Car Factor],,0)</f>
        <v>1</v>
      </c>
      <c r="AH392">
        <f>_xlfn.XLOOKUP(Table1820[[#This Row],[Difficult Parts]],Table8[Difficult Parts],Table8[Difficult Parts Factor],,0)</f>
        <v>1.21</v>
      </c>
      <c r="AI392">
        <f>_xlfn.XLOOKUP(Table1820[[#This Row],[High Theft Rate]],Table9[High Theft Rate],Table9[High Theft Rate Factor],,0)</f>
        <v>1</v>
      </c>
      <c r="AJ392">
        <f>_xlfn.XLOOKUP(Table1820[[#This Row],[Advanced Safety Features]],Table10[Advanced Safety Features],Table10[Advanced Safety Features Factor],,0)</f>
        <v>1</v>
      </c>
      <c r="AK392">
        <f>_xlfn.XLOOKUP(Table1820[[#This Row],[Deductible]],Table12[Deductible],Table12[Deductible Factor],,0)</f>
        <v>0.72</v>
      </c>
      <c r="AL392">
        <f>_xlfn.XLOOKUP(Table1820[[#This Row],[Coverage Limit]],Table13[Coverage Limit],Table13[Coverage Limit Factor],,0)</f>
        <v>1</v>
      </c>
      <c r="AM392">
        <f>IF(Table1820[[#This Row],[Good Student Discount]]="Yes",'Rate Book'!$D$126,1)</f>
        <v>1</v>
      </c>
      <c r="AN392">
        <f>IF(Table1820[[#This Row],[Good Driver Discount]]="Yes",'Rate Book'!$D$127,1)</f>
        <v>0.89</v>
      </c>
      <c r="AO392">
        <f>IF(Table1820[[#This Row],[Multi Policy Discount]]="Yes",'Rate Book'!$D$128,1)</f>
        <v>1</v>
      </c>
      <c r="AP392">
        <f>IF(Table1820[[#This Row],[Loyal Customer Discount]]="Yes",'Rate Book'!$D$129,1)</f>
        <v>1</v>
      </c>
      <c r="AQ392">
        <f>IF(Table1820[[#This Row],[Organization Discount]]="Yes",'Rate Book'!$D$130,1)</f>
        <v>1</v>
      </c>
      <c r="AR392" cm="1">
        <f t="array" ref="AR392">IF(Table1820[[#This Row],[Effective Date]]&gt;=RateChangeTable[Effective Date],RateChangeTable[Rate Change Factor],1)</f>
        <v>1</v>
      </c>
      <c r="AS392" s="10">
        <f>PRODUCT(Table1820[[#This Row],[Base Rate]:[Rate Change Factor]])</f>
        <v>1436.0915637770879</v>
      </c>
      <c r="AT392" s="9">
        <f>Table1820[[#This Row],[System-Generated Premium]]-Table1820[[#This Row],[Expected Premium]]</f>
        <v>0</v>
      </c>
      <c r="AU392" t="str">
        <f>IF(Table1820[[#This Row],[Difference]]=0,"PASS","FAIL")</f>
        <v>PASS</v>
      </c>
      <c r="AV392" s="9">
        <f>ABS(Table1820[[#This Row],[Difference]])</f>
        <v>0</v>
      </c>
      <c r="AW392" s="9" t="s">
        <v>1136</v>
      </c>
    </row>
    <row r="393" spans="1:49" x14ac:dyDescent="0.3">
      <c r="A393" t="s">
        <v>484</v>
      </c>
      <c r="B393" s="7">
        <v>45875</v>
      </c>
      <c r="C393" t="s">
        <v>74</v>
      </c>
      <c r="D393" t="s">
        <v>1101</v>
      </c>
      <c r="E393" s="3">
        <v>5</v>
      </c>
      <c r="F393" s="3">
        <v>4</v>
      </c>
      <c r="G393" t="s">
        <v>13</v>
      </c>
      <c r="H393" t="s">
        <v>1106</v>
      </c>
      <c r="I393" t="s">
        <v>23</v>
      </c>
      <c r="J393" t="s">
        <v>54</v>
      </c>
      <c r="K393" t="s">
        <v>10</v>
      </c>
      <c r="L393" t="s">
        <v>10</v>
      </c>
      <c r="M393" t="s">
        <v>57</v>
      </c>
      <c r="N393" t="s">
        <v>57</v>
      </c>
      <c r="O393" t="str">
        <f>INDEX(CoverageTable[Deductible Applies],MATCH(Table1820[[#This Row],[Coverage]],CoverageTable[Coverage],0))</f>
        <v>No</v>
      </c>
      <c r="P393" t="str">
        <f>INDEX(CoverageTable[Coverage Limit Applies],MATCH(Table1820[[#This Row],[Coverage]],CoverageTable[Coverage],0))</f>
        <v>Yes</v>
      </c>
      <c r="Q393" t="s">
        <v>10</v>
      </c>
      <c r="R393" t="s">
        <v>80</v>
      </c>
      <c r="S393" t="s">
        <v>10</v>
      </c>
      <c r="T393" t="s">
        <v>10</v>
      </c>
      <c r="U393" t="s">
        <v>57</v>
      </c>
      <c r="V393" t="s">
        <v>57</v>
      </c>
      <c r="W393" t="s">
        <v>10</v>
      </c>
      <c r="X393" s="11">
        <v>109.88772965617274</v>
      </c>
      <c r="Y393">
        <f>_xlfn.XLOOKUP(Table1820[[#This Row],[Coverage]],CoverageTable[Coverage],CoverageTable[Base Rate],,0)</f>
        <v>41</v>
      </c>
      <c r="Z393">
        <f>INDEX(Table16[Ageband Factor],MATCH(Table1820[[#This Row],[Ageband]],Table16[Ageband],0))</f>
        <v>1.1200000000000001</v>
      </c>
      <c r="AA393">
        <f>VLOOKUP(Table1820[[#This Row],[Years Driving]],Table1[],2)</f>
        <v>1.07</v>
      </c>
      <c r="AB393">
        <f>_xlfn.XLOOKUP(Table1820[[#This Row],[At Fault Accidents]],Table2[At Fault Accidents],Table2[At Fault Accident Factor],,0)</f>
        <v>2.12</v>
      </c>
      <c r="AC393">
        <f>_xlfn.XLOOKUP(Table1820[[#This Row],[Usage-Based Insurance]],Table3[Usage-Based Insurance],Table3[Usage-Based Insurance Discount],,0)</f>
        <v>0.65</v>
      </c>
      <c r="AD393">
        <f>_xlfn.XLOOKUP(Table1820[[#This Row],[Yearly Miles]],Table4[Yearly Miles],Table4[Yearly Miles Factor],,0)</f>
        <v>0.82</v>
      </c>
      <c r="AE393">
        <f>_xlfn.XLOOKUP(Table1820[[#This Row],[City/Zip Code]],Table5[City/Zip Code],Table5[City/Zip Code Factor],,0)</f>
        <v>0.92</v>
      </c>
      <c r="AF393">
        <f>_xlfn.XLOOKUP(Table1820[[#This Row],[Vehicle Price]],Table6[Vehicle Price],Table6[Vehicle Price Factor])</f>
        <v>2.87</v>
      </c>
      <c r="AG393">
        <f>_xlfn.XLOOKUP(Table1820[[#This Row],[Exotic Car]],Table7[Exotic Car],Table7[Exotic Car Factor],,0)</f>
        <v>1</v>
      </c>
      <c r="AH393">
        <f>_xlfn.XLOOKUP(Table1820[[#This Row],[Difficult Parts]],Table8[Difficult Parts],Table8[Difficult Parts Factor],,0)</f>
        <v>1</v>
      </c>
      <c r="AI393">
        <f>_xlfn.XLOOKUP(Table1820[[#This Row],[High Theft Rate]],Table9[High Theft Rate],Table9[High Theft Rate Factor],,0)</f>
        <v>1.1599999999999999</v>
      </c>
      <c r="AJ393">
        <f>_xlfn.XLOOKUP(Table1820[[#This Row],[Advanced Safety Features]],Table10[Advanced Safety Features],Table10[Advanced Safety Features Factor],,0)</f>
        <v>0.88</v>
      </c>
      <c r="AK393">
        <f>_xlfn.XLOOKUP(Table1820[[#This Row],[Deductible]],Table12[Deductible],Table12[Deductible Factor],,0)</f>
        <v>1</v>
      </c>
      <c r="AL393">
        <f>_xlfn.XLOOKUP(Table1820[[#This Row],[Coverage Limit]],Table13[Coverage Limit],Table13[Coverage Limit Factor],,0)</f>
        <v>0.84</v>
      </c>
      <c r="AM393">
        <f>IF(Table1820[[#This Row],[Good Student Discount]]="Yes",'Rate Book'!$D$126,1)</f>
        <v>1</v>
      </c>
      <c r="AN393">
        <f>IF(Table1820[[#This Row],[Good Driver Discount]]="Yes",'Rate Book'!$D$127,1)</f>
        <v>1</v>
      </c>
      <c r="AO393">
        <f>IF(Table1820[[#This Row],[Multi Policy Discount]]="Yes",'Rate Book'!$D$128,1)</f>
        <v>0.93</v>
      </c>
      <c r="AP393">
        <f>IF(Table1820[[#This Row],[Loyal Customer Discount]]="Yes",'Rate Book'!$D$129,1)</f>
        <v>0.94</v>
      </c>
      <c r="AQ393">
        <f>IF(Table1820[[#This Row],[Organization Discount]]="Yes",'Rate Book'!$D$130,1)</f>
        <v>1</v>
      </c>
      <c r="AR393" cm="1">
        <f t="array" ref="AR393">IF(Table1820[[#This Row],[Effective Date]]&gt;=RateChangeTable[Effective Date],RateChangeTable[Rate Change Factor],1)</f>
        <v>1</v>
      </c>
      <c r="AS393" s="10">
        <f>PRODUCT(Table1820[[#This Row],[Base Rate]:[Rate Change Factor]])</f>
        <v>109.88772965617274</v>
      </c>
      <c r="AT393" s="9">
        <f>Table1820[[#This Row],[System-Generated Premium]]-Table1820[[#This Row],[Expected Premium]]</f>
        <v>0</v>
      </c>
      <c r="AU393" t="str">
        <f>IF(Table1820[[#This Row],[Difference]]=0,"PASS","FAIL")</f>
        <v>PASS</v>
      </c>
      <c r="AV393" s="9">
        <f>ABS(Table1820[[#This Row],[Difference]])</f>
        <v>0</v>
      </c>
      <c r="AW393" s="9" t="s">
        <v>1136</v>
      </c>
    </row>
    <row r="394" spans="1:49" x14ac:dyDescent="0.3">
      <c r="A394" t="s">
        <v>485</v>
      </c>
      <c r="B394" s="7">
        <v>45817</v>
      </c>
      <c r="C394" t="s">
        <v>71</v>
      </c>
      <c r="D394" t="s">
        <v>1098</v>
      </c>
      <c r="E394" s="3">
        <v>2</v>
      </c>
      <c r="F394" s="3">
        <v>3</v>
      </c>
      <c r="G394" t="s">
        <v>10</v>
      </c>
      <c r="H394" t="s">
        <v>1107</v>
      </c>
      <c r="I394" t="s">
        <v>40</v>
      </c>
      <c r="J394" t="s">
        <v>51</v>
      </c>
      <c r="K394" t="s">
        <v>10</v>
      </c>
      <c r="L394" t="s">
        <v>10</v>
      </c>
      <c r="M394" t="s">
        <v>10</v>
      </c>
      <c r="N394" t="s">
        <v>57</v>
      </c>
      <c r="O394" t="str">
        <f>INDEX(CoverageTable[Deductible Applies],MATCH(Table1820[[#This Row],[Coverage]],CoverageTable[Coverage],0))</f>
        <v>Yes</v>
      </c>
      <c r="P394" t="str">
        <f>INDEX(CoverageTable[Coverage Limit Applies],MATCH(Table1820[[#This Row],[Coverage]],CoverageTable[Coverage],0))</f>
        <v>No</v>
      </c>
      <c r="Q394" t="s">
        <v>78</v>
      </c>
      <c r="R394" t="s">
        <v>10</v>
      </c>
      <c r="S394" t="s">
        <v>10</v>
      </c>
      <c r="T394" t="s">
        <v>57</v>
      </c>
      <c r="U394" t="s">
        <v>10</v>
      </c>
      <c r="V394" t="s">
        <v>10</v>
      </c>
      <c r="W394" t="s">
        <v>57</v>
      </c>
      <c r="X394" s="11">
        <v>1339.0020705704312</v>
      </c>
      <c r="Y394">
        <f>_xlfn.XLOOKUP(Table1820[[#This Row],[Coverage]],CoverageTable[Coverage],CoverageTable[Base Rate],,0)</f>
        <v>453</v>
      </c>
      <c r="Z394">
        <f>INDEX(Table16[Ageband Factor],MATCH(Table1820[[#This Row],[Ageband]],Table16[Ageband],0))</f>
        <v>1.23</v>
      </c>
      <c r="AA394">
        <f>VLOOKUP(Table1820[[#This Row],[Years Driving]],Table1[],2)</f>
        <v>1.41</v>
      </c>
      <c r="AB394">
        <f>_xlfn.XLOOKUP(Table1820[[#This Row],[At Fault Accidents]],Table2[At Fault Accidents],Table2[At Fault Accident Factor],,0)</f>
        <v>1.82</v>
      </c>
      <c r="AC394">
        <f>_xlfn.XLOOKUP(Table1820[[#This Row],[Usage-Based Insurance]],Table3[Usage-Based Insurance],Table3[Usage-Based Insurance Discount],,0)</f>
        <v>1</v>
      </c>
      <c r="AD394">
        <f>_xlfn.XLOOKUP(Table1820[[#This Row],[Yearly Miles]],Table4[Yearly Miles],Table4[Yearly Miles Factor],,0)</f>
        <v>0.93</v>
      </c>
      <c r="AE394">
        <f>_xlfn.XLOOKUP(Table1820[[#This Row],[City/Zip Code]],Table5[City/Zip Code],Table5[City/Zip Code Factor],,0)</f>
        <v>1.0900000000000001</v>
      </c>
      <c r="AF394">
        <f>_xlfn.XLOOKUP(Table1820[[#This Row],[Vehicle Price]],Table6[Vehicle Price],Table6[Vehicle Price Factor])</f>
        <v>1.28</v>
      </c>
      <c r="AG394">
        <f>_xlfn.XLOOKUP(Table1820[[#This Row],[Exotic Car]],Table7[Exotic Car],Table7[Exotic Car Factor],,0)</f>
        <v>1</v>
      </c>
      <c r="AH394">
        <f>_xlfn.XLOOKUP(Table1820[[#This Row],[Difficult Parts]],Table8[Difficult Parts],Table8[Difficult Parts Factor],,0)</f>
        <v>1</v>
      </c>
      <c r="AI394">
        <f>_xlfn.XLOOKUP(Table1820[[#This Row],[High Theft Rate]],Table9[High Theft Rate],Table9[High Theft Rate Factor],,0)</f>
        <v>1</v>
      </c>
      <c r="AJ394">
        <f>_xlfn.XLOOKUP(Table1820[[#This Row],[Advanced Safety Features]],Table10[Advanced Safety Features],Table10[Advanced Safety Features Factor],,0)</f>
        <v>0.88</v>
      </c>
      <c r="AK394">
        <f>_xlfn.XLOOKUP(Table1820[[#This Row],[Deductible]],Table12[Deductible],Table12[Deductible Factor],,0)</f>
        <v>0.95</v>
      </c>
      <c r="AL394">
        <f>_xlfn.XLOOKUP(Table1820[[#This Row],[Coverage Limit]],Table13[Coverage Limit],Table13[Coverage Limit Factor],,0)</f>
        <v>1</v>
      </c>
      <c r="AM394">
        <f>IF(Table1820[[#This Row],[Good Student Discount]]="Yes",'Rate Book'!$D$126,1)</f>
        <v>1</v>
      </c>
      <c r="AN394">
        <f>IF(Table1820[[#This Row],[Good Driver Discount]]="Yes",'Rate Book'!$D$127,1)</f>
        <v>0.89</v>
      </c>
      <c r="AO394">
        <f>IF(Table1820[[#This Row],[Multi Policy Discount]]="Yes",'Rate Book'!$D$128,1)</f>
        <v>1</v>
      </c>
      <c r="AP394">
        <f>IF(Table1820[[#This Row],[Loyal Customer Discount]]="Yes",'Rate Book'!$D$129,1)</f>
        <v>1</v>
      </c>
      <c r="AQ394">
        <f>IF(Table1820[[#This Row],[Organization Discount]]="Yes",'Rate Book'!$D$130,1)</f>
        <v>0.97</v>
      </c>
      <c r="AR394" cm="1">
        <f t="array" ref="AR394">IF(Table1820[[#This Row],[Effective Date]]&gt;=RateChangeTable[Effective Date],RateChangeTable[Rate Change Factor],1)</f>
        <v>1</v>
      </c>
      <c r="AS394" s="10">
        <f>PRODUCT(Table1820[[#This Row],[Base Rate]:[Rate Change Factor]])</f>
        <v>1339.0020705704312</v>
      </c>
      <c r="AT394" s="9">
        <f>Table1820[[#This Row],[System-Generated Premium]]-Table1820[[#This Row],[Expected Premium]]</f>
        <v>0</v>
      </c>
      <c r="AU394" t="str">
        <f>IF(Table1820[[#This Row],[Difference]]=0,"PASS","FAIL")</f>
        <v>PASS</v>
      </c>
      <c r="AV394" s="9">
        <f>ABS(Table1820[[#This Row],[Difference]])</f>
        <v>0</v>
      </c>
      <c r="AW394" s="9" t="s">
        <v>1136</v>
      </c>
    </row>
    <row r="395" spans="1:49" x14ac:dyDescent="0.3">
      <c r="A395" t="s">
        <v>486</v>
      </c>
      <c r="B395" s="7">
        <v>46087</v>
      </c>
      <c r="C395" t="s">
        <v>71</v>
      </c>
      <c r="D395" t="s">
        <v>1099</v>
      </c>
      <c r="E395" s="3">
        <v>4</v>
      </c>
      <c r="F395" s="3">
        <v>4</v>
      </c>
      <c r="G395" t="s">
        <v>11</v>
      </c>
      <c r="H395" t="s">
        <v>1106</v>
      </c>
      <c r="I395" t="s">
        <v>22</v>
      </c>
      <c r="J395" t="s">
        <v>50</v>
      </c>
      <c r="K395" t="s">
        <v>10</v>
      </c>
      <c r="L395" t="s">
        <v>10</v>
      </c>
      <c r="M395" t="s">
        <v>57</v>
      </c>
      <c r="N395" t="s">
        <v>10</v>
      </c>
      <c r="O395" t="str">
        <f>INDEX(CoverageTable[Deductible Applies],MATCH(Table1820[[#This Row],[Coverage]],CoverageTable[Coverage],0))</f>
        <v>Yes</v>
      </c>
      <c r="P395" t="str">
        <f>INDEX(CoverageTable[Coverage Limit Applies],MATCH(Table1820[[#This Row],[Coverage]],CoverageTable[Coverage],0))</f>
        <v>No</v>
      </c>
      <c r="Q395" t="s">
        <v>79</v>
      </c>
      <c r="R395" t="s">
        <v>10</v>
      </c>
      <c r="S395" t="s">
        <v>57</v>
      </c>
      <c r="T395" t="s">
        <v>57</v>
      </c>
      <c r="U395" t="s">
        <v>57</v>
      </c>
      <c r="V395" t="s">
        <v>57</v>
      </c>
      <c r="W395" t="s">
        <v>10</v>
      </c>
      <c r="X395" s="11">
        <v>831.20905076998974</v>
      </c>
      <c r="Y395">
        <f>_xlfn.XLOOKUP(Table1820[[#This Row],[Coverage]],CoverageTable[Coverage],CoverageTable[Base Rate],,0)</f>
        <v>453</v>
      </c>
      <c r="Z395">
        <f>INDEX(Table16[Ageband Factor],MATCH(Table1820[[#This Row],[Ageband]],Table16[Ageband],0))</f>
        <v>1</v>
      </c>
      <c r="AA395">
        <f>VLOOKUP(Table1820[[#This Row],[Years Driving]],Table1[],2)</f>
        <v>1.1499999999999999</v>
      </c>
      <c r="AB395">
        <f>_xlfn.XLOOKUP(Table1820[[#This Row],[At Fault Accidents]],Table2[At Fault Accidents],Table2[At Fault Accident Factor],,0)</f>
        <v>2.12</v>
      </c>
      <c r="AC395">
        <f>_xlfn.XLOOKUP(Table1820[[#This Row],[Usage-Based Insurance]],Table3[Usage-Based Insurance],Table3[Usage-Based Insurance Discount],,0)</f>
        <v>0.95</v>
      </c>
      <c r="AD395">
        <f>_xlfn.XLOOKUP(Table1820[[#This Row],[Yearly Miles]],Table4[Yearly Miles],Table4[Yearly Miles Factor],,0)</f>
        <v>0.82</v>
      </c>
      <c r="AE395">
        <f>_xlfn.XLOOKUP(Table1820[[#This Row],[City/Zip Code]],Table5[City/Zip Code],Table5[City/Zip Code Factor],,0)</f>
        <v>1.21</v>
      </c>
      <c r="AF395">
        <f>_xlfn.XLOOKUP(Table1820[[#This Row],[Vehicle Price]],Table6[Vehicle Price],Table6[Vehicle Price Factor])</f>
        <v>1.08</v>
      </c>
      <c r="AG395">
        <f>_xlfn.XLOOKUP(Table1820[[#This Row],[Exotic Car]],Table7[Exotic Car],Table7[Exotic Car Factor],,0)</f>
        <v>1</v>
      </c>
      <c r="AH395">
        <f>_xlfn.XLOOKUP(Table1820[[#This Row],[Difficult Parts]],Table8[Difficult Parts],Table8[Difficult Parts Factor],,0)</f>
        <v>1</v>
      </c>
      <c r="AI395">
        <f>_xlfn.XLOOKUP(Table1820[[#This Row],[High Theft Rate]],Table9[High Theft Rate],Table9[High Theft Rate Factor],,0)</f>
        <v>1.1599999999999999</v>
      </c>
      <c r="AJ395">
        <f>_xlfn.XLOOKUP(Table1820[[#This Row],[Advanced Safety Features]],Table10[Advanced Safety Features],Table10[Advanced Safety Features Factor],,0)</f>
        <v>1</v>
      </c>
      <c r="AK395">
        <f>_xlfn.XLOOKUP(Table1820[[#This Row],[Deductible]],Table12[Deductible],Table12[Deductible Factor],,0)</f>
        <v>0.84</v>
      </c>
      <c r="AL395">
        <f>_xlfn.XLOOKUP(Table1820[[#This Row],[Coverage Limit]],Table13[Coverage Limit],Table13[Coverage Limit Factor],,0)</f>
        <v>1</v>
      </c>
      <c r="AM395">
        <f>IF(Table1820[[#This Row],[Good Student Discount]]="Yes",'Rate Book'!$D$126,1)</f>
        <v>0.92</v>
      </c>
      <c r="AN395">
        <f>IF(Table1820[[#This Row],[Good Driver Discount]]="Yes",'Rate Book'!$D$127,1)</f>
        <v>0.89</v>
      </c>
      <c r="AO395">
        <f>IF(Table1820[[#This Row],[Multi Policy Discount]]="Yes",'Rate Book'!$D$128,1)</f>
        <v>0.93</v>
      </c>
      <c r="AP395">
        <f>IF(Table1820[[#This Row],[Loyal Customer Discount]]="Yes",'Rate Book'!$D$129,1)</f>
        <v>0.94</v>
      </c>
      <c r="AQ395">
        <f>IF(Table1820[[#This Row],[Organization Discount]]="Yes",'Rate Book'!$D$130,1)</f>
        <v>1</v>
      </c>
      <c r="AR395" cm="1">
        <f t="array" ref="AR395">IF(Table1820[[#This Row],[Effective Date]]&gt;=RateChangeTable[Effective Date],RateChangeTable[Rate Change Factor],1)</f>
        <v>1.06</v>
      </c>
      <c r="AS395" s="10">
        <f>PRODUCT(Table1820[[#This Row],[Base Rate]:[Rate Change Factor]])</f>
        <v>831.20905076998974</v>
      </c>
      <c r="AT395" s="9">
        <f>Table1820[[#This Row],[System-Generated Premium]]-Table1820[[#This Row],[Expected Premium]]</f>
        <v>0</v>
      </c>
      <c r="AU395" t="str">
        <f>IF(Table1820[[#This Row],[Difference]]=0,"PASS","FAIL")</f>
        <v>PASS</v>
      </c>
      <c r="AV395" s="9">
        <f>ABS(Table1820[[#This Row],[Difference]])</f>
        <v>0</v>
      </c>
      <c r="AW395" s="9" t="s">
        <v>1136</v>
      </c>
    </row>
    <row r="396" spans="1:49" x14ac:dyDescent="0.3">
      <c r="A396" t="s">
        <v>487</v>
      </c>
      <c r="B396" s="7">
        <v>46089</v>
      </c>
      <c r="C396" t="s">
        <v>70</v>
      </c>
      <c r="D396" t="s">
        <v>1101</v>
      </c>
      <c r="E396" s="3">
        <v>1</v>
      </c>
      <c r="F396" s="3" t="s">
        <v>7</v>
      </c>
      <c r="G396" t="s">
        <v>13</v>
      </c>
      <c r="H396" t="s">
        <v>1107</v>
      </c>
      <c r="I396" t="s">
        <v>29</v>
      </c>
      <c r="J396" t="s">
        <v>48</v>
      </c>
      <c r="K396" t="s">
        <v>10</v>
      </c>
      <c r="L396" t="s">
        <v>10</v>
      </c>
      <c r="M396" t="s">
        <v>10</v>
      </c>
      <c r="N396" t="s">
        <v>57</v>
      </c>
      <c r="O396" t="str">
        <f>INDEX(CoverageTable[Deductible Applies],MATCH(Table1820[[#This Row],[Coverage]],CoverageTable[Coverage],0))</f>
        <v>No</v>
      </c>
      <c r="P396" t="str">
        <f>INDEX(CoverageTable[Coverage Limit Applies],MATCH(Table1820[[#This Row],[Coverage]],CoverageTable[Coverage],0))</f>
        <v>Yes</v>
      </c>
      <c r="Q396" t="s">
        <v>10</v>
      </c>
      <c r="R396" t="s">
        <v>78</v>
      </c>
      <c r="S396" t="s">
        <v>10</v>
      </c>
      <c r="T396" t="s">
        <v>10</v>
      </c>
      <c r="U396" t="s">
        <v>10</v>
      </c>
      <c r="V396" t="s">
        <v>10</v>
      </c>
      <c r="W396" t="s">
        <v>10</v>
      </c>
      <c r="X396" s="11">
        <v>867.56942194102669</v>
      </c>
      <c r="Y396">
        <f>_xlfn.XLOOKUP(Table1820[[#This Row],[Coverage]],CoverageTable[Coverage],CoverageTable[Base Rate],,0)</f>
        <v>622</v>
      </c>
      <c r="Z396">
        <f>INDEX(Table16[Ageband Factor],MATCH(Table1820[[#This Row],[Ageband]],Table16[Ageband],0))</f>
        <v>1.1200000000000001</v>
      </c>
      <c r="AA396">
        <f>VLOOKUP(Table1820[[#This Row],[Years Driving]],Table1[],2)</f>
        <v>1.64</v>
      </c>
      <c r="AB396">
        <f>_xlfn.XLOOKUP(Table1820[[#This Row],[At Fault Accidents]],Table2[At Fault Accidents],Table2[At Fault Accident Factor],,0)</f>
        <v>2.4700000000000002</v>
      </c>
      <c r="AC396">
        <f>_xlfn.XLOOKUP(Table1820[[#This Row],[Usage-Based Insurance]],Table3[Usage-Based Insurance],Table3[Usage-Based Insurance Discount],,0)</f>
        <v>0.65</v>
      </c>
      <c r="AD396">
        <f>_xlfn.XLOOKUP(Table1820[[#This Row],[Yearly Miles]],Table4[Yearly Miles],Table4[Yearly Miles Factor],,0)</f>
        <v>0.93</v>
      </c>
      <c r="AE396">
        <f>_xlfn.XLOOKUP(Table1820[[#This Row],[City/Zip Code]],Table5[City/Zip Code],Table5[City/Zip Code Factor],,0)</f>
        <v>1.0900000000000001</v>
      </c>
      <c r="AF396">
        <f>_xlfn.XLOOKUP(Table1820[[#This Row],[Vehicle Price]],Table6[Vehicle Price],Table6[Vehicle Price Factor])</f>
        <v>0.82</v>
      </c>
      <c r="AG396">
        <f>_xlfn.XLOOKUP(Table1820[[#This Row],[Exotic Car]],Table7[Exotic Car],Table7[Exotic Car Factor],,0)</f>
        <v>1</v>
      </c>
      <c r="AH396">
        <f>_xlfn.XLOOKUP(Table1820[[#This Row],[Difficult Parts]],Table8[Difficult Parts],Table8[Difficult Parts Factor],,0)</f>
        <v>1</v>
      </c>
      <c r="AI396">
        <f>_xlfn.XLOOKUP(Table1820[[#This Row],[High Theft Rate]],Table9[High Theft Rate],Table9[High Theft Rate Factor],,0)</f>
        <v>1</v>
      </c>
      <c r="AJ396">
        <f>_xlfn.XLOOKUP(Table1820[[#This Row],[Advanced Safety Features]],Table10[Advanced Safety Features],Table10[Advanced Safety Features Factor],,0)</f>
        <v>0.88</v>
      </c>
      <c r="AK396">
        <f>_xlfn.XLOOKUP(Table1820[[#This Row],[Deductible]],Table12[Deductible],Table12[Deductible Factor],,0)</f>
        <v>1</v>
      </c>
      <c r="AL396">
        <f>_xlfn.XLOOKUP(Table1820[[#This Row],[Coverage Limit]],Table13[Coverage Limit],Table13[Coverage Limit Factor],,0)</f>
        <v>0.61</v>
      </c>
      <c r="AM396">
        <f>IF(Table1820[[#This Row],[Good Student Discount]]="Yes",'Rate Book'!$D$126,1)</f>
        <v>1</v>
      </c>
      <c r="AN396">
        <f>IF(Table1820[[#This Row],[Good Driver Discount]]="Yes",'Rate Book'!$D$127,1)</f>
        <v>1</v>
      </c>
      <c r="AO396">
        <f>IF(Table1820[[#This Row],[Multi Policy Discount]]="Yes",'Rate Book'!$D$128,1)</f>
        <v>1</v>
      </c>
      <c r="AP396">
        <f>IF(Table1820[[#This Row],[Loyal Customer Discount]]="Yes",'Rate Book'!$D$129,1)</f>
        <v>1</v>
      </c>
      <c r="AQ396">
        <f>IF(Table1820[[#This Row],[Organization Discount]]="Yes",'Rate Book'!$D$130,1)</f>
        <v>1</v>
      </c>
      <c r="AR396" cm="1">
        <f t="array" ref="AR396">IF(Table1820[[#This Row],[Effective Date]]&gt;=RateChangeTable[Effective Date],RateChangeTable[Rate Change Factor],1)</f>
        <v>1.06</v>
      </c>
      <c r="AS396" s="10">
        <f>PRODUCT(Table1820[[#This Row],[Base Rate]:[Rate Change Factor]])</f>
        <v>867.56942194102669</v>
      </c>
      <c r="AT396" s="9">
        <f>Table1820[[#This Row],[System-Generated Premium]]-Table1820[[#This Row],[Expected Premium]]</f>
        <v>0</v>
      </c>
      <c r="AU396" t="str">
        <f>IF(Table1820[[#This Row],[Difference]]=0,"PASS","FAIL")</f>
        <v>PASS</v>
      </c>
      <c r="AV396" s="9">
        <f>ABS(Table1820[[#This Row],[Difference]])</f>
        <v>0</v>
      </c>
      <c r="AW396" s="9" t="s">
        <v>1136</v>
      </c>
    </row>
    <row r="397" spans="1:49" x14ac:dyDescent="0.3">
      <c r="A397" t="s">
        <v>488</v>
      </c>
      <c r="B397" s="7">
        <v>45940</v>
      </c>
      <c r="C397" t="s">
        <v>71</v>
      </c>
      <c r="D397" t="s">
        <v>1099</v>
      </c>
      <c r="E397" s="3" t="s">
        <v>1103</v>
      </c>
      <c r="F397" s="3">
        <v>4</v>
      </c>
      <c r="G397" t="s">
        <v>13</v>
      </c>
      <c r="H397" t="s">
        <v>1109</v>
      </c>
      <c r="I397" t="s">
        <v>42</v>
      </c>
      <c r="J397" t="s">
        <v>52</v>
      </c>
      <c r="K397" t="s">
        <v>10</v>
      </c>
      <c r="L397" t="s">
        <v>57</v>
      </c>
      <c r="M397" t="s">
        <v>57</v>
      </c>
      <c r="N397" t="s">
        <v>57</v>
      </c>
      <c r="O397" t="str">
        <f>INDEX(CoverageTable[Deductible Applies],MATCH(Table1820[[#This Row],[Coverage]],CoverageTable[Coverage],0))</f>
        <v>Yes</v>
      </c>
      <c r="P397" t="str">
        <f>INDEX(CoverageTable[Coverage Limit Applies],MATCH(Table1820[[#This Row],[Coverage]],CoverageTable[Coverage],0))</f>
        <v>No</v>
      </c>
      <c r="Q397" t="s">
        <v>78</v>
      </c>
      <c r="R397" t="s">
        <v>10</v>
      </c>
      <c r="S397" t="s">
        <v>10</v>
      </c>
      <c r="T397" t="s">
        <v>10</v>
      </c>
      <c r="U397" t="s">
        <v>57</v>
      </c>
      <c r="V397" t="s">
        <v>10</v>
      </c>
      <c r="W397" t="s">
        <v>10</v>
      </c>
      <c r="X397" s="11">
        <v>1420.1361534082998</v>
      </c>
      <c r="Y397">
        <f>_xlfn.XLOOKUP(Table1820[[#This Row],[Coverage]],CoverageTable[Coverage],CoverageTable[Base Rate],,0)</f>
        <v>453</v>
      </c>
      <c r="Z397">
        <f>INDEX(Table16[Ageband Factor],MATCH(Table1820[[#This Row],[Ageband]],Table16[Ageband],0))</f>
        <v>1</v>
      </c>
      <c r="AA397">
        <f>VLOOKUP(Table1820[[#This Row],[Years Driving]],Table1[],2)</f>
        <v>0.93</v>
      </c>
      <c r="AB397">
        <f>_xlfn.XLOOKUP(Table1820[[#This Row],[At Fault Accidents]],Table2[At Fault Accidents],Table2[At Fault Accident Factor],,0)</f>
        <v>2.12</v>
      </c>
      <c r="AC397">
        <f>_xlfn.XLOOKUP(Table1820[[#This Row],[Usage-Based Insurance]],Table3[Usage-Based Insurance],Table3[Usage-Based Insurance Discount],,0)</f>
        <v>0.65</v>
      </c>
      <c r="AD397">
        <f>_xlfn.XLOOKUP(Table1820[[#This Row],[Yearly Miles]],Table4[Yearly Miles],Table4[Yearly Miles Factor],,0)</f>
        <v>1.18</v>
      </c>
      <c r="AE397">
        <f>_xlfn.XLOOKUP(Table1820[[#This Row],[City/Zip Code]],Table5[City/Zip Code],Table5[City/Zip Code Factor],,0)</f>
        <v>1.21</v>
      </c>
      <c r="AF397">
        <f>_xlfn.XLOOKUP(Table1820[[#This Row],[Vehicle Price]],Table6[Vehicle Price],Table6[Vehicle Price Factor])</f>
        <v>1.57</v>
      </c>
      <c r="AG397">
        <f>_xlfn.XLOOKUP(Table1820[[#This Row],[Exotic Car]],Table7[Exotic Car],Table7[Exotic Car Factor],,0)</f>
        <v>1</v>
      </c>
      <c r="AH397">
        <f>_xlfn.XLOOKUP(Table1820[[#This Row],[Difficult Parts]],Table8[Difficult Parts],Table8[Difficult Parts Factor],,0)</f>
        <v>1.21</v>
      </c>
      <c r="AI397">
        <f>_xlfn.XLOOKUP(Table1820[[#This Row],[High Theft Rate]],Table9[High Theft Rate],Table9[High Theft Rate Factor],,0)</f>
        <v>1.1599999999999999</v>
      </c>
      <c r="AJ397">
        <f>_xlfn.XLOOKUP(Table1820[[#This Row],[Advanced Safety Features]],Table10[Advanced Safety Features],Table10[Advanced Safety Features Factor],,0)</f>
        <v>0.88</v>
      </c>
      <c r="AK397">
        <f>_xlfn.XLOOKUP(Table1820[[#This Row],[Deductible]],Table12[Deductible],Table12[Deductible Factor],,0)</f>
        <v>0.95</v>
      </c>
      <c r="AL397">
        <f>_xlfn.XLOOKUP(Table1820[[#This Row],[Coverage Limit]],Table13[Coverage Limit],Table13[Coverage Limit Factor],,0)</f>
        <v>1</v>
      </c>
      <c r="AM397">
        <f>IF(Table1820[[#This Row],[Good Student Discount]]="Yes",'Rate Book'!$D$126,1)</f>
        <v>1</v>
      </c>
      <c r="AN397">
        <f>IF(Table1820[[#This Row],[Good Driver Discount]]="Yes",'Rate Book'!$D$127,1)</f>
        <v>1</v>
      </c>
      <c r="AO397">
        <f>IF(Table1820[[#This Row],[Multi Policy Discount]]="Yes",'Rate Book'!$D$128,1)</f>
        <v>0.93</v>
      </c>
      <c r="AP397">
        <f>IF(Table1820[[#This Row],[Loyal Customer Discount]]="Yes",'Rate Book'!$D$129,1)</f>
        <v>1</v>
      </c>
      <c r="AQ397">
        <f>IF(Table1820[[#This Row],[Organization Discount]]="Yes",'Rate Book'!$D$130,1)</f>
        <v>1</v>
      </c>
      <c r="AR397" cm="1">
        <f t="array" ref="AR397">IF(Table1820[[#This Row],[Effective Date]]&gt;=RateChangeTable[Effective Date],RateChangeTable[Rate Change Factor],1)</f>
        <v>1</v>
      </c>
      <c r="AS397" s="10">
        <f>PRODUCT(Table1820[[#This Row],[Base Rate]:[Rate Change Factor]])</f>
        <v>1420.1361534082998</v>
      </c>
      <c r="AT397" s="9">
        <f>Table1820[[#This Row],[System-Generated Premium]]-Table1820[[#This Row],[Expected Premium]]</f>
        <v>0</v>
      </c>
      <c r="AU397" t="str">
        <f>IF(Table1820[[#This Row],[Difference]]=0,"PASS","FAIL")</f>
        <v>PASS</v>
      </c>
      <c r="AV397" s="9">
        <f>ABS(Table1820[[#This Row],[Difference]])</f>
        <v>0</v>
      </c>
      <c r="AW397" s="9" t="s">
        <v>1136</v>
      </c>
    </row>
    <row r="398" spans="1:49" x14ac:dyDescent="0.3">
      <c r="A398" t="s">
        <v>489</v>
      </c>
      <c r="B398" s="7">
        <v>45891</v>
      </c>
      <c r="C398" t="s">
        <v>74</v>
      </c>
      <c r="D398" t="s">
        <v>1102</v>
      </c>
      <c r="E398" s="3">
        <v>1</v>
      </c>
      <c r="F398" s="3">
        <v>0</v>
      </c>
      <c r="G398" t="s">
        <v>10</v>
      </c>
      <c r="H398" t="s">
        <v>1109</v>
      </c>
      <c r="I398" t="s">
        <v>22</v>
      </c>
      <c r="J398" t="s">
        <v>51</v>
      </c>
      <c r="K398" t="s">
        <v>10</v>
      </c>
      <c r="L398" t="s">
        <v>10</v>
      </c>
      <c r="M398" t="s">
        <v>10</v>
      </c>
      <c r="N398" t="s">
        <v>57</v>
      </c>
      <c r="O398" t="str">
        <f>INDEX(CoverageTable[Deductible Applies],MATCH(Table1820[[#This Row],[Coverage]],CoverageTable[Coverage],0))</f>
        <v>No</v>
      </c>
      <c r="P398" t="str">
        <f>INDEX(CoverageTable[Coverage Limit Applies],MATCH(Table1820[[#This Row],[Coverage]],CoverageTable[Coverage],0))</f>
        <v>Yes</v>
      </c>
      <c r="Q398" t="s">
        <v>10</v>
      </c>
      <c r="R398" t="s">
        <v>79</v>
      </c>
      <c r="S398" t="s">
        <v>10</v>
      </c>
      <c r="T398" t="s">
        <v>57</v>
      </c>
      <c r="U398" t="s">
        <v>10</v>
      </c>
      <c r="V398" t="s">
        <v>10</v>
      </c>
      <c r="W398" t="s">
        <v>10</v>
      </c>
      <c r="X398" s="11">
        <v>88.006337619709129</v>
      </c>
      <c r="Y398">
        <f>_xlfn.XLOOKUP(Table1820[[#This Row],[Coverage]],CoverageTable[Coverage],CoverageTable[Base Rate],,0)</f>
        <v>41</v>
      </c>
      <c r="Z398">
        <f>INDEX(Table16[Ageband Factor],MATCH(Table1820[[#This Row],[Ageband]],Table16[Ageband],0))</f>
        <v>1.27</v>
      </c>
      <c r="AA398">
        <f>VLOOKUP(Table1820[[#This Row],[Years Driving]],Table1[],2)</f>
        <v>1.64</v>
      </c>
      <c r="AB398">
        <f>_xlfn.XLOOKUP(Table1820[[#This Row],[At Fault Accidents]],Table2[At Fault Accidents],Table2[At Fault Accident Factor],,0)</f>
        <v>1</v>
      </c>
      <c r="AC398">
        <f>_xlfn.XLOOKUP(Table1820[[#This Row],[Usage-Based Insurance]],Table3[Usage-Based Insurance],Table3[Usage-Based Insurance Discount],,0)</f>
        <v>1</v>
      </c>
      <c r="AD398">
        <f>_xlfn.XLOOKUP(Table1820[[#This Row],[Yearly Miles]],Table4[Yearly Miles],Table4[Yearly Miles Factor],,0)</f>
        <v>1.18</v>
      </c>
      <c r="AE398">
        <f>_xlfn.XLOOKUP(Table1820[[#This Row],[City/Zip Code]],Table5[City/Zip Code],Table5[City/Zip Code Factor],,0)</f>
        <v>1.21</v>
      </c>
      <c r="AF398">
        <f>_xlfn.XLOOKUP(Table1820[[#This Row],[Vehicle Price]],Table6[Vehicle Price],Table6[Vehicle Price Factor])</f>
        <v>1.28</v>
      </c>
      <c r="AG398">
        <f>_xlfn.XLOOKUP(Table1820[[#This Row],[Exotic Car]],Table7[Exotic Car],Table7[Exotic Car Factor],,0)</f>
        <v>1</v>
      </c>
      <c r="AH398">
        <f>_xlfn.XLOOKUP(Table1820[[#This Row],[Difficult Parts]],Table8[Difficult Parts],Table8[Difficult Parts Factor],,0)</f>
        <v>1</v>
      </c>
      <c r="AI398">
        <f>_xlfn.XLOOKUP(Table1820[[#This Row],[High Theft Rate]],Table9[High Theft Rate],Table9[High Theft Rate Factor],,0)</f>
        <v>1</v>
      </c>
      <c r="AJ398">
        <f>_xlfn.XLOOKUP(Table1820[[#This Row],[Advanced Safety Features]],Table10[Advanced Safety Features],Table10[Advanced Safety Features Factor],,0)</f>
        <v>0.88</v>
      </c>
      <c r="AK398">
        <f>_xlfn.XLOOKUP(Table1820[[#This Row],[Deductible]],Table12[Deductible],Table12[Deductible Factor],,0)</f>
        <v>1</v>
      </c>
      <c r="AL398">
        <f>_xlfn.XLOOKUP(Table1820[[#This Row],[Coverage Limit]],Table13[Coverage Limit],Table13[Coverage Limit Factor],,0)</f>
        <v>0.72</v>
      </c>
      <c r="AM398">
        <f>IF(Table1820[[#This Row],[Good Student Discount]]="Yes",'Rate Book'!$D$126,1)</f>
        <v>1</v>
      </c>
      <c r="AN398">
        <f>IF(Table1820[[#This Row],[Good Driver Discount]]="Yes",'Rate Book'!$D$127,1)</f>
        <v>0.89</v>
      </c>
      <c r="AO398">
        <f>IF(Table1820[[#This Row],[Multi Policy Discount]]="Yes",'Rate Book'!$D$128,1)</f>
        <v>1</v>
      </c>
      <c r="AP398">
        <f>IF(Table1820[[#This Row],[Loyal Customer Discount]]="Yes",'Rate Book'!$D$129,1)</f>
        <v>1</v>
      </c>
      <c r="AQ398">
        <f>IF(Table1820[[#This Row],[Organization Discount]]="Yes",'Rate Book'!$D$130,1)</f>
        <v>1</v>
      </c>
      <c r="AR398" cm="1">
        <f t="array" ref="AR398">IF(Table1820[[#This Row],[Effective Date]]&gt;=RateChangeTable[Effective Date],RateChangeTable[Rate Change Factor],1)</f>
        <v>1</v>
      </c>
      <c r="AS398" s="10">
        <f>PRODUCT(Table1820[[#This Row],[Base Rate]:[Rate Change Factor]])</f>
        <v>88.006337619709129</v>
      </c>
      <c r="AT398" s="9">
        <f>Table1820[[#This Row],[System-Generated Premium]]-Table1820[[#This Row],[Expected Premium]]</f>
        <v>0</v>
      </c>
      <c r="AU398" t="str">
        <f>IF(Table1820[[#This Row],[Difference]]=0,"PASS","FAIL")</f>
        <v>PASS</v>
      </c>
      <c r="AV398" s="9">
        <f>ABS(Table1820[[#This Row],[Difference]])</f>
        <v>0</v>
      </c>
      <c r="AW398" s="9" t="s">
        <v>1136</v>
      </c>
    </row>
    <row r="399" spans="1:49" x14ac:dyDescent="0.3">
      <c r="A399" t="s">
        <v>490</v>
      </c>
      <c r="B399" s="7">
        <v>46108</v>
      </c>
      <c r="C399" t="s">
        <v>70</v>
      </c>
      <c r="D399" t="s">
        <v>1098</v>
      </c>
      <c r="E399" s="3">
        <v>5</v>
      </c>
      <c r="F399" s="3">
        <v>3</v>
      </c>
      <c r="G399" t="s">
        <v>12</v>
      </c>
      <c r="H399" t="s">
        <v>1107</v>
      </c>
      <c r="I399" t="s">
        <v>34</v>
      </c>
      <c r="J399" t="s">
        <v>50</v>
      </c>
      <c r="K399" t="s">
        <v>10</v>
      </c>
      <c r="L399" t="s">
        <v>10</v>
      </c>
      <c r="M399" t="s">
        <v>10</v>
      </c>
      <c r="N399" t="s">
        <v>57</v>
      </c>
      <c r="O399" t="str">
        <f>INDEX(CoverageTable[Deductible Applies],MATCH(Table1820[[#This Row],[Coverage]],CoverageTable[Coverage],0))</f>
        <v>No</v>
      </c>
      <c r="P399" t="str">
        <f>INDEX(CoverageTable[Coverage Limit Applies],MATCH(Table1820[[#This Row],[Coverage]],CoverageTable[Coverage],0))</f>
        <v>Yes</v>
      </c>
      <c r="Q399" t="s">
        <v>10</v>
      </c>
      <c r="R399" t="s">
        <v>80</v>
      </c>
      <c r="S399" t="s">
        <v>10</v>
      </c>
      <c r="T399" t="s">
        <v>10</v>
      </c>
      <c r="U399" t="s">
        <v>10</v>
      </c>
      <c r="V399" t="s">
        <v>10</v>
      </c>
      <c r="W399" t="s">
        <v>10</v>
      </c>
      <c r="X399" s="11">
        <v>1354.93</v>
      </c>
      <c r="Y399">
        <f>_xlfn.XLOOKUP(Table1820[[#This Row],[Coverage]],CoverageTable[Coverage],CoverageTable[Base Rate],,0)</f>
        <v>622</v>
      </c>
      <c r="Z399">
        <f>INDEX(Table16[Ageband Factor],MATCH(Table1820[[#This Row],[Ageband]],Table16[Ageband],0))</f>
        <v>1.23</v>
      </c>
      <c r="AA399">
        <f>VLOOKUP(Table1820[[#This Row],[Years Driving]],Table1[],2)</f>
        <v>1.07</v>
      </c>
      <c r="AB399">
        <f>_xlfn.XLOOKUP(Table1820[[#This Row],[At Fault Accidents]],Table2[At Fault Accidents],Table2[At Fault Accident Factor],,0)</f>
        <v>1.82</v>
      </c>
      <c r="AC399">
        <f>_xlfn.XLOOKUP(Table1820[[#This Row],[Usage-Based Insurance]],Table3[Usage-Based Insurance],Table3[Usage-Based Insurance Discount],,0)</f>
        <v>0.8</v>
      </c>
      <c r="AD399">
        <f>_xlfn.XLOOKUP(Table1820[[#This Row],[Yearly Miles]],Table4[Yearly Miles],Table4[Yearly Miles Factor],,0)</f>
        <v>0.93</v>
      </c>
      <c r="AE399">
        <f>_xlfn.XLOOKUP(Table1820[[#This Row],[City/Zip Code]],Table5[City/Zip Code],Table5[City/Zip Code Factor],,0)</f>
        <v>1.56</v>
      </c>
      <c r="AF399">
        <f>_xlfn.XLOOKUP(Table1820[[#This Row],[Vehicle Price]],Table6[Vehicle Price],Table6[Vehicle Price Factor])</f>
        <v>1.08</v>
      </c>
      <c r="AG399">
        <f>_xlfn.XLOOKUP(Table1820[[#This Row],[Exotic Car]],Table7[Exotic Car],Table7[Exotic Car Factor],,0)</f>
        <v>1</v>
      </c>
      <c r="AH399">
        <f>_xlfn.XLOOKUP(Table1820[[#This Row],[Difficult Parts]],Table8[Difficult Parts],Table8[Difficult Parts Factor],,0)</f>
        <v>1</v>
      </c>
      <c r="AI399">
        <f>_xlfn.XLOOKUP(Table1820[[#This Row],[High Theft Rate]],Table9[High Theft Rate],Table9[High Theft Rate Factor],,0)</f>
        <v>1</v>
      </c>
      <c r="AJ399">
        <f>_xlfn.XLOOKUP(Table1820[[#This Row],[Advanced Safety Features]],Table10[Advanced Safety Features],Table10[Advanced Safety Features Factor],,0)</f>
        <v>0.88</v>
      </c>
      <c r="AK399">
        <f>_xlfn.XLOOKUP(Table1820[[#This Row],[Deductible]],Table12[Deductible],Table12[Deductible Factor],,0)</f>
        <v>1</v>
      </c>
      <c r="AL399">
        <f>_xlfn.XLOOKUP(Table1820[[#This Row],[Coverage Limit]],Table13[Coverage Limit],Table13[Coverage Limit Factor],,0)</f>
        <v>0.84</v>
      </c>
      <c r="AM399">
        <f>IF(Table1820[[#This Row],[Good Student Discount]]="Yes",'Rate Book'!$D$126,1)</f>
        <v>1</v>
      </c>
      <c r="AN399">
        <f>IF(Table1820[[#This Row],[Good Driver Discount]]="Yes",'Rate Book'!$D$127,1)</f>
        <v>1</v>
      </c>
      <c r="AO399">
        <f>IF(Table1820[[#This Row],[Multi Policy Discount]]="Yes",'Rate Book'!$D$128,1)</f>
        <v>1</v>
      </c>
      <c r="AP399">
        <f>IF(Table1820[[#This Row],[Loyal Customer Discount]]="Yes",'Rate Book'!$D$129,1)</f>
        <v>1</v>
      </c>
      <c r="AQ399">
        <f>IF(Table1820[[#This Row],[Organization Discount]]="Yes",'Rate Book'!$D$130,1)</f>
        <v>1</v>
      </c>
      <c r="AR399" cm="1">
        <f t="array" ref="AR399">IF(Table1820[[#This Row],[Effective Date]]&gt;=RateChangeTable[Effective Date],RateChangeTable[Rate Change Factor],1)</f>
        <v>1.06</v>
      </c>
      <c r="AS399" s="10">
        <f>PRODUCT(Table1820[[#This Row],[Base Rate]:[Rate Change Factor]])</f>
        <v>1463.32157111131</v>
      </c>
      <c r="AT399" s="9">
        <f>Table1820[[#This Row],[System-Generated Premium]]-Table1820[[#This Row],[Expected Premium]]</f>
        <v>-108.39157111130999</v>
      </c>
      <c r="AU399" t="str">
        <f>IF(Table1820[[#This Row],[Difference]]=0,"PASS","FAIL")</f>
        <v>FAIL</v>
      </c>
      <c r="AV399" s="9">
        <f>ABS(Table1820[[#This Row],[Difference]])</f>
        <v>108.39157111130999</v>
      </c>
      <c r="AW399" s="9" t="s">
        <v>1143</v>
      </c>
    </row>
    <row r="400" spans="1:49" x14ac:dyDescent="0.3">
      <c r="A400" t="s">
        <v>491</v>
      </c>
      <c r="B400" s="7">
        <v>45999</v>
      </c>
      <c r="C400" t="s">
        <v>72</v>
      </c>
      <c r="D400" t="s">
        <v>1098</v>
      </c>
      <c r="E400" s="3" t="s">
        <v>1103</v>
      </c>
      <c r="F400" s="3">
        <v>4</v>
      </c>
      <c r="G400" t="s">
        <v>13</v>
      </c>
      <c r="H400" t="s">
        <v>1108</v>
      </c>
      <c r="I400" t="s">
        <v>38</v>
      </c>
      <c r="J400" t="s">
        <v>49</v>
      </c>
      <c r="K400" t="s">
        <v>10</v>
      </c>
      <c r="L400" t="s">
        <v>10</v>
      </c>
      <c r="M400" t="s">
        <v>57</v>
      </c>
      <c r="N400" t="s">
        <v>10</v>
      </c>
      <c r="O400" t="str">
        <f>INDEX(CoverageTable[Deductible Applies],MATCH(Table1820[[#This Row],[Coverage]],CoverageTable[Coverage],0))</f>
        <v>Yes</v>
      </c>
      <c r="P400" t="str">
        <f>INDEX(CoverageTable[Coverage Limit Applies],MATCH(Table1820[[#This Row],[Coverage]],CoverageTable[Coverage],0))</f>
        <v>No</v>
      </c>
      <c r="Q400" t="s">
        <v>78</v>
      </c>
      <c r="R400" t="s">
        <v>10</v>
      </c>
      <c r="S400" t="s">
        <v>57</v>
      </c>
      <c r="T400" t="s">
        <v>57</v>
      </c>
      <c r="U400" t="s">
        <v>57</v>
      </c>
      <c r="V400" t="s">
        <v>10</v>
      </c>
      <c r="W400" t="s">
        <v>10</v>
      </c>
      <c r="X400" s="11">
        <v>173.88206207954028</v>
      </c>
      <c r="Y400">
        <f>_xlfn.XLOOKUP(Table1820[[#This Row],[Coverage]],CoverageTable[Coverage],CoverageTable[Base Rate],,0)</f>
        <v>121</v>
      </c>
      <c r="Z400">
        <f>INDEX(Table16[Ageband Factor],MATCH(Table1820[[#This Row],[Ageband]],Table16[Ageband],0))</f>
        <v>1.23</v>
      </c>
      <c r="AA400">
        <f>VLOOKUP(Table1820[[#This Row],[Years Driving]],Table1[],2)</f>
        <v>0.93</v>
      </c>
      <c r="AB400">
        <f>_xlfn.XLOOKUP(Table1820[[#This Row],[At Fault Accidents]],Table2[At Fault Accidents],Table2[At Fault Accident Factor],,0)</f>
        <v>2.12</v>
      </c>
      <c r="AC400">
        <f>_xlfn.XLOOKUP(Table1820[[#This Row],[Usage-Based Insurance]],Table3[Usage-Based Insurance],Table3[Usage-Based Insurance Discount],,0)</f>
        <v>0.65</v>
      </c>
      <c r="AD400">
        <f>_xlfn.XLOOKUP(Table1820[[#This Row],[Yearly Miles]],Table4[Yearly Miles],Table4[Yearly Miles Factor],,0)</f>
        <v>1</v>
      </c>
      <c r="AE400">
        <f>_xlfn.XLOOKUP(Table1820[[#This Row],[City/Zip Code]],Table5[City/Zip Code],Table5[City/Zip Code Factor],,0)</f>
        <v>1.1200000000000001</v>
      </c>
      <c r="AF400">
        <f>_xlfn.XLOOKUP(Table1820[[#This Row],[Vehicle Price]],Table6[Vehicle Price],Table6[Vehicle Price Factor])</f>
        <v>0.97</v>
      </c>
      <c r="AG400">
        <f>_xlfn.XLOOKUP(Table1820[[#This Row],[Exotic Car]],Table7[Exotic Car],Table7[Exotic Car Factor],,0)</f>
        <v>1</v>
      </c>
      <c r="AH400">
        <f>_xlfn.XLOOKUP(Table1820[[#This Row],[Difficult Parts]],Table8[Difficult Parts],Table8[Difficult Parts Factor],,0)</f>
        <v>1</v>
      </c>
      <c r="AI400">
        <f>_xlfn.XLOOKUP(Table1820[[#This Row],[High Theft Rate]],Table9[High Theft Rate],Table9[High Theft Rate Factor],,0)</f>
        <v>1.1599999999999999</v>
      </c>
      <c r="AJ400">
        <f>_xlfn.XLOOKUP(Table1820[[#This Row],[Advanced Safety Features]],Table10[Advanced Safety Features],Table10[Advanced Safety Features Factor],,0)</f>
        <v>1</v>
      </c>
      <c r="AK400">
        <f>_xlfn.XLOOKUP(Table1820[[#This Row],[Deductible]],Table12[Deductible],Table12[Deductible Factor],,0)</f>
        <v>0.95</v>
      </c>
      <c r="AL400">
        <f>_xlfn.XLOOKUP(Table1820[[#This Row],[Coverage Limit]],Table13[Coverage Limit],Table13[Coverage Limit Factor],,0)</f>
        <v>1</v>
      </c>
      <c r="AM400">
        <f>IF(Table1820[[#This Row],[Good Student Discount]]="Yes",'Rate Book'!$D$126,1)</f>
        <v>0.92</v>
      </c>
      <c r="AN400">
        <f>IF(Table1820[[#This Row],[Good Driver Discount]]="Yes",'Rate Book'!$D$127,1)</f>
        <v>0.89</v>
      </c>
      <c r="AO400">
        <f>IF(Table1820[[#This Row],[Multi Policy Discount]]="Yes",'Rate Book'!$D$128,1)</f>
        <v>0.93</v>
      </c>
      <c r="AP400">
        <f>IF(Table1820[[#This Row],[Loyal Customer Discount]]="Yes",'Rate Book'!$D$129,1)</f>
        <v>1</v>
      </c>
      <c r="AQ400">
        <f>IF(Table1820[[#This Row],[Organization Discount]]="Yes",'Rate Book'!$D$130,1)</f>
        <v>1</v>
      </c>
      <c r="AR400" cm="1">
        <f t="array" ref="AR400">IF(Table1820[[#This Row],[Effective Date]]&gt;=RateChangeTable[Effective Date],RateChangeTable[Rate Change Factor],1)</f>
        <v>1</v>
      </c>
      <c r="AS400" s="10">
        <f>PRODUCT(Table1820[[#This Row],[Base Rate]:[Rate Change Factor]])</f>
        <v>173.88206207954028</v>
      </c>
      <c r="AT400" s="9">
        <f>Table1820[[#This Row],[System-Generated Premium]]-Table1820[[#This Row],[Expected Premium]]</f>
        <v>0</v>
      </c>
      <c r="AU400" t="str">
        <f>IF(Table1820[[#This Row],[Difference]]=0,"PASS","FAIL")</f>
        <v>PASS</v>
      </c>
      <c r="AV400" s="9">
        <f>ABS(Table1820[[#This Row],[Difference]])</f>
        <v>0</v>
      </c>
      <c r="AW400" s="9" t="s">
        <v>1136</v>
      </c>
    </row>
    <row r="401" spans="1:49" x14ac:dyDescent="0.3">
      <c r="A401" t="s">
        <v>492</v>
      </c>
      <c r="B401" s="7">
        <v>45917</v>
      </c>
      <c r="C401" t="s">
        <v>71</v>
      </c>
      <c r="D401" t="s">
        <v>1102</v>
      </c>
      <c r="E401" s="3">
        <v>7</v>
      </c>
      <c r="F401" s="3">
        <v>1</v>
      </c>
      <c r="G401" t="s">
        <v>12</v>
      </c>
      <c r="H401" t="s">
        <v>1109</v>
      </c>
      <c r="I401" t="s">
        <v>27</v>
      </c>
      <c r="J401" t="s">
        <v>52</v>
      </c>
      <c r="K401" t="s">
        <v>10</v>
      </c>
      <c r="L401" t="s">
        <v>10</v>
      </c>
      <c r="M401" t="s">
        <v>10</v>
      </c>
      <c r="N401" t="s">
        <v>57</v>
      </c>
      <c r="O401" t="str">
        <f>INDEX(CoverageTable[Deductible Applies],MATCH(Table1820[[#This Row],[Coverage]],CoverageTable[Coverage],0))</f>
        <v>Yes</v>
      </c>
      <c r="P401" t="str">
        <f>INDEX(CoverageTable[Coverage Limit Applies],MATCH(Table1820[[#This Row],[Coverage]],CoverageTable[Coverage],0))</f>
        <v>No</v>
      </c>
      <c r="Q401" t="s">
        <v>79</v>
      </c>
      <c r="R401" t="s">
        <v>10</v>
      </c>
      <c r="S401" t="s">
        <v>10</v>
      </c>
      <c r="T401" t="s">
        <v>10</v>
      </c>
      <c r="U401" t="s">
        <v>10</v>
      </c>
      <c r="V401" t="s">
        <v>10</v>
      </c>
      <c r="W401" t="s">
        <v>57</v>
      </c>
      <c r="X401" s="11">
        <v>731.58285565106576</v>
      </c>
      <c r="Y401">
        <f>_xlfn.XLOOKUP(Table1820[[#This Row],[Coverage]],CoverageTable[Coverage],CoverageTable[Base Rate],,0)</f>
        <v>453</v>
      </c>
      <c r="Z401">
        <f>INDEX(Table16[Ageband Factor],MATCH(Table1820[[#This Row],[Ageband]],Table16[Ageband],0))</f>
        <v>1.27</v>
      </c>
      <c r="AA401">
        <f>VLOOKUP(Table1820[[#This Row],[Years Driving]],Table1[],2)</f>
        <v>0.95</v>
      </c>
      <c r="AB401">
        <f>_xlfn.XLOOKUP(Table1820[[#This Row],[At Fault Accidents]],Table2[At Fault Accidents],Table2[At Fault Accident Factor],,0)</f>
        <v>1.34</v>
      </c>
      <c r="AC401">
        <f>_xlfn.XLOOKUP(Table1820[[#This Row],[Usage-Based Insurance]],Table3[Usage-Based Insurance],Table3[Usage-Based Insurance Discount],,0)</f>
        <v>0.8</v>
      </c>
      <c r="AD401">
        <f>_xlfn.XLOOKUP(Table1820[[#This Row],[Yearly Miles]],Table4[Yearly Miles],Table4[Yearly Miles Factor],,0)</f>
        <v>1.18</v>
      </c>
      <c r="AE401">
        <f>_xlfn.XLOOKUP(Table1820[[#This Row],[City/Zip Code]],Table5[City/Zip Code],Table5[City/Zip Code Factor],,0)</f>
        <v>0.94</v>
      </c>
      <c r="AF401">
        <f>_xlfn.XLOOKUP(Table1820[[#This Row],[Vehicle Price]],Table6[Vehicle Price],Table6[Vehicle Price Factor])</f>
        <v>1.57</v>
      </c>
      <c r="AG401">
        <f>_xlfn.XLOOKUP(Table1820[[#This Row],[Exotic Car]],Table7[Exotic Car],Table7[Exotic Car Factor],,0)</f>
        <v>1</v>
      </c>
      <c r="AH401">
        <f>_xlfn.XLOOKUP(Table1820[[#This Row],[Difficult Parts]],Table8[Difficult Parts],Table8[Difficult Parts Factor],,0)</f>
        <v>1</v>
      </c>
      <c r="AI401">
        <f>_xlfn.XLOOKUP(Table1820[[#This Row],[High Theft Rate]],Table9[High Theft Rate],Table9[High Theft Rate Factor],,0)</f>
        <v>1</v>
      </c>
      <c r="AJ401">
        <f>_xlfn.XLOOKUP(Table1820[[#This Row],[Advanced Safety Features]],Table10[Advanced Safety Features],Table10[Advanced Safety Features Factor],,0)</f>
        <v>0.88</v>
      </c>
      <c r="AK401">
        <f>_xlfn.XLOOKUP(Table1820[[#This Row],[Deductible]],Table12[Deductible],Table12[Deductible Factor],,0)</f>
        <v>0.84</v>
      </c>
      <c r="AL401">
        <f>_xlfn.XLOOKUP(Table1820[[#This Row],[Coverage Limit]],Table13[Coverage Limit],Table13[Coverage Limit Factor],,0)</f>
        <v>1</v>
      </c>
      <c r="AM401">
        <f>IF(Table1820[[#This Row],[Good Student Discount]]="Yes",'Rate Book'!$D$126,1)</f>
        <v>1</v>
      </c>
      <c r="AN401">
        <f>IF(Table1820[[#This Row],[Good Driver Discount]]="Yes",'Rate Book'!$D$127,1)</f>
        <v>1</v>
      </c>
      <c r="AO401">
        <f>IF(Table1820[[#This Row],[Multi Policy Discount]]="Yes",'Rate Book'!$D$128,1)</f>
        <v>1</v>
      </c>
      <c r="AP401">
        <f>IF(Table1820[[#This Row],[Loyal Customer Discount]]="Yes",'Rate Book'!$D$129,1)</f>
        <v>1</v>
      </c>
      <c r="AQ401">
        <f>IF(Table1820[[#This Row],[Organization Discount]]="Yes",'Rate Book'!$D$130,1)</f>
        <v>0.97</v>
      </c>
      <c r="AR401" cm="1">
        <f t="array" ref="AR401">IF(Table1820[[#This Row],[Effective Date]]&gt;=RateChangeTable[Effective Date],RateChangeTable[Rate Change Factor],1)</f>
        <v>1</v>
      </c>
      <c r="AS401" s="10">
        <f>PRODUCT(Table1820[[#This Row],[Base Rate]:[Rate Change Factor]])</f>
        <v>731.58285565106576</v>
      </c>
      <c r="AT401" s="9">
        <f>Table1820[[#This Row],[System-Generated Premium]]-Table1820[[#This Row],[Expected Premium]]</f>
        <v>0</v>
      </c>
      <c r="AU401" t="str">
        <f>IF(Table1820[[#This Row],[Difference]]=0,"PASS","FAIL")</f>
        <v>PASS</v>
      </c>
      <c r="AV401" s="9">
        <f>ABS(Table1820[[#This Row],[Difference]])</f>
        <v>0</v>
      </c>
      <c r="AW401" s="9" t="s">
        <v>1136</v>
      </c>
    </row>
    <row r="402" spans="1:49" x14ac:dyDescent="0.3">
      <c r="A402" t="s">
        <v>493</v>
      </c>
      <c r="B402" s="7">
        <v>46122</v>
      </c>
      <c r="C402" t="s">
        <v>71</v>
      </c>
      <c r="D402" t="s">
        <v>1101</v>
      </c>
      <c r="E402" s="3">
        <v>5</v>
      </c>
      <c r="F402" s="3">
        <v>1</v>
      </c>
      <c r="G402" t="s">
        <v>10</v>
      </c>
      <c r="H402" t="s">
        <v>1109</v>
      </c>
      <c r="I402" t="s">
        <v>31</v>
      </c>
      <c r="J402" t="s">
        <v>49</v>
      </c>
      <c r="K402" t="s">
        <v>10</v>
      </c>
      <c r="L402" t="s">
        <v>10</v>
      </c>
      <c r="M402" t="s">
        <v>10</v>
      </c>
      <c r="N402" t="s">
        <v>57</v>
      </c>
      <c r="O402" t="str">
        <f>INDEX(CoverageTable[Deductible Applies],MATCH(Table1820[[#This Row],[Coverage]],CoverageTable[Coverage],0))</f>
        <v>Yes</v>
      </c>
      <c r="P402" t="str">
        <f>INDEX(CoverageTable[Coverage Limit Applies],MATCH(Table1820[[#This Row],[Coverage]],CoverageTable[Coverage],0))</f>
        <v>No</v>
      </c>
      <c r="Q402" t="s">
        <v>78</v>
      </c>
      <c r="R402" t="s">
        <v>10</v>
      </c>
      <c r="S402" t="s">
        <v>10</v>
      </c>
      <c r="T402" t="s">
        <v>10</v>
      </c>
      <c r="U402" t="s">
        <v>10</v>
      </c>
      <c r="V402" t="s">
        <v>10</v>
      </c>
      <c r="W402" t="s">
        <v>10</v>
      </c>
      <c r="X402" s="11">
        <v>819.01840962113249</v>
      </c>
      <c r="Y402">
        <f>_xlfn.XLOOKUP(Table1820[[#This Row],[Coverage]],CoverageTable[Coverage],CoverageTable[Base Rate],,0)</f>
        <v>453</v>
      </c>
      <c r="Z402">
        <f>INDEX(Table16[Ageband Factor],MATCH(Table1820[[#This Row],[Ageband]],Table16[Ageband],0))</f>
        <v>1.1200000000000001</v>
      </c>
      <c r="AA402">
        <f>VLOOKUP(Table1820[[#This Row],[Years Driving]],Table1[],2)</f>
        <v>1.07</v>
      </c>
      <c r="AB402">
        <f>_xlfn.XLOOKUP(Table1820[[#This Row],[At Fault Accidents]],Table2[At Fault Accidents],Table2[At Fault Accident Factor],,0)</f>
        <v>1.34</v>
      </c>
      <c r="AC402">
        <f>_xlfn.XLOOKUP(Table1820[[#This Row],[Usage-Based Insurance]],Table3[Usage-Based Insurance],Table3[Usage-Based Insurance Discount],,0)</f>
        <v>1</v>
      </c>
      <c r="AD402">
        <f>_xlfn.XLOOKUP(Table1820[[#This Row],[Yearly Miles]],Table4[Yearly Miles],Table4[Yearly Miles Factor],,0)</f>
        <v>1.18</v>
      </c>
      <c r="AE402">
        <f>_xlfn.XLOOKUP(Table1820[[#This Row],[City/Zip Code]],Table5[City/Zip Code],Table5[City/Zip Code Factor],,0)</f>
        <v>1.1100000000000001</v>
      </c>
      <c r="AF402">
        <f>_xlfn.XLOOKUP(Table1820[[#This Row],[Vehicle Price]],Table6[Vehicle Price],Table6[Vehicle Price Factor])</f>
        <v>0.97</v>
      </c>
      <c r="AG402">
        <f>_xlfn.XLOOKUP(Table1820[[#This Row],[Exotic Car]],Table7[Exotic Car],Table7[Exotic Car Factor],,0)</f>
        <v>1</v>
      </c>
      <c r="AH402">
        <f>_xlfn.XLOOKUP(Table1820[[#This Row],[Difficult Parts]],Table8[Difficult Parts],Table8[Difficult Parts Factor],,0)</f>
        <v>1</v>
      </c>
      <c r="AI402">
        <f>_xlfn.XLOOKUP(Table1820[[#This Row],[High Theft Rate]],Table9[High Theft Rate],Table9[High Theft Rate Factor],,0)</f>
        <v>1</v>
      </c>
      <c r="AJ402">
        <f>_xlfn.XLOOKUP(Table1820[[#This Row],[Advanced Safety Features]],Table10[Advanced Safety Features],Table10[Advanced Safety Features Factor],,0)</f>
        <v>0.88</v>
      </c>
      <c r="AK402">
        <f>_xlfn.XLOOKUP(Table1820[[#This Row],[Deductible]],Table12[Deductible],Table12[Deductible Factor],,0)</f>
        <v>0.95</v>
      </c>
      <c r="AL402">
        <f>_xlfn.XLOOKUP(Table1820[[#This Row],[Coverage Limit]],Table13[Coverage Limit],Table13[Coverage Limit Factor],,0)</f>
        <v>1</v>
      </c>
      <c r="AM402">
        <f>IF(Table1820[[#This Row],[Good Student Discount]]="Yes",'Rate Book'!$D$126,1)</f>
        <v>1</v>
      </c>
      <c r="AN402">
        <f>IF(Table1820[[#This Row],[Good Driver Discount]]="Yes",'Rate Book'!$D$127,1)</f>
        <v>1</v>
      </c>
      <c r="AO402">
        <f>IF(Table1820[[#This Row],[Multi Policy Discount]]="Yes",'Rate Book'!$D$128,1)</f>
        <v>1</v>
      </c>
      <c r="AP402">
        <f>IF(Table1820[[#This Row],[Loyal Customer Discount]]="Yes",'Rate Book'!$D$129,1)</f>
        <v>1</v>
      </c>
      <c r="AQ402">
        <f>IF(Table1820[[#This Row],[Organization Discount]]="Yes",'Rate Book'!$D$130,1)</f>
        <v>1</v>
      </c>
      <c r="AR402" cm="1">
        <f t="array" ref="AR402">IF(Table1820[[#This Row],[Effective Date]]&gt;=RateChangeTable[Effective Date],RateChangeTable[Rate Change Factor],1)</f>
        <v>1.06</v>
      </c>
      <c r="AS402" s="10">
        <f>PRODUCT(Table1820[[#This Row],[Base Rate]:[Rate Change Factor]])</f>
        <v>819.01840962113249</v>
      </c>
      <c r="AT402" s="9">
        <f>Table1820[[#This Row],[System-Generated Premium]]-Table1820[[#This Row],[Expected Premium]]</f>
        <v>0</v>
      </c>
      <c r="AU402" t="str">
        <f>IF(Table1820[[#This Row],[Difference]]=0,"PASS","FAIL")</f>
        <v>PASS</v>
      </c>
      <c r="AV402" s="9">
        <f>ABS(Table1820[[#This Row],[Difference]])</f>
        <v>0</v>
      </c>
      <c r="AW402" s="9" t="s">
        <v>1136</v>
      </c>
    </row>
    <row r="403" spans="1:49" x14ac:dyDescent="0.3">
      <c r="A403" t="s">
        <v>494</v>
      </c>
      <c r="B403" s="7">
        <v>46104</v>
      </c>
      <c r="C403" t="s">
        <v>70</v>
      </c>
      <c r="D403" t="s">
        <v>1100</v>
      </c>
      <c r="E403" s="3">
        <v>2</v>
      </c>
      <c r="F403" s="3">
        <v>1</v>
      </c>
      <c r="G403" t="s">
        <v>12</v>
      </c>
      <c r="H403" t="s">
        <v>1107</v>
      </c>
      <c r="I403" t="s">
        <v>28</v>
      </c>
      <c r="J403" t="s">
        <v>53</v>
      </c>
      <c r="K403" t="s">
        <v>10</v>
      </c>
      <c r="L403" t="s">
        <v>10</v>
      </c>
      <c r="M403" t="s">
        <v>10</v>
      </c>
      <c r="N403" t="s">
        <v>57</v>
      </c>
      <c r="O403" t="str">
        <f>INDEX(CoverageTable[Deductible Applies],MATCH(Table1820[[#This Row],[Coverage]],CoverageTable[Coverage],0))</f>
        <v>No</v>
      </c>
      <c r="P403" t="str">
        <f>INDEX(CoverageTable[Coverage Limit Applies],MATCH(Table1820[[#This Row],[Coverage]],CoverageTable[Coverage],0))</f>
        <v>Yes</v>
      </c>
      <c r="Q403" t="s">
        <v>10</v>
      </c>
      <c r="R403" t="s">
        <v>79</v>
      </c>
      <c r="S403" t="s">
        <v>10</v>
      </c>
      <c r="T403" t="s">
        <v>10</v>
      </c>
      <c r="U403" t="s">
        <v>57</v>
      </c>
      <c r="V403" t="s">
        <v>10</v>
      </c>
      <c r="W403" t="s">
        <v>10</v>
      </c>
      <c r="X403" s="11">
        <v>1121.3726668361639</v>
      </c>
      <c r="Y403">
        <f>_xlfn.XLOOKUP(Table1820[[#This Row],[Coverage]],CoverageTable[Coverage],CoverageTable[Base Rate],,0)</f>
        <v>622</v>
      </c>
      <c r="Z403">
        <f>INDEX(Table16[Ageband Factor],MATCH(Table1820[[#This Row],[Ageband]],Table16[Ageband],0))</f>
        <v>1.07</v>
      </c>
      <c r="AA403">
        <f>VLOOKUP(Table1820[[#This Row],[Years Driving]],Table1[],2)</f>
        <v>1.41</v>
      </c>
      <c r="AB403">
        <f>_xlfn.XLOOKUP(Table1820[[#This Row],[At Fault Accidents]],Table2[At Fault Accidents],Table2[At Fault Accident Factor],,0)</f>
        <v>1.34</v>
      </c>
      <c r="AC403">
        <f>_xlfn.XLOOKUP(Table1820[[#This Row],[Usage-Based Insurance]],Table3[Usage-Based Insurance],Table3[Usage-Based Insurance Discount],,0)</f>
        <v>0.8</v>
      </c>
      <c r="AD403">
        <f>_xlfn.XLOOKUP(Table1820[[#This Row],[Yearly Miles]],Table4[Yearly Miles],Table4[Yearly Miles Factor],,0)</f>
        <v>0.93</v>
      </c>
      <c r="AE403">
        <f>_xlfn.XLOOKUP(Table1820[[#This Row],[City/Zip Code]],Table5[City/Zip Code],Table5[City/Zip Code Factor],,0)</f>
        <v>0.95</v>
      </c>
      <c r="AF403">
        <f>_xlfn.XLOOKUP(Table1820[[#This Row],[Vehicle Price]],Table6[Vehicle Price],Table6[Vehicle Price Factor])</f>
        <v>2.02</v>
      </c>
      <c r="AG403">
        <f>_xlfn.XLOOKUP(Table1820[[#This Row],[Exotic Car]],Table7[Exotic Car],Table7[Exotic Car Factor],,0)</f>
        <v>1</v>
      </c>
      <c r="AH403">
        <f>_xlfn.XLOOKUP(Table1820[[#This Row],[Difficult Parts]],Table8[Difficult Parts],Table8[Difficult Parts Factor],,0)</f>
        <v>1</v>
      </c>
      <c r="AI403">
        <f>_xlfn.XLOOKUP(Table1820[[#This Row],[High Theft Rate]],Table9[High Theft Rate],Table9[High Theft Rate Factor],,0)</f>
        <v>1</v>
      </c>
      <c r="AJ403">
        <f>_xlfn.XLOOKUP(Table1820[[#This Row],[Advanced Safety Features]],Table10[Advanced Safety Features],Table10[Advanced Safety Features Factor],,0)</f>
        <v>0.88</v>
      </c>
      <c r="AK403">
        <f>_xlfn.XLOOKUP(Table1820[[#This Row],[Deductible]],Table12[Deductible],Table12[Deductible Factor],,0)</f>
        <v>1</v>
      </c>
      <c r="AL403">
        <f>_xlfn.XLOOKUP(Table1820[[#This Row],[Coverage Limit]],Table13[Coverage Limit],Table13[Coverage Limit Factor],,0)</f>
        <v>0.72</v>
      </c>
      <c r="AM403">
        <f>IF(Table1820[[#This Row],[Good Student Discount]]="Yes",'Rate Book'!$D$126,1)</f>
        <v>1</v>
      </c>
      <c r="AN403">
        <f>IF(Table1820[[#This Row],[Good Driver Discount]]="Yes",'Rate Book'!$D$127,1)</f>
        <v>1</v>
      </c>
      <c r="AO403">
        <f>IF(Table1820[[#This Row],[Multi Policy Discount]]="Yes",'Rate Book'!$D$128,1)</f>
        <v>0.93</v>
      </c>
      <c r="AP403">
        <f>IF(Table1820[[#This Row],[Loyal Customer Discount]]="Yes",'Rate Book'!$D$129,1)</f>
        <v>1</v>
      </c>
      <c r="AQ403">
        <f>IF(Table1820[[#This Row],[Organization Discount]]="Yes",'Rate Book'!$D$130,1)</f>
        <v>1</v>
      </c>
      <c r="AR403" cm="1">
        <f t="array" ref="AR403">IF(Table1820[[#This Row],[Effective Date]]&gt;=RateChangeTable[Effective Date],RateChangeTable[Rate Change Factor],1)</f>
        <v>1.06</v>
      </c>
      <c r="AS403" s="10">
        <f>PRODUCT(Table1820[[#This Row],[Base Rate]:[Rate Change Factor]])</f>
        <v>1121.3726668361639</v>
      </c>
      <c r="AT403" s="9">
        <f>Table1820[[#This Row],[System-Generated Premium]]-Table1820[[#This Row],[Expected Premium]]</f>
        <v>0</v>
      </c>
      <c r="AU403" t="str">
        <f>IF(Table1820[[#This Row],[Difference]]=0,"PASS","FAIL")</f>
        <v>PASS</v>
      </c>
      <c r="AV403" s="9">
        <f>ABS(Table1820[[#This Row],[Difference]])</f>
        <v>0</v>
      </c>
      <c r="AW403" s="9" t="s">
        <v>1136</v>
      </c>
    </row>
    <row r="404" spans="1:49" x14ac:dyDescent="0.3">
      <c r="A404" t="s">
        <v>495</v>
      </c>
      <c r="B404" s="7">
        <v>45953</v>
      </c>
      <c r="C404" t="s">
        <v>70</v>
      </c>
      <c r="D404" t="s">
        <v>1100</v>
      </c>
      <c r="E404" s="3">
        <v>5</v>
      </c>
      <c r="F404" s="3">
        <v>4</v>
      </c>
      <c r="G404" t="s">
        <v>13</v>
      </c>
      <c r="H404" t="s">
        <v>1110</v>
      </c>
      <c r="I404" t="s">
        <v>23</v>
      </c>
      <c r="J404" t="s">
        <v>50</v>
      </c>
      <c r="K404" t="s">
        <v>10</v>
      </c>
      <c r="L404" t="s">
        <v>10</v>
      </c>
      <c r="M404" t="s">
        <v>10</v>
      </c>
      <c r="N404" t="s">
        <v>57</v>
      </c>
      <c r="O404" t="str">
        <f>INDEX(CoverageTable[Deductible Applies],MATCH(Table1820[[#This Row],[Coverage]],CoverageTable[Coverage],0))</f>
        <v>No</v>
      </c>
      <c r="P404" t="str">
        <f>INDEX(CoverageTable[Coverage Limit Applies],MATCH(Table1820[[#This Row],[Coverage]],CoverageTable[Coverage],0))</f>
        <v>Yes</v>
      </c>
      <c r="Q404" t="s">
        <v>10</v>
      </c>
      <c r="R404" t="s">
        <v>79</v>
      </c>
      <c r="S404" t="s">
        <v>10</v>
      </c>
      <c r="T404" t="s">
        <v>10</v>
      </c>
      <c r="U404" t="s">
        <v>10</v>
      </c>
      <c r="V404" t="s">
        <v>10</v>
      </c>
      <c r="W404" t="s">
        <v>10</v>
      </c>
      <c r="X404" s="11">
        <v>809.291920559554</v>
      </c>
      <c r="Y404">
        <f>_xlfn.XLOOKUP(Table1820[[#This Row],[Coverage]],CoverageTable[Coverage],CoverageTable[Base Rate],,0)</f>
        <v>622</v>
      </c>
      <c r="Z404">
        <f>INDEX(Table16[Ageband Factor],MATCH(Table1820[[#This Row],[Ageband]],Table16[Ageband],0))</f>
        <v>1.07</v>
      </c>
      <c r="AA404">
        <f>VLOOKUP(Table1820[[#This Row],[Years Driving]],Table1[],2)</f>
        <v>1.07</v>
      </c>
      <c r="AB404">
        <f>_xlfn.XLOOKUP(Table1820[[#This Row],[At Fault Accidents]],Table2[At Fault Accidents],Table2[At Fault Accident Factor],,0)</f>
        <v>2.12</v>
      </c>
      <c r="AC404">
        <f>_xlfn.XLOOKUP(Table1820[[#This Row],[Usage-Based Insurance]],Table3[Usage-Based Insurance],Table3[Usage-Based Insurance Discount],,0)</f>
        <v>0.65</v>
      </c>
      <c r="AD404">
        <f>_xlfn.XLOOKUP(Table1820[[#This Row],[Yearly Miles]],Table4[Yearly Miles],Table4[Yearly Miles Factor],,0)</f>
        <v>1.31</v>
      </c>
      <c r="AE404">
        <f>_xlfn.XLOOKUP(Table1820[[#This Row],[City/Zip Code]],Table5[City/Zip Code],Table5[City/Zip Code Factor],,0)</f>
        <v>0.92</v>
      </c>
      <c r="AF404">
        <f>_xlfn.XLOOKUP(Table1820[[#This Row],[Vehicle Price]],Table6[Vehicle Price],Table6[Vehicle Price Factor])</f>
        <v>1.08</v>
      </c>
      <c r="AG404">
        <f>_xlfn.XLOOKUP(Table1820[[#This Row],[Exotic Car]],Table7[Exotic Car],Table7[Exotic Car Factor],,0)</f>
        <v>1</v>
      </c>
      <c r="AH404">
        <f>_xlfn.XLOOKUP(Table1820[[#This Row],[Difficult Parts]],Table8[Difficult Parts],Table8[Difficult Parts Factor],,0)</f>
        <v>1</v>
      </c>
      <c r="AI404">
        <f>_xlfn.XLOOKUP(Table1820[[#This Row],[High Theft Rate]],Table9[High Theft Rate],Table9[High Theft Rate Factor],,0)</f>
        <v>1</v>
      </c>
      <c r="AJ404">
        <f>_xlfn.XLOOKUP(Table1820[[#This Row],[Advanced Safety Features]],Table10[Advanced Safety Features],Table10[Advanced Safety Features Factor],,0)</f>
        <v>0.88</v>
      </c>
      <c r="AK404">
        <f>_xlfn.XLOOKUP(Table1820[[#This Row],[Deductible]],Table12[Deductible],Table12[Deductible Factor],,0)</f>
        <v>1</v>
      </c>
      <c r="AL404">
        <f>_xlfn.XLOOKUP(Table1820[[#This Row],[Coverage Limit]],Table13[Coverage Limit],Table13[Coverage Limit Factor],,0)</f>
        <v>0.72</v>
      </c>
      <c r="AM404">
        <f>IF(Table1820[[#This Row],[Good Student Discount]]="Yes",'Rate Book'!$D$126,1)</f>
        <v>1</v>
      </c>
      <c r="AN404">
        <f>IF(Table1820[[#This Row],[Good Driver Discount]]="Yes",'Rate Book'!$D$127,1)</f>
        <v>1</v>
      </c>
      <c r="AO404">
        <f>IF(Table1820[[#This Row],[Multi Policy Discount]]="Yes",'Rate Book'!$D$128,1)</f>
        <v>1</v>
      </c>
      <c r="AP404">
        <f>IF(Table1820[[#This Row],[Loyal Customer Discount]]="Yes",'Rate Book'!$D$129,1)</f>
        <v>1</v>
      </c>
      <c r="AQ404">
        <f>IF(Table1820[[#This Row],[Organization Discount]]="Yes",'Rate Book'!$D$130,1)</f>
        <v>1</v>
      </c>
      <c r="AR404" cm="1">
        <f t="array" ref="AR404">IF(Table1820[[#This Row],[Effective Date]]&gt;=RateChangeTable[Effective Date],RateChangeTable[Rate Change Factor],1)</f>
        <v>1</v>
      </c>
      <c r="AS404" s="10">
        <f>PRODUCT(Table1820[[#This Row],[Base Rate]:[Rate Change Factor]])</f>
        <v>809.291920559554</v>
      </c>
      <c r="AT404" s="9">
        <f>Table1820[[#This Row],[System-Generated Premium]]-Table1820[[#This Row],[Expected Premium]]</f>
        <v>0</v>
      </c>
      <c r="AU404" t="str">
        <f>IF(Table1820[[#This Row],[Difference]]=0,"PASS","FAIL")</f>
        <v>PASS</v>
      </c>
      <c r="AV404" s="9">
        <f>ABS(Table1820[[#This Row],[Difference]])</f>
        <v>0</v>
      </c>
      <c r="AW404" s="9" t="s">
        <v>1136</v>
      </c>
    </row>
    <row r="405" spans="1:49" x14ac:dyDescent="0.3">
      <c r="A405" t="s">
        <v>496</v>
      </c>
      <c r="B405" s="7">
        <v>46085</v>
      </c>
      <c r="C405" t="s">
        <v>70</v>
      </c>
      <c r="D405" t="s">
        <v>1099</v>
      </c>
      <c r="E405" s="3">
        <v>1</v>
      </c>
      <c r="F405" s="3">
        <v>2</v>
      </c>
      <c r="G405" t="s">
        <v>10</v>
      </c>
      <c r="H405" t="s">
        <v>1107</v>
      </c>
      <c r="I405" t="s">
        <v>40</v>
      </c>
      <c r="J405" t="s">
        <v>53</v>
      </c>
      <c r="K405" t="s">
        <v>10</v>
      </c>
      <c r="L405" t="s">
        <v>57</v>
      </c>
      <c r="M405" t="s">
        <v>10</v>
      </c>
      <c r="N405" t="s">
        <v>10</v>
      </c>
      <c r="O405" t="str">
        <f>INDEX(CoverageTable[Deductible Applies],MATCH(Table1820[[#This Row],[Coverage]],CoverageTable[Coverage],0))</f>
        <v>No</v>
      </c>
      <c r="P405" t="str">
        <f>INDEX(CoverageTable[Coverage Limit Applies],MATCH(Table1820[[#This Row],[Coverage]],CoverageTable[Coverage],0))</f>
        <v>Yes</v>
      </c>
      <c r="Q405" t="s">
        <v>10</v>
      </c>
      <c r="R405" t="s">
        <v>78</v>
      </c>
      <c r="S405" t="s">
        <v>10</v>
      </c>
      <c r="T405" t="s">
        <v>57</v>
      </c>
      <c r="U405" t="s">
        <v>10</v>
      </c>
      <c r="V405" t="s">
        <v>57</v>
      </c>
      <c r="W405" t="s">
        <v>10</v>
      </c>
      <c r="X405" s="11">
        <v>2119.1694165868794</v>
      </c>
      <c r="Y405">
        <f>_xlfn.XLOOKUP(Table1820[[#This Row],[Coverage]],CoverageTable[Coverage],CoverageTable[Base Rate],,0)</f>
        <v>622</v>
      </c>
      <c r="Z405">
        <f>INDEX(Table16[Ageband Factor],MATCH(Table1820[[#This Row],[Ageband]],Table16[Ageband],0))</f>
        <v>1</v>
      </c>
      <c r="AA405">
        <f>VLOOKUP(Table1820[[#This Row],[Years Driving]],Table1[],2)</f>
        <v>1.64</v>
      </c>
      <c r="AB405">
        <f>_xlfn.XLOOKUP(Table1820[[#This Row],[At Fault Accidents]],Table2[At Fault Accidents],Table2[At Fault Accident Factor],,0)</f>
        <v>1.55</v>
      </c>
      <c r="AC405">
        <f>_xlfn.XLOOKUP(Table1820[[#This Row],[Usage-Based Insurance]],Table3[Usage-Based Insurance],Table3[Usage-Based Insurance Discount],,0)</f>
        <v>1</v>
      </c>
      <c r="AD405">
        <f>_xlfn.XLOOKUP(Table1820[[#This Row],[Yearly Miles]],Table4[Yearly Miles],Table4[Yearly Miles Factor],,0)</f>
        <v>0.93</v>
      </c>
      <c r="AE405">
        <f>_xlfn.XLOOKUP(Table1820[[#This Row],[City/Zip Code]],Table5[City/Zip Code],Table5[City/Zip Code Factor],,0)</f>
        <v>1.0900000000000001</v>
      </c>
      <c r="AF405">
        <f>_xlfn.XLOOKUP(Table1820[[#This Row],[Vehicle Price]],Table6[Vehicle Price],Table6[Vehicle Price Factor])</f>
        <v>2.02</v>
      </c>
      <c r="AG405">
        <f>_xlfn.XLOOKUP(Table1820[[#This Row],[Exotic Car]],Table7[Exotic Car],Table7[Exotic Car Factor],,0)</f>
        <v>1</v>
      </c>
      <c r="AH405">
        <f>_xlfn.XLOOKUP(Table1820[[#This Row],[Difficult Parts]],Table8[Difficult Parts],Table8[Difficult Parts Factor],,0)</f>
        <v>1.21</v>
      </c>
      <c r="AI405">
        <f>_xlfn.XLOOKUP(Table1820[[#This Row],[High Theft Rate]],Table9[High Theft Rate],Table9[High Theft Rate Factor],,0)</f>
        <v>1</v>
      </c>
      <c r="AJ405">
        <f>_xlfn.XLOOKUP(Table1820[[#This Row],[Advanced Safety Features]],Table10[Advanced Safety Features],Table10[Advanced Safety Features Factor],,0)</f>
        <v>1</v>
      </c>
      <c r="AK405">
        <f>_xlfn.XLOOKUP(Table1820[[#This Row],[Deductible]],Table12[Deductible],Table12[Deductible Factor],,0)</f>
        <v>1</v>
      </c>
      <c r="AL405">
        <f>_xlfn.XLOOKUP(Table1820[[#This Row],[Coverage Limit]],Table13[Coverage Limit],Table13[Coverage Limit Factor],,0)</f>
        <v>0.61</v>
      </c>
      <c r="AM405">
        <f>IF(Table1820[[#This Row],[Good Student Discount]]="Yes",'Rate Book'!$D$126,1)</f>
        <v>1</v>
      </c>
      <c r="AN405">
        <f>IF(Table1820[[#This Row],[Good Driver Discount]]="Yes",'Rate Book'!$D$127,1)</f>
        <v>0.89</v>
      </c>
      <c r="AO405">
        <f>IF(Table1820[[#This Row],[Multi Policy Discount]]="Yes",'Rate Book'!$D$128,1)</f>
        <v>1</v>
      </c>
      <c r="AP405">
        <f>IF(Table1820[[#This Row],[Loyal Customer Discount]]="Yes",'Rate Book'!$D$129,1)</f>
        <v>0.94</v>
      </c>
      <c r="AQ405">
        <f>IF(Table1820[[#This Row],[Organization Discount]]="Yes",'Rate Book'!$D$130,1)</f>
        <v>1</v>
      </c>
      <c r="AR405" cm="1">
        <f t="array" ref="AR405">IF(Table1820[[#This Row],[Effective Date]]&gt;=RateChangeTable[Effective Date],RateChangeTable[Rate Change Factor],1)</f>
        <v>1.06</v>
      </c>
      <c r="AS405" s="10">
        <f>PRODUCT(Table1820[[#This Row],[Base Rate]:[Rate Change Factor]])</f>
        <v>2119.1694165868794</v>
      </c>
      <c r="AT405" s="9">
        <f>Table1820[[#This Row],[System-Generated Premium]]-Table1820[[#This Row],[Expected Premium]]</f>
        <v>0</v>
      </c>
      <c r="AU405" t="str">
        <f>IF(Table1820[[#This Row],[Difference]]=0,"PASS","FAIL")</f>
        <v>PASS</v>
      </c>
      <c r="AV405" s="9">
        <f>ABS(Table1820[[#This Row],[Difference]])</f>
        <v>0</v>
      </c>
      <c r="AW405" s="9" t="s">
        <v>1136</v>
      </c>
    </row>
    <row r="406" spans="1:49" x14ac:dyDescent="0.3">
      <c r="A406" t="s">
        <v>497</v>
      </c>
      <c r="B406" s="7">
        <v>46098</v>
      </c>
      <c r="C406" t="s">
        <v>72</v>
      </c>
      <c r="D406" t="s">
        <v>1101</v>
      </c>
      <c r="E406" s="3">
        <v>5</v>
      </c>
      <c r="F406" s="3">
        <v>4</v>
      </c>
      <c r="G406" t="s">
        <v>11</v>
      </c>
      <c r="H406" t="s">
        <v>1107</v>
      </c>
      <c r="I406" t="s">
        <v>34</v>
      </c>
      <c r="J406" t="s">
        <v>51</v>
      </c>
      <c r="K406" t="s">
        <v>10</v>
      </c>
      <c r="L406" t="s">
        <v>10</v>
      </c>
      <c r="M406" t="s">
        <v>57</v>
      </c>
      <c r="N406" t="s">
        <v>57</v>
      </c>
      <c r="O406" t="str">
        <f>INDEX(CoverageTable[Deductible Applies],MATCH(Table1820[[#This Row],[Coverage]],CoverageTable[Coverage],0))</f>
        <v>Yes</v>
      </c>
      <c r="P406" t="str">
        <f>INDEX(CoverageTable[Coverage Limit Applies],MATCH(Table1820[[#This Row],[Coverage]],CoverageTable[Coverage],0))</f>
        <v>No</v>
      </c>
      <c r="Q406" t="s">
        <v>80</v>
      </c>
      <c r="R406" t="s">
        <v>10</v>
      </c>
      <c r="S406" t="s">
        <v>10</v>
      </c>
      <c r="T406" t="s">
        <v>10</v>
      </c>
      <c r="U406" t="s">
        <v>10</v>
      </c>
      <c r="V406" t="s">
        <v>10</v>
      </c>
      <c r="W406" t="s">
        <v>10</v>
      </c>
      <c r="X406" s="11">
        <v>422.51601643153083</v>
      </c>
      <c r="Y406">
        <f>_xlfn.XLOOKUP(Table1820[[#This Row],[Coverage]],CoverageTable[Coverage],CoverageTable[Base Rate],,0)</f>
        <v>121</v>
      </c>
      <c r="Z406">
        <f>INDEX(Table16[Ageband Factor],MATCH(Table1820[[#This Row],[Ageband]],Table16[Ageband],0))</f>
        <v>1.1200000000000001</v>
      </c>
      <c r="AA406">
        <f>VLOOKUP(Table1820[[#This Row],[Years Driving]],Table1[],2)</f>
        <v>1.07</v>
      </c>
      <c r="AB406">
        <f>_xlfn.XLOOKUP(Table1820[[#This Row],[At Fault Accidents]],Table2[At Fault Accidents],Table2[At Fault Accident Factor],,0)</f>
        <v>2.12</v>
      </c>
      <c r="AC406">
        <f>_xlfn.XLOOKUP(Table1820[[#This Row],[Usage-Based Insurance]],Table3[Usage-Based Insurance],Table3[Usage-Based Insurance Discount],,0)</f>
        <v>0.95</v>
      </c>
      <c r="AD406">
        <f>_xlfn.XLOOKUP(Table1820[[#This Row],[Yearly Miles]],Table4[Yearly Miles],Table4[Yearly Miles Factor],,0)</f>
        <v>0.93</v>
      </c>
      <c r="AE406">
        <f>_xlfn.XLOOKUP(Table1820[[#This Row],[City/Zip Code]],Table5[City/Zip Code],Table5[City/Zip Code Factor],,0)</f>
        <v>1.56</v>
      </c>
      <c r="AF406">
        <f>_xlfn.XLOOKUP(Table1820[[#This Row],[Vehicle Price]],Table6[Vehicle Price],Table6[Vehicle Price Factor])</f>
        <v>1.28</v>
      </c>
      <c r="AG406">
        <f>_xlfn.XLOOKUP(Table1820[[#This Row],[Exotic Car]],Table7[Exotic Car],Table7[Exotic Car Factor],,0)</f>
        <v>1</v>
      </c>
      <c r="AH406">
        <f>_xlfn.XLOOKUP(Table1820[[#This Row],[Difficult Parts]],Table8[Difficult Parts],Table8[Difficult Parts Factor],,0)</f>
        <v>1</v>
      </c>
      <c r="AI406">
        <f>_xlfn.XLOOKUP(Table1820[[#This Row],[High Theft Rate]],Table9[High Theft Rate],Table9[High Theft Rate Factor],,0)</f>
        <v>1.1599999999999999</v>
      </c>
      <c r="AJ406">
        <f>_xlfn.XLOOKUP(Table1820[[#This Row],[Advanced Safety Features]],Table10[Advanced Safety Features],Table10[Advanced Safety Features Factor],,0)</f>
        <v>0.88</v>
      </c>
      <c r="AK406">
        <f>_xlfn.XLOOKUP(Table1820[[#This Row],[Deductible]],Table12[Deductible],Table12[Deductible Factor],,0)</f>
        <v>0.72</v>
      </c>
      <c r="AL406">
        <f>_xlfn.XLOOKUP(Table1820[[#This Row],[Coverage Limit]],Table13[Coverage Limit],Table13[Coverage Limit Factor],,0)</f>
        <v>1</v>
      </c>
      <c r="AM406">
        <f>IF(Table1820[[#This Row],[Good Student Discount]]="Yes",'Rate Book'!$D$126,1)</f>
        <v>1</v>
      </c>
      <c r="AN406">
        <f>IF(Table1820[[#This Row],[Good Driver Discount]]="Yes",'Rate Book'!$D$127,1)</f>
        <v>1</v>
      </c>
      <c r="AO406">
        <f>IF(Table1820[[#This Row],[Multi Policy Discount]]="Yes",'Rate Book'!$D$128,1)</f>
        <v>1</v>
      </c>
      <c r="AP406">
        <f>IF(Table1820[[#This Row],[Loyal Customer Discount]]="Yes",'Rate Book'!$D$129,1)</f>
        <v>1</v>
      </c>
      <c r="AQ406">
        <f>IF(Table1820[[#This Row],[Organization Discount]]="Yes",'Rate Book'!$D$130,1)</f>
        <v>1</v>
      </c>
      <c r="AR406" cm="1">
        <f t="array" ref="AR406">IF(Table1820[[#This Row],[Effective Date]]&gt;=RateChangeTable[Effective Date],RateChangeTable[Rate Change Factor],1)</f>
        <v>1.06</v>
      </c>
      <c r="AS406" s="10">
        <f>PRODUCT(Table1820[[#This Row],[Base Rate]:[Rate Change Factor]])</f>
        <v>422.51601643153083</v>
      </c>
      <c r="AT406" s="9">
        <f>Table1820[[#This Row],[System-Generated Premium]]-Table1820[[#This Row],[Expected Premium]]</f>
        <v>0</v>
      </c>
      <c r="AU406" t="str">
        <f>IF(Table1820[[#This Row],[Difference]]=0,"PASS","FAIL")</f>
        <v>PASS</v>
      </c>
      <c r="AV406" s="9">
        <f>ABS(Table1820[[#This Row],[Difference]])</f>
        <v>0</v>
      </c>
      <c r="AW406" s="9" t="s">
        <v>1136</v>
      </c>
    </row>
    <row r="407" spans="1:49" x14ac:dyDescent="0.3">
      <c r="A407" t="s">
        <v>498</v>
      </c>
      <c r="B407" s="7">
        <v>45976</v>
      </c>
      <c r="C407" t="s">
        <v>71</v>
      </c>
      <c r="D407" t="s">
        <v>1101</v>
      </c>
      <c r="E407" s="3">
        <v>6</v>
      </c>
      <c r="F407" s="3">
        <v>0</v>
      </c>
      <c r="G407" t="s">
        <v>13</v>
      </c>
      <c r="H407" t="s">
        <v>1109</v>
      </c>
      <c r="I407" t="s">
        <v>44</v>
      </c>
      <c r="J407" t="s">
        <v>54</v>
      </c>
      <c r="K407" t="s">
        <v>10</v>
      </c>
      <c r="L407" t="s">
        <v>10</v>
      </c>
      <c r="M407" t="s">
        <v>10</v>
      </c>
      <c r="N407" t="s">
        <v>10</v>
      </c>
      <c r="O407" t="str">
        <f>INDEX(CoverageTable[Deductible Applies],MATCH(Table1820[[#This Row],[Coverage]],CoverageTable[Coverage],0))</f>
        <v>Yes</v>
      </c>
      <c r="P407" t="str">
        <f>INDEX(CoverageTable[Coverage Limit Applies],MATCH(Table1820[[#This Row],[Coverage]],CoverageTable[Coverage],0))</f>
        <v>No</v>
      </c>
      <c r="Q407" t="s">
        <v>79</v>
      </c>
      <c r="R407" t="s">
        <v>10</v>
      </c>
      <c r="S407" t="s">
        <v>10</v>
      </c>
      <c r="T407" t="s">
        <v>57</v>
      </c>
      <c r="U407" t="s">
        <v>10</v>
      </c>
      <c r="V407" t="s">
        <v>10</v>
      </c>
      <c r="W407" t="s">
        <v>10</v>
      </c>
      <c r="X407" s="11">
        <v>968.54714948759045</v>
      </c>
      <c r="Y407">
        <f>_xlfn.XLOOKUP(Table1820[[#This Row],[Coverage]],CoverageTable[Coverage],CoverageTable[Base Rate],,0)</f>
        <v>453</v>
      </c>
      <c r="Z407">
        <f>INDEX(Table16[Ageband Factor],MATCH(Table1820[[#This Row],[Ageband]],Table16[Ageband],0))</f>
        <v>1.1200000000000001</v>
      </c>
      <c r="AA407">
        <f>VLOOKUP(Table1820[[#This Row],[Years Driving]],Table1[],2)</f>
        <v>1</v>
      </c>
      <c r="AB407">
        <f>_xlfn.XLOOKUP(Table1820[[#This Row],[At Fault Accidents]],Table2[At Fault Accidents],Table2[At Fault Accident Factor],,0)</f>
        <v>1</v>
      </c>
      <c r="AC407">
        <f>_xlfn.XLOOKUP(Table1820[[#This Row],[Usage-Based Insurance]],Table3[Usage-Based Insurance],Table3[Usage-Based Insurance Discount],,0)</f>
        <v>0.65</v>
      </c>
      <c r="AD407">
        <f>_xlfn.XLOOKUP(Table1820[[#This Row],[Yearly Miles]],Table4[Yearly Miles],Table4[Yearly Miles Factor],,0)</f>
        <v>1.18</v>
      </c>
      <c r="AE407">
        <f>_xlfn.XLOOKUP(Table1820[[#This Row],[City/Zip Code]],Table5[City/Zip Code],Table5[City/Zip Code Factor],,0)</f>
        <v>1.1599999999999999</v>
      </c>
      <c r="AF407">
        <f>_xlfn.XLOOKUP(Table1820[[#This Row],[Vehicle Price]],Table6[Vehicle Price],Table6[Vehicle Price Factor])</f>
        <v>2.87</v>
      </c>
      <c r="AG407">
        <f>_xlfn.XLOOKUP(Table1820[[#This Row],[Exotic Car]],Table7[Exotic Car],Table7[Exotic Car Factor],,0)</f>
        <v>1</v>
      </c>
      <c r="AH407">
        <f>_xlfn.XLOOKUP(Table1820[[#This Row],[Difficult Parts]],Table8[Difficult Parts],Table8[Difficult Parts Factor],,0)</f>
        <v>1</v>
      </c>
      <c r="AI407">
        <f>_xlfn.XLOOKUP(Table1820[[#This Row],[High Theft Rate]],Table9[High Theft Rate],Table9[High Theft Rate Factor],,0)</f>
        <v>1</v>
      </c>
      <c r="AJ407">
        <f>_xlfn.XLOOKUP(Table1820[[#This Row],[Advanced Safety Features]],Table10[Advanced Safety Features],Table10[Advanced Safety Features Factor],,0)</f>
        <v>1</v>
      </c>
      <c r="AK407">
        <f>_xlfn.XLOOKUP(Table1820[[#This Row],[Deductible]],Table12[Deductible],Table12[Deductible Factor],,0)</f>
        <v>0.84</v>
      </c>
      <c r="AL407">
        <f>_xlfn.XLOOKUP(Table1820[[#This Row],[Coverage Limit]],Table13[Coverage Limit],Table13[Coverage Limit Factor],,0)</f>
        <v>1</v>
      </c>
      <c r="AM407">
        <f>IF(Table1820[[#This Row],[Good Student Discount]]="Yes",'Rate Book'!$D$126,1)</f>
        <v>1</v>
      </c>
      <c r="AN407">
        <f>IF(Table1820[[#This Row],[Good Driver Discount]]="Yes",'Rate Book'!$D$127,1)</f>
        <v>0.89</v>
      </c>
      <c r="AO407">
        <f>IF(Table1820[[#This Row],[Multi Policy Discount]]="Yes",'Rate Book'!$D$128,1)</f>
        <v>1</v>
      </c>
      <c r="AP407">
        <f>IF(Table1820[[#This Row],[Loyal Customer Discount]]="Yes",'Rate Book'!$D$129,1)</f>
        <v>1</v>
      </c>
      <c r="AQ407">
        <f>IF(Table1820[[#This Row],[Organization Discount]]="Yes",'Rate Book'!$D$130,1)</f>
        <v>1</v>
      </c>
      <c r="AR407" cm="1">
        <f t="array" ref="AR407">IF(Table1820[[#This Row],[Effective Date]]&gt;=RateChangeTable[Effective Date],RateChangeTable[Rate Change Factor],1)</f>
        <v>1</v>
      </c>
      <c r="AS407" s="10">
        <f>PRODUCT(Table1820[[#This Row],[Base Rate]:[Rate Change Factor]])</f>
        <v>968.54714948759045</v>
      </c>
      <c r="AT407" s="9">
        <f>Table1820[[#This Row],[System-Generated Premium]]-Table1820[[#This Row],[Expected Premium]]</f>
        <v>0</v>
      </c>
      <c r="AU407" t="str">
        <f>IF(Table1820[[#This Row],[Difference]]=0,"PASS","FAIL")</f>
        <v>PASS</v>
      </c>
      <c r="AV407" s="9">
        <f>ABS(Table1820[[#This Row],[Difference]])</f>
        <v>0</v>
      </c>
      <c r="AW407" s="9" t="s">
        <v>1136</v>
      </c>
    </row>
    <row r="408" spans="1:49" x14ac:dyDescent="0.3">
      <c r="A408" t="s">
        <v>499</v>
      </c>
      <c r="B408" s="7">
        <v>45904</v>
      </c>
      <c r="C408" t="s">
        <v>71</v>
      </c>
      <c r="D408" t="s">
        <v>1102</v>
      </c>
      <c r="E408" s="3">
        <v>4</v>
      </c>
      <c r="F408" s="3">
        <v>1</v>
      </c>
      <c r="G408" t="s">
        <v>10</v>
      </c>
      <c r="H408" t="s">
        <v>1106</v>
      </c>
      <c r="I408" t="s">
        <v>43</v>
      </c>
      <c r="J408" t="s">
        <v>48</v>
      </c>
      <c r="K408" t="s">
        <v>10</v>
      </c>
      <c r="L408" t="s">
        <v>10</v>
      </c>
      <c r="M408" t="s">
        <v>10</v>
      </c>
      <c r="N408" t="s">
        <v>10</v>
      </c>
      <c r="O408" t="str">
        <f>INDEX(CoverageTable[Deductible Applies],MATCH(Table1820[[#This Row],[Coverage]],CoverageTable[Coverage],0))</f>
        <v>Yes</v>
      </c>
      <c r="P408" t="str">
        <f>INDEX(CoverageTable[Coverage Limit Applies],MATCH(Table1820[[#This Row],[Coverage]],CoverageTable[Coverage],0))</f>
        <v>No</v>
      </c>
      <c r="Q408" t="s">
        <v>78</v>
      </c>
      <c r="R408" t="s">
        <v>10</v>
      </c>
      <c r="S408" t="s">
        <v>57</v>
      </c>
      <c r="T408" t="s">
        <v>57</v>
      </c>
      <c r="U408" t="s">
        <v>10</v>
      </c>
      <c r="V408" t="s">
        <v>57</v>
      </c>
      <c r="W408" t="s">
        <v>57</v>
      </c>
      <c r="X408" s="11">
        <v>498.90206428736889</v>
      </c>
      <c r="Y408">
        <f>_xlfn.XLOOKUP(Table1820[[#This Row],[Coverage]],CoverageTable[Coverage],CoverageTable[Base Rate],,0)</f>
        <v>453</v>
      </c>
      <c r="Z408">
        <f>INDEX(Table16[Ageband Factor],MATCH(Table1820[[#This Row],[Ageband]],Table16[Ageband],0))</f>
        <v>1.27</v>
      </c>
      <c r="AA408">
        <f>VLOOKUP(Table1820[[#This Row],[Years Driving]],Table1[],2)</f>
        <v>1.1499999999999999</v>
      </c>
      <c r="AB408">
        <f>_xlfn.XLOOKUP(Table1820[[#This Row],[At Fault Accidents]],Table2[At Fault Accidents],Table2[At Fault Accident Factor],,0)</f>
        <v>1.34</v>
      </c>
      <c r="AC408">
        <f>_xlfn.XLOOKUP(Table1820[[#This Row],[Usage-Based Insurance]],Table3[Usage-Based Insurance],Table3[Usage-Based Insurance Discount],,0)</f>
        <v>1</v>
      </c>
      <c r="AD408">
        <f>_xlfn.XLOOKUP(Table1820[[#This Row],[Yearly Miles]],Table4[Yearly Miles],Table4[Yearly Miles Factor],,0)</f>
        <v>0.82</v>
      </c>
      <c r="AE408">
        <f>_xlfn.XLOOKUP(Table1820[[#This Row],[City/Zip Code]],Table5[City/Zip Code],Table5[City/Zip Code Factor],,0)</f>
        <v>1.18</v>
      </c>
      <c r="AF408">
        <f>_xlfn.XLOOKUP(Table1820[[#This Row],[Vehicle Price]],Table6[Vehicle Price],Table6[Vehicle Price Factor])</f>
        <v>0.82</v>
      </c>
      <c r="AG408">
        <f>_xlfn.XLOOKUP(Table1820[[#This Row],[Exotic Car]],Table7[Exotic Car],Table7[Exotic Car Factor],,0)</f>
        <v>1</v>
      </c>
      <c r="AH408">
        <f>_xlfn.XLOOKUP(Table1820[[#This Row],[Difficult Parts]],Table8[Difficult Parts],Table8[Difficult Parts Factor],,0)</f>
        <v>1</v>
      </c>
      <c r="AI408">
        <f>_xlfn.XLOOKUP(Table1820[[#This Row],[High Theft Rate]],Table9[High Theft Rate],Table9[High Theft Rate Factor],,0)</f>
        <v>1</v>
      </c>
      <c r="AJ408">
        <f>_xlfn.XLOOKUP(Table1820[[#This Row],[Advanced Safety Features]],Table10[Advanced Safety Features],Table10[Advanced Safety Features Factor],,0)</f>
        <v>1</v>
      </c>
      <c r="AK408">
        <f>_xlfn.XLOOKUP(Table1820[[#This Row],[Deductible]],Table12[Deductible],Table12[Deductible Factor],,0)</f>
        <v>0.95</v>
      </c>
      <c r="AL408">
        <f>_xlfn.XLOOKUP(Table1820[[#This Row],[Coverage Limit]],Table13[Coverage Limit],Table13[Coverage Limit Factor],,0)</f>
        <v>1</v>
      </c>
      <c r="AM408">
        <f>IF(Table1820[[#This Row],[Good Student Discount]]="Yes",'Rate Book'!$D$126,1)</f>
        <v>0.92</v>
      </c>
      <c r="AN408">
        <f>IF(Table1820[[#This Row],[Good Driver Discount]]="Yes",'Rate Book'!$D$127,1)</f>
        <v>0.89</v>
      </c>
      <c r="AO408">
        <f>IF(Table1820[[#This Row],[Multi Policy Discount]]="Yes",'Rate Book'!$D$128,1)</f>
        <v>1</v>
      </c>
      <c r="AP408">
        <f>IF(Table1820[[#This Row],[Loyal Customer Discount]]="Yes",'Rate Book'!$D$129,1)</f>
        <v>0.94</v>
      </c>
      <c r="AQ408">
        <f>IF(Table1820[[#This Row],[Organization Discount]]="Yes",'Rate Book'!$D$130,1)</f>
        <v>0.97</v>
      </c>
      <c r="AR408" cm="1">
        <f t="array" ref="AR408">IF(Table1820[[#This Row],[Effective Date]]&gt;=RateChangeTable[Effective Date],RateChangeTable[Rate Change Factor],1)</f>
        <v>1</v>
      </c>
      <c r="AS408" s="10">
        <f>PRODUCT(Table1820[[#This Row],[Base Rate]:[Rate Change Factor]])</f>
        <v>498.90206428736889</v>
      </c>
      <c r="AT408" s="9">
        <f>Table1820[[#This Row],[System-Generated Premium]]-Table1820[[#This Row],[Expected Premium]]</f>
        <v>0</v>
      </c>
      <c r="AU408" t="str">
        <f>IF(Table1820[[#This Row],[Difference]]=0,"PASS","FAIL")</f>
        <v>PASS</v>
      </c>
      <c r="AV408" s="9">
        <f>ABS(Table1820[[#This Row],[Difference]])</f>
        <v>0</v>
      </c>
      <c r="AW408" s="9" t="s">
        <v>1136</v>
      </c>
    </row>
    <row r="409" spans="1:49" x14ac:dyDescent="0.3">
      <c r="A409" t="s">
        <v>500</v>
      </c>
      <c r="B409" s="7">
        <v>45883</v>
      </c>
      <c r="C409" t="s">
        <v>71</v>
      </c>
      <c r="D409" t="s">
        <v>1101</v>
      </c>
      <c r="E409" s="3">
        <v>2</v>
      </c>
      <c r="F409" s="3">
        <v>3</v>
      </c>
      <c r="G409" t="s">
        <v>10</v>
      </c>
      <c r="H409" t="s">
        <v>1106</v>
      </c>
      <c r="I409" t="s">
        <v>22</v>
      </c>
      <c r="J409" t="s">
        <v>49</v>
      </c>
      <c r="K409" t="s">
        <v>10</v>
      </c>
      <c r="L409" t="s">
        <v>10</v>
      </c>
      <c r="M409" t="s">
        <v>10</v>
      </c>
      <c r="N409" t="s">
        <v>57</v>
      </c>
      <c r="O409" t="str">
        <f>INDEX(CoverageTable[Deductible Applies],MATCH(Table1820[[#This Row],[Coverage]],CoverageTable[Coverage],0))</f>
        <v>Yes</v>
      </c>
      <c r="P409" t="str">
        <f>INDEX(CoverageTable[Coverage Limit Applies],MATCH(Table1820[[#This Row],[Coverage]],CoverageTable[Coverage],0))</f>
        <v>No</v>
      </c>
      <c r="Q409" t="s">
        <v>79</v>
      </c>
      <c r="R409" t="s">
        <v>10</v>
      </c>
      <c r="S409" t="s">
        <v>57</v>
      </c>
      <c r="T409" t="s">
        <v>10</v>
      </c>
      <c r="U409" t="s">
        <v>10</v>
      </c>
      <c r="V409" t="s">
        <v>57</v>
      </c>
      <c r="W409" t="s">
        <v>57</v>
      </c>
      <c r="X409" s="11">
        <v>777.01080076726942</v>
      </c>
      <c r="Y409">
        <f>_xlfn.XLOOKUP(Table1820[[#This Row],[Coverage]],CoverageTable[Coverage],CoverageTable[Base Rate],,0)</f>
        <v>453</v>
      </c>
      <c r="Z409">
        <f>INDEX(Table16[Ageband Factor],MATCH(Table1820[[#This Row],[Ageband]],Table16[Ageband],0))</f>
        <v>1.1200000000000001</v>
      </c>
      <c r="AA409">
        <f>VLOOKUP(Table1820[[#This Row],[Years Driving]],Table1[],2)</f>
        <v>1.41</v>
      </c>
      <c r="AB409">
        <f>_xlfn.XLOOKUP(Table1820[[#This Row],[At Fault Accidents]],Table2[At Fault Accidents],Table2[At Fault Accident Factor],,0)</f>
        <v>1.82</v>
      </c>
      <c r="AC409">
        <f>_xlfn.XLOOKUP(Table1820[[#This Row],[Usage-Based Insurance]],Table3[Usage-Based Insurance],Table3[Usage-Based Insurance Discount],,0)</f>
        <v>1</v>
      </c>
      <c r="AD409">
        <f>_xlfn.XLOOKUP(Table1820[[#This Row],[Yearly Miles]],Table4[Yearly Miles],Table4[Yearly Miles Factor],,0)</f>
        <v>0.82</v>
      </c>
      <c r="AE409">
        <f>_xlfn.XLOOKUP(Table1820[[#This Row],[City/Zip Code]],Table5[City/Zip Code],Table5[City/Zip Code Factor],,0)</f>
        <v>1.21</v>
      </c>
      <c r="AF409">
        <f>_xlfn.XLOOKUP(Table1820[[#This Row],[Vehicle Price]],Table6[Vehicle Price],Table6[Vehicle Price Factor])</f>
        <v>0.97</v>
      </c>
      <c r="AG409">
        <f>_xlfn.XLOOKUP(Table1820[[#This Row],[Exotic Car]],Table7[Exotic Car],Table7[Exotic Car Factor],,0)</f>
        <v>1</v>
      </c>
      <c r="AH409">
        <f>_xlfn.XLOOKUP(Table1820[[#This Row],[Difficult Parts]],Table8[Difficult Parts],Table8[Difficult Parts Factor],,0)</f>
        <v>1</v>
      </c>
      <c r="AI409">
        <f>_xlfn.XLOOKUP(Table1820[[#This Row],[High Theft Rate]],Table9[High Theft Rate],Table9[High Theft Rate Factor],,0)</f>
        <v>1</v>
      </c>
      <c r="AJ409">
        <f>_xlfn.XLOOKUP(Table1820[[#This Row],[Advanced Safety Features]],Table10[Advanced Safety Features],Table10[Advanced Safety Features Factor],,0)</f>
        <v>0.88</v>
      </c>
      <c r="AK409">
        <f>_xlfn.XLOOKUP(Table1820[[#This Row],[Deductible]],Table12[Deductible],Table12[Deductible Factor],,0)</f>
        <v>0.84</v>
      </c>
      <c r="AL409">
        <f>_xlfn.XLOOKUP(Table1820[[#This Row],[Coverage Limit]],Table13[Coverage Limit],Table13[Coverage Limit Factor],,0)</f>
        <v>1</v>
      </c>
      <c r="AM409">
        <f>IF(Table1820[[#This Row],[Good Student Discount]]="Yes",'Rate Book'!$D$126,1)</f>
        <v>0.92</v>
      </c>
      <c r="AN409">
        <f>IF(Table1820[[#This Row],[Good Driver Discount]]="Yes",'Rate Book'!$D$127,1)</f>
        <v>1</v>
      </c>
      <c r="AO409">
        <f>IF(Table1820[[#This Row],[Multi Policy Discount]]="Yes",'Rate Book'!$D$128,1)</f>
        <v>1</v>
      </c>
      <c r="AP409">
        <f>IF(Table1820[[#This Row],[Loyal Customer Discount]]="Yes",'Rate Book'!$D$129,1)</f>
        <v>0.94</v>
      </c>
      <c r="AQ409">
        <f>IF(Table1820[[#This Row],[Organization Discount]]="Yes",'Rate Book'!$D$130,1)</f>
        <v>0.97</v>
      </c>
      <c r="AR409" cm="1">
        <f t="array" ref="AR409">IF(Table1820[[#This Row],[Effective Date]]&gt;=RateChangeTable[Effective Date],RateChangeTable[Rate Change Factor],1)</f>
        <v>1</v>
      </c>
      <c r="AS409" s="10">
        <f>PRODUCT(Table1820[[#This Row],[Base Rate]:[Rate Change Factor]])</f>
        <v>777.01080076726942</v>
      </c>
      <c r="AT409" s="9">
        <f>Table1820[[#This Row],[System-Generated Premium]]-Table1820[[#This Row],[Expected Premium]]</f>
        <v>0</v>
      </c>
      <c r="AU409" t="str">
        <f>IF(Table1820[[#This Row],[Difference]]=0,"PASS","FAIL")</f>
        <v>PASS</v>
      </c>
      <c r="AV409" s="9">
        <f>ABS(Table1820[[#This Row],[Difference]])</f>
        <v>0</v>
      </c>
      <c r="AW409" s="9" t="s">
        <v>1136</v>
      </c>
    </row>
    <row r="410" spans="1:49" x14ac:dyDescent="0.3">
      <c r="A410" t="s">
        <v>501</v>
      </c>
      <c r="B410" s="7">
        <v>45978</v>
      </c>
      <c r="C410" t="s">
        <v>71</v>
      </c>
      <c r="D410" t="s">
        <v>1100</v>
      </c>
      <c r="E410" s="3">
        <v>1</v>
      </c>
      <c r="F410" s="3">
        <v>3</v>
      </c>
      <c r="G410" t="s">
        <v>10</v>
      </c>
      <c r="H410" t="s">
        <v>1106</v>
      </c>
      <c r="I410" t="s">
        <v>26</v>
      </c>
      <c r="J410" t="s">
        <v>51</v>
      </c>
      <c r="K410" t="s">
        <v>10</v>
      </c>
      <c r="L410" t="s">
        <v>10</v>
      </c>
      <c r="M410" t="s">
        <v>10</v>
      </c>
      <c r="N410" t="s">
        <v>57</v>
      </c>
      <c r="O410" t="str">
        <f>INDEX(CoverageTable[Deductible Applies],MATCH(Table1820[[#This Row],[Coverage]],CoverageTable[Coverage],0))</f>
        <v>Yes</v>
      </c>
      <c r="P410" t="str">
        <f>INDEX(CoverageTable[Coverage Limit Applies],MATCH(Table1820[[#This Row],[Coverage]],CoverageTable[Coverage],0))</f>
        <v>No</v>
      </c>
      <c r="Q410" t="s">
        <v>78</v>
      </c>
      <c r="R410" t="s">
        <v>10</v>
      </c>
      <c r="S410" t="s">
        <v>10</v>
      </c>
      <c r="T410" t="s">
        <v>10</v>
      </c>
      <c r="U410" t="s">
        <v>10</v>
      </c>
      <c r="V410" t="s">
        <v>57</v>
      </c>
      <c r="W410" t="s">
        <v>10</v>
      </c>
      <c r="X410" s="11">
        <v>1372.3124681890113</v>
      </c>
      <c r="Y410">
        <f>_xlfn.XLOOKUP(Table1820[[#This Row],[Coverage]],CoverageTable[Coverage],CoverageTable[Base Rate],,0)</f>
        <v>453</v>
      </c>
      <c r="Z410">
        <f>INDEX(Table16[Ageband Factor],MATCH(Table1820[[#This Row],[Ageband]],Table16[Ageband],0))</f>
        <v>1.07</v>
      </c>
      <c r="AA410">
        <f>VLOOKUP(Table1820[[#This Row],[Years Driving]],Table1[],2)</f>
        <v>1.64</v>
      </c>
      <c r="AB410">
        <f>_xlfn.XLOOKUP(Table1820[[#This Row],[At Fault Accidents]],Table2[At Fault Accidents],Table2[At Fault Accident Factor],,0)</f>
        <v>1.82</v>
      </c>
      <c r="AC410">
        <f>_xlfn.XLOOKUP(Table1820[[#This Row],[Usage-Based Insurance]],Table3[Usage-Based Insurance],Table3[Usage-Based Insurance Discount],,0)</f>
        <v>1</v>
      </c>
      <c r="AD410">
        <f>_xlfn.XLOOKUP(Table1820[[#This Row],[Yearly Miles]],Table4[Yearly Miles],Table4[Yearly Miles Factor],,0)</f>
        <v>0.82</v>
      </c>
      <c r="AE410">
        <f>_xlfn.XLOOKUP(Table1820[[#This Row],[City/Zip Code]],Table5[City/Zip Code],Table5[City/Zip Code Factor],,0)</f>
        <v>1.1499999999999999</v>
      </c>
      <c r="AF410">
        <f>_xlfn.XLOOKUP(Table1820[[#This Row],[Vehicle Price]],Table6[Vehicle Price],Table6[Vehicle Price Factor])</f>
        <v>1.28</v>
      </c>
      <c r="AG410">
        <f>_xlfn.XLOOKUP(Table1820[[#This Row],[Exotic Car]],Table7[Exotic Car],Table7[Exotic Car Factor],,0)</f>
        <v>1</v>
      </c>
      <c r="AH410">
        <f>_xlfn.XLOOKUP(Table1820[[#This Row],[Difficult Parts]],Table8[Difficult Parts],Table8[Difficult Parts Factor],,0)</f>
        <v>1</v>
      </c>
      <c r="AI410">
        <f>_xlfn.XLOOKUP(Table1820[[#This Row],[High Theft Rate]],Table9[High Theft Rate],Table9[High Theft Rate Factor],,0)</f>
        <v>1</v>
      </c>
      <c r="AJ410">
        <f>_xlfn.XLOOKUP(Table1820[[#This Row],[Advanced Safety Features]],Table10[Advanced Safety Features],Table10[Advanced Safety Features Factor],,0)</f>
        <v>0.88</v>
      </c>
      <c r="AK410">
        <f>_xlfn.XLOOKUP(Table1820[[#This Row],[Deductible]],Table12[Deductible],Table12[Deductible Factor],,0)</f>
        <v>0.95</v>
      </c>
      <c r="AL410">
        <f>_xlfn.XLOOKUP(Table1820[[#This Row],[Coverage Limit]],Table13[Coverage Limit],Table13[Coverage Limit Factor],,0)</f>
        <v>1</v>
      </c>
      <c r="AM410">
        <f>IF(Table1820[[#This Row],[Good Student Discount]]="Yes",'Rate Book'!$D$126,1)</f>
        <v>1</v>
      </c>
      <c r="AN410">
        <f>IF(Table1820[[#This Row],[Good Driver Discount]]="Yes",'Rate Book'!$D$127,1)</f>
        <v>1</v>
      </c>
      <c r="AO410">
        <f>IF(Table1820[[#This Row],[Multi Policy Discount]]="Yes",'Rate Book'!$D$128,1)</f>
        <v>1</v>
      </c>
      <c r="AP410">
        <f>IF(Table1820[[#This Row],[Loyal Customer Discount]]="Yes",'Rate Book'!$D$129,1)</f>
        <v>0.94</v>
      </c>
      <c r="AQ410">
        <f>IF(Table1820[[#This Row],[Organization Discount]]="Yes",'Rate Book'!$D$130,1)</f>
        <v>1</v>
      </c>
      <c r="AR410" cm="1">
        <f t="array" ref="AR410">IF(Table1820[[#This Row],[Effective Date]]&gt;=RateChangeTable[Effective Date],RateChangeTable[Rate Change Factor],1)</f>
        <v>1</v>
      </c>
      <c r="AS410" s="10">
        <f>PRODUCT(Table1820[[#This Row],[Base Rate]:[Rate Change Factor]])</f>
        <v>1372.3124681890113</v>
      </c>
      <c r="AT410" s="9">
        <f>Table1820[[#This Row],[System-Generated Premium]]-Table1820[[#This Row],[Expected Premium]]</f>
        <v>0</v>
      </c>
      <c r="AU410" t="str">
        <f>IF(Table1820[[#This Row],[Difference]]=0,"PASS","FAIL")</f>
        <v>PASS</v>
      </c>
      <c r="AV410" s="9">
        <f>ABS(Table1820[[#This Row],[Difference]])</f>
        <v>0</v>
      </c>
      <c r="AW410" s="9" t="s">
        <v>1136</v>
      </c>
    </row>
    <row r="411" spans="1:49" x14ac:dyDescent="0.3">
      <c r="A411" t="s">
        <v>502</v>
      </c>
      <c r="B411" s="7">
        <v>45783</v>
      </c>
      <c r="C411" t="s">
        <v>73</v>
      </c>
      <c r="D411" t="s">
        <v>1100</v>
      </c>
      <c r="E411" s="3" t="s">
        <v>1103</v>
      </c>
      <c r="F411" s="3">
        <v>0</v>
      </c>
      <c r="G411" t="s">
        <v>10</v>
      </c>
      <c r="H411" t="s">
        <v>1109</v>
      </c>
      <c r="I411" t="s">
        <v>36</v>
      </c>
      <c r="J411" t="s">
        <v>52</v>
      </c>
      <c r="K411" t="s">
        <v>10</v>
      </c>
      <c r="L411" t="s">
        <v>10</v>
      </c>
      <c r="M411" t="s">
        <v>10</v>
      </c>
      <c r="N411" t="s">
        <v>57</v>
      </c>
      <c r="O411" t="str">
        <f>INDEX(CoverageTable[Deductible Applies],MATCH(Table1820[[#This Row],[Coverage]],CoverageTable[Coverage],0))</f>
        <v>No</v>
      </c>
      <c r="P411" t="str">
        <f>INDEX(CoverageTable[Coverage Limit Applies],MATCH(Table1820[[#This Row],[Coverage]],CoverageTable[Coverage],0))</f>
        <v>Yes</v>
      </c>
      <c r="Q411" t="s">
        <v>10</v>
      </c>
      <c r="R411" t="s">
        <v>78</v>
      </c>
      <c r="S411" t="s">
        <v>10</v>
      </c>
      <c r="T411" t="s">
        <v>10</v>
      </c>
      <c r="U411" t="s">
        <v>57</v>
      </c>
      <c r="V411" t="s">
        <v>10</v>
      </c>
      <c r="W411" t="s">
        <v>10</v>
      </c>
      <c r="X411" s="11">
        <v>70.350067756153805</v>
      </c>
      <c r="Y411">
        <f>_xlfn.XLOOKUP(Table1820[[#This Row],[Coverage]],CoverageTable[Coverage],CoverageTable[Base Rate],,0)</f>
        <v>78</v>
      </c>
      <c r="Z411">
        <f>INDEX(Table16[Ageband Factor],MATCH(Table1820[[#This Row],[Ageband]],Table16[Ageband],0))</f>
        <v>1.07</v>
      </c>
      <c r="AA411">
        <f>VLOOKUP(Table1820[[#This Row],[Years Driving]],Table1[],2)</f>
        <v>0.93</v>
      </c>
      <c r="AB411">
        <f>_xlfn.XLOOKUP(Table1820[[#This Row],[At Fault Accidents]],Table2[At Fault Accidents],Table2[At Fault Accident Factor],,0)</f>
        <v>1</v>
      </c>
      <c r="AC411">
        <f>_xlfn.XLOOKUP(Table1820[[#This Row],[Usage-Based Insurance]],Table3[Usage-Based Insurance],Table3[Usage-Based Insurance Discount],,0)</f>
        <v>1</v>
      </c>
      <c r="AD411">
        <f>_xlfn.XLOOKUP(Table1820[[#This Row],[Yearly Miles]],Table4[Yearly Miles],Table4[Yearly Miles Factor],,0)</f>
        <v>1.18</v>
      </c>
      <c r="AE411">
        <f>_xlfn.XLOOKUP(Table1820[[#This Row],[City/Zip Code]],Table5[City/Zip Code],Table5[City/Zip Code Factor],,0)</f>
        <v>0.98</v>
      </c>
      <c r="AF411">
        <f>_xlfn.XLOOKUP(Table1820[[#This Row],[Vehicle Price]],Table6[Vehicle Price],Table6[Vehicle Price Factor])</f>
        <v>1.57</v>
      </c>
      <c r="AG411">
        <f>_xlfn.XLOOKUP(Table1820[[#This Row],[Exotic Car]],Table7[Exotic Car],Table7[Exotic Car Factor],,0)</f>
        <v>1</v>
      </c>
      <c r="AH411">
        <f>_xlfn.XLOOKUP(Table1820[[#This Row],[Difficult Parts]],Table8[Difficult Parts],Table8[Difficult Parts Factor],,0)</f>
        <v>1</v>
      </c>
      <c r="AI411">
        <f>_xlfn.XLOOKUP(Table1820[[#This Row],[High Theft Rate]],Table9[High Theft Rate],Table9[High Theft Rate Factor],,0)</f>
        <v>1</v>
      </c>
      <c r="AJ411">
        <f>_xlfn.XLOOKUP(Table1820[[#This Row],[Advanced Safety Features]],Table10[Advanced Safety Features],Table10[Advanced Safety Features Factor],,0)</f>
        <v>0.88</v>
      </c>
      <c r="AK411">
        <f>_xlfn.XLOOKUP(Table1820[[#This Row],[Deductible]],Table12[Deductible],Table12[Deductible Factor],,0)</f>
        <v>1</v>
      </c>
      <c r="AL411">
        <f>_xlfn.XLOOKUP(Table1820[[#This Row],[Coverage Limit]],Table13[Coverage Limit],Table13[Coverage Limit Factor],,0)</f>
        <v>0.61</v>
      </c>
      <c r="AM411">
        <f>IF(Table1820[[#This Row],[Good Student Discount]]="Yes",'Rate Book'!$D$126,1)</f>
        <v>1</v>
      </c>
      <c r="AN411">
        <f>IF(Table1820[[#This Row],[Good Driver Discount]]="Yes",'Rate Book'!$D$127,1)</f>
        <v>1</v>
      </c>
      <c r="AO411">
        <f>IF(Table1820[[#This Row],[Multi Policy Discount]]="Yes",'Rate Book'!$D$128,1)</f>
        <v>0.93</v>
      </c>
      <c r="AP411">
        <f>IF(Table1820[[#This Row],[Loyal Customer Discount]]="Yes",'Rate Book'!$D$129,1)</f>
        <v>1</v>
      </c>
      <c r="AQ411">
        <f>IF(Table1820[[#This Row],[Organization Discount]]="Yes",'Rate Book'!$D$130,1)</f>
        <v>1</v>
      </c>
      <c r="AR411" cm="1">
        <f t="array" ref="AR411">IF(Table1820[[#This Row],[Effective Date]]&gt;=RateChangeTable[Effective Date],RateChangeTable[Rate Change Factor],1)</f>
        <v>1</v>
      </c>
      <c r="AS411" s="10">
        <f>PRODUCT(Table1820[[#This Row],[Base Rate]:[Rate Change Factor]])</f>
        <v>70.350067756153805</v>
      </c>
      <c r="AT411" s="9">
        <f>Table1820[[#This Row],[System-Generated Premium]]-Table1820[[#This Row],[Expected Premium]]</f>
        <v>0</v>
      </c>
      <c r="AU411" t="str">
        <f>IF(Table1820[[#This Row],[Difference]]=0,"PASS","FAIL")</f>
        <v>PASS</v>
      </c>
      <c r="AV411" s="9">
        <f>ABS(Table1820[[#This Row],[Difference]])</f>
        <v>0</v>
      </c>
      <c r="AW411" s="9" t="s">
        <v>1136</v>
      </c>
    </row>
    <row r="412" spans="1:49" x14ac:dyDescent="0.3">
      <c r="A412" t="s">
        <v>503</v>
      </c>
      <c r="B412" s="7">
        <v>45868</v>
      </c>
      <c r="C412" t="s">
        <v>71</v>
      </c>
      <c r="D412" t="s">
        <v>1097</v>
      </c>
      <c r="E412" s="3" t="s">
        <v>1103</v>
      </c>
      <c r="F412" s="3">
        <v>3</v>
      </c>
      <c r="G412" t="s">
        <v>10</v>
      </c>
      <c r="H412" t="s">
        <v>1110</v>
      </c>
      <c r="I412" t="s">
        <v>22</v>
      </c>
      <c r="J412" t="s">
        <v>50</v>
      </c>
      <c r="K412" t="s">
        <v>10</v>
      </c>
      <c r="L412" t="s">
        <v>10</v>
      </c>
      <c r="M412" t="s">
        <v>10</v>
      </c>
      <c r="N412" t="s">
        <v>57</v>
      </c>
      <c r="O412" t="str">
        <f>INDEX(CoverageTable[Deductible Applies],MATCH(Table1820[[#This Row],[Coverage]],CoverageTable[Coverage],0))</f>
        <v>Yes</v>
      </c>
      <c r="P412" t="str">
        <f>INDEX(CoverageTable[Coverage Limit Applies],MATCH(Table1820[[#This Row],[Coverage]],CoverageTable[Coverage],0))</f>
        <v>No</v>
      </c>
      <c r="Q412" t="s">
        <v>80</v>
      </c>
      <c r="R412" t="s">
        <v>10</v>
      </c>
      <c r="S412" t="s">
        <v>57</v>
      </c>
      <c r="T412" t="s">
        <v>57</v>
      </c>
      <c r="U412" t="s">
        <v>10</v>
      </c>
      <c r="V412" t="s">
        <v>10</v>
      </c>
      <c r="W412" t="s">
        <v>10</v>
      </c>
      <c r="X412" s="11">
        <v>898.87622534133766</v>
      </c>
      <c r="Y412">
        <f>_xlfn.XLOOKUP(Table1820[[#This Row],[Coverage]],CoverageTable[Coverage],CoverageTable[Base Rate],,0)</f>
        <v>453</v>
      </c>
      <c r="Z412">
        <f>INDEX(Table16[Ageband Factor],MATCH(Table1820[[#This Row],[Ageband]],Table16[Ageband],0))</f>
        <v>1.32</v>
      </c>
      <c r="AA412">
        <f>VLOOKUP(Table1820[[#This Row],[Years Driving]],Table1[],2)</f>
        <v>0.93</v>
      </c>
      <c r="AB412">
        <f>_xlfn.XLOOKUP(Table1820[[#This Row],[At Fault Accidents]],Table2[At Fault Accidents],Table2[At Fault Accident Factor],,0)</f>
        <v>1.82</v>
      </c>
      <c r="AC412">
        <f>_xlfn.XLOOKUP(Table1820[[#This Row],[Usage-Based Insurance]],Table3[Usage-Based Insurance],Table3[Usage-Based Insurance Discount],,0)</f>
        <v>1</v>
      </c>
      <c r="AD412">
        <f>_xlfn.XLOOKUP(Table1820[[#This Row],[Yearly Miles]],Table4[Yearly Miles],Table4[Yearly Miles Factor],,0)</f>
        <v>1.31</v>
      </c>
      <c r="AE412">
        <f>_xlfn.XLOOKUP(Table1820[[#This Row],[City/Zip Code]],Table5[City/Zip Code],Table5[City/Zip Code Factor],,0)</f>
        <v>1.21</v>
      </c>
      <c r="AF412">
        <f>_xlfn.XLOOKUP(Table1820[[#This Row],[Vehicle Price]],Table6[Vehicle Price],Table6[Vehicle Price Factor])</f>
        <v>1.08</v>
      </c>
      <c r="AG412">
        <f>_xlfn.XLOOKUP(Table1820[[#This Row],[Exotic Car]],Table7[Exotic Car],Table7[Exotic Car Factor],,0)</f>
        <v>1</v>
      </c>
      <c r="AH412">
        <f>_xlfn.XLOOKUP(Table1820[[#This Row],[Difficult Parts]],Table8[Difficult Parts],Table8[Difficult Parts Factor],,0)</f>
        <v>1</v>
      </c>
      <c r="AI412">
        <f>_xlfn.XLOOKUP(Table1820[[#This Row],[High Theft Rate]],Table9[High Theft Rate],Table9[High Theft Rate Factor],,0)</f>
        <v>1</v>
      </c>
      <c r="AJ412">
        <f>_xlfn.XLOOKUP(Table1820[[#This Row],[Advanced Safety Features]],Table10[Advanced Safety Features],Table10[Advanced Safety Features Factor],,0)</f>
        <v>0.88</v>
      </c>
      <c r="AK412">
        <f>_xlfn.XLOOKUP(Table1820[[#This Row],[Deductible]],Table12[Deductible],Table12[Deductible Factor],,0)</f>
        <v>0.72</v>
      </c>
      <c r="AL412">
        <f>_xlfn.XLOOKUP(Table1820[[#This Row],[Coverage Limit]],Table13[Coverage Limit],Table13[Coverage Limit Factor],,0)</f>
        <v>1</v>
      </c>
      <c r="AM412">
        <f>IF(Table1820[[#This Row],[Good Student Discount]]="Yes",'Rate Book'!$D$126,1)</f>
        <v>0.92</v>
      </c>
      <c r="AN412">
        <f>IF(Table1820[[#This Row],[Good Driver Discount]]="Yes",'Rate Book'!$D$127,1)</f>
        <v>0.89</v>
      </c>
      <c r="AO412">
        <f>IF(Table1820[[#This Row],[Multi Policy Discount]]="Yes",'Rate Book'!$D$128,1)</f>
        <v>1</v>
      </c>
      <c r="AP412">
        <f>IF(Table1820[[#This Row],[Loyal Customer Discount]]="Yes",'Rate Book'!$D$129,1)</f>
        <v>1</v>
      </c>
      <c r="AQ412">
        <f>IF(Table1820[[#This Row],[Organization Discount]]="Yes",'Rate Book'!$D$130,1)</f>
        <v>1</v>
      </c>
      <c r="AR412" cm="1">
        <f t="array" ref="AR412">IF(Table1820[[#This Row],[Effective Date]]&gt;=RateChangeTable[Effective Date],RateChangeTable[Rate Change Factor],1)</f>
        <v>1</v>
      </c>
      <c r="AS412" s="10">
        <f>PRODUCT(Table1820[[#This Row],[Base Rate]:[Rate Change Factor]])</f>
        <v>898.87622534133766</v>
      </c>
      <c r="AT412" s="9">
        <f>Table1820[[#This Row],[System-Generated Premium]]-Table1820[[#This Row],[Expected Premium]]</f>
        <v>0</v>
      </c>
      <c r="AU412" t="str">
        <f>IF(Table1820[[#This Row],[Difference]]=0,"PASS","FAIL")</f>
        <v>PASS</v>
      </c>
      <c r="AV412" s="9">
        <f>ABS(Table1820[[#This Row],[Difference]])</f>
        <v>0</v>
      </c>
      <c r="AW412" s="9" t="s">
        <v>1136</v>
      </c>
    </row>
    <row r="413" spans="1:49" x14ac:dyDescent="0.3">
      <c r="A413" t="s">
        <v>504</v>
      </c>
      <c r="B413" s="7">
        <v>46137</v>
      </c>
      <c r="C413" t="s">
        <v>73</v>
      </c>
      <c r="D413" t="s">
        <v>1101</v>
      </c>
      <c r="E413" s="3">
        <v>2</v>
      </c>
      <c r="F413" s="3">
        <v>2</v>
      </c>
      <c r="G413" t="s">
        <v>13</v>
      </c>
      <c r="H413" t="s">
        <v>1107</v>
      </c>
      <c r="I413" t="s">
        <v>22</v>
      </c>
      <c r="J413" t="s">
        <v>50</v>
      </c>
      <c r="K413" t="s">
        <v>10</v>
      </c>
      <c r="L413" t="s">
        <v>10</v>
      </c>
      <c r="M413" t="s">
        <v>10</v>
      </c>
      <c r="N413" t="s">
        <v>57</v>
      </c>
      <c r="O413" t="str">
        <f>INDEX(CoverageTable[Deductible Applies],MATCH(Table1820[[#This Row],[Coverage]],CoverageTable[Coverage],0))</f>
        <v>No</v>
      </c>
      <c r="P413" t="str">
        <f>INDEX(CoverageTable[Coverage Limit Applies],MATCH(Table1820[[#This Row],[Coverage]],CoverageTable[Coverage],0))</f>
        <v>Yes</v>
      </c>
      <c r="Q413" t="s">
        <v>10</v>
      </c>
      <c r="R413" t="s">
        <v>79</v>
      </c>
      <c r="S413" t="s">
        <v>10</v>
      </c>
      <c r="T413" t="s">
        <v>10</v>
      </c>
      <c r="U413" t="s">
        <v>57</v>
      </c>
      <c r="V413" t="s">
        <v>57</v>
      </c>
      <c r="W413" t="s">
        <v>10</v>
      </c>
      <c r="X413" s="11">
        <v>88.552474829593919</v>
      </c>
      <c r="Y413">
        <f>_xlfn.XLOOKUP(Table1820[[#This Row],[Coverage]],CoverageTable[Coverage],CoverageTable[Base Rate],,0)</f>
        <v>78</v>
      </c>
      <c r="Z413">
        <f>INDEX(Table16[Ageband Factor],MATCH(Table1820[[#This Row],[Ageband]],Table16[Ageband],0))</f>
        <v>1.1200000000000001</v>
      </c>
      <c r="AA413">
        <f>VLOOKUP(Table1820[[#This Row],[Years Driving]],Table1[],2)</f>
        <v>1.41</v>
      </c>
      <c r="AB413">
        <f>_xlfn.XLOOKUP(Table1820[[#This Row],[At Fault Accidents]],Table2[At Fault Accidents],Table2[At Fault Accident Factor],,0)</f>
        <v>1.55</v>
      </c>
      <c r="AC413">
        <f>_xlfn.XLOOKUP(Table1820[[#This Row],[Usage-Based Insurance]],Table3[Usage-Based Insurance],Table3[Usage-Based Insurance Discount],,0)</f>
        <v>0.65</v>
      </c>
      <c r="AD413">
        <f>_xlfn.XLOOKUP(Table1820[[#This Row],[Yearly Miles]],Table4[Yearly Miles],Table4[Yearly Miles Factor],,0)</f>
        <v>0.93</v>
      </c>
      <c r="AE413">
        <f>_xlfn.XLOOKUP(Table1820[[#This Row],[City/Zip Code]],Table5[City/Zip Code],Table5[City/Zip Code Factor],,0)</f>
        <v>1.21</v>
      </c>
      <c r="AF413">
        <f>_xlfn.XLOOKUP(Table1820[[#This Row],[Vehicle Price]],Table6[Vehicle Price],Table6[Vehicle Price Factor])</f>
        <v>1.08</v>
      </c>
      <c r="AG413">
        <f>_xlfn.XLOOKUP(Table1820[[#This Row],[Exotic Car]],Table7[Exotic Car],Table7[Exotic Car Factor],,0)</f>
        <v>1</v>
      </c>
      <c r="AH413">
        <f>_xlfn.XLOOKUP(Table1820[[#This Row],[Difficult Parts]],Table8[Difficult Parts],Table8[Difficult Parts Factor],,0)</f>
        <v>1</v>
      </c>
      <c r="AI413">
        <f>_xlfn.XLOOKUP(Table1820[[#This Row],[High Theft Rate]],Table9[High Theft Rate],Table9[High Theft Rate Factor],,0)</f>
        <v>1</v>
      </c>
      <c r="AJ413">
        <f>_xlfn.XLOOKUP(Table1820[[#This Row],[Advanced Safety Features]],Table10[Advanced Safety Features],Table10[Advanced Safety Features Factor],,0)</f>
        <v>0.88</v>
      </c>
      <c r="AK413">
        <f>_xlfn.XLOOKUP(Table1820[[#This Row],[Deductible]],Table12[Deductible],Table12[Deductible Factor],,0)</f>
        <v>1</v>
      </c>
      <c r="AL413">
        <f>_xlfn.XLOOKUP(Table1820[[#This Row],[Coverage Limit]],Table13[Coverage Limit],Table13[Coverage Limit Factor],,0)</f>
        <v>0.72</v>
      </c>
      <c r="AM413">
        <f>IF(Table1820[[#This Row],[Good Student Discount]]="Yes",'Rate Book'!$D$126,1)</f>
        <v>1</v>
      </c>
      <c r="AN413">
        <f>IF(Table1820[[#This Row],[Good Driver Discount]]="Yes",'Rate Book'!$D$127,1)</f>
        <v>1</v>
      </c>
      <c r="AO413">
        <f>IF(Table1820[[#This Row],[Multi Policy Discount]]="Yes",'Rate Book'!$D$128,1)</f>
        <v>0.93</v>
      </c>
      <c r="AP413">
        <f>IF(Table1820[[#This Row],[Loyal Customer Discount]]="Yes",'Rate Book'!$D$129,1)</f>
        <v>0.94</v>
      </c>
      <c r="AQ413">
        <f>IF(Table1820[[#This Row],[Organization Discount]]="Yes",'Rate Book'!$D$130,1)</f>
        <v>1</v>
      </c>
      <c r="AR413" cm="1">
        <f t="array" ref="AR413">IF(Table1820[[#This Row],[Effective Date]]&gt;=RateChangeTable[Effective Date],RateChangeTable[Rate Change Factor],1)</f>
        <v>1.06</v>
      </c>
      <c r="AS413" s="10">
        <f>PRODUCT(Table1820[[#This Row],[Base Rate]:[Rate Change Factor]])</f>
        <v>88.552474829593919</v>
      </c>
      <c r="AT413" s="9">
        <f>Table1820[[#This Row],[System-Generated Premium]]-Table1820[[#This Row],[Expected Premium]]</f>
        <v>0</v>
      </c>
      <c r="AU413" t="str">
        <f>IF(Table1820[[#This Row],[Difference]]=0,"PASS","FAIL")</f>
        <v>PASS</v>
      </c>
      <c r="AV413" s="9">
        <f>ABS(Table1820[[#This Row],[Difference]])</f>
        <v>0</v>
      </c>
      <c r="AW413" s="9" t="s">
        <v>1136</v>
      </c>
    </row>
    <row r="414" spans="1:49" x14ac:dyDescent="0.3">
      <c r="A414" t="s">
        <v>505</v>
      </c>
      <c r="B414" s="7">
        <v>46046</v>
      </c>
      <c r="C414" t="s">
        <v>70</v>
      </c>
      <c r="D414" t="s">
        <v>1100</v>
      </c>
      <c r="E414" s="3">
        <v>4</v>
      </c>
      <c r="F414" s="3">
        <v>0</v>
      </c>
      <c r="G414" t="s">
        <v>13</v>
      </c>
      <c r="H414" t="s">
        <v>1107</v>
      </c>
      <c r="I414" t="s">
        <v>44</v>
      </c>
      <c r="J414" t="s">
        <v>49</v>
      </c>
      <c r="K414" t="s">
        <v>10</v>
      </c>
      <c r="L414" t="s">
        <v>10</v>
      </c>
      <c r="M414" t="s">
        <v>10</v>
      </c>
      <c r="N414" t="s">
        <v>57</v>
      </c>
      <c r="O414" t="str">
        <f>INDEX(CoverageTable[Deductible Applies],MATCH(Table1820[[#This Row],[Coverage]],CoverageTable[Coverage],0))</f>
        <v>No</v>
      </c>
      <c r="P414" t="str">
        <f>INDEX(CoverageTable[Coverage Limit Applies],MATCH(Table1820[[#This Row],[Coverage]],CoverageTable[Coverage],0))</f>
        <v>Yes</v>
      </c>
      <c r="Q414" t="s">
        <v>10</v>
      </c>
      <c r="R414" t="s">
        <v>79</v>
      </c>
      <c r="S414" t="s">
        <v>10</v>
      </c>
      <c r="T414" t="s">
        <v>10</v>
      </c>
      <c r="U414" t="s">
        <v>10</v>
      </c>
      <c r="V414" t="s">
        <v>10</v>
      </c>
      <c r="W414" t="s">
        <v>10</v>
      </c>
      <c r="X414" s="11">
        <v>349.63835257858892</v>
      </c>
      <c r="Y414">
        <f>_xlfn.XLOOKUP(Table1820[[#This Row],[Coverage]],CoverageTable[Coverage],CoverageTable[Base Rate],,0)</f>
        <v>622</v>
      </c>
      <c r="Z414">
        <f>INDEX(Table16[Ageband Factor],MATCH(Table1820[[#This Row],[Ageband]],Table16[Ageband],0))</f>
        <v>1.07</v>
      </c>
      <c r="AA414">
        <f>VLOOKUP(Table1820[[#This Row],[Years Driving]],Table1[],2)</f>
        <v>1.1499999999999999</v>
      </c>
      <c r="AB414">
        <f>_xlfn.XLOOKUP(Table1820[[#This Row],[At Fault Accidents]],Table2[At Fault Accidents],Table2[At Fault Accident Factor],,0)</f>
        <v>1</v>
      </c>
      <c r="AC414">
        <f>_xlfn.XLOOKUP(Table1820[[#This Row],[Usage-Based Insurance]],Table3[Usage-Based Insurance],Table3[Usage-Based Insurance Discount],,0)</f>
        <v>0.65</v>
      </c>
      <c r="AD414">
        <f>_xlfn.XLOOKUP(Table1820[[#This Row],[Yearly Miles]],Table4[Yearly Miles],Table4[Yearly Miles Factor],,0)</f>
        <v>0.93</v>
      </c>
      <c r="AE414">
        <f>_xlfn.XLOOKUP(Table1820[[#This Row],[City/Zip Code]],Table5[City/Zip Code],Table5[City/Zip Code Factor],,0)</f>
        <v>1.1599999999999999</v>
      </c>
      <c r="AF414">
        <f>_xlfn.XLOOKUP(Table1820[[#This Row],[Vehicle Price]],Table6[Vehicle Price],Table6[Vehicle Price Factor])</f>
        <v>0.97</v>
      </c>
      <c r="AG414">
        <f>_xlfn.XLOOKUP(Table1820[[#This Row],[Exotic Car]],Table7[Exotic Car],Table7[Exotic Car Factor],,0)</f>
        <v>1</v>
      </c>
      <c r="AH414">
        <f>_xlfn.XLOOKUP(Table1820[[#This Row],[Difficult Parts]],Table8[Difficult Parts],Table8[Difficult Parts Factor],,0)</f>
        <v>1</v>
      </c>
      <c r="AI414">
        <f>_xlfn.XLOOKUP(Table1820[[#This Row],[High Theft Rate]],Table9[High Theft Rate],Table9[High Theft Rate Factor],,0)</f>
        <v>1</v>
      </c>
      <c r="AJ414">
        <f>_xlfn.XLOOKUP(Table1820[[#This Row],[Advanced Safety Features]],Table10[Advanced Safety Features],Table10[Advanced Safety Features Factor],,0)</f>
        <v>0.88</v>
      </c>
      <c r="AK414">
        <f>_xlfn.XLOOKUP(Table1820[[#This Row],[Deductible]],Table12[Deductible],Table12[Deductible Factor],,0)</f>
        <v>1</v>
      </c>
      <c r="AL414">
        <f>_xlfn.XLOOKUP(Table1820[[#This Row],[Coverage Limit]],Table13[Coverage Limit],Table13[Coverage Limit Factor],,0)</f>
        <v>0.72</v>
      </c>
      <c r="AM414">
        <f>IF(Table1820[[#This Row],[Good Student Discount]]="Yes",'Rate Book'!$D$126,1)</f>
        <v>1</v>
      </c>
      <c r="AN414">
        <f>IF(Table1820[[#This Row],[Good Driver Discount]]="Yes",'Rate Book'!$D$127,1)</f>
        <v>1</v>
      </c>
      <c r="AO414">
        <f>IF(Table1820[[#This Row],[Multi Policy Discount]]="Yes",'Rate Book'!$D$128,1)</f>
        <v>1</v>
      </c>
      <c r="AP414">
        <f>IF(Table1820[[#This Row],[Loyal Customer Discount]]="Yes",'Rate Book'!$D$129,1)</f>
        <v>1</v>
      </c>
      <c r="AQ414">
        <f>IF(Table1820[[#This Row],[Organization Discount]]="Yes",'Rate Book'!$D$130,1)</f>
        <v>1</v>
      </c>
      <c r="AR414" cm="1">
        <f t="array" ref="AR414">IF(Table1820[[#This Row],[Effective Date]]&gt;=RateChangeTable[Effective Date],RateChangeTable[Rate Change Factor],1)</f>
        <v>1.06</v>
      </c>
      <c r="AS414" s="10">
        <f>PRODUCT(Table1820[[#This Row],[Base Rate]:[Rate Change Factor]])</f>
        <v>349.63835257858892</v>
      </c>
      <c r="AT414" s="9">
        <f>Table1820[[#This Row],[System-Generated Premium]]-Table1820[[#This Row],[Expected Premium]]</f>
        <v>0</v>
      </c>
      <c r="AU414" t="str">
        <f>IF(Table1820[[#This Row],[Difference]]=0,"PASS","FAIL")</f>
        <v>PASS</v>
      </c>
      <c r="AV414" s="9">
        <f>ABS(Table1820[[#This Row],[Difference]])</f>
        <v>0</v>
      </c>
      <c r="AW414" s="9" t="s">
        <v>1136</v>
      </c>
    </row>
    <row r="415" spans="1:49" x14ac:dyDescent="0.3">
      <c r="A415" t="s">
        <v>506</v>
      </c>
      <c r="B415" s="7">
        <v>45778</v>
      </c>
      <c r="C415" t="s">
        <v>70</v>
      </c>
      <c r="D415" t="s">
        <v>1099</v>
      </c>
      <c r="E415" s="3">
        <v>3</v>
      </c>
      <c r="F415" s="3">
        <v>4</v>
      </c>
      <c r="G415" t="s">
        <v>10</v>
      </c>
      <c r="H415" t="s">
        <v>1107</v>
      </c>
      <c r="I415" t="s">
        <v>34</v>
      </c>
      <c r="J415" t="s">
        <v>51</v>
      </c>
      <c r="K415" t="s">
        <v>10</v>
      </c>
      <c r="L415" t="s">
        <v>10</v>
      </c>
      <c r="M415" t="s">
        <v>10</v>
      </c>
      <c r="N415" t="s">
        <v>57</v>
      </c>
      <c r="O415" t="str">
        <f>INDEX(CoverageTable[Deductible Applies],MATCH(Table1820[[#This Row],[Coverage]],CoverageTable[Coverage],0))</f>
        <v>No</v>
      </c>
      <c r="P415" t="str">
        <f>INDEX(CoverageTable[Coverage Limit Applies],MATCH(Table1820[[#This Row],[Coverage]],CoverageTable[Coverage],0))</f>
        <v>Yes</v>
      </c>
      <c r="Q415" t="s">
        <v>10</v>
      </c>
      <c r="R415" t="s">
        <v>78</v>
      </c>
      <c r="S415" t="s">
        <v>10</v>
      </c>
      <c r="T415" t="s">
        <v>10</v>
      </c>
      <c r="U415" t="s">
        <v>10</v>
      </c>
      <c r="V415" t="s">
        <v>10</v>
      </c>
      <c r="W415" t="s">
        <v>10</v>
      </c>
      <c r="X415" s="11">
        <v>1603.6740438235547</v>
      </c>
      <c r="Y415">
        <f>_xlfn.XLOOKUP(Table1820[[#This Row],[Coverage]],CoverageTable[Coverage],CoverageTable[Base Rate],,0)</f>
        <v>622</v>
      </c>
      <c r="Z415">
        <f>INDEX(Table16[Ageband Factor],MATCH(Table1820[[#This Row],[Ageband]],Table16[Ageband],0))</f>
        <v>1</v>
      </c>
      <c r="AA415">
        <f>VLOOKUP(Table1820[[#This Row],[Years Driving]],Table1[],2)</f>
        <v>1.22</v>
      </c>
      <c r="AB415">
        <f>_xlfn.XLOOKUP(Table1820[[#This Row],[At Fault Accidents]],Table2[At Fault Accidents],Table2[At Fault Accident Factor],,0)</f>
        <v>2.12</v>
      </c>
      <c r="AC415">
        <f>_xlfn.XLOOKUP(Table1820[[#This Row],[Usage-Based Insurance]],Table3[Usage-Based Insurance],Table3[Usage-Based Insurance Discount],,0)</f>
        <v>1</v>
      </c>
      <c r="AD415">
        <f>_xlfn.XLOOKUP(Table1820[[#This Row],[Yearly Miles]],Table4[Yearly Miles],Table4[Yearly Miles Factor],,0)</f>
        <v>0.93</v>
      </c>
      <c r="AE415">
        <f>_xlfn.XLOOKUP(Table1820[[#This Row],[City/Zip Code]],Table5[City/Zip Code],Table5[City/Zip Code Factor],,0)</f>
        <v>1.56</v>
      </c>
      <c r="AF415">
        <f>_xlfn.XLOOKUP(Table1820[[#This Row],[Vehicle Price]],Table6[Vehicle Price],Table6[Vehicle Price Factor])</f>
        <v>1.28</v>
      </c>
      <c r="AG415">
        <f>_xlfn.XLOOKUP(Table1820[[#This Row],[Exotic Car]],Table7[Exotic Car],Table7[Exotic Car Factor],,0)</f>
        <v>1</v>
      </c>
      <c r="AH415">
        <f>_xlfn.XLOOKUP(Table1820[[#This Row],[Difficult Parts]],Table8[Difficult Parts],Table8[Difficult Parts Factor],,0)</f>
        <v>1</v>
      </c>
      <c r="AI415">
        <f>_xlfn.XLOOKUP(Table1820[[#This Row],[High Theft Rate]],Table9[High Theft Rate],Table9[High Theft Rate Factor],,0)</f>
        <v>1</v>
      </c>
      <c r="AJ415">
        <f>_xlfn.XLOOKUP(Table1820[[#This Row],[Advanced Safety Features]],Table10[Advanced Safety Features],Table10[Advanced Safety Features Factor],,0)</f>
        <v>0.88</v>
      </c>
      <c r="AK415">
        <f>_xlfn.XLOOKUP(Table1820[[#This Row],[Deductible]],Table12[Deductible],Table12[Deductible Factor],,0)</f>
        <v>1</v>
      </c>
      <c r="AL415">
        <f>_xlfn.XLOOKUP(Table1820[[#This Row],[Coverage Limit]],Table13[Coverage Limit],Table13[Coverage Limit Factor],,0)</f>
        <v>0.61</v>
      </c>
      <c r="AM415">
        <f>IF(Table1820[[#This Row],[Good Student Discount]]="Yes",'Rate Book'!$D$126,1)</f>
        <v>1</v>
      </c>
      <c r="AN415">
        <f>IF(Table1820[[#This Row],[Good Driver Discount]]="Yes",'Rate Book'!$D$127,1)</f>
        <v>1</v>
      </c>
      <c r="AO415">
        <f>IF(Table1820[[#This Row],[Multi Policy Discount]]="Yes",'Rate Book'!$D$128,1)</f>
        <v>1</v>
      </c>
      <c r="AP415">
        <f>IF(Table1820[[#This Row],[Loyal Customer Discount]]="Yes",'Rate Book'!$D$129,1)</f>
        <v>1</v>
      </c>
      <c r="AQ415">
        <f>IF(Table1820[[#This Row],[Organization Discount]]="Yes",'Rate Book'!$D$130,1)</f>
        <v>1</v>
      </c>
      <c r="AR415" cm="1">
        <f t="array" ref="AR415">IF(Table1820[[#This Row],[Effective Date]]&gt;=RateChangeTable[Effective Date],RateChangeTable[Rate Change Factor],1)</f>
        <v>1</v>
      </c>
      <c r="AS415" s="10">
        <f>PRODUCT(Table1820[[#This Row],[Base Rate]:[Rate Change Factor]])</f>
        <v>1603.6740438235547</v>
      </c>
      <c r="AT415" s="9">
        <f>Table1820[[#This Row],[System-Generated Premium]]-Table1820[[#This Row],[Expected Premium]]</f>
        <v>0</v>
      </c>
      <c r="AU415" t="str">
        <f>IF(Table1820[[#This Row],[Difference]]=0,"PASS","FAIL")</f>
        <v>PASS</v>
      </c>
      <c r="AV415" s="9">
        <f>ABS(Table1820[[#This Row],[Difference]])</f>
        <v>0</v>
      </c>
      <c r="AW415" s="9" t="s">
        <v>1136</v>
      </c>
    </row>
    <row r="416" spans="1:49" x14ac:dyDescent="0.3">
      <c r="A416" t="s">
        <v>507</v>
      </c>
      <c r="B416" s="7">
        <v>45998</v>
      </c>
      <c r="C416" t="s">
        <v>70</v>
      </c>
      <c r="D416" t="s">
        <v>1098</v>
      </c>
      <c r="E416" s="3">
        <v>2</v>
      </c>
      <c r="F416" s="3">
        <v>1</v>
      </c>
      <c r="G416" t="s">
        <v>10</v>
      </c>
      <c r="H416" t="s">
        <v>1108</v>
      </c>
      <c r="I416" t="s">
        <v>35</v>
      </c>
      <c r="J416" t="s">
        <v>48</v>
      </c>
      <c r="K416" t="s">
        <v>10</v>
      </c>
      <c r="L416" t="s">
        <v>57</v>
      </c>
      <c r="M416" t="s">
        <v>57</v>
      </c>
      <c r="N416" t="s">
        <v>10</v>
      </c>
      <c r="O416" t="str">
        <f>INDEX(CoverageTable[Deductible Applies],MATCH(Table1820[[#This Row],[Coverage]],CoverageTable[Coverage],0))</f>
        <v>No</v>
      </c>
      <c r="P416" t="str">
        <f>INDEX(CoverageTable[Coverage Limit Applies],MATCH(Table1820[[#This Row],[Coverage]],CoverageTable[Coverage],0))</f>
        <v>Yes</v>
      </c>
      <c r="Q416" t="s">
        <v>10</v>
      </c>
      <c r="R416" t="s">
        <v>79</v>
      </c>
      <c r="S416" t="s">
        <v>10</v>
      </c>
      <c r="T416" t="s">
        <v>10</v>
      </c>
      <c r="U416" t="s">
        <v>10</v>
      </c>
      <c r="V416" t="s">
        <v>57</v>
      </c>
      <c r="W416" t="s">
        <v>10</v>
      </c>
      <c r="X416" s="11">
        <v>1261.1158724741515</v>
      </c>
      <c r="Y416">
        <f>_xlfn.XLOOKUP(Table1820[[#This Row],[Coverage]],CoverageTable[Coverage],CoverageTable[Base Rate],,0)</f>
        <v>622</v>
      </c>
      <c r="Z416">
        <f>INDEX(Table16[Ageband Factor],MATCH(Table1820[[#This Row],[Ageband]],Table16[Ageband],0))</f>
        <v>1.23</v>
      </c>
      <c r="AA416">
        <f>VLOOKUP(Table1820[[#This Row],[Years Driving]],Table1[],2)</f>
        <v>1.41</v>
      </c>
      <c r="AB416">
        <f>_xlfn.XLOOKUP(Table1820[[#This Row],[At Fault Accidents]],Table2[At Fault Accidents],Table2[At Fault Accident Factor],,0)</f>
        <v>1.34</v>
      </c>
      <c r="AC416">
        <f>_xlfn.XLOOKUP(Table1820[[#This Row],[Usage-Based Insurance]],Table3[Usage-Based Insurance],Table3[Usage-Based Insurance Discount],,0)</f>
        <v>1</v>
      </c>
      <c r="AD416">
        <f>_xlfn.XLOOKUP(Table1820[[#This Row],[Yearly Miles]],Table4[Yearly Miles],Table4[Yearly Miles Factor],,0)</f>
        <v>1</v>
      </c>
      <c r="AE416">
        <f>_xlfn.XLOOKUP(Table1820[[#This Row],[City/Zip Code]],Table5[City/Zip Code],Table5[City/Zip Code Factor],,0)</f>
        <v>1.1200000000000001</v>
      </c>
      <c r="AF416">
        <f>_xlfn.XLOOKUP(Table1820[[#This Row],[Vehicle Price]],Table6[Vehicle Price],Table6[Vehicle Price Factor])</f>
        <v>0.82</v>
      </c>
      <c r="AG416">
        <f>_xlfn.XLOOKUP(Table1820[[#This Row],[Exotic Car]],Table7[Exotic Car],Table7[Exotic Car Factor],,0)</f>
        <v>1</v>
      </c>
      <c r="AH416">
        <f>_xlfn.XLOOKUP(Table1820[[#This Row],[Difficult Parts]],Table8[Difficult Parts],Table8[Difficult Parts Factor],,0)</f>
        <v>1.21</v>
      </c>
      <c r="AI416">
        <f>_xlfn.XLOOKUP(Table1820[[#This Row],[High Theft Rate]],Table9[High Theft Rate],Table9[High Theft Rate Factor],,0)</f>
        <v>1.1599999999999999</v>
      </c>
      <c r="AJ416">
        <f>_xlfn.XLOOKUP(Table1820[[#This Row],[Advanced Safety Features]],Table10[Advanced Safety Features],Table10[Advanced Safety Features Factor],,0)</f>
        <v>1</v>
      </c>
      <c r="AK416">
        <f>_xlfn.XLOOKUP(Table1820[[#This Row],[Deductible]],Table12[Deductible],Table12[Deductible Factor],,0)</f>
        <v>1</v>
      </c>
      <c r="AL416">
        <f>_xlfn.XLOOKUP(Table1820[[#This Row],[Coverage Limit]],Table13[Coverage Limit],Table13[Coverage Limit Factor],,0)</f>
        <v>0.72</v>
      </c>
      <c r="AM416">
        <f>IF(Table1820[[#This Row],[Good Student Discount]]="Yes",'Rate Book'!$D$126,1)</f>
        <v>1</v>
      </c>
      <c r="AN416">
        <f>IF(Table1820[[#This Row],[Good Driver Discount]]="Yes",'Rate Book'!$D$127,1)</f>
        <v>1</v>
      </c>
      <c r="AO416">
        <f>IF(Table1820[[#This Row],[Multi Policy Discount]]="Yes",'Rate Book'!$D$128,1)</f>
        <v>1</v>
      </c>
      <c r="AP416">
        <f>IF(Table1820[[#This Row],[Loyal Customer Discount]]="Yes",'Rate Book'!$D$129,1)</f>
        <v>0.94</v>
      </c>
      <c r="AQ416">
        <f>IF(Table1820[[#This Row],[Organization Discount]]="Yes",'Rate Book'!$D$130,1)</f>
        <v>1</v>
      </c>
      <c r="AR416" cm="1">
        <f t="array" ref="AR416">IF(Table1820[[#This Row],[Effective Date]]&gt;=RateChangeTable[Effective Date],RateChangeTable[Rate Change Factor],1)</f>
        <v>1</v>
      </c>
      <c r="AS416" s="10">
        <f>PRODUCT(Table1820[[#This Row],[Base Rate]:[Rate Change Factor]])</f>
        <v>1261.1158724741515</v>
      </c>
      <c r="AT416" s="9">
        <f>Table1820[[#This Row],[System-Generated Premium]]-Table1820[[#This Row],[Expected Premium]]</f>
        <v>0</v>
      </c>
      <c r="AU416" t="str">
        <f>IF(Table1820[[#This Row],[Difference]]=0,"PASS","FAIL")</f>
        <v>PASS</v>
      </c>
      <c r="AV416" s="9">
        <f>ABS(Table1820[[#This Row],[Difference]])</f>
        <v>0</v>
      </c>
      <c r="AW416" s="9" t="s">
        <v>1136</v>
      </c>
    </row>
    <row r="417" spans="1:49" x14ac:dyDescent="0.3">
      <c r="A417" t="s">
        <v>508</v>
      </c>
      <c r="B417" s="7">
        <v>45932</v>
      </c>
      <c r="C417" t="s">
        <v>70</v>
      </c>
      <c r="D417" t="s">
        <v>1099</v>
      </c>
      <c r="E417" s="3">
        <v>7</v>
      </c>
      <c r="F417" s="3" t="s">
        <v>7</v>
      </c>
      <c r="G417" t="s">
        <v>10</v>
      </c>
      <c r="H417" t="s">
        <v>1106</v>
      </c>
      <c r="I417" t="s">
        <v>26</v>
      </c>
      <c r="J417" t="s">
        <v>48</v>
      </c>
      <c r="K417" t="s">
        <v>10</v>
      </c>
      <c r="L417" t="s">
        <v>10</v>
      </c>
      <c r="M417" t="s">
        <v>10</v>
      </c>
      <c r="N417" t="s">
        <v>10</v>
      </c>
      <c r="O417" t="str">
        <f>INDEX(CoverageTable[Deductible Applies],MATCH(Table1820[[#This Row],[Coverage]],CoverageTable[Coverage],0))</f>
        <v>No</v>
      </c>
      <c r="P417" t="str">
        <f>INDEX(CoverageTable[Coverage Limit Applies],MATCH(Table1820[[#This Row],[Coverage]],CoverageTable[Coverage],0))</f>
        <v>Yes</v>
      </c>
      <c r="Q417" t="s">
        <v>10</v>
      </c>
      <c r="R417" t="s">
        <v>79</v>
      </c>
      <c r="S417" t="s">
        <v>10</v>
      </c>
      <c r="T417" t="s">
        <v>57</v>
      </c>
      <c r="U417" t="s">
        <v>10</v>
      </c>
      <c r="V417" t="s">
        <v>10</v>
      </c>
      <c r="W417" t="s">
        <v>57</v>
      </c>
      <c r="X417" s="11">
        <v>701.50492711744846</v>
      </c>
      <c r="Y417">
        <f>_xlfn.XLOOKUP(Table1820[[#This Row],[Coverage]],CoverageTable[Coverage],CoverageTable[Base Rate],,0)</f>
        <v>622</v>
      </c>
      <c r="Z417">
        <f>INDEX(Table16[Ageband Factor],MATCH(Table1820[[#This Row],[Ageband]],Table16[Ageband],0))</f>
        <v>1</v>
      </c>
      <c r="AA417">
        <f>VLOOKUP(Table1820[[#This Row],[Years Driving]],Table1[],2)</f>
        <v>0.95</v>
      </c>
      <c r="AB417">
        <f>_xlfn.XLOOKUP(Table1820[[#This Row],[At Fault Accidents]],Table2[At Fault Accidents],Table2[At Fault Accident Factor],,0)</f>
        <v>2.4700000000000002</v>
      </c>
      <c r="AC417">
        <f>_xlfn.XLOOKUP(Table1820[[#This Row],[Usage-Based Insurance]],Table3[Usage-Based Insurance],Table3[Usage-Based Insurance Discount],,0)</f>
        <v>1</v>
      </c>
      <c r="AD417">
        <f>_xlfn.XLOOKUP(Table1820[[#This Row],[Yearly Miles]],Table4[Yearly Miles],Table4[Yearly Miles Factor],,0)</f>
        <v>0.82</v>
      </c>
      <c r="AE417">
        <f>_xlfn.XLOOKUP(Table1820[[#This Row],[City/Zip Code]],Table5[City/Zip Code],Table5[City/Zip Code Factor],,0)</f>
        <v>1.1499999999999999</v>
      </c>
      <c r="AF417">
        <f>_xlfn.XLOOKUP(Table1820[[#This Row],[Vehicle Price]],Table6[Vehicle Price],Table6[Vehicle Price Factor])</f>
        <v>0.82</v>
      </c>
      <c r="AG417">
        <f>_xlfn.XLOOKUP(Table1820[[#This Row],[Exotic Car]],Table7[Exotic Car],Table7[Exotic Car Factor],,0)</f>
        <v>1</v>
      </c>
      <c r="AH417">
        <f>_xlfn.XLOOKUP(Table1820[[#This Row],[Difficult Parts]],Table8[Difficult Parts],Table8[Difficult Parts Factor],,0)</f>
        <v>1</v>
      </c>
      <c r="AI417">
        <f>_xlfn.XLOOKUP(Table1820[[#This Row],[High Theft Rate]],Table9[High Theft Rate],Table9[High Theft Rate Factor],,0)</f>
        <v>1</v>
      </c>
      <c r="AJ417">
        <f>_xlfn.XLOOKUP(Table1820[[#This Row],[Advanced Safety Features]],Table10[Advanced Safety Features],Table10[Advanced Safety Features Factor],,0)</f>
        <v>1</v>
      </c>
      <c r="AK417">
        <f>_xlfn.XLOOKUP(Table1820[[#This Row],[Deductible]],Table12[Deductible],Table12[Deductible Factor],,0)</f>
        <v>1</v>
      </c>
      <c r="AL417">
        <f>_xlfn.XLOOKUP(Table1820[[#This Row],[Coverage Limit]],Table13[Coverage Limit],Table13[Coverage Limit Factor],,0)</f>
        <v>0.72</v>
      </c>
      <c r="AM417">
        <f>IF(Table1820[[#This Row],[Good Student Discount]]="Yes",'Rate Book'!$D$126,1)</f>
        <v>1</v>
      </c>
      <c r="AN417">
        <f>IF(Table1820[[#This Row],[Good Driver Discount]]="Yes",'Rate Book'!$D$127,1)</f>
        <v>0.89</v>
      </c>
      <c r="AO417">
        <f>IF(Table1820[[#This Row],[Multi Policy Discount]]="Yes",'Rate Book'!$D$128,1)</f>
        <v>1</v>
      </c>
      <c r="AP417">
        <f>IF(Table1820[[#This Row],[Loyal Customer Discount]]="Yes",'Rate Book'!$D$129,1)</f>
        <v>1</v>
      </c>
      <c r="AQ417">
        <f>IF(Table1820[[#This Row],[Organization Discount]]="Yes",'Rate Book'!$D$130,1)</f>
        <v>0.97</v>
      </c>
      <c r="AR417" cm="1">
        <f t="array" ref="AR417">IF(Table1820[[#This Row],[Effective Date]]&gt;=RateChangeTable[Effective Date],RateChangeTable[Rate Change Factor],1)</f>
        <v>1</v>
      </c>
      <c r="AS417" s="10">
        <f>PRODUCT(Table1820[[#This Row],[Base Rate]:[Rate Change Factor]])</f>
        <v>701.50492711744846</v>
      </c>
      <c r="AT417" s="9">
        <f>Table1820[[#This Row],[System-Generated Premium]]-Table1820[[#This Row],[Expected Premium]]</f>
        <v>0</v>
      </c>
      <c r="AU417" t="str">
        <f>IF(Table1820[[#This Row],[Difference]]=0,"PASS","FAIL")</f>
        <v>PASS</v>
      </c>
      <c r="AV417" s="9">
        <f>ABS(Table1820[[#This Row],[Difference]])</f>
        <v>0</v>
      </c>
      <c r="AW417" s="9" t="s">
        <v>1136</v>
      </c>
    </row>
    <row r="418" spans="1:49" x14ac:dyDescent="0.3">
      <c r="A418" t="s">
        <v>509</v>
      </c>
      <c r="B418" s="7">
        <v>46037</v>
      </c>
      <c r="C418" t="s">
        <v>70</v>
      </c>
      <c r="D418" t="s">
        <v>1098</v>
      </c>
      <c r="E418" s="3">
        <v>7</v>
      </c>
      <c r="F418" s="3">
        <v>1</v>
      </c>
      <c r="G418" t="s">
        <v>10</v>
      </c>
      <c r="H418" t="s">
        <v>1107</v>
      </c>
      <c r="I418" t="s">
        <v>32</v>
      </c>
      <c r="J418" t="s">
        <v>51</v>
      </c>
      <c r="K418" t="s">
        <v>10</v>
      </c>
      <c r="L418" t="s">
        <v>10</v>
      </c>
      <c r="M418" t="s">
        <v>10</v>
      </c>
      <c r="N418" t="s">
        <v>57</v>
      </c>
      <c r="O418" t="str">
        <f>INDEX(CoverageTable[Deductible Applies],MATCH(Table1820[[#This Row],[Coverage]],CoverageTable[Coverage],0))</f>
        <v>No</v>
      </c>
      <c r="P418" t="str">
        <f>INDEX(CoverageTable[Coverage Limit Applies],MATCH(Table1820[[#This Row],[Coverage]],CoverageTable[Coverage],0))</f>
        <v>Yes</v>
      </c>
      <c r="Q418" t="s">
        <v>10</v>
      </c>
      <c r="R418" t="s">
        <v>78</v>
      </c>
      <c r="S418" t="s">
        <v>10</v>
      </c>
      <c r="T418" t="s">
        <v>10</v>
      </c>
      <c r="U418" t="s">
        <v>57</v>
      </c>
      <c r="V418" t="s">
        <v>10</v>
      </c>
      <c r="W418" t="s">
        <v>10</v>
      </c>
      <c r="X418" s="11">
        <v>687.12565131655867</v>
      </c>
      <c r="Y418">
        <f>_xlfn.XLOOKUP(Table1820[[#This Row],[Coverage]],CoverageTable[Coverage],CoverageTable[Base Rate],,0)</f>
        <v>622</v>
      </c>
      <c r="Z418">
        <f>INDEX(Table16[Ageband Factor],MATCH(Table1820[[#This Row],[Ageband]],Table16[Ageband],0))</f>
        <v>1.23</v>
      </c>
      <c r="AA418">
        <f>VLOOKUP(Table1820[[#This Row],[Years Driving]],Table1[],2)</f>
        <v>0.95</v>
      </c>
      <c r="AB418">
        <f>_xlfn.XLOOKUP(Table1820[[#This Row],[At Fault Accidents]],Table2[At Fault Accidents],Table2[At Fault Accident Factor],,0)</f>
        <v>1.34</v>
      </c>
      <c r="AC418">
        <f>_xlfn.XLOOKUP(Table1820[[#This Row],[Usage-Based Insurance]],Table3[Usage-Based Insurance],Table3[Usage-Based Insurance Discount],,0)</f>
        <v>1</v>
      </c>
      <c r="AD418">
        <f>_xlfn.XLOOKUP(Table1820[[#This Row],[Yearly Miles]],Table4[Yearly Miles],Table4[Yearly Miles Factor],,0)</f>
        <v>0.93</v>
      </c>
      <c r="AE418">
        <f>_xlfn.XLOOKUP(Table1820[[#This Row],[City/Zip Code]],Table5[City/Zip Code],Table5[City/Zip Code Factor],,0)</f>
        <v>1.1200000000000001</v>
      </c>
      <c r="AF418">
        <f>_xlfn.XLOOKUP(Table1820[[#This Row],[Vehicle Price]],Table6[Vehicle Price],Table6[Vehicle Price Factor])</f>
        <v>1.28</v>
      </c>
      <c r="AG418">
        <f>_xlfn.XLOOKUP(Table1820[[#This Row],[Exotic Car]],Table7[Exotic Car],Table7[Exotic Car Factor],,0)</f>
        <v>1</v>
      </c>
      <c r="AH418">
        <f>_xlfn.XLOOKUP(Table1820[[#This Row],[Difficult Parts]],Table8[Difficult Parts],Table8[Difficult Parts Factor],,0)</f>
        <v>1</v>
      </c>
      <c r="AI418">
        <f>_xlfn.XLOOKUP(Table1820[[#This Row],[High Theft Rate]],Table9[High Theft Rate],Table9[High Theft Rate Factor],,0)</f>
        <v>1</v>
      </c>
      <c r="AJ418">
        <f>_xlfn.XLOOKUP(Table1820[[#This Row],[Advanced Safety Features]],Table10[Advanced Safety Features],Table10[Advanced Safety Features Factor],,0)</f>
        <v>0.88</v>
      </c>
      <c r="AK418">
        <f>_xlfn.XLOOKUP(Table1820[[#This Row],[Deductible]],Table12[Deductible],Table12[Deductible Factor],,0)</f>
        <v>1</v>
      </c>
      <c r="AL418">
        <f>_xlfn.XLOOKUP(Table1820[[#This Row],[Coverage Limit]],Table13[Coverage Limit],Table13[Coverage Limit Factor],,0)</f>
        <v>0.61</v>
      </c>
      <c r="AM418">
        <f>IF(Table1820[[#This Row],[Good Student Discount]]="Yes",'Rate Book'!$D$126,1)</f>
        <v>1</v>
      </c>
      <c r="AN418">
        <f>IF(Table1820[[#This Row],[Good Driver Discount]]="Yes",'Rate Book'!$D$127,1)</f>
        <v>1</v>
      </c>
      <c r="AO418">
        <f>IF(Table1820[[#This Row],[Multi Policy Discount]]="Yes",'Rate Book'!$D$128,1)</f>
        <v>0.93</v>
      </c>
      <c r="AP418">
        <f>IF(Table1820[[#This Row],[Loyal Customer Discount]]="Yes",'Rate Book'!$D$129,1)</f>
        <v>1</v>
      </c>
      <c r="AQ418">
        <f>IF(Table1820[[#This Row],[Organization Discount]]="Yes",'Rate Book'!$D$130,1)</f>
        <v>1</v>
      </c>
      <c r="AR418" cm="1">
        <f t="array" ref="AR418">IF(Table1820[[#This Row],[Effective Date]]&gt;=RateChangeTable[Effective Date],RateChangeTable[Rate Change Factor],1)</f>
        <v>1.06</v>
      </c>
      <c r="AS418" s="10">
        <f>PRODUCT(Table1820[[#This Row],[Base Rate]:[Rate Change Factor]])</f>
        <v>687.12565131655867</v>
      </c>
      <c r="AT418" s="9">
        <f>Table1820[[#This Row],[System-Generated Premium]]-Table1820[[#This Row],[Expected Premium]]</f>
        <v>0</v>
      </c>
      <c r="AU418" t="str">
        <f>IF(Table1820[[#This Row],[Difference]]=0,"PASS","FAIL")</f>
        <v>PASS</v>
      </c>
      <c r="AV418" s="9">
        <f>ABS(Table1820[[#This Row],[Difference]])</f>
        <v>0</v>
      </c>
      <c r="AW418" s="9" t="s">
        <v>1136</v>
      </c>
    </row>
    <row r="419" spans="1:49" x14ac:dyDescent="0.3">
      <c r="A419" t="s">
        <v>510</v>
      </c>
      <c r="B419" s="7">
        <v>46068</v>
      </c>
      <c r="C419" t="s">
        <v>70</v>
      </c>
      <c r="D419" t="s">
        <v>1101</v>
      </c>
      <c r="E419" s="3">
        <v>7</v>
      </c>
      <c r="F419" s="3">
        <v>0</v>
      </c>
      <c r="G419" t="s">
        <v>13</v>
      </c>
      <c r="H419" t="s">
        <v>1107</v>
      </c>
      <c r="I419" t="s">
        <v>21</v>
      </c>
      <c r="J419" t="s">
        <v>49</v>
      </c>
      <c r="K419" t="s">
        <v>10</v>
      </c>
      <c r="L419" t="s">
        <v>10</v>
      </c>
      <c r="M419" t="s">
        <v>10</v>
      </c>
      <c r="N419" t="s">
        <v>57</v>
      </c>
      <c r="O419" t="str">
        <f>INDEX(CoverageTable[Deductible Applies],MATCH(Table1820[[#This Row],[Coverage]],CoverageTable[Coverage],0))</f>
        <v>No</v>
      </c>
      <c r="P419" t="str">
        <f>INDEX(CoverageTable[Coverage Limit Applies],MATCH(Table1820[[#This Row],[Coverage]],CoverageTable[Coverage],0))</f>
        <v>Yes</v>
      </c>
      <c r="Q419" t="s">
        <v>10</v>
      </c>
      <c r="R419" t="s">
        <v>79</v>
      </c>
      <c r="S419" t="s">
        <v>10</v>
      </c>
      <c r="T419" t="s">
        <v>10</v>
      </c>
      <c r="U419" t="s">
        <v>10</v>
      </c>
      <c r="V419" t="s">
        <v>57</v>
      </c>
      <c r="W419" t="s">
        <v>57</v>
      </c>
      <c r="X419" s="11">
        <v>299.42717916789843</v>
      </c>
      <c r="Y419">
        <f>_xlfn.XLOOKUP(Table1820[[#This Row],[Coverage]],CoverageTable[Coverage],CoverageTable[Base Rate],,0)</f>
        <v>622</v>
      </c>
      <c r="Z419">
        <f>INDEX(Table16[Ageband Factor],MATCH(Table1820[[#This Row],[Ageband]],Table16[Ageband],0))</f>
        <v>1.1200000000000001</v>
      </c>
      <c r="AA419">
        <f>VLOOKUP(Table1820[[#This Row],[Years Driving]],Table1[],2)</f>
        <v>0.95</v>
      </c>
      <c r="AB419">
        <f>_xlfn.XLOOKUP(Table1820[[#This Row],[At Fault Accidents]],Table2[At Fault Accidents],Table2[At Fault Accident Factor],,0)</f>
        <v>1</v>
      </c>
      <c r="AC419">
        <f>_xlfn.XLOOKUP(Table1820[[#This Row],[Usage-Based Insurance]],Table3[Usage-Based Insurance],Table3[Usage-Based Insurance Discount],,0)</f>
        <v>0.65</v>
      </c>
      <c r="AD419">
        <f>_xlfn.XLOOKUP(Table1820[[#This Row],[Yearly Miles]],Table4[Yearly Miles],Table4[Yearly Miles Factor],,0)</f>
        <v>0.93</v>
      </c>
      <c r="AE419">
        <f>_xlfn.XLOOKUP(Table1820[[#This Row],[City/Zip Code]],Table5[City/Zip Code],Table5[City/Zip Code Factor],,0)</f>
        <v>1.26</v>
      </c>
      <c r="AF419">
        <f>_xlfn.XLOOKUP(Table1820[[#This Row],[Vehicle Price]],Table6[Vehicle Price],Table6[Vehicle Price Factor])</f>
        <v>0.97</v>
      </c>
      <c r="AG419">
        <f>_xlfn.XLOOKUP(Table1820[[#This Row],[Exotic Car]],Table7[Exotic Car],Table7[Exotic Car Factor],,0)</f>
        <v>1</v>
      </c>
      <c r="AH419">
        <f>_xlfn.XLOOKUP(Table1820[[#This Row],[Difficult Parts]],Table8[Difficult Parts],Table8[Difficult Parts Factor],,0)</f>
        <v>1</v>
      </c>
      <c r="AI419">
        <f>_xlfn.XLOOKUP(Table1820[[#This Row],[High Theft Rate]],Table9[High Theft Rate],Table9[High Theft Rate Factor],,0)</f>
        <v>1</v>
      </c>
      <c r="AJ419">
        <f>_xlfn.XLOOKUP(Table1820[[#This Row],[Advanced Safety Features]],Table10[Advanced Safety Features],Table10[Advanced Safety Features Factor],,0)</f>
        <v>0.88</v>
      </c>
      <c r="AK419">
        <f>_xlfn.XLOOKUP(Table1820[[#This Row],[Deductible]],Table12[Deductible],Table12[Deductible Factor],,0)</f>
        <v>1</v>
      </c>
      <c r="AL419">
        <f>_xlfn.XLOOKUP(Table1820[[#This Row],[Coverage Limit]],Table13[Coverage Limit],Table13[Coverage Limit Factor],,0)</f>
        <v>0.72</v>
      </c>
      <c r="AM419">
        <f>IF(Table1820[[#This Row],[Good Student Discount]]="Yes",'Rate Book'!$D$126,1)</f>
        <v>1</v>
      </c>
      <c r="AN419">
        <f>IF(Table1820[[#This Row],[Good Driver Discount]]="Yes",'Rate Book'!$D$127,1)</f>
        <v>1</v>
      </c>
      <c r="AO419">
        <f>IF(Table1820[[#This Row],[Multi Policy Discount]]="Yes",'Rate Book'!$D$128,1)</f>
        <v>1</v>
      </c>
      <c r="AP419">
        <f>IF(Table1820[[#This Row],[Loyal Customer Discount]]="Yes",'Rate Book'!$D$129,1)</f>
        <v>0.94</v>
      </c>
      <c r="AQ419">
        <f>IF(Table1820[[#This Row],[Organization Discount]]="Yes",'Rate Book'!$D$130,1)</f>
        <v>0.97</v>
      </c>
      <c r="AR419" cm="1">
        <f t="array" ref="AR419">IF(Table1820[[#This Row],[Effective Date]]&gt;=RateChangeTable[Effective Date],RateChangeTable[Rate Change Factor],1)</f>
        <v>1.06</v>
      </c>
      <c r="AS419" s="10">
        <f>PRODUCT(Table1820[[#This Row],[Base Rate]:[Rate Change Factor]])</f>
        <v>299.42717916789843</v>
      </c>
      <c r="AT419" s="9">
        <f>Table1820[[#This Row],[System-Generated Premium]]-Table1820[[#This Row],[Expected Premium]]</f>
        <v>0</v>
      </c>
      <c r="AU419" t="str">
        <f>IF(Table1820[[#This Row],[Difference]]=0,"PASS","FAIL")</f>
        <v>PASS</v>
      </c>
      <c r="AV419" s="9">
        <f>ABS(Table1820[[#This Row],[Difference]])</f>
        <v>0</v>
      </c>
      <c r="AW419" s="9" t="s">
        <v>1136</v>
      </c>
    </row>
    <row r="420" spans="1:49" x14ac:dyDescent="0.3">
      <c r="A420" t="s">
        <v>511</v>
      </c>
      <c r="B420" s="7">
        <v>45806</v>
      </c>
      <c r="C420" t="s">
        <v>70</v>
      </c>
      <c r="D420" t="s">
        <v>1097</v>
      </c>
      <c r="E420" s="3">
        <v>6</v>
      </c>
      <c r="F420" s="3">
        <v>1</v>
      </c>
      <c r="G420" t="s">
        <v>12</v>
      </c>
      <c r="H420" t="s">
        <v>1106</v>
      </c>
      <c r="I420" t="s">
        <v>25</v>
      </c>
      <c r="J420" t="s">
        <v>53</v>
      </c>
      <c r="K420" t="s">
        <v>10</v>
      </c>
      <c r="L420" t="s">
        <v>10</v>
      </c>
      <c r="M420" t="s">
        <v>10</v>
      </c>
      <c r="N420" t="s">
        <v>57</v>
      </c>
      <c r="O420" t="str">
        <f>INDEX(CoverageTable[Deductible Applies],MATCH(Table1820[[#This Row],[Coverage]],CoverageTable[Coverage],0))</f>
        <v>No</v>
      </c>
      <c r="P420" t="str">
        <f>INDEX(CoverageTable[Coverage Limit Applies],MATCH(Table1820[[#This Row],[Coverage]],CoverageTable[Coverage],0))</f>
        <v>Yes</v>
      </c>
      <c r="Q420" t="s">
        <v>10</v>
      </c>
      <c r="R420" t="s">
        <v>79</v>
      </c>
      <c r="S420" t="s">
        <v>57</v>
      </c>
      <c r="T420" t="s">
        <v>10</v>
      </c>
      <c r="U420" t="s">
        <v>57</v>
      </c>
      <c r="V420" t="s">
        <v>10</v>
      </c>
      <c r="W420" t="s">
        <v>10</v>
      </c>
      <c r="X420" s="11">
        <v>916.78659976163271</v>
      </c>
      <c r="Y420">
        <f>_xlfn.XLOOKUP(Table1820[[#This Row],[Coverage]],CoverageTable[Coverage],CoverageTable[Base Rate],,0)</f>
        <v>622</v>
      </c>
      <c r="Z420">
        <f>INDEX(Table16[Ageband Factor],MATCH(Table1820[[#This Row],[Ageband]],Table16[Ageband],0))</f>
        <v>1.32</v>
      </c>
      <c r="AA420">
        <f>VLOOKUP(Table1820[[#This Row],[Years Driving]],Table1[],2)</f>
        <v>1</v>
      </c>
      <c r="AB420">
        <f>_xlfn.XLOOKUP(Table1820[[#This Row],[At Fault Accidents]],Table2[At Fault Accidents],Table2[At Fault Accident Factor],,0)</f>
        <v>1.34</v>
      </c>
      <c r="AC420">
        <f>_xlfn.XLOOKUP(Table1820[[#This Row],[Usage-Based Insurance]],Table3[Usage-Based Insurance],Table3[Usage-Based Insurance Discount],,0)</f>
        <v>0.8</v>
      </c>
      <c r="AD420">
        <f>_xlfn.XLOOKUP(Table1820[[#This Row],[Yearly Miles]],Table4[Yearly Miles],Table4[Yearly Miles Factor],,0)</f>
        <v>0.82</v>
      </c>
      <c r="AE420">
        <f>_xlfn.XLOOKUP(Table1820[[#This Row],[City/Zip Code]],Table5[City/Zip Code],Table5[City/Zip Code Factor],,0)</f>
        <v>1.1599999999999999</v>
      </c>
      <c r="AF420">
        <f>_xlfn.XLOOKUP(Table1820[[#This Row],[Vehicle Price]],Table6[Vehicle Price],Table6[Vehicle Price Factor])</f>
        <v>2.02</v>
      </c>
      <c r="AG420">
        <f>_xlfn.XLOOKUP(Table1820[[#This Row],[Exotic Car]],Table7[Exotic Car],Table7[Exotic Car Factor],,0)</f>
        <v>1</v>
      </c>
      <c r="AH420">
        <f>_xlfn.XLOOKUP(Table1820[[#This Row],[Difficult Parts]],Table8[Difficult Parts],Table8[Difficult Parts Factor],,0)</f>
        <v>1</v>
      </c>
      <c r="AI420">
        <f>_xlfn.XLOOKUP(Table1820[[#This Row],[High Theft Rate]],Table9[High Theft Rate],Table9[High Theft Rate Factor],,0)</f>
        <v>1</v>
      </c>
      <c r="AJ420">
        <f>_xlfn.XLOOKUP(Table1820[[#This Row],[Advanced Safety Features]],Table10[Advanced Safety Features],Table10[Advanced Safety Features Factor],,0)</f>
        <v>0.88</v>
      </c>
      <c r="AK420">
        <f>_xlfn.XLOOKUP(Table1820[[#This Row],[Deductible]],Table12[Deductible],Table12[Deductible Factor],,0)</f>
        <v>1</v>
      </c>
      <c r="AL420">
        <f>_xlfn.XLOOKUP(Table1820[[#This Row],[Coverage Limit]],Table13[Coverage Limit],Table13[Coverage Limit Factor],,0)</f>
        <v>0.72</v>
      </c>
      <c r="AM420">
        <f>IF(Table1820[[#This Row],[Good Student Discount]]="Yes",'Rate Book'!$D$126,1)</f>
        <v>0.92</v>
      </c>
      <c r="AN420">
        <f>IF(Table1820[[#This Row],[Good Driver Discount]]="Yes",'Rate Book'!$D$127,1)</f>
        <v>1</v>
      </c>
      <c r="AO420">
        <f>IF(Table1820[[#This Row],[Multi Policy Discount]]="Yes",'Rate Book'!$D$128,1)</f>
        <v>0.93</v>
      </c>
      <c r="AP420">
        <f>IF(Table1820[[#This Row],[Loyal Customer Discount]]="Yes",'Rate Book'!$D$129,1)</f>
        <v>1</v>
      </c>
      <c r="AQ420">
        <f>IF(Table1820[[#This Row],[Organization Discount]]="Yes",'Rate Book'!$D$130,1)</f>
        <v>1</v>
      </c>
      <c r="AR420" cm="1">
        <f t="array" ref="AR420">IF(Table1820[[#This Row],[Effective Date]]&gt;=RateChangeTable[Effective Date],RateChangeTable[Rate Change Factor],1)</f>
        <v>1</v>
      </c>
      <c r="AS420" s="10">
        <f>PRODUCT(Table1820[[#This Row],[Base Rate]:[Rate Change Factor]])</f>
        <v>916.78659976163271</v>
      </c>
      <c r="AT420" s="9">
        <f>Table1820[[#This Row],[System-Generated Premium]]-Table1820[[#This Row],[Expected Premium]]</f>
        <v>0</v>
      </c>
      <c r="AU420" t="str">
        <f>IF(Table1820[[#This Row],[Difference]]=0,"PASS","FAIL")</f>
        <v>PASS</v>
      </c>
      <c r="AV420" s="9">
        <f>ABS(Table1820[[#This Row],[Difference]])</f>
        <v>0</v>
      </c>
      <c r="AW420" s="9" t="s">
        <v>1136</v>
      </c>
    </row>
    <row r="421" spans="1:49" x14ac:dyDescent="0.3">
      <c r="A421" t="s">
        <v>512</v>
      </c>
      <c r="B421" s="7">
        <v>46020</v>
      </c>
      <c r="C421" t="s">
        <v>73</v>
      </c>
      <c r="D421" t="s">
        <v>1102</v>
      </c>
      <c r="E421" s="3">
        <v>3</v>
      </c>
      <c r="F421" s="3">
        <v>0</v>
      </c>
      <c r="G421" t="s">
        <v>12</v>
      </c>
      <c r="H421" t="s">
        <v>1108</v>
      </c>
      <c r="I421" t="s">
        <v>30</v>
      </c>
      <c r="J421" t="s">
        <v>51</v>
      </c>
      <c r="K421" t="s">
        <v>10</v>
      </c>
      <c r="L421" t="s">
        <v>10</v>
      </c>
      <c r="M421" t="s">
        <v>10</v>
      </c>
      <c r="N421" t="s">
        <v>10</v>
      </c>
      <c r="O421" t="str">
        <f>INDEX(CoverageTable[Deductible Applies],MATCH(Table1820[[#This Row],[Coverage]],CoverageTable[Coverage],0))</f>
        <v>No</v>
      </c>
      <c r="P421" t="str">
        <f>INDEX(CoverageTable[Coverage Limit Applies],MATCH(Table1820[[#This Row],[Coverage]],CoverageTable[Coverage],0))</f>
        <v>Yes</v>
      </c>
      <c r="Q421" t="s">
        <v>10</v>
      </c>
      <c r="R421" t="s">
        <v>78</v>
      </c>
      <c r="S421" t="s">
        <v>10</v>
      </c>
      <c r="T421" t="s">
        <v>10</v>
      </c>
      <c r="U421" t="s">
        <v>57</v>
      </c>
      <c r="V421" t="s">
        <v>10</v>
      </c>
      <c r="W421" t="s">
        <v>10</v>
      </c>
      <c r="X421" s="11">
        <v>71.609570065612814</v>
      </c>
      <c r="Y421">
        <f>_xlfn.XLOOKUP(Table1820[[#This Row],[Coverage]],CoverageTable[Coverage],CoverageTable[Base Rate],,0)</f>
        <v>78</v>
      </c>
      <c r="Z421">
        <f>INDEX(Table16[Ageband Factor],MATCH(Table1820[[#This Row],[Ageband]],Table16[Ageband],0))</f>
        <v>1.27</v>
      </c>
      <c r="AA421">
        <f>VLOOKUP(Table1820[[#This Row],[Years Driving]],Table1[],2)</f>
        <v>1.22</v>
      </c>
      <c r="AB421">
        <f>_xlfn.XLOOKUP(Table1820[[#This Row],[At Fault Accidents]],Table2[At Fault Accidents],Table2[At Fault Accident Factor],,0)</f>
        <v>1</v>
      </c>
      <c r="AC421">
        <f>_xlfn.XLOOKUP(Table1820[[#This Row],[Usage-Based Insurance]],Table3[Usage-Based Insurance],Table3[Usage-Based Insurance Discount],,0)</f>
        <v>0.8</v>
      </c>
      <c r="AD421">
        <f>_xlfn.XLOOKUP(Table1820[[#This Row],[Yearly Miles]],Table4[Yearly Miles],Table4[Yearly Miles Factor],,0)</f>
        <v>1</v>
      </c>
      <c r="AE421">
        <f>_xlfn.XLOOKUP(Table1820[[#This Row],[City/Zip Code]],Table5[City/Zip Code],Table5[City/Zip Code Factor],,0)</f>
        <v>1.02</v>
      </c>
      <c r="AF421">
        <f>_xlfn.XLOOKUP(Table1820[[#This Row],[Vehicle Price]],Table6[Vehicle Price],Table6[Vehicle Price Factor])</f>
        <v>1.28</v>
      </c>
      <c r="AG421">
        <f>_xlfn.XLOOKUP(Table1820[[#This Row],[Exotic Car]],Table7[Exotic Car],Table7[Exotic Car Factor],,0)</f>
        <v>1</v>
      </c>
      <c r="AH421">
        <f>_xlfn.XLOOKUP(Table1820[[#This Row],[Difficult Parts]],Table8[Difficult Parts],Table8[Difficult Parts Factor],,0)</f>
        <v>1</v>
      </c>
      <c r="AI421">
        <f>_xlfn.XLOOKUP(Table1820[[#This Row],[High Theft Rate]],Table9[High Theft Rate],Table9[High Theft Rate Factor],,0)</f>
        <v>1</v>
      </c>
      <c r="AJ421">
        <f>_xlfn.XLOOKUP(Table1820[[#This Row],[Advanced Safety Features]],Table10[Advanced Safety Features],Table10[Advanced Safety Features Factor],,0)</f>
        <v>1</v>
      </c>
      <c r="AK421">
        <f>_xlfn.XLOOKUP(Table1820[[#This Row],[Deductible]],Table12[Deductible],Table12[Deductible Factor],,0)</f>
        <v>1</v>
      </c>
      <c r="AL421">
        <f>_xlfn.XLOOKUP(Table1820[[#This Row],[Coverage Limit]],Table13[Coverage Limit],Table13[Coverage Limit Factor],,0)</f>
        <v>0.61</v>
      </c>
      <c r="AM421">
        <f>IF(Table1820[[#This Row],[Good Student Discount]]="Yes",'Rate Book'!$D$126,1)</f>
        <v>1</v>
      </c>
      <c r="AN421">
        <f>IF(Table1820[[#This Row],[Good Driver Discount]]="Yes",'Rate Book'!$D$127,1)</f>
        <v>1</v>
      </c>
      <c r="AO421">
        <f>IF(Table1820[[#This Row],[Multi Policy Discount]]="Yes",'Rate Book'!$D$128,1)</f>
        <v>0.93</v>
      </c>
      <c r="AP421">
        <f>IF(Table1820[[#This Row],[Loyal Customer Discount]]="Yes",'Rate Book'!$D$129,1)</f>
        <v>1</v>
      </c>
      <c r="AQ421">
        <f>IF(Table1820[[#This Row],[Organization Discount]]="Yes",'Rate Book'!$D$130,1)</f>
        <v>1</v>
      </c>
      <c r="AR421" cm="1">
        <f t="array" ref="AR421">IF(Table1820[[#This Row],[Effective Date]]&gt;=RateChangeTable[Effective Date],RateChangeTable[Rate Change Factor],1)</f>
        <v>1</v>
      </c>
      <c r="AS421" s="10">
        <f>PRODUCT(Table1820[[#This Row],[Base Rate]:[Rate Change Factor]])</f>
        <v>71.609570065612814</v>
      </c>
      <c r="AT421" s="9">
        <f>Table1820[[#This Row],[System-Generated Premium]]-Table1820[[#This Row],[Expected Premium]]</f>
        <v>0</v>
      </c>
      <c r="AU421" t="str">
        <f>IF(Table1820[[#This Row],[Difference]]=0,"PASS","FAIL")</f>
        <v>PASS</v>
      </c>
      <c r="AV421" s="9">
        <f>ABS(Table1820[[#This Row],[Difference]])</f>
        <v>0</v>
      </c>
      <c r="AW421" s="9" t="s">
        <v>1136</v>
      </c>
    </row>
    <row r="422" spans="1:49" x14ac:dyDescent="0.3">
      <c r="A422" t="s">
        <v>513</v>
      </c>
      <c r="B422" s="7">
        <v>45995</v>
      </c>
      <c r="C422" t="s">
        <v>74</v>
      </c>
      <c r="D422" t="s">
        <v>1099</v>
      </c>
      <c r="E422" s="3">
        <v>6</v>
      </c>
      <c r="F422" s="3">
        <v>1</v>
      </c>
      <c r="G422" t="s">
        <v>10</v>
      </c>
      <c r="H422" t="s">
        <v>1106</v>
      </c>
      <c r="I422" t="s">
        <v>32</v>
      </c>
      <c r="J422" t="s">
        <v>48</v>
      </c>
      <c r="K422" t="s">
        <v>10</v>
      </c>
      <c r="L422" t="s">
        <v>10</v>
      </c>
      <c r="M422" t="s">
        <v>10</v>
      </c>
      <c r="N422" t="s">
        <v>10</v>
      </c>
      <c r="O422" t="str">
        <f>INDEX(CoverageTable[Deductible Applies],MATCH(Table1820[[#This Row],[Coverage]],CoverageTable[Coverage],0))</f>
        <v>No</v>
      </c>
      <c r="P422" t="str">
        <f>INDEX(CoverageTable[Coverage Limit Applies],MATCH(Table1820[[#This Row],[Coverage]],CoverageTable[Coverage],0))</f>
        <v>Yes</v>
      </c>
      <c r="Q422" t="s">
        <v>10</v>
      </c>
      <c r="R422" t="s">
        <v>79</v>
      </c>
      <c r="S422" t="s">
        <v>10</v>
      </c>
      <c r="T422" t="s">
        <v>10</v>
      </c>
      <c r="U422" t="s">
        <v>57</v>
      </c>
      <c r="V422" t="s">
        <v>10</v>
      </c>
      <c r="W422" t="s">
        <v>10</v>
      </c>
      <c r="X422" s="11">
        <v>27.704468800512</v>
      </c>
      <c r="Y422">
        <f>_xlfn.XLOOKUP(Table1820[[#This Row],[Coverage]],CoverageTable[Coverage],CoverageTable[Base Rate],,0)</f>
        <v>41</v>
      </c>
      <c r="Z422">
        <f>INDEX(Table16[Ageband Factor],MATCH(Table1820[[#This Row],[Ageband]],Table16[Ageband],0))</f>
        <v>1</v>
      </c>
      <c r="AA422">
        <f>VLOOKUP(Table1820[[#This Row],[Years Driving]],Table1[],2)</f>
        <v>1</v>
      </c>
      <c r="AB422">
        <f>_xlfn.XLOOKUP(Table1820[[#This Row],[At Fault Accidents]],Table2[At Fault Accidents],Table2[At Fault Accident Factor],,0)</f>
        <v>1.34</v>
      </c>
      <c r="AC422">
        <f>_xlfn.XLOOKUP(Table1820[[#This Row],[Usage-Based Insurance]],Table3[Usage-Based Insurance],Table3[Usage-Based Insurance Discount],,0)</f>
        <v>1</v>
      </c>
      <c r="AD422">
        <f>_xlfn.XLOOKUP(Table1820[[#This Row],[Yearly Miles]],Table4[Yearly Miles],Table4[Yearly Miles Factor],,0)</f>
        <v>0.82</v>
      </c>
      <c r="AE422">
        <f>_xlfn.XLOOKUP(Table1820[[#This Row],[City/Zip Code]],Table5[City/Zip Code],Table5[City/Zip Code Factor],,0)</f>
        <v>1.1200000000000001</v>
      </c>
      <c r="AF422">
        <f>_xlfn.XLOOKUP(Table1820[[#This Row],[Vehicle Price]],Table6[Vehicle Price],Table6[Vehicle Price Factor])</f>
        <v>0.82</v>
      </c>
      <c r="AG422">
        <f>_xlfn.XLOOKUP(Table1820[[#This Row],[Exotic Car]],Table7[Exotic Car],Table7[Exotic Car Factor],,0)</f>
        <v>1</v>
      </c>
      <c r="AH422">
        <f>_xlfn.XLOOKUP(Table1820[[#This Row],[Difficult Parts]],Table8[Difficult Parts],Table8[Difficult Parts Factor],,0)</f>
        <v>1</v>
      </c>
      <c r="AI422">
        <f>_xlfn.XLOOKUP(Table1820[[#This Row],[High Theft Rate]],Table9[High Theft Rate],Table9[High Theft Rate Factor],,0)</f>
        <v>1</v>
      </c>
      <c r="AJ422">
        <f>_xlfn.XLOOKUP(Table1820[[#This Row],[Advanced Safety Features]],Table10[Advanced Safety Features],Table10[Advanced Safety Features Factor],,0)</f>
        <v>1</v>
      </c>
      <c r="AK422">
        <f>_xlfn.XLOOKUP(Table1820[[#This Row],[Deductible]],Table12[Deductible],Table12[Deductible Factor],,0)</f>
        <v>1</v>
      </c>
      <c r="AL422">
        <f>_xlfn.XLOOKUP(Table1820[[#This Row],[Coverage Limit]],Table13[Coverage Limit],Table13[Coverage Limit Factor],,0)</f>
        <v>0.72</v>
      </c>
      <c r="AM422">
        <f>IF(Table1820[[#This Row],[Good Student Discount]]="Yes",'Rate Book'!$D$126,1)</f>
        <v>1</v>
      </c>
      <c r="AN422">
        <f>IF(Table1820[[#This Row],[Good Driver Discount]]="Yes",'Rate Book'!$D$127,1)</f>
        <v>1</v>
      </c>
      <c r="AO422">
        <f>IF(Table1820[[#This Row],[Multi Policy Discount]]="Yes",'Rate Book'!$D$128,1)</f>
        <v>0.93</v>
      </c>
      <c r="AP422">
        <f>IF(Table1820[[#This Row],[Loyal Customer Discount]]="Yes",'Rate Book'!$D$129,1)</f>
        <v>1</v>
      </c>
      <c r="AQ422">
        <f>IF(Table1820[[#This Row],[Organization Discount]]="Yes",'Rate Book'!$D$130,1)</f>
        <v>1</v>
      </c>
      <c r="AR422" cm="1">
        <f t="array" ref="AR422">IF(Table1820[[#This Row],[Effective Date]]&gt;=RateChangeTable[Effective Date],RateChangeTable[Rate Change Factor],1)</f>
        <v>1</v>
      </c>
      <c r="AS422" s="10">
        <f>PRODUCT(Table1820[[#This Row],[Base Rate]:[Rate Change Factor]])</f>
        <v>27.704468800512</v>
      </c>
      <c r="AT422" s="9">
        <f>Table1820[[#This Row],[System-Generated Premium]]-Table1820[[#This Row],[Expected Premium]]</f>
        <v>0</v>
      </c>
      <c r="AU422" t="str">
        <f>IF(Table1820[[#This Row],[Difference]]=0,"PASS","FAIL")</f>
        <v>PASS</v>
      </c>
      <c r="AV422" s="9">
        <f>ABS(Table1820[[#This Row],[Difference]])</f>
        <v>0</v>
      </c>
      <c r="AW422" s="9" t="s">
        <v>1136</v>
      </c>
    </row>
    <row r="423" spans="1:49" x14ac:dyDescent="0.3">
      <c r="A423" t="s">
        <v>514</v>
      </c>
      <c r="B423" s="7">
        <v>45799</v>
      </c>
      <c r="C423" t="s">
        <v>74</v>
      </c>
      <c r="D423" t="s">
        <v>1098</v>
      </c>
      <c r="E423" s="3" t="s">
        <v>1103</v>
      </c>
      <c r="F423" s="3">
        <v>0</v>
      </c>
      <c r="G423" t="s">
        <v>12</v>
      </c>
      <c r="H423" t="s">
        <v>1109</v>
      </c>
      <c r="I423" t="s">
        <v>33</v>
      </c>
      <c r="J423" t="s">
        <v>49</v>
      </c>
      <c r="K423" t="s">
        <v>10</v>
      </c>
      <c r="L423" t="s">
        <v>10</v>
      </c>
      <c r="M423" t="s">
        <v>10</v>
      </c>
      <c r="N423" t="s">
        <v>57</v>
      </c>
      <c r="O423" t="str">
        <f>INDEX(CoverageTable[Deductible Applies],MATCH(Table1820[[#This Row],[Coverage]],CoverageTable[Coverage],0))</f>
        <v>No</v>
      </c>
      <c r="P423" t="str">
        <f>INDEX(CoverageTable[Coverage Limit Applies],MATCH(Table1820[[#This Row],[Coverage]],CoverageTable[Coverage],0))</f>
        <v>Yes</v>
      </c>
      <c r="Q423" t="s">
        <v>10</v>
      </c>
      <c r="R423" t="s">
        <v>78</v>
      </c>
      <c r="S423" t="s">
        <v>10</v>
      </c>
      <c r="T423" t="s">
        <v>57</v>
      </c>
      <c r="U423" t="s">
        <v>10</v>
      </c>
      <c r="V423" t="s">
        <v>10</v>
      </c>
      <c r="W423" t="s">
        <v>10</v>
      </c>
      <c r="X423" s="11">
        <v>20.927547235428644</v>
      </c>
      <c r="Y423">
        <f>_xlfn.XLOOKUP(Table1820[[#This Row],[Coverage]],CoverageTable[Coverage],CoverageTable[Base Rate],,0)</f>
        <v>41</v>
      </c>
      <c r="Z423">
        <f>INDEX(Table16[Ageband Factor],MATCH(Table1820[[#This Row],[Ageband]],Table16[Ageband],0))</f>
        <v>1.23</v>
      </c>
      <c r="AA423">
        <f>VLOOKUP(Table1820[[#This Row],[Years Driving]],Table1[],2)</f>
        <v>0.93</v>
      </c>
      <c r="AB423">
        <f>_xlfn.XLOOKUP(Table1820[[#This Row],[At Fault Accidents]],Table2[At Fault Accidents],Table2[At Fault Accident Factor],,0)</f>
        <v>1</v>
      </c>
      <c r="AC423">
        <f>_xlfn.XLOOKUP(Table1820[[#This Row],[Usage-Based Insurance]],Table3[Usage-Based Insurance],Table3[Usage-Based Insurance Discount],,0)</f>
        <v>0.8</v>
      </c>
      <c r="AD423">
        <f>_xlfn.XLOOKUP(Table1820[[#This Row],[Yearly Miles]],Table4[Yearly Miles],Table4[Yearly Miles Factor],,0)</f>
        <v>1.18</v>
      </c>
      <c r="AE423">
        <f>_xlfn.XLOOKUP(Table1820[[#This Row],[City/Zip Code]],Table5[City/Zip Code],Table5[City/Zip Code Factor],,0)</f>
        <v>1.02</v>
      </c>
      <c r="AF423">
        <f>_xlfn.XLOOKUP(Table1820[[#This Row],[Vehicle Price]],Table6[Vehicle Price],Table6[Vehicle Price Factor])</f>
        <v>0.97</v>
      </c>
      <c r="AG423">
        <f>_xlfn.XLOOKUP(Table1820[[#This Row],[Exotic Car]],Table7[Exotic Car],Table7[Exotic Car Factor],,0)</f>
        <v>1</v>
      </c>
      <c r="AH423">
        <f>_xlfn.XLOOKUP(Table1820[[#This Row],[Difficult Parts]],Table8[Difficult Parts],Table8[Difficult Parts Factor],,0)</f>
        <v>1</v>
      </c>
      <c r="AI423">
        <f>_xlfn.XLOOKUP(Table1820[[#This Row],[High Theft Rate]],Table9[High Theft Rate],Table9[High Theft Rate Factor],,0)</f>
        <v>1</v>
      </c>
      <c r="AJ423">
        <f>_xlfn.XLOOKUP(Table1820[[#This Row],[Advanced Safety Features]],Table10[Advanced Safety Features],Table10[Advanced Safety Features Factor],,0)</f>
        <v>0.88</v>
      </c>
      <c r="AK423">
        <f>_xlfn.XLOOKUP(Table1820[[#This Row],[Deductible]],Table12[Deductible],Table12[Deductible Factor],,0)</f>
        <v>1</v>
      </c>
      <c r="AL423">
        <f>_xlfn.XLOOKUP(Table1820[[#This Row],[Coverage Limit]],Table13[Coverage Limit],Table13[Coverage Limit Factor],,0)</f>
        <v>0.61</v>
      </c>
      <c r="AM423">
        <f>IF(Table1820[[#This Row],[Good Student Discount]]="Yes",'Rate Book'!$D$126,1)</f>
        <v>1</v>
      </c>
      <c r="AN423">
        <f>IF(Table1820[[#This Row],[Good Driver Discount]]="Yes",'Rate Book'!$D$127,1)</f>
        <v>0.89</v>
      </c>
      <c r="AO423">
        <f>IF(Table1820[[#This Row],[Multi Policy Discount]]="Yes",'Rate Book'!$D$128,1)</f>
        <v>1</v>
      </c>
      <c r="AP423">
        <f>IF(Table1820[[#This Row],[Loyal Customer Discount]]="Yes",'Rate Book'!$D$129,1)</f>
        <v>1</v>
      </c>
      <c r="AQ423">
        <f>IF(Table1820[[#This Row],[Organization Discount]]="Yes",'Rate Book'!$D$130,1)</f>
        <v>1</v>
      </c>
      <c r="AR423" cm="1">
        <f t="array" ref="AR423">IF(Table1820[[#This Row],[Effective Date]]&gt;=RateChangeTable[Effective Date],RateChangeTable[Rate Change Factor],1)</f>
        <v>1</v>
      </c>
      <c r="AS423" s="10">
        <f>PRODUCT(Table1820[[#This Row],[Base Rate]:[Rate Change Factor]])</f>
        <v>20.927547235428644</v>
      </c>
      <c r="AT423" s="9">
        <f>Table1820[[#This Row],[System-Generated Premium]]-Table1820[[#This Row],[Expected Premium]]</f>
        <v>0</v>
      </c>
      <c r="AU423" t="str">
        <f>IF(Table1820[[#This Row],[Difference]]=0,"PASS","FAIL")</f>
        <v>PASS</v>
      </c>
      <c r="AV423" s="9">
        <f>ABS(Table1820[[#This Row],[Difference]])</f>
        <v>0</v>
      </c>
      <c r="AW423" s="9" t="s">
        <v>1136</v>
      </c>
    </row>
    <row r="424" spans="1:49" x14ac:dyDescent="0.3">
      <c r="A424" t="s">
        <v>515</v>
      </c>
      <c r="B424" s="7">
        <v>46048</v>
      </c>
      <c r="C424" t="s">
        <v>70</v>
      </c>
      <c r="D424" t="s">
        <v>1097</v>
      </c>
      <c r="E424" s="3">
        <v>6</v>
      </c>
      <c r="F424" s="3" t="s">
        <v>7</v>
      </c>
      <c r="G424" t="s">
        <v>13</v>
      </c>
      <c r="H424" t="s">
        <v>1110</v>
      </c>
      <c r="I424" t="s">
        <v>21</v>
      </c>
      <c r="J424" t="s">
        <v>48</v>
      </c>
      <c r="K424" t="s">
        <v>57</v>
      </c>
      <c r="L424" t="s">
        <v>10</v>
      </c>
      <c r="M424" t="s">
        <v>10</v>
      </c>
      <c r="N424" t="s">
        <v>10</v>
      </c>
      <c r="O424" t="str">
        <f>INDEX(CoverageTable[Deductible Applies],MATCH(Table1820[[#This Row],[Coverage]],CoverageTable[Coverage],0))</f>
        <v>No</v>
      </c>
      <c r="P424" t="str">
        <f>INDEX(CoverageTable[Coverage Limit Applies],MATCH(Table1820[[#This Row],[Coverage]],CoverageTable[Coverage],0))</f>
        <v>Yes</v>
      </c>
      <c r="Q424" t="s">
        <v>10</v>
      </c>
      <c r="R424" t="s">
        <v>79</v>
      </c>
      <c r="S424" t="s">
        <v>10</v>
      </c>
      <c r="T424" t="s">
        <v>10</v>
      </c>
      <c r="U424" t="s">
        <v>10</v>
      </c>
      <c r="V424" t="s">
        <v>10</v>
      </c>
      <c r="W424" t="s">
        <v>10</v>
      </c>
      <c r="X424" s="11">
        <v>1742.9248032004684</v>
      </c>
      <c r="Y424">
        <f>_xlfn.XLOOKUP(Table1820[[#This Row],[Coverage]],CoverageTable[Coverage],CoverageTable[Base Rate],,0)</f>
        <v>622</v>
      </c>
      <c r="Z424">
        <f>INDEX(Table16[Ageband Factor],MATCH(Table1820[[#This Row],[Ageband]],Table16[Ageband],0))</f>
        <v>1.32</v>
      </c>
      <c r="AA424">
        <f>VLOOKUP(Table1820[[#This Row],[Years Driving]],Table1[],2)</f>
        <v>1</v>
      </c>
      <c r="AB424">
        <f>_xlfn.XLOOKUP(Table1820[[#This Row],[At Fault Accidents]],Table2[At Fault Accidents],Table2[At Fault Accident Factor],,0)</f>
        <v>2.4700000000000002</v>
      </c>
      <c r="AC424">
        <f>_xlfn.XLOOKUP(Table1820[[#This Row],[Usage-Based Insurance]],Table3[Usage-Based Insurance],Table3[Usage-Based Insurance Discount],,0)</f>
        <v>0.65</v>
      </c>
      <c r="AD424">
        <f>_xlfn.XLOOKUP(Table1820[[#This Row],[Yearly Miles]],Table4[Yearly Miles],Table4[Yearly Miles Factor],,0)</f>
        <v>1.31</v>
      </c>
      <c r="AE424">
        <f>_xlfn.XLOOKUP(Table1820[[#This Row],[City/Zip Code]],Table5[City/Zip Code],Table5[City/Zip Code Factor],,0)</f>
        <v>1.26</v>
      </c>
      <c r="AF424">
        <f>_xlfn.XLOOKUP(Table1820[[#This Row],[Vehicle Price]],Table6[Vehicle Price],Table6[Vehicle Price Factor])</f>
        <v>0.82</v>
      </c>
      <c r="AG424">
        <f>_xlfn.XLOOKUP(Table1820[[#This Row],[Exotic Car]],Table7[Exotic Car],Table7[Exotic Car Factor],,0)</f>
        <v>1.28</v>
      </c>
      <c r="AH424">
        <f>_xlfn.XLOOKUP(Table1820[[#This Row],[Difficult Parts]],Table8[Difficult Parts],Table8[Difficult Parts Factor],,0)</f>
        <v>1</v>
      </c>
      <c r="AI424">
        <f>_xlfn.XLOOKUP(Table1820[[#This Row],[High Theft Rate]],Table9[High Theft Rate],Table9[High Theft Rate Factor],,0)</f>
        <v>1</v>
      </c>
      <c r="AJ424">
        <f>_xlfn.XLOOKUP(Table1820[[#This Row],[Advanced Safety Features]],Table10[Advanced Safety Features],Table10[Advanced Safety Features Factor],,0)</f>
        <v>1</v>
      </c>
      <c r="AK424">
        <f>_xlfn.XLOOKUP(Table1820[[#This Row],[Deductible]],Table12[Deductible],Table12[Deductible Factor],,0)</f>
        <v>1</v>
      </c>
      <c r="AL424">
        <f>_xlfn.XLOOKUP(Table1820[[#This Row],[Coverage Limit]],Table13[Coverage Limit],Table13[Coverage Limit Factor],,0)</f>
        <v>0.72</v>
      </c>
      <c r="AM424">
        <f>IF(Table1820[[#This Row],[Good Student Discount]]="Yes",'Rate Book'!$D$126,1)</f>
        <v>1</v>
      </c>
      <c r="AN424">
        <f>IF(Table1820[[#This Row],[Good Driver Discount]]="Yes",'Rate Book'!$D$127,1)</f>
        <v>1</v>
      </c>
      <c r="AO424">
        <f>IF(Table1820[[#This Row],[Multi Policy Discount]]="Yes",'Rate Book'!$D$128,1)</f>
        <v>1</v>
      </c>
      <c r="AP424">
        <f>IF(Table1820[[#This Row],[Loyal Customer Discount]]="Yes",'Rate Book'!$D$129,1)</f>
        <v>1</v>
      </c>
      <c r="AQ424">
        <f>IF(Table1820[[#This Row],[Organization Discount]]="Yes",'Rate Book'!$D$130,1)</f>
        <v>1</v>
      </c>
      <c r="AR424" cm="1">
        <f t="array" ref="AR424">IF(Table1820[[#This Row],[Effective Date]]&gt;=RateChangeTable[Effective Date],RateChangeTable[Rate Change Factor],1)</f>
        <v>1.06</v>
      </c>
      <c r="AS424" s="10">
        <f>PRODUCT(Table1820[[#This Row],[Base Rate]:[Rate Change Factor]])</f>
        <v>1742.9248032004684</v>
      </c>
      <c r="AT424" s="9">
        <f>Table1820[[#This Row],[System-Generated Premium]]-Table1820[[#This Row],[Expected Premium]]</f>
        <v>0</v>
      </c>
      <c r="AU424" t="str">
        <f>IF(Table1820[[#This Row],[Difference]]=0,"PASS","FAIL")</f>
        <v>PASS</v>
      </c>
      <c r="AV424" s="9">
        <f>ABS(Table1820[[#This Row],[Difference]])</f>
        <v>0</v>
      </c>
      <c r="AW424" s="9" t="s">
        <v>1136</v>
      </c>
    </row>
    <row r="425" spans="1:49" x14ac:dyDescent="0.3">
      <c r="A425" t="s">
        <v>516</v>
      </c>
      <c r="B425" s="7">
        <v>45848</v>
      </c>
      <c r="C425" t="s">
        <v>70</v>
      </c>
      <c r="D425" t="s">
        <v>1100</v>
      </c>
      <c r="E425" s="3">
        <v>5</v>
      </c>
      <c r="F425" s="3" t="s">
        <v>7</v>
      </c>
      <c r="G425" t="s">
        <v>11</v>
      </c>
      <c r="H425" t="s">
        <v>1110</v>
      </c>
      <c r="I425" t="s">
        <v>27</v>
      </c>
      <c r="J425" t="s">
        <v>52</v>
      </c>
      <c r="K425" t="s">
        <v>10</v>
      </c>
      <c r="L425" t="s">
        <v>10</v>
      </c>
      <c r="M425" t="s">
        <v>57</v>
      </c>
      <c r="N425" t="s">
        <v>10</v>
      </c>
      <c r="O425" t="str">
        <f>INDEX(CoverageTable[Deductible Applies],MATCH(Table1820[[#This Row],[Coverage]],CoverageTable[Coverage],0))</f>
        <v>No</v>
      </c>
      <c r="P425" t="str">
        <f>INDEX(CoverageTable[Coverage Limit Applies],MATCH(Table1820[[#This Row],[Coverage]],CoverageTable[Coverage],0))</f>
        <v>Yes</v>
      </c>
      <c r="Q425" t="s">
        <v>10</v>
      </c>
      <c r="R425" t="s">
        <v>78</v>
      </c>
      <c r="S425" t="s">
        <v>10</v>
      </c>
      <c r="T425" t="s">
        <v>57</v>
      </c>
      <c r="U425" t="s">
        <v>10</v>
      </c>
      <c r="V425" t="s">
        <v>10</v>
      </c>
      <c r="W425" t="s">
        <v>10</v>
      </c>
      <c r="X425" s="11">
        <v>2034.4879932304955</v>
      </c>
      <c r="Y425">
        <f>_xlfn.XLOOKUP(Table1820[[#This Row],[Coverage]],CoverageTable[Coverage],CoverageTable[Base Rate],,0)</f>
        <v>622</v>
      </c>
      <c r="Z425">
        <f>INDEX(Table16[Ageband Factor],MATCH(Table1820[[#This Row],[Ageband]],Table16[Ageband],0))</f>
        <v>1.07</v>
      </c>
      <c r="AA425">
        <f>VLOOKUP(Table1820[[#This Row],[Years Driving]],Table1[],2)</f>
        <v>1.07</v>
      </c>
      <c r="AB425">
        <f>_xlfn.XLOOKUP(Table1820[[#This Row],[At Fault Accidents]],Table2[At Fault Accidents],Table2[At Fault Accident Factor],,0)</f>
        <v>2.4700000000000002</v>
      </c>
      <c r="AC425">
        <f>_xlfn.XLOOKUP(Table1820[[#This Row],[Usage-Based Insurance]],Table3[Usage-Based Insurance],Table3[Usage-Based Insurance Discount],,0)</f>
        <v>0.95</v>
      </c>
      <c r="AD425">
        <f>_xlfn.XLOOKUP(Table1820[[#This Row],[Yearly Miles]],Table4[Yearly Miles],Table4[Yearly Miles Factor],,0)</f>
        <v>1.31</v>
      </c>
      <c r="AE425">
        <f>_xlfn.XLOOKUP(Table1820[[#This Row],[City/Zip Code]],Table5[City/Zip Code],Table5[City/Zip Code Factor],,0)</f>
        <v>0.94</v>
      </c>
      <c r="AF425">
        <f>_xlfn.XLOOKUP(Table1820[[#This Row],[Vehicle Price]],Table6[Vehicle Price],Table6[Vehicle Price Factor])</f>
        <v>1.57</v>
      </c>
      <c r="AG425">
        <f>_xlfn.XLOOKUP(Table1820[[#This Row],[Exotic Car]],Table7[Exotic Car],Table7[Exotic Car Factor],,0)</f>
        <v>1</v>
      </c>
      <c r="AH425">
        <f>_xlfn.XLOOKUP(Table1820[[#This Row],[Difficult Parts]],Table8[Difficult Parts],Table8[Difficult Parts Factor],,0)</f>
        <v>1</v>
      </c>
      <c r="AI425">
        <f>_xlfn.XLOOKUP(Table1820[[#This Row],[High Theft Rate]],Table9[High Theft Rate],Table9[High Theft Rate Factor],,0)</f>
        <v>1.1599999999999999</v>
      </c>
      <c r="AJ425">
        <f>_xlfn.XLOOKUP(Table1820[[#This Row],[Advanced Safety Features]],Table10[Advanced Safety Features],Table10[Advanced Safety Features Factor],,0)</f>
        <v>1</v>
      </c>
      <c r="AK425">
        <f>_xlfn.XLOOKUP(Table1820[[#This Row],[Deductible]],Table12[Deductible],Table12[Deductible Factor],,0)</f>
        <v>1</v>
      </c>
      <c r="AL425">
        <f>_xlfn.XLOOKUP(Table1820[[#This Row],[Coverage Limit]],Table13[Coverage Limit],Table13[Coverage Limit Factor],,0)</f>
        <v>0.61</v>
      </c>
      <c r="AM425">
        <f>IF(Table1820[[#This Row],[Good Student Discount]]="Yes",'Rate Book'!$D$126,1)</f>
        <v>1</v>
      </c>
      <c r="AN425">
        <f>IF(Table1820[[#This Row],[Good Driver Discount]]="Yes",'Rate Book'!$D$127,1)</f>
        <v>0.89</v>
      </c>
      <c r="AO425">
        <f>IF(Table1820[[#This Row],[Multi Policy Discount]]="Yes",'Rate Book'!$D$128,1)</f>
        <v>1</v>
      </c>
      <c r="AP425">
        <f>IF(Table1820[[#This Row],[Loyal Customer Discount]]="Yes",'Rate Book'!$D$129,1)</f>
        <v>1</v>
      </c>
      <c r="AQ425">
        <f>IF(Table1820[[#This Row],[Organization Discount]]="Yes",'Rate Book'!$D$130,1)</f>
        <v>1</v>
      </c>
      <c r="AR425" cm="1">
        <f t="array" ref="AR425">IF(Table1820[[#This Row],[Effective Date]]&gt;=RateChangeTable[Effective Date],RateChangeTable[Rate Change Factor],1)</f>
        <v>1</v>
      </c>
      <c r="AS425" s="10">
        <f>PRODUCT(Table1820[[#This Row],[Base Rate]:[Rate Change Factor]])</f>
        <v>2034.4879932304955</v>
      </c>
      <c r="AT425" s="9">
        <f>Table1820[[#This Row],[System-Generated Premium]]-Table1820[[#This Row],[Expected Premium]]</f>
        <v>0</v>
      </c>
      <c r="AU425" t="str">
        <f>IF(Table1820[[#This Row],[Difference]]=0,"PASS","FAIL")</f>
        <v>PASS</v>
      </c>
      <c r="AV425" s="9">
        <f>ABS(Table1820[[#This Row],[Difference]])</f>
        <v>0</v>
      </c>
      <c r="AW425" s="9" t="s">
        <v>1136</v>
      </c>
    </row>
    <row r="426" spans="1:49" x14ac:dyDescent="0.3">
      <c r="A426" t="s">
        <v>517</v>
      </c>
      <c r="B426" s="7">
        <v>45942</v>
      </c>
      <c r="C426" t="s">
        <v>71</v>
      </c>
      <c r="D426" t="s">
        <v>1099</v>
      </c>
      <c r="E426" s="3" t="s">
        <v>1103</v>
      </c>
      <c r="F426" s="3">
        <v>4</v>
      </c>
      <c r="G426" t="s">
        <v>10</v>
      </c>
      <c r="H426" t="s">
        <v>1106</v>
      </c>
      <c r="I426" t="s">
        <v>34</v>
      </c>
      <c r="J426" t="s">
        <v>49</v>
      </c>
      <c r="K426" t="s">
        <v>10</v>
      </c>
      <c r="L426" t="s">
        <v>57</v>
      </c>
      <c r="M426" t="s">
        <v>10</v>
      </c>
      <c r="N426" t="s">
        <v>57</v>
      </c>
      <c r="O426" t="str">
        <f>INDEX(CoverageTable[Deductible Applies],MATCH(Table1820[[#This Row],[Coverage]],CoverageTable[Coverage],0))</f>
        <v>Yes</v>
      </c>
      <c r="P426" t="str">
        <f>INDEX(CoverageTable[Coverage Limit Applies],MATCH(Table1820[[#This Row],[Coverage]],CoverageTable[Coverage],0))</f>
        <v>No</v>
      </c>
      <c r="Q426" t="s">
        <v>79</v>
      </c>
      <c r="R426" t="s">
        <v>10</v>
      </c>
      <c r="S426" t="s">
        <v>10</v>
      </c>
      <c r="T426" t="s">
        <v>57</v>
      </c>
      <c r="U426" t="s">
        <v>10</v>
      </c>
      <c r="V426" t="s">
        <v>10</v>
      </c>
      <c r="W426" t="s">
        <v>57</v>
      </c>
      <c r="X426" s="11">
        <v>855.7290311198343</v>
      </c>
      <c r="Y426">
        <f>_xlfn.XLOOKUP(Table1820[[#This Row],[Coverage]],CoverageTable[Coverage],CoverageTable[Base Rate],,0)</f>
        <v>453</v>
      </c>
      <c r="Z426">
        <f>INDEX(Table16[Ageband Factor],MATCH(Table1820[[#This Row],[Ageband]],Table16[Ageband],0))</f>
        <v>1</v>
      </c>
      <c r="AA426">
        <f>VLOOKUP(Table1820[[#This Row],[Years Driving]],Table1[],2)</f>
        <v>0.93</v>
      </c>
      <c r="AB426">
        <f>_xlfn.XLOOKUP(Table1820[[#This Row],[At Fault Accidents]],Table2[At Fault Accidents],Table2[At Fault Accident Factor],,0)</f>
        <v>2.12</v>
      </c>
      <c r="AC426">
        <f>_xlfn.XLOOKUP(Table1820[[#This Row],[Usage-Based Insurance]],Table3[Usage-Based Insurance],Table3[Usage-Based Insurance Discount],,0)</f>
        <v>1</v>
      </c>
      <c r="AD426">
        <f>_xlfn.XLOOKUP(Table1820[[#This Row],[Yearly Miles]],Table4[Yearly Miles],Table4[Yearly Miles Factor],,0)</f>
        <v>0.82</v>
      </c>
      <c r="AE426">
        <f>_xlfn.XLOOKUP(Table1820[[#This Row],[City/Zip Code]],Table5[City/Zip Code],Table5[City/Zip Code Factor],,0)</f>
        <v>1.56</v>
      </c>
      <c r="AF426">
        <f>_xlfn.XLOOKUP(Table1820[[#This Row],[Vehicle Price]],Table6[Vehicle Price],Table6[Vehicle Price Factor])</f>
        <v>0.97</v>
      </c>
      <c r="AG426">
        <f>_xlfn.XLOOKUP(Table1820[[#This Row],[Exotic Car]],Table7[Exotic Car],Table7[Exotic Car Factor],,0)</f>
        <v>1</v>
      </c>
      <c r="AH426">
        <f>_xlfn.XLOOKUP(Table1820[[#This Row],[Difficult Parts]],Table8[Difficult Parts],Table8[Difficult Parts Factor],,0)</f>
        <v>1.21</v>
      </c>
      <c r="AI426">
        <f>_xlfn.XLOOKUP(Table1820[[#This Row],[High Theft Rate]],Table9[High Theft Rate],Table9[High Theft Rate Factor],,0)</f>
        <v>1</v>
      </c>
      <c r="AJ426">
        <f>_xlfn.XLOOKUP(Table1820[[#This Row],[Advanced Safety Features]],Table10[Advanced Safety Features],Table10[Advanced Safety Features Factor],,0)</f>
        <v>0.88</v>
      </c>
      <c r="AK426">
        <f>_xlfn.XLOOKUP(Table1820[[#This Row],[Deductible]],Table12[Deductible],Table12[Deductible Factor],,0)</f>
        <v>0.84</v>
      </c>
      <c r="AL426">
        <f>_xlfn.XLOOKUP(Table1820[[#This Row],[Coverage Limit]],Table13[Coverage Limit],Table13[Coverage Limit Factor],,0)</f>
        <v>1</v>
      </c>
      <c r="AM426">
        <f>IF(Table1820[[#This Row],[Good Student Discount]]="Yes",'Rate Book'!$D$126,1)</f>
        <v>1</v>
      </c>
      <c r="AN426">
        <f>IF(Table1820[[#This Row],[Good Driver Discount]]="Yes",'Rate Book'!$D$127,1)</f>
        <v>0.89</v>
      </c>
      <c r="AO426">
        <f>IF(Table1820[[#This Row],[Multi Policy Discount]]="Yes",'Rate Book'!$D$128,1)</f>
        <v>1</v>
      </c>
      <c r="AP426">
        <f>IF(Table1820[[#This Row],[Loyal Customer Discount]]="Yes",'Rate Book'!$D$129,1)</f>
        <v>1</v>
      </c>
      <c r="AQ426">
        <f>IF(Table1820[[#This Row],[Organization Discount]]="Yes",'Rate Book'!$D$130,1)</f>
        <v>0.97</v>
      </c>
      <c r="AR426" cm="1">
        <f t="array" ref="AR426">IF(Table1820[[#This Row],[Effective Date]]&gt;=RateChangeTable[Effective Date],RateChangeTable[Rate Change Factor],1)</f>
        <v>1</v>
      </c>
      <c r="AS426" s="10">
        <f>PRODUCT(Table1820[[#This Row],[Base Rate]:[Rate Change Factor]])</f>
        <v>855.7290311198343</v>
      </c>
      <c r="AT426" s="9">
        <f>Table1820[[#This Row],[System-Generated Premium]]-Table1820[[#This Row],[Expected Premium]]</f>
        <v>0</v>
      </c>
      <c r="AU426" t="str">
        <f>IF(Table1820[[#This Row],[Difference]]=0,"PASS","FAIL")</f>
        <v>PASS</v>
      </c>
      <c r="AV426" s="9">
        <f>ABS(Table1820[[#This Row],[Difference]])</f>
        <v>0</v>
      </c>
      <c r="AW426" s="9" t="s">
        <v>1136</v>
      </c>
    </row>
    <row r="427" spans="1:49" x14ac:dyDescent="0.3">
      <c r="A427" t="s">
        <v>518</v>
      </c>
      <c r="B427" s="7">
        <v>46001</v>
      </c>
      <c r="C427" t="s">
        <v>70</v>
      </c>
      <c r="D427" t="s">
        <v>1102</v>
      </c>
      <c r="E427" s="3">
        <v>7</v>
      </c>
      <c r="F427" s="3">
        <v>0</v>
      </c>
      <c r="G427" t="s">
        <v>12</v>
      </c>
      <c r="H427" t="s">
        <v>1110</v>
      </c>
      <c r="I427" t="s">
        <v>28</v>
      </c>
      <c r="J427" t="s">
        <v>53</v>
      </c>
      <c r="K427" t="s">
        <v>10</v>
      </c>
      <c r="L427" t="s">
        <v>10</v>
      </c>
      <c r="M427" t="s">
        <v>10</v>
      </c>
      <c r="N427" t="s">
        <v>57</v>
      </c>
      <c r="O427" t="str">
        <f>INDEX(CoverageTable[Deductible Applies],MATCH(Table1820[[#This Row],[Coverage]],CoverageTable[Coverage],0))</f>
        <v>No</v>
      </c>
      <c r="P427" t="str">
        <f>INDEX(CoverageTable[Coverage Limit Applies],MATCH(Table1820[[#This Row],[Coverage]],CoverageTable[Coverage],0))</f>
        <v>Yes</v>
      </c>
      <c r="Q427" t="s">
        <v>10</v>
      </c>
      <c r="R427" t="s">
        <v>80</v>
      </c>
      <c r="S427" t="s">
        <v>10</v>
      </c>
      <c r="T427" t="s">
        <v>57</v>
      </c>
      <c r="U427" t="s">
        <v>10</v>
      </c>
      <c r="V427" t="s">
        <v>10</v>
      </c>
      <c r="W427" t="s">
        <v>10</v>
      </c>
      <c r="X427" s="11">
        <v>992.90096588999495</v>
      </c>
      <c r="Y427">
        <f>_xlfn.XLOOKUP(Table1820[[#This Row],[Coverage]],CoverageTable[Coverage],CoverageTable[Base Rate],,0)</f>
        <v>622</v>
      </c>
      <c r="Z427">
        <f>INDEX(Table16[Ageband Factor],MATCH(Table1820[[#This Row],[Ageband]],Table16[Ageband],0))</f>
        <v>1.27</v>
      </c>
      <c r="AA427">
        <f>VLOOKUP(Table1820[[#This Row],[Years Driving]],Table1[],2)</f>
        <v>0.95</v>
      </c>
      <c r="AB427">
        <f>_xlfn.XLOOKUP(Table1820[[#This Row],[At Fault Accidents]],Table2[At Fault Accidents],Table2[At Fault Accident Factor],,0)</f>
        <v>1</v>
      </c>
      <c r="AC427">
        <f>_xlfn.XLOOKUP(Table1820[[#This Row],[Usage-Based Insurance]],Table3[Usage-Based Insurance],Table3[Usage-Based Insurance Discount],,0)</f>
        <v>0.8</v>
      </c>
      <c r="AD427">
        <f>_xlfn.XLOOKUP(Table1820[[#This Row],[Yearly Miles]],Table4[Yearly Miles],Table4[Yearly Miles Factor],,0)</f>
        <v>1.31</v>
      </c>
      <c r="AE427">
        <f>_xlfn.XLOOKUP(Table1820[[#This Row],[City/Zip Code]],Table5[City/Zip Code],Table5[City/Zip Code Factor],,0)</f>
        <v>0.95</v>
      </c>
      <c r="AF427">
        <f>_xlfn.XLOOKUP(Table1820[[#This Row],[Vehicle Price]],Table6[Vehicle Price],Table6[Vehicle Price Factor])</f>
        <v>2.02</v>
      </c>
      <c r="AG427">
        <f>_xlfn.XLOOKUP(Table1820[[#This Row],[Exotic Car]],Table7[Exotic Car],Table7[Exotic Car Factor],,0)</f>
        <v>1</v>
      </c>
      <c r="AH427">
        <f>_xlfn.XLOOKUP(Table1820[[#This Row],[Difficult Parts]],Table8[Difficult Parts],Table8[Difficult Parts Factor],,0)</f>
        <v>1</v>
      </c>
      <c r="AI427">
        <f>_xlfn.XLOOKUP(Table1820[[#This Row],[High Theft Rate]],Table9[High Theft Rate],Table9[High Theft Rate Factor],,0)</f>
        <v>1</v>
      </c>
      <c r="AJ427">
        <f>_xlfn.XLOOKUP(Table1820[[#This Row],[Advanced Safety Features]],Table10[Advanced Safety Features],Table10[Advanced Safety Features Factor],,0)</f>
        <v>0.88</v>
      </c>
      <c r="AK427">
        <f>_xlfn.XLOOKUP(Table1820[[#This Row],[Deductible]],Table12[Deductible],Table12[Deductible Factor],,0)</f>
        <v>1</v>
      </c>
      <c r="AL427">
        <f>_xlfn.XLOOKUP(Table1820[[#This Row],[Coverage Limit]],Table13[Coverage Limit],Table13[Coverage Limit Factor],,0)</f>
        <v>0.84</v>
      </c>
      <c r="AM427">
        <f>IF(Table1820[[#This Row],[Good Student Discount]]="Yes",'Rate Book'!$D$126,1)</f>
        <v>1</v>
      </c>
      <c r="AN427">
        <f>IF(Table1820[[#This Row],[Good Driver Discount]]="Yes",'Rate Book'!$D$127,1)</f>
        <v>0.89</v>
      </c>
      <c r="AO427">
        <f>IF(Table1820[[#This Row],[Multi Policy Discount]]="Yes",'Rate Book'!$D$128,1)</f>
        <v>1</v>
      </c>
      <c r="AP427">
        <f>IF(Table1820[[#This Row],[Loyal Customer Discount]]="Yes",'Rate Book'!$D$129,1)</f>
        <v>1</v>
      </c>
      <c r="AQ427">
        <f>IF(Table1820[[#This Row],[Organization Discount]]="Yes",'Rate Book'!$D$130,1)</f>
        <v>1</v>
      </c>
      <c r="AR427" cm="1">
        <f t="array" ref="AR427">IF(Table1820[[#This Row],[Effective Date]]&gt;=RateChangeTable[Effective Date],RateChangeTable[Rate Change Factor],1)</f>
        <v>1</v>
      </c>
      <c r="AS427" s="10">
        <f>PRODUCT(Table1820[[#This Row],[Base Rate]:[Rate Change Factor]])</f>
        <v>992.90096588999495</v>
      </c>
      <c r="AT427" s="9">
        <f>Table1820[[#This Row],[System-Generated Premium]]-Table1820[[#This Row],[Expected Premium]]</f>
        <v>0</v>
      </c>
      <c r="AU427" t="str">
        <f>IF(Table1820[[#This Row],[Difference]]=0,"PASS","FAIL")</f>
        <v>PASS</v>
      </c>
      <c r="AV427" s="9">
        <f>ABS(Table1820[[#This Row],[Difference]])</f>
        <v>0</v>
      </c>
      <c r="AW427" s="9" t="s">
        <v>1136</v>
      </c>
    </row>
    <row r="428" spans="1:49" x14ac:dyDescent="0.3">
      <c r="A428" t="s">
        <v>519</v>
      </c>
      <c r="B428" s="7">
        <v>45888</v>
      </c>
      <c r="C428" t="s">
        <v>73</v>
      </c>
      <c r="D428" t="s">
        <v>1099</v>
      </c>
      <c r="E428" s="3" t="s">
        <v>1103</v>
      </c>
      <c r="F428" s="3">
        <v>2</v>
      </c>
      <c r="G428" t="s">
        <v>10</v>
      </c>
      <c r="H428" t="s">
        <v>1106</v>
      </c>
      <c r="I428" t="s">
        <v>24</v>
      </c>
      <c r="J428" t="s">
        <v>53</v>
      </c>
      <c r="K428" t="s">
        <v>10</v>
      </c>
      <c r="L428" t="s">
        <v>10</v>
      </c>
      <c r="M428" t="s">
        <v>10</v>
      </c>
      <c r="N428" t="s">
        <v>57</v>
      </c>
      <c r="O428" t="str">
        <f>INDEX(CoverageTable[Deductible Applies],MATCH(Table1820[[#This Row],[Coverage]],CoverageTable[Coverage],0))</f>
        <v>No</v>
      </c>
      <c r="P428" t="str">
        <f>INDEX(CoverageTable[Coverage Limit Applies],MATCH(Table1820[[#This Row],[Coverage]],CoverageTable[Coverage],0))</f>
        <v>Yes</v>
      </c>
      <c r="Q428" t="s">
        <v>10</v>
      </c>
      <c r="R428" t="s">
        <v>78</v>
      </c>
      <c r="S428" t="s">
        <v>10</v>
      </c>
      <c r="T428" t="s">
        <v>10</v>
      </c>
      <c r="U428" t="s">
        <v>10</v>
      </c>
      <c r="V428" t="s">
        <v>10</v>
      </c>
      <c r="W428" t="s">
        <v>57</v>
      </c>
      <c r="X428" s="11">
        <v>115.39996419314562</v>
      </c>
      <c r="Y428">
        <f>_xlfn.XLOOKUP(Table1820[[#This Row],[Coverage]],CoverageTable[Coverage],CoverageTable[Base Rate],,0)</f>
        <v>78</v>
      </c>
      <c r="Z428">
        <f>INDEX(Table16[Ageband Factor],MATCH(Table1820[[#This Row],[Ageband]],Table16[Ageband],0))</f>
        <v>1</v>
      </c>
      <c r="AA428">
        <f>VLOOKUP(Table1820[[#This Row],[Years Driving]],Table1[],2)</f>
        <v>0.93</v>
      </c>
      <c r="AB428">
        <f>_xlfn.XLOOKUP(Table1820[[#This Row],[At Fault Accidents]],Table2[At Fault Accidents],Table2[At Fault Accident Factor],,0)</f>
        <v>1.55</v>
      </c>
      <c r="AC428">
        <f>_xlfn.XLOOKUP(Table1820[[#This Row],[Usage-Based Insurance]],Table3[Usage-Based Insurance],Table3[Usage-Based Insurance Discount],,0)</f>
        <v>1</v>
      </c>
      <c r="AD428">
        <f>_xlfn.XLOOKUP(Table1820[[#This Row],[Yearly Miles]],Table4[Yearly Miles],Table4[Yearly Miles Factor],,0)</f>
        <v>0.82</v>
      </c>
      <c r="AE428">
        <f>_xlfn.XLOOKUP(Table1820[[#This Row],[City/Zip Code]],Table5[City/Zip Code],Table5[City/Zip Code Factor],,0)</f>
        <v>1.19</v>
      </c>
      <c r="AF428">
        <f>_xlfn.XLOOKUP(Table1820[[#This Row],[Vehicle Price]],Table6[Vehicle Price],Table6[Vehicle Price Factor])</f>
        <v>2.02</v>
      </c>
      <c r="AG428">
        <f>_xlfn.XLOOKUP(Table1820[[#This Row],[Exotic Car]],Table7[Exotic Car],Table7[Exotic Car Factor],,0)</f>
        <v>1</v>
      </c>
      <c r="AH428">
        <f>_xlfn.XLOOKUP(Table1820[[#This Row],[Difficult Parts]],Table8[Difficult Parts],Table8[Difficult Parts Factor],,0)</f>
        <v>1</v>
      </c>
      <c r="AI428">
        <f>_xlfn.XLOOKUP(Table1820[[#This Row],[High Theft Rate]],Table9[High Theft Rate],Table9[High Theft Rate Factor],,0)</f>
        <v>1</v>
      </c>
      <c r="AJ428">
        <f>_xlfn.XLOOKUP(Table1820[[#This Row],[Advanced Safety Features]],Table10[Advanced Safety Features],Table10[Advanced Safety Features Factor],,0)</f>
        <v>0.88</v>
      </c>
      <c r="AK428">
        <f>_xlfn.XLOOKUP(Table1820[[#This Row],[Deductible]],Table12[Deductible],Table12[Deductible Factor],,0)</f>
        <v>1</v>
      </c>
      <c r="AL428">
        <f>_xlfn.XLOOKUP(Table1820[[#This Row],[Coverage Limit]],Table13[Coverage Limit],Table13[Coverage Limit Factor],,0)</f>
        <v>0.61</v>
      </c>
      <c r="AM428">
        <f>IF(Table1820[[#This Row],[Good Student Discount]]="Yes",'Rate Book'!$D$126,1)</f>
        <v>1</v>
      </c>
      <c r="AN428">
        <f>IF(Table1820[[#This Row],[Good Driver Discount]]="Yes",'Rate Book'!$D$127,1)</f>
        <v>1</v>
      </c>
      <c r="AO428">
        <f>IF(Table1820[[#This Row],[Multi Policy Discount]]="Yes",'Rate Book'!$D$128,1)</f>
        <v>1</v>
      </c>
      <c r="AP428">
        <f>IF(Table1820[[#This Row],[Loyal Customer Discount]]="Yes",'Rate Book'!$D$129,1)</f>
        <v>1</v>
      </c>
      <c r="AQ428">
        <f>IF(Table1820[[#This Row],[Organization Discount]]="Yes",'Rate Book'!$D$130,1)</f>
        <v>0.97</v>
      </c>
      <c r="AR428" cm="1">
        <f t="array" ref="AR428">IF(Table1820[[#This Row],[Effective Date]]&gt;=RateChangeTable[Effective Date],RateChangeTable[Rate Change Factor],1)</f>
        <v>1</v>
      </c>
      <c r="AS428" s="10">
        <f>PRODUCT(Table1820[[#This Row],[Base Rate]:[Rate Change Factor]])</f>
        <v>115.39996419314562</v>
      </c>
      <c r="AT428" s="9">
        <f>Table1820[[#This Row],[System-Generated Premium]]-Table1820[[#This Row],[Expected Premium]]</f>
        <v>0</v>
      </c>
      <c r="AU428" t="str">
        <f>IF(Table1820[[#This Row],[Difference]]=0,"PASS","FAIL")</f>
        <v>PASS</v>
      </c>
      <c r="AV428" s="9">
        <f>ABS(Table1820[[#This Row],[Difference]])</f>
        <v>0</v>
      </c>
      <c r="AW428" s="9" t="s">
        <v>1136</v>
      </c>
    </row>
    <row r="429" spans="1:49" x14ac:dyDescent="0.3">
      <c r="A429" t="s">
        <v>520</v>
      </c>
      <c r="B429" s="7">
        <v>45799</v>
      </c>
      <c r="C429" t="s">
        <v>71</v>
      </c>
      <c r="D429" t="s">
        <v>1099</v>
      </c>
      <c r="E429" s="3" t="s">
        <v>1103</v>
      </c>
      <c r="F429" s="3">
        <v>3</v>
      </c>
      <c r="G429" t="s">
        <v>12</v>
      </c>
      <c r="H429" t="s">
        <v>1109</v>
      </c>
      <c r="I429" t="s">
        <v>32</v>
      </c>
      <c r="J429" t="s">
        <v>54</v>
      </c>
      <c r="K429" t="s">
        <v>10</v>
      </c>
      <c r="L429" t="s">
        <v>10</v>
      </c>
      <c r="M429" t="s">
        <v>10</v>
      </c>
      <c r="N429" t="s">
        <v>10</v>
      </c>
      <c r="O429" t="str">
        <f>INDEX(CoverageTable[Deductible Applies],MATCH(Table1820[[#This Row],[Coverage]],CoverageTable[Coverage],0))</f>
        <v>Yes</v>
      </c>
      <c r="P429" t="str">
        <f>INDEX(CoverageTable[Coverage Limit Applies],MATCH(Table1820[[#This Row],[Coverage]],CoverageTable[Coverage],0))</f>
        <v>No</v>
      </c>
      <c r="Q429" t="s">
        <v>80</v>
      </c>
      <c r="R429" t="s">
        <v>10</v>
      </c>
      <c r="S429" t="s">
        <v>10</v>
      </c>
      <c r="T429" t="s">
        <v>57</v>
      </c>
      <c r="U429" t="s">
        <v>10</v>
      </c>
      <c r="V429" t="s">
        <v>10</v>
      </c>
      <c r="W429" t="s">
        <v>10</v>
      </c>
      <c r="X429" s="11">
        <v>1490.8946466595187</v>
      </c>
      <c r="Y429">
        <f>_xlfn.XLOOKUP(Table1820[[#This Row],[Coverage]],CoverageTable[Coverage],CoverageTable[Base Rate],,0)</f>
        <v>453</v>
      </c>
      <c r="Z429">
        <f>INDEX(Table16[Ageband Factor],MATCH(Table1820[[#This Row],[Ageband]],Table16[Ageband],0))</f>
        <v>1</v>
      </c>
      <c r="AA429">
        <f>VLOOKUP(Table1820[[#This Row],[Years Driving]],Table1[],2)</f>
        <v>0.93</v>
      </c>
      <c r="AB429">
        <f>_xlfn.XLOOKUP(Table1820[[#This Row],[At Fault Accidents]],Table2[At Fault Accidents],Table2[At Fault Accident Factor],,0)</f>
        <v>1.82</v>
      </c>
      <c r="AC429">
        <f>_xlfn.XLOOKUP(Table1820[[#This Row],[Usage-Based Insurance]],Table3[Usage-Based Insurance],Table3[Usage-Based Insurance Discount],,0)</f>
        <v>0.8</v>
      </c>
      <c r="AD429">
        <f>_xlfn.XLOOKUP(Table1820[[#This Row],[Yearly Miles]],Table4[Yearly Miles],Table4[Yearly Miles Factor],,0)</f>
        <v>1.18</v>
      </c>
      <c r="AE429">
        <f>_xlfn.XLOOKUP(Table1820[[#This Row],[City/Zip Code]],Table5[City/Zip Code],Table5[City/Zip Code Factor],,0)</f>
        <v>1.1200000000000001</v>
      </c>
      <c r="AF429">
        <f>_xlfn.XLOOKUP(Table1820[[#This Row],[Vehicle Price]],Table6[Vehicle Price],Table6[Vehicle Price Factor])</f>
        <v>2.87</v>
      </c>
      <c r="AG429">
        <f>_xlfn.XLOOKUP(Table1820[[#This Row],[Exotic Car]],Table7[Exotic Car],Table7[Exotic Car Factor],,0)</f>
        <v>1</v>
      </c>
      <c r="AH429">
        <f>_xlfn.XLOOKUP(Table1820[[#This Row],[Difficult Parts]],Table8[Difficult Parts],Table8[Difficult Parts Factor],,0)</f>
        <v>1</v>
      </c>
      <c r="AI429">
        <f>_xlfn.XLOOKUP(Table1820[[#This Row],[High Theft Rate]],Table9[High Theft Rate],Table9[High Theft Rate Factor],,0)</f>
        <v>1</v>
      </c>
      <c r="AJ429">
        <f>_xlfn.XLOOKUP(Table1820[[#This Row],[Advanced Safety Features]],Table10[Advanced Safety Features],Table10[Advanced Safety Features Factor],,0)</f>
        <v>1</v>
      </c>
      <c r="AK429">
        <f>_xlfn.XLOOKUP(Table1820[[#This Row],[Deductible]],Table12[Deductible],Table12[Deductible Factor],,0)</f>
        <v>0.72</v>
      </c>
      <c r="AL429">
        <f>_xlfn.XLOOKUP(Table1820[[#This Row],[Coverage Limit]],Table13[Coverage Limit],Table13[Coverage Limit Factor],,0)</f>
        <v>1</v>
      </c>
      <c r="AM429">
        <f>IF(Table1820[[#This Row],[Good Student Discount]]="Yes",'Rate Book'!$D$126,1)</f>
        <v>1</v>
      </c>
      <c r="AN429">
        <f>IF(Table1820[[#This Row],[Good Driver Discount]]="Yes",'Rate Book'!$D$127,1)</f>
        <v>0.89</v>
      </c>
      <c r="AO429">
        <f>IF(Table1820[[#This Row],[Multi Policy Discount]]="Yes",'Rate Book'!$D$128,1)</f>
        <v>1</v>
      </c>
      <c r="AP429">
        <f>IF(Table1820[[#This Row],[Loyal Customer Discount]]="Yes",'Rate Book'!$D$129,1)</f>
        <v>1</v>
      </c>
      <c r="AQ429">
        <f>IF(Table1820[[#This Row],[Organization Discount]]="Yes",'Rate Book'!$D$130,1)</f>
        <v>1</v>
      </c>
      <c r="AR429" cm="1">
        <f t="array" ref="AR429">IF(Table1820[[#This Row],[Effective Date]]&gt;=RateChangeTable[Effective Date],RateChangeTable[Rate Change Factor],1)</f>
        <v>1</v>
      </c>
      <c r="AS429" s="10">
        <f>PRODUCT(Table1820[[#This Row],[Base Rate]:[Rate Change Factor]])</f>
        <v>1490.8946466595187</v>
      </c>
      <c r="AT429" s="9">
        <f>Table1820[[#This Row],[System-Generated Premium]]-Table1820[[#This Row],[Expected Premium]]</f>
        <v>0</v>
      </c>
      <c r="AU429" t="str">
        <f>IF(Table1820[[#This Row],[Difference]]=0,"PASS","FAIL")</f>
        <v>PASS</v>
      </c>
      <c r="AV429" s="9">
        <f>ABS(Table1820[[#This Row],[Difference]])</f>
        <v>0</v>
      </c>
      <c r="AW429" s="9" t="s">
        <v>1136</v>
      </c>
    </row>
    <row r="430" spans="1:49" x14ac:dyDescent="0.3">
      <c r="A430" t="s">
        <v>521</v>
      </c>
      <c r="B430" s="7">
        <v>46102</v>
      </c>
      <c r="C430" t="s">
        <v>70</v>
      </c>
      <c r="D430" t="s">
        <v>1099</v>
      </c>
      <c r="E430" s="3">
        <v>4</v>
      </c>
      <c r="F430" s="3">
        <v>0</v>
      </c>
      <c r="G430" t="s">
        <v>10</v>
      </c>
      <c r="H430" t="s">
        <v>1110</v>
      </c>
      <c r="I430" t="s">
        <v>43</v>
      </c>
      <c r="J430" t="s">
        <v>51</v>
      </c>
      <c r="K430" t="s">
        <v>10</v>
      </c>
      <c r="L430" t="s">
        <v>10</v>
      </c>
      <c r="M430" t="s">
        <v>57</v>
      </c>
      <c r="N430" t="s">
        <v>57</v>
      </c>
      <c r="O430" t="str">
        <f>INDEX(CoverageTable[Deductible Applies],MATCH(Table1820[[#This Row],[Coverage]],CoverageTable[Coverage],0))</f>
        <v>No</v>
      </c>
      <c r="P430" t="str">
        <f>INDEX(CoverageTable[Coverage Limit Applies],MATCH(Table1820[[#This Row],[Coverage]],CoverageTable[Coverage],0))</f>
        <v>Yes</v>
      </c>
      <c r="Q430" t="s">
        <v>10</v>
      </c>
      <c r="R430" t="s">
        <v>80</v>
      </c>
      <c r="S430" t="s">
        <v>10</v>
      </c>
      <c r="T430" t="s">
        <v>10</v>
      </c>
      <c r="U430" t="s">
        <v>10</v>
      </c>
      <c r="V430" t="s">
        <v>10</v>
      </c>
      <c r="W430" t="s">
        <v>10</v>
      </c>
      <c r="X430" s="11">
        <v>1286.4037883241431</v>
      </c>
      <c r="Y430">
        <f>_xlfn.XLOOKUP(Table1820[[#This Row],[Coverage]],CoverageTable[Coverage],CoverageTable[Base Rate],,0)</f>
        <v>622</v>
      </c>
      <c r="Z430">
        <f>INDEX(Table16[Ageband Factor],MATCH(Table1820[[#This Row],[Ageband]],Table16[Ageband],0))</f>
        <v>1</v>
      </c>
      <c r="AA430">
        <f>VLOOKUP(Table1820[[#This Row],[Years Driving]],Table1[],2)</f>
        <v>1.1499999999999999</v>
      </c>
      <c r="AB430">
        <f>_xlfn.XLOOKUP(Table1820[[#This Row],[At Fault Accidents]],Table2[At Fault Accidents],Table2[At Fault Accident Factor],,0)</f>
        <v>1</v>
      </c>
      <c r="AC430">
        <f>_xlfn.XLOOKUP(Table1820[[#This Row],[Usage-Based Insurance]],Table3[Usage-Based Insurance],Table3[Usage-Based Insurance Discount],,0)</f>
        <v>1</v>
      </c>
      <c r="AD430">
        <f>_xlfn.XLOOKUP(Table1820[[#This Row],[Yearly Miles]],Table4[Yearly Miles],Table4[Yearly Miles Factor],,0)</f>
        <v>1.31</v>
      </c>
      <c r="AE430">
        <f>_xlfn.XLOOKUP(Table1820[[#This Row],[City/Zip Code]],Table5[City/Zip Code],Table5[City/Zip Code Factor],,0)</f>
        <v>1.18</v>
      </c>
      <c r="AF430">
        <f>_xlfn.XLOOKUP(Table1820[[#This Row],[Vehicle Price]],Table6[Vehicle Price],Table6[Vehicle Price Factor])</f>
        <v>1.28</v>
      </c>
      <c r="AG430">
        <f>_xlfn.XLOOKUP(Table1820[[#This Row],[Exotic Car]],Table7[Exotic Car],Table7[Exotic Car Factor],,0)</f>
        <v>1</v>
      </c>
      <c r="AH430">
        <f>_xlfn.XLOOKUP(Table1820[[#This Row],[Difficult Parts]],Table8[Difficult Parts],Table8[Difficult Parts Factor],,0)</f>
        <v>1</v>
      </c>
      <c r="AI430">
        <f>_xlfn.XLOOKUP(Table1820[[#This Row],[High Theft Rate]],Table9[High Theft Rate],Table9[High Theft Rate Factor],,0)</f>
        <v>1.1599999999999999</v>
      </c>
      <c r="AJ430">
        <f>_xlfn.XLOOKUP(Table1820[[#This Row],[Advanced Safety Features]],Table10[Advanced Safety Features],Table10[Advanced Safety Features Factor],,0)</f>
        <v>0.88</v>
      </c>
      <c r="AK430">
        <f>_xlfn.XLOOKUP(Table1820[[#This Row],[Deductible]],Table12[Deductible],Table12[Deductible Factor],,0)</f>
        <v>1</v>
      </c>
      <c r="AL430">
        <f>_xlfn.XLOOKUP(Table1820[[#This Row],[Coverage Limit]],Table13[Coverage Limit],Table13[Coverage Limit Factor],,0)</f>
        <v>0.84</v>
      </c>
      <c r="AM430">
        <f>IF(Table1820[[#This Row],[Good Student Discount]]="Yes",'Rate Book'!$D$126,1)</f>
        <v>1</v>
      </c>
      <c r="AN430">
        <f>IF(Table1820[[#This Row],[Good Driver Discount]]="Yes",'Rate Book'!$D$127,1)</f>
        <v>1</v>
      </c>
      <c r="AO430">
        <f>IF(Table1820[[#This Row],[Multi Policy Discount]]="Yes",'Rate Book'!$D$128,1)</f>
        <v>1</v>
      </c>
      <c r="AP430">
        <f>IF(Table1820[[#This Row],[Loyal Customer Discount]]="Yes",'Rate Book'!$D$129,1)</f>
        <v>1</v>
      </c>
      <c r="AQ430">
        <f>IF(Table1820[[#This Row],[Organization Discount]]="Yes",'Rate Book'!$D$130,1)</f>
        <v>1</v>
      </c>
      <c r="AR430" cm="1">
        <f t="array" ref="AR430">IF(Table1820[[#This Row],[Effective Date]]&gt;=RateChangeTable[Effective Date],RateChangeTable[Rate Change Factor],1)</f>
        <v>1.06</v>
      </c>
      <c r="AS430" s="10">
        <f>PRODUCT(Table1820[[#This Row],[Base Rate]:[Rate Change Factor]])</f>
        <v>1286.4037883241431</v>
      </c>
      <c r="AT430" s="9">
        <f>Table1820[[#This Row],[System-Generated Premium]]-Table1820[[#This Row],[Expected Premium]]</f>
        <v>0</v>
      </c>
      <c r="AU430" t="str">
        <f>IF(Table1820[[#This Row],[Difference]]=0,"PASS","FAIL")</f>
        <v>PASS</v>
      </c>
      <c r="AV430" s="9">
        <f>ABS(Table1820[[#This Row],[Difference]])</f>
        <v>0</v>
      </c>
      <c r="AW430" s="9" t="s">
        <v>1136</v>
      </c>
    </row>
    <row r="431" spans="1:49" x14ac:dyDescent="0.3">
      <c r="A431" t="s">
        <v>522</v>
      </c>
      <c r="B431" s="7">
        <v>45868</v>
      </c>
      <c r="C431" t="s">
        <v>71</v>
      </c>
      <c r="D431" t="s">
        <v>1100</v>
      </c>
      <c r="E431" s="3">
        <v>3</v>
      </c>
      <c r="F431" s="3">
        <v>4</v>
      </c>
      <c r="G431" t="s">
        <v>10</v>
      </c>
      <c r="H431" t="s">
        <v>1106</v>
      </c>
      <c r="I431" t="s">
        <v>42</v>
      </c>
      <c r="J431" t="s">
        <v>48</v>
      </c>
      <c r="K431" t="s">
        <v>10</v>
      </c>
      <c r="L431" t="s">
        <v>57</v>
      </c>
      <c r="M431" t="s">
        <v>10</v>
      </c>
      <c r="N431" t="s">
        <v>10</v>
      </c>
      <c r="O431" t="str">
        <f>INDEX(CoverageTable[Deductible Applies],MATCH(Table1820[[#This Row],[Coverage]],CoverageTable[Coverage],0))</f>
        <v>Yes</v>
      </c>
      <c r="P431" t="str">
        <f>INDEX(CoverageTable[Coverage Limit Applies],MATCH(Table1820[[#This Row],[Coverage]],CoverageTable[Coverage],0))</f>
        <v>No</v>
      </c>
      <c r="Q431" t="s">
        <v>78</v>
      </c>
      <c r="R431" t="s">
        <v>10</v>
      </c>
      <c r="S431" t="s">
        <v>10</v>
      </c>
      <c r="T431" t="s">
        <v>10</v>
      </c>
      <c r="U431" t="s">
        <v>10</v>
      </c>
      <c r="V431" t="s">
        <v>57</v>
      </c>
      <c r="W431" t="s">
        <v>10</v>
      </c>
      <c r="X431" s="11">
        <v>1102.1166807981406</v>
      </c>
      <c r="Y431">
        <f>_xlfn.XLOOKUP(Table1820[[#This Row],[Coverage]],CoverageTable[Coverage],CoverageTable[Base Rate],,0)</f>
        <v>453</v>
      </c>
      <c r="Z431">
        <f>INDEX(Table16[Ageband Factor],MATCH(Table1820[[#This Row],[Ageband]],Table16[Ageband],0))</f>
        <v>1.07</v>
      </c>
      <c r="AA431">
        <f>VLOOKUP(Table1820[[#This Row],[Years Driving]],Table1[],2)</f>
        <v>1.22</v>
      </c>
      <c r="AB431">
        <f>_xlfn.XLOOKUP(Table1820[[#This Row],[At Fault Accidents]],Table2[At Fault Accidents],Table2[At Fault Accident Factor],,0)</f>
        <v>2.12</v>
      </c>
      <c r="AC431">
        <f>_xlfn.XLOOKUP(Table1820[[#This Row],[Usage-Based Insurance]],Table3[Usage-Based Insurance],Table3[Usage-Based Insurance Discount],,0)</f>
        <v>1</v>
      </c>
      <c r="AD431">
        <f>_xlfn.XLOOKUP(Table1820[[#This Row],[Yearly Miles]],Table4[Yearly Miles],Table4[Yearly Miles Factor],,0)</f>
        <v>0.82</v>
      </c>
      <c r="AE431">
        <f>_xlfn.XLOOKUP(Table1820[[#This Row],[City/Zip Code]],Table5[City/Zip Code],Table5[City/Zip Code Factor],,0)</f>
        <v>1.21</v>
      </c>
      <c r="AF431">
        <f>_xlfn.XLOOKUP(Table1820[[#This Row],[Vehicle Price]],Table6[Vehicle Price],Table6[Vehicle Price Factor])</f>
        <v>0.82</v>
      </c>
      <c r="AG431">
        <f>_xlfn.XLOOKUP(Table1820[[#This Row],[Exotic Car]],Table7[Exotic Car],Table7[Exotic Car Factor],,0)</f>
        <v>1</v>
      </c>
      <c r="AH431">
        <f>_xlfn.XLOOKUP(Table1820[[#This Row],[Difficult Parts]],Table8[Difficult Parts],Table8[Difficult Parts Factor],,0)</f>
        <v>1.21</v>
      </c>
      <c r="AI431">
        <f>_xlfn.XLOOKUP(Table1820[[#This Row],[High Theft Rate]],Table9[High Theft Rate],Table9[High Theft Rate Factor],,0)</f>
        <v>1</v>
      </c>
      <c r="AJ431">
        <f>_xlfn.XLOOKUP(Table1820[[#This Row],[Advanced Safety Features]],Table10[Advanced Safety Features],Table10[Advanced Safety Features Factor],,0)</f>
        <v>1</v>
      </c>
      <c r="AK431">
        <f>_xlfn.XLOOKUP(Table1820[[#This Row],[Deductible]],Table12[Deductible],Table12[Deductible Factor],,0)</f>
        <v>0.95</v>
      </c>
      <c r="AL431">
        <f>_xlfn.XLOOKUP(Table1820[[#This Row],[Coverage Limit]],Table13[Coverage Limit],Table13[Coverage Limit Factor],,0)</f>
        <v>1</v>
      </c>
      <c r="AM431">
        <f>IF(Table1820[[#This Row],[Good Student Discount]]="Yes",'Rate Book'!$D$126,1)</f>
        <v>1</v>
      </c>
      <c r="AN431">
        <f>IF(Table1820[[#This Row],[Good Driver Discount]]="Yes",'Rate Book'!$D$127,1)</f>
        <v>1</v>
      </c>
      <c r="AO431">
        <f>IF(Table1820[[#This Row],[Multi Policy Discount]]="Yes",'Rate Book'!$D$128,1)</f>
        <v>1</v>
      </c>
      <c r="AP431">
        <f>IF(Table1820[[#This Row],[Loyal Customer Discount]]="Yes",'Rate Book'!$D$129,1)</f>
        <v>0.94</v>
      </c>
      <c r="AQ431">
        <f>IF(Table1820[[#This Row],[Organization Discount]]="Yes",'Rate Book'!$D$130,1)</f>
        <v>1</v>
      </c>
      <c r="AR431" cm="1">
        <f t="array" ref="AR431">IF(Table1820[[#This Row],[Effective Date]]&gt;=RateChangeTable[Effective Date],RateChangeTable[Rate Change Factor],1)</f>
        <v>1</v>
      </c>
      <c r="AS431" s="10">
        <f>PRODUCT(Table1820[[#This Row],[Base Rate]:[Rate Change Factor]])</f>
        <v>1102.1166807981406</v>
      </c>
      <c r="AT431" s="9">
        <f>Table1820[[#This Row],[System-Generated Premium]]-Table1820[[#This Row],[Expected Premium]]</f>
        <v>0</v>
      </c>
      <c r="AU431" t="str">
        <f>IF(Table1820[[#This Row],[Difference]]=0,"PASS","FAIL")</f>
        <v>PASS</v>
      </c>
      <c r="AV431" s="9">
        <f>ABS(Table1820[[#This Row],[Difference]])</f>
        <v>0</v>
      </c>
      <c r="AW431" s="9" t="s">
        <v>1136</v>
      </c>
    </row>
    <row r="432" spans="1:49" x14ac:dyDescent="0.3">
      <c r="A432" t="s">
        <v>523</v>
      </c>
      <c r="B432" s="7">
        <v>46029</v>
      </c>
      <c r="C432" t="s">
        <v>71</v>
      </c>
      <c r="D432" t="s">
        <v>1102</v>
      </c>
      <c r="E432" s="3" t="s">
        <v>1103</v>
      </c>
      <c r="F432" s="3">
        <v>1</v>
      </c>
      <c r="G432" t="s">
        <v>11</v>
      </c>
      <c r="H432" t="s">
        <v>1106</v>
      </c>
      <c r="I432" t="s">
        <v>25</v>
      </c>
      <c r="J432" t="s">
        <v>52</v>
      </c>
      <c r="K432" t="s">
        <v>10</v>
      </c>
      <c r="L432" t="s">
        <v>10</v>
      </c>
      <c r="M432" t="s">
        <v>57</v>
      </c>
      <c r="N432" t="s">
        <v>57</v>
      </c>
      <c r="O432" t="str">
        <f>INDEX(CoverageTable[Deductible Applies],MATCH(Table1820[[#This Row],[Coverage]],CoverageTable[Coverage],0))</f>
        <v>Yes</v>
      </c>
      <c r="P432" t="str">
        <f>INDEX(CoverageTable[Coverage Limit Applies],MATCH(Table1820[[#This Row],[Coverage]],CoverageTable[Coverage],0))</f>
        <v>No</v>
      </c>
      <c r="Q432" t="s">
        <v>80</v>
      </c>
      <c r="R432" t="s">
        <v>10</v>
      </c>
      <c r="S432" t="s">
        <v>57</v>
      </c>
      <c r="T432" t="s">
        <v>10</v>
      </c>
      <c r="U432" t="s">
        <v>10</v>
      </c>
      <c r="V432" t="s">
        <v>10</v>
      </c>
      <c r="W432" t="s">
        <v>10</v>
      </c>
      <c r="X432" s="11">
        <v>729.04044040009262</v>
      </c>
      <c r="Y432">
        <f>_xlfn.XLOOKUP(Table1820[[#This Row],[Coverage]],CoverageTable[Coverage],CoverageTable[Base Rate],,0)</f>
        <v>453</v>
      </c>
      <c r="Z432">
        <f>INDEX(Table16[Ageband Factor],MATCH(Table1820[[#This Row],[Ageband]],Table16[Ageband],0))</f>
        <v>1.27</v>
      </c>
      <c r="AA432">
        <f>VLOOKUP(Table1820[[#This Row],[Years Driving]],Table1[],2)</f>
        <v>0.93</v>
      </c>
      <c r="AB432">
        <f>_xlfn.XLOOKUP(Table1820[[#This Row],[At Fault Accidents]],Table2[At Fault Accidents],Table2[At Fault Accident Factor],,0)</f>
        <v>1.34</v>
      </c>
      <c r="AC432">
        <f>_xlfn.XLOOKUP(Table1820[[#This Row],[Usage-Based Insurance]],Table3[Usage-Based Insurance],Table3[Usage-Based Insurance Discount],,0)</f>
        <v>0.95</v>
      </c>
      <c r="AD432">
        <f>_xlfn.XLOOKUP(Table1820[[#This Row],[Yearly Miles]],Table4[Yearly Miles],Table4[Yearly Miles Factor],,0)</f>
        <v>0.82</v>
      </c>
      <c r="AE432">
        <f>_xlfn.XLOOKUP(Table1820[[#This Row],[City/Zip Code]],Table5[City/Zip Code],Table5[City/Zip Code Factor],,0)</f>
        <v>1.1599999999999999</v>
      </c>
      <c r="AF432">
        <f>_xlfn.XLOOKUP(Table1820[[#This Row],[Vehicle Price]],Table6[Vehicle Price],Table6[Vehicle Price Factor])</f>
        <v>1.57</v>
      </c>
      <c r="AG432">
        <f>_xlfn.XLOOKUP(Table1820[[#This Row],[Exotic Car]],Table7[Exotic Car],Table7[Exotic Car Factor],,0)</f>
        <v>1</v>
      </c>
      <c r="AH432">
        <f>_xlfn.XLOOKUP(Table1820[[#This Row],[Difficult Parts]],Table8[Difficult Parts],Table8[Difficult Parts Factor],,0)</f>
        <v>1</v>
      </c>
      <c r="AI432">
        <f>_xlfn.XLOOKUP(Table1820[[#This Row],[High Theft Rate]],Table9[High Theft Rate],Table9[High Theft Rate Factor],,0)</f>
        <v>1.1599999999999999</v>
      </c>
      <c r="AJ432">
        <f>_xlfn.XLOOKUP(Table1820[[#This Row],[Advanced Safety Features]],Table10[Advanced Safety Features],Table10[Advanced Safety Features Factor],,0)</f>
        <v>0.88</v>
      </c>
      <c r="AK432">
        <f>_xlfn.XLOOKUP(Table1820[[#This Row],[Deductible]],Table12[Deductible],Table12[Deductible Factor],,0)</f>
        <v>0.72</v>
      </c>
      <c r="AL432">
        <f>_xlfn.XLOOKUP(Table1820[[#This Row],[Coverage Limit]],Table13[Coverage Limit],Table13[Coverage Limit Factor],,0)</f>
        <v>1</v>
      </c>
      <c r="AM432">
        <f>IF(Table1820[[#This Row],[Good Student Discount]]="Yes",'Rate Book'!$D$126,1)</f>
        <v>0.92</v>
      </c>
      <c r="AN432">
        <f>IF(Table1820[[#This Row],[Good Driver Discount]]="Yes",'Rate Book'!$D$127,1)</f>
        <v>1</v>
      </c>
      <c r="AO432">
        <f>IF(Table1820[[#This Row],[Multi Policy Discount]]="Yes",'Rate Book'!$D$128,1)</f>
        <v>1</v>
      </c>
      <c r="AP432">
        <f>IF(Table1820[[#This Row],[Loyal Customer Discount]]="Yes",'Rate Book'!$D$129,1)</f>
        <v>1</v>
      </c>
      <c r="AQ432">
        <f>IF(Table1820[[#This Row],[Organization Discount]]="Yes",'Rate Book'!$D$130,1)</f>
        <v>1</v>
      </c>
      <c r="AR432" cm="1">
        <f t="array" ref="AR432">IF(Table1820[[#This Row],[Effective Date]]&gt;=RateChangeTable[Effective Date],RateChangeTable[Rate Change Factor],1)</f>
        <v>1.06</v>
      </c>
      <c r="AS432" s="10">
        <f>PRODUCT(Table1820[[#This Row],[Base Rate]:[Rate Change Factor]])</f>
        <v>729.04044040009262</v>
      </c>
      <c r="AT432" s="9">
        <f>Table1820[[#This Row],[System-Generated Premium]]-Table1820[[#This Row],[Expected Premium]]</f>
        <v>0</v>
      </c>
      <c r="AU432" t="str">
        <f>IF(Table1820[[#This Row],[Difference]]=0,"PASS","FAIL")</f>
        <v>PASS</v>
      </c>
      <c r="AV432" s="9">
        <f>ABS(Table1820[[#This Row],[Difference]])</f>
        <v>0</v>
      </c>
      <c r="AW432" s="9" t="s">
        <v>1136</v>
      </c>
    </row>
    <row r="433" spans="1:49" x14ac:dyDescent="0.3">
      <c r="A433" t="s">
        <v>524</v>
      </c>
      <c r="B433" s="7">
        <v>46104</v>
      </c>
      <c r="C433" t="s">
        <v>71</v>
      </c>
      <c r="D433" t="s">
        <v>1100</v>
      </c>
      <c r="E433" s="3">
        <v>7</v>
      </c>
      <c r="F433" s="3">
        <v>0</v>
      </c>
      <c r="G433" t="s">
        <v>12</v>
      </c>
      <c r="H433" t="s">
        <v>1106</v>
      </c>
      <c r="I433" t="s">
        <v>28</v>
      </c>
      <c r="J433" t="s">
        <v>50</v>
      </c>
      <c r="K433" t="s">
        <v>10</v>
      </c>
      <c r="L433" t="s">
        <v>10</v>
      </c>
      <c r="M433" t="s">
        <v>10</v>
      </c>
      <c r="N433" t="s">
        <v>57</v>
      </c>
      <c r="O433" t="str">
        <f>INDEX(CoverageTable[Deductible Applies],MATCH(Table1820[[#This Row],[Coverage]],CoverageTable[Coverage],0))</f>
        <v>Yes</v>
      </c>
      <c r="P433" t="str">
        <f>INDEX(CoverageTable[Coverage Limit Applies],MATCH(Table1820[[#This Row],[Coverage]],CoverageTable[Coverage],0))</f>
        <v>No</v>
      </c>
      <c r="Q433" t="s">
        <v>79</v>
      </c>
      <c r="R433" t="s">
        <v>10</v>
      </c>
      <c r="S433" t="s">
        <v>10</v>
      </c>
      <c r="T433" t="s">
        <v>57</v>
      </c>
      <c r="U433" t="s">
        <v>10</v>
      </c>
      <c r="V433" t="s">
        <v>10</v>
      </c>
      <c r="W433" t="s">
        <v>10</v>
      </c>
      <c r="X433" s="11">
        <v>216.12978192437004</v>
      </c>
      <c r="Y433">
        <f>_xlfn.XLOOKUP(Table1820[[#This Row],[Coverage]],CoverageTable[Coverage],CoverageTable[Base Rate],,0)</f>
        <v>453</v>
      </c>
      <c r="Z433">
        <f>INDEX(Table16[Ageband Factor],MATCH(Table1820[[#This Row],[Ageband]],Table16[Ageband],0))</f>
        <v>1.07</v>
      </c>
      <c r="AA433">
        <f>VLOOKUP(Table1820[[#This Row],[Years Driving]],Table1[],2)</f>
        <v>0.95</v>
      </c>
      <c r="AB433">
        <f>_xlfn.XLOOKUP(Table1820[[#This Row],[At Fault Accidents]],Table2[At Fault Accidents],Table2[At Fault Accident Factor],,0)</f>
        <v>1</v>
      </c>
      <c r="AC433">
        <f>_xlfn.XLOOKUP(Table1820[[#This Row],[Usage-Based Insurance]],Table3[Usage-Based Insurance],Table3[Usage-Based Insurance Discount],,0)</f>
        <v>0.8</v>
      </c>
      <c r="AD433">
        <f>_xlfn.XLOOKUP(Table1820[[#This Row],[Yearly Miles]],Table4[Yearly Miles],Table4[Yearly Miles Factor],,0)</f>
        <v>0.82</v>
      </c>
      <c r="AE433">
        <f>_xlfn.XLOOKUP(Table1820[[#This Row],[City/Zip Code]],Table5[City/Zip Code],Table5[City/Zip Code Factor],,0)</f>
        <v>0.95</v>
      </c>
      <c r="AF433">
        <f>_xlfn.XLOOKUP(Table1820[[#This Row],[Vehicle Price]],Table6[Vehicle Price],Table6[Vehicle Price Factor])</f>
        <v>1.08</v>
      </c>
      <c r="AG433">
        <f>_xlfn.XLOOKUP(Table1820[[#This Row],[Exotic Car]],Table7[Exotic Car],Table7[Exotic Car Factor],,0)</f>
        <v>1</v>
      </c>
      <c r="AH433">
        <f>_xlfn.XLOOKUP(Table1820[[#This Row],[Difficult Parts]],Table8[Difficult Parts],Table8[Difficult Parts Factor],,0)</f>
        <v>1</v>
      </c>
      <c r="AI433">
        <f>_xlfn.XLOOKUP(Table1820[[#This Row],[High Theft Rate]],Table9[High Theft Rate],Table9[High Theft Rate Factor],,0)</f>
        <v>1</v>
      </c>
      <c r="AJ433">
        <f>_xlfn.XLOOKUP(Table1820[[#This Row],[Advanced Safety Features]],Table10[Advanced Safety Features],Table10[Advanced Safety Features Factor],,0)</f>
        <v>0.88</v>
      </c>
      <c r="AK433">
        <f>_xlfn.XLOOKUP(Table1820[[#This Row],[Deductible]],Table12[Deductible],Table12[Deductible Factor],,0)</f>
        <v>0.84</v>
      </c>
      <c r="AL433">
        <f>_xlfn.XLOOKUP(Table1820[[#This Row],[Coverage Limit]],Table13[Coverage Limit],Table13[Coverage Limit Factor],,0)</f>
        <v>1</v>
      </c>
      <c r="AM433">
        <f>IF(Table1820[[#This Row],[Good Student Discount]]="Yes",'Rate Book'!$D$126,1)</f>
        <v>1</v>
      </c>
      <c r="AN433">
        <f>IF(Table1820[[#This Row],[Good Driver Discount]]="Yes",'Rate Book'!$D$127,1)</f>
        <v>0.89</v>
      </c>
      <c r="AO433">
        <f>IF(Table1820[[#This Row],[Multi Policy Discount]]="Yes",'Rate Book'!$D$128,1)</f>
        <v>1</v>
      </c>
      <c r="AP433">
        <f>IF(Table1820[[#This Row],[Loyal Customer Discount]]="Yes",'Rate Book'!$D$129,1)</f>
        <v>1</v>
      </c>
      <c r="AQ433">
        <f>IF(Table1820[[#This Row],[Organization Discount]]="Yes",'Rate Book'!$D$130,1)</f>
        <v>1</v>
      </c>
      <c r="AR433" cm="1">
        <f t="array" ref="AR433">IF(Table1820[[#This Row],[Effective Date]]&gt;=RateChangeTable[Effective Date],RateChangeTable[Rate Change Factor],1)</f>
        <v>1.06</v>
      </c>
      <c r="AS433" s="10">
        <f>PRODUCT(Table1820[[#This Row],[Base Rate]:[Rate Change Factor]])</f>
        <v>216.12978192437004</v>
      </c>
      <c r="AT433" s="9">
        <f>Table1820[[#This Row],[System-Generated Premium]]-Table1820[[#This Row],[Expected Premium]]</f>
        <v>0</v>
      </c>
      <c r="AU433" t="str">
        <f>IF(Table1820[[#This Row],[Difference]]=0,"PASS","FAIL")</f>
        <v>PASS</v>
      </c>
      <c r="AV433" s="9">
        <f>ABS(Table1820[[#This Row],[Difference]])</f>
        <v>0</v>
      </c>
      <c r="AW433" s="9" t="s">
        <v>1136</v>
      </c>
    </row>
    <row r="434" spans="1:49" x14ac:dyDescent="0.3">
      <c r="A434" t="s">
        <v>525</v>
      </c>
      <c r="B434" s="7">
        <v>45988</v>
      </c>
      <c r="C434" t="s">
        <v>70</v>
      </c>
      <c r="D434" t="s">
        <v>1102</v>
      </c>
      <c r="E434" s="3">
        <v>5</v>
      </c>
      <c r="F434" s="3" t="s">
        <v>7</v>
      </c>
      <c r="G434" t="s">
        <v>13</v>
      </c>
      <c r="H434" t="s">
        <v>1107</v>
      </c>
      <c r="I434" t="s">
        <v>33</v>
      </c>
      <c r="J434" t="s">
        <v>48</v>
      </c>
      <c r="K434" t="s">
        <v>10</v>
      </c>
      <c r="L434" t="s">
        <v>10</v>
      </c>
      <c r="M434" t="s">
        <v>10</v>
      </c>
      <c r="N434" t="s">
        <v>57</v>
      </c>
      <c r="O434" t="str">
        <f>INDEX(CoverageTable[Deductible Applies],MATCH(Table1820[[#This Row],[Coverage]],CoverageTable[Coverage],0))</f>
        <v>No</v>
      </c>
      <c r="P434" t="str">
        <f>INDEX(CoverageTable[Coverage Limit Applies],MATCH(Table1820[[#This Row],[Coverage]],CoverageTable[Coverage],0))</f>
        <v>Yes</v>
      </c>
      <c r="Q434" t="s">
        <v>10</v>
      </c>
      <c r="R434" t="s">
        <v>79</v>
      </c>
      <c r="S434" t="s">
        <v>10</v>
      </c>
      <c r="T434" t="s">
        <v>57</v>
      </c>
      <c r="U434" t="s">
        <v>57</v>
      </c>
      <c r="V434" t="s">
        <v>10</v>
      </c>
      <c r="W434" t="s">
        <v>10</v>
      </c>
      <c r="X434" s="11">
        <v>553.57094788541042</v>
      </c>
      <c r="Y434">
        <f>_xlfn.XLOOKUP(Table1820[[#This Row],[Coverage]],CoverageTable[Coverage],CoverageTable[Base Rate],,0)</f>
        <v>622</v>
      </c>
      <c r="Z434">
        <f>INDEX(Table16[Ageband Factor],MATCH(Table1820[[#This Row],[Ageband]],Table16[Ageband],0))</f>
        <v>1.27</v>
      </c>
      <c r="AA434">
        <f>VLOOKUP(Table1820[[#This Row],[Years Driving]],Table1[],2)</f>
        <v>1.07</v>
      </c>
      <c r="AB434">
        <f>_xlfn.XLOOKUP(Table1820[[#This Row],[At Fault Accidents]],Table2[At Fault Accidents],Table2[At Fault Accident Factor],,0)</f>
        <v>2.4700000000000002</v>
      </c>
      <c r="AC434">
        <f>_xlfn.XLOOKUP(Table1820[[#This Row],[Usage-Based Insurance]],Table3[Usage-Based Insurance],Table3[Usage-Based Insurance Discount],,0)</f>
        <v>0.65</v>
      </c>
      <c r="AD434">
        <f>_xlfn.XLOOKUP(Table1820[[#This Row],[Yearly Miles]],Table4[Yearly Miles],Table4[Yearly Miles Factor],,0)</f>
        <v>0.93</v>
      </c>
      <c r="AE434">
        <f>_xlfn.XLOOKUP(Table1820[[#This Row],[City/Zip Code]],Table5[City/Zip Code],Table5[City/Zip Code Factor],,0)</f>
        <v>1.02</v>
      </c>
      <c r="AF434">
        <f>_xlfn.XLOOKUP(Table1820[[#This Row],[Vehicle Price]],Table6[Vehicle Price],Table6[Vehicle Price Factor])</f>
        <v>0.82</v>
      </c>
      <c r="AG434">
        <f>_xlfn.XLOOKUP(Table1820[[#This Row],[Exotic Car]],Table7[Exotic Car],Table7[Exotic Car Factor],,0)</f>
        <v>1</v>
      </c>
      <c r="AH434">
        <f>_xlfn.XLOOKUP(Table1820[[#This Row],[Difficult Parts]],Table8[Difficult Parts],Table8[Difficult Parts Factor],,0)</f>
        <v>1</v>
      </c>
      <c r="AI434">
        <f>_xlfn.XLOOKUP(Table1820[[#This Row],[High Theft Rate]],Table9[High Theft Rate],Table9[High Theft Rate Factor],,0)</f>
        <v>1</v>
      </c>
      <c r="AJ434">
        <f>_xlfn.XLOOKUP(Table1820[[#This Row],[Advanced Safety Features]],Table10[Advanced Safety Features],Table10[Advanced Safety Features Factor],,0)</f>
        <v>0.88</v>
      </c>
      <c r="AK434">
        <f>_xlfn.XLOOKUP(Table1820[[#This Row],[Deductible]],Table12[Deductible],Table12[Deductible Factor],,0)</f>
        <v>1</v>
      </c>
      <c r="AL434">
        <f>_xlfn.XLOOKUP(Table1820[[#This Row],[Coverage Limit]],Table13[Coverage Limit],Table13[Coverage Limit Factor],,0)</f>
        <v>0.72</v>
      </c>
      <c r="AM434">
        <f>IF(Table1820[[#This Row],[Good Student Discount]]="Yes",'Rate Book'!$D$126,1)</f>
        <v>1</v>
      </c>
      <c r="AN434">
        <f>IF(Table1820[[#This Row],[Good Driver Discount]]="Yes",'Rate Book'!$D$127,1)</f>
        <v>0.89</v>
      </c>
      <c r="AO434">
        <f>IF(Table1820[[#This Row],[Multi Policy Discount]]="Yes",'Rate Book'!$D$128,1)</f>
        <v>0.93</v>
      </c>
      <c r="AP434">
        <f>IF(Table1820[[#This Row],[Loyal Customer Discount]]="Yes",'Rate Book'!$D$129,1)</f>
        <v>1</v>
      </c>
      <c r="AQ434">
        <f>IF(Table1820[[#This Row],[Organization Discount]]="Yes",'Rate Book'!$D$130,1)</f>
        <v>1</v>
      </c>
      <c r="AR434" cm="1">
        <f t="array" ref="AR434">IF(Table1820[[#This Row],[Effective Date]]&gt;=RateChangeTable[Effective Date],RateChangeTable[Rate Change Factor],1)</f>
        <v>1</v>
      </c>
      <c r="AS434" s="10">
        <f>PRODUCT(Table1820[[#This Row],[Base Rate]:[Rate Change Factor]])</f>
        <v>553.57094788541042</v>
      </c>
      <c r="AT434" s="9">
        <f>Table1820[[#This Row],[System-Generated Premium]]-Table1820[[#This Row],[Expected Premium]]</f>
        <v>0</v>
      </c>
      <c r="AU434" t="str">
        <f>IF(Table1820[[#This Row],[Difference]]=0,"PASS","FAIL")</f>
        <v>PASS</v>
      </c>
      <c r="AV434" s="9">
        <f>ABS(Table1820[[#This Row],[Difference]])</f>
        <v>0</v>
      </c>
      <c r="AW434" s="9" t="s">
        <v>1136</v>
      </c>
    </row>
    <row r="435" spans="1:49" x14ac:dyDescent="0.3">
      <c r="A435" t="s">
        <v>526</v>
      </c>
      <c r="B435" s="7">
        <v>46117</v>
      </c>
      <c r="C435" t="s">
        <v>70</v>
      </c>
      <c r="D435" t="s">
        <v>1099</v>
      </c>
      <c r="E435" s="3">
        <v>5</v>
      </c>
      <c r="F435" s="3">
        <v>1</v>
      </c>
      <c r="G435" t="s">
        <v>12</v>
      </c>
      <c r="H435" t="s">
        <v>1108</v>
      </c>
      <c r="I435" t="s">
        <v>35</v>
      </c>
      <c r="J435" t="s">
        <v>53</v>
      </c>
      <c r="K435" t="s">
        <v>10</v>
      </c>
      <c r="L435" t="s">
        <v>10</v>
      </c>
      <c r="M435" t="s">
        <v>10</v>
      </c>
      <c r="N435" t="s">
        <v>10</v>
      </c>
      <c r="O435" t="str">
        <f>INDEX(CoverageTable[Deductible Applies],MATCH(Table1820[[#This Row],[Coverage]],CoverageTable[Coverage],0))</f>
        <v>No</v>
      </c>
      <c r="P435" t="str">
        <f>INDEX(CoverageTable[Coverage Limit Applies],MATCH(Table1820[[#This Row],[Coverage]],CoverageTable[Coverage],0))</f>
        <v>Yes</v>
      </c>
      <c r="Q435" t="s">
        <v>10</v>
      </c>
      <c r="R435" t="s">
        <v>79</v>
      </c>
      <c r="S435" t="s">
        <v>10</v>
      </c>
      <c r="T435" t="s">
        <v>10</v>
      </c>
      <c r="U435" t="s">
        <v>10</v>
      </c>
      <c r="V435" t="s">
        <v>57</v>
      </c>
      <c r="W435" t="s">
        <v>10</v>
      </c>
      <c r="X435" s="11">
        <v>1157.9893231533099</v>
      </c>
      <c r="Y435">
        <f>_xlfn.XLOOKUP(Table1820[[#This Row],[Coverage]],CoverageTable[Coverage],CoverageTable[Base Rate],,0)</f>
        <v>622</v>
      </c>
      <c r="Z435">
        <f>INDEX(Table16[Ageband Factor],MATCH(Table1820[[#This Row],[Ageband]],Table16[Ageband],0))</f>
        <v>1</v>
      </c>
      <c r="AA435">
        <f>VLOOKUP(Table1820[[#This Row],[Years Driving]],Table1[],2)</f>
        <v>1.07</v>
      </c>
      <c r="AB435">
        <f>_xlfn.XLOOKUP(Table1820[[#This Row],[At Fault Accidents]],Table2[At Fault Accidents],Table2[At Fault Accident Factor],,0)</f>
        <v>1.34</v>
      </c>
      <c r="AC435">
        <f>_xlfn.XLOOKUP(Table1820[[#This Row],[Usage-Based Insurance]],Table3[Usage-Based Insurance],Table3[Usage-Based Insurance Discount],,0)</f>
        <v>0.8</v>
      </c>
      <c r="AD435">
        <f>_xlfn.XLOOKUP(Table1820[[#This Row],[Yearly Miles]],Table4[Yearly Miles],Table4[Yearly Miles Factor],,0)</f>
        <v>1</v>
      </c>
      <c r="AE435">
        <f>_xlfn.XLOOKUP(Table1820[[#This Row],[City/Zip Code]],Table5[City/Zip Code],Table5[City/Zip Code Factor],,0)</f>
        <v>1.1200000000000001</v>
      </c>
      <c r="AF435">
        <f>_xlfn.XLOOKUP(Table1820[[#This Row],[Vehicle Price]],Table6[Vehicle Price],Table6[Vehicle Price Factor])</f>
        <v>2.02</v>
      </c>
      <c r="AG435">
        <f>_xlfn.XLOOKUP(Table1820[[#This Row],[Exotic Car]],Table7[Exotic Car],Table7[Exotic Car Factor],,0)</f>
        <v>1</v>
      </c>
      <c r="AH435">
        <f>_xlfn.XLOOKUP(Table1820[[#This Row],[Difficult Parts]],Table8[Difficult Parts],Table8[Difficult Parts Factor],,0)</f>
        <v>1</v>
      </c>
      <c r="AI435">
        <f>_xlfn.XLOOKUP(Table1820[[#This Row],[High Theft Rate]],Table9[High Theft Rate],Table9[High Theft Rate Factor],,0)</f>
        <v>1</v>
      </c>
      <c r="AJ435">
        <f>_xlfn.XLOOKUP(Table1820[[#This Row],[Advanced Safety Features]],Table10[Advanced Safety Features],Table10[Advanced Safety Features Factor],,0)</f>
        <v>1</v>
      </c>
      <c r="AK435">
        <f>_xlfn.XLOOKUP(Table1820[[#This Row],[Deductible]],Table12[Deductible],Table12[Deductible Factor],,0)</f>
        <v>1</v>
      </c>
      <c r="AL435">
        <f>_xlfn.XLOOKUP(Table1820[[#This Row],[Coverage Limit]],Table13[Coverage Limit],Table13[Coverage Limit Factor],,0)</f>
        <v>0.72</v>
      </c>
      <c r="AM435">
        <f>IF(Table1820[[#This Row],[Good Student Discount]]="Yes",'Rate Book'!$D$126,1)</f>
        <v>1</v>
      </c>
      <c r="AN435">
        <f>IF(Table1820[[#This Row],[Good Driver Discount]]="Yes",'Rate Book'!$D$127,1)</f>
        <v>1</v>
      </c>
      <c r="AO435">
        <f>IF(Table1820[[#This Row],[Multi Policy Discount]]="Yes",'Rate Book'!$D$128,1)</f>
        <v>1</v>
      </c>
      <c r="AP435">
        <f>IF(Table1820[[#This Row],[Loyal Customer Discount]]="Yes",'Rate Book'!$D$129,1)</f>
        <v>0.94</v>
      </c>
      <c r="AQ435">
        <f>IF(Table1820[[#This Row],[Organization Discount]]="Yes",'Rate Book'!$D$130,1)</f>
        <v>1</v>
      </c>
      <c r="AR435" cm="1">
        <f t="array" ref="AR435">IF(Table1820[[#This Row],[Effective Date]]&gt;=RateChangeTable[Effective Date],RateChangeTable[Rate Change Factor],1)</f>
        <v>1.06</v>
      </c>
      <c r="AS435" s="10">
        <f>PRODUCT(Table1820[[#This Row],[Base Rate]:[Rate Change Factor]])</f>
        <v>1157.9893231533099</v>
      </c>
      <c r="AT435" s="9">
        <f>Table1820[[#This Row],[System-Generated Premium]]-Table1820[[#This Row],[Expected Premium]]</f>
        <v>0</v>
      </c>
      <c r="AU435" t="str">
        <f>IF(Table1820[[#This Row],[Difference]]=0,"PASS","FAIL")</f>
        <v>PASS</v>
      </c>
      <c r="AV435" s="9">
        <f>ABS(Table1820[[#This Row],[Difference]])</f>
        <v>0</v>
      </c>
      <c r="AW435" s="9" t="s">
        <v>1136</v>
      </c>
    </row>
    <row r="436" spans="1:49" x14ac:dyDescent="0.3">
      <c r="A436" t="s">
        <v>527</v>
      </c>
      <c r="B436" s="7">
        <v>45889</v>
      </c>
      <c r="C436" t="s">
        <v>71</v>
      </c>
      <c r="D436" t="s">
        <v>1101</v>
      </c>
      <c r="E436" s="3">
        <v>5</v>
      </c>
      <c r="F436" s="3">
        <v>0</v>
      </c>
      <c r="G436" t="s">
        <v>10</v>
      </c>
      <c r="H436" t="s">
        <v>1110</v>
      </c>
      <c r="I436" t="s">
        <v>25</v>
      </c>
      <c r="J436" t="s">
        <v>48</v>
      </c>
      <c r="K436" t="s">
        <v>10</v>
      </c>
      <c r="L436" t="s">
        <v>57</v>
      </c>
      <c r="M436" t="s">
        <v>10</v>
      </c>
      <c r="N436" t="s">
        <v>57</v>
      </c>
      <c r="O436" t="str">
        <f>INDEX(CoverageTable[Deductible Applies],MATCH(Table1820[[#This Row],[Coverage]],CoverageTable[Coverage],0))</f>
        <v>Yes</v>
      </c>
      <c r="P436" t="str">
        <f>INDEX(CoverageTable[Coverage Limit Applies],MATCH(Table1820[[#This Row],[Coverage]],CoverageTable[Coverage],0))</f>
        <v>No</v>
      </c>
      <c r="Q436" t="s">
        <v>79</v>
      </c>
      <c r="R436" t="s">
        <v>10</v>
      </c>
      <c r="S436" t="s">
        <v>10</v>
      </c>
      <c r="T436" t="s">
        <v>57</v>
      </c>
      <c r="U436" t="s">
        <v>10</v>
      </c>
      <c r="V436" t="s">
        <v>10</v>
      </c>
      <c r="W436" t="s">
        <v>10</v>
      </c>
      <c r="X436" s="11">
        <v>538.49351163801725</v>
      </c>
      <c r="Y436">
        <f>_xlfn.XLOOKUP(Table1820[[#This Row],[Coverage]],CoverageTable[Coverage],CoverageTable[Base Rate],,0)</f>
        <v>453</v>
      </c>
      <c r="Z436">
        <f>INDEX(Table16[Ageband Factor],MATCH(Table1820[[#This Row],[Ageband]],Table16[Ageband],0))</f>
        <v>1.1200000000000001</v>
      </c>
      <c r="AA436">
        <f>VLOOKUP(Table1820[[#This Row],[Years Driving]],Table1[],2)</f>
        <v>1.07</v>
      </c>
      <c r="AB436">
        <f>_xlfn.XLOOKUP(Table1820[[#This Row],[At Fault Accidents]],Table2[At Fault Accidents],Table2[At Fault Accident Factor],,0)</f>
        <v>1</v>
      </c>
      <c r="AC436">
        <f>_xlfn.XLOOKUP(Table1820[[#This Row],[Usage-Based Insurance]],Table3[Usage-Based Insurance],Table3[Usage-Based Insurance Discount],,0)</f>
        <v>1</v>
      </c>
      <c r="AD436">
        <f>_xlfn.XLOOKUP(Table1820[[#This Row],[Yearly Miles]],Table4[Yearly Miles],Table4[Yearly Miles Factor],,0)</f>
        <v>1.31</v>
      </c>
      <c r="AE436">
        <f>_xlfn.XLOOKUP(Table1820[[#This Row],[City/Zip Code]],Table5[City/Zip Code],Table5[City/Zip Code Factor],,0)</f>
        <v>1.1599999999999999</v>
      </c>
      <c r="AF436">
        <f>_xlfn.XLOOKUP(Table1820[[#This Row],[Vehicle Price]],Table6[Vehicle Price],Table6[Vehicle Price Factor])</f>
        <v>0.82</v>
      </c>
      <c r="AG436">
        <f>_xlfn.XLOOKUP(Table1820[[#This Row],[Exotic Car]],Table7[Exotic Car],Table7[Exotic Car Factor],,0)</f>
        <v>1</v>
      </c>
      <c r="AH436">
        <f>_xlfn.XLOOKUP(Table1820[[#This Row],[Difficult Parts]],Table8[Difficult Parts],Table8[Difficult Parts Factor],,0)</f>
        <v>1.21</v>
      </c>
      <c r="AI436">
        <f>_xlfn.XLOOKUP(Table1820[[#This Row],[High Theft Rate]],Table9[High Theft Rate],Table9[High Theft Rate Factor],,0)</f>
        <v>1</v>
      </c>
      <c r="AJ436">
        <f>_xlfn.XLOOKUP(Table1820[[#This Row],[Advanced Safety Features]],Table10[Advanced Safety Features],Table10[Advanced Safety Features Factor],,0)</f>
        <v>0.88</v>
      </c>
      <c r="AK436">
        <f>_xlfn.XLOOKUP(Table1820[[#This Row],[Deductible]],Table12[Deductible],Table12[Deductible Factor],,0)</f>
        <v>0.84</v>
      </c>
      <c r="AL436">
        <f>_xlfn.XLOOKUP(Table1820[[#This Row],[Coverage Limit]],Table13[Coverage Limit],Table13[Coverage Limit Factor],,0)</f>
        <v>1</v>
      </c>
      <c r="AM436">
        <f>IF(Table1820[[#This Row],[Good Student Discount]]="Yes",'Rate Book'!$D$126,1)</f>
        <v>1</v>
      </c>
      <c r="AN436">
        <f>IF(Table1820[[#This Row],[Good Driver Discount]]="Yes",'Rate Book'!$D$127,1)</f>
        <v>0.89</v>
      </c>
      <c r="AO436">
        <f>IF(Table1820[[#This Row],[Multi Policy Discount]]="Yes",'Rate Book'!$D$128,1)</f>
        <v>1</v>
      </c>
      <c r="AP436">
        <f>IF(Table1820[[#This Row],[Loyal Customer Discount]]="Yes",'Rate Book'!$D$129,1)</f>
        <v>1</v>
      </c>
      <c r="AQ436">
        <f>IF(Table1820[[#This Row],[Organization Discount]]="Yes",'Rate Book'!$D$130,1)</f>
        <v>1</v>
      </c>
      <c r="AR436" cm="1">
        <f t="array" ref="AR436">IF(Table1820[[#This Row],[Effective Date]]&gt;=RateChangeTable[Effective Date],RateChangeTable[Rate Change Factor],1)</f>
        <v>1</v>
      </c>
      <c r="AS436" s="10">
        <f>PRODUCT(Table1820[[#This Row],[Base Rate]:[Rate Change Factor]])</f>
        <v>538.49351163801725</v>
      </c>
      <c r="AT436" s="9">
        <f>Table1820[[#This Row],[System-Generated Premium]]-Table1820[[#This Row],[Expected Premium]]</f>
        <v>0</v>
      </c>
      <c r="AU436" t="str">
        <f>IF(Table1820[[#This Row],[Difference]]=0,"PASS","FAIL")</f>
        <v>PASS</v>
      </c>
      <c r="AV436" s="9">
        <f>ABS(Table1820[[#This Row],[Difference]])</f>
        <v>0</v>
      </c>
      <c r="AW436" s="9" t="s">
        <v>1136</v>
      </c>
    </row>
    <row r="437" spans="1:49" x14ac:dyDescent="0.3">
      <c r="A437" t="s">
        <v>528</v>
      </c>
      <c r="B437" s="7">
        <v>45913</v>
      </c>
      <c r="C437" t="s">
        <v>71</v>
      </c>
      <c r="D437" t="s">
        <v>1100</v>
      </c>
      <c r="E437" s="3">
        <v>6</v>
      </c>
      <c r="F437" s="3">
        <v>1</v>
      </c>
      <c r="G437" t="s">
        <v>10</v>
      </c>
      <c r="H437" t="s">
        <v>1106</v>
      </c>
      <c r="I437" t="s">
        <v>35</v>
      </c>
      <c r="J437" t="s">
        <v>54</v>
      </c>
      <c r="K437" t="s">
        <v>10</v>
      </c>
      <c r="L437" t="s">
        <v>10</v>
      </c>
      <c r="M437" t="s">
        <v>10</v>
      </c>
      <c r="N437" t="s">
        <v>57</v>
      </c>
      <c r="O437" t="str">
        <f>INDEX(CoverageTable[Deductible Applies],MATCH(Table1820[[#This Row],[Coverage]],CoverageTable[Coverage],0))</f>
        <v>Yes</v>
      </c>
      <c r="P437" t="str">
        <f>INDEX(CoverageTable[Coverage Limit Applies],MATCH(Table1820[[#This Row],[Coverage]],CoverageTable[Coverage],0))</f>
        <v>No</v>
      </c>
      <c r="Q437" t="s">
        <v>78</v>
      </c>
      <c r="R437" t="s">
        <v>10</v>
      </c>
      <c r="S437" t="s">
        <v>10</v>
      </c>
      <c r="T437" t="s">
        <v>57</v>
      </c>
      <c r="U437" t="s">
        <v>10</v>
      </c>
      <c r="V437" t="s">
        <v>10</v>
      </c>
      <c r="W437" t="s">
        <v>10</v>
      </c>
      <c r="X437" s="11">
        <v>1273.7870635869015</v>
      </c>
      <c r="Y437">
        <f>_xlfn.XLOOKUP(Table1820[[#This Row],[Coverage]],CoverageTable[Coverage],CoverageTable[Base Rate],,0)</f>
        <v>453</v>
      </c>
      <c r="Z437">
        <f>INDEX(Table16[Ageband Factor],MATCH(Table1820[[#This Row],[Ageband]],Table16[Ageband],0))</f>
        <v>1.07</v>
      </c>
      <c r="AA437">
        <f>VLOOKUP(Table1820[[#This Row],[Years Driving]],Table1[],2)</f>
        <v>1</v>
      </c>
      <c r="AB437">
        <f>_xlfn.XLOOKUP(Table1820[[#This Row],[At Fault Accidents]],Table2[At Fault Accidents],Table2[At Fault Accident Factor],,0)</f>
        <v>1.34</v>
      </c>
      <c r="AC437">
        <f>_xlfn.XLOOKUP(Table1820[[#This Row],[Usage-Based Insurance]],Table3[Usage-Based Insurance],Table3[Usage-Based Insurance Discount],,0)</f>
        <v>1</v>
      </c>
      <c r="AD437">
        <f>_xlfn.XLOOKUP(Table1820[[#This Row],[Yearly Miles]],Table4[Yearly Miles],Table4[Yearly Miles Factor],,0)</f>
        <v>0.82</v>
      </c>
      <c r="AE437">
        <f>_xlfn.XLOOKUP(Table1820[[#This Row],[City/Zip Code]],Table5[City/Zip Code],Table5[City/Zip Code Factor],,0)</f>
        <v>1.1200000000000001</v>
      </c>
      <c r="AF437">
        <f>_xlfn.XLOOKUP(Table1820[[#This Row],[Vehicle Price]],Table6[Vehicle Price],Table6[Vehicle Price Factor])</f>
        <v>2.87</v>
      </c>
      <c r="AG437">
        <f>_xlfn.XLOOKUP(Table1820[[#This Row],[Exotic Car]],Table7[Exotic Car],Table7[Exotic Car Factor],,0)</f>
        <v>1</v>
      </c>
      <c r="AH437">
        <f>_xlfn.XLOOKUP(Table1820[[#This Row],[Difficult Parts]],Table8[Difficult Parts],Table8[Difficult Parts Factor],,0)</f>
        <v>1</v>
      </c>
      <c r="AI437">
        <f>_xlfn.XLOOKUP(Table1820[[#This Row],[High Theft Rate]],Table9[High Theft Rate],Table9[High Theft Rate Factor],,0)</f>
        <v>1</v>
      </c>
      <c r="AJ437">
        <f>_xlfn.XLOOKUP(Table1820[[#This Row],[Advanced Safety Features]],Table10[Advanced Safety Features],Table10[Advanced Safety Features Factor],,0)</f>
        <v>0.88</v>
      </c>
      <c r="AK437">
        <f>_xlfn.XLOOKUP(Table1820[[#This Row],[Deductible]],Table12[Deductible],Table12[Deductible Factor],,0)</f>
        <v>0.95</v>
      </c>
      <c r="AL437">
        <f>_xlfn.XLOOKUP(Table1820[[#This Row],[Coverage Limit]],Table13[Coverage Limit],Table13[Coverage Limit Factor],,0)</f>
        <v>1</v>
      </c>
      <c r="AM437">
        <f>IF(Table1820[[#This Row],[Good Student Discount]]="Yes",'Rate Book'!$D$126,1)</f>
        <v>1</v>
      </c>
      <c r="AN437">
        <f>IF(Table1820[[#This Row],[Good Driver Discount]]="Yes",'Rate Book'!$D$127,1)</f>
        <v>0.89</v>
      </c>
      <c r="AO437">
        <f>IF(Table1820[[#This Row],[Multi Policy Discount]]="Yes",'Rate Book'!$D$128,1)</f>
        <v>1</v>
      </c>
      <c r="AP437">
        <f>IF(Table1820[[#This Row],[Loyal Customer Discount]]="Yes",'Rate Book'!$D$129,1)</f>
        <v>1</v>
      </c>
      <c r="AQ437">
        <f>IF(Table1820[[#This Row],[Organization Discount]]="Yes",'Rate Book'!$D$130,1)</f>
        <v>1</v>
      </c>
      <c r="AR437" cm="1">
        <f t="array" ref="AR437">IF(Table1820[[#This Row],[Effective Date]]&gt;=RateChangeTable[Effective Date],RateChangeTable[Rate Change Factor],1)</f>
        <v>1</v>
      </c>
      <c r="AS437" s="10">
        <f>PRODUCT(Table1820[[#This Row],[Base Rate]:[Rate Change Factor]])</f>
        <v>1273.7870635869015</v>
      </c>
      <c r="AT437" s="9">
        <f>Table1820[[#This Row],[System-Generated Premium]]-Table1820[[#This Row],[Expected Premium]]</f>
        <v>0</v>
      </c>
      <c r="AU437" t="str">
        <f>IF(Table1820[[#This Row],[Difference]]=0,"PASS","FAIL")</f>
        <v>PASS</v>
      </c>
      <c r="AV437" s="9">
        <f>ABS(Table1820[[#This Row],[Difference]])</f>
        <v>0</v>
      </c>
      <c r="AW437" s="9" t="s">
        <v>1136</v>
      </c>
    </row>
    <row r="438" spans="1:49" x14ac:dyDescent="0.3">
      <c r="A438" t="s">
        <v>529</v>
      </c>
      <c r="B438" s="7">
        <v>45968</v>
      </c>
      <c r="C438" t="s">
        <v>70</v>
      </c>
      <c r="D438" t="s">
        <v>1099</v>
      </c>
      <c r="E438" s="3">
        <v>2</v>
      </c>
      <c r="F438" s="3">
        <v>1</v>
      </c>
      <c r="G438" t="s">
        <v>13</v>
      </c>
      <c r="H438" t="s">
        <v>1109</v>
      </c>
      <c r="I438" t="s">
        <v>28</v>
      </c>
      <c r="J438" t="s">
        <v>54</v>
      </c>
      <c r="K438" t="s">
        <v>10</v>
      </c>
      <c r="L438" t="s">
        <v>10</v>
      </c>
      <c r="M438" t="s">
        <v>57</v>
      </c>
      <c r="N438" t="s">
        <v>57</v>
      </c>
      <c r="O438" t="str">
        <f>INDEX(CoverageTable[Deductible Applies],MATCH(Table1820[[#This Row],[Coverage]],CoverageTable[Coverage],0))</f>
        <v>No</v>
      </c>
      <c r="P438" t="str">
        <f>INDEX(CoverageTable[Coverage Limit Applies],MATCH(Table1820[[#This Row],[Coverage]],CoverageTable[Coverage],0))</f>
        <v>Yes</v>
      </c>
      <c r="Q438" t="s">
        <v>10</v>
      </c>
      <c r="R438" t="s">
        <v>79</v>
      </c>
      <c r="S438" t="s">
        <v>10</v>
      </c>
      <c r="T438" t="s">
        <v>10</v>
      </c>
      <c r="U438" t="s">
        <v>10</v>
      </c>
      <c r="V438" t="s">
        <v>10</v>
      </c>
      <c r="W438" t="s">
        <v>57</v>
      </c>
      <c r="X438" s="11">
        <v>1307.54</v>
      </c>
      <c r="Y438">
        <f>_xlfn.XLOOKUP(Table1820[[#This Row],[Coverage]],CoverageTable[Coverage],CoverageTable[Base Rate],,0)</f>
        <v>622</v>
      </c>
      <c r="Z438">
        <f>INDEX(Table16[Ageband Factor],MATCH(Table1820[[#This Row],[Ageband]],Table16[Ageband],0))</f>
        <v>1</v>
      </c>
      <c r="AA438">
        <f>VLOOKUP(Table1820[[#This Row],[Years Driving]],Table1[],2)</f>
        <v>1.41</v>
      </c>
      <c r="AB438">
        <f>_xlfn.XLOOKUP(Table1820[[#This Row],[At Fault Accidents]],Table2[At Fault Accidents],Table2[At Fault Accident Factor],,0)</f>
        <v>1.34</v>
      </c>
      <c r="AC438">
        <f>_xlfn.XLOOKUP(Table1820[[#This Row],[Usage-Based Insurance]],Table3[Usage-Based Insurance],Table3[Usage-Based Insurance Discount],,0)</f>
        <v>0.65</v>
      </c>
      <c r="AD438">
        <f>_xlfn.XLOOKUP(Table1820[[#This Row],[Yearly Miles]],Table4[Yearly Miles],Table4[Yearly Miles Factor],,0)</f>
        <v>1.18</v>
      </c>
      <c r="AE438">
        <f>_xlfn.XLOOKUP(Table1820[[#This Row],[City/Zip Code]],Table5[City/Zip Code],Table5[City/Zip Code Factor],,0)</f>
        <v>0.95</v>
      </c>
      <c r="AF438">
        <f>_xlfn.XLOOKUP(Table1820[[#This Row],[Vehicle Price]],Table6[Vehicle Price],Table6[Vehicle Price Factor])</f>
        <v>2.87</v>
      </c>
      <c r="AG438">
        <f>_xlfn.XLOOKUP(Table1820[[#This Row],[Exotic Car]],Table7[Exotic Car],Table7[Exotic Car Factor],,0)</f>
        <v>1</v>
      </c>
      <c r="AH438">
        <f>_xlfn.XLOOKUP(Table1820[[#This Row],[Difficult Parts]],Table8[Difficult Parts],Table8[Difficult Parts Factor],,0)</f>
        <v>1</v>
      </c>
      <c r="AI438">
        <f>_xlfn.XLOOKUP(Table1820[[#This Row],[High Theft Rate]],Table9[High Theft Rate],Table9[High Theft Rate Factor],,0)</f>
        <v>1.1599999999999999</v>
      </c>
      <c r="AJ438">
        <f>_xlfn.XLOOKUP(Table1820[[#This Row],[Advanced Safety Features]],Table10[Advanced Safety Features],Table10[Advanced Safety Features Factor],,0)</f>
        <v>0.88</v>
      </c>
      <c r="AK438">
        <f>_xlfn.XLOOKUP(Table1820[[#This Row],[Deductible]],Table12[Deductible],Table12[Deductible Factor],,0)</f>
        <v>1</v>
      </c>
      <c r="AL438">
        <f>_xlfn.XLOOKUP(Table1820[[#This Row],[Coverage Limit]],Table13[Coverage Limit],Table13[Coverage Limit Factor],,0)</f>
        <v>0.72</v>
      </c>
      <c r="AM438">
        <f>IF(Table1820[[#This Row],[Good Student Discount]]="Yes",'Rate Book'!$D$126,1)</f>
        <v>1</v>
      </c>
      <c r="AN438">
        <f>IF(Table1820[[#This Row],[Good Driver Discount]]="Yes",'Rate Book'!$D$127,1)</f>
        <v>1</v>
      </c>
      <c r="AO438">
        <f>IF(Table1820[[#This Row],[Multi Policy Discount]]="Yes",'Rate Book'!$D$128,1)</f>
        <v>1</v>
      </c>
      <c r="AP438">
        <f>IF(Table1820[[#This Row],[Loyal Customer Discount]]="Yes",'Rate Book'!$D$129,1)</f>
        <v>1</v>
      </c>
      <c r="AQ438">
        <f>IF(Table1820[[#This Row],[Organization Discount]]="Yes",'Rate Book'!$D$130,1)</f>
        <v>0.97</v>
      </c>
      <c r="AR438" cm="1">
        <f t="array" ref="AR438">IF(Table1820[[#This Row],[Effective Date]]&gt;=RateChangeTable[Effective Date],RateChangeTable[Rate Change Factor],1)</f>
        <v>1</v>
      </c>
      <c r="AS438" s="10">
        <f>PRODUCT(Table1820[[#This Row],[Base Rate]:[Rate Change Factor]])</f>
        <v>1752.1046965449952</v>
      </c>
      <c r="AT438" s="9">
        <f>Table1820[[#This Row],[System-Generated Premium]]-Table1820[[#This Row],[Expected Premium]]</f>
        <v>-444.56469654499529</v>
      </c>
      <c r="AU438" t="str">
        <f>IF(Table1820[[#This Row],[Difference]]=0,"PASS","FAIL")</f>
        <v>FAIL</v>
      </c>
      <c r="AV438" s="9">
        <f>ABS(Table1820[[#This Row],[Difference]])</f>
        <v>444.56469654499529</v>
      </c>
      <c r="AW438" s="9" t="s">
        <v>1142</v>
      </c>
    </row>
    <row r="439" spans="1:49" x14ac:dyDescent="0.3">
      <c r="A439" t="s">
        <v>530</v>
      </c>
      <c r="B439" s="7">
        <v>46005</v>
      </c>
      <c r="C439" t="s">
        <v>71</v>
      </c>
      <c r="D439" t="s">
        <v>1097</v>
      </c>
      <c r="E439" s="3">
        <v>1</v>
      </c>
      <c r="F439" s="3">
        <v>0</v>
      </c>
      <c r="G439" t="s">
        <v>10</v>
      </c>
      <c r="H439" t="s">
        <v>1107</v>
      </c>
      <c r="I439" t="s">
        <v>26</v>
      </c>
      <c r="J439" t="s">
        <v>51</v>
      </c>
      <c r="K439" t="s">
        <v>10</v>
      </c>
      <c r="L439" t="s">
        <v>57</v>
      </c>
      <c r="M439" t="s">
        <v>10</v>
      </c>
      <c r="N439" t="s">
        <v>10</v>
      </c>
      <c r="O439" t="str">
        <f>INDEX(CoverageTable[Deductible Applies],MATCH(Table1820[[#This Row],[Coverage]],CoverageTable[Coverage],0))</f>
        <v>Yes</v>
      </c>
      <c r="P439" t="str">
        <f>INDEX(CoverageTable[Coverage Limit Applies],MATCH(Table1820[[#This Row],[Coverage]],CoverageTable[Coverage],0))</f>
        <v>No</v>
      </c>
      <c r="Q439" t="s">
        <v>79</v>
      </c>
      <c r="R439" t="s">
        <v>10</v>
      </c>
      <c r="S439" t="s">
        <v>10</v>
      </c>
      <c r="T439" t="s">
        <v>10</v>
      </c>
      <c r="U439" t="s">
        <v>10</v>
      </c>
      <c r="V439" t="s">
        <v>10</v>
      </c>
      <c r="W439" t="s">
        <v>10</v>
      </c>
      <c r="X439" s="11">
        <v>1364.4932644417536</v>
      </c>
      <c r="Y439">
        <f>_xlfn.XLOOKUP(Table1820[[#This Row],[Coverage]],CoverageTable[Coverage],CoverageTable[Base Rate],,0)</f>
        <v>453</v>
      </c>
      <c r="Z439">
        <f>INDEX(Table16[Ageband Factor],MATCH(Table1820[[#This Row],[Ageband]],Table16[Ageband],0))</f>
        <v>1.32</v>
      </c>
      <c r="AA439">
        <f>VLOOKUP(Table1820[[#This Row],[Years Driving]],Table1[],2)</f>
        <v>1.64</v>
      </c>
      <c r="AB439">
        <f>_xlfn.XLOOKUP(Table1820[[#This Row],[At Fault Accidents]],Table2[At Fault Accidents],Table2[At Fault Accident Factor],,0)</f>
        <v>1</v>
      </c>
      <c r="AC439">
        <f>_xlfn.XLOOKUP(Table1820[[#This Row],[Usage-Based Insurance]],Table3[Usage-Based Insurance],Table3[Usage-Based Insurance Discount],,0)</f>
        <v>1</v>
      </c>
      <c r="AD439">
        <f>_xlfn.XLOOKUP(Table1820[[#This Row],[Yearly Miles]],Table4[Yearly Miles],Table4[Yearly Miles Factor],,0)</f>
        <v>0.93</v>
      </c>
      <c r="AE439">
        <f>_xlfn.XLOOKUP(Table1820[[#This Row],[City/Zip Code]],Table5[City/Zip Code],Table5[City/Zip Code Factor],,0)</f>
        <v>1.1499999999999999</v>
      </c>
      <c r="AF439">
        <f>_xlfn.XLOOKUP(Table1820[[#This Row],[Vehicle Price]],Table6[Vehicle Price],Table6[Vehicle Price Factor])</f>
        <v>1.28</v>
      </c>
      <c r="AG439">
        <f>_xlfn.XLOOKUP(Table1820[[#This Row],[Exotic Car]],Table7[Exotic Car],Table7[Exotic Car Factor],,0)</f>
        <v>1</v>
      </c>
      <c r="AH439">
        <f>_xlfn.XLOOKUP(Table1820[[#This Row],[Difficult Parts]],Table8[Difficult Parts],Table8[Difficult Parts Factor],,0)</f>
        <v>1.21</v>
      </c>
      <c r="AI439">
        <f>_xlfn.XLOOKUP(Table1820[[#This Row],[High Theft Rate]],Table9[High Theft Rate],Table9[High Theft Rate Factor],,0)</f>
        <v>1</v>
      </c>
      <c r="AJ439">
        <f>_xlfn.XLOOKUP(Table1820[[#This Row],[Advanced Safety Features]],Table10[Advanced Safety Features],Table10[Advanced Safety Features Factor],,0)</f>
        <v>1</v>
      </c>
      <c r="AK439">
        <f>_xlfn.XLOOKUP(Table1820[[#This Row],[Deductible]],Table12[Deductible],Table12[Deductible Factor],,0)</f>
        <v>0.84</v>
      </c>
      <c r="AL439">
        <f>_xlfn.XLOOKUP(Table1820[[#This Row],[Coverage Limit]],Table13[Coverage Limit],Table13[Coverage Limit Factor],,0)</f>
        <v>1</v>
      </c>
      <c r="AM439">
        <f>IF(Table1820[[#This Row],[Good Student Discount]]="Yes",'Rate Book'!$D$126,1)</f>
        <v>1</v>
      </c>
      <c r="AN439">
        <f>IF(Table1820[[#This Row],[Good Driver Discount]]="Yes",'Rate Book'!$D$127,1)</f>
        <v>1</v>
      </c>
      <c r="AO439">
        <f>IF(Table1820[[#This Row],[Multi Policy Discount]]="Yes",'Rate Book'!$D$128,1)</f>
        <v>1</v>
      </c>
      <c r="AP439">
        <f>IF(Table1820[[#This Row],[Loyal Customer Discount]]="Yes",'Rate Book'!$D$129,1)</f>
        <v>1</v>
      </c>
      <c r="AQ439">
        <f>IF(Table1820[[#This Row],[Organization Discount]]="Yes",'Rate Book'!$D$130,1)</f>
        <v>1</v>
      </c>
      <c r="AR439" cm="1">
        <f t="array" ref="AR439">IF(Table1820[[#This Row],[Effective Date]]&gt;=RateChangeTable[Effective Date],RateChangeTable[Rate Change Factor],1)</f>
        <v>1</v>
      </c>
      <c r="AS439" s="10">
        <f>PRODUCT(Table1820[[#This Row],[Base Rate]:[Rate Change Factor]])</f>
        <v>1364.4932644417536</v>
      </c>
      <c r="AT439" s="9">
        <f>Table1820[[#This Row],[System-Generated Premium]]-Table1820[[#This Row],[Expected Premium]]</f>
        <v>0</v>
      </c>
      <c r="AU439" t="str">
        <f>IF(Table1820[[#This Row],[Difference]]=0,"PASS","FAIL")</f>
        <v>PASS</v>
      </c>
      <c r="AV439" s="9">
        <f>ABS(Table1820[[#This Row],[Difference]])</f>
        <v>0</v>
      </c>
      <c r="AW439" s="9" t="s">
        <v>1136</v>
      </c>
    </row>
    <row r="440" spans="1:49" x14ac:dyDescent="0.3">
      <c r="A440" t="s">
        <v>531</v>
      </c>
      <c r="B440" s="7">
        <v>45796</v>
      </c>
      <c r="C440" t="s">
        <v>70</v>
      </c>
      <c r="D440" t="s">
        <v>1100</v>
      </c>
      <c r="E440" s="3">
        <v>1</v>
      </c>
      <c r="F440" s="3">
        <v>0</v>
      </c>
      <c r="G440" t="s">
        <v>10</v>
      </c>
      <c r="H440" t="s">
        <v>1109</v>
      </c>
      <c r="I440" t="s">
        <v>42</v>
      </c>
      <c r="J440" t="s">
        <v>49</v>
      </c>
      <c r="K440" t="s">
        <v>10</v>
      </c>
      <c r="L440" t="s">
        <v>10</v>
      </c>
      <c r="M440" t="s">
        <v>10</v>
      </c>
      <c r="N440" t="s">
        <v>57</v>
      </c>
      <c r="O440" t="str">
        <f>INDEX(CoverageTable[Deductible Applies],MATCH(Table1820[[#This Row],[Coverage]],CoverageTable[Coverage],0))</f>
        <v>No</v>
      </c>
      <c r="P440" t="str">
        <f>INDEX(CoverageTable[Coverage Limit Applies],MATCH(Table1820[[#This Row],[Coverage]],CoverageTable[Coverage],0))</f>
        <v>Yes</v>
      </c>
      <c r="Q440" t="s">
        <v>10</v>
      </c>
      <c r="R440" t="s">
        <v>79</v>
      </c>
      <c r="S440" t="s">
        <v>10</v>
      </c>
      <c r="T440" t="s">
        <v>57</v>
      </c>
      <c r="U440" t="s">
        <v>10</v>
      </c>
      <c r="V440" t="s">
        <v>10</v>
      </c>
      <c r="W440" t="s">
        <v>10</v>
      </c>
      <c r="X440" s="11">
        <v>852.4370108933673</v>
      </c>
      <c r="Y440">
        <f>_xlfn.XLOOKUP(Table1820[[#This Row],[Coverage]],CoverageTable[Coverage],CoverageTable[Base Rate],,0)</f>
        <v>622</v>
      </c>
      <c r="Z440">
        <f>INDEX(Table16[Ageband Factor],MATCH(Table1820[[#This Row],[Ageband]],Table16[Ageband],0))</f>
        <v>1.07</v>
      </c>
      <c r="AA440">
        <f>VLOOKUP(Table1820[[#This Row],[Years Driving]],Table1[],2)</f>
        <v>1.64</v>
      </c>
      <c r="AB440">
        <f>_xlfn.XLOOKUP(Table1820[[#This Row],[At Fault Accidents]],Table2[At Fault Accidents],Table2[At Fault Accident Factor],,0)</f>
        <v>1</v>
      </c>
      <c r="AC440">
        <f>_xlfn.XLOOKUP(Table1820[[#This Row],[Usage-Based Insurance]],Table3[Usage-Based Insurance],Table3[Usage-Based Insurance Discount],,0)</f>
        <v>1</v>
      </c>
      <c r="AD440">
        <f>_xlfn.XLOOKUP(Table1820[[#This Row],[Yearly Miles]],Table4[Yearly Miles],Table4[Yearly Miles Factor],,0)</f>
        <v>1.18</v>
      </c>
      <c r="AE440">
        <f>_xlfn.XLOOKUP(Table1820[[#This Row],[City/Zip Code]],Table5[City/Zip Code],Table5[City/Zip Code Factor],,0)</f>
        <v>1.21</v>
      </c>
      <c r="AF440">
        <f>_xlfn.XLOOKUP(Table1820[[#This Row],[Vehicle Price]],Table6[Vehicle Price],Table6[Vehicle Price Factor])</f>
        <v>0.97</v>
      </c>
      <c r="AG440">
        <f>_xlfn.XLOOKUP(Table1820[[#This Row],[Exotic Car]],Table7[Exotic Car],Table7[Exotic Car Factor],,0)</f>
        <v>1</v>
      </c>
      <c r="AH440">
        <f>_xlfn.XLOOKUP(Table1820[[#This Row],[Difficult Parts]],Table8[Difficult Parts],Table8[Difficult Parts Factor],,0)</f>
        <v>1</v>
      </c>
      <c r="AI440">
        <f>_xlfn.XLOOKUP(Table1820[[#This Row],[High Theft Rate]],Table9[High Theft Rate],Table9[High Theft Rate Factor],,0)</f>
        <v>1</v>
      </c>
      <c r="AJ440">
        <f>_xlfn.XLOOKUP(Table1820[[#This Row],[Advanced Safety Features]],Table10[Advanced Safety Features],Table10[Advanced Safety Features Factor],,0)</f>
        <v>0.88</v>
      </c>
      <c r="AK440">
        <f>_xlfn.XLOOKUP(Table1820[[#This Row],[Deductible]],Table12[Deductible],Table12[Deductible Factor],,0)</f>
        <v>1</v>
      </c>
      <c r="AL440">
        <f>_xlfn.XLOOKUP(Table1820[[#This Row],[Coverage Limit]],Table13[Coverage Limit],Table13[Coverage Limit Factor],,0)</f>
        <v>0.72</v>
      </c>
      <c r="AM440">
        <f>IF(Table1820[[#This Row],[Good Student Discount]]="Yes",'Rate Book'!$D$126,1)</f>
        <v>1</v>
      </c>
      <c r="AN440">
        <f>IF(Table1820[[#This Row],[Good Driver Discount]]="Yes",'Rate Book'!$D$127,1)</f>
        <v>0.89</v>
      </c>
      <c r="AO440">
        <f>IF(Table1820[[#This Row],[Multi Policy Discount]]="Yes",'Rate Book'!$D$128,1)</f>
        <v>1</v>
      </c>
      <c r="AP440">
        <f>IF(Table1820[[#This Row],[Loyal Customer Discount]]="Yes",'Rate Book'!$D$129,1)</f>
        <v>1</v>
      </c>
      <c r="AQ440">
        <f>IF(Table1820[[#This Row],[Organization Discount]]="Yes",'Rate Book'!$D$130,1)</f>
        <v>1</v>
      </c>
      <c r="AR440" cm="1">
        <f t="array" ref="AR440">IF(Table1820[[#This Row],[Effective Date]]&gt;=RateChangeTable[Effective Date],RateChangeTable[Rate Change Factor],1)</f>
        <v>1</v>
      </c>
      <c r="AS440" s="10">
        <f>PRODUCT(Table1820[[#This Row],[Base Rate]:[Rate Change Factor]])</f>
        <v>852.4370108933673</v>
      </c>
      <c r="AT440" s="9">
        <f>Table1820[[#This Row],[System-Generated Premium]]-Table1820[[#This Row],[Expected Premium]]</f>
        <v>0</v>
      </c>
      <c r="AU440" t="str">
        <f>IF(Table1820[[#This Row],[Difference]]=0,"PASS","FAIL")</f>
        <v>PASS</v>
      </c>
      <c r="AV440" s="9">
        <f>ABS(Table1820[[#This Row],[Difference]])</f>
        <v>0</v>
      </c>
      <c r="AW440" s="9" t="s">
        <v>1136</v>
      </c>
    </row>
    <row r="441" spans="1:49" x14ac:dyDescent="0.3">
      <c r="A441" t="s">
        <v>532</v>
      </c>
      <c r="B441" s="7">
        <v>45790</v>
      </c>
      <c r="C441" t="s">
        <v>70</v>
      </c>
      <c r="D441" t="s">
        <v>1097</v>
      </c>
      <c r="E441" s="3">
        <v>7</v>
      </c>
      <c r="F441" s="3">
        <v>3</v>
      </c>
      <c r="G441" t="s">
        <v>12</v>
      </c>
      <c r="H441" t="s">
        <v>1108</v>
      </c>
      <c r="I441" t="s">
        <v>28</v>
      </c>
      <c r="J441" t="s">
        <v>52</v>
      </c>
      <c r="K441" t="s">
        <v>10</v>
      </c>
      <c r="L441" t="s">
        <v>10</v>
      </c>
      <c r="M441" t="s">
        <v>10</v>
      </c>
      <c r="N441" t="s">
        <v>57</v>
      </c>
      <c r="O441" t="str">
        <f>INDEX(CoverageTable[Deductible Applies],MATCH(Table1820[[#This Row],[Coverage]],CoverageTable[Coverage],0))</f>
        <v>No</v>
      </c>
      <c r="P441" t="str">
        <f>INDEX(CoverageTable[Coverage Limit Applies],MATCH(Table1820[[#This Row],[Coverage]],CoverageTable[Coverage],0))</f>
        <v>Yes</v>
      </c>
      <c r="Q441" t="s">
        <v>10</v>
      </c>
      <c r="R441" t="s">
        <v>79</v>
      </c>
      <c r="S441" t="s">
        <v>10</v>
      </c>
      <c r="T441" t="s">
        <v>10</v>
      </c>
      <c r="U441" t="s">
        <v>10</v>
      </c>
      <c r="V441" t="s">
        <v>10</v>
      </c>
      <c r="W441" t="s">
        <v>10</v>
      </c>
      <c r="X441" s="11">
        <v>1073.2174425004034</v>
      </c>
      <c r="Y441">
        <f>_xlfn.XLOOKUP(Table1820[[#This Row],[Coverage]],CoverageTable[Coverage],CoverageTable[Base Rate],,0)</f>
        <v>622</v>
      </c>
      <c r="Z441">
        <f>INDEX(Table16[Ageband Factor],MATCH(Table1820[[#This Row],[Ageband]],Table16[Ageband],0))</f>
        <v>1.32</v>
      </c>
      <c r="AA441">
        <f>VLOOKUP(Table1820[[#This Row],[Years Driving]],Table1[],2)</f>
        <v>0.95</v>
      </c>
      <c r="AB441">
        <f>_xlfn.XLOOKUP(Table1820[[#This Row],[At Fault Accidents]],Table2[At Fault Accidents],Table2[At Fault Accident Factor],,0)</f>
        <v>1.82</v>
      </c>
      <c r="AC441">
        <f>_xlfn.XLOOKUP(Table1820[[#This Row],[Usage-Based Insurance]],Table3[Usage-Based Insurance],Table3[Usage-Based Insurance Discount],,0)</f>
        <v>0.8</v>
      </c>
      <c r="AD441">
        <f>_xlfn.XLOOKUP(Table1820[[#This Row],[Yearly Miles]],Table4[Yearly Miles],Table4[Yearly Miles Factor],,0)</f>
        <v>1</v>
      </c>
      <c r="AE441">
        <f>_xlfn.XLOOKUP(Table1820[[#This Row],[City/Zip Code]],Table5[City/Zip Code],Table5[City/Zip Code Factor],,0)</f>
        <v>0.95</v>
      </c>
      <c r="AF441">
        <f>_xlfn.XLOOKUP(Table1820[[#This Row],[Vehicle Price]],Table6[Vehicle Price],Table6[Vehicle Price Factor])</f>
        <v>1.57</v>
      </c>
      <c r="AG441">
        <f>_xlfn.XLOOKUP(Table1820[[#This Row],[Exotic Car]],Table7[Exotic Car],Table7[Exotic Car Factor],,0)</f>
        <v>1</v>
      </c>
      <c r="AH441">
        <f>_xlfn.XLOOKUP(Table1820[[#This Row],[Difficult Parts]],Table8[Difficult Parts],Table8[Difficult Parts Factor],,0)</f>
        <v>1</v>
      </c>
      <c r="AI441">
        <f>_xlfn.XLOOKUP(Table1820[[#This Row],[High Theft Rate]],Table9[High Theft Rate],Table9[High Theft Rate Factor],,0)</f>
        <v>1</v>
      </c>
      <c r="AJ441">
        <f>_xlfn.XLOOKUP(Table1820[[#This Row],[Advanced Safety Features]],Table10[Advanced Safety Features],Table10[Advanced Safety Features Factor],,0)</f>
        <v>0.88</v>
      </c>
      <c r="AK441">
        <f>_xlfn.XLOOKUP(Table1820[[#This Row],[Deductible]],Table12[Deductible],Table12[Deductible Factor],,0)</f>
        <v>1</v>
      </c>
      <c r="AL441">
        <f>_xlfn.XLOOKUP(Table1820[[#This Row],[Coverage Limit]],Table13[Coverage Limit],Table13[Coverage Limit Factor],,0)</f>
        <v>0.72</v>
      </c>
      <c r="AM441">
        <f>IF(Table1820[[#This Row],[Good Student Discount]]="Yes",'Rate Book'!$D$126,1)</f>
        <v>1</v>
      </c>
      <c r="AN441">
        <f>IF(Table1820[[#This Row],[Good Driver Discount]]="Yes",'Rate Book'!$D$127,1)</f>
        <v>1</v>
      </c>
      <c r="AO441">
        <f>IF(Table1820[[#This Row],[Multi Policy Discount]]="Yes",'Rate Book'!$D$128,1)</f>
        <v>1</v>
      </c>
      <c r="AP441">
        <f>IF(Table1820[[#This Row],[Loyal Customer Discount]]="Yes",'Rate Book'!$D$129,1)</f>
        <v>1</v>
      </c>
      <c r="AQ441">
        <f>IF(Table1820[[#This Row],[Organization Discount]]="Yes",'Rate Book'!$D$130,1)</f>
        <v>1</v>
      </c>
      <c r="AR441" cm="1">
        <f t="array" ref="AR441">IF(Table1820[[#This Row],[Effective Date]]&gt;=RateChangeTable[Effective Date],RateChangeTable[Rate Change Factor],1)</f>
        <v>1</v>
      </c>
      <c r="AS441" s="10">
        <f>PRODUCT(Table1820[[#This Row],[Base Rate]:[Rate Change Factor]])</f>
        <v>1073.2174425004034</v>
      </c>
      <c r="AT441" s="9">
        <f>Table1820[[#This Row],[System-Generated Premium]]-Table1820[[#This Row],[Expected Premium]]</f>
        <v>0</v>
      </c>
      <c r="AU441" t="str">
        <f>IF(Table1820[[#This Row],[Difference]]=0,"PASS","FAIL")</f>
        <v>PASS</v>
      </c>
      <c r="AV441" s="9">
        <f>ABS(Table1820[[#This Row],[Difference]])</f>
        <v>0</v>
      </c>
      <c r="AW441" s="9" t="s">
        <v>1136</v>
      </c>
    </row>
    <row r="442" spans="1:49" x14ac:dyDescent="0.3">
      <c r="A442" t="s">
        <v>533</v>
      </c>
      <c r="B442" s="7">
        <v>45984</v>
      </c>
      <c r="C442" t="s">
        <v>72</v>
      </c>
      <c r="D442" t="s">
        <v>1099</v>
      </c>
      <c r="E442" s="3">
        <v>1</v>
      </c>
      <c r="F442" s="3">
        <v>0</v>
      </c>
      <c r="G442" t="s">
        <v>10</v>
      </c>
      <c r="H442" t="s">
        <v>1109</v>
      </c>
      <c r="I442" t="s">
        <v>23</v>
      </c>
      <c r="J442" t="s">
        <v>48</v>
      </c>
      <c r="K442" t="s">
        <v>10</v>
      </c>
      <c r="L442" t="s">
        <v>10</v>
      </c>
      <c r="M442" t="s">
        <v>10</v>
      </c>
      <c r="N442" t="s">
        <v>10</v>
      </c>
      <c r="O442" t="str">
        <f>INDEX(CoverageTable[Deductible Applies],MATCH(Table1820[[#This Row],[Coverage]],CoverageTable[Coverage],0))</f>
        <v>Yes</v>
      </c>
      <c r="P442" t="str">
        <f>INDEX(CoverageTable[Coverage Limit Applies],MATCH(Table1820[[#This Row],[Coverage]],CoverageTable[Coverage],0))</f>
        <v>No</v>
      </c>
      <c r="Q442" t="s">
        <v>78</v>
      </c>
      <c r="R442" t="s">
        <v>10</v>
      </c>
      <c r="S442" t="s">
        <v>10</v>
      </c>
      <c r="T442" t="s">
        <v>10</v>
      </c>
      <c r="U442" t="s">
        <v>10</v>
      </c>
      <c r="V442" t="s">
        <v>10</v>
      </c>
      <c r="W442" t="s">
        <v>10</v>
      </c>
      <c r="X442" s="11">
        <v>167.81721545599999</v>
      </c>
      <c r="Y442">
        <f>_xlfn.XLOOKUP(Table1820[[#This Row],[Coverage]],CoverageTable[Coverage],CoverageTable[Base Rate],,0)</f>
        <v>121</v>
      </c>
      <c r="Z442">
        <f>INDEX(Table16[Ageband Factor],MATCH(Table1820[[#This Row],[Ageband]],Table16[Ageband],0))</f>
        <v>1</v>
      </c>
      <c r="AA442">
        <f>VLOOKUP(Table1820[[#This Row],[Years Driving]],Table1[],2)</f>
        <v>1.64</v>
      </c>
      <c r="AB442">
        <f>_xlfn.XLOOKUP(Table1820[[#This Row],[At Fault Accidents]],Table2[At Fault Accidents],Table2[At Fault Accident Factor],,0)</f>
        <v>1</v>
      </c>
      <c r="AC442">
        <f>_xlfn.XLOOKUP(Table1820[[#This Row],[Usage-Based Insurance]],Table3[Usage-Based Insurance],Table3[Usage-Based Insurance Discount],,0)</f>
        <v>1</v>
      </c>
      <c r="AD442">
        <f>_xlfn.XLOOKUP(Table1820[[#This Row],[Yearly Miles]],Table4[Yearly Miles],Table4[Yearly Miles Factor],,0)</f>
        <v>1.18</v>
      </c>
      <c r="AE442">
        <f>_xlfn.XLOOKUP(Table1820[[#This Row],[City/Zip Code]],Table5[City/Zip Code],Table5[City/Zip Code Factor],,0)</f>
        <v>0.92</v>
      </c>
      <c r="AF442">
        <f>_xlfn.XLOOKUP(Table1820[[#This Row],[Vehicle Price]],Table6[Vehicle Price],Table6[Vehicle Price Factor])</f>
        <v>0.82</v>
      </c>
      <c r="AG442">
        <f>_xlfn.XLOOKUP(Table1820[[#This Row],[Exotic Car]],Table7[Exotic Car],Table7[Exotic Car Factor],,0)</f>
        <v>1</v>
      </c>
      <c r="AH442">
        <f>_xlfn.XLOOKUP(Table1820[[#This Row],[Difficult Parts]],Table8[Difficult Parts],Table8[Difficult Parts Factor],,0)</f>
        <v>1</v>
      </c>
      <c r="AI442">
        <f>_xlfn.XLOOKUP(Table1820[[#This Row],[High Theft Rate]],Table9[High Theft Rate],Table9[High Theft Rate Factor],,0)</f>
        <v>1</v>
      </c>
      <c r="AJ442">
        <f>_xlfn.XLOOKUP(Table1820[[#This Row],[Advanced Safety Features]],Table10[Advanced Safety Features],Table10[Advanced Safety Features Factor],,0)</f>
        <v>1</v>
      </c>
      <c r="AK442">
        <f>_xlfn.XLOOKUP(Table1820[[#This Row],[Deductible]],Table12[Deductible],Table12[Deductible Factor],,0)</f>
        <v>0.95</v>
      </c>
      <c r="AL442">
        <f>_xlfn.XLOOKUP(Table1820[[#This Row],[Coverage Limit]],Table13[Coverage Limit],Table13[Coverage Limit Factor],,0)</f>
        <v>1</v>
      </c>
      <c r="AM442">
        <f>IF(Table1820[[#This Row],[Good Student Discount]]="Yes",'Rate Book'!$D$126,1)</f>
        <v>1</v>
      </c>
      <c r="AN442">
        <f>IF(Table1820[[#This Row],[Good Driver Discount]]="Yes",'Rate Book'!$D$127,1)</f>
        <v>1</v>
      </c>
      <c r="AO442">
        <f>IF(Table1820[[#This Row],[Multi Policy Discount]]="Yes",'Rate Book'!$D$128,1)</f>
        <v>1</v>
      </c>
      <c r="AP442">
        <f>IF(Table1820[[#This Row],[Loyal Customer Discount]]="Yes",'Rate Book'!$D$129,1)</f>
        <v>1</v>
      </c>
      <c r="AQ442">
        <f>IF(Table1820[[#This Row],[Organization Discount]]="Yes",'Rate Book'!$D$130,1)</f>
        <v>1</v>
      </c>
      <c r="AR442" cm="1">
        <f t="array" ref="AR442">IF(Table1820[[#This Row],[Effective Date]]&gt;=RateChangeTable[Effective Date],RateChangeTable[Rate Change Factor],1)</f>
        <v>1</v>
      </c>
      <c r="AS442" s="10">
        <f>PRODUCT(Table1820[[#This Row],[Base Rate]:[Rate Change Factor]])</f>
        <v>167.81721545599999</v>
      </c>
      <c r="AT442" s="9">
        <f>Table1820[[#This Row],[System-Generated Premium]]-Table1820[[#This Row],[Expected Premium]]</f>
        <v>0</v>
      </c>
      <c r="AU442" t="str">
        <f>IF(Table1820[[#This Row],[Difference]]=0,"PASS","FAIL")</f>
        <v>PASS</v>
      </c>
      <c r="AV442" s="9">
        <f>ABS(Table1820[[#This Row],[Difference]])</f>
        <v>0</v>
      </c>
      <c r="AW442" s="9" t="s">
        <v>1136</v>
      </c>
    </row>
    <row r="443" spans="1:49" x14ac:dyDescent="0.3">
      <c r="A443" t="s">
        <v>534</v>
      </c>
      <c r="B443" s="7">
        <v>45904</v>
      </c>
      <c r="C443" t="s">
        <v>72</v>
      </c>
      <c r="D443" t="s">
        <v>1097</v>
      </c>
      <c r="E443" s="3">
        <v>7</v>
      </c>
      <c r="F443" s="3">
        <v>0</v>
      </c>
      <c r="G443" t="s">
        <v>12</v>
      </c>
      <c r="H443" t="s">
        <v>1108</v>
      </c>
      <c r="I443" t="s">
        <v>28</v>
      </c>
      <c r="J443" t="s">
        <v>49</v>
      </c>
      <c r="K443" t="s">
        <v>10</v>
      </c>
      <c r="L443" t="s">
        <v>10</v>
      </c>
      <c r="M443" t="s">
        <v>10</v>
      </c>
      <c r="N443" t="s">
        <v>57</v>
      </c>
      <c r="O443" t="str">
        <f>INDEX(CoverageTable[Deductible Applies],MATCH(Table1820[[#This Row],[Coverage]],CoverageTable[Coverage],0))</f>
        <v>Yes</v>
      </c>
      <c r="P443" t="str">
        <f>INDEX(CoverageTable[Coverage Limit Applies],MATCH(Table1820[[#This Row],[Coverage]],CoverageTable[Coverage],0))</f>
        <v>No</v>
      </c>
      <c r="Q443" t="s">
        <v>78</v>
      </c>
      <c r="R443" t="s">
        <v>10</v>
      </c>
      <c r="S443" t="s">
        <v>57</v>
      </c>
      <c r="T443" t="s">
        <v>10</v>
      </c>
      <c r="U443" t="s">
        <v>10</v>
      </c>
      <c r="V443" t="s">
        <v>10</v>
      </c>
      <c r="W443" t="s">
        <v>10</v>
      </c>
      <c r="X443" s="11">
        <v>86.032459387775987</v>
      </c>
      <c r="Y443">
        <f>_xlfn.XLOOKUP(Table1820[[#This Row],[Coverage]],CoverageTable[Coverage],CoverageTable[Base Rate],,0)</f>
        <v>121</v>
      </c>
      <c r="Z443">
        <f>INDEX(Table16[Ageband Factor],MATCH(Table1820[[#This Row],[Ageband]],Table16[Ageband],0))</f>
        <v>1.32</v>
      </c>
      <c r="AA443">
        <f>VLOOKUP(Table1820[[#This Row],[Years Driving]],Table1[],2)</f>
        <v>0.95</v>
      </c>
      <c r="AB443">
        <f>_xlfn.XLOOKUP(Table1820[[#This Row],[At Fault Accidents]],Table2[At Fault Accidents],Table2[At Fault Accident Factor],,0)</f>
        <v>1</v>
      </c>
      <c r="AC443">
        <f>_xlfn.XLOOKUP(Table1820[[#This Row],[Usage-Based Insurance]],Table3[Usage-Based Insurance],Table3[Usage-Based Insurance Discount],,0)</f>
        <v>0.8</v>
      </c>
      <c r="AD443">
        <f>_xlfn.XLOOKUP(Table1820[[#This Row],[Yearly Miles]],Table4[Yearly Miles],Table4[Yearly Miles Factor],,0)</f>
        <v>1</v>
      </c>
      <c r="AE443">
        <f>_xlfn.XLOOKUP(Table1820[[#This Row],[City/Zip Code]],Table5[City/Zip Code],Table5[City/Zip Code Factor],,0)</f>
        <v>0.95</v>
      </c>
      <c r="AF443">
        <f>_xlfn.XLOOKUP(Table1820[[#This Row],[Vehicle Price]],Table6[Vehicle Price],Table6[Vehicle Price Factor])</f>
        <v>0.97</v>
      </c>
      <c r="AG443">
        <f>_xlfn.XLOOKUP(Table1820[[#This Row],[Exotic Car]],Table7[Exotic Car],Table7[Exotic Car Factor],,0)</f>
        <v>1</v>
      </c>
      <c r="AH443">
        <f>_xlfn.XLOOKUP(Table1820[[#This Row],[Difficult Parts]],Table8[Difficult Parts],Table8[Difficult Parts Factor],,0)</f>
        <v>1</v>
      </c>
      <c r="AI443">
        <f>_xlfn.XLOOKUP(Table1820[[#This Row],[High Theft Rate]],Table9[High Theft Rate],Table9[High Theft Rate Factor],,0)</f>
        <v>1</v>
      </c>
      <c r="AJ443">
        <f>_xlfn.XLOOKUP(Table1820[[#This Row],[Advanced Safety Features]],Table10[Advanced Safety Features],Table10[Advanced Safety Features Factor],,0)</f>
        <v>0.88</v>
      </c>
      <c r="AK443">
        <f>_xlfn.XLOOKUP(Table1820[[#This Row],[Deductible]],Table12[Deductible],Table12[Deductible Factor],,0)</f>
        <v>0.95</v>
      </c>
      <c r="AL443">
        <f>_xlfn.XLOOKUP(Table1820[[#This Row],[Coverage Limit]],Table13[Coverage Limit],Table13[Coverage Limit Factor],,0)</f>
        <v>1</v>
      </c>
      <c r="AM443">
        <f>IF(Table1820[[#This Row],[Good Student Discount]]="Yes",'Rate Book'!$D$126,1)</f>
        <v>0.92</v>
      </c>
      <c r="AN443">
        <f>IF(Table1820[[#This Row],[Good Driver Discount]]="Yes",'Rate Book'!$D$127,1)</f>
        <v>1</v>
      </c>
      <c r="AO443">
        <f>IF(Table1820[[#This Row],[Multi Policy Discount]]="Yes",'Rate Book'!$D$128,1)</f>
        <v>1</v>
      </c>
      <c r="AP443">
        <f>IF(Table1820[[#This Row],[Loyal Customer Discount]]="Yes",'Rate Book'!$D$129,1)</f>
        <v>1</v>
      </c>
      <c r="AQ443">
        <f>IF(Table1820[[#This Row],[Organization Discount]]="Yes",'Rate Book'!$D$130,1)</f>
        <v>1</v>
      </c>
      <c r="AR443" cm="1">
        <f t="array" ref="AR443">IF(Table1820[[#This Row],[Effective Date]]&gt;=RateChangeTable[Effective Date],RateChangeTable[Rate Change Factor],1)</f>
        <v>1</v>
      </c>
      <c r="AS443" s="10">
        <f>PRODUCT(Table1820[[#This Row],[Base Rate]:[Rate Change Factor]])</f>
        <v>86.032459387775987</v>
      </c>
      <c r="AT443" s="9">
        <f>Table1820[[#This Row],[System-Generated Premium]]-Table1820[[#This Row],[Expected Premium]]</f>
        <v>0</v>
      </c>
      <c r="AU443" t="str">
        <f>IF(Table1820[[#This Row],[Difference]]=0,"PASS","FAIL")</f>
        <v>PASS</v>
      </c>
      <c r="AV443" s="9">
        <f>ABS(Table1820[[#This Row],[Difference]])</f>
        <v>0</v>
      </c>
      <c r="AW443" s="9" t="s">
        <v>1136</v>
      </c>
    </row>
    <row r="444" spans="1:49" x14ac:dyDescent="0.3">
      <c r="A444" t="s">
        <v>535</v>
      </c>
      <c r="B444" s="7">
        <v>45815</v>
      </c>
      <c r="C444" t="s">
        <v>70</v>
      </c>
      <c r="D444" t="s">
        <v>1097</v>
      </c>
      <c r="E444" s="3">
        <v>2</v>
      </c>
      <c r="F444" s="3">
        <v>1</v>
      </c>
      <c r="G444" t="s">
        <v>10</v>
      </c>
      <c r="H444" t="s">
        <v>1107</v>
      </c>
      <c r="I444" t="s">
        <v>27</v>
      </c>
      <c r="J444" t="s">
        <v>51</v>
      </c>
      <c r="K444" t="s">
        <v>10</v>
      </c>
      <c r="L444" t="s">
        <v>10</v>
      </c>
      <c r="M444" t="s">
        <v>10</v>
      </c>
      <c r="N444" t="s">
        <v>57</v>
      </c>
      <c r="O444" t="str">
        <f>INDEX(CoverageTable[Deductible Applies],MATCH(Table1820[[#This Row],[Coverage]],CoverageTable[Coverage],0))</f>
        <v>No</v>
      </c>
      <c r="P444" t="str">
        <f>INDEX(CoverageTable[Coverage Limit Applies],MATCH(Table1820[[#This Row],[Coverage]],CoverageTable[Coverage],0))</f>
        <v>Yes</v>
      </c>
      <c r="Q444" t="s">
        <v>10</v>
      </c>
      <c r="R444" t="s">
        <v>79</v>
      </c>
      <c r="S444" t="s">
        <v>57</v>
      </c>
      <c r="T444" t="s">
        <v>57</v>
      </c>
      <c r="U444" t="s">
        <v>57</v>
      </c>
      <c r="V444" t="s">
        <v>10</v>
      </c>
      <c r="W444" t="s">
        <v>57</v>
      </c>
      <c r="X444" s="11">
        <v>812.3752509085391</v>
      </c>
      <c r="Y444">
        <f>_xlfn.XLOOKUP(Table1820[[#This Row],[Coverage]],CoverageTable[Coverage],CoverageTable[Base Rate],,0)</f>
        <v>622</v>
      </c>
      <c r="Z444">
        <f>INDEX(Table16[Ageband Factor],MATCH(Table1820[[#This Row],[Ageband]],Table16[Ageband],0))</f>
        <v>1.32</v>
      </c>
      <c r="AA444">
        <f>VLOOKUP(Table1820[[#This Row],[Years Driving]],Table1[],2)</f>
        <v>1.41</v>
      </c>
      <c r="AB444">
        <f>_xlfn.XLOOKUP(Table1820[[#This Row],[At Fault Accidents]],Table2[At Fault Accidents],Table2[At Fault Accident Factor],,0)</f>
        <v>1.34</v>
      </c>
      <c r="AC444">
        <f>_xlfn.XLOOKUP(Table1820[[#This Row],[Usage-Based Insurance]],Table3[Usage-Based Insurance],Table3[Usage-Based Insurance Discount],,0)</f>
        <v>1</v>
      </c>
      <c r="AD444">
        <f>_xlfn.XLOOKUP(Table1820[[#This Row],[Yearly Miles]],Table4[Yearly Miles],Table4[Yearly Miles Factor],,0)</f>
        <v>0.93</v>
      </c>
      <c r="AE444">
        <f>_xlfn.XLOOKUP(Table1820[[#This Row],[City/Zip Code]],Table5[City/Zip Code],Table5[City/Zip Code Factor],,0)</f>
        <v>0.94</v>
      </c>
      <c r="AF444">
        <f>_xlfn.XLOOKUP(Table1820[[#This Row],[Vehicle Price]],Table6[Vehicle Price],Table6[Vehicle Price Factor])</f>
        <v>1.28</v>
      </c>
      <c r="AG444">
        <f>_xlfn.XLOOKUP(Table1820[[#This Row],[Exotic Car]],Table7[Exotic Car],Table7[Exotic Car Factor],,0)</f>
        <v>1</v>
      </c>
      <c r="AH444">
        <f>_xlfn.XLOOKUP(Table1820[[#This Row],[Difficult Parts]],Table8[Difficult Parts],Table8[Difficult Parts Factor],,0)</f>
        <v>1</v>
      </c>
      <c r="AI444">
        <f>_xlfn.XLOOKUP(Table1820[[#This Row],[High Theft Rate]],Table9[High Theft Rate],Table9[High Theft Rate Factor],,0)</f>
        <v>1</v>
      </c>
      <c r="AJ444">
        <f>_xlfn.XLOOKUP(Table1820[[#This Row],[Advanced Safety Features]],Table10[Advanced Safety Features],Table10[Advanced Safety Features Factor],,0)</f>
        <v>0.88</v>
      </c>
      <c r="AK444">
        <f>_xlfn.XLOOKUP(Table1820[[#This Row],[Deductible]],Table12[Deductible],Table12[Deductible Factor],,0)</f>
        <v>1</v>
      </c>
      <c r="AL444">
        <f>_xlfn.XLOOKUP(Table1820[[#This Row],[Coverage Limit]],Table13[Coverage Limit],Table13[Coverage Limit Factor],,0)</f>
        <v>0.72</v>
      </c>
      <c r="AM444">
        <f>IF(Table1820[[#This Row],[Good Student Discount]]="Yes",'Rate Book'!$D$126,1)</f>
        <v>0.92</v>
      </c>
      <c r="AN444">
        <f>IF(Table1820[[#This Row],[Good Driver Discount]]="Yes",'Rate Book'!$D$127,1)</f>
        <v>0.89</v>
      </c>
      <c r="AO444">
        <f>IF(Table1820[[#This Row],[Multi Policy Discount]]="Yes",'Rate Book'!$D$128,1)</f>
        <v>0.93</v>
      </c>
      <c r="AP444">
        <f>IF(Table1820[[#This Row],[Loyal Customer Discount]]="Yes",'Rate Book'!$D$129,1)</f>
        <v>1</v>
      </c>
      <c r="AQ444">
        <f>IF(Table1820[[#This Row],[Organization Discount]]="Yes",'Rate Book'!$D$130,1)</f>
        <v>0.97</v>
      </c>
      <c r="AR444" cm="1">
        <f t="array" ref="AR444">IF(Table1820[[#This Row],[Effective Date]]&gt;=RateChangeTable[Effective Date],RateChangeTable[Rate Change Factor],1)</f>
        <v>1</v>
      </c>
      <c r="AS444" s="10">
        <f>PRODUCT(Table1820[[#This Row],[Base Rate]:[Rate Change Factor]])</f>
        <v>812.3752509085391</v>
      </c>
      <c r="AT444" s="9">
        <f>Table1820[[#This Row],[System-Generated Premium]]-Table1820[[#This Row],[Expected Premium]]</f>
        <v>0</v>
      </c>
      <c r="AU444" t="str">
        <f>IF(Table1820[[#This Row],[Difference]]=0,"PASS","FAIL")</f>
        <v>PASS</v>
      </c>
      <c r="AV444" s="9">
        <f>ABS(Table1820[[#This Row],[Difference]])</f>
        <v>0</v>
      </c>
      <c r="AW444" s="9" t="s">
        <v>1136</v>
      </c>
    </row>
    <row r="445" spans="1:49" x14ac:dyDescent="0.3">
      <c r="A445" t="s">
        <v>536</v>
      </c>
      <c r="B445" s="7">
        <v>45784</v>
      </c>
      <c r="C445" t="s">
        <v>70</v>
      </c>
      <c r="D445" t="s">
        <v>1098</v>
      </c>
      <c r="E445" s="3">
        <v>1</v>
      </c>
      <c r="F445" s="3">
        <v>1</v>
      </c>
      <c r="G445" t="s">
        <v>12</v>
      </c>
      <c r="H445" t="s">
        <v>1110</v>
      </c>
      <c r="I445" t="s">
        <v>35</v>
      </c>
      <c r="J445" t="s">
        <v>49</v>
      </c>
      <c r="K445" t="s">
        <v>10</v>
      </c>
      <c r="L445" t="s">
        <v>10</v>
      </c>
      <c r="M445" t="s">
        <v>10</v>
      </c>
      <c r="N445" t="s">
        <v>10</v>
      </c>
      <c r="O445" t="str">
        <f>INDEX(CoverageTable[Deductible Applies],MATCH(Table1820[[#This Row],[Coverage]],CoverageTable[Coverage],0))</f>
        <v>No</v>
      </c>
      <c r="P445" t="str">
        <f>INDEX(CoverageTable[Coverage Limit Applies],MATCH(Table1820[[#This Row],[Coverage]],CoverageTable[Coverage],0))</f>
        <v>Yes</v>
      </c>
      <c r="Q445" t="s">
        <v>10</v>
      </c>
      <c r="R445" t="s">
        <v>80</v>
      </c>
      <c r="S445" t="s">
        <v>10</v>
      </c>
      <c r="T445" t="s">
        <v>57</v>
      </c>
      <c r="U445" t="s">
        <v>10</v>
      </c>
      <c r="V445" t="s">
        <v>57</v>
      </c>
      <c r="W445" t="s">
        <v>10</v>
      </c>
      <c r="X445" s="11">
        <v>1345.2169424415031</v>
      </c>
      <c r="Y445">
        <f>_xlfn.XLOOKUP(Table1820[[#This Row],[Coverage]],CoverageTable[Coverage],CoverageTable[Base Rate],,0)</f>
        <v>622</v>
      </c>
      <c r="Z445">
        <f>INDEX(Table16[Ageband Factor],MATCH(Table1820[[#This Row],[Ageband]],Table16[Ageband],0))</f>
        <v>1.23</v>
      </c>
      <c r="AA445">
        <f>VLOOKUP(Table1820[[#This Row],[Years Driving]],Table1[],2)</f>
        <v>1.64</v>
      </c>
      <c r="AB445">
        <f>_xlfn.XLOOKUP(Table1820[[#This Row],[At Fault Accidents]],Table2[At Fault Accidents],Table2[At Fault Accident Factor],,0)</f>
        <v>1.34</v>
      </c>
      <c r="AC445">
        <f>_xlfn.XLOOKUP(Table1820[[#This Row],[Usage-Based Insurance]],Table3[Usage-Based Insurance],Table3[Usage-Based Insurance Discount],,0)</f>
        <v>0.8</v>
      </c>
      <c r="AD445">
        <f>_xlfn.XLOOKUP(Table1820[[#This Row],[Yearly Miles]],Table4[Yearly Miles],Table4[Yearly Miles Factor],,0)</f>
        <v>1.31</v>
      </c>
      <c r="AE445">
        <f>_xlfn.XLOOKUP(Table1820[[#This Row],[City/Zip Code]],Table5[City/Zip Code],Table5[City/Zip Code Factor],,0)</f>
        <v>1.1200000000000001</v>
      </c>
      <c r="AF445">
        <f>_xlfn.XLOOKUP(Table1820[[#This Row],[Vehicle Price]],Table6[Vehicle Price],Table6[Vehicle Price Factor])</f>
        <v>0.97</v>
      </c>
      <c r="AG445">
        <f>_xlfn.XLOOKUP(Table1820[[#This Row],[Exotic Car]],Table7[Exotic Car],Table7[Exotic Car Factor],,0)</f>
        <v>1</v>
      </c>
      <c r="AH445">
        <f>_xlfn.XLOOKUP(Table1820[[#This Row],[Difficult Parts]],Table8[Difficult Parts],Table8[Difficult Parts Factor],,0)</f>
        <v>1</v>
      </c>
      <c r="AI445">
        <f>_xlfn.XLOOKUP(Table1820[[#This Row],[High Theft Rate]],Table9[High Theft Rate],Table9[High Theft Rate Factor],,0)</f>
        <v>1</v>
      </c>
      <c r="AJ445">
        <f>_xlfn.XLOOKUP(Table1820[[#This Row],[Advanced Safety Features]],Table10[Advanced Safety Features],Table10[Advanced Safety Features Factor],,0)</f>
        <v>1</v>
      </c>
      <c r="AK445">
        <f>_xlfn.XLOOKUP(Table1820[[#This Row],[Deductible]],Table12[Deductible],Table12[Deductible Factor],,0)</f>
        <v>1</v>
      </c>
      <c r="AL445">
        <f>_xlfn.XLOOKUP(Table1820[[#This Row],[Coverage Limit]],Table13[Coverage Limit],Table13[Coverage Limit Factor],,0)</f>
        <v>0.84</v>
      </c>
      <c r="AM445">
        <f>IF(Table1820[[#This Row],[Good Student Discount]]="Yes",'Rate Book'!$D$126,1)</f>
        <v>1</v>
      </c>
      <c r="AN445">
        <f>IF(Table1820[[#This Row],[Good Driver Discount]]="Yes",'Rate Book'!$D$127,1)</f>
        <v>0.89</v>
      </c>
      <c r="AO445">
        <f>IF(Table1820[[#This Row],[Multi Policy Discount]]="Yes",'Rate Book'!$D$128,1)</f>
        <v>1</v>
      </c>
      <c r="AP445">
        <f>IF(Table1820[[#This Row],[Loyal Customer Discount]]="Yes",'Rate Book'!$D$129,1)</f>
        <v>0.94</v>
      </c>
      <c r="AQ445">
        <f>IF(Table1820[[#This Row],[Organization Discount]]="Yes",'Rate Book'!$D$130,1)</f>
        <v>1</v>
      </c>
      <c r="AR445" cm="1">
        <f t="array" ref="AR445">IF(Table1820[[#This Row],[Effective Date]]&gt;=RateChangeTable[Effective Date],RateChangeTable[Rate Change Factor],1)</f>
        <v>1</v>
      </c>
      <c r="AS445" s="10">
        <f>PRODUCT(Table1820[[#This Row],[Base Rate]:[Rate Change Factor]])</f>
        <v>1345.2169424415031</v>
      </c>
      <c r="AT445" s="9">
        <f>Table1820[[#This Row],[System-Generated Premium]]-Table1820[[#This Row],[Expected Premium]]</f>
        <v>0</v>
      </c>
      <c r="AU445" t="str">
        <f>IF(Table1820[[#This Row],[Difference]]=0,"PASS","FAIL")</f>
        <v>PASS</v>
      </c>
      <c r="AV445" s="9">
        <f>ABS(Table1820[[#This Row],[Difference]])</f>
        <v>0</v>
      </c>
      <c r="AW445" s="9" t="s">
        <v>1136</v>
      </c>
    </row>
    <row r="446" spans="1:49" x14ac:dyDescent="0.3">
      <c r="A446" t="s">
        <v>537</v>
      </c>
      <c r="B446" s="7">
        <v>45838</v>
      </c>
      <c r="C446" t="s">
        <v>70</v>
      </c>
      <c r="D446" t="s">
        <v>1098</v>
      </c>
      <c r="E446" s="3">
        <v>4</v>
      </c>
      <c r="F446" s="3">
        <v>4</v>
      </c>
      <c r="G446" t="s">
        <v>13</v>
      </c>
      <c r="H446" t="s">
        <v>1107</v>
      </c>
      <c r="I446" t="s">
        <v>22</v>
      </c>
      <c r="J446" t="s">
        <v>51</v>
      </c>
      <c r="K446" t="s">
        <v>10</v>
      </c>
      <c r="L446" t="s">
        <v>10</v>
      </c>
      <c r="M446" t="s">
        <v>10</v>
      </c>
      <c r="N446" t="s">
        <v>57</v>
      </c>
      <c r="O446" t="str">
        <f>INDEX(CoverageTable[Deductible Applies],MATCH(Table1820[[#This Row],[Coverage]],CoverageTable[Coverage],0))</f>
        <v>No</v>
      </c>
      <c r="P446" t="str">
        <f>INDEX(CoverageTable[Coverage Limit Applies],MATCH(Table1820[[#This Row],[Coverage]],CoverageTable[Coverage],0))</f>
        <v>Yes</v>
      </c>
      <c r="Q446" t="s">
        <v>10</v>
      </c>
      <c r="R446" t="s">
        <v>78</v>
      </c>
      <c r="S446" t="s">
        <v>10</v>
      </c>
      <c r="T446" t="s">
        <v>10</v>
      </c>
      <c r="U446" t="s">
        <v>10</v>
      </c>
      <c r="V446" t="s">
        <v>10</v>
      </c>
      <c r="W446" t="s">
        <v>57</v>
      </c>
      <c r="X446" s="11">
        <v>909.29558831827387</v>
      </c>
      <c r="Y446">
        <f>_xlfn.XLOOKUP(Table1820[[#This Row],[Coverage]],CoverageTable[Coverage],CoverageTable[Base Rate],,0)</f>
        <v>622</v>
      </c>
      <c r="Z446">
        <f>INDEX(Table16[Ageband Factor],MATCH(Table1820[[#This Row],[Ageband]],Table16[Ageband],0))</f>
        <v>1.23</v>
      </c>
      <c r="AA446">
        <f>VLOOKUP(Table1820[[#This Row],[Years Driving]],Table1[],2)</f>
        <v>1.1499999999999999</v>
      </c>
      <c r="AB446">
        <f>_xlfn.XLOOKUP(Table1820[[#This Row],[At Fault Accidents]],Table2[At Fault Accidents],Table2[At Fault Accident Factor],,0)</f>
        <v>2.12</v>
      </c>
      <c r="AC446">
        <f>_xlfn.XLOOKUP(Table1820[[#This Row],[Usage-Based Insurance]],Table3[Usage-Based Insurance],Table3[Usage-Based Insurance Discount],,0)</f>
        <v>0.65</v>
      </c>
      <c r="AD446">
        <f>_xlfn.XLOOKUP(Table1820[[#This Row],[Yearly Miles]],Table4[Yearly Miles],Table4[Yearly Miles Factor],,0)</f>
        <v>0.93</v>
      </c>
      <c r="AE446">
        <f>_xlfn.XLOOKUP(Table1820[[#This Row],[City/Zip Code]],Table5[City/Zip Code],Table5[City/Zip Code Factor],,0)</f>
        <v>1.21</v>
      </c>
      <c r="AF446">
        <f>_xlfn.XLOOKUP(Table1820[[#This Row],[Vehicle Price]],Table6[Vehicle Price],Table6[Vehicle Price Factor])</f>
        <v>1.28</v>
      </c>
      <c r="AG446">
        <f>_xlfn.XLOOKUP(Table1820[[#This Row],[Exotic Car]],Table7[Exotic Car],Table7[Exotic Car Factor],,0)</f>
        <v>1</v>
      </c>
      <c r="AH446">
        <f>_xlfn.XLOOKUP(Table1820[[#This Row],[Difficult Parts]],Table8[Difficult Parts],Table8[Difficult Parts Factor],,0)</f>
        <v>1</v>
      </c>
      <c r="AI446">
        <f>_xlfn.XLOOKUP(Table1820[[#This Row],[High Theft Rate]],Table9[High Theft Rate],Table9[High Theft Rate Factor],,0)</f>
        <v>1</v>
      </c>
      <c r="AJ446">
        <f>_xlfn.XLOOKUP(Table1820[[#This Row],[Advanced Safety Features]],Table10[Advanced Safety Features],Table10[Advanced Safety Features Factor],,0)</f>
        <v>0.88</v>
      </c>
      <c r="AK446">
        <f>_xlfn.XLOOKUP(Table1820[[#This Row],[Deductible]],Table12[Deductible],Table12[Deductible Factor],,0)</f>
        <v>1</v>
      </c>
      <c r="AL446">
        <f>_xlfn.XLOOKUP(Table1820[[#This Row],[Coverage Limit]],Table13[Coverage Limit],Table13[Coverage Limit Factor],,0)</f>
        <v>0.61</v>
      </c>
      <c r="AM446">
        <f>IF(Table1820[[#This Row],[Good Student Discount]]="Yes",'Rate Book'!$D$126,1)</f>
        <v>1</v>
      </c>
      <c r="AN446">
        <f>IF(Table1820[[#This Row],[Good Driver Discount]]="Yes",'Rate Book'!$D$127,1)</f>
        <v>1</v>
      </c>
      <c r="AO446">
        <f>IF(Table1820[[#This Row],[Multi Policy Discount]]="Yes",'Rate Book'!$D$128,1)</f>
        <v>1</v>
      </c>
      <c r="AP446">
        <f>IF(Table1820[[#This Row],[Loyal Customer Discount]]="Yes",'Rate Book'!$D$129,1)</f>
        <v>1</v>
      </c>
      <c r="AQ446">
        <f>IF(Table1820[[#This Row],[Organization Discount]]="Yes",'Rate Book'!$D$130,1)</f>
        <v>0.97</v>
      </c>
      <c r="AR446" cm="1">
        <f t="array" ref="AR446">IF(Table1820[[#This Row],[Effective Date]]&gt;=RateChangeTable[Effective Date],RateChangeTable[Rate Change Factor],1)</f>
        <v>1</v>
      </c>
      <c r="AS446" s="10">
        <f>PRODUCT(Table1820[[#This Row],[Base Rate]:[Rate Change Factor]])</f>
        <v>909.29558831827387</v>
      </c>
      <c r="AT446" s="9">
        <f>Table1820[[#This Row],[System-Generated Premium]]-Table1820[[#This Row],[Expected Premium]]</f>
        <v>0</v>
      </c>
      <c r="AU446" t="str">
        <f>IF(Table1820[[#This Row],[Difference]]=0,"PASS","FAIL")</f>
        <v>PASS</v>
      </c>
      <c r="AV446" s="9">
        <f>ABS(Table1820[[#This Row],[Difference]])</f>
        <v>0</v>
      </c>
      <c r="AW446" s="9" t="s">
        <v>1136</v>
      </c>
    </row>
    <row r="447" spans="1:49" x14ac:dyDescent="0.3">
      <c r="A447" t="s">
        <v>538</v>
      </c>
      <c r="B447" s="7">
        <v>45983</v>
      </c>
      <c r="C447" t="s">
        <v>70</v>
      </c>
      <c r="D447" t="s">
        <v>1102</v>
      </c>
      <c r="E447" s="3">
        <v>1</v>
      </c>
      <c r="F447" s="3">
        <v>3</v>
      </c>
      <c r="G447" t="s">
        <v>13</v>
      </c>
      <c r="H447" t="s">
        <v>1109</v>
      </c>
      <c r="I447" t="s">
        <v>28</v>
      </c>
      <c r="J447" t="s">
        <v>51</v>
      </c>
      <c r="K447" t="s">
        <v>10</v>
      </c>
      <c r="L447" t="s">
        <v>10</v>
      </c>
      <c r="M447" t="s">
        <v>10</v>
      </c>
      <c r="N447" t="s">
        <v>57</v>
      </c>
      <c r="O447" t="str">
        <f>INDEX(CoverageTable[Deductible Applies],MATCH(Table1820[[#This Row],[Coverage]],CoverageTable[Coverage],0))</f>
        <v>No</v>
      </c>
      <c r="P447" t="str">
        <f>INDEX(CoverageTable[Coverage Limit Applies],MATCH(Table1820[[#This Row],[Coverage]],CoverageTable[Coverage],0))</f>
        <v>Yes</v>
      </c>
      <c r="Q447" t="s">
        <v>10</v>
      </c>
      <c r="R447" t="s">
        <v>79</v>
      </c>
      <c r="S447" t="s">
        <v>10</v>
      </c>
      <c r="T447" t="s">
        <v>10</v>
      </c>
      <c r="U447" t="s">
        <v>10</v>
      </c>
      <c r="V447" t="s">
        <v>10</v>
      </c>
      <c r="W447" t="s">
        <v>10</v>
      </c>
      <c r="X447" s="11">
        <v>1393.3282709876837</v>
      </c>
      <c r="Y447">
        <f>_xlfn.XLOOKUP(Table1820[[#This Row],[Coverage]],CoverageTable[Coverage],CoverageTable[Base Rate],,0)</f>
        <v>622</v>
      </c>
      <c r="Z447">
        <f>INDEX(Table16[Ageband Factor],MATCH(Table1820[[#This Row],[Ageband]],Table16[Ageband],0))</f>
        <v>1.27</v>
      </c>
      <c r="AA447">
        <f>VLOOKUP(Table1820[[#This Row],[Years Driving]],Table1[],2)</f>
        <v>1.64</v>
      </c>
      <c r="AB447">
        <f>_xlfn.XLOOKUP(Table1820[[#This Row],[At Fault Accidents]],Table2[At Fault Accidents],Table2[At Fault Accident Factor],,0)</f>
        <v>1.82</v>
      </c>
      <c r="AC447">
        <f>_xlfn.XLOOKUP(Table1820[[#This Row],[Usage-Based Insurance]],Table3[Usage-Based Insurance],Table3[Usage-Based Insurance Discount],,0)</f>
        <v>0.65</v>
      </c>
      <c r="AD447">
        <f>_xlfn.XLOOKUP(Table1820[[#This Row],[Yearly Miles]],Table4[Yearly Miles],Table4[Yearly Miles Factor],,0)</f>
        <v>1.18</v>
      </c>
      <c r="AE447">
        <f>_xlfn.XLOOKUP(Table1820[[#This Row],[City/Zip Code]],Table5[City/Zip Code],Table5[City/Zip Code Factor],,0)</f>
        <v>0.95</v>
      </c>
      <c r="AF447">
        <f>_xlfn.XLOOKUP(Table1820[[#This Row],[Vehicle Price]],Table6[Vehicle Price],Table6[Vehicle Price Factor])</f>
        <v>1.28</v>
      </c>
      <c r="AG447">
        <f>_xlfn.XLOOKUP(Table1820[[#This Row],[Exotic Car]],Table7[Exotic Car],Table7[Exotic Car Factor],,0)</f>
        <v>1</v>
      </c>
      <c r="AH447">
        <f>_xlfn.XLOOKUP(Table1820[[#This Row],[Difficult Parts]],Table8[Difficult Parts],Table8[Difficult Parts Factor],,0)</f>
        <v>1</v>
      </c>
      <c r="AI447">
        <f>_xlfn.XLOOKUP(Table1820[[#This Row],[High Theft Rate]],Table9[High Theft Rate],Table9[High Theft Rate Factor],,0)</f>
        <v>1</v>
      </c>
      <c r="AJ447">
        <f>_xlfn.XLOOKUP(Table1820[[#This Row],[Advanced Safety Features]],Table10[Advanced Safety Features],Table10[Advanced Safety Features Factor],,0)</f>
        <v>0.88</v>
      </c>
      <c r="AK447">
        <f>_xlfn.XLOOKUP(Table1820[[#This Row],[Deductible]],Table12[Deductible],Table12[Deductible Factor],,0)</f>
        <v>1</v>
      </c>
      <c r="AL447">
        <f>_xlfn.XLOOKUP(Table1820[[#This Row],[Coverage Limit]],Table13[Coverage Limit],Table13[Coverage Limit Factor],,0)</f>
        <v>0.72</v>
      </c>
      <c r="AM447">
        <f>IF(Table1820[[#This Row],[Good Student Discount]]="Yes",'Rate Book'!$D$126,1)</f>
        <v>1</v>
      </c>
      <c r="AN447">
        <f>IF(Table1820[[#This Row],[Good Driver Discount]]="Yes",'Rate Book'!$D$127,1)</f>
        <v>1</v>
      </c>
      <c r="AO447">
        <f>IF(Table1820[[#This Row],[Multi Policy Discount]]="Yes",'Rate Book'!$D$128,1)</f>
        <v>1</v>
      </c>
      <c r="AP447">
        <f>IF(Table1820[[#This Row],[Loyal Customer Discount]]="Yes",'Rate Book'!$D$129,1)</f>
        <v>1</v>
      </c>
      <c r="AQ447">
        <f>IF(Table1820[[#This Row],[Organization Discount]]="Yes",'Rate Book'!$D$130,1)</f>
        <v>1</v>
      </c>
      <c r="AR447" cm="1">
        <f t="array" ref="AR447">IF(Table1820[[#This Row],[Effective Date]]&gt;=RateChangeTable[Effective Date],RateChangeTable[Rate Change Factor],1)</f>
        <v>1</v>
      </c>
      <c r="AS447" s="10">
        <f>PRODUCT(Table1820[[#This Row],[Base Rate]:[Rate Change Factor]])</f>
        <v>1393.3282709876837</v>
      </c>
      <c r="AT447" s="9">
        <f>Table1820[[#This Row],[System-Generated Premium]]-Table1820[[#This Row],[Expected Premium]]</f>
        <v>0</v>
      </c>
      <c r="AU447" t="str">
        <f>IF(Table1820[[#This Row],[Difference]]=0,"PASS","FAIL")</f>
        <v>PASS</v>
      </c>
      <c r="AV447" s="9">
        <f>ABS(Table1820[[#This Row],[Difference]])</f>
        <v>0</v>
      </c>
      <c r="AW447" s="9" t="s">
        <v>1136</v>
      </c>
    </row>
    <row r="448" spans="1:49" x14ac:dyDescent="0.3">
      <c r="A448" t="s">
        <v>539</v>
      </c>
      <c r="B448" s="7">
        <v>46142</v>
      </c>
      <c r="C448" t="s">
        <v>70</v>
      </c>
      <c r="D448" t="s">
        <v>1098</v>
      </c>
      <c r="E448" s="3" t="s">
        <v>1103</v>
      </c>
      <c r="F448" s="3" t="s">
        <v>7</v>
      </c>
      <c r="G448" t="s">
        <v>10</v>
      </c>
      <c r="H448" t="s">
        <v>1106</v>
      </c>
      <c r="I448" t="s">
        <v>33</v>
      </c>
      <c r="J448" t="s">
        <v>51</v>
      </c>
      <c r="K448" t="s">
        <v>10</v>
      </c>
      <c r="L448" t="s">
        <v>10</v>
      </c>
      <c r="M448" t="s">
        <v>10</v>
      </c>
      <c r="N448" t="s">
        <v>57</v>
      </c>
      <c r="O448" t="str">
        <f>INDEX(CoverageTable[Deductible Applies],MATCH(Table1820[[#This Row],[Coverage]],CoverageTable[Coverage],0))</f>
        <v>No</v>
      </c>
      <c r="P448" t="str">
        <f>INDEX(CoverageTable[Coverage Limit Applies],MATCH(Table1820[[#This Row],[Coverage]],CoverageTable[Coverage],0))</f>
        <v>Yes</v>
      </c>
      <c r="Q448" t="s">
        <v>10</v>
      </c>
      <c r="R448" t="s">
        <v>80</v>
      </c>
      <c r="S448" t="s">
        <v>10</v>
      </c>
      <c r="T448" t="s">
        <v>57</v>
      </c>
      <c r="U448" t="s">
        <v>10</v>
      </c>
      <c r="V448" t="s">
        <v>10</v>
      </c>
      <c r="W448" t="s">
        <v>10</v>
      </c>
      <c r="X448" s="11">
        <v>1312.0706532883046</v>
      </c>
      <c r="Y448">
        <f>_xlfn.XLOOKUP(Table1820[[#This Row],[Coverage]],CoverageTable[Coverage],CoverageTable[Base Rate],,0)</f>
        <v>622</v>
      </c>
      <c r="Z448">
        <f>INDEX(Table16[Ageband Factor],MATCH(Table1820[[#This Row],[Ageband]],Table16[Ageband],0))</f>
        <v>1.23</v>
      </c>
      <c r="AA448">
        <f>VLOOKUP(Table1820[[#This Row],[Years Driving]],Table1[],2)</f>
        <v>0.93</v>
      </c>
      <c r="AB448">
        <f>_xlfn.XLOOKUP(Table1820[[#This Row],[At Fault Accidents]],Table2[At Fault Accidents],Table2[At Fault Accident Factor],,0)</f>
        <v>2.4700000000000002</v>
      </c>
      <c r="AC448">
        <f>_xlfn.XLOOKUP(Table1820[[#This Row],[Usage-Based Insurance]],Table3[Usage-Based Insurance],Table3[Usage-Based Insurance Discount],,0)</f>
        <v>1</v>
      </c>
      <c r="AD448">
        <f>_xlfn.XLOOKUP(Table1820[[#This Row],[Yearly Miles]],Table4[Yearly Miles],Table4[Yearly Miles Factor],,0)</f>
        <v>0.82</v>
      </c>
      <c r="AE448">
        <f>_xlfn.XLOOKUP(Table1820[[#This Row],[City/Zip Code]],Table5[City/Zip Code],Table5[City/Zip Code Factor],,0)</f>
        <v>1.02</v>
      </c>
      <c r="AF448">
        <f>_xlfn.XLOOKUP(Table1820[[#This Row],[Vehicle Price]],Table6[Vehicle Price],Table6[Vehicle Price Factor])</f>
        <v>1.28</v>
      </c>
      <c r="AG448">
        <f>_xlfn.XLOOKUP(Table1820[[#This Row],[Exotic Car]],Table7[Exotic Car],Table7[Exotic Car Factor],,0)</f>
        <v>1</v>
      </c>
      <c r="AH448">
        <f>_xlfn.XLOOKUP(Table1820[[#This Row],[Difficult Parts]],Table8[Difficult Parts],Table8[Difficult Parts Factor],,0)</f>
        <v>1</v>
      </c>
      <c r="AI448">
        <f>_xlfn.XLOOKUP(Table1820[[#This Row],[High Theft Rate]],Table9[High Theft Rate],Table9[High Theft Rate Factor],,0)</f>
        <v>1</v>
      </c>
      <c r="AJ448">
        <f>_xlfn.XLOOKUP(Table1820[[#This Row],[Advanced Safety Features]],Table10[Advanced Safety Features],Table10[Advanced Safety Features Factor],,0)</f>
        <v>0.88</v>
      </c>
      <c r="AK448">
        <f>_xlfn.XLOOKUP(Table1820[[#This Row],[Deductible]],Table12[Deductible],Table12[Deductible Factor],,0)</f>
        <v>1</v>
      </c>
      <c r="AL448">
        <f>_xlfn.XLOOKUP(Table1820[[#This Row],[Coverage Limit]],Table13[Coverage Limit],Table13[Coverage Limit Factor],,0)</f>
        <v>0.84</v>
      </c>
      <c r="AM448">
        <f>IF(Table1820[[#This Row],[Good Student Discount]]="Yes",'Rate Book'!$D$126,1)</f>
        <v>1</v>
      </c>
      <c r="AN448">
        <f>IF(Table1820[[#This Row],[Good Driver Discount]]="Yes",'Rate Book'!$D$127,1)</f>
        <v>0.89</v>
      </c>
      <c r="AO448">
        <f>IF(Table1820[[#This Row],[Multi Policy Discount]]="Yes",'Rate Book'!$D$128,1)</f>
        <v>1</v>
      </c>
      <c r="AP448">
        <f>IF(Table1820[[#This Row],[Loyal Customer Discount]]="Yes",'Rate Book'!$D$129,1)</f>
        <v>1</v>
      </c>
      <c r="AQ448">
        <f>IF(Table1820[[#This Row],[Organization Discount]]="Yes",'Rate Book'!$D$130,1)</f>
        <v>1</v>
      </c>
      <c r="AR448" cm="1">
        <f t="array" ref="AR448">IF(Table1820[[#This Row],[Effective Date]]&gt;=RateChangeTable[Effective Date],RateChangeTable[Rate Change Factor],1)</f>
        <v>1.06</v>
      </c>
      <c r="AS448" s="10">
        <f>PRODUCT(Table1820[[#This Row],[Base Rate]:[Rate Change Factor]])</f>
        <v>1312.0706532883046</v>
      </c>
      <c r="AT448" s="9">
        <f>Table1820[[#This Row],[System-Generated Premium]]-Table1820[[#This Row],[Expected Premium]]</f>
        <v>0</v>
      </c>
      <c r="AU448" t="str">
        <f>IF(Table1820[[#This Row],[Difference]]=0,"PASS","FAIL")</f>
        <v>PASS</v>
      </c>
      <c r="AV448" s="9">
        <f>ABS(Table1820[[#This Row],[Difference]])</f>
        <v>0</v>
      </c>
      <c r="AW448" s="9" t="s">
        <v>1136</v>
      </c>
    </row>
    <row r="449" spans="1:49" x14ac:dyDescent="0.3">
      <c r="A449" t="s">
        <v>540</v>
      </c>
      <c r="B449" s="7">
        <v>46026</v>
      </c>
      <c r="C449" t="s">
        <v>71</v>
      </c>
      <c r="D449" t="s">
        <v>1102</v>
      </c>
      <c r="E449" s="3">
        <v>2</v>
      </c>
      <c r="F449" s="3" t="s">
        <v>7</v>
      </c>
      <c r="G449" t="s">
        <v>10</v>
      </c>
      <c r="H449" t="s">
        <v>1108</v>
      </c>
      <c r="I449" t="s">
        <v>22</v>
      </c>
      <c r="J449" t="s">
        <v>48</v>
      </c>
      <c r="K449" t="s">
        <v>10</v>
      </c>
      <c r="L449" t="s">
        <v>10</v>
      </c>
      <c r="M449" t="s">
        <v>57</v>
      </c>
      <c r="N449" t="s">
        <v>57</v>
      </c>
      <c r="O449" t="str">
        <f>INDEX(CoverageTable[Deductible Applies],MATCH(Table1820[[#This Row],[Coverage]],CoverageTable[Coverage],0))</f>
        <v>Yes</v>
      </c>
      <c r="P449" t="str">
        <f>INDEX(CoverageTable[Coverage Limit Applies],MATCH(Table1820[[#This Row],[Coverage]],CoverageTable[Coverage],0))</f>
        <v>No</v>
      </c>
      <c r="Q449" t="s">
        <v>80</v>
      </c>
      <c r="R449" t="s">
        <v>10</v>
      </c>
      <c r="S449" t="s">
        <v>10</v>
      </c>
      <c r="T449" t="s">
        <v>10</v>
      </c>
      <c r="U449" t="s">
        <v>10</v>
      </c>
      <c r="V449" t="s">
        <v>10</v>
      </c>
      <c r="W449" t="s">
        <v>10</v>
      </c>
      <c r="X449" s="11">
        <v>1548.8031906959607</v>
      </c>
      <c r="Y449">
        <f>_xlfn.XLOOKUP(Table1820[[#This Row],[Coverage]],CoverageTable[Coverage],CoverageTable[Base Rate],,0)</f>
        <v>453</v>
      </c>
      <c r="Z449">
        <f>INDEX(Table16[Ageband Factor],MATCH(Table1820[[#This Row],[Ageband]],Table16[Ageband],0))</f>
        <v>1.27</v>
      </c>
      <c r="AA449">
        <f>VLOOKUP(Table1820[[#This Row],[Years Driving]],Table1[],2)</f>
        <v>1.41</v>
      </c>
      <c r="AB449">
        <f>_xlfn.XLOOKUP(Table1820[[#This Row],[At Fault Accidents]],Table2[At Fault Accidents],Table2[At Fault Accident Factor],,0)</f>
        <v>2.4700000000000002</v>
      </c>
      <c r="AC449">
        <f>_xlfn.XLOOKUP(Table1820[[#This Row],[Usage-Based Insurance]],Table3[Usage-Based Insurance],Table3[Usage-Based Insurance Discount],,0)</f>
        <v>1</v>
      </c>
      <c r="AD449">
        <f>_xlfn.XLOOKUP(Table1820[[#This Row],[Yearly Miles]],Table4[Yearly Miles],Table4[Yearly Miles Factor],,0)</f>
        <v>1</v>
      </c>
      <c r="AE449">
        <f>_xlfn.XLOOKUP(Table1820[[#This Row],[City/Zip Code]],Table5[City/Zip Code],Table5[City/Zip Code Factor],,0)</f>
        <v>1.21</v>
      </c>
      <c r="AF449">
        <f>_xlfn.XLOOKUP(Table1820[[#This Row],[Vehicle Price]],Table6[Vehicle Price],Table6[Vehicle Price Factor])</f>
        <v>0.82</v>
      </c>
      <c r="AG449">
        <f>_xlfn.XLOOKUP(Table1820[[#This Row],[Exotic Car]],Table7[Exotic Car],Table7[Exotic Car Factor],,0)</f>
        <v>1</v>
      </c>
      <c r="AH449">
        <f>_xlfn.XLOOKUP(Table1820[[#This Row],[Difficult Parts]],Table8[Difficult Parts],Table8[Difficult Parts Factor],,0)</f>
        <v>1</v>
      </c>
      <c r="AI449">
        <f>_xlfn.XLOOKUP(Table1820[[#This Row],[High Theft Rate]],Table9[High Theft Rate],Table9[High Theft Rate Factor],,0)</f>
        <v>1.1599999999999999</v>
      </c>
      <c r="AJ449">
        <f>_xlfn.XLOOKUP(Table1820[[#This Row],[Advanced Safety Features]],Table10[Advanced Safety Features],Table10[Advanced Safety Features Factor],,0)</f>
        <v>0.88</v>
      </c>
      <c r="AK449">
        <f>_xlfn.XLOOKUP(Table1820[[#This Row],[Deductible]],Table12[Deductible],Table12[Deductible Factor],,0)</f>
        <v>0.72</v>
      </c>
      <c r="AL449">
        <f>_xlfn.XLOOKUP(Table1820[[#This Row],[Coverage Limit]],Table13[Coverage Limit],Table13[Coverage Limit Factor],,0)</f>
        <v>1</v>
      </c>
      <c r="AM449">
        <f>IF(Table1820[[#This Row],[Good Student Discount]]="Yes",'Rate Book'!$D$126,1)</f>
        <v>1</v>
      </c>
      <c r="AN449">
        <f>IF(Table1820[[#This Row],[Good Driver Discount]]="Yes",'Rate Book'!$D$127,1)</f>
        <v>1</v>
      </c>
      <c r="AO449">
        <f>IF(Table1820[[#This Row],[Multi Policy Discount]]="Yes",'Rate Book'!$D$128,1)</f>
        <v>1</v>
      </c>
      <c r="AP449">
        <f>IF(Table1820[[#This Row],[Loyal Customer Discount]]="Yes",'Rate Book'!$D$129,1)</f>
        <v>1</v>
      </c>
      <c r="AQ449">
        <f>IF(Table1820[[#This Row],[Organization Discount]]="Yes",'Rate Book'!$D$130,1)</f>
        <v>1</v>
      </c>
      <c r="AR449" cm="1">
        <f t="array" ref="AR449">IF(Table1820[[#This Row],[Effective Date]]&gt;=RateChangeTable[Effective Date],RateChangeTable[Rate Change Factor],1)</f>
        <v>1.06</v>
      </c>
      <c r="AS449" s="10">
        <f>PRODUCT(Table1820[[#This Row],[Base Rate]:[Rate Change Factor]])</f>
        <v>1548.8031906959607</v>
      </c>
      <c r="AT449" s="9">
        <f>Table1820[[#This Row],[System-Generated Premium]]-Table1820[[#This Row],[Expected Premium]]</f>
        <v>0</v>
      </c>
      <c r="AU449" t="str">
        <f>IF(Table1820[[#This Row],[Difference]]=0,"PASS","FAIL")</f>
        <v>PASS</v>
      </c>
      <c r="AV449" s="9">
        <f>ABS(Table1820[[#This Row],[Difference]])</f>
        <v>0</v>
      </c>
      <c r="AW449" s="9" t="s">
        <v>1136</v>
      </c>
    </row>
    <row r="450" spans="1:49" x14ac:dyDescent="0.3">
      <c r="A450" t="s">
        <v>541</v>
      </c>
      <c r="B450" s="7">
        <v>45866</v>
      </c>
      <c r="C450" t="s">
        <v>72</v>
      </c>
      <c r="D450" t="s">
        <v>1102</v>
      </c>
      <c r="E450" s="3">
        <v>7</v>
      </c>
      <c r="F450" s="3">
        <v>4</v>
      </c>
      <c r="G450" t="s">
        <v>10</v>
      </c>
      <c r="H450" t="s">
        <v>1110</v>
      </c>
      <c r="I450" t="s">
        <v>43</v>
      </c>
      <c r="J450" t="s">
        <v>54</v>
      </c>
      <c r="K450" t="s">
        <v>10</v>
      </c>
      <c r="L450" t="s">
        <v>10</v>
      </c>
      <c r="M450" t="s">
        <v>10</v>
      </c>
      <c r="N450" t="s">
        <v>10</v>
      </c>
      <c r="O450" t="str">
        <f>INDEX(CoverageTable[Deductible Applies],MATCH(Table1820[[#This Row],[Coverage]],CoverageTable[Coverage],0))</f>
        <v>Yes</v>
      </c>
      <c r="P450" t="str">
        <f>INDEX(CoverageTable[Coverage Limit Applies],MATCH(Table1820[[#This Row],[Coverage]],CoverageTable[Coverage],0))</f>
        <v>No</v>
      </c>
      <c r="Q450" t="s">
        <v>79</v>
      </c>
      <c r="R450" t="s">
        <v>10</v>
      </c>
      <c r="S450" t="s">
        <v>10</v>
      </c>
      <c r="T450" t="s">
        <v>57</v>
      </c>
      <c r="U450" t="s">
        <v>10</v>
      </c>
      <c r="V450" t="s">
        <v>10</v>
      </c>
      <c r="W450" t="s">
        <v>10</v>
      </c>
      <c r="X450" s="11">
        <v>1026.4860458190051</v>
      </c>
      <c r="Y450">
        <f>_xlfn.XLOOKUP(Table1820[[#This Row],[Coverage]],CoverageTable[Coverage],CoverageTable[Base Rate],,0)</f>
        <v>121</v>
      </c>
      <c r="Z450">
        <f>INDEX(Table16[Ageband Factor],MATCH(Table1820[[#This Row],[Ageband]],Table16[Ageband],0))</f>
        <v>1.27</v>
      </c>
      <c r="AA450">
        <f>VLOOKUP(Table1820[[#This Row],[Years Driving]],Table1[],2)</f>
        <v>0.95</v>
      </c>
      <c r="AB450">
        <f>_xlfn.XLOOKUP(Table1820[[#This Row],[At Fault Accidents]],Table2[At Fault Accidents],Table2[At Fault Accident Factor],,0)</f>
        <v>2.12</v>
      </c>
      <c r="AC450">
        <f>_xlfn.XLOOKUP(Table1820[[#This Row],[Usage-Based Insurance]],Table3[Usage-Based Insurance],Table3[Usage-Based Insurance Discount],,0)</f>
        <v>1</v>
      </c>
      <c r="AD450">
        <f>_xlfn.XLOOKUP(Table1820[[#This Row],[Yearly Miles]],Table4[Yearly Miles],Table4[Yearly Miles Factor],,0)</f>
        <v>1.31</v>
      </c>
      <c r="AE450">
        <f>_xlfn.XLOOKUP(Table1820[[#This Row],[City/Zip Code]],Table5[City/Zip Code],Table5[City/Zip Code Factor],,0)</f>
        <v>1.18</v>
      </c>
      <c r="AF450">
        <f>_xlfn.XLOOKUP(Table1820[[#This Row],[Vehicle Price]],Table6[Vehicle Price],Table6[Vehicle Price Factor])</f>
        <v>2.87</v>
      </c>
      <c r="AG450">
        <f>_xlfn.XLOOKUP(Table1820[[#This Row],[Exotic Car]],Table7[Exotic Car],Table7[Exotic Car Factor],,0)</f>
        <v>1</v>
      </c>
      <c r="AH450">
        <f>_xlfn.XLOOKUP(Table1820[[#This Row],[Difficult Parts]],Table8[Difficult Parts],Table8[Difficult Parts Factor],,0)</f>
        <v>1</v>
      </c>
      <c r="AI450">
        <f>_xlfn.XLOOKUP(Table1820[[#This Row],[High Theft Rate]],Table9[High Theft Rate],Table9[High Theft Rate Factor],,0)</f>
        <v>1</v>
      </c>
      <c r="AJ450">
        <f>_xlfn.XLOOKUP(Table1820[[#This Row],[Advanced Safety Features]],Table10[Advanced Safety Features],Table10[Advanced Safety Features Factor],,0)</f>
        <v>1</v>
      </c>
      <c r="AK450">
        <f>_xlfn.XLOOKUP(Table1820[[#This Row],[Deductible]],Table12[Deductible],Table12[Deductible Factor],,0)</f>
        <v>0.84</v>
      </c>
      <c r="AL450">
        <f>_xlfn.XLOOKUP(Table1820[[#This Row],[Coverage Limit]],Table13[Coverage Limit],Table13[Coverage Limit Factor],,0)</f>
        <v>1</v>
      </c>
      <c r="AM450">
        <f>IF(Table1820[[#This Row],[Good Student Discount]]="Yes",'Rate Book'!$D$126,1)</f>
        <v>1</v>
      </c>
      <c r="AN450">
        <f>IF(Table1820[[#This Row],[Good Driver Discount]]="Yes",'Rate Book'!$D$127,1)</f>
        <v>0.89</v>
      </c>
      <c r="AO450">
        <f>IF(Table1820[[#This Row],[Multi Policy Discount]]="Yes",'Rate Book'!$D$128,1)</f>
        <v>1</v>
      </c>
      <c r="AP450">
        <f>IF(Table1820[[#This Row],[Loyal Customer Discount]]="Yes",'Rate Book'!$D$129,1)</f>
        <v>1</v>
      </c>
      <c r="AQ450">
        <f>IF(Table1820[[#This Row],[Organization Discount]]="Yes",'Rate Book'!$D$130,1)</f>
        <v>1</v>
      </c>
      <c r="AR450" cm="1">
        <f t="array" ref="AR450">IF(Table1820[[#This Row],[Effective Date]]&gt;=RateChangeTable[Effective Date],RateChangeTable[Rate Change Factor],1)</f>
        <v>1</v>
      </c>
      <c r="AS450" s="10">
        <f>PRODUCT(Table1820[[#This Row],[Base Rate]:[Rate Change Factor]])</f>
        <v>1026.4860458190051</v>
      </c>
      <c r="AT450" s="9">
        <f>Table1820[[#This Row],[System-Generated Premium]]-Table1820[[#This Row],[Expected Premium]]</f>
        <v>0</v>
      </c>
      <c r="AU450" t="str">
        <f>IF(Table1820[[#This Row],[Difference]]=0,"PASS","FAIL")</f>
        <v>PASS</v>
      </c>
      <c r="AV450" s="9">
        <f>ABS(Table1820[[#This Row],[Difference]])</f>
        <v>0</v>
      </c>
      <c r="AW450" s="9" t="s">
        <v>1136</v>
      </c>
    </row>
    <row r="451" spans="1:49" x14ac:dyDescent="0.3">
      <c r="A451" t="s">
        <v>542</v>
      </c>
      <c r="B451" s="7">
        <v>45821</v>
      </c>
      <c r="C451" t="s">
        <v>70</v>
      </c>
      <c r="D451" t="s">
        <v>1099</v>
      </c>
      <c r="E451" s="3">
        <v>2</v>
      </c>
      <c r="F451" s="3">
        <v>4</v>
      </c>
      <c r="G451" t="s">
        <v>13</v>
      </c>
      <c r="H451" t="s">
        <v>1106</v>
      </c>
      <c r="I451" t="s">
        <v>22</v>
      </c>
      <c r="J451" t="s">
        <v>48</v>
      </c>
      <c r="K451" t="s">
        <v>10</v>
      </c>
      <c r="L451" t="s">
        <v>10</v>
      </c>
      <c r="M451" t="s">
        <v>10</v>
      </c>
      <c r="N451" t="s">
        <v>10</v>
      </c>
      <c r="O451" t="str">
        <f>INDEX(CoverageTable[Deductible Applies],MATCH(Table1820[[#This Row],[Coverage]],CoverageTable[Coverage],0))</f>
        <v>No</v>
      </c>
      <c r="P451" t="str">
        <f>INDEX(CoverageTable[Coverage Limit Applies],MATCH(Table1820[[#This Row],[Coverage]],CoverageTable[Coverage],0))</f>
        <v>Yes</v>
      </c>
      <c r="Q451" t="s">
        <v>10</v>
      </c>
      <c r="R451" t="s">
        <v>79</v>
      </c>
      <c r="S451" t="s">
        <v>10</v>
      </c>
      <c r="T451" t="s">
        <v>57</v>
      </c>
      <c r="U451" t="s">
        <v>10</v>
      </c>
      <c r="V451" t="s">
        <v>10</v>
      </c>
      <c r="W451" t="s">
        <v>10</v>
      </c>
      <c r="X451" s="11">
        <v>630.07796686299378</v>
      </c>
      <c r="Y451">
        <f>_xlfn.XLOOKUP(Table1820[[#This Row],[Coverage]],CoverageTable[Coverage],CoverageTable[Base Rate],,0)</f>
        <v>622</v>
      </c>
      <c r="Z451">
        <f>INDEX(Table16[Ageband Factor],MATCH(Table1820[[#This Row],[Ageband]],Table16[Ageband],0))</f>
        <v>1</v>
      </c>
      <c r="AA451">
        <f>VLOOKUP(Table1820[[#This Row],[Years Driving]],Table1[],2)</f>
        <v>1.41</v>
      </c>
      <c r="AB451">
        <f>_xlfn.XLOOKUP(Table1820[[#This Row],[At Fault Accidents]],Table2[At Fault Accidents],Table2[At Fault Accident Factor],,0)</f>
        <v>2.12</v>
      </c>
      <c r="AC451">
        <f>_xlfn.XLOOKUP(Table1820[[#This Row],[Usage-Based Insurance]],Table3[Usage-Based Insurance],Table3[Usage-Based Insurance Discount],,0)</f>
        <v>0.65</v>
      </c>
      <c r="AD451">
        <f>_xlfn.XLOOKUP(Table1820[[#This Row],[Yearly Miles]],Table4[Yearly Miles],Table4[Yearly Miles Factor],,0)</f>
        <v>0.82</v>
      </c>
      <c r="AE451">
        <f>_xlfn.XLOOKUP(Table1820[[#This Row],[City/Zip Code]],Table5[City/Zip Code],Table5[City/Zip Code Factor],,0)</f>
        <v>1.21</v>
      </c>
      <c r="AF451">
        <f>_xlfn.XLOOKUP(Table1820[[#This Row],[Vehicle Price]],Table6[Vehicle Price],Table6[Vehicle Price Factor])</f>
        <v>0.82</v>
      </c>
      <c r="AG451">
        <f>_xlfn.XLOOKUP(Table1820[[#This Row],[Exotic Car]],Table7[Exotic Car],Table7[Exotic Car Factor],,0)</f>
        <v>1</v>
      </c>
      <c r="AH451">
        <f>_xlfn.XLOOKUP(Table1820[[#This Row],[Difficult Parts]],Table8[Difficult Parts],Table8[Difficult Parts Factor],,0)</f>
        <v>1</v>
      </c>
      <c r="AI451">
        <f>_xlfn.XLOOKUP(Table1820[[#This Row],[High Theft Rate]],Table9[High Theft Rate],Table9[High Theft Rate Factor],,0)</f>
        <v>1</v>
      </c>
      <c r="AJ451">
        <f>_xlfn.XLOOKUP(Table1820[[#This Row],[Advanced Safety Features]],Table10[Advanced Safety Features],Table10[Advanced Safety Features Factor],,0)</f>
        <v>1</v>
      </c>
      <c r="AK451">
        <f>_xlfn.XLOOKUP(Table1820[[#This Row],[Deductible]],Table12[Deductible],Table12[Deductible Factor],,0)</f>
        <v>1</v>
      </c>
      <c r="AL451">
        <f>_xlfn.XLOOKUP(Table1820[[#This Row],[Coverage Limit]],Table13[Coverage Limit],Table13[Coverage Limit Factor],,0)</f>
        <v>0.72</v>
      </c>
      <c r="AM451">
        <f>IF(Table1820[[#This Row],[Good Student Discount]]="Yes",'Rate Book'!$D$126,1)</f>
        <v>1</v>
      </c>
      <c r="AN451">
        <f>IF(Table1820[[#This Row],[Good Driver Discount]]="Yes",'Rate Book'!$D$127,1)</f>
        <v>0.89</v>
      </c>
      <c r="AO451">
        <f>IF(Table1820[[#This Row],[Multi Policy Discount]]="Yes",'Rate Book'!$D$128,1)</f>
        <v>1</v>
      </c>
      <c r="AP451">
        <f>IF(Table1820[[#This Row],[Loyal Customer Discount]]="Yes",'Rate Book'!$D$129,1)</f>
        <v>1</v>
      </c>
      <c r="AQ451">
        <f>IF(Table1820[[#This Row],[Organization Discount]]="Yes",'Rate Book'!$D$130,1)</f>
        <v>1</v>
      </c>
      <c r="AR451" cm="1">
        <f t="array" ref="AR451">IF(Table1820[[#This Row],[Effective Date]]&gt;=RateChangeTable[Effective Date],RateChangeTable[Rate Change Factor],1)</f>
        <v>1</v>
      </c>
      <c r="AS451" s="10">
        <f>PRODUCT(Table1820[[#This Row],[Base Rate]:[Rate Change Factor]])</f>
        <v>630.07796686299378</v>
      </c>
      <c r="AT451" s="9">
        <f>Table1820[[#This Row],[System-Generated Premium]]-Table1820[[#This Row],[Expected Premium]]</f>
        <v>0</v>
      </c>
      <c r="AU451" t="str">
        <f>IF(Table1820[[#This Row],[Difference]]=0,"PASS","FAIL")</f>
        <v>PASS</v>
      </c>
      <c r="AV451" s="9">
        <f>ABS(Table1820[[#This Row],[Difference]])</f>
        <v>0</v>
      </c>
      <c r="AW451" s="9" t="s">
        <v>1136</v>
      </c>
    </row>
    <row r="452" spans="1:49" x14ac:dyDescent="0.3">
      <c r="A452" t="s">
        <v>543</v>
      </c>
      <c r="B452" s="7">
        <v>45988</v>
      </c>
      <c r="C452" t="s">
        <v>70</v>
      </c>
      <c r="D452" t="s">
        <v>1101</v>
      </c>
      <c r="E452" s="3">
        <v>3</v>
      </c>
      <c r="F452" s="3">
        <v>0</v>
      </c>
      <c r="G452" t="s">
        <v>10</v>
      </c>
      <c r="H452" t="s">
        <v>1110</v>
      </c>
      <c r="I452" t="s">
        <v>35</v>
      </c>
      <c r="J452" t="s">
        <v>50</v>
      </c>
      <c r="K452" t="s">
        <v>10</v>
      </c>
      <c r="L452" t="s">
        <v>10</v>
      </c>
      <c r="M452" t="s">
        <v>57</v>
      </c>
      <c r="N452" t="s">
        <v>10</v>
      </c>
      <c r="O452" t="str">
        <f>INDEX(CoverageTable[Deductible Applies],MATCH(Table1820[[#This Row],[Coverage]],CoverageTable[Coverage],0))</f>
        <v>No</v>
      </c>
      <c r="P452" t="str">
        <f>INDEX(CoverageTable[Coverage Limit Applies],MATCH(Table1820[[#This Row],[Coverage]],CoverageTable[Coverage],0))</f>
        <v>Yes</v>
      </c>
      <c r="Q452" t="s">
        <v>10</v>
      </c>
      <c r="R452" t="s">
        <v>80</v>
      </c>
      <c r="S452" t="s">
        <v>10</v>
      </c>
      <c r="T452" t="s">
        <v>10</v>
      </c>
      <c r="U452" t="s">
        <v>57</v>
      </c>
      <c r="V452" t="s">
        <v>10</v>
      </c>
      <c r="W452" t="s">
        <v>10</v>
      </c>
      <c r="X452" s="11">
        <v>1220.3981361378169</v>
      </c>
      <c r="Y452">
        <f>_xlfn.XLOOKUP(Table1820[[#This Row],[Coverage]],CoverageTable[Coverage],CoverageTable[Base Rate],,0)</f>
        <v>622</v>
      </c>
      <c r="Z452">
        <f>INDEX(Table16[Ageband Factor],MATCH(Table1820[[#This Row],[Ageband]],Table16[Ageband],0))</f>
        <v>1.1200000000000001</v>
      </c>
      <c r="AA452">
        <f>VLOOKUP(Table1820[[#This Row],[Years Driving]],Table1[],2)</f>
        <v>1.22</v>
      </c>
      <c r="AB452">
        <f>_xlfn.XLOOKUP(Table1820[[#This Row],[At Fault Accidents]],Table2[At Fault Accidents],Table2[At Fault Accident Factor],,0)</f>
        <v>1</v>
      </c>
      <c r="AC452">
        <f>_xlfn.XLOOKUP(Table1820[[#This Row],[Usage-Based Insurance]],Table3[Usage-Based Insurance],Table3[Usage-Based Insurance Discount],,0)</f>
        <v>1</v>
      </c>
      <c r="AD452">
        <f>_xlfn.XLOOKUP(Table1820[[#This Row],[Yearly Miles]],Table4[Yearly Miles],Table4[Yearly Miles Factor],,0)</f>
        <v>1.31</v>
      </c>
      <c r="AE452">
        <f>_xlfn.XLOOKUP(Table1820[[#This Row],[City/Zip Code]],Table5[City/Zip Code],Table5[City/Zip Code Factor],,0)</f>
        <v>1.1200000000000001</v>
      </c>
      <c r="AF452">
        <f>_xlfn.XLOOKUP(Table1820[[#This Row],[Vehicle Price]],Table6[Vehicle Price],Table6[Vehicle Price Factor])</f>
        <v>1.08</v>
      </c>
      <c r="AG452">
        <f>_xlfn.XLOOKUP(Table1820[[#This Row],[Exotic Car]],Table7[Exotic Car],Table7[Exotic Car Factor],,0)</f>
        <v>1</v>
      </c>
      <c r="AH452">
        <f>_xlfn.XLOOKUP(Table1820[[#This Row],[Difficult Parts]],Table8[Difficult Parts],Table8[Difficult Parts Factor],,0)</f>
        <v>1</v>
      </c>
      <c r="AI452">
        <f>_xlfn.XLOOKUP(Table1820[[#This Row],[High Theft Rate]],Table9[High Theft Rate],Table9[High Theft Rate Factor],,0)</f>
        <v>1.1599999999999999</v>
      </c>
      <c r="AJ452">
        <f>_xlfn.XLOOKUP(Table1820[[#This Row],[Advanced Safety Features]],Table10[Advanced Safety Features],Table10[Advanced Safety Features Factor],,0)</f>
        <v>1</v>
      </c>
      <c r="AK452">
        <f>_xlfn.XLOOKUP(Table1820[[#This Row],[Deductible]],Table12[Deductible],Table12[Deductible Factor],,0)</f>
        <v>1</v>
      </c>
      <c r="AL452">
        <f>_xlfn.XLOOKUP(Table1820[[#This Row],[Coverage Limit]],Table13[Coverage Limit],Table13[Coverage Limit Factor],,0)</f>
        <v>0.84</v>
      </c>
      <c r="AM452">
        <f>IF(Table1820[[#This Row],[Good Student Discount]]="Yes",'Rate Book'!$D$126,1)</f>
        <v>1</v>
      </c>
      <c r="AN452">
        <f>IF(Table1820[[#This Row],[Good Driver Discount]]="Yes",'Rate Book'!$D$127,1)</f>
        <v>1</v>
      </c>
      <c r="AO452">
        <f>IF(Table1820[[#This Row],[Multi Policy Discount]]="Yes",'Rate Book'!$D$128,1)</f>
        <v>0.93</v>
      </c>
      <c r="AP452">
        <f>IF(Table1820[[#This Row],[Loyal Customer Discount]]="Yes",'Rate Book'!$D$129,1)</f>
        <v>1</v>
      </c>
      <c r="AQ452">
        <f>IF(Table1820[[#This Row],[Organization Discount]]="Yes",'Rate Book'!$D$130,1)</f>
        <v>1</v>
      </c>
      <c r="AR452" cm="1">
        <f t="array" ref="AR452">IF(Table1820[[#This Row],[Effective Date]]&gt;=RateChangeTable[Effective Date],RateChangeTable[Rate Change Factor],1)</f>
        <v>1</v>
      </c>
      <c r="AS452" s="10">
        <f>PRODUCT(Table1820[[#This Row],[Base Rate]:[Rate Change Factor]])</f>
        <v>1220.3981361378169</v>
      </c>
      <c r="AT452" s="9">
        <f>Table1820[[#This Row],[System-Generated Premium]]-Table1820[[#This Row],[Expected Premium]]</f>
        <v>0</v>
      </c>
      <c r="AU452" t="str">
        <f>IF(Table1820[[#This Row],[Difference]]=0,"PASS","FAIL")</f>
        <v>PASS</v>
      </c>
      <c r="AV452" s="9">
        <f>ABS(Table1820[[#This Row],[Difference]])</f>
        <v>0</v>
      </c>
      <c r="AW452" s="9" t="s">
        <v>1136</v>
      </c>
    </row>
    <row r="453" spans="1:49" x14ac:dyDescent="0.3">
      <c r="A453" t="s">
        <v>544</v>
      </c>
      <c r="B453" s="7">
        <v>46027</v>
      </c>
      <c r="C453" t="s">
        <v>71</v>
      </c>
      <c r="D453" t="s">
        <v>1097</v>
      </c>
      <c r="E453" s="3" t="s">
        <v>1103</v>
      </c>
      <c r="F453" s="3">
        <v>1</v>
      </c>
      <c r="G453" t="s">
        <v>12</v>
      </c>
      <c r="H453" t="s">
        <v>1110</v>
      </c>
      <c r="I453" t="s">
        <v>39</v>
      </c>
      <c r="J453" t="s">
        <v>51</v>
      </c>
      <c r="K453" t="s">
        <v>10</v>
      </c>
      <c r="L453" t="s">
        <v>10</v>
      </c>
      <c r="M453" t="s">
        <v>10</v>
      </c>
      <c r="N453" t="s">
        <v>57</v>
      </c>
      <c r="O453" t="str">
        <f>INDEX(CoverageTable[Deductible Applies],MATCH(Table1820[[#This Row],[Coverage]],CoverageTable[Coverage],0))</f>
        <v>Yes</v>
      </c>
      <c r="P453" t="str">
        <f>INDEX(CoverageTable[Coverage Limit Applies],MATCH(Table1820[[#This Row],[Coverage]],CoverageTable[Coverage],0))</f>
        <v>No</v>
      </c>
      <c r="Q453" t="s">
        <v>79</v>
      </c>
      <c r="R453" t="s">
        <v>10</v>
      </c>
      <c r="S453" t="s">
        <v>10</v>
      </c>
      <c r="T453" t="s">
        <v>10</v>
      </c>
      <c r="U453" t="s">
        <v>10</v>
      </c>
      <c r="V453" t="s">
        <v>10</v>
      </c>
      <c r="W453" t="s">
        <v>10</v>
      </c>
      <c r="X453" s="11">
        <v>845.90718031317567</v>
      </c>
      <c r="Y453">
        <f>_xlfn.XLOOKUP(Table1820[[#This Row],[Coverage]],CoverageTable[Coverage],CoverageTable[Base Rate],,0)</f>
        <v>453</v>
      </c>
      <c r="Z453">
        <f>INDEX(Table16[Ageband Factor],MATCH(Table1820[[#This Row],[Ageband]],Table16[Ageband],0))</f>
        <v>1.32</v>
      </c>
      <c r="AA453">
        <f>VLOOKUP(Table1820[[#This Row],[Years Driving]],Table1[],2)</f>
        <v>0.93</v>
      </c>
      <c r="AB453">
        <f>_xlfn.XLOOKUP(Table1820[[#This Row],[At Fault Accidents]],Table2[At Fault Accidents],Table2[At Fault Accident Factor],,0)</f>
        <v>1.34</v>
      </c>
      <c r="AC453">
        <f>_xlfn.XLOOKUP(Table1820[[#This Row],[Usage-Based Insurance]],Table3[Usage-Based Insurance],Table3[Usage-Based Insurance Discount],,0)</f>
        <v>0.8</v>
      </c>
      <c r="AD453">
        <f>_xlfn.XLOOKUP(Table1820[[#This Row],[Yearly Miles]],Table4[Yearly Miles],Table4[Yearly Miles Factor],,0)</f>
        <v>1.31</v>
      </c>
      <c r="AE453">
        <f>_xlfn.XLOOKUP(Table1820[[#This Row],[City/Zip Code]],Table5[City/Zip Code],Table5[City/Zip Code Factor],,0)</f>
        <v>1.08</v>
      </c>
      <c r="AF453">
        <f>_xlfn.XLOOKUP(Table1820[[#This Row],[Vehicle Price]],Table6[Vehicle Price],Table6[Vehicle Price Factor])</f>
        <v>1.28</v>
      </c>
      <c r="AG453">
        <f>_xlfn.XLOOKUP(Table1820[[#This Row],[Exotic Car]],Table7[Exotic Car],Table7[Exotic Car Factor],,0)</f>
        <v>1</v>
      </c>
      <c r="AH453">
        <f>_xlfn.XLOOKUP(Table1820[[#This Row],[Difficult Parts]],Table8[Difficult Parts],Table8[Difficult Parts Factor],,0)</f>
        <v>1</v>
      </c>
      <c r="AI453">
        <f>_xlfn.XLOOKUP(Table1820[[#This Row],[High Theft Rate]],Table9[High Theft Rate],Table9[High Theft Rate Factor],,0)</f>
        <v>1</v>
      </c>
      <c r="AJ453">
        <f>_xlfn.XLOOKUP(Table1820[[#This Row],[Advanced Safety Features]],Table10[Advanced Safety Features],Table10[Advanced Safety Features Factor],,0)</f>
        <v>0.88</v>
      </c>
      <c r="AK453">
        <f>_xlfn.XLOOKUP(Table1820[[#This Row],[Deductible]],Table12[Deductible],Table12[Deductible Factor],,0)</f>
        <v>0.84</v>
      </c>
      <c r="AL453">
        <f>_xlfn.XLOOKUP(Table1820[[#This Row],[Coverage Limit]],Table13[Coverage Limit],Table13[Coverage Limit Factor],,0)</f>
        <v>1</v>
      </c>
      <c r="AM453">
        <f>IF(Table1820[[#This Row],[Good Student Discount]]="Yes",'Rate Book'!$D$126,1)</f>
        <v>1</v>
      </c>
      <c r="AN453">
        <f>IF(Table1820[[#This Row],[Good Driver Discount]]="Yes",'Rate Book'!$D$127,1)</f>
        <v>1</v>
      </c>
      <c r="AO453">
        <f>IF(Table1820[[#This Row],[Multi Policy Discount]]="Yes",'Rate Book'!$D$128,1)</f>
        <v>1</v>
      </c>
      <c r="AP453">
        <f>IF(Table1820[[#This Row],[Loyal Customer Discount]]="Yes",'Rate Book'!$D$129,1)</f>
        <v>1</v>
      </c>
      <c r="AQ453">
        <f>IF(Table1820[[#This Row],[Organization Discount]]="Yes",'Rate Book'!$D$130,1)</f>
        <v>1</v>
      </c>
      <c r="AR453" cm="1">
        <f t="array" ref="AR453">IF(Table1820[[#This Row],[Effective Date]]&gt;=RateChangeTable[Effective Date],RateChangeTable[Rate Change Factor],1)</f>
        <v>1.06</v>
      </c>
      <c r="AS453" s="10">
        <f>PRODUCT(Table1820[[#This Row],[Base Rate]:[Rate Change Factor]])</f>
        <v>845.90718031317567</v>
      </c>
      <c r="AT453" s="9">
        <f>Table1820[[#This Row],[System-Generated Premium]]-Table1820[[#This Row],[Expected Premium]]</f>
        <v>0</v>
      </c>
      <c r="AU453" t="str">
        <f>IF(Table1820[[#This Row],[Difference]]=0,"PASS","FAIL")</f>
        <v>PASS</v>
      </c>
      <c r="AV453" s="9">
        <f>ABS(Table1820[[#This Row],[Difference]])</f>
        <v>0</v>
      </c>
      <c r="AW453" s="9" t="s">
        <v>1136</v>
      </c>
    </row>
    <row r="454" spans="1:49" x14ac:dyDescent="0.3">
      <c r="A454" t="s">
        <v>545</v>
      </c>
      <c r="B454" s="7">
        <v>46134</v>
      </c>
      <c r="C454" t="s">
        <v>71</v>
      </c>
      <c r="D454" t="s">
        <v>1102</v>
      </c>
      <c r="E454" s="3">
        <v>4</v>
      </c>
      <c r="F454" s="3">
        <v>4</v>
      </c>
      <c r="G454" t="s">
        <v>12</v>
      </c>
      <c r="H454" t="s">
        <v>1108</v>
      </c>
      <c r="I454" t="s">
        <v>30</v>
      </c>
      <c r="J454" t="s">
        <v>50</v>
      </c>
      <c r="K454" t="s">
        <v>10</v>
      </c>
      <c r="L454" t="s">
        <v>10</v>
      </c>
      <c r="M454" t="s">
        <v>57</v>
      </c>
      <c r="N454" t="s">
        <v>57</v>
      </c>
      <c r="O454" t="str">
        <f>INDEX(CoverageTable[Deductible Applies],MATCH(Table1820[[#This Row],[Coverage]],CoverageTable[Coverage],0))</f>
        <v>Yes</v>
      </c>
      <c r="P454" t="str">
        <f>INDEX(CoverageTable[Coverage Limit Applies],MATCH(Table1820[[#This Row],[Coverage]],CoverageTable[Coverage],0))</f>
        <v>No</v>
      </c>
      <c r="Q454" t="s">
        <v>79</v>
      </c>
      <c r="R454" t="s">
        <v>10</v>
      </c>
      <c r="S454" t="s">
        <v>10</v>
      </c>
      <c r="T454" t="s">
        <v>10</v>
      </c>
      <c r="U454" t="s">
        <v>10</v>
      </c>
      <c r="V454" t="s">
        <v>57</v>
      </c>
      <c r="W454" t="s">
        <v>10</v>
      </c>
      <c r="X454" s="11">
        <v>1056.0955308559389</v>
      </c>
      <c r="Y454">
        <f>_xlfn.XLOOKUP(Table1820[[#This Row],[Coverage]],CoverageTable[Coverage],CoverageTable[Base Rate],,0)</f>
        <v>453</v>
      </c>
      <c r="Z454">
        <f>INDEX(Table16[Ageband Factor],MATCH(Table1820[[#This Row],[Ageband]],Table16[Ageband],0))</f>
        <v>1.27</v>
      </c>
      <c r="AA454">
        <f>VLOOKUP(Table1820[[#This Row],[Years Driving]],Table1[],2)</f>
        <v>1.1499999999999999</v>
      </c>
      <c r="AB454">
        <f>_xlfn.XLOOKUP(Table1820[[#This Row],[At Fault Accidents]],Table2[At Fault Accidents],Table2[At Fault Accident Factor],,0)</f>
        <v>2.12</v>
      </c>
      <c r="AC454">
        <f>_xlfn.XLOOKUP(Table1820[[#This Row],[Usage-Based Insurance]],Table3[Usage-Based Insurance],Table3[Usage-Based Insurance Discount],,0)</f>
        <v>0.8</v>
      </c>
      <c r="AD454">
        <f>_xlfn.XLOOKUP(Table1820[[#This Row],[Yearly Miles]],Table4[Yearly Miles],Table4[Yearly Miles Factor],,0)</f>
        <v>1</v>
      </c>
      <c r="AE454">
        <f>_xlfn.XLOOKUP(Table1820[[#This Row],[City/Zip Code]],Table5[City/Zip Code],Table5[City/Zip Code Factor],,0)</f>
        <v>1.02</v>
      </c>
      <c r="AF454">
        <f>_xlfn.XLOOKUP(Table1820[[#This Row],[Vehicle Price]],Table6[Vehicle Price],Table6[Vehicle Price Factor])</f>
        <v>1.08</v>
      </c>
      <c r="AG454">
        <f>_xlfn.XLOOKUP(Table1820[[#This Row],[Exotic Car]],Table7[Exotic Car],Table7[Exotic Car Factor],,0)</f>
        <v>1</v>
      </c>
      <c r="AH454">
        <f>_xlfn.XLOOKUP(Table1820[[#This Row],[Difficult Parts]],Table8[Difficult Parts],Table8[Difficult Parts Factor],,0)</f>
        <v>1</v>
      </c>
      <c r="AI454">
        <f>_xlfn.XLOOKUP(Table1820[[#This Row],[High Theft Rate]],Table9[High Theft Rate],Table9[High Theft Rate Factor],,0)</f>
        <v>1.1599999999999999</v>
      </c>
      <c r="AJ454">
        <f>_xlfn.XLOOKUP(Table1820[[#This Row],[Advanced Safety Features]],Table10[Advanced Safety Features],Table10[Advanced Safety Features Factor],,0)</f>
        <v>0.88</v>
      </c>
      <c r="AK454">
        <f>_xlfn.XLOOKUP(Table1820[[#This Row],[Deductible]],Table12[Deductible],Table12[Deductible Factor],,0)</f>
        <v>0.84</v>
      </c>
      <c r="AL454">
        <f>_xlfn.XLOOKUP(Table1820[[#This Row],[Coverage Limit]],Table13[Coverage Limit],Table13[Coverage Limit Factor],,0)</f>
        <v>1</v>
      </c>
      <c r="AM454">
        <f>IF(Table1820[[#This Row],[Good Student Discount]]="Yes",'Rate Book'!$D$126,1)</f>
        <v>1</v>
      </c>
      <c r="AN454">
        <f>IF(Table1820[[#This Row],[Good Driver Discount]]="Yes",'Rate Book'!$D$127,1)</f>
        <v>1</v>
      </c>
      <c r="AO454">
        <f>IF(Table1820[[#This Row],[Multi Policy Discount]]="Yes",'Rate Book'!$D$128,1)</f>
        <v>1</v>
      </c>
      <c r="AP454">
        <f>IF(Table1820[[#This Row],[Loyal Customer Discount]]="Yes",'Rate Book'!$D$129,1)</f>
        <v>0.94</v>
      </c>
      <c r="AQ454">
        <f>IF(Table1820[[#This Row],[Organization Discount]]="Yes",'Rate Book'!$D$130,1)</f>
        <v>1</v>
      </c>
      <c r="AR454" cm="1">
        <f t="array" ref="AR454">IF(Table1820[[#This Row],[Effective Date]]&gt;=RateChangeTable[Effective Date],RateChangeTable[Rate Change Factor],1)</f>
        <v>1.06</v>
      </c>
      <c r="AS454" s="10">
        <f>PRODUCT(Table1820[[#This Row],[Base Rate]:[Rate Change Factor]])</f>
        <v>1056.0955308559389</v>
      </c>
      <c r="AT454" s="9">
        <f>Table1820[[#This Row],[System-Generated Premium]]-Table1820[[#This Row],[Expected Premium]]</f>
        <v>0</v>
      </c>
      <c r="AU454" t="str">
        <f>IF(Table1820[[#This Row],[Difference]]=0,"PASS","FAIL")</f>
        <v>PASS</v>
      </c>
      <c r="AV454" s="9">
        <f>ABS(Table1820[[#This Row],[Difference]])</f>
        <v>0</v>
      </c>
      <c r="AW454" s="9" t="s">
        <v>1136</v>
      </c>
    </row>
    <row r="455" spans="1:49" x14ac:dyDescent="0.3">
      <c r="A455" t="s">
        <v>546</v>
      </c>
      <c r="B455" s="7">
        <v>45827</v>
      </c>
      <c r="C455" t="s">
        <v>70</v>
      </c>
      <c r="D455" t="s">
        <v>1099</v>
      </c>
      <c r="E455" s="3">
        <v>4</v>
      </c>
      <c r="F455" s="3">
        <v>1</v>
      </c>
      <c r="G455" t="s">
        <v>12</v>
      </c>
      <c r="H455" t="s">
        <v>1108</v>
      </c>
      <c r="I455" t="s">
        <v>21</v>
      </c>
      <c r="J455" t="s">
        <v>53</v>
      </c>
      <c r="K455" t="s">
        <v>10</v>
      </c>
      <c r="L455" t="s">
        <v>10</v>
      </c>
      <c r="M455" t="s">
        <v>10</v>
      </c>
      <c r="N455" t="s">
        <v>57</v>
      </c>
      <c r="O455" t="str">
        <f>INDEX(CoverageTable[Deductible Applies],MATCH(Table1820[[#This Row],[Coverage]],CoverageTable[Coverage],0))</f>
        <v>No</v>
      </c>
      <c r="P455" t="str">
        <f>INDEX(CoverageTable[Coverage Limit Applies],MATCH(Table1820[[#This Row],[Coverage]],CoverageTable[Coverage],0))</f>
        <v>Yes</v>
      </c>
      <c r="Q455" t="s">
        <v>10</v>
      </c>
      <c r="R455" t="s">
        <v>79</v>
      </c>
      <c r="S455" t="s">
        <v>10</v>
      </c>
      <c r="T455" t="s">
        <v>57</v>
      </c>
      <c r="U455" t="s">
        <v>57</v>
      </c>
      <c r="V455" t="s">
        <v>10</v>
      </c>
      <c r="W455" t="s">
        <v>10</v>
      </c>
      <c r="X455" s="11">
        <v>1023.512259009249</v>
      </c>
      <c r="Y455">
        <f>_xlfn.XLOOKUP(Table1820[[#This Row],[Coverage]],CoverageTable[Coverage],CoverageTable[Base Rate],,0)</f>
        <v>622</v>
      </c>
      <c r="Z455">
        <f>INDEX(Table16[Ageband Factor],MATCH(Table1820[[#This Row],[Ageband]],Table16[Ageband],0))</f>
        <v>1</v>
      </c>
      <c r="AA455">
        <f>VLOOKUP(Table1820[[#This Row],[Years Driving]],Table1[],2)</f>
        <v>1.1499999999999999</v>
      </c>
      <c r="AB455">
        <f>_xlfn.XLOOKUP(Table1820[[#This Row],[At Fault Accidents]],Table2[At Fault Accidents],Table2[At Fault Accident Factor],,0)</f>
        <v>1.34</v>
      </c>
      <c r="AC455">
        <f>_xlfn.XLOOKUP(Table1820[[#This Row],[Usage-Based Insurance]],Table3[Usage-Based Insurance],Table3[Usage-Based Insurance Discount],,0)</f>
        <v>0.8</v>
      </c>
      <c r="AD455">
        <f>_xlfn.XLOOKUP(Table1820[[#This Row],[Yearly Miles]],Table4[Yearly Miles],Table4[Yearly Miles Factor],,0)</f>
        <v>1</v>
      </c>
      <c r="AE455">
        <f>_xlfn.XLOOKUP(Table1820[[#This Row],[City/Zip Code]],Table5[City/Zip Code],Table5[City/Zip Code Factor],,0)</f>
        <v>1.26</v>
      </c>
      <c r="AF455">
        <f>_xlfn.XLOOKUP(Table1820[[#This Row],[Vehicle Price]],Table6[Vehicle Price],Table6[Vehicle Price Factor])</f>
        <v>2.02</v>
      </c>
      <c r="AG455">
        <f>_xlfn.XLOOKUP(Table1820[[#This Row],[Exotic Car]],Table7[Exotic Car],Table7[Exotic Car Factor],,0)</f>
        <v>1</v>
      </c>
      <c r="AH455">
        <f>_xlfn.XLOOKUP(Table1820[[#This Row],[Difficult Parts]],Table8[Difficult Parts],Table8[Difficult Parts Factor],,0)</f>
        <v>1</v>
      </c>
      <c r="AI455">
        <f>_xlfn.XLOOKUP(Table1820[[#This Row],[High Theft Rate]],Table9[High Theft Rate],Table9[High Theft Rate Factor],,0)</f>
        <v>1</v>
      </c>
      <c r="AJ455">
        <f>_xlfn.XLOOKUP(Table1820[[#This Row],[Advanced Safety Features]],Table10[Advanced Safety Features],Table10[Advanced Safety Features Factor],,0)</f>
        <v>0.88</v>
      </c>
      <c r="AK455">
        <f>_xlfn.XLOOKUP(Table1820[[#This Row],[Deductible]],Table12[Deductible],Table12[Deductible Factor],,0)</f>
        <v>1</v>
      </c>
      <c r="AL455">
        <f>_xlfn.XLOOKUP(Table1820[[#This Row],[Coverage Limit]],Table13[Coverage Limit],Table13[Coverage Limit Factor],,0)</f>
        <v>0.72</v>
      </c>
      <c r="AM455">
        <f>IF(Table1820[[#This Row],[Good Student Discount]]="Yes",'Rate Book'!$D$126,1)</f>
        <v>1</v>
      </c>
      <c r="AN455">
        <f>IF(Table1820[[#This Row],[Good Driver Discount]]="Yes",'Rate Book'!$D$127,1)</f>
        <v>0.89</v>
      </c>
      <c r="AO455">
        <f>IF(Table1820[[#This Row],[Multi Policy Discount]]="Yes",'Rate Book'!$D$128,1)</f>
        <v>0.93</v>
      </c>
      <c r="AP455">
        <f>IF(Table1820[[#This Row],[Loyal Customer Discount]]="Yes",'Rate Book'!$D$129,1)</f>
        <v>1</v>
      </c>
      <c r="AQ455">
        <f>IF(Table1820[[#This Row],[Organization Discount]]="Yes",'Rate Book'!$D$130,1)</f>
        <v>1</v>
      </c>
      <c r="AR455" cm="1">
        <f t="array" ref="AR455">IF(Table1820[[#This Row],[Effective Date]]&gt;=RateChangeTable[Effective Date],RateChangeTable[Rate Change Factor],1)</f>
        <v>1</v>
      </c>
      <c r="AS455" s="10">
        <f>PRODUCT(Table1820[[#This Row],[Base Rate]:[Rate Change Factor]])</f>
        <v>1023.512259009249</v>
      </c>
      <c r="AT455" s="9">
        <f>Table1820[[#This Row],[System-Generated Premium]]-Table1820[[#This Row],[Expected Premium]]</f>
        <v>0</v>
      </c>
      <c r="AU455" t="str">
        <f>IF(Table1820[[#This Row],[Difference]]=0,"PASS","FAIL")</f>
        <v>PASS</v>
      </c>
      <c r="AV455" s="9">
        <f>ABS(Table1820[[#This Row],[Difference]])</f>
        <v>0</v>
      </c>
      <c r="AW455" s="9" t="s">
        <v>1136</v>
      </c>
    </row>
    <row r="456" spans="1:49" x14ac:dyDescent="0.3">
      <c r="A456" t="s">
        <v>547</v>
      </c>
      <c r="B456" s="7">
        <v>45889</v>
      </c>
      <c r="C456" t="s">
        <v>72</v>
      </c>
      <c r="D456" t="s">
        <v>1101</v>
      </c>
      <c r="E456" s="3">
        <v>6</v>
      </c>
      <c r="F456" s="3">
        <v>1</v>
      </c>
      <c r="G456" t="s">
        <v>12</v>
      </c>
      <c r="H456" t="s">
        <v>1107</v>
      </c>
      <c r="I456" t="s">
        <v>23</v>
      </c>
      <c r="J456" t="s">
        <v>51</v>
      </c>
      <c r="K456" t="s">
        <v>10</v>
      </c>
      <c r="L456" t="s">
        <v>57</v>
      </c>
      <c r="M456" t="s">
        <v>57</v>
      </c>
      <c r="N456" t="s">
        <v>57</v>
      </c>
      <c r="O456" t="str">
        <f>INDEX(CoverageTable[Deductible Applies],MATCH(Table1820[[#This Row],[Coverage]],CoverageTable[Coverage],0))</f>
        <v>Yes</v>
      </c>
      <c r="P456" t="str">
        <f>INDEX(CoverageTable[Coverage Limit Applies],MATCH(Table1820[[#This Row],[Coverage]],CoverageTable[Coverage],0))</f>
        <v>No</v>
      </c>
      <c r="Q456" t="s">
        <v>78</v>
      </c>
      <c r="R456" t="s">
        <v>10</v>
      </c>
      <c r="S456" t="s">
        <v>10</v>
      </c>
      <c r="T456" t="s">
        <v>10</v>
      </c>
      <c r="U456" t="s">
        <v>10</v>
      </c>
      <c r="V456" t="s">
        <v>10</v>
      </c>
      <c r="W456" t="s">
        <v>10</v>
      </c>
      <c r="X456" s="11">
        <v>186.69322627195291</v>
      </c>
      <c r="Y456">
        <f>_xlfn.XLOOKUP(Table1820[[#This Row],[Coverage]],CoverageTable[Coverage],CoverageTable[Base Rate],,0)</f>
        <v>121</v>
      </c>
      <c r="Z456">
        <f>INDEX(Table16[Ageband Factor],MATCH(Table1820[[#This Row],[Ageband]],Table16[Ageband],0))</f>
        <v>1.1200000000000001</v>
      </c>
      <c r="AA456">
        <f>VLOOKUP(Table1820[[#This Row],[Years Driving]],Table1[],2)</f>
        <v>1</v>
      </c>
      <c r="AB456">
        <f>_xlfn.XLOOKUP(Table1820[[#This Row],[At Fault Accidents]],Table2[At Fault Accidents],Table2[At Fault Accident Factor],,0)</f>
        <v>1.34</v>
      </c>
      <c r="AC456">
        <f>_xlfn.XLOOKUP(Table1820[[#This Row],[Usage-Based Insurance]],Table3[Usage-Based Insurance],Table3[Usage-Based Insurance Discount],,0)</f>
        <v>0.8</v>
      </c>
      <c r="AD456">
        <f>_xlfn.XLOOKUP(Table1820[[#This Row],[Yearly Miles]],Table4[Yearly Miles],Table4[Yearly Miles Factor],,0)</f>
        <v>0.93</v>
      </c>
      <c r="AE456">
        <f>_xlfn.XLOOKUP(Table1820[[#This Row],[City/Zip Code]],Table5[City/Zip Code],Table5[City/Zip Code Factor],,0)</f>
        <v>0.92</v>
      </c>
      <c r="AF456">
        <f>_xlfn.XLOOKUP(Table1820[[#This Row],[Vehicle Price]],Table6[Vehicle Price],Table6[Vehicle Price Factor])</f>
        <v>1.28</v>
      </c>
      <c r="AG456">
        <f>_xlfn.XLOOKUP(Table1820[[#This Row],[Exotic Car]],Table7[Exotic Car],Table7[Exotic Car Factor],,0)</f>
        <v>1</v>
      </c>
      <c r="AH456">
        <f>_xlfn.XLOOKUP(Table1820[[#This Row],[Difficult Parts]],Table8[Difficult Parts],Table8[Difficult Parts Factor],,0)</f>
        <v>1.21</v>
      </c>
      <c r="AI456">
        <f>_xlfn.XLOOKUP(Table1820[[#This Row],[High Theft Rate]],Table9[High Theft Rate],Table9[High Theft Rate Factor],,0)</f>
        <v>1.1599999999999999</v>
      </c>
      <c r="AJ456">
        <f>_xlfn.XLOOKUP(Table1820[[#This Row],[Advanced Safety Features]],Table10[Advanced Safety Features],Table10[Advanced Safety Features Factor],,0)</f>
        <v>0.88</v>
      </c>
      <c r="AK456">
        <f>_xlfn.XLOOKUP(Table1820[[#This Row],[Deductible]],Table12[Deductible],Table12[Deductible Factor],,0)</f>
        <v>0.95</v>
      </c>
      <c r="AL456">
        <f>_xlfn.XLOOKUP(Table1820[[#This Row],[Coverage Limit]],Table13[Coverage Limit],Table13[Coverage Limit Factor],,0)</f>
        <v>1</v>
      </c>
      <c r="AM456">
        <f>IF(Table1820[[#This Row],[Good Student Discount]]="Yes",'Rate Book'!$D$126,1)</f>
        <v>1</v>
      </c>
      <c r="AN456">
        <f>IF(Table1820[[#This Row],[Good Driver Discount]]="Yes",'Rate Book'!$D$127,1)</f>
        <v>1</v>
      </c>
      <c r="AO456">
        <f>IF(Table1820[[#This Row],[Multi Policy Discount]]="Yes",'Rate Book'!$D$128,1)</f>
        <v>1</v>
      </c>
      <c r="AP456">
        <f>IF(Table1820[[#This Row],[Loyal Customer Discount]]="Yes",'Rate Book'!$D$129,1)</f>
        <v>1</v>
      </c>
      <c r="AQ456">
        <f>IF(Table1820[[#This Row],[Organization Discount]]="Yes",'Rate Book'!$D$130,1)</f>
        <v>1</v>
      </c>
      <c r="AR456" cm="1">
        <f t="array" ref="AR456">IF(Table1820[[#This Row],[Effective Date]]&gt;=RateChangeTable[Effective Date],RateChangeTable[Rate Change Factor],1)</f>
        <v>1</v>
      </c>
      <c r="AS456" s="10">
        <f>PRODUCT(Table1820[[#This Row],[Base Rate]:[Rate Change Factor]])</f>
        <v>186.69322627195291</v>
      </c>
      <c r="AT456" s="9">
        <f>Table1820[[#This Row],[System-Generated Premium]]-Table1820[[#This Row],[Expected Premium]]</f>
        <v>0</v>
      </c>
      <c r="AU456" t="str">
        <f>IF(Table1820[[#This Row],[Difference]]=0,"PASS","FAIL")</f>
        <v>PASS</v>
      </c>
      <c r="AV456" s="9">
        <f>ABS(Table1820[[#This Row],[Difference]])</f>
        <v>0</v>
      </c>
      <c r="AW456" s="9" t="s">
        <v>1136</v>
      </c>
    </row>
    <row r="457" spans="1:49" x14ac:dyDescent="0.3">
      <c r="A457" t="s">
        <v>548</v>
      </c>
      <c r="B457" s="7">
        <v>46103</v>
      </c>
      <c r="C457" t="s">
        <v>71</v>
      </c>
      <c r="D457" t="s">
        <v>1097</v>
      </c>
      <c r="E457" s="3">
        <v>1</v>
      </c>
      <c r="F457" s="3">
        <v>3</v>
      </c>
      <c r="G457" t="s">
        <v>11</v>
      </c>
      <c r="H457" t="s">
        <v>1106</v>
      </c>
      <c r="I457" t="s">
        <v>34</v>
      </c>
      <c r="J457" t="s">
        <v>53</v>
      </c>
      <c r="K457" t="s">
        <v>10</v>
      </c>
      <c r="L457" t="s">
        <v>10</v>
      </c>
      <c r="M457" t="s">
        <v>10</v>
      </c>
      <c r="N457" t="s">
        <v>10</v>
      </c>
      <c r="O457" t="str">
        <f>INDEX(CoverageTable[Deductible Applies],MATCH(Table1820[[#This Row],[Coverage]],CoverageTable[Coverage],0))</f>
        <v>Yes</v>
      </c>
      <c r="P457" t="str">
        <f>INDEX(CoverageTable[Coverage Limit Applies],MATCH(Table1820[[#This Row],[Coverage]],CoverageTable[Coverage],0))</f>
        <v>No</v>
      </c>
      <c r="Q457" t="s">
        <v>80</v>
      </c>
      <c r="R457" t="s">
        <v>10</v>
      </c>
      <c r="S457" t="s">
        <v>10</v>
      </c>
      <c r="T457" t="s">
        <v>57</v>
      </c>
      <c r="U457" t="s">
        <v>57</v>
      </c>
      <c r="V457" t="s">
        <v>57</v>
      </c>
      <c r="W457" t="s">
        <v>10</v>
      </c>
      <c r="X457" s="11">
        <v>2601.5966531969052</v>
      </c>
      <c r="Y457">
        <f>_xlfn.XLOOKUP(Table1820[[#This Row],[Coverage]],CoverageTable[Coverage],CoverageTable[Base Rate],,0)</f>
        <v>453</v>
      </c>
      <c r="Z457">
        <f>INDEX(Table16[Ageband Factor],MATCH(Table1820[[#This Row],[Ageband]],Table16[Ageband],0))</f>
        <v>1.32</v>
      </c>
      <c r="AA457">
        <f>VLOOKUP(Table1820[[#This Row],[Years Driving]],Table1[],2)</f>
        <v>1.64</v>
      </c>
      <c r="AB457">
        <f>_xlfn.XLOOKUP(Table1820[[#This Row],[At Fault Accidents]],Table2[At Fault Accidents],Table2[At Fault Accident Factor],,0)</f>
        <v>1.82</v>
      </c>
      <c r="AC457">
        <f>_xlfn.XLOOKUP(Table1820[[#This Row],[Usage-Based Insurance]],Table3[Usage-Based Insurance],Table3[Usage-Based Insurance Discount],,0)</f>
        <v>0.95</v>
      </c>
      <c r="AD457">
        <f>_xlfn.XLOOKUP(Table1820[[#This Row],[Yearly Miles]],Table4[Yearly Miles],Table4[Yearly Miles Factor],,0)</f>
        <v>0.82</v>
      </c>
      <c r="AE457">
        <f>_xlfn.XLOOKUP(Table1820[[#This Row],[City/Zip Code]],Table5[City/Zip Code],Table5[City/Zip Code Factor],,0)</f>
        <v>1.56</v>
      </c>
      <c r="AF457">
        <f>_xlfn.XLOOKUP(Table1820[[#This Row],[Vehicle Price]],Table6[Vehicle Price],Table6[Vehicle Price Factor])</f>
        <v>2.02</v>
      </c>
      <c r="AG457">
        <f>_xlfn.XLOOKUP(Table1820[[#This Row],[Exotic Car]],Table7[Exotic Car],Table7[Exotic Car Factor],,0)</f>
        <v>1</v>
      </c>
      <c r="AH457">
        <f>_xlfn.XLOOKUP(Table1820[[#This Row],[Difficult Parts]],Table8[Difficult Parts],Table8[Difficult Parts Factor],,0)</f>
        <v>1</v>
      </c>
      <c r="AI457">
        <f>_xlfn.XLOOKUP(Table1820[[#This Row],[High Theft Rate]],Table9[High Theft Rate],Table9[High Theft Rate Factor],,0)</f>
        <v>1</v>
      </c>
      <c r="AJ457">
        <f>_xlfn.XLOOKUP(Table1820[[#This Row],[Advanced Safety Features]],Table10[Advanced Safety Features],Table10[Advanced Safety Features Factor],,0)</f>
        <v>1</v>
      </c>
      <c r="AK457">
        <f>_xlfn.XLOOKUP(Table1820[[#This Row],[Deductible]],Table12[Deductible],Table12[Deductible Factor],,0)</f>
        <v>0.72</v>
      </c>
      <c r="AL457">
        <f>_xlfn.XLOOKUP(Table1820[[#This Row],[Coverage Limit]],Table13[Coverage Limit],Table13[Coverage Limit Factor],,0)</f>
        <v>1</v>
      </c>
      <c r="AM457">
        <f>IF(Table1820[[#This Row],[Good Student Discount]]="Yes",'Rate Book'!$D$126,1)</f>
        <v>1</v>
      </c>
      <c r="AN457">
        <f>IF(Table1820[[#This Row],[Good Driver Discount]]="Yes",'Rate Book'!$D$127,1)</f>
        <v>0.89</v>
      </c>
      <c r="AO457">
        <f>IF(Table1820[[#This Row],[Multi Policy Discount]]="Yes",'Rate Book'!$D$128,1)</f>
        <v>0.93</v>
      </c>
      <c r="AP457">
        <f>IF(Table1820[[#This Row],[Loyal Customer Discount]]="Yes",'Rate Book'!$D$129,1)</f>
        <v>0.94</v>
      </c>
      <c r="AQ457">
        <f>IF(Table1820[[#This Row],[Organization Discount]]="Yes",'Rate Book'!$D$130,1)</f>
        <v>1</v>
      </c>
      <c r="AR457" cm="1">
        <f t="array" ref="AR457">IF(Table1820[[#This Row],[Effective Date]]&gt;=RateChangeTable[Effective Date],RateChangeTable[Rate Change Factor],1)</f>
        <v>1.06</v>
      </c>
      <c r="AS457" s="10">
        <f>PRODUCT(Table1820[[#This Row],[Base Rate]:[Rate Change Factor]])</f>
        <v>2601.5966531969052</v>
      </c>
      <c r="AT457" s="9">
        <f>Table1820[[#This Row],[System-Generated Premium]]-Table1820[[#This Row],[Expected Premium]]</f>
        <v>0</v>
      </c>
      <c r="AU457" t="str">
        <f>IF(Table1820[[#This Row],[Difference]]=0,"PASS","FAIL")</f>
        <v>PASS</v>
      </c>
      <c r="AV457" s="9">
        <f>ABS(Table1820[[#This Row],[Difference]])</f>
        <v>0</v>
      </c>
      <c r="AW457" s="9" t="s">
        <v>1136</v>
      </c>
    </row>
    <row r="458" spans="1:49" x14ac:dyDescent="0.3">
      <c r="A458" t="s">
        <v>549</v>
      </c>
      <c r="B458" s="7">
        <v>45850</v>
      </c>
      <c r="C458" t="s">
        <v>74</v>
      </c>
      <c r="D458" t="s">
        <v>1101</v>
      </c>
      <c r="E458" s="3">
        <v>7</v>
      </c>
      <c r="F458" s="3" t="s">
        <v>7</v>
      </c>
      <c r="G458" t="s">
        <v>10</v>
      </c>
      <c r="H458" t="s">
        <v>1107</v>
      </c>
      <c r="I458" t="s">
        <v>44</v>
      </c>
      <c r="J458" t="s">
        <v>50</v>
      </c>
      <c r="K458" t="s">
        <v>10</v>
      </c>
      <c r="L458" t="s">
        <v>10</v>
      </c>
      <c r="M458" t="s">
        <v>57</v>
      </c>
      <c r="N458" t="s">
        <v>10</v>
      </c>
      <c r="O458" t="str">
        <f>INDEX(CoverageTable[Deductible Applies],MATCH(Table1820[[#This Row],[Coverage]],CoverageTable[Coverage],0))</f>
        <v>No</v>
      </c>
      <c r="P458" t="str">
        <f>INDEX(CoverageTable[Coverage Limit Applies],MATCH(Table1820[[#This Row],[Coverage]],CoverageTable[Coverage],0))</f>
        <v>Yes</v>
      </c>
      <c r="Q458" t="s">
        <v>10</v>
      </c>
      <c r="R458" t="s">
        <v>78</v>
      </c>
      <c r="S458" t="s">
        <v>10</v>
      </c>
      <c r="T458" t="s">
        <v>10</v>
      </c>
      <c r="U458" t="s">
        <v>10</v>
      </c>
      <c r="V458" t="s">
        <v>10</v>
      </c>
      <c r="W458" t="s">
        <v>10</v>
      </c>
      <c r="X458" s="11">
        <v>88.833128132915718</v>
      </c>
      <c r="Y458">
        <f>_xlfn.XLOOKUP(Table1820[[#This Row],[Coverage]],CoverageTable[Coverage],CoverageTable[Base Rate],,0)</f>
        <v>41</v>
      </c>
      <c r="Z458">
        <f>INDEX(Table16[Ageband Factor],MATCH(Table1820[[#This Row],[Ageband]],Table16[Ageband],0))</f>
        <v>1.1200000000000001</v>
      </c>
      <c r="AA458">
        <f>VLOOKUP(Table1820[[#This Row],[Years Driving]],Table1[],2)</f>
        <v>0.95</v>
      </c>
      <c r="AB458">
        <f>_xlfn.XLOOKUP(Table1820[[#This Row],[At Fault Accidents]],Table2[At Fault Accidents],Table2[At Fault Accident Factor],,0)</f>
        <v>2.4700000000000002</v>
      </c>
      <c r="AC458">
        <f>_xlfn.XLOOKUP(Table1820[[#This Row],[Usage-Based Insurance]],Table3[Usage-Based Insurance],Table3[Usage-Based Insurance Discount],,0)</f>
        <v>1</v>
      </c>
      <c r="AD458">
        <f>_xlfn.XLOOKUP(Table1820[[#This Row],[Yearly Miles]],Table4[Yearly Miles],Table4[Yearly Miles Factor],,0)</f>
        <v>0.93</v>
      </c>
      <c r="AE458">
        <f>_xlfn.XLOOKUP(Table1820[[#This Row],[City/Zip Code]],Table5[City/Zip Code],Table5[City/Zip Code Factor],,0)</f>
        <v>1.1599999999999999</v>
      </c>
      <c r="AF458">
        <f>_xlfn.XLOOKUP(Table1820[[#This Row],[Vehicle Price]],Table6[Vehicle Price],Table6[Vehicle Price Factor])</f>
        <v>1.08</v>
      </c>
      <c r="AG458">
        <f>_xlfn.XLOOKUP(Table1820[[#This Row],[Exotic Car]],Table7[Exotic Car],Table7[Exotic Car Factor],,0)</f>
        <v>1</v>
      </c>
      <c r="AH458">
        <f>_xlfn.XLOOKUP(Table1820[[#This Row],[Difficult Parts]],Table8[Difficult Parts],Table8[Difficult Parts Factor],,0)</f>
        <v>1</v>
      </c>
      <c r="AI458">
        <f>_xlfn.XLOOKUP(Table1820[[#This Row],[High Theft Rate]],Table9[High Theft Rate],Table9[High Theft Rate Factor],,0)</f>
        <v>1.1599999999999999</v>
      </c>
      <c r="AJ458">
        <f>_xlfn.XLOOKUP(Table1820[[#This Row],[Advanced Safety Features]],Table10[Advanced Safety Features],Table10[Advanced Safety Features Factor],,0)</f>
        <v>1</v>
      </c>
      <c r="AK458">
        <f>_xlfn.XLOOKUP(Table1820[[#This Row],[Deductible]],Table12[Deductible],Table12[Deductible Factor],,0)</f>
        <v>1</v>
      </c>
      <c r="AL458">
        <f>_xlfn.XLOOKUP(Table1820[[#This Row],[Coverage Limit]],Table13[Coverage Limit],Table13[Coverage Limit Factor],,0)</f>
        <v>0.61</v>
      </c>
      <c r="AM458">
        <f>IF(Table1820[[#This Row],[Good Student Discount]]="Yes",'Rate Book'!$D$126,1)</f>
        <v>1</v>
      </c>
      <c r="AN458">
        <f>IF(Table1820[[#This Row],[Good Driver Discount]]="Yes",'Rate Book'!$D$127,1)</f>
        <v>1</v>
      </c>
      <c r="AO458">
        <f>IF(Table1820[[#This Row],[Multi Policy Discount]]="Yes",'Rate Book'!$D$128,1)</f>
        <v>1</v>
      </c>
      <c r="AP458">
        <f>IF(Table1820[[#This Row],[Loyal Customer Discount]]="Yes",'Rate Book'!$D$129,1)</f>
        <v>1</v>
      </c>
      <c r="AQ458">
        <f>IF(Table1820[[#This Row],[Organization Discount]]="Yes",'Rate Book'!$D$130,1)</f>
        <v>1</v>
      </c>
      <c r="AR458" cm="1">
        <f t="array" ref="AR458">IF(Table1820[[#This Row],[Effective Date]]&gt;=RateChangeTable[Effective Date],RateChangeTable[Rate Change Factor],1)</f>
        <v>1</v>
      </c>
      <c r="AS458" s="10">
        <f>PRODUCT(Table1820[[#This Row],[Base Rate]:[Rate Change Factor]])</f>
        <v>88.833128132915718</v>
      </c>
      <c r="AT458" s="9">
        <f>Table1820[[#This Row],[System-Generated Premium]]-Table1820[[#This Row],[Expected Premium]]</f>
        <v>0</v>
      </c>
      <c r="AU458" t="str">
        <f>IF(Table1820[[#This Row],[Difference]]=0,"PASS","FAIL")</f>
        <v>PASS</v>
      </c>
      <c r="AV458" s="9">
        <f>ABS(Table1820[[#This Row],[Difference]])</f>
        <v>0</v>
      </c>
      <c r="AW458" s="9" t="s">
        <v>1136</v>
      </c>
    </row>
    <row r="459" spans="1:49" x14ac:dyDescent="0.3">
      <c r="A459" t="s">
        <v>550</v>
      </c>
      <c r="B459" s="7">
        <v>46075</v>
      </c>
      <c r="C459" t="s">
        <v>70</v>
      </c>
      <c r="D459" t="s">
        <v>1097</v>
      </c>
      <c r="E459" s="3" t="s">
        <v>1103</v>
      </c>
      <c r="F459" s="3">
        <v>4</v>
      </c>
      <c r="G459" t="s">
        <v>12</v>
      </c>
      <c r="H459" t="s">
        <v>1108</v>
      </c>
      <c r="I459" t="s">
        <v>32</v>
      </c>
      <c r="J459" t="s">
        <v>51</v>
      </c>
      <c r="K459" t="s">
        <v>10</v>
      </c>
      <c r="L459" t="s">
        <v>10</v>
      </c>
      <c r="M459" t="s">
        <v>57</v>
      </c>
      <c r="N459" t="s">
        <v>10</v>
      </c>
      <c r="O459" t="str">
        <f>INDEX(CoverageTable[Deductible Applies],MATCH(Table1820[[#This Row],[Coverage]],CoverageTable[Coverage],0))</f>
        <v>No</v>
      </c>
      <c r="P459" t="str">
        <f>INDEX(CoverageTable[Coverage Limit Applies],MATCH(Table1820[[#This Row],[Coverage]],CoverageTable[Coverage],0))</f>
        <v>Yes</v>
      </c>
      <c r="Q459" t="s">
        <v>10</v>
      </c>
      <c r="R459" t="s">
        <v>79</v>
      </c>
      <c r="S459" t="s">
        <v>57</v>
      </c>
      <c r="T459" t="s">
        <v>57</v>
      </c>
      <c r="U459" t="s">
        <v>10</v>
      </c>
      <c r="V459" t="s">
        <v>10</v>
      </c>
      <c r="W459" t="s">
        <v>10</v>
      </c>
      <c r="X459" s="11">
        <v>1345.7837797515408</v>
      </c>
      <c r="Y459">
        <f>_xlfn.XLOOKUP(Table1820[[#This Row],[Coverage]],CoverageTable[Coverage],CoverageTable[Base Rate],,0)</f>
        <v>622</v>
      </c>
      <c r="Z459">
        <f>INDEX(Table16[Ageband Factor],MATCH(Table1820[[#This Row],[Ageband]],Table16[Ageband],0))</f>
        <v>1.32</v>
      </c>
      <c r="AA459">
        <f>VLOOKUP(Table1820[[#This Row],[Years Driving]],Table1[],2)</f>
        <v>0.93</v>
      </c>
      <c r="AB459">
        <f>_xlfn.XLOOKUP(Table1820[[#This Row],[At Fault Accidents]],Table2[At Fault Accidents],Table2[At Fault Accident Factor],,0)</f>
        <v>2.12</v>
      </c>
      <c r="AC459">
        <f>_xlfn.XLOOKUP(Table1820[[#This Row],[Usage-Based Insurance]],Table3[Usage-Based Insurance],Table3[Usage-Based Insurance Discount],,0)</f>
        <v>0.8</v>
      </c>
      <c r="AD459">
        <f>_xlfn.XLOOKUP(Table1820[[#This Row],[Yearly Miles]],Table4[Yearly Miles],Table4[Yearly Miles Factor],,0)</f>
        <v>1</v>
      </c>
      <c r="AE459">
        <f>_xlfn.XLOOKUP(Table1820[[#This Row],[City/Zip Code]],Table5[City/Zip Code],Table5[City/Zip Code Factor],,0)</f>
        <v>1.1200000000000001</v>
      </c>
      <c r="AF459">
        <f>_xlfn.XLOOKUP(Table1820[[#This Row],[Vehicle Price]],Table6[Vehicle Price],Table6[Vehicle Price Factor])</f>
        <v>1.28</v>
      </c>
      <c r="AG459">
        <f>_xlfn.XLOOKUP(Table1820[[#This Row],[Exotic Car]],Table7[Exotic Car],Table7[Exotic Car Factor],,0)</f>
        <v>1</v>
      </c>
      <c r="AH459">
        <f>_xlfn.XLOOKUP(Table1820[[#This Row],[Difficult Parts]],Table8[Difficult Parts],Table8[Difficult Parts Factor],,0)</f>
        <v>1</v>
      </c>
      <c r="AI459">
        <f>_xlfn.XLOOKUP(Table1820[[#This Row],[High Theft Rate]],Table9[High Theft Rate],Table9[High Theft Rate Factor],,0)</f>
        <v>1.1599999999999999</v>
      </c>
      <c r="AJ459">
        <f>_xlfn.XLOOKUP(Table1820[[#This Row],[Advanced Safety Features]],Table10[Advanced Safety Features],Table10[Advanced Safety Features Factor],,0)</f>
        <v>1</v>
      </c>
      <c r="AK459">
        <f>_xlfn.XLOOKUP(Table1820[[#This Row],[Deductible]],Table12[Deductible],Table12[Deductible Factor],,0)</f>
        <v>1</v>
      </c>
      <c r="AL459">
        <f>_xlfn.XLOOKUP(Table1820[[#This Row],[Coverage Limit]],Table13[Coverage Limit],Table13[Coverage Limit Factor],,0)</f>
        <v>0.72</v>
      </c>
      <c r="AM459">
        <f>IF(Table1820[[#This Row],[Good Student Discount]]="Yes",'Rate Book'!$D$126,1)</f>
        <v>0.92</v>
      </c>
      <c r="AN459">
        <f>IF(Table1820[[#This Row],[Good Driver Discount]]="Yes",'Rate Book'!$D$127,1)</f>
        <v>0.89</v>
      </c>
      <c r="AO459">
        <f>IF(Table1820[[#This Row],[Multi Policy Discount]]="Yes",'Rate Book'!$D$128,1)</f>
        <v>1</v>
      </c>
      <c r="AP459">
        <f>IF(Table1820[[#This Row],[Loyal Customer Discount]]="Yes",'Rate Book'!$D$129,1)</f>
        <v>1</v>
      </c>
      <c r="AQ459">
        <f>IF(Table1820[[#This Row],[Organization Discount]]="Yes",'Rate Book'!$D$130,1)</f>
        <v>1</v>
      </c>
      <c r="AR459" cm="1">
        <f t="array" ref="AR459">IF(Table1820[[#This Row],[Effective Date]]&gt;=RateChangeTable[Effective Date],RateChangeTable[Rate Change Factor],1)</f>
        <v>1.06</v>
      </c>
      <c r="AS459" s="10">
        <f>PRODUCT(Table1820[[#This Row],[Base Rate]:[Rate Change Factor]])</f>
        <v>1345.7837797515408</v>
      </c>
      <c r="AT459" s="9">
        <f>Table1820[[#This Row],[System-Generated Premium]]-Table1820[[#This Row],[Expected Premium]]</f>
        <v>0</v>
      </c>
      <c r="AU459" t="str">
        <f>IF(Table1820[[#This Row],[Difference]]=0,"PASS","FAIL")</f>
        <v>PASS</v>
      </c>
      <c r="AV459" s="9">
        <f>ABS(Table1820[[#This Row],[Difference]])</f>
        <v>0</v>
      </c>
      <c r="AW459" s="9" t="s">
        <v>1136</v>
      </c>
    </row>
    <row r="460" spans="1:49" x14ac:dyDescent="0.3">
      <c r="A460" t="s">
        <v>551</v>
      </c>
      <c r="B460" s="7">
        <v>46089</v>
      </c>
      <c r="C460" t="s">
        <v>70</v>
      </c>
      <c r="D460" t="s">
        <v>1099</v>
      </c>
      <c r="E460" s="3">
        <v>7</v>
      </c>
      <c r="F460" s="3">
        <v>1</v>
      </c>
      <c r="G460" t="s">
        <v>13</v>
      </c>
      <c r="H460" t="s">
        <v>1107</v>
      </c>
      <c r="I460" t="s">
        <v>41</v>
      </c>
      <c r="J460" t="s">
        <v>48</v>
      </c>
      <c r="K460" t="s">
        <v>10</v>
      </c>
      <c r="L460" t="s">
        <v>10</v>
      </c>
      <c r="M460" t="s">
        <v>10</v>
      </c>
      <c r="N460" t="s">
        <v>57</v>
      </c>
      <c r="O460" t="str">
        <f>INDEX(CoverageTable[Deductible Applies],MATCH(Table1820[[#This Row],[Coverage]],CoverageTable[Coverage],0))</f>
        <v>No</v>
      </c>
      <c r="P460" t="str">
        <f>INDEX(CoverageTable[Coverage Limit Applies],MATCH(Table1820[[#This Row],[Coverage]],CoverageTable[Coverage],0))</f>
        <v>Yes</v>
      </c>
      <c r="Q460" t="s">
        <v>10</v>
      </c>
      <c r="R460" t="s">
        <v>79</v>
      </c>
      <c r="S460" t="s">
        <v>10</v>
      </c>
      <c r="T460" t="s">
        <v>10</v>
      </c>
      <c r="U460" t="s">
        <v>10</v>
      </c>
      <c r="V460" t="s">
        <v>10</v>
      </c>
      <c r="W460" t="s">
        <v>10</v>
      </c>
      <c r="X460" s="11">
        <v>466.37</v>
      </c>
      <c r="Y460">
        <f>_xlfn.XLOOKUP(Table1820[[#This Row],[Coverage]],CoverageTable[Coverage],CoverageTable[Base Rate],,0)</f>
        <v>622</v>
      </c>
      <c r="Z460">
        <f>INDEX(Table16[Ageband Factor],MATCH(Table1820[[#This Row],[Ageband]],Table16[Ageband],0))</f>
        <v>1</v>
      </c>
      <c r="AA460">
        <f>VLOOKUP(Table1820[[#This Row],[Years Driving]],Table1[],2)</f>
        <v>0.95</v>
      </c>
      <c r="AB460">
        <f>_xlfn.XLOOKUP(Table1820[[#This Row],[At Fault Accidents]],Table2[At Fault Accidents],Table2[At Fault Accident Factor],,0)</f>
        <v>1.34</v>
      </c>
      <c r="AC460">
        <f>_xlfn.XLOOKUP(Table1820[[#This Row],[Usage-Based Insurance]],Table3[Usage-Based Insurance],Table3[Usage-Based Insurance Discount],,0)</f>
        <v>0.65</v>
      </c>
      <c r="AD460">
        <f>_xlfn.XLOOKUP(Table1820[[#This Row],[Yearly Miles]],Table4[Yearly Miles],Table4[Yearly Miles Factor],,0)</f>
        <v>0.93</v>
      </c>
      <c r="AE460">
        <f>_xlfn.XLOOKUP(Table1820[[#This Row],[City/Zip Code]],Table5[City/Zip Code],Table5[City/Zip Code Factor],,0)</f>
        <v>1.1499999999999999</v>
      </c>
      <c r="AF460">
        <f>_xlfn.XLOOKUP(Table1820[[#This Row],[Vehicle Price]],Table6[Vehicle Price],Table6[Vehicle Price Factor])</f>
        <v>0.82</v>
      </c>
      <c r="AG460">
        <f>_xlfn.XLOOKUP(Table1820[[#This Row],[Exotic Car]],Table7[Exotic Car],Table7[Exotic Car Factor],,0)</f>
        <v>1</v>
      </c>
      <c r="AH460">
        <f>_xlfn.XLOOKUP(Table1820[[#This Row],[Difficult Parts]],Table8[Difficult Parts],Table8[Difficult Parts Factor],,0)</f>
        <v>1</v>
      </c>
      <c r="AI460">
        <f>_xlfn.XLOOKUP(Table1820[[#This Row],[High Theft Rate]],Table9[High Theft Rate],Table9[High Theft Rate Factor],,0)</f>
        <v>1</v>
      </c>
      <c r="AJ460">
        <f>_xlfn.XLOOKUP(Table1820[[#This Row],[Advanced Safety Features]],Table10[Advanced Safety Features],Table10[Advanced Safety Features Factor],,0)</f>
        <v>0.88</v>
      </c>
      <c r="AK460">
        <f>_xlfn.XLOOKUP(Table1820[[#This Row],[Deductible]],Table12[Deductible],Table12[Deductible Factor],,0)</f>
        <v>1</v>
      </c>
      <c r="AL460">
        <f>_xlfn.XLOOKUP(Table1820[[#This Row],[Coverage Limit]],Table13[Coverage Limit],Table13[Coverage Limit Factor],,0)</f>
        <v>0.72</v>
      </c>
      <c r="AM460">
        <f>IF(Table1820[[#This Row],[Good Student Discount]]="Yes",'Rate Book'!$D$126,1)</f>
        <v>1</v>
      </c>
      <c r="AN460">
        <f>IF(Table1820[[#This Row],[Good Driver Discount]]="Yes",'Rate Book'!$D$127,1)</f>
        <v>1</v>
      </c>
      <c r="AO460">
        <f>IF(Table1820[[#This Row],[Multi Policy Discount]]="Yes",'Rate Book'!$D$128,1)</f>
        <v>1</v>
      </c>
      <c r="AP460">
        <f>IF(Table1820[[#This Row],[Loyal Customer Discount]]="Yes",'Rate Book'!$D$129,1)</f>
        <v>1</v>
      </c>
      <c r="AQ460">
        <f>IF(Table1820[[#This Row],[Organization Discount]]="Yes",'Rate Book'!$D$130,1)</f>
        <v>1</v>
      </c>
      <c r="AR460" cm="1">
        <f t="array" ref="AR460">IF(Table1820[[#This Row],[Effective Date]]&gt;=RateChangeTable[Effective Date],RateChangeTable[Rate Change Factor],1)</f>
        <v>1.06</v>
      </c>
      <c r="AS460" s="10">
        <f>PRODUCT(Table1820[[#This Row],[Base Rate]:[Rate Change Factor]])</f>
        <v>303.14319258938457</v>
      </c>
      <c r="AT460" s="9">
        <f>Table1820[[#This Row],[System-Generated Premium]]-Table1820[[#This Row],[Expected Premium]]</f>
        <v>163.22680741061544</v>
      </c>
      <c r="AU460" t="str">
        <f>IF(Table1820[[#This Row],[Difference]]=0,"PASS","FAIL")</f>
        <v>FAIL</v>
      </c>
      <c r="AV460" s="9">
        <f>ABS(Table1820[[#This Row],[Difference]])</f>
        <v>163.22680741061544</v>
      </c>
      <c r="AW460" s="9" t="s">
        <v>1145</v>
      </c>
    </row>
    <row r="461" spans="1:49" x14ac:dyDescent="0.3">
      <c r="A461" t="s">
        <v>552</v>
      </c>
      <c r="B461" s="7">
        <v>45938</v>
      </c>
      <c r="C461" t="s">
        <v>70</v>
      </c>
      <c r="D461" t="s">
        <v>1099</v>
      </c>
      <c r="E461" s="3">
        <v>2</v>
      </c>
      <c r="F461" s="3">
        <v>4</v>
      </c>
      <c r="G461" t="s">
        <v>10</v>
      </c>
      <c r="H461" t="s">
        <v>1109</v>
      </c>
      <c r="I461" t="s">
        <v>44</v>
      </c>
      <c r="J461" t="s">
        <v>50</v>
      </c>
      <c r="K461" t="s">
        <v>10</v>
      </c>
      <c r="L461" t="s">
        <v>10</v>
      </c>
      <c r="M461" t="s">
        <v>10</v>
      </c>
      <c r="N461" t="s">
        <v>10</v>
      </c>
      <c r="O461" t="str">
        <f>INDEX(CoverageTable[Deductible Applies],MATCH(Table1820[[#This Row],[Coverage]],CoverageTable[Coverage],0))</f>
        <v>No</v>
      </c>
      <c r="P461" t="str">
        <f>INDEX(CoverageTable[Coverage Limit Applies],MATCH(Table1820[[#This Row],[Coverage]],CoverageTable[Coverage],0))</f>
        <v>Yes</v>
      </c>
      <c r="Q461" t="s">
        <v>10</v>
      </c>
      <c r="R461" t="s">
        <v>78</v>
      </c>
      <c r="S461" t="s">
        <v>10</v>
      </c>
      <c r="T461" t="s">
        <v>10</v>
      </c>
      <c r="U461" t="s">
        <v>57</v>
      </c>
      <c r="V461" t="s">
        <v>10</v>
      </c>
      <c r="W461" t="s">
        <v>10</v>
      </c>
      <c r="X461" s="11">
        <v>1559.2720487138381</v>
      </c>
      <c r="Y461">
        <f>_xlfn.XLOOKUP(Table1820[[#This Row],[Coverage]],CoverageTable[Coverage],CoverageTable[Base Rate],,0)</f>
        <v>622</v>
      </c>
      <c r="Z461">
        <f>INDEX(Table16[Ageband Factor],MATCH(Table1820[[#This Row],[Ageband]],Table16[Ageband],0))</f>
        <v>1</v>
      </c>
      <c r="AA461">
        <f>VLOOKUP(Table1820[[#This Row],[Years Driving]],Table1[],2)</f>
        <v>1.41</v>
      </c>
      <c r="AB461">
        <f>_xlfn.XLOOKUP(Table1820[[#This Row],[At Fault Accidents]],Table2[At Fault Accidents],Table2[At Fault Accident Factor],,0)</f>
        <v>2.12</v>
      </c>
      <c r="AC461">
        <f>_xlfn.XLOOKUP(Table1820[[#This Row],[Usage-Based Insurance]],Table3[Usage-Based Insurance],Table3[Usage-Based Insurance Discount],,0)</f>
        <v>1</v>
      </c>
      <c r="AD461">
        <f>_xlfn.XLOOKUP(Table1820[[#This Row],[Yearly Miles]],Table4[Yearly Miles],Table4[Yearly Miles Factor],,0)</f>
        <v>1.18</v>
      </c>
      <c r="AE461">
        <f>_xlfn.XLOOKUP(Table1820[[#This Row],[City/Zip Code]],Table5[City/Zip Code],Table5[City/Zip Code Factor],,0)</f>
        <v>1.1599999999999999</v>
      </c>
      <c r="AF461">
        <f>_xlfn.XLOOKUP(Table1820[[#This Row],[Vehicle Price]],Table6[Vehicle Price],Table6[Vehicle Price Factor])</f>
        <v>1.08</v>
      </c>
      <c r="AG461">
        <f>_xlfn.XLOOKUP(Table1820[[#This Row],[Exotic Car]],Table7[Exotic Car],Table7[Exotic Car Factor],,0)</f>
        <v>1</v>
      </c>
      <c r="AH461">
        <f>_xlfn.XLOOKUP(Table1820[[#This Row],[Difficult Parts]],Table8[Difficult Parts],Table8[Difficult Parts Factor],,0)</f>
        <v>1</v>
      </c>
      <c r="AI461">
        <f>_xlfn.XLOOKUP(Table1820[[#This Row],[High Theft Rate]],Table9[High Theft Rate],Table9[High Theft Rate Factor],,0)</f>
        <v>1</v>
      </c>
      <c r="AJ461">
        <f>_xlfn.XLOOKUP(Table1820[[#This Row],[Advanced Safety Features]],Table10[Advanced Safety Features],Table10[Advanced Safety Features Factor],,0)</f>
        <v>1</v>
      </c>
      <c r="AK461">
        <f>_xlfn.XLOOKUP(Table1820[[#This Row],[Deductible]],Table12[Deductible],Table12[Deductible Factor],,0)</f>
        <v>1</v>
      </c>
      <c r="AL461">
        <f>_xlfn.XLOOKUP(Table1820[[#This Row],[Coverage Limit]],Table13[Coverage Limit],Table13[Coverage Limit Factor],,0)</f>
        <v>0.61</v>
      </c>
      <c r="AM461">
        <f>IF(Table1820[[#This Row],[Good Student Discount]]="Yes",'Rate Book'!$D$126,1)</f>
        <v>1</v>
      </c>
      <c r="AN461">
        <f>IF(Table1820[[#This Row],[Good Driver Discount]]="Yes",'Rate Book'!$D$127,1)</f>
        <v>1</v>
      </c>
      <c r="AO461">
        <f>IF(Table1820[[#This Row],[Multi Policy Discount]]="Yes",'Rate Book'!$D$128,1)</f>
        <v>0.93</v>
      </c>
      <c r="AP461">
        <f>IF(Table1820[[#This Row],[Loyal Customer Discount]]="Yes",'Rate Book'!$D$129,1)</f>
        <v>1</v>
      </c>
      <c r="AQ461">
        <f>IF(Table1820[[#This Row],[Organization Discount]]="Yes",'Rate Book'!$D$130,1)</f>
        <v>1</v>
      </c>
      <c r="AR461" cm="1">
        <f t="array" ref="AR461">IF(Table1820[[#This Row],[Effective Date]]&gt;=RateChangeTable[Effective Date],RateChangeTable[Rate Change Factor],1)</f>
        <v>1</v>
      </c>
      <c r="AS461" s="10">
        <f>PRODUCT(Table1820[[#This Row],[Base Rate]:[Rate Change Factor]])</f>
        <v>1559.2720487138381</v>
      </c>
      <c r="AT461" s="9">
        <f>Table1820[[#This Row],[System-Generated Premium]]-Table1820[[#This Row],[Expected Premium]]</f>
        <v>0</v>
      </c>
      <c r="AU461" t="str">
        <f>IF(Table1820[[#This Row],[Difference]]=0,"PASS","FAIL")</f>
        <v>PASS</v>
      </c>
      <c r="AV461" s="9">
        <f>ABS(Table1820[[#This Row],[Difference]])</f>
        <v>0</v>
      </c>
      <c r="AW461" s="9" t="s">
        <v>1136</v>
      </c>
    </row>
    <row r="462" spans="1:49" x14ac:dyDescent="0.3">
      <c r="A462" t="s">
        <v>553</v>
      </c>
      <c r="B462" s="7">
        <v>45806</v>
      </c>
      <c r="C462" t="s">
        <v>72</v>
      </c>
      <c r="D462" t="s">
        <v>1098</v>
      </c>
      <c r="E462" s="3">
        <v>6</v>
      </c>
      <c r="F462" s="3">
        <v>2</v>
      </c>
      <c r="G462" t="s">
        <v>13</v>
      </c>
      <c r="H462" t="s">
        <v>1109</v>
      </c>
      <c r="I462" t="s">
        <v>41</v>
      </c>
      <c r="J462" t="s">
        <v>49</v>
      </c>
      <c r="K462" t="s">
        <v>10</v>
      </c>
      <c r="L462" t="s">
        <v>10</v>
      </c>
      <c r="M462" t="s">
        <v>10</v>
      </c>
      <c r="N462" t="s">
        <v>10</v>
      </c>
      <c r="O462" t="str">
        <f>INDEX(CoverageTable[Deductible Applies],MATCH(Table1820[[#This Row],[Coverage]],CoverageTable[Coverage],0))</f>
        <v>Yes</v>
      </c>
      <c r="P462" t="str">
        <f>INDEX(CoverageTable[Coverage Limit Applies],MATCH(Table1820[[#This Row],[Coverage]],CoverageTable[Coverage],0))</f>
        <v>No</v>
      </c>
      <c r="Q462" t="s">
        <v>80</v>
      </c>
      <c r="R462" t="s">
        <v>10</v>
      </c>
      <c r="S462" t="s">
        <v>10</v>
      </c>
      <c r="T462" t="s">
        <v>10</v>
      </c>
      <c r="U462" t="s">
        <v>57</v>
      </c>
      <c r="V462" t="s">
        <v>10</v>
      </c>
      <c r="W462" t="s">
        <v>10</v>
      </c>
      <c r="X462" s="11">
        <v>132.16077097191538</v>
      </c>
      <c r="Y462">
        <f>_xlfn.XLOOKUP(Table1820[[#This Row],[Coverage]],CoverageTable[Coverage],CoverageTable[Base Rate],,0)</f>
        <v>121</v>
      </c>
      <c r="Z462">
        <f>INDEX(Table16[Ageband Factor],MATCH(Table1820[[#This Row],[Ageband]],Table16[Ageband],0))</f>
        <v>1.23</v>
      </c>
      <c r="AA462">
        <f>VLOOKUP(Table1820[[#This Row],[Years Driving]],Table1[],2)</f>
        <v>1</v>
      </c>
      <c r="AB462">
        <f>_xlfn.XLOOKUP(Table1820[[#This Row],[At Fault Accidents]],Table2[At Fault Accidents],Table2[At Fault Accident Factor],,0)</f>
        <v>1.55</v>
      </c>
      <c r="AC462">
        <f>_xlfn.XLOOKUP(Table1820[[#This Row],[Usage-Based Insurance]],Table3[Usage-Based Insurance],Table3[Usage-Based Insurance Discount],,0)</f>
        <v>0.65</v>
      </c>
      <c r="AD462">
        <f>_xlfn.XLOOKUP(Table1820[[#This Row],[Yearly Miles]],Table4[Yearly Miles],Table4[Yearly Miles Factor],,0)</f>
        <v>1.18</v>
      </c>
      <c r="AE462">
        <f>_xlfn.XLOOKUP(Table1820[[#This Row],[City/Zip Code]],Table5[City/Zip Code],Table5[City/Zip Code Factor],,0)</f>
        <v>1.1499999999999999</v>
      </c>
      <c r="AF462">
        <f>_xlfn.XLOOKUP(Table1820[[#This Row],[Vehicle Price]],Table6[Vehicle Price],Table6[Vehicle Price Factor])</f>
        <v>0.97</v>
      </c>
      <c r="AG462">
        <f>_xlfn.XLOOKUP(Table1820[[#This Row],[Exotic Car]],Table7[Exotic Car],Table7[Exotic Car Factor],,0)</f>
        <v>1</v>
      </c>
      <c r="AH462">
        <f>_xlfn.XLOOKUP(Table1820[[#This Row],[Difficult Parts]],Table8[Difficult Parts],Table8[Difficult Parts Factor],,0)</f>
        <v>1</v>
      </c>
      <c r="AI462">
        <f>_xlfn.XLOOKUP(Table1820[[#This Row],[High Theft Rate]],Table9[High Theft Rate],Table9[High Theft Rate Factor],,0)</f>
        <v>1</v>
      </c>
      <c r="AJ462">
        <f>_xlfn.XLOOKUP(Table1820[[#This Row],[Advanced Safety Features]],Table10[Advanced Safety Features],Table10[Advanced Safety Features Factor],,0)</f>
        <v>1</v>
      </c>
      <c r="AK462">
        <f>_xlfn.XLOOKUP(Table1820[[#This Row],[Deductible]],Table12[Deductible],Table12[Deductible Factor],,0)</f>
        <v>0.72</v>
      </c>
      <c r="AL462">
        <f>_xlfn.XLOOKUP(Table1820[[#This Row],[Coverage Limit]],Table13[Coverage Limit],Table13[Coverage Limit Factor],,0)</f>
        <v>1</v>
      </c>
      <c r="AM462">
        <f>IF(Table1820[[#This Row],[Good Student Discount]]="Yes",'Rate Book'!$D$126,1)</f>
        <v>1</v>
      </c>
      <c r="AN462">
        <f>IF(Table1820[[#This Row],[Good Driver Discount]]="Yes",'Rate Book'!$D$127,1)</f>
        <v>1</v>
      </c>
      <c r="AO462">
        <f>IF(Table1820[[#This Row],[Multi Policy Discount]]="Yes",'Rate Book'!$D$128,1)</f>
        <v>0.93</v>
      </c>
      <c r="AP462">
        <f>IF(Table1820[[#This Row],[Loyal Customer Discount]]="Yes",'Rate Book'!$D$129,1)</f>
        <v>1</v>
      </c>
      <c r="AQ462">
        <f>IF(Table1820[[#This Row],[Organization Discount]]="Yes",'Rate Book'!$D$130,1)</f>
        <v>1</v>
      </c>
      <c r="AR462" cm="1">
        <f t="array" ref="AR462">IF(Table1820[[#This Row],[Effective Date]]&gt;=RateChangeTable[Effective Date],RateChangeTable[Rate Change Factor],1)</f>
        <v>1</v>
      </c>
      <c r="AS462" s="10">
        <f>PRODUCT(Table1820[[#This Row],[Base Rate]:[Rate Change Factor]])</f>
        <v>132.16077097191538</v>
      </c>
      <c r="AT462" s="9">
        <f>Table1820[[#This Row],[System-Generated Premium]]-Table1820[[#This Row],[Expected Premium]]</f>
        <v>0</v>
      </c>
      <c r="AU462" t="str">
        <f>IF(Table1820[[#This Row],[Difference]]=0,"PASS","FAIL")</f>
        <v>PASS</v>
      </c>
      <c r="AV462" s="9">
        <f>ABS(Table1820[[#This Row],[Difference]])</f>
        <v>0</v>
      </c>
      <c r="AW462" s="9" t="s">
        <v>1136</v>
      </c>
    </row>
    <row r="463" spans="1:49" x14ac:dyDescent="0.3">
      <c r="A463" t="s">
        <v>554</v>
      </c>
      <c r="B463" s="7">
        <v>46141</v>
      </c>
      <c r="C463" t="s">
        <v>70</v>
      </c>
      <c r="D463" t="s">
        <v>1097</v>
      </c>
      <c r="E463" s="3">
        <v>4</v>
      </c>
      <c r="F463" s="3">
        <v>1</v>
      </c>
      <c r="G463" t="s">
        <v>13</v>
      </c>
      <c r="H463" t="s">
        <v>1106</v>
      </c>
      <c r="I463" t="s">
        <v>38</v>
      </c>
      <c r="J463" t="s">
        <v>50</v>
      </c>
      <c r="K463" t="s">
        <v>10</v>
      </c>
      <c r="L463" t="s">
        <v>10</v>
      </c>
      <c r="M463" t="s">
        <v>10</v>
      </c>
      <c r="N463" t="s">
        <v>10</v>
      </c>
      <c r="O463" t="str">
        <f>INDEX(CoverageTable[Deductible Applies],MATCH(Table1820[[#This Row],[Coverage]],CoverageTable[Coverage],0))</f>
        <v>No</v>
      </c>
      <c r="P463" t="str">
        <f>INDEX(CoverageTable[Coverage Limit Applies],MATCH(Table1820[[#This Row],[Coverage]],CoverageTable[Coverage],0))</f>
        <v>Yes</v>
      </c>
      <c r="Q463" t="s">
        <v>10</v>
      </c>
      <c r="R463" t="s">
        <v>80</v>
      </c>
      <c r="S463" t="s">
        <v>10</v>
      </c>
      <c r="T463" t="s">
        <v>10</v>
      </c>
      <c r="U463" t="s">
        <v>57</v>
      </c>
      <c r="V463" t="s">
        <v>57</v>
      </c>
      <c r="W463" t="s">
        <v>10</v>
      </c>
      <c r="X463" s="11">
        <v>634.93884154612294</v>
      </c>
      <c r="Y463">
        <f>_xlfn.XLOOKUP(Table1820[[#This Row],[Coverage]],CoverageTable[Coverage],CoverageTable[Base Rate],,0)</f>
        <v>622</v>
      </c>
      <c r="Z463">
        <f>INDEX(Table16[Ageband Factor],MATCH(Table1820[[#This Row],[Ageband]],Table16[Ageband],0))</f>
        <v>1.32</v>
      </c>
      <c r="AA463">
        <f>VLOOKUP(Table1820[[#This Row],[Years Driving]],Table1[],2)</f>
        <v>1.1499999999999999</v>
      </c>
      <c r="AB463">
        <f>_xlfn.XLOOKUP(Table1820[[#This Row],[At Fault Accidents]],Table2[At Fault Accidents],Table2[At Fault Accident Factor],,0)</f>
        <v>1.34</v>
      </c>
      <c r="AC463">
        <f>_xlfn.XLOOKUP(Table1820[[#This Row],[Usage-Based Insurance]],Table3[Usage-Based Insurance],Table3[Usage-Based Insurance Discount],,0)</f>
        <v>0.65</v>
      </c>
      <c r="AD463">
        <f>_xlfn.XLOOKUP(Table1820[[#This Row],[Yearly Miles]],Table4[Yearly Miles],Table4[Yearly Miles Factor],,0)</f>
        <v>0.82</v>
      </c>
      <c r="AE463">
        <f>_xlfn.XLOOKUP(Table1820[[#This Row],[City/Zip Code]],Table5[City/Zip Code],Table5[City/Zip Code Factor],,0)</f>
        <v>1.1200000000000001</v>
      </c>
      <c r="AF463">
        <f>_xlfn.XLOOKUP(Table1820[[#This Row],[Vehicle Price]],Table6[Vehicle Price],Table6[Vehicle Price Factor])</f>
        <v>1.08</v>
      </c>
      <c r="AG463">
        <f>_xlfn.XLOOKUP(Table1820[[#This Row],[Exotic Car]],Table7[Exotic Car],Table7[Exotic Car Factor],,0)</f>
        <v>1</v>
      </c>
      <c r="AH463">
        <f>_xlfn.XLOOKUP(Table1820[[#This Row],[Difficult Parts]],Table8[Difficult Parts],Table8[Difficult Parts Factor],,0)</f>
        <v>1</v>
      </c>
      <c r="AI463">
        <f>_xlfn.XLOOKUP(Table1820[[#This Row],[High Theft Rate]],Table9[High Theft Rate],Table9[High Theft Rate Factor],,0)</f>
        <v>1</v>
      </c>
      <c r="AJ463">
        <f>_xlfn.XLOOKUP(Table1820[[#This Row],[Advanced Safety Features]],Table10[Advanced Safety Features],Table10[Advanced Safety Features Factor],,0)</f>
        <v>1</v>
      </c>
      <c r="AK463">
        <f>_xlfn.XLOOKUP(Table1820[[#This Row],[Deductible]],Table12[Deductible],Table12[Deductible Factor],,0)</f>
        <v>1</v>
      </c>
      <c r="AL463">
        <f>_xlfn.XLOOKUP(Table1820[[#This Row],[Coverage Limit]],Table13[Coverage Limit],Table13[Coverage Limit Factor],,0)</f>
        <v>0.84</v>
      </c>
      <c r="AM463">
        <f>IF(Table1820[[#This Row],[Good Student Discount]]="Yes",'Rate Book'!$D$126,1)</f>
        <v>1</v>
      </c>
      <c r="AN463">
        <f>IF(Table1820[[#This Row],[Good Driver Discount]]="Yes",'Rate Book'!$D$127,1)</f>
        <v>1</v>
      </c>
      <c r="AO463">
        <f>IF(Table1820[[#This Row],[Multi Policy Discount]]="Yes",'Rate Book'!$D$128,1)</f>
        <v>0.93</v>
      </c>
      <c r="AP463">
        <f>IF(Table1820[[#This Row],[Loyal Customer Discount]]="Yes",'Rate Book'!$D$129,1)</f>
        <v>0.94</v>
      </c>
      <c r="AQ463">
        <f>IF(Table1820[[#This Row],[Organization Discount]]="Yes",'Rate Book'!$D$130,1)</f>
        <v>1</v>
      </c>
      <c r="AR463" cm="1">
        <f t="array" ref="AR463">IF(Table1820[[#This Row],[Effective Date]]&gt;=RateChangeTable[Effective Date],RateChangeTable[Rate Change Factor],1)</f>
        <v>1.06</v>
      </c>
      <c r="AS463" s="10">
        <f>PRODUCT(Table1820[[#This Row],[Base Rate]:[Rate Change Factor]])</f>
        <v>634.93884154612294</v>
      </c>
      <c r="AT463" s="9">
        <f>Table1820[[#This Row],[System-Generated Premium]]-Table1820[[#This Row],[Expected Premium]]</f>
        <v>0</v>
      </c>
      <c r="AU463" t="str">
        <f>IF(Table1820[[#This Row],[Difference]]=0,"PASS","FAIL")</f>
        <v>PASS</v>
      </c>
      <c r="AV463" s="9">
        <f>ABS(Table1820[[#This Row],[Difference]])</f>
        <v>0</v>
      </c>
      <c r="AW463" s="9" t="s">
        <v>1136</v>
      </c>
    </row>
    <row r="464" spans="1:49" x14ac:dyDescent="0.3">
      <c r="A464" t="s">
        <v>555</v>
      </c>
      <c r="B464" s="7">
        <v>45782</v>
      </c>
      <c r="C464" t="s">
        <v>70</v>
      </c>
      <c r="D464" t="s">
        <v>1097</v>
      </c>
      <c r="E464" s="3">
        <v>1</v>
      </c>
      <c r="F464" s="3">
        <v>1</v>
      </c>
      <c r="G464" t="s">
        <v>10</v>
      </c>
      <c r="H464" t="s">
        <v>1106</v>
      </c>
      <c r="I464" t="s">
        <v>28</v>
      </c>
      <c r="J464" t="s">
        <v>54</v>
      </c>
      <c r="K464" t="s">
        <v>10</v>
      </c>
      <c r="L464" t="s">
        <v>10</v>
      </c>
      <c r="M464" t="s">
        <v>57</v>
      </c>
      <c r="N464" t="s">
        <v>10</v>
      </c>
      <c r="O464" t="str">
        <f>INDEX(CoverageTable[Deductible Applies],MATCH(Table1820[[#This Row],[Coverage]],CoverageTable[Coverage],0))</f>
        <v>No</v>
      </c>
      <c r="P464" t="str">
        <f>INDEX(CoverageTable[Coverage Limit Applies],MATCH(Table1820[[#This Row],[Coverage]],CoverageTable[Coverage],0))</f>
        <v>Yes</v>
      </c>
      <c r="Q464" t="s">
        <v>10</v>
      </c>
      <c r="R464" t="s">
        <v>78</v>
      </c>
      <c r="S464" t="s">
        <v>57</v>
      </c>
      <c r="T464" t="s">
        <v>10</v>
      </c>
      <c r="U464" t="s">
        <v>10</v>
      </c>
      <c r="V464" t="s">
        <v>10</v>
      </c>
      <c r="W464" t="s">
        <v>57</v>
      </c>
      <c r="X464" s="11">
        <v>2547.2976947017601</v>
      </c>
      <c r="Y464">
        <f>_xlfn.XLOOKUP(Table1820[[#This Row],[Coverage]],CoverageTable[Coverage],CoverageTable[Base Rate],,0)</f>
        <v>622</v>
      </c>
      <c r="Z464">
        <f>INDEX(Table16[Ageband Factor],MATCH(Table1820[[#This Row],[Ageband]],Table16[Ageband],0))</f>
        <v>1.32</v>
      </c>
      <c r="AA464">
        <f>VLOOKUP(Table1820[[#This Row],[Years Driving]],Table1[],2)</f>
        <v>1.64</v>
      </c>
      <c r="AB464">
        <f>_xlfn.XLOOKUP(Table1820[[#This Row],[At Fault Accidents]],Table2[At Fault Accidents],Table2[At Fault Accident Factor],,0)</f>
        <v>1.34</v>
      </c>
      <c r="AC464">
        <f>_xlfn.XLOOKUP(Table1820[[#This Row],[Usage-Based Insurance]],Table3[Usage-Based Insurance],Table3[Usage-Based Insurance Discount],,0)</f>
        <v>1</v>
      </c>
      <c r="AD464">
        <f>_xlfn.XLOOKUP(Table1820[[#This Row],[Yearly Miles]],Table4[Yearly Miles],Table4[Yearly Miles Factor],,0)</f>
        <v>0.82</v>
      </c>
      <c r="AE464">
        <f>_xlfn.XLOOKUP(Table1820[[#This Row],[City/Zip Code]],Table5[City/Zip Code],Table5[City/Zip Code Factor],,0)</f>
        <v>0.95</v>
      </c>
      <c r="AF464">
        <f>_xlfn.XLOOKUP(Table1820[[#This Row],[Vehicle Price]],Table6[Vehicle Price],Table6[Vehicle Price Factor])</f>
        <v>2.87</v>
      </c>
      <c r="AG464">
        <f>_xlfn.XLOOKUP(Table1820[[#This Row],[Exotic Car]],Table7[Exotic Car],Table7[Exotic Car Factor],,0)</f>
        <v>1</v>
      </c>
      <c r="AH464">
        <f>_xlfn.XLOOKUP(Table1820[[#This Row],[Difficult Parts]],Table8[Difficult Parts],Table8[Difficult Parts Factor],,0)</f>
        <v>1</v>
      </c>
      <c r="AI464">
        <f>_xlfn.XLOOKUP(Table1820[[#This Row],[High Theft Rate]],Table9[High Theft Rate],Table9[High Theft Rate Factor],,0)</f>
        <v>1.1599999999999999</v>
      </c>
      <c r="AJ464">
        <f>_xlfn.XLOOKUP(Table1820[[#This Row],[Advanced Safety Features]],Table10[Advanced Safety Features],Table10[Advanced Safety Features Factor],,0)</f>
        <v>1</v>
      </c>
      <c r="AK464">
        <f>_xlfn.XLOOKUP(Table1820[[#This Row],[Deductible]],Table12[Deductible],Table12[Deductible Factor],,0)</f>
        <v>1</v>
      </c>
      <c r="AL464">
        <f>_xlfn.XLOOKUP(Table1820[[#This Row],[Coverage Limit]],Table13[Coverage Limit],Table13[Coverage Limit Factor],,0)</f>
        <v>0.61</v>
      </c>
      <c r="AM464">
        <f>IF(Table1820[[#This Row],[Good Student Discount]]="Yes",'Rate Book'!$D$126,1)</f>
        <v>0.92</v>
      </c>
      <c r="AN464">
        <f>IF(Table1820[[#This Row],[Good Driver Discount]]="Yes",'Rate Book'!$D$127,1)</f>
        <v>1</v>
      </c>
      <c r="AO464">
        <f>IF(Table1820[[#This Row],[Multi Policy Discount]]="Yes",'Rate Book'!$D$128,1)</f>
        <v>1</v>
      </c>
      <c r="AP464">
        <f>IF(Table1820[[#This Row],[Loyal Customer Discount]]="Yes",'Rate Book'!$D$129,1)</f>
        <v>1</v>
      </c>
      <c r="AQ464">
        <f>IF(Table1820[[#This Row],[Organization Discount]]="Yes",'Rate Book'!$D$130,1)</f>
        <v>0.97</v>
      </c>
      <c r="AR464" cm="1">
        <f t="array" ref="AR464">IF(Table1820[[#This Row],[Effective Date]]&gt;=RateChangeTable[Effective Date],RateChangeTable[Rate Change Factor],1)</f>
        <v>1</v>
      </c>
      <c r="AS464" s="10">
        <f>PRODUCT(Table1820[[#This Row],[Base Rate]:[Rate Change Factor]])</f>
        <v>2547.2976947017601</v>
      </c>
      <c r="AT464" s="9">
        <f>Table1820[[#This Row],[System-Generated Premium]]-Table1820[[#This Row],[Expected Premium]]</f>
        <v>0</v>
      </c>
      <c r="AU464" t="str">
        <f>IF(Table1820[[#This Row],[Difference]]=0,"PASS","FAIL")</f>
        <v>PASS</v>
      </c>
      <c r="AV464" s="9">
        <f>ABS(Table1820[[#This Row],[Difference]])</f>
        <v>0</v>
      </c>
      <c r="AW464" s="9" t="s">
        <v>1136</v>
      </c>
    </row>
    <row r="465" spans="1:49" x14ac:dyDescent="0.3">
      <c r="A465" t="s">
        <v>556</v>
      </c>
      <c r="B465" s="7">
        <v>46045</v>
      </c>
      <c r="C465" t="s">
        <v>70</v>
      </c>
      <c r="D465" t="s">
        <v>1098</v>
      </c>
      <c r="E465" s="3">
        <v>6</v>
      </c>
      <c r="F465" s="3">
        <v>0</v>
      </c>
      <c r="G465" t="s">
        <v>13</v>
      </c>
      <c r="H465" t="s">
        <v>1110</v>
      </c>
      <c r="I465" t="s">
        <v>26</v>
      </c>
      <c r="J465" t="s">
        <v>54</v>
      </c>
      <c r="K465" t="s">
        <v>57</v>
      </c>
      <c r="L465" t="s">
        <v>10</v>
      </c>
      <c r="M465" t="s">
        <v>57</v>
      </c>
      <c r="N465" t="s">
        <v>57</v>
      </c>
      <c r="O465" t="str">
        <f>INDEX(CoverageTable[Deductible Applies],MATCH(Table1820[[#This Row],[Coverage]],CoverageTable[Coverage],0))</f>
        <v>No</v>
      </c>
      <c r="P465" t="str">
        <f>INDEX(CoverageTable[Coverage Limit Applies],MATCH(Table1820[[#This Row],[Coverage]],CoverageTable[Coverage],0))</f>
        <v>Yes</v>
      </c>
      <c r="Q465" t="s">
        <v>10</v>
      </c>
      <c r="R465" t="s">
        <v>78</v>
      </c>
      <c r="S465" t="s">
        <v>10</v>
      </c>
      <c r="T465" t="s">
        <v>10</v>
      </c>
      <c r="U465" t="s">
        <v>10</v>
      </c>
      <c r="V465" t="s">
        <v>10</v>
      </c>
      <c r="W465" t="s">
        <v>10</v>
      </c>
      <c r="X465" s="11">
        <v>1816.5452342808235</v>
      </c>
      <c r="Y465">
        <f>_xlfn.XLOOKUP(Table1820[[#This Row],[Coverage]],CoverageTable[Coverage],CoverageTable[Base Rate],,0)</f>
        <v>622</v>
      </c>
      <c r="Z465">
        <f>INDEX(Table16[Ageband Factor],MATCH(Table1820[[#This Row],[Ageband]],Table16[Ageband],0))</f>
        <v>1.23</v>
      </c>
      <c r="AA465">
        <f>VLOOKUP(Table1820[[#This Row],[Years Driving]],Table1[],2)</f>
        <v>1</v>
      </c>
      <c r="AB465">
        <f>_xlfn.XLOOKUP(Table1820[[#This Row],[At Fault Accidents]],Table2[At Fault Accidents],Table2[At Fault Accident Factor],,0)</f>
        <v>1</v>
      </c>
      <c r="AC465">
        <f>_xlfn.XLOOKUP(Table1820[[#This Row],[Usage-Based Insurance]],Table3[Usage-Based Insurance],Table3[Usage-Based Insurance Discount],,0)</f>
        <v>0.65</v>
      </c>
      <c r="AD465">
        <f>_xlfn.XLOOKUP(Table1820[[#This Row],[Yearly Miles]],Table4[Yearly Miles],Table4[Yearly Miles Factor],,0)</f>
        <v>1.31</v>
      </c>
      <c r="AE465">
        <f>_xlfn.XLOOKUP(Table1820[[#This Row],[City/Zip Code]],Table5[City/Zip Code],Table5[City/Zip Code Factor],,0)</f>
        <v>1.1499999999999999</v>
      </c>
      <c r="AF465">
        <f>_xlfn.XLOOKUP(Table1820[[#This Row],[Vehicle Price]],Table6[Vehicle Price],Table6[Vehicle Price Factor])</f>
        <v>2.87</v>
      </c>
      <c r="AG465">
        <f>_xlfn.XLOOKUP(Table1820[[#This Row],[Exotic Car]],Table7[Exotic Car],Table7[Exotic Car Factor],,0)</f>
        <v>1.28</v>
      </c>
      <c r="AH465">
        <f>_xlfn.XLOOKUP(Table1820[[#This Row],[Difficult Parts]],Table8[Difficult Parts],Table8[Difficult Parts Factor],,0)</f>
        <v>1</v>
      </c>
      <c r="AI465">
        <f>_xlfn.XLOOKUP(Table1820[[#This Row],[High Theft Rate]],Table9[High Theft Rate],Table9[High Theft Rate Factor],,0)</f>
        <v>1.1599999999999999</v>
      </c>
      <c r="AJ465">
        <f>_xlfn.XLOOKUP(Table1820[[#This Row],[Advanced Safety Features]],Table10[Advanced Safety Features],Table10[Advanced Safety Features Factor],,0)</f>
        <v>0.88</v>
      </c>
      <c r="AK465">
        <f>_xlfn.XLOOKUP(Table1820[[#This Row],[Deductible]],Table12[Deductible],Table12[Deductible Factor],,0)</f>
        <v>1</v>
      </c>
      <c r="AL465">
        <f>_xlfn.XLOOKUP(Table1820[[#This Row],[Coverage Limit]],Table13[Coverage Limit],Table13[Coverage Limit Factor],,0)</f>
        <v>0.61</v>
      </c>
      <c r="AM465">
        <f>IF(Table1820[[#This Row],[Good Student Discount]]="Yes",'Rate Book'!$D$126,1)</f>
        <v>1</v>
      </c>
      <c r="AN465">
        <f>IF(Table1820[[#This Row],[Good Driver Discount]]="Yes",'Rate Book'!$D$127,1)</f>
        <v>1</v>
      </c>
      <c r="AO465">
        <f>IF(Table1820[[#This Row],[Multi Policy Discount]]="Yes",'Rate Book'!$D$128,1)</f>
        <v>1</v>
      </c>
      <c r="AP465">
        <f>IF(Table1820[[#This Row],[Loyal Customer Discount]]="Yes",'Rate Book'!$D$129,1)</f>
        <v>1</v>
      </c>
      <c r="AQ465">
        <f>IF(Table1820[[#This Row],[Organization Discount]]="Yes",'Rate Book'!$D$130,1)</f>
        <v>1</v>
      </c>
      <c r="AR465" cm="1">
        <f t="array" ref="AR465">IF(Table1820[[#This Row],[Effective Date]]&gt;=RateChangeTable[Effective Date],RateChangeTable[Rate Change Factor],1)</f>
        <v>1.06</v>
      </c>
      <c r="AS465" s="10">
        <f>PRODUCT(Table1820[[#This Row],[Base Rate]:[Rate Change Factor]])</f>
        <v>1816.5452342808235</v>
      </c>
      <c r="AT465" s="9">
        <f>Table1820[[#This Row],[System-Generated Premium]]-Table1820[[#This Row],[Expected Premium]]</f>
        <v>0</v>
      </c>
      <c r="AU465" t="str">
        <f>IF(Table1820[[#This Row],[Difference]]=0,"PASS","FAIL")</f>
        <v>PASS</v>
      </c>
      <c r="AV465" s="9">
        <f>ABS(Table1820[[#This Row],[Difference]])</f>
        <v>0</v>
      </c>
      <c r="AW465" s="9" t="s">
        <v>1136</v>
      </c>
    </row>
    <row r="466" spans="1:49" x14ac:dyDescent="0.3">
      <c r="A466" t="s">
        <v>557</v>
      </c>
      <c r="B466" s="7">
        <v>45868</v>
      </c>
      <c r="C466" t="s">
        <v>71</v>
      </c>
      <c r="D466" t="s">
        <v>1099</v>
      </c>
      <c r="E466" s="3">
        <v>2</v>
      </c>
      <c r="F466" s="3">
        <v>4</v>
      </c>
      <c r="G466" t="s">
        <v>10</v>
      </c>
      <c r="H466" t="s">
        <v>1108</v>
      </c>
      <c r="I466" t="s">
        <v>43</v>
      </c>
      <c r="J466" t="s">
        <v>49</v>
      </c>
      <c r="K466" t="s">
        <v>10</v>
      </c>
      <c r="L466" t="s">
        <v>10</v>
      </c>
      <c r="M466" t="s">
        <v>10</v>
      </c>
      <c r="N466" t="s">
        <v>57</v>
      </c>
      <c r="O466" t="str">
        <f>INDEX(CoverageTable[Deductible Applies],MATCH(Table1820[[#This Row],[Coverage]],CoverageTable[Coverage],0))</f>
        <v>Yes</v>
      </c>
      <c r="P466" t="str">
        <f>INDEX(CoverageTable[Coverage Limit Applies],MATCH(Table1820[[#This Row],[Coverage]],CoverageTable[Coverage],0))</f>
        <v>No</v>
      </c>
      <c r="Q466" t="s">
        <v>79</v>
      </c>
      <c r="R466" t="s">
        <v>10</v>
      </c>
      <c r="S466" t="s">
        <v>10</v>
      </c>
      <c r="T466" t="s">
        <v>10</v>
      </c>
      <c r="U466" t="s">
        <v>10</v>
      </c>
      <c r="V466" t="s">
        <v>10</v>
      </c>
      <c r="W466" t="s">
        <v>57</v>
      </c>
      <c r="X466" s="11">
        <v>1111.3237856517349</v>
      </c>
      <c r="Y466">
        <f>_xlfn.XLOOKUP(Table1820[[#This Row],[Coverage]],CoverageTable[Coverage],CoverageTable[Base Rate],,0)</f>
        <v>453</v>
      </c>
      <c r="Z466">
        <f>INDEX(Table16[Ageband Factor],MATCH(Table1820[[#This Row],[Ageband]],Table16[Ageband],0))</f>
        <v>1</v>
      </c>
      <c r="AA466">
        <f>VLOOKUP(Table1820[[#This Row],[Years Driving]],Table1[],2)</f>
        <v>1.41</v>
      </c>
      <c r="AB466">
        <f>_xlfn.XLOOKUP(Table1820[[#This Row],[At Fault Accidents]],Table2[At Fault Accidents],Table2[At Fault Accident Factor],,0)</f>
        <v>2.12</v>
      </c>
      <c r="AC466">
        <f>_xlfn.XLOOKUP(Table1820[[#This Row],[Usage-Based Insurance]],Table3[Usage-Based Insurance],Table3[Usage-Based Insurance Discount],,0)</f>
        <v>1</v>
      </c>
      <c r="AD466">
        <f>_xlfn.XLOOKUP(Table1820[[#This Row],[Yearly Miles]],Table4[Yearly Miles],Table4[Yearly Miles Factor],,0)</f>
        <v>1</v>
      </c>
      <c r="AE466">
        <f>_xlfn.XLOOKUP(Table1820[[#This Row],[City/Zip Code]],Table5[City/Zip Code],Table5[City/Zip Code Factor],,0)</f>
        <v>1.18</v>
      </c>
      <c r="AF466">
        <f>_xlfn.XLOOKUP(Table1820[[#This Row],[Vehicle Price]],Table6[Vehicle Price],Table6[Vehicle Price Factor])</f>
        <v>0.97</v>
      </c>
      <c r="AG466">
        <f>_xlfn.XLOOKUP(Table1820[[#This Row],[Exotic Car]],Table7[Exotic Car],Table7[Exotic Car Factor],,0)</f>
        <v>1</v>
      </c>
      <c r="AH466">
        <f>_xlfn.XLOOKUP(Table1820[[#This Row],[Difficult Parts]],Table8[Difficult Parts],Table8[Difficult Parts Factor],,0)</f>
        <v>1</v>
      </c>
      <c r="AI466">
        <f>_xlfn.XLOOKUP(Table1820[[#This Row],[High Theft Rate]],Table9[High Theft Rate],Table9[High Theft Rate Factor],,0)</f>
        <v>1</v>
      </c>
      <c r="AJ466">
        <f>_xlfn.XLOOKUP(Table1820[[#This Row],[Advanced Safety Features]],Table10[Advanced Safety Features],Table10[Advanced Safety Features Factor],,0)</f>
        <v>0.88</v>
      </c>
      <c r="AK466">
        <f>_xlfn.XLOOKUP(Table1820[[#This Row],[Deductible]],Table12[Deductible],Table12[Deductible Factor],,0)</f>
        <v>0.84</v>
      </c>
      <c r="AL466">
        <f>_xlfn.XLOOKUP(Table1820[[#This Row],[Coverage Limit]],Table13[Coverage Limit],Table13[Coverage Limit Factor],,0)</f>
        <v>1</v>
      </c>
      <c r="AM466">
        <f>IF(Table1820[[#This Row],[Good Student Discount]]="Yes",'Rate Book'!$D$126,1)</f>
        <v>1</v>
      </c>
      <c r="AN466">
        <f>IF(Table1820[[#This Row],[Good Driver Discount]]="Yes",'Rate Book'!$D$127,1)</f>
        <v>1</v>
      </c>
      <c r="AO466">
        <f>IF(Table1820[[#This Row],[Multi Policy Discount]]="Yes",'Rate Book'!$D$128,1)</f>
        <v>1</v>
      </c>
      <c r="AP466">
        <f>IF(Table1820[[#This Row],[Loyal Customer Discount]]="Yes",'Rate Book'!$D$129,1)</f>
        <v>1</v>
      </c>
      <c r="AQ466">
        <f>IF(Table1820[[#This Row],[Organization Discount]]="Yes",'Rate Book'!$D$130,1)</f>
        <v>0.97</v>
      </c>
      <c r="AR466" cm="1">
        <f t="array" ref="AR466">IF(Table1820[[#This Row],[Effective Date]]&gt;=RateChangeTable[Effective Date],RateChangeTable[Rate Change Factor],1)</f>
        <v>1</v>
      </c>
      <c r="AS466" s="10">
        <f>PRODUCT(Table1820[[#This Row],[Base Rate]:[Rate Change Factor]])</f>
        <v>1111.3237856517349</v>
      </c>
      <c r="AT466" s="9">
        <f>Table1820[[#This Row],[System-Generated Premium]]-Table1820[[#This Row],[Expected Premium]]</f>
        <v>0</v>
      </c>
      <c r="AU466" t="str">
        <f>IF(Table1820[[#This Row],[Difference]]=0,"PASS","FAIL")</f>
        <v>PASS</v>
      </c>
      <c r="AV466" s="9">
        <f>ABS(Table1820[[#This Row],[Difference]])</f>
        <v>0</v>
      </c>
      <c r="AW466" s="9" t="s">
        <v>1136</v>
      </c>
    </row>
    <row r="467" spans="1:49" x14ac:dyDescent="0.3">
      <c r="A467" t="s">
        <v>558</v>
      </c>
      <c r="B467" s="7">
        <v>46008</v>
      </c>
      <c r="C467" t="s">
        <v>71</v>
      </c>
      <c r="D467" t="s">
        <v>1101</v>
      </c>
      <c r="E467" s="3">
        <v>3</v>
      </c>
      <c r="F467" s="3">
        <v>4</v>
      </c>
      <c r="G467" t="s">
        <v>13</v>
      </c>
      <c r="H467" t="s">
        <v>1106</v>
      </c>
      <c r="I467" t="s">
        <v>23</v>
      </c>
      <c r="J467" t="s">
        <v>51</v>
      </c>
      <c r="K467" t="s">
        <v>10</v>
      </c>
      <c r="L467" t="s">
        <v>10</v>
      </c>
      <c r="M467" t="s">
        <v>10</v>
      </c>
      <c r="N467" t="s">
        <v>10</v>
      </c>
      <c r="O467" t="str">
        <f>INDEX(CoverageTable[Deductible Applies],MATCH(Table1820[[#This Row],[Coverage]],CoverageTable[Coverage],0))</f>
        <v>Yes</v>
      </c>
      <c r="P467" t="str">
        <f>INDEX(CoverageTable[Coverage Limit Applies],MATCH(Table1820[[#This Row],[Coverage]],CoverageTable[Coverage],0))</f>
        <v>No</v>
      </c>
      <c r="Q467" t="s">
        <v>78</v>
      </c>
      <c r="R467" t="s">
        <v>10</v>
      </c>
      <c r="S467" t="s">
        <v>10</v>
      </c>
      <c r="T467" t="s">
        <v>10</v>
      </c>
      <c r="U467" t="s">
        <v>10</v>
      </c>
      <c r="V467" t="s">
        <v>10</v>
      </c>
      <c r="W467" t="s">
        <v>10</v>
      </c>
      <c r="X467" s="11">
        <v>782.45708542869534</v>
      </c>
      <c r="Y467">
        <f>_xlfn.XLOOKUP(Table1820[[#This Row],[Coverage]],CoverageTable[Coverage],CoverageTable[Base Rate],,0)</f>
        <v>453</v>
      </c>
      <c r="Z467">
        <f>INDEX(Table16[Ageband Factor],MATCH(Table1820[[#This Row],[Ageband]],Table16[Ageband],0))</f>
        <v>1.1200000000000001</v>
      </c>
      <c r="AA467">
        <f>VLOOKUP(Table1820[[#This Row],[Years Driving]],Table1[],2)</f>
        <v>1.22</v>
      </c>
      <c r="AB467">
        <f>_xlfn.XLOOKUP(Table1820[[#This Row],[At Fault Accidents]],Table2[At Fault Accidents],Table2[At Fault Accident Factor],,0)</f>
        <v>2.12</v>
      </c>
      <c r="AC467">
        <f>_xlfn.XLOOKUP(Table1820[[#This Row],[Usage-Based Insurance]],Table3[Usage-Based Insurance],Table3[Usage-Based Insurance Discount],,0)</f>
        <v>0.65</v>
      </c>
      <c r="AD467">
        <f>_xlfn.XLOOKUP(Table1820[[#This Row],[Yearly Miles]],Table4[Yearly Miles],Table4[Yearly Miles Factor],,0)</f>
        <v>0.82</v>
      </c>
      <c r="AE467">
        <f>_xlfn.XLOOKUP(Table1820[[#This Row],[City/Zip Code]],Table5[City/Zip Code],Table5[City/Zip Code Factor],,0)</f>
        <v>0.92</v>
      </c>
      <c r="AF467">
        <f>_xlfn.XLOOKUP(Table1820[[#This Row],[Vehicle Price]],Table6[Vehicle Price],Table6[Vehicle Price Factor])</f>
        <v>1.28</v>
      </c>
      <c r="AG467">
        <f>_xlfn.XLOOKUP(Table1820[[#This Row],[Exotic Car]],Table7[Exotic Car],Table7[Exotic Car Factor],,0)</f>
        <v>1</v>
      </c>
      <c r="AH467">
        <f>_xlfn.XLOOKUP(Table1820[[#This Row],[Difficult Parts]],Table8[Difficult Parts],Table8[Difficult Parts Factor],,0)</f>
        <v>1</v>
      </c>
      <c r="AI467">
        <f>_xlfn.XLOOKUP(Table1820[[#This Row],[High Theft Rate]],Table9[High Theft Rate],Table9[High Theft Rate Factor],,0)</f>
        <v>1</v>
      </c>
      <c r="AJ467">
        <f>_xlfn.XLOOKUP(Table1820[[#This Row],[Advanced Safety Features]],Table10[Advanced Safety Features],Table10[Advanced Safety Features Factor],,0)</f>
        <v>1</v>
      </c>
      <c r="AK467">
        <f>_xlfn.XLOOKUP(Table1820[[#This Row],[Deductible]],Table12[Deductible],Table12[Deductible Factor],,0)</f>
        <v>0.95</v>
      </c>
      <c r="AL467">
        <f>_xlfn.XLOOKUP(Table1820[[#This Row],[Coverage Limit]],Table13[Coverage Limit],Table13[Coverage Limit Factor],,0)</f>
        <v>1</v>
      </c>
      <c r="AM467">
        <f>IF(Table1820[[#This Row],[Good Student Discount]]="Yes",'Rate Book'!$D$126,1)</f>
        <v>1</v>
      </c>
      <c r="AN467">
        <f>IF(Table1820[[#This Row],[Good Driver Discount]]="Yes",'Rate Book'!$D$127,1)</f>
        <v>1</v>
      </c>
      <c r="AO467">
        <f>IF(Table1820[[#This Row],[Multi Policy Discount]]="Yes",'Rate Book'!$D$128,1)</f>
        <v>1</v>
      </c>
      <c r="AP467">
        <f>IF(Table1820[[#This Row],[Loyal Customer Discount]]="Yes",'Rate Book'!$D$129,1)</f>
        <v>1</v>
      </c>
      <c r="AQ467">
        <f>IF(Table1820[[#This Row],[Organization Discount]]="Yes",'Rate Book'!$D$130,1)</f>
        <v>1</v>
      </c>
      <c r="AR467" cm="1">
        <f t="array" ref="AR467">IF(Table1820[[#This Row],[Effective Date]]&gt;=RateChangeTable[Effective Date],RateChangeTable[Rate Change Factor],1)</f>
        <v>1</v>
      </c>
      <c r="AS467" s="10">
        <f>PRODUCT(Table1820[[#This Row],[Base Rate]:[Rate Change Factor]])</f>
        <v>782.45708542869534</v>
      </c>
      <c r="AT467" s="9">
        <f>Table1820[[#This Row],[System-Generated Premium]]-Table1820[[#This Row],[Expected Premium]]</f>
        <v>0</v>
      </c>
      <c r="AU467" t="str">
        <f>IF(Table1820[[#This Row],[Difference]]=0,"PASS","FAIL")</f>
        <v>PASS</v>
      </c>
      <c r="AV467" s="9">
        <f>ABS(Table1820[[#This Row],[Difference]])</f>
        <v>0</v>
      </c>
      <c r="AW467" s="9" t="s">
        <v>1136</v>
      </c>
    </row>
    <row r="468" spans="1:49" x14ac:dyDescent="0.3">
      <c r="A468" t="s">
        <v>559</v>
      </c>
      <c r="B468" s="7">
        <v>46056</v>
      </c>
      <c r="C468" t="s">
        <v>70</v>
      </c>
      <c r="D468" t="s">
        <v>1101</v>
      </c>
      <c r="E468" s="3">
        <v>5</v>
      </c>
      <c r="F468" s="3">
        <v>4</v>
      </c>
      <c r="G468" t="s">
        <v>12</v>
      </c>
      <c r="H468" t="s">
        <v>1109</v>
      </c>
      <c r="I468" t="s">
        <v>31</v>
      </c>
      <c r="J468" t="s">
        <v>49</v>
      </c>
      <c r="K468" t="s">
        <v>10</v>
      </c>
      <c r="L468" t="s">
        <v>10</v>
      </c>
      <c r="M468" t="s">
        <v>10</v>
      </c>
      <c r="N468" t="s">
        <v>10</v>
      </c>
      <c r="O468" t="str">
        <f>INDEX(CoverageTable[Deductible Applies],MATCH(Table1820[[#This Row],[Coverage]],CoverageTable[Coverage],0))</f>
        <v>No</v>
      </c>
      <c r="P468" t="str">
        <f>INDEX(CoverageTable[Coverage Limit Applies],MATCH(Table1820[[#This Row],[Coverage]],CoverageTable[Coverage],0))</f>
        <v>Yes</v>
      </c>
      <c r="Q468" t="s">
        <v>10</v>
      </c>
      <c r="R468" t="s">
        <v>78</v>
      </c>
      <c r="S468" t="s">
        <v>10</v>
      </c>
      <c r="T468" t="s">
        <v>10</v>
      </c>
      <c r="U468" t="s">
        <v>10</v>
      </c>
      <c r="V468" t="s">
        <v>10</v>
      </c>
      <c r="W468" t="s">
        <v>10</v>
      </c>
      <c r="X468" s="11">
        <v>1038.5572781775622</v>
      </c>
      <c r="Y468">
        <f>_xlfn.XLOOKUP(Table1820[[#This Row],[Coverage]],CoverageTable[Coverage],CoverageTable[Base Rate],,0)</f>
        <v>622</v>
      </c>
      <c r="Z468">
        <f>INDEX(Table16[Ageband Factor],MATCH(Table1820[[#This Row],[Ageband]],Table16[Ageband],0))</f>
        <v>1.1200000000000001</v>
      </c>
      <c r="AA468">
        <f>VLOOKUP(Table1820[[#This Row],[Years Driving]],Table1[],2)</f>
        <v>1.07</v>
      </c>
      <c r="AB468">
        <f>_xlfn.XLOOKUP(Table1820[[#This Row],[At Fault Accidents]],Table2[At Fault Accidents],Table2[At Fault Accident Factor],,0)</f>
        <v>2.12</v>
      </c>
      <c r="AC468">
        <f>_xlfn.XLOOKUP(Table1820[[#This Row],[Usage-Based Insurance]],Table3[Usage-Based Insurance],Table3[Usage-Based Insurance Discount],,0)</f>
        <v>0.8</v>
      </c>
      <c r="AD468">
        <f>_xlfn.XLOOKUP(Table1820[[#This Row],[Yearly Miles]],Table4[Yearly Miles],Table4[Yearly Miles Factor],,0)</f>
        <v>1.18</v>
      </c>
      <c r="AE468">
        <f>_xlfn.XLOOKUP(Table1820[[#This Row],[City/Zip Code]],Table5[City/Zip Code],Table5[City/Zip Code Factor],,0)</f>
        <v>1.1100000000000001</v>
      </c>
      <c r="AF468">
        <f>_xlfn.XLOOKUP(Table1820[[#This Row],[Vehicle Price]],Table6[Vehicle Price],Table6[Vehicle Price Factor])</f>
        <v>0.97</v>
      </c>
      <c r="AG468">
        <f>_xlfn.XLOOKUP(Table1820[[#This Row],[Exotic Car]],Table7[Exotic Car],Table7[Exotic Car Factor],,0)</f>
        <v>1</v>
      </c>
      <c r="AH468">
        <f>_xlfn.XLOOKUP(Table1820[[#This Row],[Difficult Parts]],Table8[Difficult Parts],Table8[Difficult Parts Factor],,0)</f>
        <v>1</v>
      </c>
      <c r="AI468">
        <f>_xlfn.XLOOKUP(Table1820[[#This Row],[High Theft Rate]],Table9[High Theft Rate],Table9[High Theft Rate Factor],,0)</f>
        <v>1</v>
      </c>
      <c r="AJ468">
        <f>_xlfn.XLOOKUP(Table1820[[#This Row],[Advanced Safety Features]],Table10[Advanced Safety Features],Table10[Advanced Safety Features Factor],,0)</f>
        <v>1</v>
      </c>
      <c r="AK468">
        <f>_xlfn.XLOOKUP(Table1820[[#This Row],[Deductible]],Table12[Deductible],Table12[Deductible Factor],,0)</f>
        <v>1</v>
      </c>
      <c r="AL468">
        <f>_xlfn.XLOOKUP(Table1820[[#This Row],[Coverage Limit]],Table13[Coverage Limit],Table13[Coverage Limit Factor],,0)</f>
        <v>0.61</v>
      </c>
      <c r="AM468">
        <f>IF(Table1820[[#This Row],[Good Student Discount]]="Yes",'Rate Book'!$D$126,1)</f>
        <v>1</v>
      </c>
      <c r="AN468">
        <f>IF(Table1820[[#This Row],[Good Driver Discount]]="Yes",'Rate Book'!$D$127,1)</f>
        <v>1</v>
      </c>
      <c r="AO468">
        <f>IF(Table1820[[#This Row],[Multi Policy Discount]]="Yes",'Rate Book'!$D$128,1)</f>
        <v>1</v>
      </c>
      <c r="AP468">
        <f>IF(Table1820[[#This Row],[Loyal Customer Discount]]="Yes",'Rate Book'!$D$129,1)</f>
        <v>1</v>
      </c>
      <c r="AQ468">
        <f>IF(Table1820[[#This Row],[Organization Discount]]="Yes",'Rate Book'!$D$130,1)</f>
        <v>1</v>
      </c>
      <c r="AR468" cm="1">
        <f t="array" ref="AR468">IF(Table1820[[#This Row],[Effective Date]]&gt;=RateChangeTable[Effective Date],RateChangeTable[Rate Change Factor],1)</f>
        <v>1.06</v>
      </c>
      <c r="AS468" s="10">
        <f>PRODUCT(Table1820[[#This Row],[Base Rate]:[Rate Change Factor]])</f>
        <v>1038.5572781775622</v>
      </c>
      <c r="AT468" s="9">
        <f>Table1820[[#This Row],[System-Generated Premium]]-Table1820[[#This Row],[Expected Premium]]</f>
        <v>0</v>
      </c>
      <c r="AU468" t="str">
        <f>IF(Table1820[[#This Row],[Difference]]=0,"PASS","FAIL")</f>
        <v>PASS</v>
      </c>
      <c r="AV468" s="9">
        <f>ABS(Table1820[[#This Row],[Difference]])</f>
        <v>0</v>
      </c>
      <c r="AW468" s="9" t="s">
        <v>1136</v>
      </c>
    </row>
    <row r="469" spans="1:49" x14ac:dyDescent="0.3">
      <c r="A469" t="s">
        <v>560</v>
      </c>
      <c r="B469" s="7">
        <v>45945</v>
      </c>
      <c r="C469" t="s">
        <v>72</v>
      </c>
      <c r="D469" t="s">
        <v>1102</v>
      </c>
      <c r="E469" s="3">
        <v>3</v>
      </c>
      <c r="F469" s="3">
        <v>1</v>
      </c>
      <c r="G469" t="s">
        <v>10</v>
      </c>
      <c r="H469" t="s">
        <v>1107</v>
      </c>
      <c r="I469" t="s">
        <v>40</v>
      </c>
      <c r="J469" t="s">
        <v>50</v>
      </c>
      <c r="K469" t="s">
        <v>10</v>
      </c>
      <c r="L469" t="s">
        <v>10</v>
      </c>
      <c r="M469" t="s">
        <v>10</v>
      </c>
      <c r="N469" t="s">
        <v>10</v>
      </c>
      <c r="O469" t="str">
        <f>INDEX(CoverageTable[Deductible Applies],MATCH(Table1820[[#This Row],[Coverage]],CoverageTable[Coverage],0))</f>
        <v>Yes</v>
      </c>
      <c r="P469" t="str">
        <f>INDEX(CoverageTable[Coverage Limit Applies],MATCH(Table1820[[#This Row],[Coverage]],CoverageTable[Coverage],0))</f>
        <v>No</v>
      </c>
      <c r="Q469" t="s">
        <v>79</v>
      </c>
      <c r="R469" t="s">
        <v>10</v>
      </c>
      <c r="S469" t="s">
        <v>10</v>
      </c>
      <c r="T469" t="s">
        <v>57</v>
      </c>
      <c r="U469" t="s">
        <v>57</v>
      </c>
      <c r="V469" t="s">
        <v>57</v>
      </c>
      <c r="W469" t="s">
        <v>10</v>
      </c>
      <c r="X469" s="11">
        <v>179.74922110229429</v>
      </c>
      <c r="Y469">
        <f>_xlfn.XLOOKUP(Table1820[[#This Row],[Coverage]],CoverageTable[Coverage],CoverageTable[Base Rate],,0)</f>
        <v>121</v>
      </c>
      <c r="Z469">
        <f>INDEX(Table16[Ageband Factor],MATCH(Table1820[[#This Row],[Ageband]],Table16[Ageband],0))</f>
        <v>1.27</v>
      </c>
      <c r="AA469">
        <f>VLOOKUP(Table1820[[#This Row],[Years Driving]],Table1[],2)</f>
        <v>1.22</v>
      </c>
      <c r="AB469">
        <f>_xlfn.XLOOKUP(Table1820[[#This Row],[At Fault Accidents]],Table2[At Fault Accidents],Table2[At Fault Accident Factor],,0)</f>
        <v>1.34</v>
      </c>
      <c r="AC469">
        <f>_xlfn.XLOOKUP(Table1820[[#This Row],[Usage-Based Insurance]],Table3[Usage-Based Insurance],Table3[Usage-Based Insurance Discount],,0)</f>
        <v>1</v>
      </c>
      <c r="AD469">
        <f>_xlfn.XLOOKUP(Table1820[[#This Row],[Yearly Miles]],Table4[Yearly Miles],Table4[Yearly Miles Factor],,0)</f>
        <v>0.93</v>
      </c>
      <c r="AE469">
        <f>_xlfn.XLOOKUP(Table1820[[#This Row],[City/Zip Code]],Table5[City/Zip Code],Table5[City/Zip Code Factor],,0)</f>
        <v>1.0900000000000001</v>
      </c>
      <c r="AF469">
        <f>_xlfn.XLOOKUP(Table1820[[#This Row],[Vehicle Price]],Table6[Vehicle Price],Table6[Vehicle Price Factor])</f>
        <v>1.08</v>
      </c>
      <c r="AG469">
        <f>_xlfn.XLOOKUP(Table1820[[#This Row],[Exotic Car]],Table7[Exotic Car],Table7[Exotic Car Factor],,0)</f>
        <v>1</v>
      </c>
      <c r="AH469">
        <f>_xlfn.XLOOKUP(Table1820[[#This Row],[Difficult Parts]],Table8[Difficult Parts],Table8[Difficult Parts Factor],,0)</f>
        <v>1</v>
      </c>
      <c r="AI469">
        <f>_xlfn.XLOOKUP(Table1820[[#This Row],[High Theft Rate]],Table9[High Theft Rate],Table9[High Theft Rate Factor],,0)</f>
        <v>1</v>
      </c>
      <c r="AJ469">
        <f>_xlfn.XLOOKUP(Table1820[[#This Row],[Advanced Safety Features]],Table10[Advanced Safety Features],Table10[Advanced Safety Features Factor],,0)</f>
        <v>1</v>
      </c>
      <c r="AK469">
        <f>_xlfn.XLOOKUP(Table1820[[#This Row],[Deductible]],Table12[Deductible],Table12[Deductible Factor],,0)</f>
        <v>0.84</v>
      </c>
      <c r="AL469">
        <f>_xlfn.XLOOKUP(Table1820[[#This Row],[Coverage Limit]],Table13[Coverage Limit],Table13[Coverage Limit Factor],,0)</f>
        <v>1</v>
      </c>
      <c r="AM469">
        <f>IF(Table1820[[#This Row],[Good Student Discount]]="Yes",'Rate Book'!$D$126,1)</f>
        <v>1</v>
      </c>
      <c r="AN469">
        <f>IF(Table1820[[#This Row],[Good Driver Discount]]="Yes",'Rate Book'!$D$127,1)</f>
        <v>0.89</v>
      </c>
      <c r="AO469">
        <f>IF(Table1820[[#This Row],[Multi Policy Discount]]="Yes",'Rate Book'!$D$128,1)</f>
        <v>0.93</v>
      </c>
      <c r="AP469">
        <f>IF(Table1820[[#This Row],[Loyal Customer Discount]]="Yes",'Rate Book'!$D$129,1)</f>
        <v>0.94</v>
      </c>
      <c r="AQ469">
        <f>IF(Table1820[[#This Row],[Organization Discount]]="Yes",'Rate Book'!$D$130,1)</f>
        <v>1</v>
      </c>
      <c r="AR469" cm="1">
        <f t="array" ref="AR469">IF(Table1820[[#This Row],[Effective Date]]&gt;=RateChangeTable[Effective Date],RateChangeTable[Rate Change Factor],1)</f>
        <v>1</v>
      </c>
      <c r="AS469" s="10">
        <f>PRODUCT(Table1820[[#This Row],[Base Rate]:[Rate Change Factor]])</f>
        <v>179.74922110229429</v>
      </c>
      <c r="AT469" s="9">
        <f>Table1820[[#This Row],[System-Generated Premium]]-Table1820[[#This Row],[Expected Premium]]</f>
        <v>0</v>
      </c>
      <c r="AU469" t="str">
        <f>IF(Table1820[[#This Row],[Difference]]=0,"PASS","FAIL")</f>
        <v>PASS</v>
      </c>
      <c r="AV469" s="9">
        <f>ABS(Table1820[[#This Row],[Difference]])</f>
        <v>0</v>
      </c>
      <c r="AW469" s="9" t="s">
        <v>1136</v>
      </c>
    </row>
    <row r="470" spans="1:49" x14ac:dyDescent="0.3">
      <c r="A470" t="s">
        <v>561</v>
      </c>
      <c r="B470" s="7">
        <v>45844</v>
      </c>
      <c r="C470" t="s">
        <v>71</v>
      </c>
      <c r="D470" t="s">
        <v>1099</v>
      </c>
      <c r="E470" s="3">
        <v>7</v>
      </c>
      <c r="F470" s="3">
        <v>1</v>
      </c>
      <c r="G470" t="s">
        <v>13</v>
      </c>
      <c r="H470" t="s">
        <v>1109</v>
      </c>
      <c r="I470" t="s">
        <v>40</v>
      </c>
      <c r="J470" t="s">
        <v>53</v>
      </c>
      <c r="K470" t="s">
        <v>10</v>
      </c>
      <c r="L470" t="s">
        <v>10</v>
      </c>
      <c r="M470" t="s">
        <v>10</v>
      </c>
      <c r="N470" t="s">
        <v>57</v>
      </c>
      <c r="O470" t="str">
        <f>INDEX(CoverageTable[Deductible Applies],MATCH(Table1820[[#This Row],[Coverage]],CoverageTable[Coverage],0))</f>
        <v>Yes</v>
      </c>
      <c r="P470" t="str">
        <f>INDEX(CoverageTable[Coverage Limit Applies],MATCH(Table1820[[#This Row],[Coverage]],CoverageTable[Coverage],0))</f>
        <v>No</v>
      </c>
      <c r="Q470" t="s">
        <v>79</v>
      </c>
      <c r="R470" t="s">
        <v>10</v>
      </c>
      <c r="S470" t="s">
        <v>10</v>
      </c>
      <c r="T470" t="s">
        <v>10</v>
      </c>
      <c r="U470" t="s">
        <v>10</v>
      </c>
      <c r="V470" t="s">
        <v>10</v>
      </c>
      <c r="W470" t="s">
        <v>10</v>
      </c>
      <c r="X470" s="11">
        <v>719.88279673197894</v>
      </c>
      <c r="Y470">
        <f>_xlfn.XLOOKUP(Table1820[[#This Row],[Coverage]],CoverageTable[Coverage],CoverageTable[Base Rate],,0)</f>
        <v>453</v>
      </c>
      <c r="Z470">
        <f>INDEX(Table16[Ageband Factor],MATCH(Table1820[[#This Row],[Ageband]],Table16[Ageband],0))</f>
        <v>1</v>
      </c>
      <c r="AA470">
        <f>VLOOKUP(Table1820[[#This Row],[Years Driving]],Table1[],2)</f>
        <v>0.95</v>
      </c>
      <c r="AB470">
        <f>_xlfn.XLOOKUP(Table1820[[#This Row],[At Fault Accidents]],Table2[At Fault Accidents],Table2[At Fault Accident Factor],,0)</f>
        <v>1.34</v>
      </c>
      <c r="AC470">
        <f>_xlfn.XLOOKUP(Table1820[[#This Row],[Usage-Based Insurance]],Table3[Usage-Based Insurance],Table3[Usage-Based Insurance Discount],,0)</f>
        <v>0.65</v>
      </c>
      <c r="AD470">
        <f>_xlfn.XLOOKUP(Table1820[[#This Row],[Yearly Miles]],Table4[Yearly Miles],Table4[Yearly Miles Factor],,0)</f>
        <v>1.18</v>
      </c>
      <c r="AE470">
        <f>_xlfn.XLOOKUP(Table1820[[#This Row],[City/Zip Code]],Table5[City/Zip Code],Table5[City/Zip Code Factor],,0)</f>
        <v>1.0900000000000001</v>
      </c>
      <c r="AF470">
        <f>_xlfn.XLOOKUP(Table1820[[#This Row],[Vehicle Price]],Table6[Vehicle Price],Table6[Vehicle Price Factor])</f>
        <v>2.02</v>
      </c>
      <c r="AG470">
        <f>_xlfn.XLOOKUP(Table1820[[#This Row],[Exotic Car]],Table7[Exotic Car],Table7[Exotic Car Factor],,0)</f>
        <v>1</v>
      </c>
      <c r="AH470">
        <f>_xlfn.XLOOKUP(Table1820[[#This Row],[Difficult Parts]],Table8[Difficult Parts],Table8[Difficult Parts Factor],,0)</f>
        <v>1</v>
      </c>
      <c r="AI470">
        <f>_xlfn.XLOOKUP(Table1820[[#This Row],[High Theft Rate]],Table9[High Theft Rate],Table9[High Theft Rate Factor],,0)</f>
        <v>1</v>
      </c>
      <c r="AJ470">
        <f>_xlfn.XLOOKUP(Table1820[[#This Row],[Advanced Safety Features]],Table10[Advanced Safety Features],Table10[Advanced Safety Features Factor],,0)</f>
        <v>0.88</v>
      </c>
      <c r="AK470">
        <f>_xlfn.XLOOKUP(Table1820[[#This Row],[Deductible]],Table12[Deductible],Table12[Deductible Factor],,0)</f>
        <v>0.84</v>
      </c>
      <c r="AL470">
        <f>_xlfn.XLOOKUP(Table1820[[#This Row],[Coverage Limit]],Table13[Coverage Limit],Table13[Coverage Limit Factor],,0)</f>
        <v>1</v>
      </c>
      <c r="AM470">
        <f>IF(Table1820[[#This Row],[Good Student Discount]]="Yes",'Rate Book'!$D$126,1)</f>
        <v>1</v>
      </c>
      <c r="AN470">
        <f>IF(Table1820[[#This Row],[Good Driver Discount]]="Yes",'Rate Book'!$D$127,1)</f>
        <v>1</v>
      </c>
      <c r="AO470">
        <f>IF(Table1820[[#This Row],[Multi Policy Discount]]="Yes",'Rate Book'!$D$128,1)</f>
        <v>1</v>
      </c>
      <c r="AP470">
        <f>IF(Table1820[[#This Row],[Loyal Customer Discount]]="Yes",'Rate Book'!$D$129,1)</f>
        <v>1</v>
      </c>
      <c r="AQ470">
        <f>IF(Table1820[[#This Row],[Organization Discount]]="Yes",'Rate Book'!$D$130,1)</f>
        <v>1</v>
      </c>
      <c r="AR470" cm="1">
        <f t="array" ref="AR470">IF(Table1820[[#This Row],[Effective Date]]&gt;=RateChangeTable[Effective Date],RateChangeTable[Rate Change Factor],1)</f>
        <v>1</v>
      </c>
      <c r="AS470" s="10">
        <f>PRODUCT(Table1820[[#This Row],[Base Rate]:[Rate Change Factor]])</f>
        <v>719.88279673197894</v>
      </c>
      <c r="AT470" s="9">
        <f>Table1820[[#This Row],[System-Generated Premium]]-Table1820[[#This Row],[Expected Premium]]</f>
        <v>0</v>
      </c>
      <c r="AU470" t="str">
        <f>IF(Table1820[[#This Row],[Difference]]=0,"PASS","FAIL")</f>
        <v>PASS</v>
      </c>
      <c r="AV470" s="9">
        <f>ABS(Table1820[[#This Row],[Difference]])</f>
        <v>0</v>
      </c>
      <c r="AW470" s="9" t="s">
        <v>1136</v>
      </c>
    </row>
    <row r="471" spans="1:49" x14ac:dyDescent="0.3">
      <c r="A471" t="s">
        <v>562</v>
      </c>
      <c r="B471" s="7">
        <v>45902</v>
      </c>
      <c r="C471" t="s">
        <v>70</v>
      </c>
      <c r="D471" t="s">
        <v>1099</v>
      </c>
      <c r="E471" s="3">
        <v>7</v>
      </c>
      <c r="F471" s="3">
        <v>1</v>
      </c>
      <c r="G471" t="s">
        <v>10</v>
      </c>
      <c r="H471" t="s">
        <v>1106</v>
      </c>
      <c r="I471" t="s">
        <v>43</v>
      </c>
      <c r="J471" t="s">
        <v>48</v>
      </c>
      <c r="K471" t="s">
        <v>10</v>
      </c>
      <c r="L471" t="s">
        <v>10</v>
      </c>
      <c r="M471" t="s">
        <v>57</v>
      </c>
      <c r="N471" t="s">
        <v>10</v>
      </c>
      <c r="O471" t="str">
        <f>INDEX(CoverageTable[Deductible Applies],MATCH(Table1820[[#This Row],[Coverage]],CoverageTable[Coverage],0))</f>
        <v>No</v>
      </c>
      <c r="P471" t="str">
        <f>INDEX(CoverageTable[Coverage Limit Applies],MATCH(Table1820[[#This Row],[Coverage]],CoverageTable[Coverage],0))</f>
        <v>Yes</v>
      </c>
      <c r="Q471" t="s">
        <v>10</v>
      </c>
      <c r="R471" t="s">
        <v>80</v>
      </c>
      <c r="S471" t="s">
        <v>10</v>
      </c>
      <c r="T471" t="s">
        <v>10</v>
      </c>
      <c r="U471" t="s">
        <v>10</v>
      </c>
      <c r="V471" t="s">
        <v>10</v>
      </c>
      <c r="W471" t="s">
        <v>10</v>
      </c>
      <c r="X471" s="11">
        <v>612.16116620628475</v>
      </c>
      <c r="Y471">
        <f>_xlfn.XLOOKUP(Table1820[[#This Row],[Coverage]],CoverageTable[Coverage],CoverageTable[Base Rate],,0)</f>
        <v>622</v>
      </c>
      <c r="Z471">
        <f>INDEX(Table16[Ageband Factor],MATCH(Table1820[[#This Row],[Ageband]],Table16[Ageband],0))</f>
        <v>1</v>
      </c>
      <c r="AA471">
        <f>VLOOKUP(Table1820[[#This Row],[Years Driving]],Table1[],2)</f>
        <v>0.95</v>
      </c>
      <c r="AB471">
        <f>_xlfn.XLOOKUP(Table1820[[#This Row],[At Fault Accidents]],Table2[At Fault Accidents],Table2[At Fault Accident Factor],,0)</f>
        <v>1.34</v>
      </c>
      <c r="AC471">
        <f>_xlfn.XLOOKUP(Table1820[[#This Row],[Usage-Based Insurance]],Table3[Usage-Based Insurance],Table3[Usage-Based Insurance Discount],,0)</f>
        <v>1</v>
      </c>
      <c r="AD471">
        <f>_xlfn.XLOOKUP(Table1820[[#This Row],[Yearly Miles]],Table4[Yearly Miles],Table4[Yearly Miles Factor],,0)</f>
        <v>0.82</v>
      </c>
      <c r="AE471">
        <f>_xlfn.XLOOKUP(Table1820[[#This Row],[City/Zip Code]],Table5[City/Zip Code],Table5[City/Zip Code Factor],,0)</f>
        <v>1.18</v>
      </c>
      <c r="AF471">
        <f>_xlfn.XLOOKUP(Table1820[[#This Row],[Vehicle Price]],Table6[Vehicle Price],Table6[Vehicle Price Factor])</f>
        <v>0.82</v>
      </c>
      <c r="AG471">
        <f>_xlfn.XLOOKUP(Table1820[[#This Row],[Exotic Car]],Table7[Exotic Car],Table7[Exotic Car Factor],,0)</f>
        <v>1</v>
      </c>
      <c r="AH471">
        <f>_xlfn.XLOOKUP(Table1820[[#This Row],[Difficult Parts]],Table8[Difficult Parts],Table8[Difficult Parts Factor],,0)</f>
        <v>1</v>
      </c>
      <c r="AI471">
        <f>_xlfn.XLOOKUP(Table1820[[#This Row],[High Theft Rate]],Table9[High Theft Rate],Table9[High Theft Rate Factor],,0)</f>
        <v>1.1599999999999999</v>
      </c>
      <c r="AJ471">
        <f>_xlfn.XLOOKUP(Table1820[[#This Row],[Advanced Safety Features]],Table10[Advanced Safety Features],Table10[Advanced Safety Features Factor],,0)</f>
        <v>1</v>
      </c>
      <c r="AK471">
        <f>_xlfn.XLOOKUP(Table1820[[#This Row],[Deductible]],Table12[Deductible],Table12[Deductible Factor],,0)</f>
        <v>1</v>
      </c>
      <c r="AL471">
        <f>_xlfn.XLOOKUP(Table1820[[#This Row],[Coverage Limit]],Table13[Coverage Limit],Table13[Coverage Limit Factor],,0)</f>
        <v>0.84</v>
      </c>
      <c r="AM471">
        <f>IF(Table1820[[#This Row],[Good Student Discount]]="Yes",'Rate Book'!$D$126,1)</f>
        <v>1</v>
      </c>
      <c r="AN471">
        <f>IF(Table1820[[#This Row],[Good Driver Discount]]="Yes",'Rate Book'!$D$127,1)</f>
        <v>1</v>
      </c>
      <c r="AO471">
        <f>IF(Table1820[[#This Row],[Multi Policy Discount]]="Yes",'Rate Book'!$D$128,1)</f>
        <v>1</v>
      </c>
      <c r="AP471">
        <f>IF(Table1820[[#This Row],[Loyal Customer Discount]]="Yes",'Rate Book'!$D$129,1)</f>
        <v>1</v>
      </c>
      <c r="AQ471">
        <f>IF(Table1820[[#This Row],[Organization Discount]]="Yes",'Rate Book'!$D$130,1)</f>
        <v>1</v>
      </c>
      <c r="AR471" cm="1">
        <f t="array" ref="AR471">IF(Table1820[[#This Row],[Effective Date]]&gt;=RateChangeTable[Effective Date],RateChangeTable[Rate Change Factor],1)</f>
        <v>1</v>
      </c>
      <c r="AS471" s="10">
        <f>PRODUCT(Table1820[[#This Row],[Base Rate]:[Rate Change Factor]])</f>
        <v>612.16116620628475</v>
      </c>
      <c r="AT471" s="9">
        <f>Table1820[[#This Row],[System-Generated Premium]]-Table1820[[#This Row],[Expected Premium]]</f>
        <v>0</v>
      </c>
      <c r="AU471" t="str">
        <f>IF(Table1820[[#This Row],[Difference]]=0,"PASS","FAIL")</f>
        <v>PASS</v>
      </c>
      <c r="AV471" s="9">
        <f>ABS(Table1820[[#This Row],[Difference]])</f>
        <v>0</v>
      </c>
      <c r="AW471" s="9" t="s">
        <v>1136</v>
      </c>
    </row>
    <row r="472" spans="1:49" x14ac:dyDescent="0.3">
      <c r="A472" t="s">
        <v>563</v>
      </c>
      <c r="B472" s="7">
        <v>45951</v>
      </c>
      <c r="C472" t="s">
        <v>74</v>
      </c>
      <c r="D472" t="s">
        <v>1097</v>
      </c>
      <c r="E472" s="3">
        <v>4</v>
      </c>
      <c r="F472" s="3">
        <v>0</v>
      </c>
      <c r="G472" t="s">
        <v>10</v>
      </c>
      <c r="H472" t="s">
        <v>1110</v>
      </c>
      <c r="I472" t="s">
        <v>28</v>
      </c>
      <c r="J472" t="s">
        <v>49</v>
      </c>
      <c r="K472" t="s">
        <v>10</v>
      </c>
      <c r="L472" t="s">
        <v>10</v>
      </c>
      <c r="M472" t="s">
        <v>10</v>
      </c>
      <c r="N472" t="s">
        <v>57</v>
      </c>
      <c r="O472" t="str">
        <f>INDEX(CoverageTable[Deductible Applies],MATCH(Table1820[[#This Row],[Coverage]],CoverageTable[Coverage],0))</f>
        <v>No</v>
      </c>
      <c r="P472" t="str">
        <f>INDEX(CoverageTable[Coverage Limit Applies],MATCH(Table1820[[#This Row],[Coverage]],CoverageTable[Coverage],0))</f>
        <v>Yes</v>
      </c>
      <c r="Q472" t="s">
        <v>10</v>
      </c>
      <c r="R472" t="s">
        <v>80</v>
      </c>
      <c r="S472" t="s">
        <v>10</v>
      </c>
      <c r="T472" t="s">
        <v>10</v>
      </c>
      <c r="U472" t="s">
        <v>57</v>
      </c>
      <c r="V472" t="s">
        <v>10</v>
      </c>
      <c r="W472" t="s">
        <v>10</v>
      </c>
      <c r="X472" s="11">
        <v>51.649624710573121</v>
      </c>
      <c r="Y472">
        <f>_xlfn.XLOOKUP(Table1820[[#This Row],[Coverage]],CoverageTable[Coverage],CoverageTable[Base Rate],,0)</f>
        <v>41</v>
      </c>
      <c r="Z472">
        <f>INDEX(Table16[Ageband Factor],MATCH(Table1820[[#This Row],[Ageband]],Table16[Ageband],0))</f>
        <v>1.32</v>
      </c>
      <c r="AA472">
        <f>VLOOKUP(Table1820[[#This Row],[Years Driving]],Table1[],2)</f>
        <v>1.1499999999999999</v>
      </c>
      <c r="AB472">
        <f>_xlfn.XLOOKUP(Table1820[[#This Row],[At Fault Accidents]],Table2[At Fault Accidents],Table2[At Fault Accident Factor],,0)</f>
        <v>1</v>
      </c>
      <c r="AC472">
        <f>_xlfn.XLOOKUP(Table1820[[#This Row],[Usage-Based Insurance]],Table3[Usage-Based Insurance],Table3[Usage-Based Insurance Discount],,0)</f>
        <v>1</v>
      </c>
      <c r="AD472">
        <f>_xlfn.XLOOKUP(Table1820[[#This Row],[Yearly Miles]],Table4[Yearly Miles],Table4[Yearly Miles Factor],,0)</f>
        <v>1.31</v>
      </c>
      <c r="AE472">
        <f>_xlfn.XLOOKUP(Table1820[[#This Row],[City/Zip Code]],Table5[City/Zip Code],Table5[City/Zip Code Factor],,0)</f>
        <v>0.95</v>
      </c>
      <c r="AF472">
        <f>_xlfn.XLOOKUP(Table1820[[#This Row],[Vehicle Price]],Table6[Vehicle Price],Table6[Vehicle Price Factor])</f>
        <v>0.97</v>
      </c>
      <c r="AG472">
        <f>_xlfn.XLOOKUP(Table1820[[#This Row],[Exotic Car]],Table7[Exotic Car],Table7[Exotic Car Factor],,0)</f>
        <v>1</v>
      </c>
      <c r="AH472">
        <f>_xlfn.XLOOKUP(Table1820[[#This Row],[Difficult Parts]],Table8[Difficult Parts],Table8[Difficult Parts Factor],,0)</f>
        <v>1</v>
      </c>
      <c r="AI472">
        <f>_xlfn.XLOOKUP(Table1820[[#This Row],[High Theft Rate]],Table9[High Theft Rate],Table9[High Theft Rate Factor],,0)</f>
        <v>1</v>
      </c>
      <c r="AJ472">
        <f>_xlfn.XLOOKUP(Table1820[[#This Row],[Advanced Safety Features]],Table10[Advanced Safety Features],Table10[Advanced Safety Features Factor],,0)</f>
        <v>0.88</v>
      </c>
      <c r="AK472">
        <f>_xlfn.XLOOKUP(Table1820[[#This Row],[Deductible]],Table12[Deductible],Table12[Deductible Factor],,0)</f>
        <v>1</v>
      </c>
      <c r="AL472">
        <f>_xlfn.XLOOKUP(Table1820[[#This Row],[Coverage Limit]],Table13[Coverage Limit],Table13[Coverage Limit Factor],,0)</f>
        <v>0.84</v>
      </c>
      <c r="AM472">
        <f>IF(Table1820[[#This Row],[Good Student Discount]]="Yes",'Rate Book'!$D$126,1)</f>
        <v>1</v>
      </c>
      <c r="AN472">
        <f>IF(Table1820[[#This Row],[Good Driver Discount]]="Yes",'Rate Book'!$D$127,1)</f>
        <v>1</v>
      </c>
      <c r="AO472">
        <f>IF(Table1820[[#This Row],[Multi Policy Discount]]="Yes",'Rate Book'!$D$128,1)</f>
        <v>0.93</v>
      </c>
      <c r="AP472">
        <f>IF(Table1820[[#This Row],[Loyal Customer Discount]]="Yes",'Rate Book'!$D$129,1)</f>
        <v>1</v>
      </c>
      <c r="AQ472">
        <f>IF(Table1820[[#This Row],[Organization Discount]]="Yes",'Rate Book'!$D$130,1)</f>
        <v>1</v>
      </c>
      <c r="AR472" cm="1">
        <f t="array" ref="AR472">IF(Table1820[[#This Row],[Effective Date]]&gt;=RateChangeTable[Effective Date],RateChangeTable[Rate Change Factor],1)</f>
        <v>1</v>
      </c>
      <c r="AS472" s="10">
        <f>PRODUCT(Table1820[[#This Row],[Base Rate]:[Rate Change Factor]])</f>
        <v>51.649624710573121</v>
      </c>
      <c r="AT472" s="9">
        <f>Table1820[[#This Row],[System-Generated Premium]]-Table1820[[#This Row],[Expected Premium]]</f>
        <v>0</v>
      </c>
      <c r="AU472" t="str">
        <f>IF(Table1820[[#This Row],[Difference]]=0,"PASS","FAIL")</f>
        <v>PASS</v>
      </c>
      <c r="AV472" s="9">
        <f>ABS(Table1820[[#This Row],[Difference]])</f>
        <v>0</v>
      </c>
      <c r="AW472" s="9" t="s">
        <v>1136</v>
      </c>
    </row>
    <row r="473" spans="1:49" x14ac:dyDescent="0.3">
      <c r="A473" t="s">
        <v>564</v>
      </c>
      <c r="B473" s="7">
        <v>46046</v>
      </c>
      <c r="C473" t="s">
        <v>74</v>
      </c>
      <c r="D473" t="s">
        <v>1098</v>
      </c>
      <c r="E473" s="3">
        <v>6</v>
      </c>
      <c r="F473" s="3" t="s">
        <v>7</v>
      </c>
      <c r="G473" t="s">
        <v>10</v>
      </c>
      <c r="H473" t="s">
        <v>1106</v>
      </c>
      <c r="I473" t="s">
        <v>40</v>
      </c>
      <c r="J473" t="s">
        <v>54</v>
      </c>
      <c r="K473" t="s">
        <v>10</v>
      </c>
      <c r="L473" t="s">
        <v>10</v>
      </c>
      <c r="M473" t="s">
        <v>10</v>
      </c>
      <c r="N473" t="s">
        <v>10</v>
      </c>
      <c r="O473" t="str">
        <f>INDEX(CoverageTable[Deductible Applies],MATCH(Table1820[[#This Row],[Coverage]],CoverageTable[Coverage],0))</f>
        <v>No</v>
      </c>
      <c r="P473" t="str">
        <f>INDEX(CoverageTable[Coverage Limit Applies],MATCH(Table1820[[#This Row],[Coverage]],CoverageTable[Coverage],0))</f>
        <v>Yes</v>
      </c>
      <c r="Q473" t="s">
        <v>10</v>
      </c>
      <c r="R473" t="s">
        <v>78</v>
      </c>
      <c r="S473" t="s">
        <v>10</v>
      </c>
      <c r="T473" t="s">
        <v>57</v>
      </c>
      <c r="U473" t="s">
        <v>57</v>
      </c>
      <c r="V473" t="s">
        <v>10</v>
      </c>
      <c r="W473" t="s">
        <v>10</v>
      </c>
      <c r="X473" s="11">
        <v>171.00815599384262</v>
      </c>
      <c r="Y473">
        <f>_xlfn.XLOOKUP(Table1820[[#This Row],[Coverage]],CoverageTable[Coverage],CoverageTable[Base Rate],,0)</f>
        <v>41</v>
      </c>
      <c r="Z473">
        <f>INDEX(Table16[Ageband Factor],MATCH(Table1820[[#This Row],[Ageband]],Table16[Ageband],0))</f>
        <v>1.23</v>
      </c>
      <c r="AA473">
        <f>VLOOKUP(Table1820[[#This Row],[Years Driving]],Table1[],2)</f>
        <v>1</v>
      </c>
      <c r="AB473">
        <f>_xlfn.XLOOKUP(Table1820[[#This Row],[At Fault Accidents]],Table2[At Fault Accidents],Table2[At Fault Accident Factor],,0)</f>
        <v>2.4700000000000002</v>
      </c>
      <c r="AC473">
        <f>_xlfn.XLOOKUP(Table1820[[#This Row],[Usage-Based Insurance]],Table3[Usage-Based Insurance],Table3[Usage-Based Insurance Discount],,0)</f>
        <v>1</v>
      </c>
      <c r="AD473">
        <f>_xlfn.XLOOKUP(Table1820[[#This Row],[Yearly Miles]],Table4[Yearly Miles],Table4[Yearly Miles Factor],,0)</f>
        <v>0.82</v>
      </c>
      <c r="AE473">
        <f>_xlfn.XLOOKUP(Table1820[[#This Row],[City/Zip Code]],Table5[City/Zip Code],Table5[City/Zip Code Factor],,0)</f>
        <v>1.0900000000000001</v>
      </c>
      <c r="AF473">
        <f>_xlfn.XLOOKUP(Table1820[[#This Row],[Vehicle Price]],Table6[Vehicle Price],Table6[Vehicle Price Factor])</f>
        <v>2.87</v>
      </c>
      <c r="AG473">
        <f>_xlfn.XLOOKUP(Table1820[[#This Row],[Exotic Car]],Table7[Exotic Car],Table7[Exotic Car Factor],,0)</f>
        <v>1</v>
      </c>
      <c r="AH473">
        <f>_xlfn.XLOOKUP(Table1820[[#This Row],[Difficult Parts]],Table8[Difficult Parts],Table8[Difficult Parts Factor],,0)</f>
        <v>1</v>
      </c>
      <c r="AI473">
        <f>_xlfn.XLOOKUP(Table1820[[#This Row],[High Theft Rate]],Table9[High Theft Rate],Table9[High Theft Rate Factor],,0)</f>
        <v>1</v>
      </c>
      <c r="AJ473">
        <f>_xlfn.XLOOKUP(Table1820[[#This Row],[Advanced Safety Features]],Table10[Advanced Safety Features],Table10[Advanced Safety Features Factor],,0)</f>
        <v>1</v>
      </c>
      <c r="AK473">
        <f>_xlfn.XLOOKUP(Table1820[[#This Row],[Deductible]],Table12[Deductible],Table12[Deductible Factor],,0)</f>
        <v>1</v>
      </c>
      <c r="AL473">
        <f>_xlfn.XLOOKUP(Table1820[[#This Row],[Coverage Limit]],Table13[Coverage Limit],Table13[Coverage Limit Factor],,0)</f>
        <v>0.61</v>
      </c>
      <c r="AM473">
        <f>IF(Table1820[[#This Row],[Good Student Discount]]="Yes",'Rate Book'!$D$126,1)</f>
        <v>1</v>
      </c>
      <c r="AN473">
        <f>IF(Table1820[[#This Row],[Good Driver Discount]]="Yes",'Rate Book'!$D$127,1)</f>
        <v>0.89</v>
      </c>
      <c r="AO473">
        <f>IF(Table1820[[#This Row],[Multi Policy Discount]]="Yes",'Rate Book'!$D$128,1)</f>
        <v>0.93</v>
      </c>
      <c r="AP473">
        <f>IF(Table1820[[#This Row],[Loyal Customer Discount]]="Yes",'Rate Book'!$D$129,1)</f>
        <v>1</v>
      </c>
      <c r="AQ473">
        <f>IF(Table1820[[#This Row],[Organization Discount]]="Yes",'Rate Book'!$D$130,1)</f>
        <v>1</v>
      </c>
      <c r="AR473" cm="1">
        <f t="array" ref="AR473">IF(Table1820[[#This Row],[Effective Date]]&gt;=RateChangeTable[Effective Date],RateChangeTable[Rate Change Factor],1)</f>
        <v>1.06</v>
      </c>
      <c r="AS473" s="10">
        <f>PRODUCT(Table1820[[#This Row],[Base Rate]:[Rate Change Factor]])</f>
        <v>171.00815599384262</v>
      </c>
      <c r="AT473" s="9">
        <f>Table1820[[#This Row],[System-Generated Premium]]-Table1820[[#This Row],[Expected Premium]]</f>
        <v>0</v>
      </c>
      <c r="AU473" t="str">
        <f>IF(Table1820[[#This Row],[Difference]]=0,"PASS","FAIL")</f>
        <v>PASS</v>
      </c>
      <c r="AV473" s="9">
        <f>ABS(Table1820[[#This Row],[Difference]])</f>
        <v>0</v>
      </c>
      <c r="AW473" s="9" t="s">
        <v>1136</v>
      </c>
    </row>
    <row r="474" spans="1:49" x14ac:dyDescent="0.3">
      <c r="A474" t="s">
        <v>565</v>
      </c>
      <c r="B474" s="7">
        <v>45951</v>
      </c>
      <c r="C474" t="s">
        <v>70</v>
      </c>
      <c r="D474" t="s">
        <v>1101</v>
      </c>
      <c r="E474" s="3">
        <v>6</v>
      </c>
      <c r="F474" s="3" t="s">
        <v>7</v>
      </c>
      <c r="G474" t="s">
        <v>10</v>
      </c>
      <c r="H474" t="s">
        <v>1108</v>
      </c>
      <c r="I474" t="s">
        <v>31</v>
      </c>
      <c r="J474" t="s">
        <v>51</v>
      </c>
      <c r="K474" t="s">
        <v>10</v>
      </c>
      <c r="L474" t="s">
        <v>10</v>
      </c>
      <c r="M474" t="s">
        <v>10</v>
      </c>
      <c r="N474" t="s">
        <v>10</v>
      </c>
      <c r="O474" t="str">
        <f>INDEX(CoverageTable[Deductible Applies],MATCH(Table1820[[#This Row],[Coverage]],CoverageTable[Coverage],0))</f>
        <v>No</v>
      </c>
      <c r="P474" t="str">
        <f>INDEX(CoverageTable[Coverage Limit Applies],MATCH(Table1820[[#This Row],[Coverage]],CoverageTable[Coverage],0))</f>
        <v>Yes</v>
      </c>
      <c r="Q474" t="s">
        <v>10</v>
      </c>
      <c r="R474" t="s">
        <v>78</v>
      </c>
      <c r="S474" t="s">
        <v>10</v>
      </c>
      <c r="T474" t="s">
        <v>10</v>
      </c>
      <c r="U474" t="s">
        <v>10</v>
      </c>
      <c r="V474" t="s">
        <v>57</v>
      </c>
      <c r="W474" t="s">
        <v>57</v>
      </c>
      <c r="X474" s="11">
        <v>1359.7771281277751</v>
      </c>
      <c r="Y474">
        <f>_xlfn.XLOOKUP(Table1820[[#This Row],[Coverage]],CoverageTable[Coverage],CoverageTable[Base Rate],,0)</f>
        <v>622</v>
      </c>
      <c r="Z474">
        <f>INDEX(Table16[Ageband Factor],MATCH(Table1820[[#This Row],[Ageband]],Table16[Ageband],0))</f>
        <v>1.1200000000000001</v>
      </c>
      <c r="AA474">
        <f>VLOOKUP(Table1820[[#This Row],[Years Driving]],Table1[],2)</f>
        <v>1</v>
      </c>
      <c r="AB474">
        <f>_xlfn.XLOOKUP(Table1820[[#This Row],[At Fault Accidents]],Table2[At Fault Accidents],Table2[At Fault Accident Factor],,0)</f>
        <v>2.4700000000000002</v>
      </c>
      <c r="AC474">
        <f>_xlfn.XLOOKUP(Table1820[[#This Row],[Usage-Based Insurance]],Table3[Usage-Based Insurance],Table3[Usage-Based Insurance Discount],,0)</f>
        <v>1</v>
      </c>
      <c r="AD474">
        <f>_xlfn.XLOOKUP(Table1820[[#This Row],[Yearly Miles]],Table4[Yearly Miles],Table4[Yearly Miles Factor],,0)</f>
        <v>1</v>
      </c>
      <c r="AE474">
        <f>_xlfn.XLOOKUP(Table1820[[#This Row],[City/Zip Code]],Table5[City/Zip Code],Table5[City/Zip Code Factor],,0)</f>
        <v>1.1100000000000001</v>
      </c>
      <c r="AF474">
        <f>_xlfn.XLOOKUP(Table1820[[#This Row],[Vehicle Price]],Table6[Vehicle Price],Table6[Vehicle Price Factor])</f>
        <v>1.28</v>
      </c>
      <c r="AG474">
        <f>_xlfn.XLOOKUP(Table1820[[#This Row],[Exotic Car]],Table7[Exotic Car],Table7[Exotic Car Factor],,0)</f>
        <v>1</v>
      </c>
      <c r="AH474">
        <f>_xlfn.XLOOKUP(Table1820[[#This Row],[Difficult Parts]],Table8[Difficult Parts],Table8[Difficult Parts Factor],,0)</f>
        <v>1</v>
      </c>
      <c r="AI474">
        <f>_xlfn.XLOOKUP(Table1820[[#This Row],[High Theft Rate]],Table9[High Theft Rate],Table9[High Theft Rate Factor],,0)</f>
        <v>1</v>
      </c>
      <c r="AJ474">
        <f>_xlfn.XLOOKUP(Table1820[[#This Row],[Advanced Safety Features]],Table10[Advanced Safety Features],Table10[Advanced Safety Features Factor],,0)</f>
        <v>1</v>
      </c>
      <c r="AK474">
        <f>_xlfn.XLOOKUP(Table1820[[#This Row],[Deductible]],Table12[Deductible],Table12[Deductible Factor],,0)</f>
        <v>1</v>
      </c>
      <c r="AL474">
        <f>_xlfn.XLOOKUP(Table1820[[#This Row],[Coverage Limit]],Table13[Coverage Limit],Table13[Coverage Limit Factor],,0)</f>
        <v>0.61</v>
      </c>
      <c r="AM474">
        <f>IF(Table1820[[#This Row],[Good Student Discount]]="Yes",'Rate Book'!$D$126,1)</f>
        <v>1</v>
      </c>
      <c r="AN474">
        <f>IF(Table1820[[#This Row],[Good Driver Discount]]="Yes",'Rate Book'!$D$127,1)</f>
        <v>1</v>
      </c>
      <c r="AO474">
        <f>IF(Table1820[[#This Row],[Multi Policy Discount]]="Yes",'Rate Book'!$D$128,1)</f>
        <v>1</v>
      </c>
      <c r="AP474">
        <f>IF(Table1820[[#This Row],[Loyal Customer Discount]]="Yes",'Rate Book'!$D$129,1)</f>
        <v>0.94</v>
      </c>
      <c r="AQ474">
        <f>IF(Table1820[[#This Row],[Organization Discount]]="Yes",'Rate Book'!$D$130,1)</f>
        <v>0.97</v>
      </c>
      <c r="AR474" cm="1">
        <f t="array" ref="AR474">IF(Table1820[[#This Row],[Effective Date]]&gt;=RateChangeTable[Effective Date],RateChangeTable[Rate Change Factor],1)</f>
        <v>1</v>
      </c>
      <c r="AS474" s="10">
        <f>PRODUCT(Table1820[[#This Row],[Base Rate]:[Rate Change Factor]])</f>
        <v>1359.7771281277751</v>
      </c>
      <c r="AT474" s="9">
        <f>Table1820[[#This Row],[System-Generated Premium]]-Table1820[[#This Row],[Expected Premium]]</f>
        <v>0</v>
      </c>
      <c r="AU474" t="str">
        <f>IF(Table1820[[#This Row],[Difference]]=0,"PASS","FAIL")</f>
        <v>PASS</v>
      </c>
      <c r="AV474" s="9">
        <f>ABS(Table1820[[#This Row],[Difference]])</f>
        <v>0</v>
      </c>
      <c r="AW474" s="9" t="s">
        <v>1136</v>
      </c>
    </row>
    <row r="475" spans="1:49" x14ac:dyDescent="0.3">
      <c r="A475" t="s">
        <v>566</v>
      </c>
      <c r="B475" s="7">
        <v>45784</v>
      </c>
      <c r="C475" t="s">
        <v>70</v>
      </c>
      <c r="D475" t="s">
        <v>1101</v>
      </c>
      <c r="E475" s="3">
        <v>4</v>
      </c>
      <c r="F475" s="3">
        <v>1</v>
      </c>
      <c r="G475" t="s">
        <v>13</v>
      </c>
      <c r="H475" t="s">
        <v>1107</v>
      </c>
      <c r="I475" t="s">
        <v>37</v>
      </c>
      <c r="J475" t="s">
        <v>49</v>
      </c>
      <c r="K475" t="s">
        <v>57</v>
      </c>
      <c r="L475" t="s">
        <v>10</v>
      </c>
      <c r="M475" t="s">
        <v>10</v>
      </c>
      <c r="N475" t="s">
        <v>57</v>
      </c>
      <c r="O475" t="str">
        <f>INDEX(CoverageTable[Deductible Applies],MATCH(Table1820[[#This Row],[Coverage]],CoverageTable[Coverage],0))</f>
        <v>No</v>
      </c>
      <c r="P475" t="str">
        <f>INDEX(CoverageTable[Coverage Limit Applies],MATCH(Table1820[[#This Row],[Coverage]],CoverageTable[Coverage],0))</f>
        <v>Yes</v>
      </c>
      <c r="Q475" t="s">
        <v>10</v>
      </c>
      <c r="R475" t="s">
        <v>80</v>
      </c>
      <c r="S475" t="s">
        <v>10</v>
      </c>
      <c r="T475" t="s">
        <v>10</v>
      </c>
      <c r="U475" t="s">
        <v>57</v>
      </c>
      <c r="V475" t="s">
        <v>10</v>
      </c>
      <c r="W475" t="s">
        <v>10</v>
      </c>
      <c r="X475" s="11">
        <v>603.75461006450894</v>
      </c>
      <c r="Y475">
        <f>_xlfn.XLOOKUP(Table1820[[#This Row],[Coverage]],CoverageTable[Coverage],CoverageTable[Base Rate],,0)</f>
        <v>622</v>
      </c>
      <c r="Z475">
        <f>INDEX(Table16[Ageband Factor],MATCH(Table1820[[#This Row],[Ageband]],Table16[Ageband],0))</f>
        <v>1.1200000000000001</v>
      </c>
      <c r="AA475">
        <f>VLOOKUP(Table1820[[#This Row],[Years Driving]],Table1[],2)</f>
        <v>1.1499999999999999</v>
      </c>
      <c r="AB475">
        <f>_xlfn.XLOOKUP(Table1820[[#This Row],[At Fault Accidents]],Table2[At Fault Accidents],Table2[At Fault Accident Factor],,0)</f>
        <v>1.34</v>
      </c>
      <c r="AC475">
        <f>_xlfn.XLOOKUP(Table1820[[#This Row],[Usage-Based Insurance]],Table3[Usage-Based Insurance],Table3[Usage-Based Insurance Discount],,0)</f>
        <v>0.65</v>
      </c>
      <c r="AD475">
        <f>_xlfn.XLOOKUP(Table1820[[#This Row],[Yearly Miles]],Table4[Yearly Miles],Table4[Yearly Miles Factor],,0)</f>
        <v>0.93</v>
      </c>
      <c r="AE475">
        <f>_xlfn.XLOOKUP(Table1820[[#This Row],[City/Zip Code]],Table5[City/Zip Code],Table5[City/Zip Code Factor],,0)</f>
        <v>1.0900000000000001</v>
      </c>
      <c r="AF475">
        <f>_xlfn.XLOOKUP(Table1820[[#This Row],[Vehicle Price]],Table6[Vehicle Price],Table6[Vehicle Price Factor])</f>
        <v>0.97</v>
      </c>
      <c r="AG475">
        <f>_xlfn.XLOOKUP(Table1820[[#This Row],[Exotic Car]],Table7[Exotic Car],Table7[Exotic Car Factor],,0)</f>
        <v>1.28</v>
      </c>
      <c r="AH475">
        <f>_xlfn.XLOOKUP(Table1820[[#This Row],[Difficult Parts]],Table8[Difficult Parts],Table8[Difficult Parts Factor],,0)</f>
        <v>1</v>
      </c>
      <c r="AI475">
        <f>_xlfn.XLOOKUP(Table1820[[#This Row],[High Theft Rate]],Table9[High Theft Rate],Table9[High Theft Rate Factor],,0)</f>
        <v>1</v>
      </c>
      <c r="AJ475">
        <f>_xlfn.XLOOKUP(Table1820[[#This Row],[Advanced Safety Features]],Table10[Advanced Safety Features],Table10[Advanced Safety Features Factor],,0)</f>
        <v>0.88</v>
      </c>
      <c r="AK475">
        <f>_xlfn.XLOOKUP(Table1820[[#This Row],[Deductible]],Table12[Deductible],Table12[Deductible Factor],,0)</f>
        <v>1</v>
      </c>
      <c r="AL475">
        <f>_xlfn.XLOOKUP(Table1820[[#This Row],[Coverage Limit]],Table13[Coverage Limit],Table13[Coverage Limit Factor],,0)</f>
        <v>0.84</v>
      </c>
      <c r="AM475">
        <f>IF(Table1820[[#This Row],[Good Student Discount]]="Yes",'Rate Book'!$D$126,1)</f>
        <v>1</v>
      </c>
      <c r="AN475">
        <f>IF(Table1820[[#This Row],[Good Driver Discount]]="Yes",'Rate Book'!$D$127,1)</f>
        <v>1</v>
      </c>
      <c r="AO475">
        <f>IF(Table1820[[#This Row],[Multi Policy Discount]]="Yes",'Rate Book'!$D$128,1)</f>
        <v>0.93</v>
      </c>
      <c r="AP475">
        <f>IF(Table1820[[#This Row],[Loyal Customer Discount]]="Yes",'Rate Book'!$D$129,1)</f>
        <v>1</v>
      </c>
      <c r="AQ475">
        <f>IF(Table1820[[#This Row],[Organization Discount]]="Yes",'Rate Book'!$D$130,1)</f>
        <v>1</v>
      </c>
      <c r="AR475" cm="1">
        <f t="array" ref="AR475">IF(Table1820[[#This Row],[Effective Date]]&gt;=RateChangeTable[Effective Date],RateChangeTable[Rate Change Factor],1)</f>
        <v>1</v>
      </c>
      <c r="AS475" s="10">
        <f>PRODUCT(Table1820[[#This Row],[Base Rate]:[Rate Change Factor]])</f>
        <v>603.75461006450894</v>
      </c>
      <c r="AT475" s="9">
        <f>Table1820[[#This Row],[System-Generated Premium]]-Table1820[[#This Row],[Expected Premium]]</f>
        <v>0</v>
      </c>
      <c r="AU475" t="str">
        <f>IF(Table1820[[#This Row],[Difference]]=0,"PASS","FAIL")</f>
        <v>PASS</v>
      </c>
      <c r="AV475" s="9">
        <f>ABS(Table1820[[#This Row],[Difference]])</f>
        <v>0</v>
      </c>
      <c r="AW475" s="9" t="s">
        <v>1136</v>
      </c>
    </row>
    <row r="476" spans="1:49" x14ac:dyDescent="0.3">
      <c r="A476" t="s">
        <v>567</v>
      </c>
      <c r="B476" s="7">
        <v>45933</v>
      </c>
      <c r="C476" t="s">
        <v>70</v>
      </c>
      <c r="D476" t="s">
        <v>1098</v>
      </c>
      <c r="E476" s="3">
        <v>1</v>
      </c>
      <c r="F476" s="3">
        <v>4</v>
      </c>
      <c r="G476" t="s">
        <v>10</v>
      </c>
      <c r="H476" t="s">
        <v>1107</v>
      </c>
      <c r="I476" t="s">
        <v>44</v>
      </c>
      <c r="J476" t="s">
        <v>53</v>
      </c>
      <c r="K476" t="s">
        <v>10</v>
      </c>
      <c r="L476" t="s">
        <v>10</v>
      </c>
      <c r="M476" t="s">
        <v>10</v>
      </c>
      <c r="N476" t="s">
        <v>57</v>
      </c>
      <c r="O476" t="str">
        <f>INDEX(CoverageTable[Deductible Applies],MATCH(Table1820[[#This Row],[Coverage]],CoverageTable[Coverage],0))</f>
        <v>No</v>
      </c>
      <c r="P476" t="str">
        <f>INDEX(CoverageTable[Coverage Limit Applies],MATCH(Table1820[[#This Row],[Coverage]],CoverageTable[Coverage],0))</f>
        <v>Yes</v>
      </c>
      <c r="Q476" t="s">
        <v>10</v>
      </c>
      <c r="R476" t="s">
        <v>79</v>
      </c>
      <c r="S476" t="s">
        <v>10</v>
      </c>
      <c r="T476" t="s">
        <v>57</v>
      </c>
      <c r="U476" t="s">
        <v>57</v>
      </c>
      <c r="V476" t="s">
        <v>10</v>
      </c>
      <c r="W476" t="s">
        <v>10</v>
      </c>
      <c r="X476" s="11">
        <v>3039.8743726718453</v>
      </c>
      <c r="Y476">
        <f>_xlfn.XLOOKUP(Table1820[[#This Row],[Coverage]],CoverageTable[Coverage],CoverageTable[Base Rate],,0)</f>
        <v>622</v>
      </c>
      <c r="Z476">
        <f>INDEX(Table16[Ageband Factor],MATCH(Table1820[[#This Row],[Ageband]],Table16[Ageband],0))</f>
        <v>1.23</v>
      </c>
      <c r="AA476">
        <f>VLOOKUP(Table1820[[#This Row],[Years Driving]],Table1[],2)</f>
        <v>1.64</v>
      </c>
      <c r="AB476">
        <f>_xlfn.XLOOKUP(Table1820[[#This Row],[At Fault Accidents]],Table2[At Fault Accidents],Table2[At Fault Accident Factor],,0)</f>
        <v>2.12</v>
      </c>
      <c r="AC476">
        <f>_xlfn.XLOOKUP(Table1820[[#This Row],[Usage-Based Insurance]],Table3[Usage-Based Insurance],Table3[Usage-Based Insurance Discount],,0)</f>
        <v>1</v>
      </c>
      <c r="AD476">
        <f>_xlfn.XLOOKUP(Table1820[[#This Row],[Yearly Miles]],Table4[Yearly Miles],Table4[Yearly Miles Factor],,0)</f>
        <v>0.93</v>
      </c>
      <c r="AE476">
        <f>_xlfn.XLOOKUP(Table1820[[#This Row],[City/Zip Code]],Table5[City/Zip Code],Table5[City/Zip Code Factor],,0)</f>
        <v>1.1599999999999999</v>
      </c>
      <c r="AF476">
        <f>_xlfn.XLOOKUP(Table1820[[#This Row],[Vehicle Price]],Table6[Vehicle Price],Table6[Vehicle Price Factor])</f>
        <v>2.02</v>
      </c>
      <c r="AG476">
        <f>_xlfn.XLOOKUP(Table1820[[#This Row],[Exotic Car]],Table7[Exotic Car],Table7[Exotic Car Factor],,0)</f>
        <v>1</v>
      </c>
      <c r="AH476">
        <f>_xlfn.XLOOKUP(Table1820[[#This Row],[Difficult Parts]],Table8[Difficult Parts],Table8[Difficult Parts Factor],,0)</f>
        <v>1</v>
      </c>
      <c r="AI476">
        <f>_xlfn.XLOOKUP(Table1820[[#This Row],[High Theft Rate]],Table9[High Theft Rate],Table9[High Theft Rate Factor],,0)</f>
        <v>1</v>
      </c>
      <c r="AJ476">
        <f>_xlfn.XLOOKUP(Table1820[[#This Row],[Advanced Safety Features]],Table10[Advanced Safety Features],Table10[Advanced Safety Features Factor],,0)</f>
        <v>0.88</v>
      </c>
      <c r="AK476">
        <f>_xlfn.XLOOKUP(Table1820[[#This Row],[Deductible]],Table12[Deductible],Table12[Deductible Factor],,0)</f>
        <v>1</v>
      </c>
      <c r="AL476">
        <f>_xlfn.XLOOKUP(Table1820[[#This Row],[Coverage Limit]],Table13[Coverage Limit],Table13[Coverage Limit Factor],,0)</f>
        <v>0.72</v>
      </c>
      <c r="AM476">
        <f>IF(Table1820[[#This Row],[Good Student Discount]]="Yes",'Rate Book'!$D$126,1)</f>
        <v>1</v>
      </c>
      <c r="AN476">
        <f>IF(Table1820[[#This Row],[Good Driver Discount]]="Yes",'Rate Book'!$D$127,1)</f>
        <v>0.89</v>
      </c>
      <c r="AO476">
        <f>IF(Table1820[[#This Row],[Multi Policy Discount]]="Yes",'Rate Book'!$D$128,1)</f>
        <v>0.93</v>
      </c>
      <c r="AP476">
        <f>IF(Table1820[[#This Row],[Loyal Customer Discount]]="Yes",'Rate Book'!$D$129,1)</f>
        <v>1</v>
      </c>
      <c r="AQ476">
        <f>IF(Table1820[[#This Row],[Organization Discount]]="Yes",'Rate Book'!$D$130,1)</f>
        <v>1</v>
      </c>
      <c r="AR476" cm="1">
        <f t="array" ref="AR476">IF(Table1820[[#This Row],[Effective Date]]&gt;=RateChangeTable[Effective Date],RateChangeTable[Rate Change Factor],1)</f>
        <v>1</v>
      </c>
      <c r="AS476" s="10">
        <f>PRODUCT(Table1820[[#This Row],[Base Rate]:[Rate Change Factor]])</f>
        <v>3039.8743726718453</v>
      </c>
      <c r="AT476" s="9">
        <f>Table1820[[#This Row],[System-Generated Premium]]-Table1820[[#This Row],[Expected Premium]]</f>
        <v>0</v>
      </c>
      <c r="AU476" t="str">
        <f>IF(Table1820[[#This Row],[Difference]]=0,"PASS","FAIL")</f>
        <v>PASS</v>
      </c>
      <c r="AV476" s="9">
        <f>ABS(Table1820[[#This Row],[Difference]])</f>
        <v>0</v>
      </c>
      <c r="AW476" s="9" t="s">
        <v>1136</v>
      </c>
    </row>
    <row r="477" spans="1:49" x14ac:dyDescent="0.3">
      <c r="A477" t="s">
        <v>568</v>
      </c>
      <c r="B477" s="7">
        <v>45805</v>
      </c>
      <c r="C477" t="s">
        <v>70</v>
      </c>
      <c r="D477" t="s">
        <v>1099</v>
      </c>
      <c r="E477" s="3">
        <v>7</v>
      </c>
      <c r="F477" s="3">
        <v>1</v>
      </c>
      <c r="G477" t="s">
        <v>11</v>
      </c>
      <c r="H477" t="s">
        <v>1106</v>
      </c>
      <c r="I477" t="s">
        <v>34</v>
      </c>
      <c r="J477" t="s">
        <v>53</v>
      </c>
      <c r="K477" t="s">
        <v>10</v>
      </c>
      <c r="L477" t="s">
        <v>10</v>
      </c>
      <c r="M477" t="s">
        <v>10</v>
      </c>
      <c r="N477" t="s">
        <v>10</v>
      </c>
      <c r="O477" t="str">
        <f>INDEX(CoverageTable[Deductible Applies],MATCH(Table1820[[#This Row],[Coverage]],CoverageTable[Coverage],0))</f>
        <v>No</v>
      </c>
      <c r="P477" t="str">
        <f>INDEX(CoverageTable[Coverage Limit Applies],MATCH(Table1820[[#This Row],[Coverage]],CoverageTable[Coverage],0))</f>
        <v>Yes</v>
      </c>
      <c r="Q477" t="s">
        <v>10</v>
      </c>
      <c r="R477" t="s">
        <v>79</v>
      </c>
      <c r="S477" t="s">
        <v>10</v>
      </c>
      <c r="T477" t="s">
        <v>10</v>
      </c>
      <c r="U477" t="s">
        <v>10</v>
      </c>
      <c r="V477" t="s">
        <v>10</v>
      </c>
      <c r="W477" t="s">
        <v>10</v>
      </c>
      <c r="X477" s="11">
        <v>1399.4736000111359</v>
      </c>
      <c r="Y477">
        <f>_xlfn.XLOOKUP(Table1820[[#This Row],[Coverage]],CoverageTable[Coverage],CoverageTable[Base Rate],,0)</f>
        <v>622</v>
      </c>
      <c r="Z477">
        <f>INDEX(Table16[Ageband Factor],MATCH(Table1820[[#This Row],[Ageband]],Table16[Ageband],0))</f>
        <v>1</v>
      </c>
      <c r="AA477">
        <f>VLOOKUP(Table1820[[#This Row],[Years Driving]],Table1[],2)</f>
        <v>0.95</v>
      </c>
      <c r="AB477">
        <f>_xlfn.XLOOKUP(Table1820[[#This Row],[At Fault Accidents]],Table2[At Fault Accidents],Table2[At Fault Accident Factor],,0)</f>
        <v>1.34</v>
      </c>
      <c r="AC477">
        <f>_xlfn.XLOOKUP(Table1820[[#This Row],[Usage-Based Insurance]],Table3[Usage-Based Insurance],Table3[Usage-Based Insurance Discount],,0)</f>
        <v>0.95</v>
      </c>
      <c r="AD477">
        <f>_xlfn.XLOOKUP(Table1820[[#This Row],[Yearly Miles]],Table4[Yearly Miles],Table4[Yearly Miles Factor],,0)</f>
        <v>0.82</v>
      </c>
      <c r="AE477">
        <f>_xlfn.XLOOKUP(Table1820[[#This Row],[City/Zip Code]],Table5[City/Zip Code],Table5[City/Zip Code Factor],,0)</f>
        <v>1.56</v>
      </c>
      <c r="AF477">
        <f>_xlfn.XLOOKUP(Table1820[[#This Row],[Vehicle Price]],Table6[Vehicle Price],Table6[Vehicle Price Factor])</f>
        <v>2.02</v>
      </c>
      <c r="AG477">
        <f>_xlfn.XLOOKUP(Table1820[[#This Row],[Exotic Car]],Table7[Exotic Car],Table7[Exotic Car Factor],,0)</f>
        <v>1</v>
      </c>
      <c r="AH477">
        <f>_xlfn.XLOOKUP(Table1820[[#This Row],[Difficult Parts]],Table8[Difficult Parts],Table8[Difficult Parts Factor],,0)</f>
        <v>1</v>
      </c>
      <c r="AI477">
        <f>_xlfn.XLOOKUP(Table1820[[#This Row],[High Theft Rate]],Table9[High Theft Rate],Table9[High Theft Rate Factor],,0)</f>
        <v>1</v>
      </c>
      <c r="AJ477">
        <f>_xlfn.XLOOKUP(Table1820[[#This Row],[Advanced Safety Features]],Table10[Advanced Safety Features],Table10[Advanced Safety Features Factor],,0)</f>
        <v>1</v>
      </c>
      <c r="AK477">
        <f>_xlfn.XLOOKUP(Table1820[[#This Row],[Deductible]],Table12[Deductible],Table12[Deductible Factor],,0)</f>
        <v>1</v>
      </c>
      <c r="AL477">
        <f>_xlfn.XLOOKUP(Table1820[[#This Row],[Coverage Limit]],Table13[Coverage Limit],Table13[Coverage Limit Factor],,0)</f>
        <v>0.72</v>
      </c>
      <c r="AM477">
        <f>IF(Table1820[[#This Row],[Good Student Discount]]="Yes",'Rate Book'!$D$126,1)</f>
        <v>1</v>
      </c>
      <c r="AN477">
        <f>IF(Table1820[[#This Row],[Good Driver Discount]]="Yes",'Rate Book'!$D$127,1)</f>
        <v>1</v>
      </c>
      <c r="AO477">
        <f>IF(Table1820[[#This Row],[Multi Policy Discount]]="Yes",'Rate Book'!$D$128,1)</f>
        <v>1</v>
      </c>
      <c r="AP477">
        <f>IF(Table1820[[#This Row],[Loyal Customer Discount]]="Yes",'Rate Book'!$D$129,1)</f>
        <v>1</v>
      </c>
      <c r="AQ477">
        <f>IF(Table1820[[#This Row],[Organization Discount]]="Yes",'Rate Book'!$D$130,1)</f>
        <v>1</v>
      </c>
      <c r="AR477" cm="1">
        <f t="array" ref="AR477">IF(Table1820[[#This Row],[Effective Date]]&gt;=RateChangeTable[Effective Date],RateChangeTable[Rate Change Factor],1)</f>
        <v>1</v>
      </c>
      <c r="AS477" s="10">
        <f>PRODUCT(Table1820[[#This Row],[Base Rate]:[Rate Change Factor]])</f>
        <v>1399.4736000111359</v>
      </c>
      <c r="AT477" s="9">
        <f>Table1820[[#This Row],[System-Generated Premium]]-Table1820[[#This Row],[Expected Premium]]</f>
        <v>0</v>
      </c>
      <c r="AU477" t="str">
        <f>IF(Table1820[[#This Row],[Difference]]=0,"PASS","FAIL")</f>
        <v>PASS</v>
      </c>
      <c r="AV477" s="9">
        <f>ABS(Table1820[[#This Row],[Difference]])</f>
        <v>0</v>
      </c>
      <c r="AW477" s="9" t="s">
        <v>1136</v>
      </c>
    </row>
    <row r="478" spans="1:49" x14ac:dyDescent="0.3">
      <c r="A478" t="s">
        <v>569</v>
      </c>
      <c r="B478" s="7">
        <v>46086</v>
      </c>
      <c r="C478" t="s">
        <v>70</v>
      </c>
      <c r="D478" t="s">
        <v>1098</v>
      </c>
      <c r="E478" s="3">
        <v>5</v>
      </c>
      <c r="F478" s="3">
        <v>0</v>
      </c>
      <c r="G478" t="s">
        <v>11</v>
      </c>
      <c r="H478" t="s">
        <v>1109</v>
      </c>
      <c r="I478" t="s">
        <v>23</v>
      </c>
      <c r="J478" t="s">
        <v>50</v>
      </c>
      <c r="K478" t="s">
        <v>10</v>
      </c>
      <c r="L478" t="s">
        <v>10</v>
      </c>
      <c r="M478" t="s">
        <v>10</v>
      </c>
      <c r="N478" t="s">
        <v>57</v>
      </c>
      <c r="O478" t="str">
        <f>INDEX(CoverageTable[Deductible Applies],MATCH(Table1820[[#This Row],[Coverage]],CoverageTable[Coverage],0))</f>
        <v>No</v>
      </c>
      <c r="P478" t="str">
        <f>INDEX(CoverageTable[Coverage Limit Applies],MATCH(Table1820[[#This Row],[Coverage]],CoverageTable[Coverage],0))</f>
        <v>Yes</v>
      </c>
      <c r="Q478" t="s">
        <v>10</v>
      </c>
      <c r="R478" t="s">
        <v>80</v>
      </c>
      <c r="S478" t="s">
        <v>10</v>
      </c>
      <c r="T478" t="s">
        <v>10</v>
      </c>
      <c r="U478" t="s">
        <v>10</v>
      </c>
      <c r="V478" t="s">
        <v>10</v>
      </c>
      <c r="W478" t="s">
        <v>57</v>
      </c>
      <c r="X478" s="11">
        <v>693.00445578195593</v>
      </c>
      <c r="Y478">
        <f>_xlfn.XLOOKUP(Table1820[[#This Row],[Coverage]],CoverageTable[Coverage],CoverageTable[Base Rate],,0)</f>
        <v>622</v>
      </c>
      <c r="Z478">
        <f>INDEX(Table16[Ageband Factor],MATCH(Table1820[[#This Row],[Ageband]],Table16[Ageband],0))</f>
        <v>1.23</v>
      </c>
      <c r="AA478">
        <f>VLOOKUP(Table1820[[#This Row],[Years Driving]],Table1[],2)</f>
        <v>1.07</v>
      </c>
      <c r="AB478">
        <f>_xlfn.XLOOKUP(Table1820[[#This Row],[At Fault Accidents]],Table2[At Fault Accidents],Table2[At Fault Accident Factor],,0)</f>
        <v>1</v>
      </c>
      <c r="AC478">
        <f>_xlfn.XLOOKUP(Table1820[[#This Row],[Usage-Based Insurance]],Table3[Usage-Based Insurance],Table3[Usage-Based Insurance Discount],,0)</f>
        <v>0.95</v>
      </c>
      <c r="AD478">
        <f>_xlfn.XLOOKUP(Table1820[[#This Row],[Yearly Miles]],Table4[Yearly Miles],Table4[Yearly Miles Factor],,0)</f>
        <v>1.18</v>
      </c>
      <c r="AE478">
        <f>_xlfn.XLOOKUP(Table1820[[#This Row],[City/Zip Code]],Table5[City/Zip Code],Table5[City/Zip Code Factor],,0)</f>
        <v>0.92</v>
      </c>
      <c r="AF478">
        <f>_xlfn.XLOOKUP(Table1820[[#This Row],[Vehicle Price]],Table6[Vehicle Price],Table6[Vehicle Price Factor])</f>
        <v>1.08</v>
      </c>
      <c r="AG478">
        <f>_xlfn.XLOOKUP(Table1820[[#This Row],[Exotic Car]],Table7[Exotic Car],Table7[Exotic Car Factor],,0)</f>
        <v>1</v>
      </c>
      <c r="AH478">
        <f>_xlfn.XLOOKUP(Table1820[[#This Row],[Difficult Parts]],Table8[Difficult Parts],Table8[Difficult Parts Factor],,0)</f>
        <v>1</v>
      </c>
      <c r="AI478">
        <f>_xlfn.XLOOKUP(Table1820[[#This Row],[High Theft Rate]],Table9[High Theft Rate],Table9[High Theft Rate Factor],,0)</f>
        <v>1</v>
      </c>
      <c r="AJ478">
        <f>_xlfn.XLOOKUP(Table1820[[#This Row],[Advanced Safety Features]],Table10[Advanced Safety Features],Table10[Advanced Safety Features Factor],,0)</f>
        <v>0.88</v>
      </c>
      <c r="AK478">
        <f>_xlfn.XLOOKUP(Table1820[[#This Row],[Deductible]],Table12[Deductible],Table12[Deductible Factor],,0)</f>
        <v>1</v>
      </c>
      <c r="AL478">
        <f>_xlfn.XLOOKUP(Table1820[[#This Row],[Coverage Limit]],Table13[Coverage Limit],Table13[Coverage Limit Factor],,0)</f>
        <v>0.84</v>
      </c>
      <c r="AM478">
        <f>IF(Table1820[[#This Row],[Good Student Discount]]="Yes",'Rate Book'!$D$126,1)</f>
        <v>1</v>
      </c>
      <c r="AN478">
        <f>IF(Table1820[[#This Row],[Good Driver Discount]]="Yes",'Rate Book'!$D$127,1)</f>
        <v>1</v>
      </c>
      <c r="AO478">
        <f>IF(Table1820[[#This Row],[Multi Policy Discount]]="Yes",'Rate Book'!$D$128,1)</f>
        <v>1</v>
      </c>
      <c r="AP478">
        <f>IF(Table1820[[#This Row],[Loyal Customer Discount]]="Yes",'Rate Book'!$D$129,1)</f>
        <v>1</v>
      </c>
      <c r="AQ478">
        <f>IF(Table1820[[#This Row],[Organization Discount]]="Yes",'Rate Book'!$D$130,1)</f>
        <v>0.97</v>
      </c>
      <c r="AR478" cm="1">
        <f t="array" ref="AR478">IF(Table1820[[#This Row],[Effective Date]]&gt;=RateChangeTable[Effective Date],RateChangeTable[Rate Change Factor],1)</f>
        <v>1.06</v>
      </c>
      <c r="AS478" s="10">
        <f>PRODUCT(Table1820[[#This Row],[Base Rate]:[Rate Change Factor]])</f>
        <v>693.00445578195593</v>
      </c>
      <c r="AT478" s="9">
        <f>Table1820[[#This Row],[System-Generated Premium]]-Table1820[[#This Row],[Expected Premium]]</f>
        <v>0</v>
      </c>
      <c r="AU478" t="str">
        <f>IF(Table1820[[#This Row],[Difference]]=0,"PASS","FAIL")</f>
        <v>PASS</v>
      </c>
      <c r="AV478" s="9">
        <f>ABS(Table1820[[#This Row],[Difference]])</f>
        <v>0</v>
      </c>
      <c r="AW478" s="9" t="s">
        <v>1136</v>
      </c>
    </row>
    <row r="479" spans="1:49" x14ac:dyDescent="0.3">
      <c r="A479" t="s">
        <v>570</v>
      </c>
      <c r="B479" s="7">
        <v>46100</v>
      </c>
      <c r="C479" t="s">
        <v>72</v>
      </c>
      <c r="D479" t="s">
        <v>1098</v>
      </c>
      <c r="E479" s="3">
        <v>4</v>
      </c>
      <c r="F479" s="3">
        <v>1</v>
      </c>
      <c r="G479" t="s">
        <v>13</v>
      </c>
      <c r="H479" t="s">
        <v>1108</v>
      </c>
      <c r="I479" t="s">
        <v>25</v>
      </c>
      <c r="J479" t="s">
        <v>50</v>
      </c>
      <c r="K479" t="s">
        <v>10</v>
      </c>
      <c r="L479" t="s">
        <v>10</v>
      </c>
      <c r="M479" t="s">
        <v>10</v>
      </c>
      <c r="N479" t="s">
        <v>10</v>
      </c>
      <c r="O479" t="str">
        <f>INDEX(CoverageTable[Deductible Applies],MATCH(Table1820[[#This Row],[Coverage]],CoverageTable[Coverage],0))</f>
        <v>Yes</v>
      </c>
      <c r="P479" t="str">
        <f>INDEX(CoverageTable[Coverage Limit Applies],MATCH(Table1820[[#This Row],[Coverage]],CoverageTable[Coverage],0))</f>
        <v>No</v>
      </c>
      <c r="Q479" t="s">
        <v>78</v>
      </c>
      <c r="R479" t="s">
        <v>10</v>
      </c>
      <c r="S479" t="s">
        <v>10</v>
      </c>
      <c r="T479" t="s">
        <v>10</v>
      </c>
      <c r="U479" t="s">
        <v>10</v>
      </c>
      <c r="V479" t="s">
        <v>57</v>
      </c>
      <c r="W479" t="s">
        <v>10</v>
      </c>
      <c r="X479" s="11">
        <v>176.78505418885393</v>
      </c>
      <c r="Y479">
        <f>_xlfn.XLOOKUP(Table1820[[#This Row],[Coverage]],CoverageTable[Coverage],CoverageTable[Base Rate],,0)</f>
        <v>121</v>
      </c>
      <c r="Z479">
        <f>INDEX(Table16[Ageband Factor],MATCH(Table1820[[#This Row],[Ageband]],Table16[Ageband],0))</f>
        <v>1.23</v>
      </c>
      <c r="AA479">
        <f>VLOOKUP(Table1820[[#This Row],[Years Driving]],Table1[],2)</f>
        <v>1.1499999999999999</v>
      </c>
      <c r="AB479">
        <f>_xlfn.XLOOKUP(Table1820[[#This Row],[At Fault Accidents]],Table2[At Fault Accidents],Table2[At Fault Accident Factor],,0)</f>
        <v>1.34</v>
      </c>
      <c r="AC479">
        <f>_xlfn.XLOOKUP(Table1820[[#This Row],[Usage-Based Insurance]],Table3[Usage-Based Insurance],Table3[Usage-Based Insurance Discount],,0)</f>
        <v>0.65</v>
      </c>
      <c r="AD479">
        <f>_xlfn.XLOOKUP(Table1820[[#This Row],[Yearly Miles]],Table4[Yearly Miles],Table4[Yearly Miles Factor],,0)</f>
        <v>1</v>
      </c>
      <c r="AE479">
        <f>_xlfn.XLOOKUP(Table1820[[#This Row],[City/Zip Code]],Table5[City/Zip Code],Table5[City/Zip Code Factor],,0)</f>
        <v>1.1599999999999999</v>
      </c>
      <c r="AF479">
        <f>_xlfn.XLOOKUP(Table1820[[#This Row],[Vehicle Price]],Table6[Vehicle Price],Table6[Vehicle Price Factor])</f>
        <v>1.08</v>
      </c>
      <c r="AG479">
        <f>_xlfn.XLOOKUP(Table1820[[#This Row],[Exotic Car]],Table7[Exotic Car],Table7[Exotic Car Factor],,0)</f>
        <v>1</v>
      </c>
      <c r="AH479">
        <f>_xlfn.XLOOKUP(Table1820[[#This Row],[Difficult Parts]],Table8[Difficult Parts],Table8[Difficult Parts Factor],,0)</f>
        <v>1</v>
      </c>
      <c r="AI479">
        <f>_xlfn.XLOOKUP(Table1820[[#This Row],[High Theft Rate]],Table9[High Theft Rate],Table9[High Theft Rate Factor],,0)</f>
        <v>1</v>
      </c>
      <c r="AJ479">
        <f>_xlfn.XLOOKUP(Table1820[[#This Row],[Advanced Safety Features]],Table10[Advanced Safety Features],Table10[Advanced Safety Features Factor],,0)</f>
        <v>1</v>
      </c>
      <c r="AK479">
        <f>_xlfn.XLOOKUP(Table1820[[#This Row],[Deductible]],Table12[Deductible],Table12[Deductible Factor],,0)</f>
        <v>0.95</v>
      </c>
      <c r="AL479">
        <f>_xlfn.XLOOKUP(Table1820[[#This Row],[Coverage Limit]],Table13[Coverage Limit],Table13[Coverage Limit Factor],,0)</f>
        <v>1</v>
      </c>
      <c r="AM479">
        <f>IF(Table1820[[#This Row],[Good Student Discount]]="Yes",'Rate Book'!$D$126,1)</f>
        <v>1</v>
      </c>
      <c r="AN479">
        <f>IF(Table1820[[#This Row],[Good Driver Discount]]="Yes",'Rate Book'!$D$127,1)</f>
        <v>1</v>
      </c>
      <c r="AO479">
        <f>IF(Table1820[[#This Row],[Multi Policy Discount]]="Yes",'Rate Book'!$D$128,1)</f>
        <v>1</v>
      </c>
      <c r="AP479">
        <f>IF(Table1820[[#This Row],[Loyal Customer Discount]]="Yes",'Rate Book'!$D$129,1)</f>
        <v>0.94</v>
      </c>
      <c r="AQ479">
        <f>IF(Table1820[[#This Row],[Organization Discount]]="Yes",'Rate Book'!$D$130,1)</f>
        <v>1</v>
      </c>
      <c r="AR479" cm="1">
        <f t="array" ref="AR479">IF(Table1820[[#This Row],[Effective Date]]&gt;=RateChangeTable[Effective Date],RateChangeTable[Rate Change Factor],1)</f>
        <v>1.06</v>
      </c>
      <c r="AS479" s="10">
        <f>PRODUCT(Table1820[[#This Row],[Base Rate]:[Rate Change Factor]])</f>
        <v>176.78505418885393</v>
      </c>
      <c r="AT479" s="9">
        <f>Table1820[[#This Row],[System-Generated Premium]]-Table1820[[#This Row],[Expected Premium]]</f>
        <v>0</v>
      </c>
      <c r="AU479" t="str">
        <f>IF(Table1820[[#This Row],[Difference]]=0,"PASS","FAIL")</f>
        <v>PASS</v>
      </c>
      <c r="AV479" s="9">
        <f>ABS(Table1820[[#This Row],[Difference]])</f>
        <v>0</v>
      </c>
      <c r="AW479" s="9" t="s">
        <v>1136</v>
      </c>
    </row>
    <row r="480" spans="1:49" x14ac:dyDescent="0.3">
      <c r="A480" t="s">
        <v>571</v>
      </c>
      <c r="B480" s="7">
        <v>45936</v>
      </c>
      <c r="C480" t="s">
        <v>74</v>
      </c>
      <c r="D480" t="s">
        <v>1099</v>
      </c>
      <c r="E480" s="3">
        <v>7</v>
      </c>
      <c r="F480" s="3">
        <v>0</v>
      </c>
      <c r="G480" t="s">
        <v>13</v>
      </c>
      <c r="H480" t="s">
        <v>1109</v>
      </c>
      <c r="I480" t="s">
        <v>40</v>
      </c>
      <c r="J480" t="s">
        <v>51</v>
      </c>
      <c r="K480" t="s">
        <v>10</v>
      </c>
      <c r="L480" t="s">
        <v>10</v>
      </c>
      <c r="M480" t="s">
        <v>10</v>
      </c>
      <c r="N480" t="s">
        <v>57</v>
      </c>
      <c r="O480" t="str">
        <f>INDEX(CoverageTable[Deductible Applies],MATCH(Table1820[[#This Row],[Coverage]],CoverageTable[Coverage],0))</f>
        <v>No</v>
      </c>
      <c r="P480" t="str">
        <f>INDEX(CoverageTable[Coverage Limit Applies],MATCH(Table1820[[#This Row],[Coverage]],CoverageTable[Coverage],0))</f>
        <v>Yes</v>
      </c>
      <c r="Q480" t="s">
        <v>10</v>
      </c>
      <c r="R480" t="s">
        <v>80</v>
      </c>
      <c r="S480" t="s">
        <v>10</v>
      </c>
      <c r="T480" t="s">
        <v>10</v>
      </c>
      <c r="U480" t="s">
        <v>10</v>
      </c>
      <c r="V480" t="s">
        <v>10</v>
      </c>
      <c r="W480" t="s">
        <v>10</v>
      </c>
      <c r="X480" s="11">
        <v>30.810677753855995</v>
      </c>
      <c r="Y480">
        <f>_xlfn.XLOOKUP(Table1820[[#This Row],[Coverage]],CoverageTable[Coverage],CoverageTable[Base Rate],,0)</f>
        <v>41</v>
      </c>
      <c r="Z480">
        <f>INDEX(Table16[Ageband Factor],MATCH(Table1820[[#This Row],[Ageband]],Table16[Ageband],0))</f>
        <v>1</v>
      </c>
      <c r="AA480">
        <f>VLOOKUP(Table1820[[#This Row],[Years Driving]],Table1[],2)</f>
        <v>0.95</v>
      </c>
      <c r="AB480">
        <f>_xlfn.XLOOKUP(Table1820[[#This Row],[At Fault Accidents]],Table2[At Fault Accidents],Table2[At Fault Accident Factor],,0)</f>
        <v>1</v>
      </c>
      <c r="AC480">
        <f>_xlfn.XLOOKUP(Table1820[[#This Row],[Usage-Based Insurance]],Table3[Usage-Based Insurance],Table3[Usage-Based Insurance Discount],,0)</f>
        <v>0.65</v>
      </c>
      <c r="AD480">
        <f>_xlfn.XLOOKUP(Table1820[[#This Row],[Yearly Miles]],Table4[Yearly Miles],Table4[Yearly Miles Factor],,0)</f>
        <v>1.18</v>
      </c>
      <c r="AE480">
        <f>_xlfn.XLOOKUP(Table1820[[#This Row],[City/Zip Code]],Table5[City/Zip Code],Table5[City/Zip Code Factor],,0)</f>
        <v>1.0900000000000001</v>
      </c>
      <c r="AF480">
        <f>_xlfn.XLOOKUP(Table1820[[#This Row],[Vehicle Price]],Table6[Vehicle Price],Table6[Vehicle Price Factor])</f>
        <v>1.28</v>
      </c>
      <c r="AG480">
        <f>_xlfn.XLOOKUP(Table1820[[#This Row],[Exotic Car]],Table7[Exotic Car],Table7[Exotic Car Factor],,0)</f>
        <v>1</v>
      </c>
      <c r="AH480">
        <f>_xlfn.XLOOKUP(Table1820[[#This Row],[Difficult Parts]],Table8[Difficult Parts],Table8[Difficult Parts Factor],,0)</f>
        <v>1</v>
      </c>
      <c r="AI480">
        <f>_xlfn.XLOOKUP(Table1820[[#This Row],[High Theft Rate]],Table9[High Theft Rate],Table9[High Theft Rate Factor],,0)</f>
        <v>1</v>
      </c>
      <c r="AJ480">
        <f>_xlfn.XLOOKUP(Table1820[[#This Row],[Advanced Safety Features]],Table10[Advanced Safety Features],Table10[Advanced Safety Features Factor],,0)</f>
        <v>0.88</v>
      </c>
      <c r="AK480">
        <f>_xlfn.XLOOKUP(Table1820[[#This Row],[Deductible]],Table12[Deductible],Table12[Deductible Factor],,0)</f>
        <v>1</v>
      </c>
      <c r="AL480">
        <f>_xlfn.XLOOKUP(Table1820[[#This Row],[Coverage Limit]],Table13[Coverage Limit],Table13[Coverage Limit Factor],,0)</f>
        <v>0.84</v>
      </c>
      <c r="AM480">
        <f>IF(Table1820[[#This Row],[Good Student Discount]]="Yes",'Rate Book'!$D$126,1)</f>
        <v>1</v>
      </c>
      <c r="AN480">
        <f>IF(Table1820[[#This Row],[Good Driver Discount]]="Yes",'Rate Book'!$D$127,1)</f>
        <v>1</v>
      </c>
      <c r="AO480">
        <f>IF(Table1820[[#This Row],[Multi Policy Discount]]="Yes",'Rate Book'!$D$128,1)</f>
        <v>1</v>
      </c>
      <c r="AP480">
        <f>IF(Table1820[[#This Row],[Loyal Customer Discount]]="Yes",'Rate Book'!$D$129,1)</f>
        <v>1</v>
      </c>
      <c r="AQ480">
        <f>IF(Table1820[[#This Row],[Organization Discount]]="Yes",'Rate Book'!$D$130,1)</f>
        <v>1</v>
      </c>
      <c r="AR480" cm="1">
        <f t="array" ref="AR480">IF(Table1820[[#This Row],[Effective Date]]&gt;=RateChangeTable[Effective Date],RateChangeTable[Rate Change Factor],1)</f>
        <v>1</v>
      </c>
      <c r="AS480" s="10">
        <f>PRODUCT(Table1820[[#This Row],[Base Rate]:[Rate Change Factor]])</f>
        <v>30.810677753855995</v>
      </c>
      <c r="AT480" s="9">
        <f>Table1820[[#This Row],[System-Generated Premium]]-Table1820[[#This Row],[Expected Premium]]</f>
        <v>0</v>
      </c>
      <c r="AU480" t="str">
        <f>IF(Table1820[[#This Row],[Difference]]=0,"PASS","FAIL")</f>
        <v>PASS</v>
      </c>
      <c r="AV480" s="9">
        <f>ABS(Table1820[[#This Row],[Difference]])</f>
        <v>0</v>
      </c>
      <c r="AW480" s="9" t="s">
        <v>1136</v>
      </c>
    </row>
    <row r="481" spans="1:49" x14ac:dyDescent="0.3">
      <c r="A481" t="s">
        <v>572</v>
      </c>
      <c r="B481" s="7">
        <v>46049</v>
      </c>
      <c r="C481" t="s">
        <v>73</v>
      </c>
      <c r="D481" t="s">
        <v>1099</v>
      </c>
      <c r="E481" s="3">
        <v>5</v>
      </c>
      <c r="F481" s="3">
        <v>1</v>
      </c>
      <c r="G481" t="s">
        <v>13</v>
      </c>
      <c r="H481" t="s">
        <v>1110</v>
      </c>
      <c r="I481" t="s">
        <v>39</v>
      </c>
      <c r="J481" t="s">
        <v>48</v>
      </c>
      <c r="K481" t="s">
        <v>10</v>
      </c>
      <c r="L481" t="s">
        <v>10</v>
      </c>
      <c r="M481" t="s">
        <v>10</v>
      </c>
      <c r="N481" t="s">
        <v>10</v>
      </c>
      <c r="O481" t="str">
        <f>INDEX(CoverageTable[Deductible Applies],MATCH(Table1820[[#This Row],[Coverage]],CoverageTable[Coverage],0))</f>
        <v>No</v>
      </c>
      <c r="P481" t="str">
        <f>INDEX(CoverageTable[Coverage Limit Applies],MATCH(Table1820[[#This Row],[Coverage]],CoverageTable[Coverage],0))</f>
        <v>Yes</v>
      </c>
      <c r="Q481" t="s">
        <v>10</v>
      </c>
      <c r="R481" t="s">
        <v>78</v>
      </c>
      <c r="S481" t="s">
        <v>10</v>
      </c>
      <c r="T481" t="s">
        <v>10</v>
      </c>
      <c r="U481" t="s">
        <v>57</v>
      </c>
      <c r="V481" t="s">
        <v>57</v>
      </c>
      <c r="W481" t="s">
        <v>10</v>
      </c>
      <c r="X481" s="11">
        <v>47.670745240405402</v>
      </c>
      <c r="Y481">
        <f>_xlfn.XLOOKUP(Table1820[[#This Row],[Coverage]],CoverageTable[Coverage],CoverageTable[Base Rate],,0)</f>
        <v>78</v>
      </c>
      <c r="Z481">
        <f>INDEX(Table16[Ageband Factor],MATCH(Table1820[[#This Row],[Ageband]],Table16[Ageband],0))</f>
        <v>1</v>
      </c>
      <c r="AA481">
        <f>VLOOKUP(Table1820[[#This Row],[Years Driving]],Table1[],2)</f>
        <v>1.07</v>
      </c>
      <c r="AB481">
        <f>_xlfn.XLOOKUP(Table1820[[#This Row],[At Fault Accidents]],Table2[At Fault Accidents],Table2[At Fault Accident Factor],,0)</f>
        <v>1.34</v>
      </c>
      <c r="AC481">
        <f>_xlfn.XLOOKUP(Table1820[[#This Row],[Usage-Based Insurance]],Table3[Usage-Based Insurance],Table3[Usage-Based Insurance Discount],,0)</f>
        <v>0.65</v>
      </c>
      <c r="AD481">
        <f>_xlfn.XLOOKUP(Table1820[[#This Row],[Yearly Miles]],Table4[Yearly Miles],Table4[Yearly Miles Factor],,0)</f>
        <v>1.31</v>
      </c>
      <c r="AE481">
        <f>_xlfn.XLOOKUP(Table1820[[#This Row],[City/Zip Code]],Table5[City/Zip Code],Table5[City/Zip Code Factor],,0)</f>
        <v>1.08</v>
      </c>
      <c r="AF481">
        <f>_xlfn.XLOOKUP(Table1820[[#This Row],[Vehicle Price]],Table6[Vehicle Price],Table6[Vehicle Price Factor])</f>
        <v>0.82</v>
      </c>
      <c r="AG481">
        <f>_xlfn.XLOOKUP(Table1820[[#This Row],[Exotic Car]],Table7[Exotic Car],Table7[Exotic Car Factor],,0)</f>
        <v>1</v>
      </c>
      <c r="AH481">
        <f>_xlfn.XLOOKUP(Table1820[[#This Row],[Difficult Parts]],Table8[Difficult Parts],Table8[Difficult Parts Factor],,0)</f>
        <v>1</v>
      </c>
      <c r="AI481">
        <f>_xlfn.XLOOKUP(Table1820[[#This Row],[High Theft Rate]],Table9[High Theft Rate],Table9[High Theft Rate Factor],,0)</f>
        <v>1</v>
      </c>
      <c r="AJ481">
        <f>_xlfn.XLOOKUP(Table1820[[#This Row],[Advanced Safety Features]],Table10[Advanced Safety Features],Table10[Advanced Safety Features Factor],,0)</f>
        <v>1</v>
      </c>
      <c r="AK481">
        <f>_xlfn.XLOOKUP(Table1820[[#This Row],[Deductible]],Table12[Deductible],Table12[Deductible Factor],,0)</f>
        <v>1</v>
      </c>
      <c r="AL481">
        <f>_xlfn.XLOOKUP(Table1820[[#This Row],[Coverage Limit]],Table13[Coverage Limit],Table13[Coverage Limit Factor],,0)</f>
        <v>0.61</v>
      </c>
      <c r="AM481">
        <f>IF(Table1820[[#This Row],[Good Student Discount]]="Yes",'Rate Book'!$D$126,1)</f>
        <v>1</v>
      </c>
      <c r="AN481">
        <f>IF(Table1820[[#This Row],[Good Driver Discount]]="Yes",'Rate Book'!$D$127,1)</f>
        <v>1</v>
      </c>
      <c r="AO481">
        <f>IF(Table1820[[#This Row],[Multi Policy Discount]]="Yes",'Rate Book'!$D$128,1)</f>
        <v>0.93</v>
      </c>
      <c r="AP481">
        <f>IF(Table1820[[#This Row],[Loyal Customer Discount]]="Yes",'Rate Book'!$D$129,1)</f>
        <v>0.94</v>
      </c>
      <c r="AQ481">
        <f>IF(Table1820[[#This Row],[Organization Discount]]="Yes",'Rate Book'!$D$130,1)</f>
        <v>1</v>
      </c>
      <c r="AR481" cm="1">
        <f t="array" ref="AR481">IF(Table1820[[#This Row],[Effective Date]]&gt;=RateChangeTable[Effective Date],RateChangeTable[Rate Change Factor],1)</f>
        <v>1.06</v>
      </c>
      <c r="AS481" s="10">
        <f>PRODUCT(Table1820[[#This Row],[Base Rate]:[Rate Change Factor]])</f>
        <v>47.670745240405402</v>
      </c>
      <c r="AT481" s="9">
        <f>Table1820[[#This Row],[System-Generated Premium]]-Table1820[[#This Row],[Expected Premium]]</f>
        <v>0</v>
      </c>
      <c r="AU481" t="str">
        <f>IF(Table1820[[#This Row],[Difference]]=0,"PASS","FAIL")</f>
        <v>PASS</v>
      </c>
      <c r="AV481" s="9">
        <f>ABS(Table1820[[#This Row],[Difference]])</f>
        <v>0</v>
      </c>
      <c r="AW481" s="9" t="s">
        <v>1136</v>
      </c>
    </row>
    <row r="482" spans="1:49" x14ac:dyDescent="0.3">
      <c r="A482" t="s">
        <v>573</v>
      </c>
      <c r="B482" s="7">
        <v>45867</v>
      </c>
      <c r="C482" t="s">
        <v>70</v>
      </c>
      <c r="D482" t="s">
        <v>1101</v>
      </c>
      <c r="E482" s="3">
        <v>4</v>
      </c>
      <c r="F482" s="3">
        <v>1</v>
      </c>
      <c r="G482" t="s">
        <v>11</v>
      </c>
      <c r="H482" t="s">
        <v>1108</v>
      </c>
      <c r="I482" t="s">
        <v>24</v>
      </c>
      <c r="J482" t="s">
        <v>52</v>
      </c>
      <c r="K482" t="s">
        <v>10</v>
      </c>
      <c r="L482" t="s">
        <v>10</v>
      </c>
      <c r="M482" t="s">
        <v>10</v>
      </c>
      <c r="N482" t="s">
        <v>57</v>
      </c>
      <c r="O482" t="str">
        <f>INDEX(CoverageTable[Deductible Applies],MATCH(Table1820[[#This Row],[Coverage]],CoverageTable[Coverage],0))</f>
        <v>No</v>
      </c>
      <c r="P482" t="str">
        <f>INDEX(CoverageTable[Coverage Limit Applies],MATCH(Table1820[[#This Row],[Coverage]],CoverageTable[Coverage],0))</f>
        <v>Yes</v>
      </c>
      <c r="Q482" t="s">
        <v>10</v>
      </c>
      <c r="R482" t="s">
        <v>78</v>
      </c>
      <c r="S482" t="s">
        <v>57</v>
      </c>
      <c r="T482" t="s">
        <v>10</v>
      </c>
      <c r="U482" t="s">
        <v>10</v>
      </c>
      <c r="V482" t="s">
        <v>10</v>
      </c>
      <c r="W482" t="s">
        <v>10</v>
      </c>
      <c r="X482" s="11">
        <v>940.98261483853003</v>
      </c>
      <c r="Y482">
        <f>_xlfn.XLOOKUP(Table1820[[#This Row],[Coverage]],CoverageTable[Coverage],CoverageTable[Base Rate],,0)</f>
        <v>622</v>
      </c>
      <c r="Z482">
        <f>INDEX(Table16[Ageband Factor],MATCH(Table1820[[#This Row],[Ageband]],Table16[Ageband],0))</f>
        <v>1.1200000000000001</v>
      </c>
      <c r="AA482">
        <f>VLOOKUP(Table1820[[#This Row],[Years Driving]],Table1[],2)</f>
        <v>1.1499999999999999</v>
      </c>
      <c r="AB482">
        <f>_xlfn.XLOOKUP(Table1820[[#This Row],[At Fault Accidents]],Table2[At Fault Accidents],Table2[At Fault Accident Factor],,0)</f>
        <v>1.34</v>
      </c>
      <c r="AC482">
        <f>_xlfn.XLOOKUP(Table1820[[#This Row],[Usage-Based Insurance]],Table3[Usage-Based Insurance],Table3[Usage-Based Insurance Discount],,0)</f>
        <v>0.95</v>
      </c>
      <c r="AD482">
        <f>_xlfn.XLOOKUP(Table1820[[#This Row],[Yearly Miles]],Table4[Yearly Miles],Table4[Yearly Miles Factor],,0)</f>
        <v>1</v>
      </c>
      <c r="AE482">
        <f>_xlfn.XLOOKUP(Table1820[[#This Row],[City/Zip Code]],Table5[City/Zip Code],Table5[City/Zip Code Factor],,0)</f>
        <v>1.19</v>
      </c>
      <c r="AF482">
        <f>_xlfn.XLOOKUP(Table1820[[#This Row],[Vehicle Price]],Table6[Vehicle Price],Table6[Vehicle Price Factor])</f>
        <v>1.57</v>
      </c>
      <c r="AG482">
        <f>_xlfn.XLOOKUP(Table1820[[#This Row],[Exotic Car]],Table7[Exotic Car],Table7[Exotic Car Factor],,0)</f>
        <v>1</v>
      </c>
      <c r="AH482">
        <f>_xlfn.XLOOKUP(Table1820[[#This Row],[Difficult Parts]],Table8[Difficult Parts],Table8[Difficult Parts Factor],,0)</f>
        <v>1</v>
      </c>
      <c r="AI482">
        <f>_xlfn.XLOOKUP(Table1820[[#This Row],[High Theft Rate]],Table9[High Theft Rate],Table9[High Theft Rate Factor],,0)</f>
        <v>1</v>
      </c>
      <c r="AJ482">
        <f>_xlfn.XLOOKUP(Table1820[[#This Row],[Advanced Safety Features]],Table10[Advanced Safety Features],Table10[Advanced Safety Features Factor],,0)</f>
        <v>0.88</v>
      </c>
      <c r="AK482">
        <f>_xlfn.XLOOKUP(Table1820[[#This Row],[Deductible]],Table12[Deductible],Table12[Deductible Factor],,0)</f>
        <v>1</v>
      </c>
      <c r="AL482">
        <f>_xlfn.XLOOKUP(Table1820[[#This Row],[Coverage Limit]],Table13[Coverage Limit],Table13[Coverage Limit Factor],,0)</f>
        <v>0.61</v>
      </c>
      <c r="AM482">
        <f>IF(Table1820[[#This Row],[Good Student Discount]]="Yes",'Rate Book'!$D$126,1)</f>
        <v>0.92</v>
      </c>
      <c r="AN482">
        <f>IF(Table1820[[#This Row],[Good Driver Discount]]="Yes",'Rate Book'!$D$127,1)</f>
        <v>1</v>
      </c>
      <c r="AO482">
        <f>IF(Table1820[[#This Row],[Multi Policy Discount]]="Yes",'Rate Book'!$D$128,1)</f>
        <v>1</v>
      </c>
      <c r="AP482">
        <f>IF(Table1820[[#This Row],[Loyal Customer Discount]]="Yes",'Rate Book'!$D$129,1)</f>
        <v>1</v>
      </c>
      <c r="AQ482">
        <f>IF(Table1820[[#This Row],[Organization Discount]]="Yes",'Rate Book'!$D$130,1)</f>
        <v>1</v>
      </c>
      <c r="AR482" cm="1">
        <f t="array" ref="AR482">IF(Table1820[[#This Row],[Effective Date]]&gt;=RateChangeTable[Effective Date],RateChangeTable[Rate Change Factor],1)</f>
        <v>1</v>
      </c>
      <c r="AS482" s="10">
        <f>PRODUCT(Table1820[[#This Row],[Base Rate]:[Rate Change Factor]])</f>
        <v>940.98261483853003</v>
      </c>
      <c r="AT482" s="9">
        <f>Table1820[[#This Row],[System-Generated Premium]]-Table1820[[#This Row],[Expected Premium]]</f>
        <v>0</v>
      </c>
      <c r="AU482" t="str">
        <f>IF(Table1820[[#This Row],[Difference]]=0,"PASS","FAIL")</f>
        <v>PASS</v>
      </c>
      <c r="AV482" s="9">
        <f>ABS(Table1820[[#This Row],[Difference]])</f>
        <v>0</v>
      </c>
      <c r="AW482" s="9" t="s">
        <v>1136</v>
      </c>
    </row>
    <row r="483" spans="1:49" x14ac:dyDescent="0.3">
      <c r="A483" t="s">
        <v>574</v>
      </c>
      <c r="B483" s="7">
        <v>46047</v>
      </c>
      <c r="C483" t="s">
        <v>70</v>
      </c>
      <c r="D483" t="s">
        <v>1102</v>
      </c>
      <c r="E483" s="3">
        <v>6</v>
      </c>
      <c r="F483" s="3" t="s">
        <v>7</v>
      </c>
      <c r="G483" t="s">
        <v>13</v>
      </c>
      <c r="H483" t="s">
        <v>1106</v>
      </c>
      <c r="I483" t="s">
        <v>34</v>
      </c>
      <c r="J483" t="s">
        <v>48</v>
      </c>
      <c r="K483" t="s">
        <v>10</v>
      </c>
      <c r="L483" t="s">
        <v>10</v>
      </c>
      <c r="M483" t="s">
        <v>10</v>
      </c>
      <c r="N483" t="s">
        <v>10</v>
      </c>
      <c r="O483" t="str">
        <f>INDEX(CoverageTable[Deductible Applies],MATCH(Table1820[[#This Row],[Coverage]],CoverageTable[Coverage],0))</f>
        <v>No</v>
      </c>
      <c r="P483" t="str">
        <f>INDEX(CoverageTable[Coverage Limit Applies],MATCH(Table1820[[#This Row],[Coverage]],CoverageTable[Coverage],0))</f>
        <v>Yes</v>
      </c>
      <c r="Q483" t="s">
        <v>10</v>
      </c>
      <c r="R483" t="s">
        <v>78</v>
      </c>
      <c r="S483" t="s">
        <v>10</v>
      </c>
      <c r="T483" t="s">
        <v>10</v>
      </c>
      <c r="U483" t="s">
        <v>10</v>
      </c>
      <c r="V483" t="s">
        <v>10</v>
      </c>
      <c r="W483" t="s">
        <v>10</v>
      </c>
      <c r="X483" s="11">
        <v>860.18609715603702</v>
      </c>
      <c r="Y483">
        <f>_xlfn.XLOOKUP(Table1820[[#This Row],[Coverage]],CoverageTable[Coverage],CoverageTable[Base Rate],,0)</f>
        <v>622</v>
      </c>
      <c r="Z483">
        <f>INDEX(Table16[Ageband Factor],MATCH(Table1820[[#This Row],[Ageband]],Table16[Ageband],0))</f>
        <v>1.27</v>
      </c>
      <c r="AA483">
        <f>VLOOKUP(Table1820[[#This Row],[Years Driving]],Table1[],2)</f>
        <v>1</v>
      </c>
      <c r="AB483">
        <f>_xlfn.XLOOKUP(Table1820[[#This Row],[At Fault Accidents]],Table2[At Fault Accidents],Table2[At Fault Accident Factor],,0)</f>
        <v>2.4700000000000002</v>
      </c>
      <c r="AC483">
        <f>_xlfn.XLOOKUP(Table1820[[#This Row],[Usage-Based Insurance]],Table3[Usage-Based Insurance],Table3[Usage-Based Insurance Discount],,0)</f>
        <v>0.65</v>
      </c>
      <c r="AD483">
        <f>_xlfn.XLOOKUP(Table1820[[#This Row],[Yearly Miles]],Table4[Yearly Miles],Table4[Yearly Miles Factor],,0)</f>
        <v>0.82</v>
      </c>
      <c r="AE483">
        <f>_xlfn.XLOOKUP(Table1820[[#This Row],[City/Zip Code]],Table5[City/Zip Code],Table5[City/Zip Code Factor],,0)</f>
        <v>1.56</v>
      </c>
      <c r="AF483">
        <f>_xlfn.XLOOKUP(Table1820[[#This Row],[Vehicle Price]],Table6[Vehicle Price],Table6[Vehicle Price Factor])</f>
        <v>0.82</v>
      </c>
      <c r="AG483">
        <f>_xlfn.XLOOKUP(Table1820[[#This Row],[Exotic Car]],Table7[Exotic Car],Table7[Exotic Car Factor],,0)</f>
        <v>1</v>
      </c>
      <c r="AH483">
        <f>_xlfn.XLOOKUP(Table1820[[#This Row],[Difficult Parts]],Table8[Difficult Parts],Table8[Difficult Parts Factor],,0)</f>
        <v>1</v>
      </c>
      <c r="AI483">
        <f>_xlfn.XLOOKUP(Table1820[[#This Row],[High Theft Rate]],Table9[High Theft Rate],Table9[High Theft Rate Factor],,0)</f>
        <v>1</v>
      </c>
      <c r="AJ483">
        <f>_xlfn.XLOOKUP(Table1820[[#This Row],[Advanced Safety Features]],Table10[Advanced Safety Features],Table10[Advanced Safety Features Factor],,0)</f>
        <v>1</v>
      </c>
      <c r="AK483">
        <f>_xlfn.XLOOKUP(Table1820[[#This Row],[Deductible]],Table12[Deductible],Table12[Deductible Factor],,0)</f>
        <v>1</v>
      </c>
      <c r="AL483">
        <f>_xlfn.XLOOKUP(Table1820[[#This Row],[Coverage Limit]],Table13[Coverage Limit],Table13[Coverage Limit Factor],,0)</f>
        <v>0.61</v>
      </c>
      <c r="AM483">
        <f>IF(Table1820[[#This Row],[Good Student Discount]]="Yes",'Rate Book'!$D$126,1)</f>
        <v>1</v>
      </c>
      <c r="AN483">
        <f>IF(Table1820[[#This Row],[Good Driver Discount]]="Yes",'Rate Book'!$D$127,1)</f>
        <v>1</v>
      </c>
      <c r="AO483">
        <f>IF(Table1820[[#This Row],[Multi Policy Discount]]="Yes",'Rate Book'!$D$128,1)</f>
        <v>1</v>
      </c>
      <c r="AP483">
        <f>IF(Table1820[[#This Row],[Loyal Customer Discount]]="Yes",'Rate Book'!$D$129,1)</f>
        <v>1</v>
      </c>
      <c r="AQ483">
        <f>IF(Table1820[[#This Row],[Organization Discount]]="Yes",'Rate Book'!$D$130,1)</f>
        <v>1</v>
      </c>
      <c r="AR483" cm="1">
        <f t="array" ref="AR483">IF(Table1820[[#This Row],[Effective Date]]&gt;=RateChangeTable[Effective Date],RateChangeTable[Rate Change Factor],1)</f>
        <v>1.06</v>
      </c>
      <c r="AS483" s="10">
        <f>PRODUCT(Table1820[[#This Row],[Base Rate]:[Rate Change Factor]])</f>
        <v>860.18609715603702</v>
      </c>
      <c r="AT483" s="9">
        <f>Table1820[[#This Row],[System-Generated Premium]]-Table1820[[#This Row],[Expected Premium]]</f>
        <v>0</v>
      </c>
      <c r="AU483" t="str">
        <f>IF(Table1820[[#This Row],[Difference]]=0,"PASS","FAIL")</f>
        <v>PASS</v>
      </c>
      <c r="AV483" s="9">
        <f>ABS(Table1820[[#This Row],[Difference]])</f>
        <v>0</v>
      </c>
      <c r="AW483" s="9" t="s">
        <v>1136</v>
      </c>
    </row>
    <row r="484" spans="1:49" x14ac:dyDescent="0.3">
      <c r="A484" t="s">
        <v>575</v>
      </c>
      <c r="B484" s="7">
        <v>46004</v>
      </c>
      <c r="C484" t="s">
        <v>70</v>
      </c>
      <c r="D484" t="s">
        <v>1099</v>
      </c>
      <c r="E484" s="3" t="s">
        <v>1103</v>
      </c>
      <c r="F484" s="3">
        <v>4</v>
      </c>
      <c r="G484" t="s">
        <v>13</v>
      </c>
      <c r="H484" t="s">
        <v>1106</v>
      </c>
      <c r="I484" t="s">
        <v>28</v>
      </c>
      <c r="J484" t="s">
        <v>53</v>
      </c>
      <c r="K484" t="s">
        <v>10</v>
      </c>
      <c r="L484" t="s">
        <v>10</v>
      </c>
      <c r="M484" t="s">
        <v>57</v>
      </c>
      <c r="N484" t="s">
        <v>57</v>
      </c>
      <c r="O484" t="str">
        <f>INDEX(CoverageTable[Deductible Applies],MATCH(Table1820[[#This Row],[Coverage]],CoverageTable[Coverage],0))</f>
        <v>No</v>
      </c>
      <c r="P484" t="str">
        <f>INDEX(CoverageTable[Coverage Limit Applies],MATCH(Table1820[[#This Row],[Coverage]],CoverageTable[Coverage],0))</f>
        <v>Yes</v>
      </c>
      <c r="Q484" t="s">
        <v>10</v>
      </c>
      <c r="R484" t="s">
        <v>79</v>
      </c>
      <c r="S484" t="s">
        <v>10</v>
      </c>
      <c r="T484" t="s">
        <v>57</v>
      </c>
      <c r="U484" t="s">
        <v>10</v>
      </c>
      <c r="V484" t="s">
        <v>10</v>
      </c>
      <c r="W484" t="s">
        <v>57</v>
      </c>
      <c r="X484" s="11">
        <v>795.87759086070378</v>
      </c>
      <c r="Y484">
        <f>_xlfn.XLOOKUP(Table1820[[#This Row],[Coverage]],CoverageTable[Coverage],CoverageTable[Base Rate],,0)</f>
        <v>622</v>
      </c>
      <c r="Z484">
        <f>INDEX(Table16[Ageband Factor],MATCH(Table1820[[#This Row],[Ageband]],Table16[Ageband],0))</f>
        <v>1</v>
      </c>
      <c r="AA484">
        <f>VLOOKUP(Table1820[[#This Row],[Years Driving]],Table1[],2)</f>
        <v>0.93</v>
      </c>
      <c r="AB484">
        <f>_xlfn.XLOOKUP(Table1820[[#This Row],[At Fault Accidents]],Table2[At Fault Accidents],Table2[At Fault Accident Factor],,0)</f>
        <v>2.12</v>
      </c>
      <c r="AC484">
        <f>_xlfn.XLOOKUP(Table1820[[#This Row],[Usage-Based Insurance]],Table3[Usage-Based Insurance],Table3[Usage-Based Insurance Discount],,0)</f>
        <v>0.65</v>
      </c>
      <c r="AD484">
        <f>_xlfn.XLOOKUP(Table1820[[#This Row],[Yearly Miles]],Table4[Yearly Miles],Table4[Yearly Miles Factor],,0)</f>
        <v>0.82</v>
      </c>
      <c r="AE484">
        <f>_xlfn.XLOOKUP(Table1820[[#This Row],[City/Zip Code]],Table5[City/Zip Code],Table5[City/Zip Code Factor],,0)</f>
        <v>0.95</v>
      </c>
      <c r="AF484">
        <f>_xlfn.XLOOKUP(Table1820[[#This Row],[Vehicle Price]],Table6[Vehicle Price],Table6[Vehicle Price Factor])</f>
        <v>2.02</v>
      </c>
      <c r="AG484">
        <f>_xlfn.XLOOKUP(Table1820[[#This Row],[Exotic Car]],Table7[Exotic Car],Table7[Exotic Car Factor],,0)</f>
        <v>1</v>
      </c>
      <c r="AH484">
        <f>_xlfn.XLOOKUP(Table1820[[#This Row],[Difficult Parts]],Table8[Difficult Parts],Table8[Difficult Parts Factor],,0)</f>
        <v>1</v>
      </c>
      <c r="AI484">
        <f>_xlfn.XLOOKUP(Table1820[[#This Row],[High Theft Rate]],Table9[High Theft Rate],Table9[High Theft Rate Factor],,0)</f>
        <v>1.1599999999999999</v>
      </c>
      <c r="AJ484">
        <f>_xlfn.XLOOKUP(Table1820[[#This Row],[Advanced Safety Features]],Table10[Advanced Safety Features],Table10[Advanced Safety Features Factor],,0)</f>
        <v>0.88</v>
      </c>
      <c r="AK484">
        <f>_xlfn.XLOOKUP(Table1820[[#This Row],[Deductible]],Table12[Deductible],Table12[Deductible Factor],,0)</f>
        <v>1</v>
      </c>
      <c r="AL484">
        <f>_xlfn.XLOOKUP(Table1820[[#This Row],[Coverage Limit]],Table13[Coverage Limit],Table13[Coverage Limit Factor],,0)</f>
        <v>0.72</v>
      </c>
      <c r="AM484">
        <f>IF(Table1820[[#This Row],[Good Student Discount]]="Yes",'Rate Book'!$D$126,1)</f>
        <v>1</v>
      </c>
      <c r="AN484">
        <f>IF(Table1820[[#This Row],[Good Driver Discount]]="Yes",'Rate Book'!$D$127,1)</f>
        <v>0.89</v>
      </c>
      <c r="AO484">
        <f>IF(Table1820[[#This Row],[Multi Policy Discount]]="Yes",'Rate Book'!$D$128,1)</f>
        <v>1</v>
      </c>
      <c r="AP484">
        <f>IF(Table1820[[#This Row],[Loyal Customer Discount]]="Yes",'Rate Book'!$D$129,1)</f>
        <v>1</v>
      </c>
      <c r="AQ484">
        <f>IF(Table1820[[#This Row],[Organization Discount]]="Yes",'Rate Book'!$D$130,1)</f>
        <v>0.97</v>
      </c>
      <c r="AR484" cm="1">
        <f t="array" ref="AR484">IF(Table1820[[#This Row],[Effective Date]]&gt;=RateChangeTable[Effective Date],RateChangeTable[Rate Change Factor],1)</f>
        <v>1</v>
      </c>
      <c r="AS484" s="10">
        <f>PRODUCT(Table1820[[#This Row],[Base Rate]:[Rate Change Factor]])</f>
        <v>795.87759086070378</v>
      </c>
      <c r="AT484" s="9">
        <f>Table1820[[#This Row],[System-Generated Premium]]-Table1820[[#This Row],[Expected Premium]]</f>
        <v>0</v>
      </c>
      <c r="AU484" t="str">
        <f>IF(Table1820[[#This Row],[Difference]]=0,"PASS","FAIL")</f>
        <v>PASS</v>
      </c>
      <c r="AV484" s="9">
        <f>ABS(Table1820[[#This Row],[Difference]])</f>
        <v>0</v>
      </c>
      <c r="AW484" s="9" t="s">
        <v>1136</v>
      </c>
    </row>
    <row r="485" spans="1:49" x14ac:dyDescent="0.3">
      <c r="A485" t="s">
        <v>576</v>
      </c>
      <c r="B485" s="7">
        <v>45946</v>
      </c>
      <c r="C485" t="s">
        <v>70</v>
      </c>
      <c r="D485" t="s">
        <v>1101</v>
      </c>
      <c r="E485" s="3">
        <v>7</v>
      </c>
      <c r="F485" s="3">
        <v>4</v>
      </c>
      <c r="G485" t="s">
        <v>10</v>
      </c>
      <c r="H485" t="s">
        <v>1108</v>
      </c>
      <c r="I485" t="s">
        <v>42</v>
      </c>
      <c r="J485" t="s">
        <v>54</v>
      </c>
      <c r="K485" t="s">
        <v>10</v>
      </c>
      <c r="L485" t="s">
        <v>10</v>
      </c>
      <c r="M485" t="s">
        <v>10</v>
      </c>
      <c r="N485" t="s">
        <v>10</v>
      </c>
      <c r="O485" t="str">
        <f>INDEX(CoverageTable[Deductible Applies],MATCH(Table1820[[#This Row],[Coverage]],CoverageTable[Coverage],0))</f>
        <v>No</v>
      </c>
      <c r="P485" t="str">
        <f>INDEX(CoverageTable[Coverage Limit Applies],MATCH(Table1820[[#This Row],[Coverage]],CoverageTable[Coverage],0))</f>
        <v>Yes</v>
      </c>
      <c r="Q485" t="s">
        <v>10</v>
      </c>
      <c r="R485" t="s">
        <v>80</v>
      </c>
      <c r="S485" t="s">
        <v>10</v>
      </c>
      <c r="T485" t="s">
        <v>10</v>
      </c>
      <c r="U485" t="s">
        <v>10</v>
      </c>
      <c r="V485" t="s">
        <v>57</v>
      </c>
      <c r="W485" t="s">
        <v>10</v>
      </c>
      <c r="X485" s="11">
        <v>3847.1779975276036</v>
      </c>
      <c r="Y485">
        <f>_xlfn.XLOOKUP(Table1820[[#This Row],[Coverage]],CoverageTable[Coverage],CoverageTable[Base Rate],,0)</f>
        <v>622</v>
      </c>
      <c r="Z485">
        <f>INDEX(Table16[Ageband Factor],MATCH(Table1820[[#This Row],[Ageband]],Table16[Ageband],0))</f>
        <v>1.1200000000000001</v>
      </c>
      <c r="AA485">
        <f>VLOOKUP(Table1820[[#This Row],[Years Driving]],Table1[],2)</f>
        <v>0.95</v>
      </c>
      <c r="AB485">
        <f>_xlfn.XLOOKUP(Table1820[[#This Row],[At Fault Accidents]],Table2[At Fault Accidents],Table2[At Fault Accident Factor],,0)</f>
        <v>2.12</v>
      </c>
      <c r="AC485">
        <f>_xlfn.XLOOKUP(Table1820[[#This Row],[Usage-Based Insurance]],Table3[Usage-Based Insurance],Table3[Usage-Based Insurance Discount],,0)</f>
        <v>1</v>
      </c>
      <c r="AD485">
        <f>_xlfn.XLOOKUP(Table1820[[#This Row],[Yearly Miles]],Table4[Yearly Miles],Table4[Yearly Miles Factor],,0)</f>
        <v>1</v>
      </c>
      <c r="AE485">
        <f>_xlfn.XLOOKUP(Table1820[[#This Row],[City/Zip Code]],Table5[City/Zip Code],Table5[City/Zip Code Factor],,0)</f>
        <v>1.21</v>
      </c>
      <c r="AF485">
        <f>_xlfn.XLOOKUP(Table1820[[#This Row],[Vehicle Price]],Table6[Vehicle Price],Table6[Vehicle Price Factor])</f>
        <v>2.87</v>
      </c>
      <c r="AG485">
        <f>_xlfn.XLOOKUP(Table1820[[#This Row],[Exotic Car]],Table7[Exotic Car],Table7[Exotic Car Factor],,0)</f>
        <v>1</v>
      </c>
      <c r="AH485">
        <f>_xlfn.XLOOKUP(Table1820[[#This Row],[Difficult Parts]],Table8[Difficult Parts],Table8[Difficult Parts Factor],,0)</f>
        <v>1</v>
      </c>
      <c r="AI485">
        <f>_xlfn.XLOOKUP(Table1820[[#This Row],[High Theft Rate]],Table9[High Theft Rate],Table9[High Theft Rate Factor],,0)</f>
        <v>1</v>
      </c>
      <c r="AJ485">
        <f>_xlfn.XLOOKUP(Table1820[[#This Row],[Advanced Safety Features]],Table10[Advanced Safety Features],Table10[Advanced Safety Features Factor],,0)</f>
        <v>1</v>
      </c>
      <c r="AK485">
        <f>_xlfn.XLOOKUP(Table1820[[#This Row],[Deductible]],Table12[Deductible],Table12[Deductible Factor],,0)</f>
        <v>1</v>
      </c>
      <c r="AL485">
        <f>_xlfn.XLOOKUP(Table1820[[#This Row],[Coverage Limit]],Table13[Coverage Limit],Table13[Coverage Limit Factor],,0)</f>
        <v>0.84</v>
      </c>
      <c r="AM485">
        <f>IF(Table1820[[#This Row],[Good Student Discount]]="Yes",'Rate Book'!$D$126,1)</f>
        <v>1</v>
      </c>
      <c r="AN485">
        <f>IF(Table1820[[#This Row],[Good Driver Discount]]="Yes",'Rate Book'!$D$127,1)</f>
        <v>1</v>
      </c>
      <c r="AO485">
        <f>IF(Table1820[[#This Row],[Multi Policy Discount]]="Yes",'Rate Book'!$D$128,1)</f>
        <v>1</v>
      </c>
      <c r="AP485">
        <f>IF(Table1820[[#This Row],[Loyal Customer Discount]]="Yes",'Rate Book'!$D$129,1)</f>
        <v>0.94</v>
      </c>
      <c r="AQ485">
        <f>IF(Table1820[[#This Row],[Organization Discount]]="Yes",'Rate Book'!$D$130,1)</f>
        <v>1</v>
      </c>
      <c r="AR485" cm="1">
        <f t="array" ref="AR485">IF(Table1820[[#This Row],[Effective Date]]&gt;=RateChangeTable[Effective Date],RateChangeTable[Rate Change Factor],1)</f>
        <v>1</v>
      </c>
      <c r="AS485" s="10">
        <f>PRODUCT(Table1820[[#This Row],[Base Rate]:[Rate Change Factor]])</f>
        <v>3847.1779975276036</v>
      </c>
      <c r="AT485" s="9">
        <f>Table1820[[#This Row],[System-Generated Premium]]-Table1820[[#This Row],[Expected Premium]]</f>
        <v>0</v>
      </c>
      <c r="AU485" t="str">
        <f>IF(Table1820[[#This Row],[Difference]]=0,"PASS","FAIL")</f>
        <v>PASS</v>
      </c>
      <c r="AV485" s="9">
        <f>ABS(Table1820[[#This Row],[Difference]])</f>
        <v>0</v>
      </c>
      <c r="AW485" s="9" t="s">
        <v>1136</v>
      </c>
    </row>
    <row r="486" spans="1:49" x14ac:dyDescent="0.3">
      <c r="A486" t="s">
        <v>577</v>
      </c>
      <c r="B486" s="7">
        <v>46015</v>
      </c>
      <c r="C486" t="s">
        <v>70</v>
      </c>
      <c r="D486" t="s">
        <v>1099</v>
      </c>
      <c r="E486" s="3">
        <v>4</v>
      </c>
      <c r="F486" s="3">
        <v>4</v>
      </c>
      <c r="G486" t="s">
        <v>12</v>
      </c>
      <c r="H486" t="s">
        <v>1106</v>
      </c>
      <c r="I486" t="s">
        <v>39</v>
      </c>
      <c r="J486" t="s">
        <v>53</v>
      </c>
      <c r="K486" t="s">
        <v>10</v>
      </c>
      <c r="L486" t="s">
        <v>10</v>
      </c>
      <c r="M486" t="s">
        <v>10</v>
      </c>
      <c r="N486" t="s">
        <v>10</v>
      </c>
      <c r="O486" t="str">
        <f>INDEX(CoverageTable[Deductible Applies],MATCH(Table1820[[#This Row],[Coverage]],CoverageTable[Coverage],0))</f>
        <v>No</v>
      </c>
      <c r="P486" t="str">
        <f>INDEX(CoverageTable[Coverage Limit Applies],MATCH(Table1820[[#This Row],[Coverage]],CoverageTable[Coverage],0))</f>
        <v>Yes</v>
      </c>
      <c r="Q486" t="s">
        <v>10</v>
      </c>
      <c r="R486" t="s">
        <v>80</v>
      </c>
      <c r="S486" t="s">
        <v>10</v>
      </c>
      <c r="T486" t="s">
        <v>10</v>
      </c>
      <c r="U486" t="s">
        <v>10</v>
      </c>
      <c r="V486" t="s">
        <v>10</v>
      </c>
      <c r="W486" t="s">
        <v>10</v>
      </c>
      <c r="X486" s="11">
        <v>1822.981814728704</v>
      </c>
      <c r="Y486">
        <f>_xlfn.XLOOKUP(Table1820[[#This Row],[Coverage]],CoverageTable[Coverage],CoverageTable[Base Rate],,0)</f>
        <v>622</v>
      </c>
      <c r="Z486">
        <f>INDEX(Table16[Ageband Factor],MATCH(Table1820[[#This Row],[Ageband]],Table16[Ageband],0))</f>
        <v>1</v>
      </c>
      <c r="AA486">
        <f>VLOOKUP(Table1820[[#This Row],[Years Driving]],Table1[],2)</f>
        <v>1.1499999999999999</v>
      </c>
      <c r="AB486">
        <f>_xlfn.XLOOKUP(Table1820[[#This Row],[At Fault Accidents]],Table2[At Fault Accidents],Table2[At Fault Accident Factor],,0)</f>
        <v>2.12</v>
      </c>
      <c r="AC486">
        <f>_xlfn.XLOOKUP(Table1820[[#This Row],[Usage-Based Insurance]],Table3[Usage-Based Insurance],Table3[Usage-Based Insurance Discount],,0)</f>
        <v>0.8</v>
      </c>
      <c r="AD486">
        <f>_xlfn.XLOOKUP(Table1820[[#This Row],[Yearly Miles]],Table4[Yearly Miles],Table4[Yearly Miles Factor],,0)</f>
        <v>0.82</v>
      </c>
      <c r="AE486">
        <f>_xlfn.XLOOKUP(Table1820[[#This Row],[City/Zip Code]],Table5[City/Zip Code],Table5[City/Zip Code Factor],,0)</f>
        <v>1.08</v>
      </c>
      <c r="AF486">
        <f>_xlfn.XLOOKUP(Table1820[[#This Row],[Vehicle Price]],Table6[Vehicle Price],Table6[Vehicle Price Factor])</f>
        <v>2.02</v>
      </c>
      <c r="AG486">
        <f>_xlfn.XLOOKUP(Table1820[[#This Row],[Exotic Car]],Table7[Exotic Car],Table7[Exotic Car Factor],,0)</f>
        <v>1</v>
      </c>
      <c r="AH486">
        <f>_xlfn.XLOOKUP(Table1820[[#This Row],[Difficult Parts]],Table8[Difficult Parts],Table8[Difficult Parts Factor],,0)</f>
        <v>1</v>
      </c>
      <c r="AI486">
        <f>_xlfn.XLOOKUP(Table1820[[#This Row],[High Theft Rate]],Table9[High Theft Rate],Table9[High Theft Rate Factor],,0)</f>
        <v>1</v>
      </c>
      <c r="AJ486">
        <f>_xlfn.XLOOKUP(Table1820[[#This Row],[Advanced Safety Features]],Table10[Advanced Safety Features],Table10[Advanced Safety Features Factor],,0)</f>
        <v>1</v>
      </c>
      <c r="AK486">
        <f>_xlfn.XLOOKUP(Table1820[[#This Row],[Deductible]],Table12[Deductible],Table12[Deductible Factor],,0)</f>
        <v>1</v>
      </c>
      <c r="AL486">
        <f>_xlfn.XLOOKUP(Table1820[[#This Row],[Coverage Limit]],Table13[Coverage Limit],Table13[Coverage Limit Factor],,0)</f>
        <v>0.84</v>
      </c>
      <c r="AM486">
        <f>IF(Table1820[[#This Row],[Good Student Discount]]="Yes",'Rate Book'!$D$126,1)</f>
        <v>1</v>
      </c>
      <c r="AN486">
        <f>IF(Table1820[[#This Row],[Good Driver Discount]]="Yes",'Rate Book'!$D$127,1)</f>
        <v>1</v>
      </c>
      <c r="AO486">
        <f>IF(Table1820[[#This Row],[Multi Policy Discount]]="Yes",'Rate Book'!$D$128,1)</f>
        <v>1</v>
      </c>
      <c r="AP486">
        <f>IF(Table1820[[#This Row],[Loyal Customer Discount]]="Yes",'Rate Book'!$D$129,1)</f>
        <v>1</v>
      </c>
      <c r="AQ486">
        <f>IF(Table1820[[#This Row],[Organization Discount]]="Yes",'Rate Book'!$D$130,1)</f>
        <v>1</v>
      </c>
      <c r="AR486" cm="1">
        <f t="array" ref="AR486">IF(Table1820[[#This Row],[Effective Date]]&gt;=RateChangeTable[Effective Date],RateChangeTable[Rate Change Factor],1)</f>
        <v>1</v>
      </c>
      <c r="AS486" s="10">
        <f>PRODUCT(Table1820[[#This Row],[Base Rate]:[Rate Change Factor]])</f>
        <v>1822.981814728704</v>
      </c>
      <c r="AT486" s="9">
        <f>Table1820[[#This Row],[System-Generated Premium]]-Table1820[[#This Row],[Expected Premium]]</f>
        <v>0</v>
      </c>
      <c r="AU486" t="str">
        <f>IF(Table1820[[#This Row],[Difference]]=0,"PASS","FAIL")</f>
        <v>PASS</v>
      </c>
      <c r="AV486" s="9">
        <f>ABS(Table1820[[#This Row],[Difference]])</f>
        <v>0</v>
      </c>
      <c r="AW486" s="9" t="s">
        <v>1136</v>
      </c>
    </row>
    <row r="487" spans="1:49" x14ac:dyDescent="0.3">
      <c r="A487" t="s">
        <v>578</v>
      </c>
      <c r="B487" s="7">
        <v>45891</v>
      </c>
      <c r="C487" t="s">
        <v>70</v>
      </c>
      <c r="D487" t="s">
        <v>1098</v>
      </c>
      <c r="E487" s="3">
        <v>4</v>
      </c>
      <c r="F487" s="3">
        <v>1</v>
      </c>
      <c r="G487" t="s">
        <v>11</v>
      </c>
      <c r="H487" t="s">
        <v>1109</v>
      </c>
      <c r="I487" t="s">
        <v>41</v>
      </c>
      <c r="J487" t="s">
        <v>48</v>
      </c>
      <c r="K487" t="s">
        <v>10</v>
      </c>
      <c r="L487" t="s">
        <v>57</v>
      </c>
      <c r="M487" t="s">
        <v>57</v>
      </c>
      <c r="N487" t="s">
        <v>10</v>
      </c>
      <c r="O487" t="str">
        <f>INDEX(CoverageTable[Deductible Applies],MATCH(Table1820[[#This Row],[Coverage]],CoverageTable[Coverage],0))</f>
        <v>No</v>
      </c>
      <c r="P487" t="str">
        <f>INDEX(CoverageTable[Coverage Limit Applies],MATCH(Table1820[[#This Row],[Coverage]],CoverageTable[Coverage],0))</f>
        <v>Yes</v>
      </c>
      <c r="Q487" t="s">
        <v>10</v>
      </c>
      <c r="R487" t="s">
        <v>79</v>
      </c>
      <c r="S487" t="s">
        <v>10</v>
      </c>
      <c r="T487" t="s">
        <v>57</v>
      </c>
      <c r="U487" t="s">
        <v>57</v>
      </c>
      <c r="V487" t="s">
        <v>10</v>
      </c>
      <c r="W487" t="s">
        <v>10</v>
      </c>
      <c r="X487" s="11">
        <v>847.54</v>
      </c>
      <c r="Y487">
        <f>_xlfn.XLOOKUP(Table1820[[#This Row],[Coverage]],CoverageTable[Coverage],CoverageTable[Base Rate],,0)</f>
        <v>622</v>
      </c>
      <c r="Z487">
        <f>INDEX(Table16[Ageband Factor],MATCH(Table1820[[#This Row],[Ageband]],Table16[Ageband],0))</f>
        <v>1.23</v>
      </c>
      <c r="AA487">
        <f>VLOOKUP(Table1820[[#This Row],[Years Driving]],Table1[],2)</f>
        <v>1.1499999999999999</v>
      </c>
      <c r="AB487">
        <f>_xlfn.XLOOKUP(Table1820[[#This Row],[At Fault Accidents]],Table2[At Fault Accidents],Table2[At Fault Accident Factor],,0)</f>
        <v>1.34</v>
      </c>
      <c r="AC487">
        <f>_xlfn.XLOOKUP(Table1820[[#This Row],[Usage-Based Insurance]],Table3[Usage-Based Insurance],Table3[Usage-Based Insurance Discount],,0)</f>
        <v>0.95</v>
      </c>
      <c r="AD487">
        <f>_xlfn.XLOOKUP(Table1820[[#This Row],[Yearly Miles]],Table4[Yearly Miles],Table4[Yearly Miles Factor],,0)</f>
        <v>1.18</v>
      </c>
      <c r="AE487">
        <f>_xlfn.XLOOKUP(Table1820[[#This Row],[City/Zip Code]],Table5[City/Zip Code],Table5[City/Zip Code Factor],,0)</f>
        <v>1.1499999999999999</v>
      </c>
      <c r="AF487">
        <f>_xlfn.XLOOKUP(Table1820[[#This Row],[Vehicle Price]],Table6[Vehicle Price],Table6[Vehicle Price Factor])</f>
        <v>0.82</v>
      </c>
      <c r="AG487">
        <f>_xlfn.XLOOKUP(Table1820[[#This Row],[Exotic Car]],Table7[Exotic Car],Table7[Exotic Car Factor],,0)</f>
        <v>1</v>
      </c>
      <c r="AH487">
        <f>_xlfn.XLOOKUP(Table1820[[#This Row],[Difficult Parts]],Table8[Difficult Parts],Table8[Difficult Parts Factor],,0)</f>
        <v>1.21</v>
      </c>
      <c r="AI487">
        <f>_xlfn.XLOOKUP(Table1820[[#This Row],[High Theft Rate]],Table9[High Theft Rate],Table9[High Theft Rate Factor],,0)</f>
        <v>1.1599999999999999</v>
      </c>
      <c r="AJ487">
        <f>_xlfn.XLOOKUP(Table1820[[#This Row],[Advanced Safety Features]],Table10[Advanced Safety Features],Table10[Advanced Safety Features Factor],,0)</f>
        <v>1</v>
      </c>
      <c r="AK487">
        <f>_xlfn.XLOOKUP(Table1820[[#This Row],[Deductible]],Table12[Deductible],Table12[Deductible Factor],,0)</f>
        <v>1</v>
      </c>
      <c r="AL487">
        <f>_xlfn.XLOOKUP(Table1820[[#This Row],[Coverage Limit]],Table13[Coverage Limit],Table13[Coverage Limit Factor],,0)</f>
        <v>0.72</v>
      </c>
      <c r="AM487">
        <f>IF(Table1820[[#This Row],[Good Student Discount]]="Yes",'Rate Book'!$D$126,1)</f>
        <v>1</v>
      </c>
      <c r="AN487">
        <f>IF(Table1820[[#This Row],[Good Driver Discount]]="Yes",'Rate Book'!$D$127,1)</f>
        <v>0.89</v>
      </c>
      <c r="AO487">
        <f>IF(Table1820[[#This Row],[Multi Policy Discount]]="Yes",'Rate Book'!$D$128,1)</f>
        <v>0.93</v>
      </c>
      <c r="AP487">
        <f>IF(Table1820[[#This Row],[Loyal Customer Discount]]="Yes",'Rate Book'!$D$129,1)</f>
        <v>1</v>
      </c>
      <c r="AQ487">
        <f>IF(Table1820[[#This Row],[Organization Discount]]="Yes",'Rate Book'!$D$130,1)</f>
        <v>1</v>
      </c>
      <c r="AR487" cm="1">
        <f t="array" ref="AR487">IF(Table1820[[#This Row],[Effective Date]]&gt;=RateChangeTable[Effective Date],RateChangeTable[Rate Change Factor],1)</f>
        <v>1</v>
      </c>
      <c r="AS487" s="10">
        <f>PRODUCT(Table1820[[#This Row],[Base Rate]:[Rate Change Factor]])</f>
        <v>1042.4716456303186</v>
      </c>
      <c r="AT487" s="9">
        <f>Table1820[[#This Row],[System-Generated Premium]]-Table1820[[#This Row],[Expected Premium]]</f>
        <v>-194.9316456303186</v>
      </c>
      <c r="AU487" t="str">
        <f>IF(Table1820[[#This Row],[Difference]]=0,"PASS","FAIL")</f>
        <v>FAIL</v>
      </c>
      <c r="AV487" s="9">
        <f>ABS(Table1820[[#This Row],[Difference]])</f>
        <v>194.9316456303186</v>
      </c>
      <c r="AW487" s="9" t="s">
        <v>1141</v>
      </c>
    </row>
    <row r="488" spans="1:49" x14ac:dyDescent="0.3">
      <c r="A488" t="s">
        <v>579</v>
      </c>
      <c r="B488" s="7">
        <v>45893</v>
      </c>
      <c r="C488" t="s">
        <v>70</v>
      </c>
      <c r="D488" t="s">
        <v>1100</v>
      </c>
      <c r="E488" s="3">
        <v>6</v>
      </c>
      <c r="F488" s="3">
        <v>3</v>
      </c>
      <c r="G488" t="s">
        <v>10</v>
      </c>
      <c r="H488" t="s">
        <v>1110</v>
      </c>
      <c r="I488" t="s">
        <v>21</v>
      </c>
      <c r="J488" t="s">
        <v>48</v>
      </c>
      <c r="K488" t="s">
        <v>10</v>
      </c>
      <c r="L488" t="s">
        <v>10</v>
      </c>
      <c r="M488" t="s">
        <v>10</v>
      </c>
      <c r="N488" t="s">
        <v>10</v>
      </c>
      <c r="O488" t="str">
        <f>INDEX(CoverageTable[Deductible Applies],MATCH(Table1820[[#This Row],[Coverage]],CoverageTable[Coverage],0))</f>
        <v>No</v>
      </c>
      <c r="P488" t="str">
        <f>INDEX(CoverageTable[Coverage Limit Applies],MATCH(Table1820[[#This Row],[Coverage]],CoverageTable[Coverage],0))</f>
        <v>Yes</v>
      </c>
      <c r="Q488" t="s">
        <v>10</v>
      </c>
      <c r="R488" t="s">
        <v>78</v>
      </c>
      <c r="S488" t="s">
        <v>10</v>
      </c>
      <c r="T488" t="s">
        <v>57</v>
      </c>
      <c r="U488" t="s">
        <v>10</v>
      </c>
      <c r="V488" t="s">
        <v>10</v>
      </c>
      <c r="W488" t="s">
        <v>57</v>
      </c>
      <c r="X488" s="11">
        <v>863.36178078503428</v>
      </c>
      <c r="Y488">
        <f>_xlfn.XLOOKUP(Table1820[[#This Row],[Coverage]],CoverageTable[Coverage],CoverageTable[Base Rate],,0)</f>
        <v>622</v>
      </c>
      <c r="Z488">
        <f>INDEX(Table16[Ageband Factor],MATCH(Table1820[[#This Row],[Ageband]],Table16[Ageband],0))</f>
        <v>1.07</v>
      </c>
      <c r="AA488">
        <f>VLOOKUP(Table1820[[#This Row],[Years Driving]],Table1[],2)</f>
        <v>1</v>
      </c>
      <c r="AB488">
        <f>_xlfn.XLOOKUP(Table1820[[#This Row],[At Fault Accidents]],Table2[At Fault Accidents],Table2[At Fault Accident Factor],,0)</f>
        <v>1.82</v>
      </c>
      <c r="AC488">
        <f>_xlfn.XLOOKUP(Table1820[[#This Row],[Usage-Based Insurance]],Table3[Usage-Based Insurance],Table3[Usage-Based Insurance Discount],,0)</f>
        <v>1</v>
      </c>
      <c r="AD488">
        <f>_xlfn.XLOOKUP(Table1820[[#This Row],[Yearly Miles]],Table4[Yearly Miles],Table4[Yearly Miles Factor],,0)</f>
        <v>1.31</v>
      </c>
      <c r="AE488">
        <f>_xlfn.XLOOKUP(Table1820[[#This Row],[City/Zip Code]],Table5[City/Zip Code],Table5[City/Zip Code Factor],,0)</f>
        <v>1.26</v>
      </c>
      <c r="AF488">
        <f>_xlfn.XLOOKUP(Table1820[[#This Row],[Vehicle Price]],Table6[Vehicle Price],Table6[Vehicle Price Factor])</f>
        <v>0.82</v>
      </c>
      <c r="AG488">
        <f>_xlfn.XLOOKUP(Table1820[[#This Row],[Exotic Car]],Table7[Exotic Car],Table7[Exotic Car Factor],,0)</f>
        <v>1</v>
      </c>
      <c r="AH488">
        <f>_xlfn.XLOOKUP(Table1820[[#This Row],[Difficult Parts]],Table8[Difficult Parts],Table8[Difficult Parts Factor],,0)</f>
        <v>1</v>
      </c>
      <c r="AI488">
        <f>_xlfn.XLOOKUP(Table1820[[#This Row],[High Theft Rate]],Table9[High Theft Rate],Table9[High Theft Rate Factor],,0)</f>
        <v>1</v>
      </c>
      <c r="AJ488">
        <f>_xlfn.XLOOKUP(Table1820[[#This Row],[Advanced Safety Features]],Table10[Advanced Safety Features],Table10[Advanced Safety Features Factor],,0)</f>
        <v>1</v>
      </c>
      <c r="AK488">
        <f>_xlfn.XLOOKUP(Table1820[[#This Row],[Deductible]],Table12[Deductible],Table12[Deductible Factor],,0)</f>
        <v>1</v>
      </c>
      <c r="AL488">
        <f>_xlfn.XLOOKUP(Table1820[[#This Row],[Coverage Limit]],Table13[Coverage Limit],Table13[Coverage Limit Factor],,0)</f>
        <v>0.61</v>
      </c>
      <c r="AM488">
        <f>IF(Table1820[[#This Row],[Good Student Discount]]="Yes",'Rate Book'!$D$126,1)</f>
        <v>1</v>
      </c>
      <c r="AN488">
        <f>IF(Table1820[[#This Row],[Good Driver Discount]]="Yes",'Rate Book'!$D$127,1)</f>
        <v>0.89</v>
      </c>
      <c r="AO488">
        <f>IF(Table1820[[#This Row],[Multi Policy Discount]]="Yes",'Rate Book'!$D$128,1)</f>
        <v>1</v>
      </c>
      <c r="AP488">
        <f>IF(Table1820[[#This Row],[Loyal Customer Discount]]="Yes",'Rate Book'!$D$129,1)</f>
        <v>1</v>
      </c>
      <c r="AQ488">
        <f>IF(Table1820[[#This Row],[Organization Discount]]="Yes",'Rate Book'!$D$130,1)</f>
        <v>0.97</v>
      </c>
      <c r="AR488" cm="1">
        <f t="array" ref="AR488">IF(Table1820[[#This Row],[Effective Date]]&gt;=RateChangeTable[Effective Date],RateChangeTable[Rate Change Factor],1)</f>
        <v>1</v>
      </c>
      <c r="AS488" s="10">
        <f>PRODUCT(Table1820[[#This Row],[Base Rate]:[Rate Change Factor]])</f>
        <v>863.36178078503428</v>
      </c>
      <c r="AT488" s="9">
        <f>Table1820[[#This Row],[System-Generated Premium]]-Table1820[[#This Row],[Expected Premium]]</f>
        <v>0</v>
      </c>
      <c r="AU488" t="str">
        <f>IF(Table1820[[#This Row],[Difference]]=0,"PASS","FAIL")</f>
        <v>PASS</v>
      </c>
      <c r="AV488" s="9">
        <f>ABS(Table1820[[#This Row],[Difference]])</f>
        <v>0</v>
      </c>
      <c r="AW488" s="9" t="s">
        <v>1136</v>
      </c>
    </row>
    <row r="489" spans="1:49" x14ac:dyDescent="0.3">
      <c r="A489" t="s">
        <v>580</v>
      </c>
      <c r="B489" s="7">
        <v>45906</v>
      </c>
      <c r="C489" t="s">
        <v>71</v>
      </c>
      <c r="D489" t="s">
        <v>1102</v>
      </c>
      <c r="E489" s="3" t="s">
        <v>1103</v>
      </c>
      <c r="F489" s="3">
        <v>0</v>
      </c>
      <c r="G489" t="s">
        <v>11</v>
      </c>
      <c r="H489" t="s">
        <v>1107</v>
      </c>
      <c r="I489" t="s">
        <v>31</v>
      </c>
      <c r="J489" t="s">
        <v>53</v>
      </c>
      <c r="K489" t="s">
        <v>57</v>
      </c>
      <c r="L489" t="s">
        <v>10</v>
      </c>
      <c r="M489" t="s">
        <v>57</v>
      </c>
      <c r="N489" t="s">
        <v>57</v>
      </c>
      <c r="O489" t="str">
        <f>INDEX(CoverageTable[Deductible Applies],MATCH(Table1820[[#This Row],[Coverage]],CoverageTable[Coverage],0))</f>
        <v>Yes</v>
      </c>
      <c r="P489" t="str">
        <f>INDEX(CoverageTable[Coverage Limit Applies],MATCH(Table1820[[#This Row],[Coverage]],CoverageTable[Coverage],0))</f>
        <v>No</v>
      </c>
      <c r="Q489" t="s">
        <v>79</v>
      </c>
      <c r="R489" t="s">
        <v>10</v>
      </c>
      <c r="S489" t="s">
        <v>57</v>
      </c>
      <c r="T489" t="s">
        <v>10</v>
      </c>
      <c r="U489" t="s">
        <v>57</v>
      </c>
      <c r="V489" t="s">
        <v>10</v>
      </c>
      <c r="W489" t="s">
        <v>10</v>
      </c>
      <c r="X489" s="11">
        <v>995.32856154148658</v>
      </c>
      <c r="Y489">
        <f>_xlfn.XLOOKUP(Table1820[[#This Row],[Coverage]],CoverageTable[Coverage],CoverageTable[Base Rate],,0)</f>
        <v>453</v>
      </c>
      <c r="Z489">
        <f>INDEX(Table16[Ageband Factor],MATCH(Table1820[[#This Row],[Ageband]],Table16[Ageband],0))</f>
        <v>1.27</v>
      </c>
      <c r="AA489">
        <f>VLOOKUP(Table1820[[#This Row],[Years Driving]],Table1[],2)</f>
        <v>0.93</v>
      </c>
      <c r="AB489">
        <f>_xlfn.XLOOKUP(Table1820[[#This Row],[At Fault Accidents]],Table2[At Fault Accidents],Table2[At Fault Accident Factor],,0)</f>
        <v>1</v>
      </c>
      <c r="AC489">
        <f>_xlfn.XLOOKUP(Table1820[[#This Row],[Usage-Based Insurance]],Table3[Usage-Based Insurance],Table3[Usage-Based Insurance Discount],,0)</f>
        <v>0.95</v>
      </c>
      <c r="AD489">
        <f>_xlfn.XLOOKUP(Table1820[[#This Row],[Yearly Miles]],Table4[Yearly Miles],Table4[Yearly Miles Factor],,0)</f>
        <v>0.93</v>
      </c>
      <c r="AE489">
        <f>_xlfn.XLOOKUP(Table1820[[#This Row],[City/Zip Code]],Table5[City/Zip Code],Table5[City/Zip Code Factor],,0)</f>
        <v>1.1100000000000001</v>
      </c>
      <c r="AF489">
        <f>_xlfn.XLOOKUP(Table1820[[#This Row],[Vehicle Price]],Table6[Vehicle Price],Table6[Vehicle Price Factor])</f>
        <v>2.02</v>
      </c>
      <c r="AG489">
        <f>_xlfn.XLOOKUP(Table1820[[#This Row],[Exotic Car]],Table7[Exotic Car],Table7[Exotic Car Factor],,0)</f>
        <v>1.28</v>
      </c>
      <c r="AH489">
        <f>_xlfn.XLOOKUP(Table1820[[#This Row],[Difficult Parts]],Table8[Difficult Parts],Table8[Difficult Parts Factor],,0)</f>
        <v>1</v>
      </c>
      <c r="AI489">
        <f>_xlfn.XLOOKUP(Table1820[[#This Row],[High Theft Rate]],Table9[High Theft Rate],Table9[High Theft Rate Factor],,0)</f>
        <v>1.1599999999999999</v>
      </c>
      <c r="AJ489">
        <f>_xlfn.XLOOKUP(Table1820[[#This Row],[Advanced Safety Features]],Table10[Advanced Safety Features],Table10[Advanced Safety Features Factor],,0)</f>
        <v>0.88</v>
      </c>
      <c r="AK489">
        <f>_xlfn.XLOOKUP(Table1820[[#This Row],[Deductible]],Table12[Deductible],Table12[Deductible Factor],,0)</f>
        <v>0.84</v>
      </c>
      <c r="AL489">
        <f>_xlfn.XLOOKUP(Table1820[[#This Row],[Coverage Limit]],Table13[Coverage Limit],Table13[Coverage Limit Factor],,0)</f>
        <v>1</v>
      </c>
      <c r="AM489">
        <f>IF(Table1820[[#This Row],[Good Student Discount]]="Yes",'Rate Book'!$D$126,1)</f>
        <v>0.92</v>
      </c>
      <c r="AN489">
        <f>IF(Table1820[[#This Row],[Good Driver Discount]]="Yes",'Rate Book'!$D$127,1)</f>
        <v>1</v>
      </c>
      <c r="AO489">
        <f>IF(Table1820[[#This Row],[Multi Policy Discount]]="Yes",'Rate Book'!$D$128,1)</f>
        <v>0.93</v>
      </c>
      <c r="AP489">
        <f>IF(Table1820[[#This Row],[Loyal Customer Discount]]="Yes",'Rate Book'!$D$129,1)</f>
        <v>1</v>
      </c>
      <c r="AQ489">
        <f>IF(Table1820[[#This Row],[Organization Discount]]="Yes",'Rate Book'!$D$130,1)</f>
        <v>1</v>
      </c>
      <c r="AR489" cm="1">
        <f t="array" ref="AR489">IF(Table1820[[#This Row],[Effective Date]]&gt;=RateChangeTable[Effective Date],RateChangeTable[Rate Change Factor],1)</f>
        <v>1</v>
      </c>
      <c r="AS489" s="10">
        <f>PRODUCT(Table1820[[#This Row],[Base Rate]:[Rate Change Factor]])</f>
        <v>995.32856154148658</v>
      </c>
      <c r="AT489" s="9">
        <f>Table1820[[#This Row],[System-Generated Premium]]-Table1820[[#This Row],[Expected Premium]]</f>
        <v>0</v>
      </c>
      <c r="AU489" t="str">
        <f>IF(Table1820[[#This Row],[Difference]]=0,"PASS","FAIL")</f>
        <v>PASS</v>
      </c>
      <c r="AV489" s="9">
        <f>ABS(Table1820[[#This Row],[Difference]])</f>
        <v>0</v>
      </c>
      <c r="AW489" s="9" t="s">
        <v>1136</v>
      </c>
    </row>
    <row r="490" spans="1:49" x14ac:dyDescent="0.3">
      <c r="A490" t="s">
        <v>581</v>
      </c>
      <c r="B490" s="7">
        <v>45793</v>
      </c>
      <c r="C490" t="s">
        <v>70</v>
      </c>
      <c r="D490" t="s">
        <v>1099</v>
      </c>
      <c r="E490" s="3" t="s">
        <v>1103</v>
      </c>
      <c r="F490" s="3" t="s">
        <v>7</v>
      </c>
      <c r="G490" t="s">
        <v>10</v>
      </c>
      <c r="H490" t="s">
        <v>1106</v>
      </c>
      <c r="I490" t="s">
        <v>32</v>
      </c>
      <c r="J490" t="s">
        <v>51</v>
      </c>
      <c r="K490" t="s">
        <v>57</v>
      </c>
      <c r="L490" t="s">
        <v>10</v>
      </c>
      <c r="M490" t="s">
        <v>57</v>
      </c>
      <c r="N490" t="s">
        <v>10</v>
      </c>
      <c r="O490" t="str">
        <f>INDEX(CoverageTable[Deductible Applies],MATCH(Table1820[[#This Row],[Coverage]],CoverageTable[Coverage],0))</f>
        <v>No</v>
      </c>
      <c r="P490" t="str">
        <f>INDEX(CoverageTable[Coverage Limit Applies],MATCH(Table1820[[#This Row],[Coverage]],CoverageTable[Coverage],0))</f>
        <v>Yes</v>
      </c>
      <c r="Q490" t="s">
        <v>10</v>
      </c>
      <c r="R490" t="s">
        <v>79</v>
      </c>
      <c r="S490" t="s">
        <v>10</v>
      </c>
      <c r="T490" t="s">
        <v>10</v>
      </c>
      <c r="U490" t="s">
        <v>10</v>
      </c>
      <c r="V490" t="s">
        <v>10</v>
      </c>
      <c r="W490" t="s">
        <v>10</v>
      </c>
      <c r="X490" s="11">
        <v>1795.6123613639741</v>
      </c>
      <c r="Y490">
        <f>_xlfn.XLOOKUP(Table1820[[#This Row],[Coverage]],CoverageTable[Coverage],CoverageTable[Base Rate],,0)</f>
        <v>622</v>
      </c>
      <c r="Z490">
        <f>INDEX(Table16[Ageband Factor],MATCH(Table1820[[#This Row],[Ageband]],Table16[Ageband],0))</f>
        <v>1</v>
      </c>
      <c r="AA490">
        <f>VLOOKUP(Table1820[[#This Row],[Years Driving]],Table1[],2)</f>
        <v>0.93</v>
      </c>
      <c r="AB490">
        <f>_xlfn.XLOOKUP(Table1820[[#This Row],[At Fault Accidents]],Table2[At Fault Accidents],Table2[At Fault Accident Factor],,0)</f>
        <v>2.4700000000000002</v>
      </c>
      <c r="AC490">
        <f>_xlfn.XLOOKUP(Table1820[[#This Row],[Usage-Based Insurance]],Table3[Usage-Based Insurance],Table3[Usage-Based Insurance Discount],,0)</f>
        <v>1</v>
      </c>
      <c r="AD490">
        <f>_xlfn.XLOOKUP(Table1820[[#This Row],[Yearly Miles]],Table4[Yearly Miles],Table4[Yearly Miles Factor],,0)</f>
        <v>0.82</v>
      </c>
      <c r="AE490">
        <f>_xlfn.XLOOKUP(Table1820[[#This Row],[City/Zip Code]],Table5[City/Zip Code],Table5[City/Zip Code Factor],,0)</f>
        <v>1.1200000000000001</v>
      </c>
      <c r="AF490">
        <f>_xlfn.XLOOKUP(Table1820[[#This Row],[Vehicle Price]],Table6[Vehicle Price],Table6[Vehicle Price Factor])</f>
        <v>1.28</v>
      </c>
      <c r="AG490">
        <f>_xlfn.XLOOKUP(Table1820[[#This Row],[Exotic Car]],Table7[Exotic Car],Table7[Exotic Car Factor],,0)</f>
        <v>1.28</v>
      </c>
      <c r="AH490">
        <f>_xlfn.XLOOKUP(Table1820[[#This Row],[Difficult Parts]],Table8[Difficult Parts],Table8[Difficult Parts Factor],,0)</f>
        <v>1</v>
      </c>
      <c r="AI490">
        <f>_xlfn.XLOOKUP(Table1820[[#This Row],[High Theft Rate]],Table9[High Theft Rate],Table9[High Theft Rate Factor],,0)</f>
        <v>1.1599999999999999</v>
      </c>
      <c r="AJ490">
        <f>_xlfn.XLOOKUP(Table1820[[#This Row],[Advanced Safety Features]],Table10[Advanced Safety Features],Table10[Advanced Safety Features Factor],,0)</f>
        <v>1</v>
      </c>
      <c r="AK490">
        <f>_xlfn.XLOOKUP(Table1820[[#This Row],[Deductible]],Table12[Deductible],Table12[Deductible Factor],,0)</f>
        <v>1</v>
      </c>
      <c r="AL490">
        <f>_xlfn.XLOOKUP(Table1820[[#This Row],[Coverage Limit]],Table13[Coverage Limit],Table13[Coverage Limit Factor],,0)</f>
        <v>0.72</v>
      </c>
      <c r="AM490">
        <f>IF(Table1820[[#This Row],[Good Student Discount]]="Yes",'Rate Book'!$D$126,1)</f>
        <v>1</v>
      </c>
      <c r="AN490">
        <f>IF(Table1820[[#This Row],[Good Driver Discount]]="Yes",'Rate Book'!$D$127,1)</f>
        <v>1</v>
      </c>
      <c r="AO490">
        <f>IF(Table1820[[#This Row],[Multi Policy Discount]]="Yes",'Rate Book'!$D$128,1)</f>
        <v>1</v>
      </c>
      <c r="AP490">
        <f>IF(Table1820[[#This Row],[Loyal Customer Discount]]="Yes",'Rate Book'!$D$129,1)</f>
        <v>1</v>
      </c>
      <c r="AQ490">
        <f>IF(Table1820[[#This Row],[Organization Discount]]="Yes",'Rate Book'!$D$130,1)</f>
        <v>1</v>
      </c>
      <c r="AR490" cm="1">
        <f t="array" ref="AR490">IF(Table1820[[#This Row],[Effective Date]]&gt;=RateChangeTable[Effective Date],RateChangeTable[Rate Change Factor],1)</f>
        <v>1</v>
      </c>
      <c r="AS490" s="10">
        <f>PRODUCT(Table1820[[#This Row],[Base Rate]:[Rate Change Factor]])</f>
        <v>1795.6123613639741</v>
      </c>
      <c r="AT490" s="9">
        <f>Table1820[[#This Row],[System-Generated Premium]]-Table1820[[#This Row],[Expected Premium]]</f>
        <v>0</v>
      </c>
      <c r="AU490" t="str">
        <f>IF(Table1820[[#This Row],[Difference]]=0,"PASS","FAIL")</f>
        <v>PASS</v>
      </c>
      <c r="AV490" s="9">
        <f>ABS(Table1820[[#This Row],[Difference]])</f>
        <v>0</v>
      </c>
      <c r="AW490" s="9" t="s">
        <v>1136</v>
      </c>
    </row>
    <row r="491" spans="1:49" x14ac:dyDescent="0.3">
      <c r="A491" t="s">
        <v>582</v>
      </c>
      <c r="B491" s="7">
        <v>46051</v>
      </c>
      <c r="C491" t="s">
        <v>71</v>
      </c>
      <c r="D491" t="s">
        <v>1102</v>
      </c>
      <c r="E491" s="3">
        <v>5</v>
      </c>
      <c r="F491" s="3">
        <v>1</v>
      </c>
      <c r="G491" t="s">
        <v>13</v>
      </c>
      <c r="H491" t="s">
        <v>1106</v>
      </c>
      <c r="I491" t="s">
        <v>23</v>
      </c>
      <c r="J491" t="s">
        <v>52</v>
      </c>
      <c r="K491" t="s">
        <v>10</v>
      </c>
      <c r="L491" t="s">
        <v>10</v>
      </c>
      <c r="M491" t="s">
        <v>10</v>
      </c>
      <c r="N491" t="s">
        <v>57</v>
      </c>
      <c r="O491" t="str">
        <f>INDEX(CoverageTable[Deductible Applies],MATCH(Table1820[[#This Row],[Coverage]],CoverageTable[Coverage],0))</f>
        <v>Yes</v>
      </c>
      <c r="P491" t="str">
        <f>INDEX(CoverageTable[Coverage Limit Applies],MATCH(Table1820[[#This Row],[Coverage]],CoverageTable[Coverage],0))</f>
        <v>No</v>
      </c>
      <c r="Q491" t="s">
        <v>79</v>
      </c>
      <c r="R491" t="s">
        <v>10</v>
      </c>
      <c r="S491" t="s">
        <v>10</v>
      </c>
      <c r="T491" t="s">
        <v>10</v>
      </c>
      <c r="U491" t="s">
        <v>10</v>
      </c>
      <c r="V491" t="s">
        <v>10</v>
      </c>
      <c r="W491" t="s">
        <v>10</v>
      </c>
      <c r="X491" s="11">
        <v>497.59156676626162</v>
      </c>
      <c r="Y491">
        <f>_xlfn.XLOOKUP(Table1820[[#This Row],[Coverage]],CoverageTable[Coverage],CoverageTable[Base Rate],,0)</f>
        <v>453</v>
      </c>
      <c r="Z491">
        <f>INDEX(Table16[Ageband Factor],MATCH(Table1820[[#This Row],[Ageband]],Table16[Ageband],0))</f>
        <v>1.27</v>
      </c>
      <c r="AA491">
        <f>VLOOKUP(Table1820[[#This Row],[Years Driving]],Table1[],2)</f>
        <v>1.07</v>
      </c>
      <c r="AB491">
        <f>_xlfn.XLOOKUP(Table1820[[#This Row],[At Fault Accidents]],Table2[At Fault Accidents],Table2[At Fault Accident Factor],,0)</f>
        <v>1.34</v>
      </c>
      <c r="AC491">
        <f>_xlfn.XLOOKUP(Table1820[[#This Row],[Usage-Based Insurance]],Table3[Usage-Based Insurance],Table3[Usage-Based Insurance Discount],,0)</f>
        <v>0.65</v>
      </c>
      <c r="AD491">
        <f>_xlfn.XLOOKUP(Table1820[[#This Row],[Yearly Miles]],Table4[Yearly Miles],Table4[Yearly Miles Factor],,0)</f>
        <v>0.82</v>
      </c>
      <c r="AE491">
        <f>_xlfn.XLOOKUP(Table1820[[#This Row],[City/Zip Code]],Table5[City/Zip Code],Table5[City/Zip Code Factor],,0)</f>
        <v>0.92</v>
      </c>
      <c r="AF491">
        <f>_xlfn.XLOOKUP(Table1820[[#This Row],[Vehicle Price]],Table6[Vehicle Price],Table6[Vehicle Price Factor])</f>
        <v>1.57</v>
      </c>
      <c r="AG491">
        <f>_xlfn.XLOOKUP(Table1820[[#This Row],[Exotic Car]],Table7[Exotic Car],Table7[Exotic Car Factor],,0)</f>
        <v>1</v>
      </c>
      <c r="AH491">
        <f>_xlfn.XLOOKUP(Table1820[[#This Row],[Difficult Parts]],Table8[Difficult Parts],Table8[Difficult Parts Factor],,0)</f>
        <v>1</v>
      </c>
      <c r="AI491">
        <f>_xlfn.XLOOKUP(Table1820[[#This Row],[High Theft Rate]],Table9[High Theft Rate],Table9[High Theft Rate Factor],,0)</f>
        <v>1</v>
      </c>
      <c r="AJ491">
        <f>_xlfn.XLOOKUP(Table1820[[#This Row],[Advanced Safety Features]],Table10[Advanced Safety Features],Table10[Advanced Safety Features Factor],,0)</f>
        <v>0.88</v>
      </c>
      <c r="AK491">
        <f>_xlfn.XLOOKUP(Table1820[[#This Row],[Deductible]],Table12[Deductible],Table12[Deductible Factor],,0)</f>
        <v>0.84</v>
      </c>
      <c r="AL491">
        <f>_xlfn.XLOOKUP(Table1820[[#This Row],[Coverage Limit]],Table13[Coverage Limit],Table13[Coverage Limit Factor],,0)</f>
        <v>1</v>
      </c>
      <c r="AM491">
        <f>IF(Table1820[[#This Row],[Good Student Discount]]="Yes",'Rate Book'!$D$126,1)</f>
        <v>1</v>
      </c>
      <c r="AN491">
        <f>IF(Table1820[[#This Row],[Good Driver Discount]]="Yes",'Rate Book'!$D$127,1)</f>
        <v>1</v>
      </c>
      <c r="AO491">
        <f>IF(Table1820[[#This Row],[Multi Policy Discount]]="Yes",'Rate Book'!$D$128,1)</f>
        <v>1</v>
      </c>
      <c r="AP491">
        <f>IF(Table1820[[#This Row],[Loyal Customer Discount]]="Yes",'Rate Book'!$D$129,1)</f>
        <v>1</v>
      </c>
      <c r="AQ491">
        <f>IF(Table1820[[#This Row],[Organization Discount]]="Yes",'Rate Book'!$D$130,1)</f>
        <v>1</v>
      </c>
      <c r="AR491" cm="1">
        <f t="array" ref="AR491">IF(Table1820[[#This Row],[Effective Date]]&gt;=RateChangeTable[Effective Date],RateChangeTable[Rate Change Factor],1)</f>
        <v>1.06</v>
      </c>
      <c r="AS491" s="10">
        <f>PRODUCT(Table1820[[#This Row],[Base Rate]:[Rate Change Factor]])</f>
        <v>497.59156676626162</v>
      </c>
      <c r="AT491" s="9">
        <f>Table1820[[#This Row],[System-Generated Premium]]-Table1820[[#This Row],[Expected Premium]]</f>
        <v>0</v>
      </c>
      <c r="AU491" t="str">
        <f>IF(Table1820[[#This Row],[Difference]]=0,"PASS","FAIL")</f>
        <v>PASS</v>
      </c>
      <c r="AV491" s="9">
        <f>ABS(Table1820[[#This Row],[Difference]])</f>
        <v>0</v>
      </c>
      <c r="AW491" s="9" t="s">
        <v>1136</v>
      </c>
    </row>
    <row r="492" spans="1:49" x14ac:dyDescent="0.3">
      <c r="A492" t="s">
        <v>583</v>
      </c>
      <c r="B492" s="7">
        <v>45994</v>
      </c>
      <c r="C492" t="s">
        <v>71</v>
      </c>
      <c r="D492" t="s">
        <v>1101</v>
      </c>
      <c r="E492" s="3">
        <v>1</v>
      </c>
      <c r="F492" s="3">
        <v>0</v>
      </c>
      <c r="G492" t="s">
        <v>10</v>
      </c>
      <c r="H492" t="s">
        <v>1109</v>
      </c>
      <c r="I492" t="s">
        <v>34</v>
      </c>
      <c r="J492" t="s">
        <v>50</v>
      </c>
      <c r="K492" t="s">
        <v>10</v>
      </c>
      <c r="L492" t="s">
        <v>10</v>
      </c>
      <c r="M492" t="s">
        <v>10</v>
      </c>
      <c r="N492" t="s">
        <v>57</v>
      </c>
      <c r="O492" t="str">
        <f>INDEX(CoverageTable[Deductible Applies],MATCH(Table1820[[#This Row],[Coverage]],CoverageTable[Coverage],0))</f>
        <v>Yes</v>
      </c>
      <c r="P492" t="str">
        <f>INDEX(CoverageTable[Coverage Limit Applies],MATCH(Table1820[[#This Row],[Coverage]],CoverageTable[Coverage],0))</f>
        <v>No</v>
      </c>
      <c r="Q492" t="s">
        <v>78</v>
      </c>
      <c r="R492" t="s">
        <v>10</v>
      </c>
      <c r="S492" t="s">
        <v>10</v>
      </c>
      <c r="T492" t="s">
        <v>10</v>
      </c>
      <c r="U492" t="s">
        <v>10</v>
      </c>
      <c r="V492" t="s">
        <v>57</v>
      </c>
      <c r="W492" t="s">
        <v>10</v>
      </c>
      <c r="X492" s="11">
        <v>1299.9437637833687</v>
      </c>
      <c r="Y492">
        <f>_xlfn.XLOOKUP(Table1820[[#This Row],[Coverage]],CoverageTable[Coverage],CoverageTable[Base Rate],,0)</f>
        <v>453</v>
      </c>
      <c r="Z492">
        <f>INDEX(Table16[Ageband Factor],MATCH(Table1820[[#This Row],[Ageband]],Table16[Ageband],0))</f>
        <v>1.1200000000000001</v>
      </c>
      <c r="AA492">
        <f>VLOOKUP(Table1820[[#This Row],[Years Driving]],Table1[],2)</f>
        <v>1.64</v>
      </c>
      <c r="AB492">
        <f>_xlfn.XLOOKUP(Table1820[[#This Row],[At Fault Accidents]],Table2[At Fault Accidents],Table2[At Fault Accident Factor],,0)</f>
        <v>1</v>
      </c>
      <c r="AC492">
        <f>_xlfn.XLOOKUP(Table1820[[#This Row],[Usage-Based Insurance]],Table3[Usage-Based Insurance],Table3[Usage-Based Insurance Discount],,0)</f>
        <v>1</v>
      </c>
      <c r="AD492">
        <f>_xlfn.XLOOKUP(Table1820[[#This Row],[Yearly Miles]],Table4[Yearly Miles],Table4[Yearly Miles Factor],,0)</f>
        <v>1.18</v>
      </c>
      <c r="AE492">
        <f>_xlfn.XLOOKUP(Table1820[[#This Row],[City/Zip Code]],Table5[City/Zip Code],Table5[City/Zip Code Factor],,0)</f>
        <v>1.56</v>
      </c>
      <c r="AF492">
        <f>_xlfn.XLOOKUP(Table1820[[#This Row],[Vehicle Price]],Table6[Vehicle Price],Table6[Vehicle Price Factor])</f>
        <v>1.08</v>
      </c>
      <c r="AG492">
        <f>_xlfn.XLOOKUP(Table1820[[#This Row],[Exotic Car]],Table7[Exotic Car],Table7[Exotic Car Factor],,0)</f>
        <v>1</v>
      </c>
      <c r="AH492">
        <f>_xlfn.XLOOKUP(Table1820[[#This Row],[Difficult Parts]],Table8[Difficult Parts],Table8[Difficult Parts Factor],,0)</f>
        <v>1</v>
      </c>
      <c r="AI492">
        <f>_xlfn.XLOOKUP(Table1820[[#This Row],[High Theft Rate]],Table9[High Theft Rate],Table9[High Theft Rate Factor],,0)</f>
        <v>1</v>
      </c>
      <c r="AJ492">
        <f>_xlfn.XLOOKUP(Table1820[[#This Row],[Advanced Safety Features]],Table10[Advanced Safety Features],Table10[Advanced Safety Features Factor],,0)</f>
        <v>0.88</v>
      </c>
      <c r="AK492">
        <f>_xlfn.XLOOKUP(Table1820[[#This Row],[Deductible]],Table12[Deductible],Table12[Deductible Factor],,0)</f>
        <v>0.95</v>
      </c>
      <c r="AL492">
        <f>_xlfn.XLOOKUP(Table1820[[#This Row],[Coverage Limit]],Table13[Coverage Limit],Table13[Coverage Limit Factor],,0)</f>
        <v>1</v>
      </c>
      <c r="AM492">
        <f>IF(Table1820[[#This Row],[Good Student Discount]]="Yes",'Rate Book'!$D$126,1)</f>
        <v>1</v>
      </c>
      <c r="AN492">
        <f>IF(Table1820[[#This Row],[Good Driver Discount]]="Yes",'Rate Book'!$D$127,1)</f>
        <v>1</v>
      </c>
      <c r="AO492">
        <f>IF(Table1820[[#This Row],[Multi Policy Discount]]="Yes",'Rate Book'!$D$128,1)</f>
        <v>1</v>
      </c>
      <c r="AP492">
        <f>IF(Table1820[[#This Row],[Loyal Customer Discount]]="Yes",'Rate Book'!$D$129,1)</f>
        <v>0.94</v>
      </c>
      <c r="AQ492">
        <f>IF(Table1820[[#This Row],[Organization Discount]]="Yes",'Rate Book'!$D$130,1)</f>
        <v>1</v>
      </c>
      <c r="AR492" cm="1">
        <f t="array" ref="AR492">IF(Table1820[[#This Row],[Effective Date]]&gt;=RateChangeTable[Effective Date],RateChangeTable[Rate Change Factor],1)</f>
        <v>1</v>
      </c>
      <c r="AS492" s="10">
        <f>PRODUCT(Table1820[[#This Row],[Base Rate]:[Rate Change Factor]])</f>
        <v>1299.9437637833687</v>
      </c>
      <c r="AT492" s="9">
        <f>Table1820[[#This Row],[System-Generated Premium]]-Table1820[[#This Row],[Expected Premium]]</f>
        <v>0</v>
      </c>
      <c r="AU492" t="str">
        <f>IF(Table1820[[#This Row],[Difference]]=0,"PASS","FAIL")</f>
        <v>PASS</v>
      </c>
      <c r="AV492" s="9">
        <f>ABS(Table1820[[#This Row],[Difference]])</f>
        <v>0</v>
      </c>
      <c r="AW492" s="9" t="s">
        <v>1136</v>
      </c>
    </row>
    <row r="493" spans="1:49" x14ac:dyDescent="0.3">
      <c r="A493" t="s">
        <v>584</v>
      </c>
      <c r="B493" s="7">
        <v>46009</v>
      </c>
      <c r="C493" t="s">
        <v>71</v>
      </c>
      <c r="D493" t="s">
        <v>1101</v>
      </c>
      <c r="E493" s="3">
        <v>2</v>
      </c>
      <c r="F493" s="3">
        <v>4</v>
      </c>
      <c r="G493" t="s">
        <v>11</v>
      </c>
      <c r="H493" t="s">
        <v>1109</v>
      </c>
      <c r="I493" t="s">
        <v>26</v>
      </c>
      <c r="J493" t="s">
        <v>54</v>
      </c>
      <c r="K493" t="s">
        <v>10</v>
      </c>
      <c r="L493" t="s">
        <v>10</v>
      </c>
      <c r="M493" t="s">
        <v>10</v>
      </c>
      <c r="N493" t="s">
        <v>10</v>
      </c>
      <c r="O493" t="str">
        <f>INDEX(CoverageTable[Deductible Applies],MATCH(Table1820[[#This Row],[Coverage]],CoverageTable[Coverage],0))</f>
        <v>Yes</v>
      </c>
      <c r="P493" t="str">
        <f>INDEX(CoverageTable[Coverage Limit Applies],MATCH(Table1820[[#This Row],[Coverage]],CoverageTable[Coverage],0))</f>
        <v>No</v>
      </c>
      <c r="Q493" t="s">
        <v>80</v>
      </c>
      <c r="R493" t="s">
        <v>10</v>
      </c>
      <c r="S493" t="s">
        <v>10</v>
      </c>
      <c r="T493" t="s">
        <v>10</v>
      </c>
      <c r="U493" t="s">
        <v>57</v>
      </c>
      <c r="V493" t="s">
        <v>10</v>
      </c>
      <c r="W493" t="s">
        <v>10</v>
      </c>
      <c r="X493" s="11">
        <v>3757.2664360496947</v>
      </c>
      <c r="Y493">
        <f>_xlfn.XLOOKUP(Table1820[[#This Row],[Coverage]],CoverageTable[Coverage],CoverageTable[Base Rate],,0)</f>
        <v>453</v>
      </c>
      <c r="Z493">
        <f>INDEX(Table16[Ageband Factor],MATCH(Table1820[[#This Row],[Ageband]],Table16[Ageband],0))</f>
        <v>1.1200000000000001</v>
      </c>
      <c r="AA493">
        <f>VLOOKUP(Table1820[[#This Row],[Years Driving]],Table1[],2)</f>
        <v>1.41</v>
      </c>
      <c r="AB493">
        <f>_xlfn.XLOOKUP(Table1820[[#This Row],[At Fault Accidents]],Table2[At Fault Accidents],Table2[At Fault Accident Factor],,0)</f>
        <v>2.12</v>
      </c>
      <c r="AC493">
        <f>_xlfn.XLOOKUP(Table1820[[#This Row],[Usage-Based Insurance]],Table3[Usage-Based Insurance],Table3[Usage-Based Insurance Discount],,0)</f>
        <v>0.95</v>
      </c>
      <c r="AD493">
        <f>_xlfn.XLOOKUP(Table1820[[#This Row],[Yearly Miles]],Table4[Yearly Miles],Table4[Yearly Miles Factor],,0)</f>
        <v>1.18</v>
      </c>
      <c r="AE493">
        <f>_xlfn.XLOOKUP(Table1820[[#This Row],[City/Zip Code]],Table5[City/Zip Code],Table5[City/Zip Code Factor],,0)</f>
        <v>1.1499999999999999</v>
      </c>
      <c r="AF493">
        <f>_xlfn.XLOOKUP(Table1820[[#This Row],[Vehicle Price]],Table6[Vehicle Price],Table6[Vehicle Price Factor])</f>
        <v>2.87</v>
      </c>
      <c r="AG493">
        <f>_xlfn.XLOOKUP(Table1820[[#This Row],[Exotic Car]],Table7[Exotic Car],Table7[Exotic Car Factor],,0)</f>
        <v>1</v>
      </c>
      <c r="AH493">
        <f>_xlfn.XLOOKUP(Table1820[[#This Row],[Difficult Parts]],Table8[Difficult Parts],Table8[Difficult Parts Factor],,0)</f>
        <v>1</v>
      </c>
      <c r="AI493">
        <f>_xlfn.XLOOKUP(Table1820[[#This Row],[High Theft Rate]],Table9[High Theft Rate],Table9[High Theft Rate Factor],,0)</f>
        <v>1</v>
      </c>
      <c r="AJ493">
        <f>_xlfn.XLOOKUP(Table1820[[#This Row],[Advanced Safety Features]],Table10[Advanced Safety Features],Table10[Advanced Safety Features Factor],,0)</f>
        <v>1</v>
      </c>
      <c r="AK493">
        <f>_xlfn.XLOOKUP(Table1820[[#This Row],[Deductible]],Table12[Deductible],Table12[Deductible Factor],,0)</f>
        <v>0.72</v>
      </c>
      <c r="AL493">
        <f>_xlfn.XLOOKUP(Table1820[[#This Row],[Coverage Limit]],Table13[Coverage Limit],Table13[Coverage Limit Factor],,0)</f>
        <v>1</v>
      </c>
      <c r="AM493">
        <f>IF(Table1820[[#This Row],[Good Student Discount]]="Yes",'Rate Book'!$D$126,1)</f>
        <v>1</v>
      </c>
      <c r="AN493">
        <f>IF(Table1820[[#This Row],[Good Driver Discount]]="Yes",'Rate Book'!$D$127,1)</f>
        <v>1</v>
      </c>
      <c r="AO493">
        <f>IF(Table1820[[#This Row],[Multi Policy Discount]]="Yes",'Rate Book'!$D$128,1)</f>
        <v>0.93</v>
      </c>
      <c r="AP493">
        <f>IF(Table1820[[#This Row],[Loyal Customer Discount]]="Yes",'Rate Book'!$D$129,1)</f>
        <v>1</v>
      </c>
      <c r="AQ493">
        <f>IF(Table1820[[#This Row],[Organization Discount]]="Yes",'Rate Book'!$D$130,1)</f>
        <v>1</v>
      </c>
      <c r="AR493" cm="1">
        <f t="array" ref="AR493">IF(Table1820[[#This Row],[Effective Date]]&gt;=RateChangeTable[Effective Date],RateChangeTable[Rate Change Factor],1)</f>
        <v>1</v>
      </c>
      <c r="AS493" s="10">
        <f>PRODUCT(Table1820[[#This Row],[Base Rate]:[Rate Change Factor]])</f>
        <v>3757.2664360496947</v>
      </c>
      <c r="AT493" s="9">
        <f>Table1820[[#This Row],[System-Generated Premium]]-Table1820[[#This Row],[Expected Premium]]</f>
        <v>0</v>
      </c>
      <c r="AU493" t="str">
        <f>IF(Table1820[[#This Row],[Difference]]=0,"PASS","FAIL")</f>
        <v>PASS</v>
      </c>
      <c r="AV493" s="9">
        <f>ABS(Table1820[[#This Row],[Difference]])</f>
        <v>0</v>
      </c>
      <c r="AW493" s="9" t="s">
        <v>1136</v>
      </c>
    </row>
    <row r="494" spans="1:49" x14ac:dyDescent="0.3">
      <c r="A494" t="s">
        <v>585</v>
      </c>
      <c r="B494" s="7">
        <v>45786</v>
      </c>
      <c r="C494" t="s">
        <v>70</v>
      </c>
      <c r="D494" t="s">
        <v>1098</v>
      </c>
      <c r="E494" s="3">
        <v>3</v>
      </c>
      <c r="F494" s="3">
        <v>2</v>
      </c>
      <c r="G494" t="s">
        <v>10</v>
      </c>
      <c r="H494" t="s">
        <v>1110</v>
      </c>
      <c r="I494" t="s">
        <v>33</v>
      </c>
      <c r="J494" t="s">
        <v>54</v>
      </c>
      <c r="K494" t="s">
        <v>10</v>
      </c>
      <c r="L494" t="s">
        <v>10</v>
      </c>
      <c r="M494" t="s">
        <v>10</v>
      </c>
      <c r="N494" t="s">
        <v>10</v>
      </c>
      <c r="O494" t="str">
        <f>INDEX(CoverageTable[Deductible Applies],MATCH(Table1820[[#This Row],[Coverage]],CoverageTable[Coverage],0))</f>
        <v>No</v>
      </c>
      <c r="P494" t="str">
        <f>INDEX(CoverageTable[Coverage Limit Applies],MATCH(Table1820[[#This Row],[Coverage]],CoverageTable[Coverage],0))</f>
        <v>Yes</v>
      </c>
      <c r="Q494" t="s">
        <v>10</v>
      </c>
      <c r="R494" t="s">
        <v>79</v>
      </c>
      <c r="S494" t="s">
        <v>10</v>
      </c>
      <c r="T494" t="s">
        <v>57</v>
      </c>
      <c r="U494" t="s">
        <v>10</v>
      </c>
      <c r="V494" t="s">
        <v>10</v>
      </c>
      <c r="W494" t="s">
        <v>10</v>
      </c>
      <c r="X494" s="11">
        <v>3555.1906263979804</v>
      </c>
      <c r="Y494">
        <f>_xlfn.XLOOKUP(Table1820[[#This Row],[Coverage]],CoverageTable[Coverage],CoverageTable[Base Rate],,0)</f>
        <v>622</v>
      </c>
      <c r="Z494">
        <f>INDEX(Table16[Ageband Factor],MATCH(Table1820[[#This Row],[Ageband]],Table16[Ageband],0))</f>
        <v>1.23</v>
      </c>
      <c r="AA494">
        <f>VLOOKUP(Table1820[[#This Row],[Years Driving]],Table1[],2)</f>
        <v>1.22</v>
      </c>
      <c r="AB494">
        <f>_xlfn.XLOOKUP(Table1820[[#This Row],[At Fault Accidents]],Table2[At Fault Accidents],Table2[At Fault Accident Factor],,0)</f>
        <v>1.55</v>
      </c>
      <c r="AC494">
        <f>_xlfn.XLOOKUP(Table1820[[#This Row],[Usage-Based Insurance]],Table3[Usage-Based Insurance],Table3[Usage-Based Insurance Discount],,0)</f>
        <v>1</v>
      </c>
      <c r="AD494">
        <f>_xlfn.XLOOKUP(Table1820[[#This Row],[Yearly Miles]],Table4[Yearly Miles],Table4[Yearly Miles Factor],,0)</f>
        <v>1.31</v>
      </c>
      <c r="AE494">
        <f>_xlfn.XLOOKUP(Table1820[[#This Row],[City/Zip Code]],Table5[City/Zip Code],Table5[City/Zip Code Factor],,0)</f>
        <v>1.02</v>
      </c>
      <c r="AF494">
        <f>_xlfn.XLOOKUP(Table1820[[#This Row],[Vehicle Price]],Table6[Vehicle Price],Table6[Vehicle Price Factor])</f>
        <v>2.87</v>
      </c>
      <c r="AG494">
        <f>_xlfn.XLOOKUP(Table1820[[#This Row],[Exotic Car]],Table7[Exotic Car],Table7[Exotic Car Factor],,0)</f>
        <v>1</v>
      </c>
      <c r="AH494">
        <f>_xlfn.XLOOKUP(Table1820[[#This Row],[Difficult Parts]],Table8[Difficult Parts],Table8[Difficult Parts Factor],,0)</f>
        <v>1</v>
      </c>
      <c r="AI494">
        <f>_xlfn.XLOOKUP(Table1820[[#This Row],[High Theft Rate]],Table9[High Theft Rate],Table9[High Theft Rate Factor],,0)</f>
        <v>1</v>
      </c>
      <c r="AJ494">
        <f>_xlfn.XLOOKUP(Table1820[[#This Row],[Advanced Safety Features]],Table10[Advanced Safety Features],Table10[Advanced Safety Features Factor],,0)</f>
        <v>1</v>
      </c>
      <c r="AK494">
        <f>_xlfn.XLOOKUP(Table1820[[#This Row],[Deductible]],Table12[Deductible],Table12[Deductible Factor],,0)</f>
        <v>1</v>
      </c>
      <c r="AL494">
        <f>_xlfn.XLOOKUP(Table1820[[#This Row],[Coverage Limit]],Table13[Coverage Limit],Table13[Coverage Limit Factor],,0)</f>
        <v>0.72</v>
      </c>
      <c r="AM494">
        <f>IF(Table1820[[#This Row],[Good Student Discount]]="Yes",'Rate Book'!$D$126,1)</f>
        <v>1</v>
      </c>
      <c r="AN494">
        <f>IF(Table1820[[#This Row],[Good Driver Discount]]="Yes",'Rate Book'!$D$127,1)</f>
        <v>0.89</v>
      </c>
      <c r="AO494">
        <f>IF(Table1820[[#This Row],[Multi Policy Discount]]="Yes",'Rate Book'!$D$128,1)</f>
        <v>1</v>
      </c>
      <c r="AP494">
        <f>IF(Table1820[[#This Row],[Loyal Customer Discount]]="Yes",'Rate Book'!$D$129,1)</f>
        <v>1</v>
      </c>
      <c r="AQ494">
        <f>IF(Table1820[[#This Row],[Organization Discount]]="Yes",'Rate Book'!$D$130,1)</f>
        <v>1</v>
      </c>
      <c r="AR494" cm="1">
        <f t="array" ref="AR494">IF(Table1820[[#This Row],[Effective Date]]&gt;=RateChangeTable[Effective Date],RateChangeTable[Rate Change Factor],1)</f>
        <v>1</v>
      </c>
      <c r="AS494" s="10">
        <f>PRODUCT(Table1820[[#This Row],[Base Rate]:[Rate Change Factor]])</f>
        <v>3555.1906263979804</v>
      </c>
      <c r="AT494" s="9">
        <f>Table1820[[#This Row],[System-Generated Premium]]-Table1820[[#This Row],[Expected Premium]]</f>
        <v>0</v>
      </c>
      <c r="AU494" t="str">
        <f>IF(Table1820[[#This Row],[Difference]]=0,"PASS","FAIL")</f>
        <v>PASS</v>
      </c>
      <c r="AV494" s="9">
        <f>ABS(Table1820[[#This Row],[Difference]])</f>
        <v>0</v>
      </c>
      <c r="AW494" s="9" t="s">
        <v>1136</v>
      </c>
    </row>
    <row r="495" spans="1:49" x14ac:dyDescent="0.3">
      <c r="A495" t="s">
        <v>586</v>
      </c>
      <c r="B495" s="7">
        <v>45875</v>
      </c>
      <c r="C495" t="s">
        <v>73</v>
      </c>
      <c r="D495" t="s">
        <v>1098</v>
      </c>
      <c r="E495" s="3">
        <v>7</v>
      </c>
      <c r="F495" s="3" t="s">
        <v>7</v>
      </c>
      <c r="G495" t="s">
        <v>10</v>
      </c>
      <c r="H495" t="s">
        <v>1108</v>
      </c>
      <c r="I495" t="s">
        <v>40</v>
      </c>
      <c r="J495" t="s">
        <v>49</v>
      </c>
      <c r="K495" t="s">
        <v>10</v>
      </c>
      <c r="L495" t="s">
        <v>57</v>
      </c>
      <c r="M495" t="s">
        <v>10</v>
      </c>
      <c r="N495" t="s">
        <v>10</v>
      </c>
      <c r="O495" t="str">
        <f>INDEX(CoverageTable[Deductible Applies],MATCH(Table1820[[#This Row],[Coverage]],CoverageTable[Coverage],0))</f>
        <v>No</v>
      </c>
      <c r="P495" t="str">
        <f>INDEX(CoverageTable[Coverage Limit Applies],MATCH(Table1820[[#This Row],[Coverage]],CoverageTable[Coverage],0))</f>
        <v>Yes</v>
      </c>
      <c r="Q495" t="s">
        <v>10</v>
      </c>
      <c r="R495" t="s">
        <v>79</v>
      </c>
      <c r="S495" t="s">
        <v>10</v>
      </c>
      <c r="T495" t="s">
        <v>10</v>
      </c>
      <c r="U495" t="s">
        <v>10</v>
      </c>
      <c r="V495" t="s">
        <v>10</v>
      </c>
      <c r="W495" t="s">
        <v>10</v>
      </c>
      <c r="X495" s="11">
        <v>207.36543716562963</v>
      </c>
      <c r="Y495">
        <f>_xlfn.XLOOKUP(Table1820[[#This Row],[Coverage]],CoverageTable[Coverage],CoverageTable[Base Rate],,0)</f>
        <v>78</v>
      </c>
      <c r="Z495">
        <f>INDEX(Table16[Ageband Factor],MATCH(Table1820[[#This Row],[Ageband]],Table16[Ageband],0))</f>
        <v>1.23</v>
      </c>
      <c r="AA495">
        <f>VLOOKUP(Table1820[[#This Row],[Years Driving]],Table1[],2)</f>
        <v>0.95</v>
      </c>
      <c r="AB495">
        <f>_xlfn.XLOOKUP(Table1820[[#This Row],[At Fault Accidents]],Table2[At Fault Accidents],Table2[At Fault Accident Factor],,0)</f>
        <v>2.4700000000000002</v>
      </c>
      <c r="AC495">
        <f>_xlfn.XLOOKUP(Table1820[[#This Row],[Usage-Based Insurance]],Table3[Usage-Based Insurance],Table3[Usage-Based Insurance Discount],,0)</f>
        <v>1</v>
      </c>
      <c r="AD495">
        <f>_xlfn.XLOOKUP(Table1820[[#This Row],[Yearly Miles]],Table4[Yearly Miles],Table4[Yearly Miles Factor],,0)</f>
        <v>1</v>
      </c>
      <c r="AE495">
        <f>_xlfn.XLOOKUP(Table1820[[#This Row],[City/Zip Code]],Table5[City/Zip Code],Table5[City/Zip Code Factor],,0)</f>
        <v>1.0900000000000001</v>
      </c>
      <c r="AF495">
        <f>_xlfn.XLOOKUP(Table1820[[#This Row],[Vehicle Price]],Table6[Vehicle Price],Table6[Vehicle Price Factor])</f>
        <v>0.97</v>
      </c>
      <c r="AG495">
        <f>_xlfn.XLOOKUP(Table1820[[#This Row],[Exotic Car]],Table7[Exotic Car],Table7[Exotic Car Factor],,0)</f>
        <v>1</v>
      </c>
      <c r="AH495">
        <f>_xlfn.XLOOKUP(Table1820[[#This Row],[Difficult Parts]],Table8[Difficult Parts],Table8[Difficult Parts Factor],,0)</f>
        <v>1.21</v>
      </c>
      <c r="AI495">
        <f>_xlfn.XLOOKUP(Table1820[[#This Row],[High Theft Rate]],Table9[High Theft Rate],Table9[High Theft Rate Factor],,0)</f>
        <v>1</v>
      </c>
      <c r="AJ495">
        <f>_xlfn.XLOOKUP(Table1820[[#This Row],[Advanced Safety Features]],Table10[Advanced Safety Features],Table10[Advanced Safety Features Factor],,0)</f>
        <v>1</v>
      </c>
      <c r="AK495">
        <f>_xlfn.XLOOKUP(Table1820[[#This Row],[Deductible]],Table12[Deductible],Table12[Deductible Factor],,0)</f>
        <v>1</v>
      </c>
      <c r="AL495">
        <f>_xlfn.XLOOKUP(Table1820[[#This Row],[Coverage Limit]],Table13[Coverage Limit],Table13[Coverage Limit Factor],,0)</f>
        <v>0.72</v>
      </c>
      <c r="AM495">
        <f>IF(Table1820[[#This Row],[Good Student Discount]]="Yes",'Rate Book'!$D$126,1)</f>
        <v>1</v>
      </c>
      <c r="AN495">
        <f>IF(Table1820[[#This Row],[Good Driver Discount]]="Yes",'Rate Book'!$D$127,1)</f>
        <v>1</v>
      </c>
      <c r="AO495">
        <f>IF(Table1820[[#This Row],[Multi Policy Discount]]="Yes",'Rate Book'!$D$128,1)</f>
        <v>1</v>
      </c>
      <c r="AP495">
        <f>IF(Table1820[[#This Row],[Loyal Customer Discount]]="Yes",'Rate Book'!$D$129,1)</f>
        <v>1</v>
      </c>
      <c r="AQ495">
        <f>IF(Table1820[[#This Row],[Organization Discount]]="Yes",'Rate Book'!$D$130,1)</f>
        <v>1</v>
      </c>
      <c r="AR495" cm="1">
        <f t="array" ref="AR495">IF(Table1820[[#This Row],[Effective Date]]&gt;=RateChangeTable[Effective Date],RateChangeTable[Rate Change Factor],1)</f>
        <v>1</v>
      </c>
      <c r="AS495" s="10">
        <f>PRODUCT(Table1820[[#This Row],[Base Rate]:[Rate Change Factor]])</f>
        <v>207.36543716562963</v>
      </c>
      <c r="AT495" s="9">
        <f>Table1820[[#This Row],[System-Generated Premium]]-Table1820[[#This Row],[Expected Premium]]</f>
        <v>0</v>
      </c>
      <c r="AU495" t="str">
        <f>IF(Table1820[[#This Row],[Difference]]=0,"PASS","FAIL")</f>
        <v>PASS</v>
      </c>
      <c r="AV495" s="9">
        <f>ABS(Table1820[[#This Row],[Difference]])</f>
        <v>0</v>
      </c>
      <c r="AW495" s="9" t="s">
        <v>1136</v>
      </c>
    </row>
    <row r="496" spans="1:49" x14ac:dyDescent="0.3">
      <c r="A496" t="s">
        <v>587</v>
      </c>
      <c r="B496" s="7">
        <v>45980</v>
      </c>
      <c r="C496" t="s">
        <v>72</v>
      </c>
      <c r="D496" t="s">
        <v>1097</v>
      </c>
      <c r="E496" s="3">
        <v>3</v>
      </c>
      <c r="F496" s="3">
        <v>0</v>
      </c>
      <c r="G496" t="s">
        <v>11</v>
      </c>
      <c r="H496" t="s">
        <v>1108</v>
      </c>
      <c r="I496" t="s">
        <v>33</v>
      </c>
      <c r="J496" t="s">
        <v>48</v>
      </c>
      <c r="K496" t="s">
        <v>10</v>
      </c>
      <c r="L496" t="s">
        <v>10</v>
      </c>
      <c r="M496" t="s">
        <v>10</v>
      </c>
      <c r="N496" t="s">
        <v>10</v>
      </c>
      <c r="O496" t="str">
        <f>INDEX(CoverageTable[Deductible Applies],MATCH(Table1820[[#This Row],[Coverage]],CoverageTable[Coverage],0))</f>
        <v>Yes</v>
      </c>
      <c r="P496" t="str">
        <f>INDEX(CoverageTable[Coverage Limit Applies],MATCH(Table1820[[#This Row],[Coverage]],CoverageTable[Coverage],0))</f>
        <v>No</v>
      </c>
      <c r="Q496" t="s">
        <v>80</v>
      </c>
      <c r="R496" t="s">
        <v>10</v>
      </c>
      <c r="S496" t="s">
        <v>10</v>
      </c>
      <c r="T496" t="s">
        <v>57</v>
      </c>
      <c r="U496" t="s">
        <v>10</v>
      </c>
      <c r="V496" t="s">
        <v>57</v>
      </c>
      <c r="W496" t="s">
        <v>10</v>
      </c>
      <c r="X496" s="11">
        <v>93.262514024934134</v>
      </c>
      <c r="Y496">
        <f>_xlfn.XLOOKUP(Table1820[[#This Row],[Coverage]],CoverageTable[Coverage],CoverageTable[Base Rate],,0)</f>
        <v>121</v>
      </c>
      <c r="Z496">
        <f>INDEX(Table16[Ageband Factor],MATCH(Table1820[[#This Row],[Ageband]],Table16[Ageband],0))</f>
        <v>1.32</v>
      </c>
      <c r="AA496">
        <f>VLOOKUP(Table1820[[#This Row],[Years Driving]],Table1[],2)</f>
        <v>1.22</v>
      </c>
      <c r="AB496">
        <f>_xlfn.XLOOKUP(Table1820[[#This Row],[At Fault Accidents]],Table2[At Fault Accidents],Table2[At Fault Accident Factor],,0)</f>
        <v>1</v>
      </c>
      <c r="AC496">
        <f>_xlfn.XLOOKUP(Table1820[[#This Row],[Usage-Based Insurance]],Table3[Usage-Based Insurance],Table3[Usage-Based Insurance Discount],,0)</f>
        <v>0.95</v>
      </c>
      <c r="AD496">
        <f>_xlfn.XLOOKUP(Table1820[[#This Row],[Yearly Miles]],Table4[Yearly Miles],Table4[Yearly Miles Factor],,0)</f>
        <v>1</v>
      </c>
      <c r="AE496">
        <f>_xlfn.XLOOKUP(Table1820[[#This Row],[City/Zip Code]],Table5[City/Zip Code],Table5[City/Zip Code Factor],,0)</f>
        <v>1.02</v>
      </c>
      <c r="AF496">
        <f>_xlfn.XLOOKUP(Table1820[[#This Row],[Vehicle Price]],Table6[Vehicle Price],Table6[Vehicle Price Factor])</f>
        <v>0.82</v>
      </c>
      <c r="AG496">
        <f>_xlfn.XLOOKUP(Table1820[[#This Row],[Exotic Car]],Table7[Exotic Car],Table7[Exotic Car Factor],,0)</f>
        <v>1</v>
      </c>
      <c r="AH496">
        <f>_xlfn.XLOOKUP(Table1820[[#This Row],[Difficult Parts]],Table8[Difficult Parts],Table8[Difficult Parts Factor],,0)</f>
        <v>1</v>
      </c>
      <c r="AI496">
        <f>_xlfn.XLOOKUP(Table1820[[#This Row],[High Theft Rate]],Table9[High Theft Rate],Table9[High Theft Rate Factor],,0)</f>
        <v>1</v>
      </c>
      <c r="AJ496">
        <f>_xlfn.XLOOKUP(Table1820[[#This Row],[Advanced Safety Features]],Table10[Advanced Safety Features],Table10[Advanced Safety Features Factor],,0)</f>
        <v>1</v>
      </c>
      <c r="AK496">
        <f>_xlfn.XLOOKUP(Table1820[[#This Row],[Deductible]],Table12[Deductible],Table12[Deductible Factor],,0)</f>
        <v>0.72</v>
      </c>
      <c r="AL496">
        <f>_xlfn.XLOOKUP(Table1820[[#This Row],[Coverage Limit]],Table13[Coverage Limit],Table13[Coverage Limit Factor],,0)</f>
        <v>1</v>
      </c>
      <c r="AM496">
        <f>IF(Table1820[[#This Row],[Good Student Discount]]="Yes",'Rate Book'!$D$126,1)</f>
        <v>1</v>
      </c>
      <c r="AN496">
        <f>IF(Table1820[[#This Row],[Good Driver Discount]]="Yes",'Rate Book'!$D$127,1)</f>
        <v>0.89</v>
      </c>
      <c r="AO496">
        <f>IF(Table1820[[#This Row],[Multi Policy Discount]]="Yes",'Rate Book'!$D$128,1)</f>
        <v>1</v>
      </c>
      <c r="AP496">
        <f>IF(Table1820[[#This Row],[Loyal Customer Discount]]="Yes",'Rate Book'!$D$129,1)</f>
        <v>0.94</v>
      </c>
      <c r="AQ496">
        <f>IF(Table1820[[#This Row],[Organization Discount]]="Yes",'Rate Book'!$D$130,1)</f>
        <v>1</v>
      </c>
      <c r="AR496" cm="1">
        <f t="array" ref="AR496">IF(Table1820[[#This Row],[Effective Date]]&gt;=RateChangeTable[Effective Date],RateChangeTable[Rate Change Factor],1)</f>
        <v>1</v>
      </c>
      <c r="AS496" s="10">
        <f>PRODUCT(Table1820[[#This Row],[Base Rate]:[Rate Change Factor]])</f>
        <v>93.262514024934134</v>
      </c>
      <c r="AT496" s="9">
        <f>Table1820[[#This Row],[System-Generated Premium]]-Table1820[[#This Row],[Expected Premium]]</f>
        <v>0</v>
      </c>
      <c r="AU496" t="str">
        <f>IF(Table1820[[#This Row],[Difference]]=0,"PASS","FAIL")</f>
        <v>PASS</v>
      </c>
      <c r="AV496" s="9">
        <f>ABS(Table1820[[#This Row],[Difference]])</f>
        <v>0</v>
      </c>
      <c r="AW496" s="9" t="s">
        <v>1136</v>
      </c>
    </row>
    <row r="497" spans="1:49" x14ac:dyDescent="0.3">
      <c r="A497" t="s">
        <v>588</v>
      </c>
      <c r="B497" s="7">
        <v>46056</v>
      </c>
      <c r="C497" t="s">
        <v>70</v>
      </c>
      <c r="D497" t="s">
        <v>1098</v>
      </c>
      <c r="E497" s="3">
        <v>2</v>
      </c>
      <c r="F497" s="3">
        <v>4</v>
      </c>
      <c r="G497" t="s">
        <v>10</v>
      </c>
      <c r="H497" t="s">
        <v>1107</v>
      </c>
      <c r="I497" t="s">
        <v>31</v>
      </c>
      <c r="J497" t="s">
        <v>50</v>
      </c>
      <c r="K497" t="s">
        <v>10</v>
      </c>
      <c r="L497" t="s">
        <v>10</v>
      </c>
      <c r="M497" t="s">
        <v>10</v>
      </c>
      <c r="N497" t="s">
        <v>10</v>
      </c>
      <c r="O497" t="str">
        <f>INDEX(CoverageTable[Deductible Applies],MATCH(Table1820[[#This Row],[Coverage]],CoverageTable[Coverage],0))</f>
        <v>No</v>
      </c>
      <c r="P497" t="str">
        <f>INDEX(CoverageTable[Coverage Limit Applies],MATCH(Table1820[[#This Row],[Coverage]],CoverageTable[Coverage],0))</f>
        <v>Yes</v>
      </c>
      <c r="Q497" t="s">
        <v>10</v>
      </c>
      <c r="R497" t="s">
        <v>79</v>
      </c>
      <c r="S497" t="s">
        <v>10</v>
      </c>
      <c r="T497" t="s">
        <v>57</v>
      </c>
      <c r="U497" t="s">
        <v>57</v>
      </c>
      <c r="V497" t="s">
        <v>10</v>
      </c>
      <c r="W497" t="s">
        <v>10</v>
      </c>
      <c r="X497" s="11">
        <v>1610.6139986273718</v>
      </c>
      <c r="Y497">
        <f>_xlfn.XLOOKUP(Table1820[[#This Row],[Coverage]],CoverageTable[Coverage],CoverageTable[Base Rate],,0)</f>
        <v>622</v>
      </c>
      <c r="Z497">
        <f>INDEX(Table16[Ageband Factor],MATCH(Table1820[[#This Row],[Ageband]],Table16[Ageband],0))</f>
        <v>1.23</v>
      </c>
      <c r="AA497">
        <f>VLOOKUP(Table1820[[#This Row],[Years Driving]],Table1[],2)</f>
        <v>1.41</v>
      </c>
      <c r="AB497">
        <f>_xlfn.XLOOKUP(Table1820[[#This Row],[At Fault Accidents]],Table2[At Fault Accidents],Table2[At Fault Accident Factor],,0)</f>
        <v>2.12</v>
      </c>
      <c r="AC497">
        <f>_xlfn.XLOOKUP(Table1820[[#This Row],[Usage-Based Insurance]],Table3[Usage-Based Insurance],Table3[Usage-Based Insurance Discount],,0)</f>
        <v>1</v>
      </c>
      <c r="AD497">
        <f>_xlfn.XLOOKUP(Table1820[[#This Row],[Yearly Miles]],Table4[Yearly Miles],Table4[Yearly Miles Factor],,0)</f>
        <v>0.93</v>
      </c>
      <c r="AE497">
        <f>_xlfn.XLOOKUP(Table1820[[#This Row],[City/Zip Code]],Table5[City/Zip Code],Table5[City/Zip Code Factor],,0)</f>
        <v>1.1100000000000001</v>
      </c>
      <c r="AF497">
        <f>_xlfn.XLOOKUP(Table1820[[#This Row],[Vehicle Price]],Table6[Vehicle Price],Table6[Vehicle Price Factor])</f>
        <v>1.08</v>
      </c>
      <c r="AG497">
        <f>_xlfn.XLOOKUP(Table1820[[#This Row],[Exotic Car]],Table7[Exotic Car],Table7[Exotic Car Factor],,0)</f>
        <v>1</v>
      </c>
      <c r="AH497">
        <f>_xlfn.XLOOKUP(Table1820[[#This Row],[Difficult Parts]],Table8[Difficult Parts],Table8[Difficult Parts Factor],,0)</f>
        <v>1</v>
      </c>
      <c r="AI497">
        <f>_xlfn.XLOOKUP(Table1820[[#This Row],[High Theft Rate]],Table9[High Theft Rate],Table9[High Theft Rate Factor],,0)</f>
        <v>1</v>
      </c>
      <c r="AJ497">
        <f>_xlfn.XLOOKUP(Table1820[[#This Row],[Advanced Safety Features]],Table10[Advanced Safety Features],Table10[Advanced Safety Features Factor],,0)</f>
        <v>1</v>
      </c>
      <c r="AK497">
        <f>_xlfn.XLOOKUP(Table1820[[#This Row],[Deductible]],Table12[Deductible],Table12[Deductible Factor],,0)</f>
        <v>1</v>
      </c>
      <c r="AL497">
        <f>_xlfn.XLOOKUP(Table1820[[#This Row],[Coverage Limit]],Table13[Coverage Limit],Table13[Coverage Limit Factor],,0)</f>
        <v>0.72</v>
      </c>
      <c r="AM497">
        <f>IF(Table1820[[#This Row],[Good Student Discount]]="Yes",'Rate Book'!$D$126,1)</f>
        <v>1</v>
      </c>
      <c r="AN497">
        <f>IF(Table1820[[#This Row],[Good Driver Discount]]="Yes",'Rate Book'!$D$127,1)</f>
        <v>0.89</v>
      </c>
      <c r="AO497">
        <f>IF(Table1820[[#This Row],[Multi Policy Discount]]="Yes",'Rate Book'!$D$128,1)</f>
        <v>0.93</v>
      </c>
      <c r="AP497">
        <f>IF(Table1820[[#This Row],[Loyal Customer Discount]]="Yes",'Rate Book'!$D$129,1)</f>
        <v>1</v>
      </c>
      <c r="AQ497">
        <f>IF(Table1820[[#This Row],[Organization Discount]]="Yes",'Rate Book'!$D$130,1)</f>
        <v>1</v>
      </c>
      <c r="AR497" cm="1">
        <f t="array" ref="AR497">IF(Table1820[[#This Row],[Effective Date]]&gt;=RateChangeTable[Effective Date],RateChangeTable[Rate Change Factor],1)</f>
        <v>1.06</v>
      </c>
      <c r="AS497" s="10">
        <f>PRODUCT(Table1820[[#This Row],[Base Rate]:[Rate Change Factor]])</f>
        <v>1610.6139986273718</v>
      </c>
      <c r="AT497" s="9">
        <f>Table1820[[#This Row],[System-Generated Premium]]-Table1820[[#This Row],[Expected Premium]]</f>
        <v>0</v>
      </c>
      <c r="AU497" t="str">
        <f>IF(Table1820[[#This Row],[Difference]]=0,"PASS","FAIL")</f>
        <v>PASS</v>
      </c>
      <c r="AV497" s="9">
        <f>ABS(Table1820[[#This Row],[Difference]])</f>
        <v>0</v>
      </c>
      <c r="AW497" s="9" t="s">
        <v>1136</v>
      </c>
    </row>
    <row r="498" spans="1:49" x14ac:dyDescent="0.3">
      <c r="A498" t="s">
        <v>589</v>
      </c>
      <c r="B498" s="7">
        <v>45791</v>
      </c>
      <c r="C498" t="s">
        <v>74</v>
      </c>
      <c r="D498" t="s">
        <v>1101</v>
      </c>
      <c r="E498" s="3">
        <v>3</v>
      </c>
      <c r="F498" s="3">
        <v>0</v>
      </c>
      <c r="G498" t="s">
        <v>10</v>
      </c>
      <c r="H498" t="s">
        <v>1110</v>
      </c>
      <c r="I498" t="s">
        <v>39</v>
      </c>
      <c r="J498" t="s">
        <v>49</v>
      </c>
      <c r="K498" t="s">
        <v>10</v>
      </c>
      <c r="L498" t="s">
        <v>10</v>
      </c>
      <c r="M498" t="s">
        <v>10</v>
      </c>
      <c r="N498" t="s">
        <v>57</v>
      </c>
      <c r="O498" t="str">
        <f>INDEX(CoverageTable[Deductible Applies],MATCH(Table1820[[#This Row],[Coverage]],CoverageTable[Coverage],0))</f>
        <v>No</v>
      </c>
      <c r="P498" t="str">
        <f>INDEX(CoverageTable[Coverage Limit Applies],MATCH(Table1820[[#This Row],[Coverage]],CoverageTable[Coverage],0))</f>
        <v>Yes</v>
      </c>
      <c r="Q498" t="s">
        <v>10</v>
      </c>
      <c r="R498" t="s">
        <v>79</v>
      </c>
      <c r="S498" t="s">
        <v>10</v>
      </c>
      <c r="T498" t="s">
        <v>10</v>
      </c>
      <c r="U498" t="s">
        <v>10</v>
      </c>
      <c r="V498" t="s">
        <v>10</v>
      </c>
      <c r="W498" t="s">
        <v>10</v>
      </c>
      <c r="X498" s="11">
        <v>48.712864004259835</v>
      </c>
      <c r="Y498">
        <f>_xlfn.XLOOKUP(Table1820[[#This Row],[Coverage]],CoverageTable[Coverage],CoverageTable[Base Rate],,0)</f>
        <v>41</v>
      </c>
      <c r="Z498">
        <f>INDEX(Table16[Ageband Factor],MATCH(Table1820[[#This Row],[Ageband]],Table16[Ageband],0))</f>
        <v>1.1200000000000001</v>
      </c>
      <c r="AA498">
        <f>VLOOKUP(Table1820[[#This Row],[Years Driving]],Table1[],2)</f>
        <v>1.22</v>
      </c>
      <c r="AB498">
        <f>_xlfn.XLOOKUP(Table1820[[#This Row],[At Fault Accidents]],Table2[At Fault Accidents],Table2[At Fault Accident Factor],,0)</f>
        <v>1</v>
      </c>
      <c r="AC498">
        <f>_xlfn.XLOOKUP(Table1820[[#This Row],[Usage-Based Insurance]],Table3[Usage-Based Insurance],Table3[Usage-Based Insurance Discount],,0)</f>
        <v>1</v>
      </c>
      <c r="AD498">
        <f>_xlfn.XLOOKUP(Table1820[[#This Row],[Yearly Miles]],Table4[Yearly Miles],Table4[Yearly Miles Factor],,0)</f>
        <v>1.31</v>
      </c>
      <c r="AE498">
        <f>_xlfn.XLOOKUP(Table1820[[#This Row],[City/Zip Code]],Table5[City/Zip Code],Table5[City/Zip Code Factor],,0)</f>
        <v>1.08</v>
      </c>
      <c r="AF498">
        <f>_xlfn.XLOOKUP(Table1820[[#This Row],[Vehicle Price]],Table6[Vehicle Price],Table6[Vehicle Price Factor])</f>
        <v>0.97</v>
      </c>
      <c r="AG498">
        <f>_xlfn.XLOOKUP(Table1820[[#This Row],[Exotic Car]],Table7[Exotic Car],Table7[Exotic Car Factor],,0)</f>
        <v>1</v>
      </c>
      <c r="AH498">
        <f>_xlfn.XLOOKUP(Table1820[[#This Row],[Difficult Parts]],Table8[Difficult Parts],Table8[Difficult Parts Factor],,0)</f>
        <v>1</v>
      </c>
      <c r="AI498">
        <f>_xlfn.XLOOKUP(Table1820[[#This Row],[High Theft Rate]],Table9[High Theft Rate],Table9[High Theft Rate Factor],,0)</f>
        <v>1</v>
      </c>
      <c r="AJ498">
        <f>_xlfn.XLOOKUP(Table1820[[#This Row],[Advanced Safety Features]],Table10[Advanced Safety Features],Table10[Advanced Safety Features Factor],,0)</f>
        <v>0.88</v>
      </c>
      <c r="AK498">
        <f>_xlfn.XLOOKUP(Table1820[[#This Row],[Deductible]],Table12[Deductible],Table12[Deductible Factor],,0)</f>
        <v>1</v>
      </c>
      <c r="AL498">
        <f>_xlfn.XLOOKUP(Table1820[[#This Row],[Coverage Limit]],Table13[Coverage Limit],Table13[Coverage Limit Factor],,0)</f>
        <v>0.72</v>
      </c>
      <c r="AM498">
        <f>IF(Table1820[[#This Row],[Good Student Discount]]="Yes",'Rate Book'!$D$126,1)</f>
        <v>1</v>
      </c>
      <c r="AN498">
        <f>IF(Table1820[[#This Row],[Good Driver Discount]]="Yes",'Rate Book'!$D$127,1)</f>
        <v>1</v>
      </c>
      <c r="AO498">
        <f>IF(Table1820[[#This Row],[Multi Policy Discount]]="Yes",'Rate Book'!$D$128,1)</f>
        <v>1</v>
      </c>
      <c r="AP498">
        <f>IF(Table1820[[#This Row],[Loyal Customer Discount]]="Yes",'Rate Book'!$D$129,1)</f>
        <v>1</v>
      </c>
      <c r="AQ498">
        <f>IF(Table1820[[#This Row],[Organization Discount]]="Yes",'Rate Book'!$D$130,1)</f>
        <v>1</v>
      </c>
      <c r="AR498" cm="1">
        <f t="array" ref="AR498">IF(Table1820[[#This Row],[Effective Date]]&gt;=RateChangeTable[Effective Date],RateChangeTable[Rate Change Factor],1)</f>
        <v>1</v>
      </c>
      <c r="AS498" s="10">
        <f>PRODUCT(Table1820[[#This Row],[Base Rate]:[Rate Change Factor]])</f>
        <v>48.712864004259835</v>
      </c>
      <c r="AT498" s="9">
        <f>Table1820[[#This Row],[System-Generated Premium]]-Table1820[[#This Row],[Expected Premium]]</f>
        <v>0</v>
      </c>
      <c r="AU498" t="str">
        <f>IF(Table1820[[#This Row],[Difference]]=0,"PASS","FAIL")</f>
        <v>PASS</v>
      </c>
      <c r="AV498" s="9">
        <f>ABS(Table1820[[#This Row],[Difference]])</f>
        <v>0</v>
      </c>
      <c r="AW498" s="9" t="s">
        <v>1136</v>
      </c>
    </row>
    <row r="499" spans="1:49" x14ac:dyDescent="0.3">
      <c r="A499" t="s">
        <v>590</v>
      </c>
      <c r="B499" s="7">
        <v>45859</v>
      </c>
      <c r="C499" t="s">
        <v>71</v>
      </c>
      <c r="D499" t="s">
        <v>1100</v>
      </c>
      <c r="E499" s="3">
        <v>4</v>
      </c>
      <c r="F499" s="3">
        <v>0</v>
      </c>
      <c r="G499" t="s">
        <v>11</v>
      </c>
      <c r="H499" t="s">
        <v>1109</v>
      </c>
      <c r="I499" t="s">
        <v>36</v>
      </c>
      <c r="J499" t="s">
        <v>51</v>
      </c>
      <c r="K499" t="s">
        <v>10</v>
      </c>
      <c r="L499" t="s">
        <v>10</v>
      </c>
      <c r="M499" t="s">
        <v>10</v>
      </c>
      <c r="N499" t="s">
        <v>10</v>
      </c>
      <c r="O499" t="str">
        <f>INDEX(CoverageTable[Deductible Applies],MATCH(Table1820[[#This Row],[Coverage]],CoverageTable[Coverage],0))</f>
        <v>Yes</v>
      </c>
      <c r="P499" t="str">
        <f>INDEX(CoverageTable[Coverage Limit Applies],MATCH(Table1820[[#This Row],[Coverage]],CoverageTable[Coverage],0))</f>
        <v>No</v>
      </c>
      <c r="Q499" t="s">
        <v>80</v>
      </c>
      <c r="R499" t="s">
        <v>10</v>
      </c>
      <c r="S499" t="s">
        <v>10</v>
      </c>
      <c r="T499" t="s">
        <v>10</v>
      </c>
      <c r="U499" t="s">
        <v>10</v>
      </c>
      <c r="V499" t="s">
        <v>10</v>
      </c>
      <c r="W499" t="s">
        <v>57</v>
      </c>
      <c r="X499" s="11">
        <v>547.42636340388856</v>
      </c>
      <c r="Y499">
        <f>_xlfn.XLOOKUP(Table1820[[#This Row],[Coverage]],CoverageTable[Coverage],CoverageTable[Base Rate],,0)</f>
        <v>453</v>
      </c>
      <c r="Z499">
        <f>INDEX(Table16[Ageband Factor],MATCH(Table1820[[#This Row],[Ageband]],Table16[Ageband],0))</f>
        <v>1.07</v>
      </c>
      <c r="AA499">
        <f>VLOOKUP(Table1820[[#This Row],[Years Driving]],Table1[],2)</f>
        <v>1.1499999999999999</v>
      </c>
      <c r="AB499">
        <f>_xlfn.XLOOKUP(Table1820[[#This Row],[At Fault Accidents]],Table2[At Fault Accidents],Table2[At Fault Accident Factor],,0)</f>
        <v>1</v>
      </c>
      <c r="AC499">
        <f>_xlfn.XLOOKUP(Table1820[[#This Row],[Usage-Based Insurance]],Table3[Usage-Based Insurance],Table3[Usage-Based Insurance Discount],,0)</f>
        <v>0.95</v>
      </c>
      <c r="AD499">
        <f>_xlfn.XLOOKUP(Table1820[[#This Row],[Yearly Miles]],Table4[Yearly Miles],Table4[Yearly Miles Factor],,0)</f>
        <v>1.18</v>
      </c>
      <c r="AE499">
        <f>_xlfn.XLOOKUP(Table1820[[#This Row],[City/Zip Code]],Table5[City/Zip Code],Table5[City/Zip Code Factor],,0)</f>
        <v>0.98</v>
      </c>
      <c r="AF499">
        <f>_xlfn.XLOOKUP(Table1820[[#This Row],[Vehicle Price]],Table6[Vehicle Price],Table6[Vehicle Price Factor])</f>
        <v>1.28</v>
      </c>
      <c r="AG499">
        <f>_xlfn.XLOOKUP(Table1820[[#This Row],[Exotic Car]],Table7[Exotic Car],Table7[Exotic Car Factor],,0)</f>
        <v>1</v>
      </c>
      <c r="AH499">
        <f>_xlfn.XLOOKUP(Table1820[[#This Row],[Difficult Parts]],Table8[Difficult Parts],Table8[Difficult Parts Factor],,0)</f>
        <v>1</v>
      </c>
      <c r="AI499">
        <f>_xlfn.XLOOKUP(Table1820[[#This Row],[High Theft Rate]],Table9[High Theft Rate],Table9[High Theft Rate Factor],,0)</f>
        <v>1</v>
      </c>
      <c r="AJ499">
        <f>_xlfn.XLOOKUP(Table1820[[#This Row],[Advanced Safety Features]],Table10[Advanced Safety Features],Table10[Advanced Safety Features Factor],,0)</f>
        <v>1</v>
      </c>
      <c r="AK499">
        <f>_xlfn.XLOOKUP(Table1820[[#This Row],[Deductible]],Table12[Deductible],Table12[Deductible Factor],,0)</f>
        <v>0.72</v>
      </c>
      <c r="AL499">
        <f>_xlfn.XLOOKUP(Table1820[[#This Row],[Coverage Limit]],Table13[Coverage Limit],Table13[Coverage Limit Factor],,0)</f>
        <v>1</v>
      </c>
      <c r="AM499">
        <f>IF(Table1820[[#This Row],[Good Student Discount]]="Yes",'Rate Book'!$D$126,1)</f>
        <v>1</v>
      </c>
      <c r="AN499">
        <f>IF(Table1820[[#This Row],[Good Driver Discount]]="Yes",'Rate Book'!$D$127,1)</f>
        <v>1</v>
      </c>
      <c r="AO499">
        <f>IF(Table1820[[#This Row],[Multi Policy Discount]]="Yes",'Rate Book'!$D$128,1)</f>
        <v>1</v>
      </c>
      <c r="AP499">
        <f>IF(Table1820[[#This Row],[Loyal Customer Discount]]="Yes",'Rate Book'!$D$129,1)</f>
        <v>1</v>
      </c>
      <c r="AQ499">
        <f>IF(Table1820[[#This Row],[Organization Discount]]="Yes",'Rate Book'!$D$130,1)</f>
        <v>0.97</v>
      </c>
      <c r="AR499" cm="1">
        <f t="array" ref="AR499">IF(Table1820[[#This Row],[Effective Date]]&gt;=RateChangeTable[Effective Date],RateChangeTable[Rate Change Factor],1)</f>
        <v>1</v>
      </c>
      <c r="AS499" s="10">
        <f>PRODUCT(Table1820[[#This Row],[Base Rate]:[Rate Change Factor]])</f>
        <v>547.42636340388856</v>
      </c>
      <c r="AT499" s="9">
        <f>Table1820[[#This Row],[System-Generated Premium]]-Table1820[[#This Row],[Expected Premium]]</f>
        <v>0</v>
      </c>
      <c r="AU499" t="str">
        <f>IF(Table1820[[#This Row],[Difference]]=0,"PASS","FAIL")</f>
        <v>PASS</v>
      </c>
      <c r="AV499" s="9">
        <f>ABS(Table1820[[#This Row],[Difference]])</f>
        <v>0</v>
      </c>
      <c r="AW499" s="9" t="s">
        <v>1136</v>
      </c>
    </row>
    <row r="500" spans="1:49" x14ac:dyDescent="0.3">
      <c r="A500" t="s">
        <v>591</v>
      </c>
      <c r="B500" s="7">
        <v>45803</v>
      </c>
      <c r="C500" t="s">
        <v>74</v>
      </c>
      <c r="D500" t="s">
        <v>1102</v>
      </c>
      <c r="E500" s="3">
        <v>1</v>
      </c>
      <c r="F500" s="3" t="s">
        <v>7</v>
      </c>
      <c r="G500" t="s">
        <v>11</v>
      </c>
      <c r="H500" t="s">
        <v>1109</v>
      </c>
      <c r="I500" t="s">
        <v>41</v>
      </c>
      <c r="J500" t="s">
        <v>50</v>
      </c>
      <c r="K500" t="s">
        <v>10</v>
      </c>
      <c r="L500" t="s">
        <v>10</v>
      </c>
      <c r="M500" t="s">
        <v>10</v>
      </c>
      <c r="N500" t="s">
        <v>57</v>
      </c>
      <c r="O500" t="str">
        <f>INDEX(CoverageTable[Deductible Applies],MATCH(Table1820[[#This Row],[Coverage]],CoverageTable[Coverage],0))</f>
        <v>No</v>
      </c>
      <c r="P500" t="str">
        <f>INDEX(CoverageTable[Coverage Limit Applies],MATCH(Table1820[[#This Row],[Coverage]],CoverageTable[Coverage],0))</f>
        <v>Yes</v>
      </c>
      <c r="Q500" t="s">
        <v>10</v>
      </c>
      <c r="R500" t="s">
        <v>80</v>
      </c>
      <c r="S500" t="s">
        <v>57</v>
      </c>
      <c r="T500" t="s">
        <v>10</v>
      </c>
      <c r="U500" t="s">
        <v>10</v>
      </c>
      <c r="V500" t="s">
        <v>10</v>
      </c>
      <c r="W500" t="s">
        <v>10</v>
      </c>
      <c r="X500" s="11">
        <v>199.71255737834952</v>
      </c>
      <c r="Y500">
        <f>_xlfn.XLOOKUP(Table1820[[#This Row],[Coverage]],CoverageTable[Coverage],CoverageTable[Base Rate],,0)</f>
        <v>41</v>
      </c>
      <c r="Z500">
        <f>INDEX(Table16[Ageband Factor],MATCH(Table1820[[#This Row],[Ageband]],Table16[Ageband],0))</f>
        <v>1.27</v>
      </c>
      <c r="AA500">
        <f>VLOOKUP(Table1820[[#This Row],[Years Driving]],Table1[],2)</f>
        <v>1.64</v>
      </c>
      <c r="AB500">
        <f>_xlfn.XLOOKUP(Table1820[[#This Row],[At Fault Accidents]],Table2[At Fault Accidents],Table2[At Fault Accident Factor],,0)</f>
        <v>2.4700000000000002</v>
      </c>
      <c r="AC500">
        <f>_xlfn.XLOOKUP(Table1820[[#This Row],[Usage-Based Insurance]],Table3[Usage-Based Insurance],Table3[Usage-Based Insurance Discount],,0)</f>
        <v>0.95</v>
      </c>
      <c r="AD500">
        <f>_xlfn.XLOOKUP(Table1820[[#This Row],[Yearly Miles]],Table4[Yearly Miles],Table4[Yearly Miles Factor],,0)</f>
        <v>1.18</v>
      </c>
      <c r="AE500">
        <f>_xlfn.XLOOKUP(Table1820[[#This Row],[City/Zip Code]],Table5[City/Zip Code],Table5[City/Zip Code Factor],,0)</f>
        <v>1.1499999999999999</v>
      </c>
      <c r="AF500">
        <f>_xlfn.XLOOKUP(Table1820[[#This Row],[Vehicle Price]],Table6[Vehicle Price],Table6[Vehicle Price Factor])</f>
        <v>1.08</v>
      </c>
      <c r="AG500">
        <f>_xlfn.XLOOKUP(Table1820[[#This Row],[Exotic Car]],Table7[Exotic Car],Table7[Exotic Car Factor],,0)</f>
        <v>1</v>
      </c>
      <c r="AH500">
        <f>_xlfn.XLOOKUP(Table1820[[#This Row],[Difficult Parts]],Table8[Difficult Parts],Table8[Difficult Parts Factor],,0)</f>
        <v>1</v>
      </c>
      <c r="AI500">
        <f>_xlfn.XLOOKUP(Table1820[[#This Row],[High Theft Rate]],Table9[High Theft Rate],Table9[High Theft Rate Factor],,0)</f>
        <v>1</v>
      </c>
      <c r="AJ500">
        <f>_xlfn.XLOOKUP(Table1820[[#This Row],[Advanced Safety Features]],Table10[Advanced Safety Features],Table10[Advanced Safety Features Factor],,0)</f>
        <v>0.88</v>
      </c>
      <c r="AK500">
        <f>_xlfn.XLOOKUP(Table1820[[#This Row],[Deductible]],Table12[Deductible],Table12[Deductible Factor],,0)</f>
        <v>1</v>
      </c>
      <c r="AL500">
        <f>_xlfn.XLOOKUP(Table1820[[#This Row],[Coverage Limit]],Table13[Coverage Limit],Table13[Coverage Limit Factor],,0)</f>
        <v>0.84</v>
      </c>
      <c r="AM500">
        <f>IF(Table1820[[#This Row],[Good Student Discount]]="Yes",'Rate Book'!$D$126,1)</f>
        <v>0.92</v>
      </c>
      <c r="AN500">
        <f>IF(Table1820[[#This Row],[Good Driver Discount]]="Yes",'Rate Book'!$D$127,1)</f>
        <v>1</v>
      </c>
      <c r="AO500">
        <f>IF(Table1820[[#This Row],[Multi Policy Discount]]="Yes",'Rate Book'!$D$128,1)</f>
        <v>1</v>
      </c>
      <c r="AP500">
        <f>IF(Table1820[[#This Row],[Loyal Customer Discount]]="Yes",'Rate Book'!$D$129,1)</f>
        <v>1</v>
      </c>
      <c r="AQ500">
        <f>IF(Table1820[[#This Row],[Organization Discount]]="Yes",'Rate Book'!$D$130,1)</f>
        <v>1</v>
      </c>
      <c r="AR500" cm="1">
        <f t="array" ref="AR500">IF(Table1820[[#This Row],[Effective Date]]&gt;=RateChangeTable[Effective Date],RateChangeTable[Rate Change Factor],1)</f>
        <v>1</v>
      </c>
      <c r="AS500" s="10">
        <f>PRODUCT(Table1820[[#This Row],[Base Rate]:[Rate Change Factor]])</f>
        <v>199.71255737834952</v>
      </c>
      <c r="AT500" s="9">
        <f>Table1820[[#This Row],[System-Generated Premium]]-Table1820[[#This Row],[Expected Premium]]</f>
        <v>0</v>
      </c>
      <c r="AU500" t="str">
        <f>IF(Table1820[[#This Row],[Difference]]=0,"PASS","FAIL")</f>
        <v>PASS</v>
      </c>
      <c r="AV500" s="9">
        <f>ABS(Table1820[[#This Row],[Difference]])</f>
        <v>0</v>
      </c>
      <c r="AW500" s="9" t="s">
        <v>1136</v>
      </c>
    </row>
    <row r="501" spans="1:49" x14ac:dyDescent="0.3">
      <c r="A501" t="s">
        <v>592</v>
      </c>
      <c r="B501" s="7">
        <v>45857</v>
      </c>
      <c r="C501" t="s">
        <v>72</v>
      </c>
      <c r="D501" t="s">
        <v>1102</v>
      </c>
      <c r="E501" s="3">
        <v>2</v>
      </c>
      <c r="F501" s="3">
        <v>3</v>
      </c>
      <c r="G501" t="s">
        <v>12</v>
      </c>
      <c r="H501" t="s">
        <v>1108</v>
      </c>
      <c r="I501" t="s">
        <v>25</v>
      </c>
      <c r="J501" t="s">
        <v>53</v>
      </c>
      <c r="K501" t="s">
        <v>10</v>
      </c>
      <c r="L501" t="s">
        <v>10</v>
      </c>
      <c r="M501" t="s">
        <v>10</v>
      </c>
      <c r="N501" t="s">
        <v>57</v>
      </c>
      <c r="O501" t="str">
        <f>INDEX(CoverageTable[Deductible Applies],MATCH(Table1820[[#This Row],[Coverage]],CoverageTable[Coverage],0))</f>
        <v>Yes</v>
      </c>
      <c r="P501" t="str">
        <f>INDEX(CoverageTable[Coverage Limit Applies],MATCH(Table1820[[#This Row],[Coverage]],CoverageTable[Coverage],0))</f>
        <v>No</v>
      </c>
      <c r="Q501" t="s">
        <v>79</v>
      </c>
      <c r="R501" t="s">
        <v>10</v>
      </c>
      <c r="S501" t="s">
        <v>57</v>
      </c>
      <c r="T501" t="s">
        <v>10</v>
      </c>
      <c r="U501" t="s">
        <v>10</v>
      </c>
      <c r="V501" t="s">
        <v>10</v>
      </c>
      <c r="W501" t="s">
        <v>10</v>
      </c>
      <c r="X501" s="11">
        <v>502.72296309180479</v>
      </c>
      <c r="Y501">
        <f>_xlfn.XLOOKUP(Table1820[[#This Row],[Coverage]],CoverageTable[Coverage],CoverageTable[Base Rate],,0)</f>
        <v>121</v>
      </c>
      <c r="Z501">
        <f>INDEX(Table16[Ageband Factor],MATCH(Table1820[[#This Row],[Ageband]],Table16[Ageband],0))</f>
        <v>1.27</v>
      </c>
      <c r="AA501">
        <f>VLOOKUP(Table1820[[#This Row],[Years Driving]],Table1[],2)</f>
        <v>1.41</v>
      </c>
      <c r="AB501">
        <f>_xlfn.XLOOKUP(Table1820[[#This Row],[At Fault Accidents]],Table2[At Fault Accidents],Table2[At Fault Accident Factor],,0)</f>
        <v>1.82</v>
      </c>
      <c r="AC501">
        <f>_xlfn.XLOOKUP(Table1820[[#This Row],[Usage-Based Insurance]],Table3[Usage-Based Insurance],Table3[Usage-Based Insurance Discount],,0)</f>
        <v>0.8</v>
      </c>
      <c r="AD501">
        <f>_xlfn.XLOOKUP(Table1820[[#This Row],[Yearly Miles]],Table4[Yearly Miles],Table4[Yearly Miles Factor],,0)</f>
        <v>1</v>
      </c>
      <c r="AE501">
        <f>_xlfn.XLOOKUP(Table1820[[#This Row],[City/Zip Code]],Table5[City/Zip Code],Table5[City/Zip Code Factor],,0)</f>
        <v>1.1599999999999999</v>
      </c>
      <c r="AF501">
        <f>_xlfn.XLOOKUP(Table1820[[#This Row],[Vehicle Price]],Table6[Vehicle Price],Table6[Vehicle Price Factor])</f>
        <v>2.02</v>
      </c>
      <c r="AG501">
        <f>_xlfn.XLOOKUP(Table1820[[#This Row],[Exotic Car]],Table7[Exotic Car],Table7[Exotic Car Factor],,0)</f>
        <v>1</v>
      </c>
      <c r="AH501">
        <f>_xlfn.XLOOKUP(Table1820[[#This Row],[Difficult Parts]],Table8[Difficult Parts],Table8[Difficult Parts Factor],,0)</f>
        <v>1</v>
      </c>
      <c r="AI501">
        <f>_xlfn.XLOOKUP(Table1820[[#This Row],[High Theft Rate]],Table9[High Theft Rate],Table9[High Theft Rate Factor],,0)</f>
        <v>1</v>
      </c>
      <c r="AJ501">
        <f>_xlfn.XLOOKUP(Table1820[[#This Row],[Advanced Safety Features]],Table10[Advanced Safety Features],Table10[Advanced Safety Features Factor],,0)</f>
        <v>0.88</v>
      </c>
      <c r="AK501">
        <f>_xlfn.XLOOKUP(Table1820[[#This Row],[Deductible]],Table12[Deductible],Table12[Deductible Factor],,0)</f>
        <v>0.84</v>
      </c>
      <c r="AL501">
        <f>_xlfn.XLOOKUP(Table1820[[#This Row],[Coverage Limit]],Table13[Coverage Limit],Table13[Coverage Limit Factor],,0)</f>
        <v>1</v>
      </c>
      <c r="AM501">
        <f>IF(Table1820[[#This Row],[Good Student Discount]]="Yes",'Rate Book'!$D$126,1)</f>
        <v>0.92</v>
      </c>
      <c r="AN501">
        <f>IF(Table1820[[#This Row],[Good Driver Discount]]="Yes",'Rate Book'!$D$127,1)</f>
        <v>1</v>
      </c>
      <c r="AO501">
        <f>IF(Table1820[[#This Row],[Multi Policy Discount]]="Yes",'Rate Book'!$D$128,1)</f>
        <v>1</v>
      </c>
      <c r="AP501">
        <f>IF(Table1820[[#This Row],[Loyal Customer Discount]]="Yes",'Rate Book'!$D$129,1)</f>
        <v>1</v>
      </c>
      <c r="AQ501">
        <f>IF(Table1820[[#This Row],[Organization Discount]]="Yes",'Rate Book'!$D$130,1)</f>
        <v>1</v>
      </c>
      <c r="AR501" cm="1">
        <f t="array" ref="AR501">IF(Table1820[[#This Row],[Effective Date]]&gt;=RateChangeTable[Effective Date],RateChangeTable[Rate Change Factor],1)</f>
        <v>1</v>
      </c>
      <c r="AS501" s="10">
        <f>PRODUCT(Table1820[[#This Row],[Base Rate]:[Rate Change Factor]])</f>
        <v>502.72296309180479</v>
      </c>
      <c r="AT501" s="9">
        <f>Table1820[[#This Row],[System-Generated Premium]]-Table1820[[#This Row],[Expected Premium]]</f>
        <v>0</v>
      </c>
      <c r="AU501" t="str">
        <f>IF(Table1820[[#This Row],[Difference]]=0,"PASS","FAIL")</f>
        <v>PASS</v>
      </c>
      <c r="AV501" s="9">
        <f>ABS(Table1820[[#This Row],[Difference]])</f>
        <v>0</v>
      </c>
      <c r="AW501" s="9" t="s">
        <v>1136</v>
      </c>
    </row>
    <row r="502" spans="1:49" x14ac:dyDescent="0.3">
      <c r="A502" t="s">
        <v>593</v>
      </c>
      <c r="B502" s="7">
        <v>46112</v>
      </c>
      <c r="C502" t="s">
        <v>70</v>
      </c>
      <c r="D502" t="s">
        <v>1100</v>
      </c>
      <c r="E502" s="3">
        <v>5</v>
      </c>
      <c r="F502" s="3">
        <v>0</v>
      </c>
      <c r="G502" t="s">
        <v>13</v>
      </c>
      <c r="H502" t="s">
        <v>1109</v>
      </c>
      <c r="I502" t="s">
        <v>43</v>
      </c>
      <c r="J502" t="s">
        <v>54</v>
      </c>
      <c r="K502" t="s">
        <v>10</v>
      </c>
      <c r="L502" t="s">
        <v>10</v>
      </c>
      <c r="M502" t="s">
        <v>10</v>
      </c>
      <c r="N502" t="s">
        <v>10</v>
      </c>
      <c r="O502" t="str">
        <f>INDEX(CoverageTable[Deductible Applies],MATCH(Table1820[[#This Row],[Coverage]],CoverageTable[Coverage],0))</f>
        <v>No</v>
      </c>
      <c r="P502" t="str">
        <f>INDEX(CoverageTable[Coverage Limit Applies],MATCH(Table1820[[#This Row],[Coverage]],CoverageTable[Coverage],0))</f>
        <v>Yes</v>
      </c>
      <c r="Q502" t="s">
        <v>10</v>
      </c>
      <c r="R502" t="s">
        <v>78</v>
      </c>
      <c r="S502" t="s">
        <v>10</v>
      </c>
      <c r="T502" t="s">
        <v>57</v>
      </c>
      <c r="U502" t="s">
        <v>10</v>
      </c>
      <c r="V502" t="s">
        <v>57</v>
      </c>
      <c r="W502" t="s">
        <v>10</v>
      </c>
      <c r="X502" s="11">
        <v>1000.6236620704191</v>
      </c>
      <c r="Y502">
        <f>_xlfn.XLOOKUP(Table1820[[#This Row],[Coverage]],CoverageTable[Coverage],CoverageTable[Base Rate],,0)</f>
        <v>622</v>
      </c>
      <c r="Z502">
        <f>INDEX(Table16[Ageband Factor],MATCH(Table1820[[#This Row],[Ageband]],Table16[Ageband],0))</f>
        <v>1.07</v>
      </c>
      <c r="AA502">
        <f>VLOOKUP(Table1820[[#This Row],[Years Driving]],Table1[],2)</f>
        <v>1.07</v>
      </c>
      <c r="AB502">
        <f>_xlfn.XLOOKUP(Table1820[[#This Row],[At Fault Accidents]],Table2[At Fault Accidents],Table2[At Fault Accident Factor],,0)</f>
        <v>1</v>
      </c>
      <c r="AC502">
        <f>_xlfn.XLOOKUP(Table1820[[#This Row],[Usage-Based Insurance]],Table3[Usage-Based Insurance],Table3[Usage-Based Insurance Discount],,0)</f>
        <v>0.65</v>
      </c>
      <c r="AD502">
        <f>_xlfn.XLOOKUP(Table1820[[#This Row],[Yearly Miles]],Table4[Yearly Miles],Table4[Yearly Miles Factor],,0)</f>
        <v>1.18</v>
      </c>
      <c r="AE502">
        <f>_xlfn.XLOOKUP(Table1820[[#This Row],[City/Zip Code]],Table5[City/Zip Code],Table5[City/Zip Code Factor],,0)</f>
        <v>1.18</v>
      </c>
      <c r="AF502">
        <f>_xlfn.XLOOKUP(Table1820[[#This Row],[Vehicle Price]],Table6[Vehicle Price],Table6[Vehicle Price Factor])</f>
        <v>2.87</v>
      </c>
      <c r="AG502">
        <f>_xlfn.XLOOKUP(Table1820[[#This Row],[Exotic Car]],Table7[Exotic Car],Table7[Exotic Car Factor],,0)</f>
        <v>1</v>
      </c>
      <c r="AH502">
        <f>_xlfn.XLOOKUP(Table1820[[#This Row],[Difficult Parts]],Table8[Difficult Parts],Table8[Difficult Parts Factor],,0)</f>
        <v>1</v>
      </c>
      <c r="AI502">
        <f>_xlfn.XLOOKUP(Table1820[[#This Row],[High Theft Rate]],Table9[High Theft Rate],Table9[High Theft Rate Factor],,0)</f>
        <v>1</v>
      </c>
      <c r="AJ502">
        <f>_xlfn.XLOOKUP(Table1820[[#This Row],[Advanced Safety Features]],Table10[Advanced Safety Features],Table10[Advanced Safety Features Factor],,0)</f>
        <v>1</v>
      </c>
      <c r="AK502">
        <f>_xlfn.XLOOKUP(Table1820[[#This Row],[Deductible]],Table12[Deductible],Table12[Deductible Factor],,0)</f>
        <v>1</v>
      </c>
      <c r="AL502">
        <f>_xlfn.XLOOKUP(Table1820[[#This Row],[Coverage Limit]],Table13[Coverage Limit],Table13[Coverage Limit Factor],,0)</f>
        <v>0.61</v>
      </c>
      <c r="AM502">
        <f>IF(Table1820[[#This Row],[Good Student Discount]]="Yes",'Rate Book'!$D$126,1)</f>
        <v>1</v>
      </c>
      <c r="AN502">
        <f>IF(Table1820[[#This Row],[Good Driver Discount]]="Yes",'Rate Book'!$D$127,1)</f>
        <v>0.89</v>
      </c>
      <c r="AO502">
        <f>IF(Table1820[[#This Row],[Multi Policy Discount]]="Yes",'Rate Book'!$D$128,1)</f>
        <v>1</v>
      </c>
      <c r="AP502">
        <f>IF(Table1820[[#This Row],[Loyal Customer Discount]]="Yes",'Rate Book'!$D$129,1)</f>
        <v>0.94</v>
      </c>
      <c r="AQ502">
        <f>IF(Table1820[[#This Row],[Organization Discount]]="Yes",'Rate Book'!$D$130,1)</f>
        <v>1</v>
      </c>
      <c r="AR502" cm="1">
        <f t="array" ref="AR502">IF(Table1820[[#This Row],[Effective Date]]&gt;=RateChangeTable[Effective Date],RateChangeTable[Rate Change Factor],1)</f>
        <v>1.06</v>
      </c>
      <c r="AS502" s="10">
        <f>PRODUCT(Table1820[[#This Row],[Base Rate]:[Rate Change Factor]])</f>
        <v>1000.6236620704191</v>
      </c>
      <c r="AT502" s="9">
        <f>Table1820[[#This Row],[System-Generated Premium]]-Table1820[[#This Row],[Expected Premium]]</f>
        <v>0</v>
      </c>
      <c r="AU502" t="str">
        <f>IF(Table1820[[#This Row],[Difference]]=0,"PASS","FAIL")</f>
        <v>PASS</v>
      </c>
      <c r="AV502" s="9">
        <f>ABS(Table1820[[#This Row],[Difference]])</f>
        <v>0</v>
      </c>
      <c r="AW502" s="9" t="s">
        <v>1136</v>
      </c>
    </row>
    <row r="503" spans="1:49" x14ac:dyDescent="0.3">
      <c r="A503" t="s">
        <v>594</v>
      </c>
      <c r="B503" s="7">
        <v>45979</v>
      </c>
      <c r="C503" t="s">
        <v>71</v>
      </c>
      <c r="D503" t="s">
        <v>1099</v>
      </c>
      <c r="E503" s="3">
        <v>2</v>
      </c>
      <c r="F503" s="3">
        <v>2</v>
      </c>
      <c r="G503" t="s">
        <v>10</v>
      </c>
      <c r="H503" t="s">
        <v>1106</v>
      </c>
      <c r="I503" t="s">
        <v>31</v>
      </c>
      <c r="J503" t="s">
        <v>54</v>
      </c>
      <c r="K503" t="s">
        <v>10</v>
      </c>
      <c r="L503" t="s">
        <v>10</v>
      </c>
      <c r="M503" t="s">
        <v>10</v>
      </c>
      <c r="N503" t="s">
        <v>10</v>
      </c>
      <c r="O503" t="str">
        <f>INDEX(CoverageTable[Deductible Applies],MATCH(Table1820[[#This Row],[Coverage]],CoverageTable[Coverage],0))</f>
        <v>Yes</v>
      </c>
      <c r="P503" t="str">
        <f>INDEX(CoverageTable[Coverage Limit Applies],MATCH(Table1820[[#This Row],[Coverage]],CoverageTable[Coverage],0))</f>
        <v>No</v>
      </c>
      <c r="Q503" t="s">
        <v>79</v>
      </c>
      <c r="R503" t="s">
        <v>10</v>
      </c>
      <c r="S503" t="s">
        <v>10</v>
      </c>
      <c r="T503" t="s">
        <v>57</v>
      </c>
      <c r="U503" t="s">
        <v>10</v>
      </c>
      <c r="V503" t="s">
        <v>10</v>
      </c>
      <c r="W503" t="s">
        <v>10</v>
      </c>
      <c r="X503" s="11">
        <v>1933.4681994613359</v>
      </c>
      <c r="Y503">
        <f>_xlfn.XLOOKUP(Table1820[[#This Row],[Coverage]],CoverageTable[Coverage],CoverageTable[Base Rate],,0)</f>
        <v>453</v>
      </c>
      <c r="Z503">
        <f>INDEX(Table16[Ageband Factor],MATCH(Table1820[[#This Row],[Ageband]],Table16[Ageband],0))</f>
        <v>1</v>
      </c>
      <c r="AA503">
        <f>VLOOKUP(Table1820[[#This Row],[Years Driving]],Table1[],2)</f>
        <v>1.41</v>
      </c>
      <c r="AB503">
        <f>_xlfn.XLOOKUP(Table1820[[#This Row],[At Fault Accidents]],Table2[At Fault Accidents],Table2[At Fault Accident Factor],,0)</f>
        <v>1.55</v>
      </c>
      <c r="AC503">
        <f>_xlfn.XLOOKUP(Table1820[[#This Row],[Usage-Based Insurance]],Table3[Usage-Based Insurance],Table3[Usage-Based Insurance Discount],,0)</f>
        <v>1</v>
      </c>
      <c r="AD503">
        <f>_xlfn.XLOOKUP(Table1820[[#This Row],[Yearly Miles]],Table4[Yearly Miles],Table4[Yearly Miles Factor],,0)</f>
        <v>0.82</v>
      </c>
      <c r="AE503">
        <f>_xlfn.XLOOKUP(Table1820[[#This Row],[City/Zip Code]],Table5[City/Zip Code],Table5[City/Zip Code Factor],,0)</f>
        <v>1.1100000000000001</v>
      </c>
      <c r="AF503">
        <f>_xlfn.XLOOKUP(Table1820[[#This Row],[Vehicle Price]],Table6[Vehicle Price],Table6[Vehicle Price Factor])</f>
        <v>2.87</v>
      </c>
      <c r="AG503">
        <f>_xlfn.XLOOKUP(Table1820[[#This Row],[Exotic Car]],Table7[Exotic Car],Table7[Exotic Car Factor],,0)</f>
        <v>1</v>
      </c>
      <c r="AH503">
        <f>_xlfn.XLOOKUP(Table1820[[#This Row],[Difficult Parts]],Table8[Difficult Parts],Table8[Difficult Parts Factor],,0)</f>
        <v>1</v>
      </c>
      <c r="AI503">
        <f>_xlfn.XLOOKUP(Table1820[[#This Row],[High Theft Rate]],Table9[High Theft Rate],Table9[High Theft Rate Factor],,0)</f>
        <v>1</v>
      </c>
      <c r="AJ503">
        <f>_xlfn.XLOOKUP(Table1820[[#This Row],[Advanced Safety Features]],Table10[Advanced Safety Features],Table10[Advanced Safety Features Factor],,0)</f>
        <v>1</v>
      </c>
      <c r="AK503">
        <f>_xlfn.XLOOKUP(Table1820[[#This Row],[Deductible]],Table12[Deductible],Table12[Deductible Factor],,0)</f>
        <v>0.84</v>
      </c>
      <c r="AL503">
        <f>_xlfn.XLOOKUP(Table1820[[#This Row],[Coverage Limit]],Table13[Coverage Limit],Table13[Coverage Limit Factor],,0)</f>
        <v>1</v>
      </c>
      <c r="AM503">
        <f>IF(Table1820[[#This Row],[Good Student Discount]]="Yes",'Rate Book'!$D$126,1)</f>
        <v>1</v>
      </c>
      <c r="AN503">
        <f>IF(Table1820[[#This Row],[Good Driver Discount]]="Yes",'Rate Book'!$D$127,1)</f>
        <v>0.89</v>
      </c>
      <c r="AO503">
        <f>IF(Table1820[[#This Row],[Multi Policy Discount]]="Yes",'Rate Book'!$D$128,1)</f>
        <v>1</v>
      </c>
      <c r="AP503">
        <f>IF(Table1820[[#This Row],[Loyal Customer Discount]]="Yes",'Rate Book'!$D$129,1)</f>
        <v>1</v>
      </c>
      <c r="AQ503">
        <f>IF(Table1820[[#This Row],[Organization Discount]]="Yes",'Rate Book'!$D$130,1)</f>
        <v>1</v>
      </c>
      <c r="AR503" cm="1">
        <f t="array" ref="AR503">IF(Table1820[[#This Row],[Effective Date]]&gt;=RateChangeTable[Effective Date],RateChangeTable[Rate Change Factor],1)</f>
        <v>1</v>
      </c>
      <c r="AS503" s="10">
        <f>PRODUCT(Table1820[[#This Row],[Base Rate]:[Rate Change Factor]])</f>
        <v>1933.4681994613359</v>
      </c>
      <c r="AT503" s="9">
        <f>Table1820[[#This Row],[System-Generated Premium]]-Table1820[[#This Row],[Expected Premium]]</f>
        <v>0</v>
      </c>
      <c r="AU503" t="str">
        <f>IF(Table1820[[#This Row],[Difference]]=0,"PASS","FAIL")</f>
        <v>PASS</v>
      </c>
      <c r="AV503" s="9">
        <f>ABS(Table1820[[#This Row],[Difference]])</f>
        <v>0</v>
      </c>
      <c r="AW503" s="9" t="s">
        <v>1136</v>
      </c>
    </row>
    <row r="504" spans="1:49" x14ac:dyDescent="0.3">
      <c r="A504" t="s">
        <v>595</v>
      </c>
      <c r="B504" s="7">
        <v>45928</v>
      </c>
      <c r="C504" t="s">
        <v>70</v>
      </c>
      <c r="D504" t="s">
        <v>1102</v>
      </c>
      <c r="E504" s="3">
        <v>3</v>
      </c>
      <c r="F504" s="3">
        <v>0</v>
      </c>
      <c r="G504" t="s">
        <v>12</v>
      </c>
      <c r="H504" t="s">
        <v>1106</v>
      </c>
      <c r="I504" t="s">
        <v>44</v>
      </c>
      <c r="J504" t="s">
        <v>49</v>
      </c>
      <c r="K504" t="s">
        <v>10</v>
      </c>
      <c r="L504" t="s">
        <v>10</v>
      </c>
      <c r="M504" t="s">
        <v>10</v>
      </c>
      <c r="N504" t="s">
        <v>10</v>
      </c>
      <c r="O504" t="str">
        <f>INDEX(CoverageTable[Deductible Applies],MATCH(Table1820[[#This Row],[Coverage]],CoverageTable[Coverage],0))</f>
        <v>No</v>
      </c>
      <c r="P504" t="str">
        <f>INDEX(CoverageTable[Coverage Limit Applies],MATCH(Table1820[[#This Row],[Coverage]],CoverageTable[Coverage],0))</f>
        <v>Yes</v>
      </c>
      <c r="Q504" t="s">
        <v>10</v>
      </c>
      <c r="R504" t="s">
        <v>78</v>
      </c>
      <c r="S504" t="s">
        <v>10</v>
      </c>
      <c r="T504" t="s">
        <v>10</v>
      </c>
      <c r="U504" t="s">
        <v>10</v>
      </c>
      <c r="V504" t="s">
        <v>10</v>
      </c>
      <c r="W504" t="s">
        <v>10</v>
      </c>
      <c r="X504" s="11">
        <v>433.92765980725756</v>
      </c>
      <c r="Y504">
        <f>_xlfn.XLOOKUP(Table1820[[#This Row],[Coverage]],CoverageTable[Coverage],CoverageTable[Base Rate],,0)</f>
        <v>622</v>
      </c>
      <c r="Z504">
        <f>INDEX(Table16[Ageband Factor],MATCH(Table1820[[#This Row],[Ageband]],Table16[Ageband],0))</f>
        <v>1.27</v>
      </c>
      <c r="AA504">
        <f>VLOOKUP(Table1820[[#This Row],[Years Driving]],Table1[],2)</f>
        <v>1.22</v>
      </c>
      <c r="AB504">
        <f>_xlfn.XLOOKUP(Table1820[[#This Row],[At Fault Accidents]],Table2[At Fault Accidents],Table2[At Fault Accident Factor],,0)</f>
        <v>1</v>
      </c>
      <c r="AC504">
        <f>_xlfn.XLOOKUP(Table1820[[#This Row],[Usage-Based Insurance]],Table3[Usage-Based Insurance],Table3[Usage-Based Insurance Discount],,0)</f>
        <v>0.8</v>
      </c>
      <c r="AD504">
        <f>_xlfn.XLOOKUP(Table1820[[#This Row],[Yearly Miles]],Table4[Yearly Miles],Table4[Yearly Miles Factor],,0)</f>
        <v>0.82</v>
      </c>
      <c r="AE504">
        <f>_xlfn.XLOOKUP(Table1820[[#This Row],[City/Zip Code]],Table5[City/Zip Code],Table5[City/Zip Code Factor],,0)</f>
        <v>1.1599999999999999</v>
      </c>
      <c r="AF504">
        <f>_xlfn.XLOOKUP(Table1820[[#This Row],[Vehicle Price]],Table6[Vehicle Price],Table6[Vehicle Price Factor])</f>
        <v>0.97</v>
      </c>
      <c r="AG504">
        <f>_xlfn.XLOOKUP(Table1820[[#This Row],[Exotic Car]],Table7[Exotic Car],Table7[Exotic Car Factor],,0)</f>
        <v>1</v>
      </c>
      <c r="AH504">
        <f>_xlfn.XLOOKUP(Table1820[[#This Row],[Difficult Parts]],Table8[Difficult Parts],Table8[Difficult Parts Factor],,0)</f>
        <v>1</v>
      </c>
      <c r="AI504">
        <f>_xlfn.XLOOKUP(Table1820[[#This Row],[High Theft Rate]],Table9[High Theft Rate],Table9[High Theft Rate Factor],,0)</f>
        <v>1</v>
      </c>
      <c r="AJ504">
        <f>_xlfn.XLOOKUP(Table1820[[#This Row],[Advanced Safety Features]],Table10[Advanced Safety Features],Table10[Advanced Safety Features Factor],,0)</f>
        <v>1</v>
      </c>
      <c r="AK504">
        <f>_xlfn.XLOOKUP(Table1820[[#This Row],[Deductible]],Table12[Deductible],Table12[Deductible Factor],,0)</f>
        <v>1</v>
      </c>
      <c r="AL504">
        <f>_xlfn.XLOOKUP(Table1820[[#This Row],[Coverage Limit]],Table13[Coverage Limit],Table13[Coverage Limit Factor],,0)</f>
        <v>0.61</v>
      </c>
      <c r="AM504">
        <f>IF(Table1820[[#This Row],[Good Student Discount]]="Yes",'Rate Book'!$D$126,1)</f>
        <v>1</v>
      </c>
      <c r="AN504">
        <f>IF(Table1820[[#This Row],[Good Driver Discount]]="Yes",'Rate Book'!$D$127,1)</f>
        <v>1</v>
      </c>
      <c r="AO504">
        <f>IF(Table1820[[#This Row],[Multi Policy Discount]]="Yes",'Rate Book'!$D$128,1)</f>
        <v>1</v>
      </c>
      <c r="AP504">
        <f>IF(Table1820[[#This Row],[Loyal Customer Discount]]="Yes",'Rate Book'!$D$129,1)</f>
        <v>1</v>
      </c>
      <c r="AQ504">
        <f>IF(Table1820[[#This Row],[Organization Discount]]="Yes",'Rate Book'!$D$130,1)</f>
        <v>1</v>
      </c>
      <c r="AR504" cm="1">
        <f t="array" ref="AR504">IF(Table1820[[#This Row],[Effective Date]]&gt;=RateChangeTable[Effective Date],RateChangeTable[Rate Change Factor],1)</f>
        <v>1</v>
      </c>
      <c r="AS504" s="10">
        <f>PRODUCT(Table1820[[#This Row],[Base Rate]:[Rate Change Factor]])</f>
        <v>433.92765980725756</v>
      </c>
      <c r="AT504" s="9">
        <f>Table1820[[#This Row],[System-Generated Premium]]-Table1820[[#This Row],[Expected Premium]]</f>
        <v>0</v>
      </c>
      <c r="AU504" t="str">
        <f>IF(Table1820[[#This Row],[Difference]]=0,"PASS","FAIL")</f>
        <v>PASS</v>
      </c>
      <c r="AV504" s="9">
        <f>ABS(Table1820[[#This Row],[Difference]])</f>
        <v>0</v>
      </c>
      <c r="AW504" s="9" t="s">
        <v>1136</v>
      </c>
    </row>
    <row r="505" spans="1:49" x14ac:dyDescent="0.3">
      <c r="A505" t="s">
        <v>596</v>
      </c>
      <c r="B505" s="7">
        <v>45887</v>
      </c>
      <c r="C505" t="s">
        <v>70</v>
      </c>
      <c r="D505" t="s">
        <v>1101</v>
      </c>
      <c r="E505" s="3">
        <v>3</v>
      </c>
      <c r="F505" s="3">
        <v>2</v>
      </c>
      <c r="G505" t="s">
        <v>10</v>
      </c>
      <c r="H505" t="s">
        <v>1108</v>
      </c>
      <c r="I505" t="s">
        <v>31</v>
      </c>
      <c r="J505" t="s">
        <v>50</v>
      </c>
      <c r="K505" t="s">
        <v>10</v>
      </c>
      <c r="L505" t="s">
        <v>57</v>
      </c>
      <c r="M505" t="s">
        <v>10</v>
      </c>
      <c r="N505" t="s">
        <v>10</v>
      </c>
      <c r="O505" t="str">
        <f>INDEX(CoverageTable[Deductible Applies],MATCH(Table1820[[#This Row],[Coverage]],CoverageTable[Coverage],0))</f>
        <v>No</v>
      </c>
      <c r="P505" t="str">
        <f>INDEX(CoverageTable[Coverage Limit Applies],MATCH(Table1820[[#This Row],[Coverage]],CoverageTable[Coverage],0))</f>
        <v>Yes</v>
      </c>
      <c r="Q505" t="s">
        <v>10</v>
      </c>
      <c r="R505" t="s">
        <v>79</v>
      </c>
      <c r="S505" t="s">
        <v>10</v>
      </c>
      <c r="T505" t="s">
        <v>10</v>
      </c>
      <c r="U505" t="s">
        <v>10</v>
      </c>
      <c r="V505" t="s">
        <v>10</v>
      </c>
      <c r="W505" t="s">
        <v>10</v>
      </c>
      <c r="X505" s="11">
        <v>1375.8292466924549</v>
      </c>
      <c r="Y505">
        <f>_xlfn.XLOOKUP(Table1820[[#This Row],[Coverage]],CoverageTable[Coverage],CoverageTable[Base Rate],,0)</f>
        <v>622</v>
      </c>
      <c r="Z505">
        <f>INDEX(Table16[Ageband Factor],MATCH(Table1820[[#This Row],[Ageband]],Table16[Ageband],0))</f>
        <v>1.1200000000000001</v>
      </c>
      <c r="AA505">
        <f>VLOOKUP(Table1820[[#This Row],[Years Driving]],Table1[],2)</f>
        <v>1.22</v>
      </c>
      <c r="AB505">
        <f>_xlfn.XLOOKUP(Table1820[[#This Row],[At Fault Accidents]],Table2[At Fault Accidents],Table2[At Fault Accident Factor],,0)</f>
        <v>1.55</v>
      </c>
      <c r="AC505">
        <f>_xlfn.XLOOKUP(Table1820[[#This Row],[Usage-Based Insurance]],Table3[Usage-Based Insurance],Table3[Usage-Based Insurance Discount],,0)</f>
        <v>1</v>
      </c>
      <c r="AD505">
        <f>_xlfn.XLOOKUP(Table1820[[#This Row],[Yearly Miles]],Table4[Yearly Miles],Table4[Yearly Miles Factor],,0)</f>
        <v>1</v>
      </c>
      <c r="AE505">
        <f>_xlfn.XLOOKUP(Table1820[[#This Row],[City/Zip Code]],Table5[City/Zip Code],Table5[City/Zip Code Factor],,0)</f>
        <v>1.1100000000000001</v>
      </c>
      <c r="AF505">
        <f>_xlfn.XLOOKUP(Table1820[[#This Row],[Vehicle Price]],Table6[Vehicle Price],Table6[Vehicle Price Factor])</f>
        <v>1.08</v>
      </c>
      <c r="AG505">
        <f>_xlfn.XLOOKUP(Table1820[[#This Row],[Exotic Car]],Table7[Exotic Car],Table7[Exotic Car Factor],,0)</f>
        <v>1</v>
      </c>
      <c r="AH505">
        <f>_xlfn.XLOOKUP(Table1820[[#This Row],[Difficult Parts]],Table8[Difficult Parts],Table8[Difficult Parts Factor],,0)</f>
        <v>1.21</v>
      </c>
      <c r="AI505">
        <f>_xlfn.XLOOKUP(Table1820[[#This Row],[High Theft Rate]],Table9[High Theft Rate],Table9[High Theft Rate Factor],,0)</f>
        <v>1</v>
      </c>
      <c r="AJ505">
        <f>_xlfn.XLOOKUP(Table1820[[#This Row],[Advanced Safety Features]],Table10[Advanced Safety Features],Table10[Advanced Safety Features Factor],,0)</f>
        <v>1</v>
      </c>
      <c r="AK505">
        <f>_xlfn.XLOOKUP(Table1820[[#This Row],[Deductible]],Table12[Deductible],Table12[Deductible Factor],,0)</f>
        <v>1</v>
      </c>
      <c r="AL505">
        <f>_xlfn.XLOOKUP(Table1820[[#This Row],[Coverage Limit]],Table13[Coverage Limit],Table13[Coverage Limit Factor],,0)</f>
        <v>0.72</v>
      </c>
      <c r="AM505">
        <f>IF(Table1820[[#This Row],[Good Student Discount]]="Yes",'Rate Book'!$D$126,1)</f>
        <v>1</v>
      </c>
      <c r="AN505">
        <f>IF(Table1820[[#This Row],[Good Driver Discount]]="Yes",'Rate Book'!$D$127,1)</f>
        <v>1</v>
      </c>
      <c r="AO505">
        <f>IF(Table1820[[#This Row],[Multi Policy Discount]]="Yes",'Rate Book'!$D$128,1)</f>
        <v>1</v>
      </c>
      <c r="AP505">
        <f>IF(Table1820[[#This Row],[Loyal Customer Discount]]="Yes",'Rate Book'!$D$129,1)</f>
        <v>1</v>
      </c>
      <c r="AQ505">
        <f>IF(Table1820[[#This Row],[Organization Discount]]="Yes",'Rate Book'!$D$130,1)</f>
        <v>1</v>
      </c>
      <c r="AR505" cm="1">
        <f t="array" ref="AR505">IF(Table1820[[#This Row],[Effective Date]]&gt;=RateChangeTable[Effective Date],RateChangeTable[Rate Change Factor],1)</f>
        <v>1</v>
      </c>
      <c r="AS505" s="10">
        <f>PRODUCT(Table1820[[#This Row],[Base Rate]:[Rate Change Factor]])</f>
        <v>1375.8292466924549</v>
      </c>
      <c r="AT505" s="9">
        <f>Table1820[[#This Row],[System-Generated Premium]]-Table1820[[#This Row],[Expected Premium]]</f>
        <v>0</v>
      </c>
      <c r="AU505" t="str">
        <f>IF(Table1820[[#This Row],[Difference]]=0,"PASS","FAIL")</f>
        <v>PASS</v>
      </c>
      <c r="AV505" s="9">
        <f>ABS(Table1820[[#This Row],[Difference]])</f>
        <v>0</v>
      </c>
      <c r="AW505" s="9" t="s">
        <v>1136</v>
      </c>
    </row>
    <row r="506" spans="1:49" x14ac:dyDescent="0.3">
      <c r="A506" t="s">
        <v>597</v>
      </c>
      <c r="B506" s="7">
        <v>46061</v>
      </c>
      <c r="C506" t="s">
        <v>71</v>
      </c>
      <c r="D506" t="s">
        <v>1100</v>
      </c>
      <c r="E506" s="3">
        <v>2</v>
      </c>
      <c r="F506" s="3">
        <v>1</v>
      </c>
      <c r="G506" t="s">
        <v>12</v>
      </c>
      <c r="H506" t="s">
        <v>1110</v>
      </c>
      <c r="I506" t="s">
        <v>42</v>
      </c>
      <c r="J506" t="s">
        <v>48</v>
      </c>
      <c r="K506" t="s">
        <v>10</v>
      </c>
      <c r="L506" t="s">
        <v>10</v>
      </c>
      <c r="M506" t="s">
        <v>57</v>
      </c>
      <c r="N506" t="s">
        <v>57</v>
      </c>
      <c r="O506" t="str">
        <f>INDEX(CoverageTable[Deductible Applies],MATCH(Table1820[[#This Row],[Coverage]],CoverageTable[Coverage],0))</f>
        <v>Yes</v>
      </c>
      <c r="P506" t="str">
        <f>INDEX(CoverageTable[Coverage Limit Applies],MATCH(Table1820[[#This Row],[Coverage]],CoverageTable[Coverage],0))</f>
        <v>No</v>
      </c>
      <c r="Q506" t="s">
        <v>78</v>
      </c>
      <c r="R506" t="s">
        <v>10</v>
      </c>
      <c r="S506" t="s">
        <v>10</v>
      </c>
      <c r="T506" t="s">
        <v>57</v>
      </c>
      <c r="U506" t="s">
        <v>10</v>
      </c>
      <c r="V506" t="s">
        <v>10</v>
      </c>
      <c r="W506" t="s">
        <v>10</v>
      </c>
      <c r="X506" s="11">
        <v>871.21738807405757</v>
      </c>
      <c r="Y506">
        <f>_xlfn.XLOOKUP(Table1820[[#This Row],[Coverage]],CoverageTable[Coverage],CoverageTable[Base Rate],,0)</f>
        <v>453</v>
      </c>
      <c r="Z506">
        <f>INDEX(Table16[Ageband Factor],MATCH(Table1820[[#This Row],[Ageband]],Table16[Ageband],0))</f>
        <v>1.07</v>
      </c>
      <c r="AA506">
        <f>VLOOKUP(Table1820[[#This Row],[Years Driving]],Table1[],2)</f>
        <v>1.41</v>
      </c>
      <c r="AB506">
        <f>_xlfn.XLOOKUP(Table1820[[#This Row],[At Fault Accidents]],Table2[At Fault Accidents],Table2[At Fault Accident Factor],,0)</f>
        <v>1.34</v>
      </c>
      <c r="AC506">
        <f>_xlfn.XLOOKUP(Table1820[[#This Row],[Usage-Based Insurance]],Table3[Usage-Based Insurance],Table3[Usage-Based Insurance Discount],,0)</f>
        <v>0.8</v>
      </c>
      <c r="AD506">
        <f>_xlfn.XLOOKUP(Table1820[[#This Row],[Yearly Miles]],Table4[Yearly Miles],Table4[Yearly Miles Factor],,0)</f>
        <v>1.31</v>
      </c>
      <c r="AE506">
        <f>_xlfn.XLOOKUP(Table1820[[#This Row],[City/Zip Code]],Table5[City/Zip Code],Table5[City/Zip Code Factor],,0)</f>
        <v>1.21</v>
      </c>
      <c r="AF506">
        <f>_xlfn.XLOOKUP(Table1820[[#This Row],[Vehicle Price]],Table6[Vehicle Price],Table6[Vehicle Price Factor])</f>
        <v>0.82</v>
      </c>
      <c r="AG506">
        <f>_xlfn.XLOOKUP(Table1820[[#This Row],[Exotic Car]],Table7[Exotic Car],Table7[Exotic Car Factor],,0)</f>
        <v>1</v>
      </c>
      <c r="AH506">
        <f>_xlfn.XLOOKUP(Table1820[[#This Row],[Difficult Parts]],Table8[Difficult Parts],Table8[Difficult Parts Factor],,0)</f>
        <v>1</v>
      </c>
      <c r="AI506">
        <f>_xlfn.XLOOKUP(Table1820[[#This Row],[High Theft Rate]],Table9[High Theft Rate],Table9[High Theft Rate Factor],,0)</f>
        <v>1.1599999999999999</v>
      </c>
      <c r="AJ506">
        <f>_xlfn.XLOOKUP(Table1820[[#This Row],[Advanced Safety Features]],Table10[Advanced Safety Features],Table10[Advanced Safety Features Factor],,0)</f>
        <v>0.88</v>
      </c>
      <c r="AK506">
        <f>_xlfn.XLOOKUP(Table1820[[#This Row],[Deductible]],Table12[Deductible],Table12[Deductible Factor],,0)</f>
        <v>0.95</v>
      </c>
      <c r="AL506">
        <f>_xlfn.XLOOKUP(Table1820[[#This Row],[Coverage Limit]],Table13[Coverage Limit],Table13[Coverage Limit Factor],,0)</f>
        <v>1</v>
      </c>
      <c r="AM506">
        <f>IF(Table1820[[#This Row],[Good Student Discount]]="Yes",'Rate Book'!$D$126,1)</f>
        <v>1</v>
      </c>
      <c r="AN506">
        <f>IF(Table1820[[#This Row],[Good Driver Discount]]="Yes",'Rate Book'!$D$127,1)</f>
        <v>0.89</v>
      </c>
      <c r="AO506">
        <f>IF(Table1820[[#This Row],[Multi Policy Discount]]="Yes",'Rate Book'!$D$128,1)</f>
        <v>1</v>
      </c>
      <c r="AP506">
        <f>IF(Table1820[[#This Row],[Loyal Customer Discount]]="Yes",'Rate Book'!$D$129,1)</f>
        <v>1</v>
      </c>
      <c r="AQ506">
        <f>IF(Table1820[[#This Row],[Organization Discount]]="Yes",'Rate Book'!$D$130,1)</f>
        <v>1</v>
      </c>
      <c r="AR506" cm="1">
        <f t="array" ref="AR506">IF(Table1820[[#This Row],[Effective Date]]&gt;=RateChangeTable[Effective Date],RateChangeTable[Rate Change Factor],1)</f>
        <v>1.06</v>
      </c>
      <c r="AS506" s="10">
        <f>PRODUCT(Table1820[[#This Row],[Base Rate]:[Rate Change Factor]])</f>
        <v>871.21738807405757</v>
      </c>
      <c r="AT506" s="9">
        <f>Table1820[[#This Row],[System-Generated Premium]]-Table1820[[#This Row],[Expected Premium]]</f>
        <v>0</v>
      </c>
      <c r="AU506" t="str">
        <f>IF(Table1820[[#This Row],[Difference]]=0,"PASS","FAIL")</f>
        <v>PASS</v>
      </c>
      <c r="AV506" s="9">
        <f>ABS(Table1820[[#This Row],[Difference]])</f>
        <v>0</v>
      </c>
      <c r="AW506" s="9" t="s">
        <v>1136</v>
      </c>
    </row>
    <row r="507" spans="1:49" x14ac:dyDescent="0.3">
      <c r="A507" t="s">
        <v>598</v>
      </c>
      <c r="B507" s="7">
        <v>45897</v>
      </c>
      <c r="C507" t="s">
        <v>73</v>
      </c>
      <c r="D507" t="s">
        <v>1100</v>
      </c>
      <c r="E507" s="3">
        <v>6</v>
      </c>
      <c r="F507" s="3">
        <v>3</v>
      </c>
      <c r="G507" t="s">
        <v>10</v>
      </c>
      <c r="H507" t="s">
        <v>1110</v>
      </c>
      <c r="I507" t="s">
        <v>25</v>
      </c>
      <c r="J507" t="s">
        <v>49</v>
      </c>
      <c r="K507" t="s">
        <v>10</v>
      </c>
      <c r="L507" t="s">
        <v>10</v>
      </c>
      <c r="M507" t="s">
        <v>10</v>
      </c>
      <c r="N507" t="s">
        <v>57</v>
      </c>
      <c r="O507" t="str">
        <f>INDEX(CoverageTable[Deductible Applies],MATCH(Table1820[[#This Row],[Coverage]],CoverageTable[Coverage],0))</f>
        <v>No</v>
      </c>
      <c r="P507" t="str">
        <f>INDEX(CoverageTable[Coverage Limit Applies],MATCH(Table1820[[#This Row],[Coverage]],CoverageTable[Coverage],0))</f>
        <v>Yes</v>
      </c>
      <c r="Q507" t="s">
        <v>10</v>
      </c>
      <c r="R507" t="s">
        <v>78</v>
      </c>
      <c r="S507" t="s">
        <v>10</v>
      </c>
      <c r="T507" t="s">
        <v>10</v>
      </c>
      <c r="U507" t="s">
        <v>10</v>
      </c>
      <c r="V507" t="s">
        <v>10</v>
      </c>
      <c r="W507" t="s">
        <v>10</v>
      </c>
      <c r="X507" s="11">
        <v>120.18860506004354</v>
      </c>
      <c r="Y507">
        <f>_xlfn.XLOOKUP(Table1820[[#This Row],[Coverage]],CoverageTable[Coverage],CoverageTable[Base Rate],,0)</f>
        <v>78</v>
      </c>
      <c r="Z507">
        <f>INDEX(Table16[Ageband Factor],MATCH(Table1820[[#This Row],[Ageband]],Table16[Ageband],0))</f>
        <v>1.07</v>
      </c>
      <c r="AA507">
        <f>VLOOKUP(Table1820[[#This Row],[Years Driving]],Table1[],2)</f>
        <v>1</v>
      </c>
      <c r="AB507">
        <f>_xlfn.XLOOKUP(Table1820[[#This Row],[At Fault Accidents]],Table2[At Fault Accidents],Table2[At Fault Accident Factor],,0)</f>
        <v>1.82</v>
      </c>
      <c r="AC507">
        <f>_xlfn.XLOOKUP(Table1820[[#This Row],[Usage-Based Insurance]],Table3[Usage-Based Insurance],Table3[Usage-Based Insurance Discount],,0)</f>
        <v>1</v>
      </c>
      <c r="AD507">
        <f>_xlfn.XLOOKUP(Table1820[[#This Row],[Yearly Miles]],Table4[Yearly Miles],Table4[Yearly Miles Factor],,0)</f>
        <v>1.31</v>
      </c>
      <c r="AE507">
        <f>_xlfn.XLOOKUP(Table1820[[#This Row],[City/Zip Code]],Table5[City/Zip Code],Table5[City/Zip Code Factor],,0)</f>
        <v>1.1599999999999999</v>
      </c>
      <c r="AF507">
        <f>_xlfn.XLOOKUP(Table1820[[#This Row],[Vehicle Price]],Table6[Vehicle Price],Table6[Vehicle Price Factor])</f>
        <v>0.97</v>
      </c>
      <c r="AG507">
        <f>_xlfn.XLOOKUP(Table1820[[#This Row],[Exotic Car]],Table7[Exotic Car],Table7[Exotic Car Factor],,0)</f>
        <v>1</v>
      </c>
      <c r="AH507">
        <f>_xlfn.XLOOKUP(Table1820[[#This Row],[Difficult Parts]],Table8[Difficult Parts],Table8[Difficult Parts Factor],,0)</f>
        <v>1</v>
      </c>
      <c r="AI507">
        <f>_xlfn.XLOOKUP(Table1820[[#This Row],[High Theft Rate]],Table9[High Theft Rate],Table9[High Theft Rate Factor],,0)</f>
        <v>1</v>
      </c>
      <c r="AJ507">
        <f>_xlfn.XLOOKUP(Table1820[[#This Row],[Advanced Safety Features]],Table10[Advanced Safety Features],Table10[Advanced Safety Features Factor],,0)</f>
        <v>0.88</v>
      </c>
      <c r="AK507">
        <f>_xlfn.XLOOKUP(Table1820[[#This Row],[Deductible]],Table12[Deductible],Table12[Deductible Factor],,0)</f>
        <v>1</v>
      </c>
      <c r="AL507">
        <f>_xlfn.XLOOKUP(Table1820[[#This Row],[Coverage Limit]],Table13[Coverage Limit],Table13[Coverage Limit Factor],,0)</f>
        <v>0.61</v>
      </c>
      <c r="AM507">
        <f>IF(Table1820[[#This Row],[Good Student Discount]]="Yes",'Rate Book'!$D$126,1)</f>
        <v>1</v>
      </c>
      <c r="AN507">
        <f>IF(Table1820[[#This Row],[Good Driver Discount]]="Yes",'Rate Book'!$D$127,1)</f>
        <v>1</v>
      </c>
      <c r="AO507">
        <f>IF(Table1820[[#This Row],[Multi Policy Discount]]="Yes",'Rate Book'!$D$128,1)</f>
        <v>1</v>
      </c>
      <c r="AP507">
        <f>IF(Table1820[[#This Row],[Loyal Customer Discount]]="Yes",'Rate Book'!$D$129,1)</f>
        <v>1</v>
      </c>
      <c r="AQ507">
        <f>IF(Table1820[[#This Row],[Organization Discount]]="Yes",'Rate Book'!$D$130,1)</f>
        <v>1</v>
      </c>
      <c r="AR507" cm="1">
        <f t="array" ref="AR507">IF(Table1820[[#This Row],[Effective Date]]&gt;=RateChangeTable[Effective Date],RateChangeTable[Rate Change Factor],1)</f>
        <v>1</v>
      </c>
      <c r="AS507" s="10">
        <f>PRODUCT(Table1820[[#This Row],[Base Rate]:[Rate Change Factor]])</f>
        <v>120.18860506004354</v>
      </c>
      <c r="AT507" s="9">
        <f>Table1820[[#This Row],[System-Generated Premium]]-Table1820[[#This Row],[Expected Premium]]</f>
        <v>0</v>
      </c>
      <c r="AU507" t="str">
        <f>IF(Table1820[[#This Row],[Difference]]=0,"PASS","FAIL")</f>
        <v>PASS</v>
      </c>
      <c r="AV507" s="9">
        <f>ABS(Table1820[[#This Row],[Difference]])</f>
        <v>0</v>
      </c>
      <c r="AW507" s="9" t="s">
        <v>1136</v>
      </c>
    </row>
    <row r="508" spans="1:49" x14ac:dyDescent="0.3">
      <c r="A508" t="s">
        <v>599</v>
      </c>
      <c r="B508" s="7">
        <v>46130</v>
      </c>
      <c r="C508" t="s">
        <v>71</v>
      </c>
      <c r="D508" t="s">
        <v>1099</v>
      </c>
      <c r="E508" s="3">
        <v>6</v>
      </c>
      <c r="F508" s="3">
        <v>2</v>
      </c>
      <c r="G508" t="s">
        <v>12</v>
      </c>
      <c r="H508" t="s">
        <v>1110</v>
      </c>
      <c r="I508" t="s">
        <v>42</v>
      </c>
      <c r="J508" t="s">
        <v>53</v>
      </c>
      <c r="K508" t="s">
        <v>10</v>
      </c>
      <c r="L508" t="s">
        <v>10</v>
      </c>
      <c r="M508" t="s">
        <v>57</v>
      </c>
      <c r="N508" t="s">
        <v>10</v>
      </c>
      <c r="O508" t="str">
        <f>INDEX(CoverageTable[Deductible Applies],MATCH(Table1820[[#This Row],[Coverage]],CoverageTable[Coverage],0))</f>
        <v>Yes</v>
      </c>
      <c r="P508" t="str">
        <f>INDEX(CoverageTable[Coverage Limit Applies],MATCH(Table1820[[#This Row],[Coverage]],CoverageTable[Coverage],0))</f>
        <v>No</v>
      </c>
      <c r="Q508" t="s">
        <v>78</v>
      </c>
      <c r="R508" t="s">
        <v>10</v>
      </c>
      <c r="S508" t="s">
        <v>10</v>
      </c>
      <c r="T508" t="s">
        <v>10</v>
      </c>
      <c r="U508" t="s">
        <v>10</v>
      </c>
      <c r="V508" t="s">
        <v>57</v>
      </c>
      <c r="W508" t="s">
        <v>10</v>
      </c>
      <c r="X508" s="11">
        <v>1974.891478975559</v>
      </c>
      <c r="Y508">
        <f>_xlfn.XLOOKUP(Table1820[[#This Row],[Coverage]],CoverageTable[Coverage],CoverageTable[Base Rate],,0)</f>
        <v>453</v>
      </c>
      <c r="Z508">
        <f>INDEX(Table16[Ageband Factor],MATCH(Table1820[[#This Row],[Ageband]],Table16[Ageband],0))</f>
        <v>1</v>
      </c>
      <c r="AA508">
        <f>VLOOKUP(Table1820[[#This Row],[Years Driving]],Table1[],2)</f>
        <v>1</v>
      </c>
      <c r="AB508">
        <f>_xlfn.XLOOKUP(Table1820[[#This Row],[At Fault Accidents]],Table2[At Fault Accidents],Table2[At Fault Accident Factor],,0)</f>
        <v>1.55</v>
      </c>
      <c r="AC508">
        <f>_xlfn.XLOOKUP(Table1820[[#This Row],[Usage-Based Insurance]],Table3[Usage-Based Insurance],Table3[Usage-Based Insurance Discount],,0)</f>
        <v>0.8</v>
      </c>
      <c r="AD508">
        <f>_xlfn.XLOOKUP(Table1820[[#This Row],[Yearly Miles]],Table4[Yearly Miles],Table4[Yearly Miles Factor],,0)</f>
        <v>1.31</v>
      </c>
      <c r="AE508">
        <f>_xlfn.XLOOKUP(Table1820[[#This Row],[City/Zip Code]],Table5[City/Zip Code],Table5[City/Zip Code Factor],,0)</f>
        <v>1.21</v>
      </c>
      <c r="AF508">
        <f>_xlfn.XLOOKUP(Table1820[[#This Row],[Vehicle Price]],Table6[Vehicle Price],Table6[Vehicle Price Factor])</f>
        <v>2.02</v>
      </c>
      <c r="AG508">
        <f>_xlfn.XLOOKUP(Table1820[[#This Row],[Exotic Car]],Table7[Exotic Car],Table7[Exotic Car Factor],,0)</f>
        <v>1</v>
      </c>
      <c r="AH508">
        <f>_xlfn.XLOOKUP(Table1820[[#This Row],[Difficult Parts]],Table8[Difficult Parts],Table8[Difficult Parts Factor],,0)</f>
        <v>1</v>
      </c>
      <c r="AI508">
        <f>_xlfn.XLOOKUP(Table1820[[#This Row],[High Theft Rate]],Table9[High Theft Rate],Table9[High Theft Rate Factor],,0)</f>
        <v>1.1599999999999999</v>
      </c>
      <c r="AJ508">
        <f>_xlfn.XLOOKUP(Table1820[[#This Row],[Advanced Safety Features]],Table10[Advanced Safety Features],Table10[Advanced Safety Features Factor],,0)</f>
        <v>1</v>
      </c>
      <c r="AK508">
        <f>_xlfn.XLOOKUP(Table1820[[#This Row],[Deductible]],Table12[Deductible],Table12[Deductible Factor],,0)</f>
        <v>0.95</v>
      </c>
      <c r="AL508">
        <f>_xlfn.XLOOKUP(Table1820[[#This Row],[Coverage Limit]],Table13[Coverage Limit],Table13[Coverage Limit Factor],,0)</f>
        <v>1</v>
      </c>
      <c r="AM508">
        <f>IF(Table1820[[#This Row],[Good Student Discount]]="Yes",'Rate Book'!$D$126,1)</f>
        <v>1</v>
      </c>
      <c r="AN508">
        <f>IF(Table1820[[#This Row],[Good Driver Discount]]="Yes",'Rate Book'!$D$127,1)</f>
        <v>1</v>
      </c>
      <c r="AO508">
        <f>IF(Table1820[[#This Row],[Multi Policy Discount]]="Yes",'Rate Book'!$D$128,1)</f>
        <v>1</v>
      </c>
      <c r="AP508">
        <f>IF(Table1820[[#This Row],[Loyal Customer Discount]]="Yes",'Rate Book'!$D$129,1)</f>
        <v>0.94</v>
      </c>
      <c r="AQ508">
        <f>IF(Table1820[[#This Row],[Organization Discount]]="Yes",'Rate Book'!$D$130,1)</f>
        <v>1</v>
      </c>
      <c r="AR508" cm="1">
        <f t="array" ref="AR508">IF(Table1820[[#This Row],[Effective Date]]&gt;=RateChangeTable[Effective Date],RateChangeTable[Rate Change Factor],1)</f>
        <v>1.06</v>
      </c>
      <c r="AS508" s="10">
        <f>PRODUCT(Table1820[[#This Row],[Base Rate]:[Rate Change Factor]])</f>
        <v>1974.891478975559</v>
      </c>
      <c r="AT508" s="9">
        <f>Table1820[[#This Row],[System-Generated Premium]]-Table1820[[#This Row],[Expected Premium]]</f>
        <v>0</v>
      </c>
      <c r="AU508" t="str">
        <f>IF(Table1820[[#This Row],[Difference]]=0,"PASS","FAIL")</f>
        <v>PASS</v>
      </c>
      <c r="AV508" s="9">
        <f>ABS(Table1820[[#This Row],[Difference]])</f>
        <v>0</v>
      </c>
      <c r="AW508" s="9" t="s">
        <v>1136</v>
      </c>
    </row>
    <row r="509" spans="1:49" x14ac:dyDescent="0.3">
      <c r="A509" t="s">
        <v>600</v>
      </c>
      <c r="B509" s="7">
        <v>45973</v>
      </c>
      <c r="C509" t="s">
        <v>70</v>
      </c>
      <c r="D509" t="s">
        <v>1098</v>
      </c>
      <c r="E509" s="3">
        <v>2</v>
      </c>
      <c r="F509" s="3" t="s">
        <v>7</v>
      </c>
      <c r="G509" t="s">
        <v>10</v>
      </c>
      <c r="H509" t="s">
        <v>1108</v>
      </c>
      <c r="I509" t="s">
        <v>43</v>
      </c>
      <c r="J509" t="s">
        <v>51</v>
      </c>
      <c r="K509" t="s">
        <v>10</v>
      </c>
      <c r="L509" t="s">
        <v>10</v>
      </c>
      <c r="M509" t="s">
        <v>10</v>
      </c>
      <c r="N509" t="s">
        <v>57</v>
      </c>
      <c r="O509" t="str">
        <f>INDEX(CoverageTable[Deductible Applies],MATCH(Table1820[[#This Row],[Coverage]],CoverageTable[Coverage],0))</f>
        <v>No</v>
      </c>
      <c r="P509" t="str">
        <f>INDEX(CoverageTable[Coverage Limit Applies],MATCH(Table1820[[#This Row],[Coverage]],CoverageTable[Coverage],0))</f>
        <v>Yes</v>
      </c>
      <c r="Q509" t="s">
        <v>10</v>
      </c>
      <c r="R509" t="s">
        <v>80</v>
      </c>
      <c r="S509" t="s">
        <v>10</v>
      </c>
      <c r="T509" t="s">
        <v>57</v>
      </c>
      <c r="U509" t="s">
        <v>10</v>
      </c>
      <c r="V509" t="s">
        <v>10</v>
      </c>
      <c r="W509" t="s">
        <v>10</v>
      </c>
      <c r="X509" s="11">
        <v>2647.6190903428883</v>
      </c>
      <c r="Y509">
        <f>_xlfn.XLOOKUP(Table1820[[#This Row],[Coverage]],CoverageTable[Coverage],CoverageTable[Base Rate],,0)</f>
        <v>622</v>
      </c>
      <c r="Z509">
        <f>INDEX(Table16[Ageband Factor],MATCH(Table1820[[#This Row],[Ageband]],Table16[Ageband],0))</f>
        <v>1.23</v>
      </c>
      <c r="AA509">
        <f>VLOOKUP(Table1820[[#This Row],[Years Driving]],Table1[],2)</f>
        <v>1.41</v>
      </c>
      <c r="AB509">
        <f>_xlfn.XLOOKUP(Table1820[[#This Row],[At Fault Accidents]],Table2[At Fault Accidents],Table2[At Fault Accident Factor],,0)</f>
        <v>2.4700000000000002</v>
      </c>
      <c r="AC509">
        <f>_xlfn.XLOOKUP(Table1820[[#This Row],[Usage-Based Insurance]],Table3[Usage-Based Insurance],Table3[Usage-Based Insurance Discount],,0)</f>
        <v>1</v>
      </c>
      <c r="AD509">
        <f>_xlfn.XLOOKUP(Table1820[[#This Row],[Yearly Miles]],Table4[Yearly Miles],Table4[Yearly Miles Factor],,0)</f>
        <v>1</v>
      </c>
      <c r="AE509">
        <f>_xlfn.XLOOKUP(Table1820[[#This Row],[City/Zip Code]],Table5[City/Zip Code],Table5[City/Zip Code Factor],,0)</f>
        <v>1.18</v>
      </c>
      <c r="AF509">
        <f>_xlfn.XLOOKUP(Table1820[[#This Row],[Vehicle Price]],Table6[Vehicle Price],Table6[Vehicle Price Factor])</f>
        <v>1.28</v>
      </c>
      <c r="AG509">
        <f>_xlfn.XLOOKUP(Table1820[[#This Row],[Exotic Car]],Table7[Exotic Car],Table7[Exotic Car Factor],,0)</f>
        <v>1</v>
      </c>
      <c r="AH509">
        <f>_xlfn.XLOOKUP(Table1820[[#This Row],[Difficult Parts]],Table8[Difficult Parts],Table8[Difficult Parts Factor],,0)</f>
        <v>1</v>
      </c>
      <c r="AI509">
        <f>_xlfn.XLOOKUP(Table1820[[#This Row],[High Theft Rate]],Table9[High Theft Rate],Table9[High Theft Rate Factor],,0)</f>
        <v>1</v>
      </c>
      <c r="AJ509">
        <f>_xlfn.XLOOKUP(Table1820[[#This Row],[Advanced Safety Features]],Table10[Advanced Safety Features],Table10[Advanced Safety Features Factor],,0)</f>
        <v>0.88</v>
      </c>
      <c r="AK509">
        <f>_xlfn.XLOOKUP(Table1820[[#This Row],[Deductible]],Table12[Deductible],Table12[Deductible Factor],,0)</f>
        <v>1</v>
      </c>
      <c r="AL509">
        <f>_xlfn.XLOOKUP(Table1820[[#This Row],[Coverage Limit]],Table13[Coverage Limit],Table13[Coverage Limit Factor],,0)</f>
        <v>0.84</v>
      </c>
      <c r="AM509">
        <f>IF(Table1820[[#This Row],[Good Student Discount]]="Yes",'Rate Book'!$D$126,1)</f>
        <v>1</v>
      </c>
      <c r="AN509">
        <f>IF(Table1820[[#This Row],[Good Driver Discount]]="Yes",'Rate Book'!$D$127,1)</f>
        <v>0.89</v>
      </c>
      <c r="AO509">
        <f>IF(Table1820[[#This Row],[Multi Policy Discount]]="Yes",'Rate Book'!$D$128,1)</f>
        <v>1</v>
      </c>
      <c r="AP509">
        <f>IF(Table1820[[#This Row],[Loyal Customer Discount]]="Yes",'Rate Book'!$D$129,1)</f>
        <v>1</v>
      </c>
      <c r="AQ509">
        <f>IF(Table1820[[#This Row],[Organization Discount]]="Yes",'Rate Book'!$D$130,1)</f>
        <v>1</v>
      </c>
      <c r="AR509" cm="1">
        <f t="array" ref="AR509">IF(Table1820[[#This Row],[Effective Date]]&gt;=RateChangeTable[Effective Date],RateChangeTable[Rate Change Factor],1)</f>
        <v>1</v>
      </c>
      <c r="AS509" s="10">
        <f>PRODUCT(Table1820[[#This Row],[Base Rate]:[Rate Change Factor]])</f>
        <v>2647.6190903428883</v>
      </c>
      <c r="AT509" s="9">
        <f>Table1820[[#This Row],[System-Generated Premium]]-Table1820[[#This Row],[Expected Premium]]</f>
        <v>0</v>
      </c>
      <c r="AU509" t="str">
        <f>IF(Table1820[[#This Row],[Difference]]=0,"PASS","FAIL")</f>
        <v>PASS</v>
      </c>
      <c r="AV509" s="9">
        <f>ABS(Table1820[[#This Row],[Difference]])</f>
        <v>0</v>
      </c>
      <c r="AW509" s="9" t="s">
        <v>1136</v>
      </c>
    </row>
    <row r="510" spans="1:49" x14ac:dyDescent="0.3">
      <c r="A510" t="s">
        <v>601</v>
      </c>
      <c r="B510" s="7">
        <v>45793</v>
      </c>
      <c r="C510" t="s">
        <v>74</v>
      </c>
      <c r="D510" t="s">
        <v>1098</v>
      </c>
      <c r="E510" s="3" t="s">
        <v>1103</v>
      </c>
      <c r="F510" s="3">
        <v>0</v>
      </c>
      <c r="G510" t="s">
        <v>12</v>
      </c>
      <c r="H510" t="s">
        <v>1110</v>
      </c>
      <c r="I510" t="s">
        <v>32</v>
      </c>
      <c r="J510" t="s">
        <v>52</v>
      </c>
      <c r="K510" t="s">
        <v>10</v>
      </c>
      <c r="L510" t="s">
        <v>10</v>
      </c>
      <c r="M510" t="s">
        <v>10</v>
      </c>
      <c r="N510" t="s">
        <v>10</v>
      </c>
      <c r="O510" t="str">
        <f>INDEX(CoverageTable[Deductible Applies],MATCH(Table1820[[#This Row],[Coverage]],CoverageTable[Coverage],0))</f>
        <v>No</v>
      </c>
      <c r="P510" t="str">
        <f>INDEX(CoverageTable[Coverage Limit Applies],MATCH(Table1820[[#This Row],[Coverage]],CoverageTable[Coverage],0))</f>
        <v>Yes</v>
      </c>
      <c r="Q510" t="s">
        <v>10</v>
      </c>
      <c r="R510" t="s">
        <v>80</v>
      </c>
      <c r="S510" t="s">
        <v>10</v>
      </c>
      <c r="T510" t="s">
        <v>57</v>
      </c>
      <c r="U510" t="s">
        <v>10</v>
      </c>
      <c r="V510" t="s">
        <v>10</v>
      </c>
      <c r="W510" t="s">
        <v>10</v>
      </c>
      <c r="X510" s="11">
        <v>64.613038863840785</v>
      </c>
      <c r="Y510">
        <f>_xlfn.XLOOKUP(Table1820[[#This Row],[Coverage]],CoverageTable[Coverage],CoverageTable[Base Rate],,0)</f>
        <v>41</v>
      </c>
      <c r="Z510">
        <f>INDEX(Table16[Ageband Factor],MATCH(Table1820[[#This Row],[Ageband]],Table16[Ageband],0))</f>
        <v>1.23</v>
      </c>
      <c r="AA510">
        <f>VLOOKUP(Table1820[[#This Row],[Years Driving]],Table1[],2)</f>
        <v>0.93</v>
      </c>
      <c r="AB510">
        <f>_xlfn.XLOOKUP(Table1820[[#This Row],[At Fault Accidents]],Table2[At Fault Accidents],Table2[At Fault Accident Factor],,0)</f>
        <v>1</v>
      </c>
      <c r="AC510">
        <f>_xlfn.XLOOKUP(Table1820[[#This Row],[Usage-Based Insurance]],Table3[Usage-Based Insurance],Table3[Usage-Based Insurance Discount],,0)</f>
        <v>0.8</v>
      </c>
      <c r="AD510">
        <f>_xlfn.XLOOKUP(Table1820[[#This Row],[Yearly Miles]],Table4[Yearly Miles],Table4[Yearly Miles Factor],,0)</f>
        <v>1.31</v>
      </c>
      <c r="AE510">
        <f>_xlfn.XLOOKUP(Table1820[[#This Row],[City/Zip Code]],Table5[City/Zip Code],Table5[City/Zip Code Factor],,0)</f>
        <v>1.1200000000000001</v>
      </c>
      <c r="AF510">
        <f>_xlfn.XLOOKUP(Table1820[[#This Row],[Vehicle Price]],Table6[Vehicle Price],Table6[Vehicle Price Factor])</f>
        <v>1.57</v>
      </c>
      <c r="AG510">
        <f>_xlfn.XLOOKUP(Table1820[[#This Row],[Exotic Car]],Table7[Exotic Car],Table7[Exotic Car Factor],,0)</f>
        <v>1</v>
      </c>
      <c r="AH510">
        <f>_xlfn.XLOOKUP(Table1820[[#This Row],[Difficult Parts]],Table8[Difficult Parts],Table8[Difficult Parts Factor],,0)</f>
        <v>1</v>
      </c>
      <c r="AI510">
        <f>_xlfn.XLOOKUP(Table1820[[#This Row],[High Theft Rate]],Table9[High Theft Rate],Table9[High Theft Rate Factor],,0)</f>
        <v>1</v>
      </c>
      <c r="AJ510">
        <f>_xlfn.XLOOKUP(Table1820[[#This Row],[Advanced Safety Features]],Table10[Advanced Safety Features],Table10[Advanced Safety Features Factor],,0)</f>
        <v>1</v>
      </c>
      <c r="AK510">
        <f>_xlfn.XLOOKUP(Table1820[[#This Row],[Deductible]],Table12[Deductible],Table12[Deductible Factor],,0)</f>
        <v>1</v>
      </c>
      <c r="AL510">
        <f>_xlfn.XLOOKUP(Table1820[[#This Row],[Coverage Limit]],Table13[Coverage Limit],Table13[Coverage Limit Factor],,0)</f>
        <v>0.84</v>
      </c>
      <c r="AM510">
        <f>IF(Table1820[[#This Row],[Good Student Discount]]="Yes",'Rate Book'!$D$126,1)</f>
        <v>1</v>
      </c>
      <c r="AN510">
        <f>IF(Table1820[[#This Row],[Good Driver Discount]]="Yes",'Rate Book'!$D$127,1)</f>
        <v>0.89</v>
      </c>
      <c r="AO510">
        <f>IF(Table1820[[#This Row],[Multi Policy Discount]]="Yes",'Rate Book'!$D$128,1)</f>
        <v>1</v>
      </c>
      <c r="AP510">
        <f>IF(Table1820[[#This Row],[Loyal Customer Discount]]="Yes",'Rate Book'!$D$129,1)</f>
        <v>1</v>
      </c>
      <c r="AQ510">
        <f>IF(Table1820[[#This Row],[Organization Discount]]="Yes",'Rate Book'!$D$130,1)</f>
        <v>1</v>
      </c>
      <c r="AR510" cm="1">
        <f t="array" ref="AR510">IF(Table1820[[#This Row],[Effective Date]]&gt;=RateChangeTable[Effective Date],RateChangeTable[Rate Change Factor],1)</f>
        <v>1</v>
      </c>
      <c r="AS510" s="10">
        <f>PRODUCT(Table1820[[#This Row],[Base Rate]:[Rate Change Factor]])</f>
        <v>64.613038863840785</v>
      </c>
      <c r="AT510" s="9">
        <f>Table1820[[#This Row],[System-Generated Premium]]-Table1820[[#This Row],[Expected Premium]]</f>
        <v>0</v>
      </c>
      <c r="AU510" t="str">
        <f>IF(Table1820[[#This Row],[Difference]]=0,"PASS","FAIL")</f>
        <v>PASS</v>
      </c>
      <c r="AV510" s="9">
        <f>ABS(Table1820[[#This Row],[Difference]])</f>
        <v>0</v>
      </c>
      <c r="AW510" s="9" t="s">
        <v>1136</v>
      </c>
    </row>
    <row r="511" spans="1:49" x14ac:dyDescent="0.3">
      <c r="A511" t="s">
        <v>602</v>
      </c>
      <c r="B511" s="7">
        <v>46043</v>
      </c>
      <c r="C511" t="s">
        <v>71</v>
      </c>
      <c r="D511" t="s">
        <v>1097</v>
      </c>
      <c r="E511" s="3">
        <v>4</v>
      </c>
      <c r="F511" s="3" t="s">
        <v>7</v>
      </c>
      <c r="G511" t="s">
        <v>12</v>
      </c>
      <c r="H511" t="s">
        <v>1108</v>
      </c>
      <c r="I511" t="s">
        <v>26</v>
      </c>
      <c r="J511" t="s">
        <v>52</v>
      </c>
      <c r="K511" t="s">
        <v>10</v>
      </c>
      <c r="L511" t="s">
        <v>57</v>
      </c>
      <c r="M511" t="s">
        <v>57</v>
      </c>
      <c r="N511" t="s">
        <v>57</v>
      </c>
      <c r="O511" t="str">
        <f>INDEX(CoverageTable[Deductible Applies],MATCH(Table1820[[#This Row],[Coverage]],CoverageTable[Coverage],0))</f>
        <v>Yes</v>
      </c>
      <c r="P511" t="str">
        <f>INDEX(CoverageTable[Coverage Limit Applies],MATCH(Table1820[[#This Row],[Coverage]],CoverageTable[Coverage],0))</f>
        <v>No</v>
      </c>
      <c r="Q511" t="s">
        <v>78</v>
      </c>
      <c r="R511" t="s">
        <v>10</v>
      </c>
      <c r="S511" t="s">
        <v>10</v>
      </c>
      <c r="T511" t="s">
        <v>10</v>
      </c>
      <c r="U511" t="s">
        <v>10</v>
      </c>
      <c r="V511" t="s">
        <v>10</v>
      </c>
      <c r="W511" t="s">
        <v>10</v>
      </c>
      <c r="X511" s="11">
        <v>3051.4756506115123</v>
      </c>
      <c r="Y511">
        <f>_xlfn.XLOOKUP(Table1820[[#This Row],[Coverage]],CoverageTable[Coverage],CoverageTable[Base Rate],,0)</f>
        <v>453</v>
      </c>
      <c r="Z511">
        <f>INDEX(Table16[Ageband Factor],MATCH(Table1820[[#This Row],[Ageband]],Table16[Ageband],0))</f>
        <v>1.32</v>
      </c>
      <c r="AA511">
        <f>VLOOKUP(Table1820[[#This Row],[Years Driving]],Table1[],2)</f>
        <v>1.1499999999999999</v>
      </c>
      <c r="AB511">
        <f>_xlfn.XLOOKUP(Table1820[[#This Row],[At Fault Accidents]],Table2[At Fault Accidents],Table2[At Fault Accident Factor],,0)</f>
        <v>2.4700000000000002</v>
      </c>
      <c r="AC511">
        <f>_xlfn.XLOOKUP(Table1820[[#This Row],[Usage-Based Insurance]],Table3[Usage-Based Insurance],Table3[Usage-Based Insurance Discount],,0)</f>
        <v>0.8</v>
      </c>
      <c r="AD511">
        <f>_xlfn.XLOOKUP(Table1820[[#This Row],[Yearly Miles]],Table4[Yearly Miles],Table4[Yearly Miles Factor],,0)</f>
        <v>1</v>
      </c>
      <c r="AE511">
        <f>_xlfn.XLOOKUP(Table1820[[#This Row],[City/Zip Code]],Table5[City/Zip Code],Table5[City/Zip Code Factor],,0)</f>
        <v>1.1499999999999999</v>
      </c>
      <c r="AF511">
        <f>_xlfn.XLOOKUP(Table1820[[#This Row],[Vehicle Price]],Table6[Vehicle Price],Table6[Vehicle Price Factor])</f>
        <v>1.57</v>
      </c>
      <c r="AG511">
        <f>_xlfn.XLOOKUP(Table1820[[#This Row],[Exotic Car]],Table7[Exotic Car],Table7[Exotic Car Factor],,0)</f>
        <v>1</v>
      </c>
      <c r="AH511">
        <f>_xlfn.XLOOKUP(Table1820[[#This Row],[Difficult Parts]],Table8[Difficult Parts],Table8[Difficult Parts Factor],,0)</f>
        <v>1.21</v>
      </c>
      <c r="AI511">
        <f>_xlfn.XLOOKUP(Table1820[[#This Row],[High Theft Rate]],Table9[High Theft Rate],Table9[High Theft Rate Factor],,0)</f>
        <v>1.1599999999999999</v>
      </c>
      <c r="AJ511">
        <f>_xlfn.XLOOKUP(Table1820[[#This Row],[Advanced Safety Features]],Table10[Advanced Safety Features],Table10[Advanced Safety Features Factor],,0)</f>
        <v>0.88</v>
      </c>
      <c r="AK511">
        <f>_xlfn.XLOOKUP(Table1820[[#This Row],[Deductible]],Table12[Deductible],Table12[Deductible Factor],,0)</f>
        <v>0.95</v>
      </c>
      <c r="AL511">
        <f>_xlfn.XLOOKUP(Table1820[[#This Row],[Coverage Limit]],Table13[Coverage Limit],Table13[Coverage Limit Factor],,0)</f>
        <v>1</v>
      </c>
      <c r="AM511">
        <f>IF(Table1820[[#This Row],[Good Student Discount]]="Yes",'Rate Book'!$D$126,1)</f>
        <v>1</v>
      </c>
      <c r="AN511">
        <f>IF(Table1820[[#This Row],[Good Driver Discount]]="Yes",'Rate Book'!$D$127,1)</f>
        <v>1</v>
      </c>
      <c r="AO511">
        <f>IF(Table1820[[#This Row],[Multi Policy Discount]]="Yes",'Rate Book'!$D$128,1)</f>
        <v>1</v>
      </c>
      <c r="AP511">
        <f>IF(Table1820[[#This Row],[Loyal Customer Discount]]="Yes",'Rate Book'!$D$129,1)</f>
        <v>1</v>
      </c>
      <c r="AQ511">
        <f>IF(Table1820[[#This Row],[Organization Discount]]="Yes",'Rate Book'!$D$130,1)</f>
        <v>1</v>
      </c>
      <c r="AR511" cm="1">
        <f t="array" ref="AR511">IF(Table1820[[#This Row],[Effective Date]]&gt;=RateChangeTable[Effective Date],RateChangeTable[Rate Change Factor],1)</f>
        <v>1.06</v>
      </c>
      <c r="AS511" s="10">
        <f>PRODUCT(Table1820[[#This Row],[Base Rate]:[Rate Change Factor]])</f>
        <v>3051.4756506115123</v>
      </c>
      <c r="AT511" s="9">
        <f>Table1820[[#This Row],[System-Generated Premium]]-Table1820[[#This Row],[Expected Premium]]</f>
        <v>0</v>
      </c>
      <c r="AU511" t="str">
        <f>IF(Table1820[[#This Row],[Difference]]=0,"PASS","FAIL")</f>
        <v>PASS</v>
      </c>
      <c r="AV511" s="9">
        <f>ABS(Table1820[[#This Row],[Difference]])</f>
        <v>0</v>
      </c>
      <c r="AW511" s="9" t="s">
        <v>1136</v>
      </c>
    </row>
    <row r="512" spans="1:49" x14ac:dyDescent="0.3">
      <c r="A512" t="s">
        <v>603</v>
      </c>
      <c r="B512" s="7">
        <v>46003</v>
      </c>
      <c r="C512" t="s">
        <v>70</v>
      </c>
      <c r="D512" t="s">
        <v>1101</v>
      </c>
      <c r="E512" s="3">
        <v>2</v>
      </c>
      <c r="F512" s="3">
        <v>0</v>
      </c>
      <c r="G512" t="s">
        <v>10</v>
      </c>
      <c r="H512" t="s">
        <v>1110</v>
      </c>
      <c r="I512" t="s">
        <v>38</v>
      </c>
      <c r="J512" t="s">
        <v>48</v>
      </c>
      <c r="K512" t="s">
        <v>10</v>
      </c>
      <c r="L512" t="s">
        <v>10</v>
      </c>
      <c r="M512" t="s">
        <v>10</v>
      </c>
      <c r="N512" t="s">
        <v>10</v>
      </c>
      <c r="O512" t="str">
        <f>INDEX(CoverageTable[Deductible Applies],MATCH(Table1820[[#This Row],[Coverage]],CoverageTable[Coverage],0))</f>
        <v>No</v>
      </c>
      <c r="P512" t="str">
        <f>INDEX(CoverageTable[Coverage Limit Applies],MATCH(Table1820[[#This Row],[Coverage]],CoverageTable[Coverage],0))</f>
        <v>Yes</v>
      </c>
      <c r="Q512" t="s">
        <v>10</v>
      </c>
      <c r="R512" t="s">
        <v>79</v>
      </c>
      <c r="S512" t="s">
        <v>10</v>
      </c>
      <c r="T512" t="s">
        <v>10</v>
      </c>
      <c r="U512" t="s">
        <v>57</v>
      </c>
      <c r="V512" t="s">
        <v>10</v>
      </c>
      <c r="W512" t="s">
        <v>10</v>
      </c>
      <c r="X512" s="11">
        <v>791.30905553903619</v>
      </c>
      <c r="Y512">
        <f>_xlfn.XLOOKUP(Table1820[[#This Row],[Coverage]],CoverageTable[Coverage],CoverageTable[Base Rate],,0)</f>
        <v>622</v>
      </c>
      <c r="Z512">
        <f>INDEX(Table16[Ageband Factor],MATCH(Table1820[[#This Row],[Ageband]],Table16[Ageband],0))</f>
        <v>1.1200000000000001</v>
      </c>
      <c r="AA512">
        <f>VLOOKUP(Table1820[[#This Row],[Years Driving]],Table1[],2)</f>
        <v>1.41</v>
      </c>
      <c r="AB512">
        <f>_xlfn.XLOOKUP(Table1820[[#This Row],[At Fault Accidents]],Table2[At Fault Accidents],Table2[At Fault Accident Factor],,0)</f>
        <v>1</v>
      </c>
      <c r="AC512">
        <f>_xlfn.XLOOKUP(Table1820[[#This Row],[Usage-Based Insurance]],Table3[Usage-Based Insurance],Table3[Usage-Based Insurance Discount],,0)</f>
        <v>1</v>
      </c>
      <c r="AD512">
        <f>_xlfn.XLOOKUP(Table1820[[#This Row],[Yearly Miles]],Table4[Yearly Miles],Table4[Yearly Miles Factor],,0)</f>
        <v>1.31</v>
      </c>
      <c r="AE512">
        <f>_xlfn.XLOOKUP(Table1820[[#This Row],[City/Zip Code]],Table5[City/Zip Code],Table5[City/Zip Code Factor],,0)</f>
        <v>1.1200000000000001</v>
      </c>
      <c r="AF512">
        <f>_xlfn.XLOOKUP(Table1820[[#This Row],[Vehicle Price]],Table6[Vehicle Price],Table6[Vehicle Price Factor])</f>
        <v>0.82</v>
      </c>
      <c r="AG512">
        <f>_xlfn.XLOOKUP(Table1820[[#This Row],[Exotic Car]],Table7[Exotic Car],Table7[Exotic Car Factor],,0)</f>
        <v>1</v>
      </c>
      <c r="AH512">
        <f>_xlfn.XLOOKUP(Table1820[[#This Row],[Difficult Parts]],Table8[Difficult Parts],Table8[Difficult Parts Factor],,0)</f>
        <v>1</v>
      </c>
      <c r="AI512">
        <f>_xlfn.XLOOKUP(Table1820[[#This Row],[High Theft Rate]],Table9[High Theft Rate],Table9[High Theft Rate Factor],,0)</f>
        <v>1</v>
      </c>
      <c r="AJ512">
        <f>_xlfn.XLOOKUP(Table1820[[#This Row],[Advanced Safety Features]],Table10[Advanced Safety Features],Table10[Advanced Safety Features Factor],,0)</f>
        <v>1</v>
      </c>
      <c r="AK512">
        <f>_xlfn.XLOOKUP(Table1820[[#This Row],[Deductible]],Table12[Deductible],Table12[Deductible Factor],,0)</f>
        <v>1</v>
      </c>
      <c r="AL512">
        <f>_xlfn.XLOOKUP(Table1820[[#This Row],[Coverage Limit]],Table13[Coverage Limit],Table13[Coverage Limit Factor],,0)</f>
        <v>0.72</v>
      </c>
      <c r="AM512">
        <f>IF(Table1820[[#This Row],[Good Student Discount]]="Yes",'Rate Book'!$D$126,1)</f>
        <v>1</v>
      </c>
      <c r="AN512">
        <f>IF(Table1820[[#This Row],[Good Driver Discount]]="Yes",'Rate Book'!$D$127,1)</f>
        <v>1</v>
      </c>
      <c r="AO512">
        <f>IF(Table1820[[#This Row],[Multi Policy Discount]]="Yes",'Rate Book'!$D$128,1)</f>
        <v>0.93</v>
      </c>
      <c r="AP512">
        <f>IF(Table1820[[#This Row],[Loyal Customer Discount]]="Yes",'Rate Book'!$D$129,1)</f>
        <v>1</v>
      </c>
      <c r="AQ512">
        <f>IF(Table1820[[#This Row],[Organization Discount]]="Yes",'Rate Book'!$D$130,1)</f>
        <v>1</v>
      </c>
      <c r="AR512" cm="1">
        <f t="array" ref="AR512">IF(Table1820[[#This Row],[Effective Date]]&gt;=RateChangeTable[Effective Date],RateChangeTable[Rate Change Factor],1)</f>
        <v>1</v>
      </c>
      <c r="AS512" s="10">
        <f>PRODUCT(Table1820[[#This Row],[Base Rate]:[Rate Change Factor]])</f>
        <v>791.30905553903619</v>
      </c>
      <c r="AT512" s="9">
        <f>Table1820[[#This Row],[System-Generated Premium]]-Table1820[[#This Row],[Expected Premium]]</f>
        <v>0</v>
      </c>
      <c r="AU512" t="str">
        <f>IF(Table1820[[#This Row],[Difference]]=0,"PASS","FAIL")</f>
        <v>PASS</v>
      </c>
      <c r="AV512" s="9">
        <f>ABS(Table1820[[#This Row],[Difference]])</f>
        <v>0</v>
      </c>
      <c r="AW512" s="9" t="s">
        <v>1136</v>
      </c>
    </row>
    <row r="513" spans="1:49" x14ac:dyDescent="0.3">
      <c r="A513" t="s">
        <v>604</v>
      </c>
      <c r="B513" s="7">
        <v>45871</v>
      </c>
      <c r="C513" t="s">
        <v>71</v>
      </c>
      <c r="D513" t="s">
        <v>1098</v>
      </c>
      <c r="E513" s="3">
        <v>7</v>
      </c>
      <c r="F513" s="3">
        <v>0</v>
      </c>
      <c r="G513" t="s">
        <v>13</v>
      </c>
      <c r="H513" t="s">
        <v>1106</v>
      </c>
      <c r="I513" t="s">
        <v>29</v>
      </c>
      <c r="J513" t="s">
        <v>54</v>
      </c>
      <c r="K513" t="s">
        <v>10</v>
      </c>
      <c r="L513" t="s">
        <v>10</v>
      </c>
      <c r="M513" t="s">
        <v>10</v>
      </c>
      <c r="N513" t="s">
        <v>10</v>
      </c>
      <c r="O513" t="str">
        <f>INDEX(CoverageTable[Deductible Applies],MATCH(Table1820[[#This Row],[Coverage]],CoverageTable[Coverage],0))</f>
        <v>Yes</v>
      </c>
      <c r="P513" t="str">
        <f>INDEX(CoverageTable[Coverage Limit Applies],MATCH(Table1820[[#This Row],[Coverage]],CoverageTable[Coverage],0))</f>
        <v>No</v>
      </c>
      <c r="Q513" t="s">
        <v>80</v>
      </c>
      <c r="R513" t="s">
        <v>10</v>
      </c>
      <c r="S513" t="s">
        <v>10</v>
      </c>
      <c r="T513" t="s">
        <v>10</v>
      </c>
      <c r="U513" t="s">
        <v>10</v>
      </c>
      <c r="V513" t="s">
        <v>10</v>
      </c>
      <c r="W513" t="s">
        <v>10</v>
      </c>
      <c r="X513" s="11">
        <v>583</v>
      </c>
      <c r="Y513">
        <f>_xlfn.XLOOKUP(Table1820[[#This Row],[Coverage]],CoverageTable[Coverage],CoverageTable[Base Rate],,0)</f>
        <v>453</v>
      </c>
      <c r="Z513">
        <f>INDEX(Table16[Ageband Factor],MATCH(Table1820[[#This Row],[Ageband]],Table16[Ageband],0))</f>
        <v>1.23</v>
      </c>
      <c r="AA513">
        <f>VLOOKUP(Table1820[[#This Row],[Years Driving]],Table1[],2)</f>
        <v>0.95</v>
      </c>
      <c r="AB513">
        <f>_xlfn.XLOOKUP(Table1820[[#This Row],[At Fault Accidents]],Table2[At Fault Accidents],Table2[At Fault Accident Factor],,0)</f>
        <v>1</v>
      </c>
      <c r="AC513">
        <f>_xlfn.XLOOKUP(Table1820[[#This Row],[Usage-Based Insurance]],Table3[Usage-Based Insurance],Table3[Usage-Based Insurance Discount],,0)</f>
        <v>0.65</v>
      </c>
      <c r="AD513">
        <f>_xlfn.XLOOKUP(Table1820[[#This Row],[Yearly Miles]],Table4[Yearly Miles],Table4[Yearly Miles Factor],,0)</f>
        <v>0.82</v>
      </c>
      <c r="AE513">
        <f>_xlfn.XLOOKUP(Table1820[[#This Row],[City/Zip Code]],Table5[City/Zip Code],Table5[City/Zip Code Factor],,0)</f>
        <v>1.0900000000000001</v>
      </c>
      <c r="AF513">
        <f>_xlfn.XLOOKUP(Table1820[[#This Row],[Vehicle Price]],Table6[Vehicle Price],Table6[Vehicle Price Factor])</f>
        <v>2.87</v>
      </c>
      <c r="AG513">
        <f>_xlfn.XLOOKUP(Table1820[[#This Row],[Exotic Car]],Table7[Exotic Car],Table7[Exotic Car Factor],,0)</f>
        <v>1</v>
      </c>
      <c r="AH513">
        <f>_xlfn.XLOOKUP(Table1820[[#This Row],[Difficult Parts]],Table8[Difficult Parts],Table8[Difficult Parts Factor],,0)</f>
        <v>1</v>
      </c>
      <c r="AI513">
        <f>_xlfn.XLOOKUP(Table1820[[#This Row],[High Theft Rate]],Table9[High Theft Rate],Table9[High Theft Rate Factor],,0)</f>
        <v>1</v>
      </c>
      <c r="AJ513">
        <f>_xlfn.XLOOKUP(Table1820[[#This Row],[Advanced Safety Features]],Table10[Advanced Safety Features],Table10[Advanced Safety Features Factor],,0)</f>
        <v>1</v>
      </c>
      <c r="AK513">
        <f>_xlfn.XLOOKUP(Table1820[[#This Row],[Deductible]],Table12[Deductible],Table12[Deductible Factor],,0)</f>
        <v>0.72</v>
      </c>
      <c r="AL513">
        <f>_xlfn.XLOOKUP(Table1820[[#This Row],[Coverage Limit]],Table13[Coverage Limit],Table13[Coverage Limit Factor],,0)</f>
        <v>1</v>
      </c>
      <c r="AM513">
        <f>IF(Table1820[[#This Row],[Good Student Discount]]="Yes",'Rate Book'!$D$126,1)</f>
        <v>1</v>
      </c>
      <c r="AN513">
        <f>IF(Table1820[[#This Row],[Good Driver Discount]]="Yes",'Rate Book'!$D$127,1)</f>
        <v>1</v>
      </c>
      <c r="AO513">
        <f>IF(Table1820[[#This Row],[Multi Policy Discount]]="Yes",'Rate Book'!$D$128,1)</f>
        <v>1</v>
      </c>
      <c r="AP513">
        <f>IF(Table1820[[#This Row],[Loyal Customer Discount]]="Yes",'Rate Book'!$D$129,1)</f>
        <v>1</v>
      </c>
      <c r="AQ513">
        <f>IF(Table1820[[#This Row],[Organization Discount]]="Yes",'Rate Book'!$D$130,1)</f>
        <v>1</v>
      </c>
      <c r="AR513" cm="1">
        <f t="array" ref="AR513">IF(Table1820[[#This Row],[Effective Date]]&gt;=RateChangeTable[Effective Date],RateChangeTable[Rate Change Factor],1)</f>
        <v>1</v>
      </c>
      <c r="AS513" s="10">
        <f>PRODUCT(Table1820[[#This Row],[Base Rate]:[Rate Change Factor]])</f>
        <v>635.46995050484406</v>
      </c>
      <c r="AT513" s="9">
        <f>Table1820[[#This Row],[System-Generated Premium]]-Table1820[[#This Row],[Expected Premium]]</f>
        <v>-52.469950504844064</v>
      </c>
      <c r="AU513" t="str">
        <f>IF(Table1820[[#This Row],[Difference]]=0,"PASS","FAIL")</f>
        <v>FAIL</v>
      </c>
      <c r="AV513" s="9">
        <f>ABS(Table1820[[#This Row],[Difference]])</f>
        <v>52.469950504844064</v>
      </c>
      <c r="AW513" s="9" t="s">
        <v>1144</v>
      </c>
    </row>
    <row r="514" spans="1:49" x14ac:dyDescent="0.3">
      <c r="A514" t="s">
        <v>605</v>
      </c>
      <c r="B514" s="7">
        <v>45848</v>
      </c>
      <c r="C514" t="s">
        <v>71</v>
      </c>
      <c r="D514" t="s">
        <v>1099</v>
      </c>
      <c r="E514" s="3">
        <v>6</v>
      </c>
      <c r="F514" s="3">
        <v>4</v>
      </c>
      <c r="G514" t="s">
        <v>10</v>
      </c>
      <c r="H514" t="s">
        <v>1109</v>
      </c>
      <c r="I514" t="s">
        <v>33</v>
      </c>
      <c r="J514" t="s">
        <v>50</v>
      </c>
      <c r="K514" t="s">
        <v>10</v>
      </c>
      <c r="L514" t="s">
        <v>57</v>
      </c>
      <c r="M514" t="s">
        <v>10</v>
      </c>
      <c r="N514" t="s">
        <v>57</v>
      </c>
      <c r="O514" t="str">
        <f>INDEX(CoverageTable[Deductible Applies],MATCH(Table1820[[#This Row],[Coverage]],CoverageTable[Coverage],0))</f>
        <v>Yes</v>
      </c>
      <c r="P514" t="str">
        <f>INDEX(CoverageTable[Coverage Limit Applies],MATCH(Table1820[[#This Row],[Coverage]],CoverageTable[Coverage],0))</f>
        <v>No</v>
      </c>
      <c r="Q514" t="s">
        <v>78</v>
      </c>
      <c r="R514" t="s">
        <v>10</v>
      </c>
      <c r="S514" t="s">
        <v>10</v>
      </c>
      <c r="T514" t="s">
        <v>57</v>
      </c>
      <c r="U514" t="s">
        <v>57</v>
      </c>
      <c r="V514" t="s">
        <v>10</v>
      </c>
      <c r="W514" t="s">
        <v>10</v>
      </c>
      <c r="X514" s="11">
        <v>1045.2125132624076</v>
      </c>
      <c r="Y514">
        <f>_xlfn.XLOOKUP(Table1820[[#This Row],[Coverage]],CoverageTable[Coverage],CoverageTable[Base Rate],,0)</f>
        <v>453</v>
      </c>
      <c r="Z514">
        <f>INDEX(Table16[Ageband Factor],MATCH(Table1820[[#This Row],[Ageband]],Table16[Ageband],0))</f>
        <v>1</v>
      </c>
      <c r="AA514">
        <f>VLOOKUP(Table1820[[#This Row],[Years Driving]],Table1[],2)</f>
        <v>1</v>
      </c>
      <c r="AB514">
        <f>_xlfn.XLOOKUP(Table1820[[#This Row],[At Fault Accidents]],Table2[At Fault Accidents],Table2[At Fault Accident Factor],,0)</f>
        <v>2.12</v>
      </c>
      <c r="AC514">
        <f>_xlfn.XLOOKUP(Table1820[[#This Row],[Usage-Based Insurance]],Table3[Usage-Based Insurance],Table3[Usage-Based Insurance Discount],,0)</f>
        <v>1</v>
      </c>
      <c r="AD514">
        <f>_xlfn.XLOOKUP(Table1820[[#This Row],[Yearly Miles]],Table4[Yearly Miles],Table4[Yearly Miles Factor],,0)</f>
        <v>1.18</v>
      </c>
      <c r="AE514">
        <f>_xlfn.XLOOKUP(Table1820[[#This Row],[City/Zip Code]],Table5[City/Zip Code],Table5[City/Zip Code Factor],,0)</f>
        <v>1.02</v>
      </c>
      <c r="AF514">
        <f>_xlfn.XLOOKUP(Table1820[[#This Row],[Vehicle Price]],Table6[Vehicle Price],Table6[Vehicle Price Factor])</f>
        <v>1.08</v>
      </c>
      <c r="AG514">
        <f>_xlfn.XLOOKUP(Table1820[[#This Row],[Exotic Car]],Table7[Exotic Car],Table7[Exotic Car Factor],,0)</f>
        <v>1</v>
      </c>
      <c r="AH514">
        <f>_xlfn.XLOOKUP(Table1820[[#This Row],[Difficult Parts]],Table8[Difficult Parts],Table8[Difficult Parts Factor],,0)</f>
        <v>1.21</v>
      </c>
      <c r="AI514">
        <f>_xlfn.XLOOKUP(Table1820[[#This Row],[High Theft Rate]],Table9[High Theft Rate],Table9[High Theft Rate Factor],,0)</f>
        <v>1</v>
      </c>
      <c r="AJ514">
        <f>_xlfn.XLOOKUP(Table1820[[#This Row],[Advanced Safety Features]],Table10[Advanced Safety Features],Table10[Advanced Safety Features Factor],,0)</f>
        <v>0.88</v>
      </c>
      <c r="AK514">
        <f>_xlfn.XLOOKUP(Table1820[[#This Row],[Deductible]],Table12[Deductible],Table12[Deductible Factor],,0)</f>
        <v>0.95</v>
      </c>
      <c r="AL514">
        <f>_xlfn.XLOOKUP(Table1820[[#This Row],[Coverage Limit]],Table13[Coverage Limit],Table13[Coverage Limit Factor],,0)</f>
        <v>1</v>
      </c>
      <c r="AM514">
        <f>IF(Table1820[[#This Row],[Good Student Discount]]="Yes",'Rate Book'!$D$126,1)</f>
        <v>1</v>
      </c>
      <c r="AN514">
        <f>IF(Table1820[[#This Row],[Good Driver Discount]]="Yes",'Rate Book'!$D$127,1)</f>
        <v>0.89</v>
      </c>
      <c r="AO514">
        <f>IF(Table1820[[#This Row],[Multi Policy Discount]]="Yes",'Rate Book'!$D$128,1)</f>
        <v>0.93</v>
      </c>
      <c r="AP514">
        <f>IF(Table1820[[#This Row],[Loyal Customer Discount]]="Yes",'Rate Book'!$D$129,1)</f>
        <v>1</v>
      </c>
      <c r="AQ514">
        <f>IF(Table1820[[#This Row],[Organization Discount]]="Yes",'Rate Book'!$D$130,1)</f>
        <v>1</v>
      </c>
      <c r="AR514" cm="1">
        <f t="array" ref="AR514">IF(Table1820[[#This Row],[Effective Date]]&gt;=RateChangeTable[Effective Date],RateChangeTable[Rate Change Factor],1)</f>
        <v>1</v>
      </c>
      <c r="AS514" s="10">
        <f>PRODUCT(Table1820[[#This Row],[Base Rate]:[Rate Change Factor]])</f>
        <v>1045.2125132624076</v>
      </c>
      <c r="AT514" s="9">
        <f>Table1820[[#This Row],[System-Generated Premium]]-Table1820[[#This Row],[Expected Premium]]</f>
        <v>0</v>
      </c>
      <c r="AU514" t="str">
        <f>IF(Table1820[[#This Row],[Difference]]=0,"PASS","FAIL")</f>
        <v>PASS</v>
      </c>
      <c r="AV514" s="9">
        <f>ABS(Table1820[[#This Row],[Difference]])</f>
        <v>0</v>
      </c>
      <c r="AW514" s="9" t="s">
        <v>1136</v>
      </c>
    </row>
    <row r="515" spans="1:49" x14ac:dyDescent="0.3">
      <c r="A515" t="s">
        <v>606</v>
      </c>
      <c r="B515" s="7">
        <v>45917</v>
      </c>
      <c r="C515" t="s">
        <v>73</v>
      </c>
      <c r="D515" t="s">
        <v>1099</v>
      </c>
      <c r="E515" s="3">
        <v>1</v>
      </c>
      <c r="F515" s="3">
        <v>4</v>
      </c>
      <c r="G515" t="s">
        <v>10</v>
      </c>
      <c r="H515" t="s">
        <v>1107</v>
      </c>
      <c r="I515" t="s">
        <v>24</v>
      </c>
      <c r="J515" t="s">
        <v>53</v>
      </c>
      <c r="K515" t="s">
        <v>10</v>
      </c>
      <c r="L515" t="s">
        <v>10</v>
      </c>
      <c r="M515" t="s">
        <v>57</v>
      </c>
      <c r="N515" t="s">
        <v>57</v>
      </c>
      <c r="O515" t="str">
        <f>INDEX(CoverageTable[Deductible Applies],MATCH(Table1820[[#This Row],[Coverage]],CoverageTable[Coverage],0))</f>
        <v>No</v>
      </c>
      <c r="P515" t="str">
        <f>INDEX(CoverageTable[Coverage Limit Applies],MATCH(Table1820[[#This Row],[Coverage]],CoverageTable[Coverage],0))</f>
        <v>Yes</v>
      </c>
      <c r="Q515" t="s">
        <v>10</v>
      </c>
      <c r="R515" t="s">
        <v>79</v>
      </c>
      <c r="S515" t="s">
        <v>10</v>
      </c>
      <c r="T515" t="s">
        <v>10</v>
      </c>
      <c r="U515" t="s">
        <v>10</v>
      </c>
      <c r="V515" t="s">
        <v>10</v>
      </c>
      <c r="W515" t="s">
        <v>10</v>
      </c>
      <c r="X515" s="11">
        <v>445.58313923146369</v>
      </c>
      <c r="Y515">
        <f>_xlfn.XLOOKUP(Table1820[[#This Row],[Coverage]],CoverageTable[Coverage],CoverageTable[Base Rate],,0)</f>
        <v>78</v>
      </c>
      <c r="Z515">
        <f>INDEX(Table16[Ageband Factor],MATCH(Table1820[[#This Row],[Ageband]],Table16[Ageband],0))</f>
        <v>1</v>
      </c>
      <c r="AA515">
        <f>VLOOKUP(Table1820[[#This Row],[Years Driving]],Table1[],2)</f>
        <v>1.64</v>
      </c>
      <c r="AB515">
        <f>_xlfn.XLOOKUP(Table1820[[#This Row],[At Fault Accidents]],Table2[At Fault Accidents],Table2[At Fault Accident Factor],,0)</f>
        <v>2.12</v>
      </c>
      <c r="AC515">
        <f>_xlfn.XLOOKUP(Table1820[[#This Row],[Usage-Based Insurance]],Table3[Usage-Based Insurance],Table3[Usage-Based Insurance Discount],,0)</f>
        <v>1</v>
      </c>
      <c r="AD515">
        <f>_xlfn.XLOOKUP(Table1820[[#This Row],[Yearly Miles]],Table4[Yearly Miles],Table4[Yearly Miles Factor],,0)</f>
        <v>0.93</v>
      </c>
      <c r="AE515">
        <f>_xlfn.XLOOKUP(Table1820[[#This Row],[City/Zip Code]],Table5[City/Zip Code],Table5[City/Zip Code Factor],,0)</f>
        <v>1.19</v>
      </c>
      <c r="AF515">
        <f>_xlfn.XLOOKUP(Table1820[[#This Row],[Vehicle Price]],Table6[Vehicle Price],Table6[Vehicle Price Factor])</f>
        <v>2.02</v>
      </c>
      <c r="AG515">
        <f>_xlfn.XLOOKUP(Table1820[[#This Row],[Exotic Car]],Table7[Exotic Car],Table7[Exotic Car Factor],,0)</f>
        <v>1</v>
      </c>
      <c r="AH515">
        <f>_xlfn.XLOOKUP(Table1820[[#This Row],[Difficult Parts]],Table8[Difficult Parts],Table8[Difficult Parts Factor],,0)</f>
        <v>1</v>
      </c>
      <c r="AI515">
        <f>_xlfn.XLOOKUP(Table1820[[#This Row],[High Theft Rate]],Table9[High Theft Rate],Table9[High Theft Rate Factor],,0)</f>
        <v>1.1599999999999999</v>
      </c>
      <c r="AJ515">
        <f>_xlfn.XLOOKUP(Table1820[[#This Row],[Advanced Safety Features]],Table10[Advanced Safety Features],Table10[Advanced Safety Features Factor],,0)</f>
        <v>0.88</v>
      </c>
      <c r="AK515">
        <f>_xlfn.XLOOKUP(Table1820[[#This Row],[Deductible]],Table12[Deductible],Table12[Deductible Factor],,0)</f>
        <v>1</v>
      </c>
      <c r="AL515">
        <f>_xlfn.XLOOKUP(Table1820[[#This Row],[Coverage Limit]],Table13[Coverage Limit],Table13[Coverage Limit Factor],,0)</f>
        <v>0.72</v>
      </c>
      <c r="AM515">
        <f>IF(Table1820[[#This Row],[Good Student Discount]]="Yes",'Rate Book'!$D$126,1)</f>
        <v>1</v>
      </c>
      <c r="AN515">
        <f>IF(Table1820[[#This Row],[Good Driver Discount]]="Yes",'Rate Book'!$D$127,1)</f>
        <v>1</v>
      </c>
      <c r="AO515">
        <f>IF(Table1820[[#This Row],[Multi Policy Discount]]="Yes",'Rate Book'!$D$128,1)</f>
        <v>1</v>
      </c>
      <c r="AP515">
        <f>IF(Table1820[[#This Row],[Loyal Customer Discount]]="Yes",'Rate Book'!$D$129,1)</f>
        <v>1</v>
      </c>
      <c r="AQ515">
        <f>IF(Table1820[[#This Row],[Organization Discount]]="Yes",'Rate Book'!$D$130,1)</f>
        <v>1</v>
      </c>
      <c r="AR515" cm="1">
        <f t="array" ref="AR515">IF(Table1820[[#This Row],[Effective Date]]&gt;=RateChangeTable[Effective Date],RateChangeTable[Rate Change Factor],1)</f>
        <v>1</v>
      </c>
      <c r="AS515" s="10">
        <f>PRODUCT(Table1820[[#This Row],[Base Rate]:[Rate Change Factor]])</f>
        <v>445.58313923146369</v>
      </c>
      <c r="AT515" s="9">
        <f>Table1820[[#This Row],[System-Generated Premium]]-Table1820[[#This Row],[Expected Premium]]</f>
        <v>0</v>
      </c>
      <c r="AU515" t="str">
        <f>IF(Table1820[[#This Row],[Difference]]=0,"PASS","FAIL")</f>
        <v>PASS</v>
      </c>
      <c r="AV515" s="9">
        <f>ABS(Table1820[[#This Row],[Difference]])</f>
        <v>0</v>
      </c>
      <c r="AW515" s="9" t="s">
        <v>1136</v>
      </c>
    </row>
    <row r="516" spans="1:49" x14ac:dyDescent="0.3">
      <c r="A516" t="s">
        <v>607</v>
      </c>
      <c r="B516" s="7">
        <v>45858</v>
      </c>
      <c r="C516" t="s">
        <v>70</v>
      </c>
      <c r="D516" t="s">
        <v>1098</v>
      </c>
      <c r="E516" s="3">
        <v>6</v>
      </c>
      <c r="F516" s="3">
        <v>2</v>
      </c>
      <c r="G516" t="s">
        <v>10</v>
      </c>
      <c r="H516" t="s">
        <v>1106</v>
      </c>
      <c r="I516" t="s">
        <v>43</v>
      </c>
      <c r="J516" t="s">
        <v>53</v>
      </c>
      <c r="K516" t="s">
        <v>10</v>
      </c>
      <c r="L516" t="s">
        <v>10</v>
      </c>
      <c r="M516" t="s">
        <v>10</v>
      </c>
      <c r="N516" t="s">
        <v>10</v>
      </c>
      <c r="O516" t="str">
        <f>INDEX(CoverageTable[Deductible Applies],MATCH(Table1820[[#This Row],[Coverage]],CoverageTable[Coverage],0))</f>
        <v>No</v>
      </c>
      <c r="P516" t="str">
        <f>INDEX(CoverageTable[Coverage Limit Applies],MATCH(Table1820[[#This Row],[Coverage]],CoverageTable[Coverage],0))</f>
        <v>Yes</v>
      </c>
      <c r="Q516" t="s">
        <v>10</v>
      </c>
      <c r="R516" t="s">
        <v>78</v>
      </c>
      <c r="S516" t="s">
        <v>10</v>
      </c>
      <c r="T516" t="s">
        <v>57</v>
      </c>
      <c r="U516" t="s">
        <v>10</v>
      </c>
      <c r="V516" t="s">
        <v>10</v>
      </c>
      <c r="W516" t="s">
        <v>10</v>
      </c>
      <c r="X516" s="11">
        <v>1258.3291722027141</v>
      </c>
      <c r="Y516">
        <f>_xlfn.XLOOKUP(Table1820[[#This Row],[Coverage]],CoverageTable[Coverage],CoverageTable[Base Rate],,0)</f>
        <v>622</v>
      </c>
      <c r="Z516">
        <f>INDEX(Table16[Ageband Factor],MATCH(Table1820[[#This Row],[Ageband]],Table16[Ageband],0))</f>
        <v>1.23</v>
      </c>
      <c r="AA516">
        <f>VLOOKUP(Table1820[[#This Row],[Years Driving]],Table1[],2)</f>
        <v>1</v>
      </c>
      <c r="AB516">
        <f>_xlfn.XLOOKUP(Table1820[[#This Row],[At Fault Accidents]],Table2[At Fault Accidents],Table2[At Fault Accident Factor],,0)</f>
        <v>1.55</v>
      </c>
      <c r="AC516">
        <f>_xlfn.XLOOKUP(Table1820[[#This Row],[Usage-Based Insurance]],Table3[Usage-Based Insurance],Table3[Usage-Based Insurance Discount],,0)</f>
        <v>1</v>
      </c>
      <c r="AD516">
        <f>_xlfn.XLOOKUP(Table1820[[#This Row],[Yearly Miles]],Table4[Yearly Miles],Table4[Yearly Miles Factor],,0)</f>
        <v>0.82</v>
      </c>
      <c r="AE516">
        <f>_xlfn.XLOOKUP(Table1820[[#This Row],[City/Zip Code]],Table5[City/Zip Code],Table5[City/Zip Code Factor],,0)</f>
        <v>1.18</v>
      </c>
      <c r="AF516">
        <f>_xlfn.XLOOKUP(Table1820[[#This Row],[Vehicle Price]],Table6[Vehicle Price],Table6[Vehicle Price Factor])</f>
        <v>2.02</v>
      </c>
      <c r="AG516">
        <f>_xlfn.XLOOKUP(Table1820[[#This Row],[Exotic Car]],Table7[Exotic Car],Table7[Exotic Car Factor],,0)</f>
        <v>1</v>
      </c>
      <c r="AH516">
        <f>_xlfn.XLOOKUP(Table1820[[#This Row],[Difficult Parts]],Table8[Difficult Parts],Table8[Difficult Parts Factor],,0)</f>
        <v>1</v>
      </c>
      <c r="AI516">
        <f>_xlfn.XLOOKUP(Table1820[[#This Row],[High Theft Rate]],Table9[High Theft Rate],Table9[High Theft Rate Factor],,0)</f>
        <v>1</v>
      </c>
      <c r="AJ516">
        <f>_xlfn.XLOOKUP(Table1820[[#This Row],[Advanced Safety Features]],Table10[Advanced Safety Features],Table10[Advanced Safety Features Factor],,0)</f>
        <v>1</v>
      </c>
      <c r="AK516">
        <f>_xlfn.XLOOKUP(Table1820[[#This Row],[Deductible]],Table12[Deductible],Table12[Deductible Factor],,0)</f>
        <v>1</v>
      </c>
      <c r="AL516">
        <f>_xlfn.XLOOKUP(Table1820[[#This Row],[Coverage Limit]],Table13[Coverage Limit],Table13[Coverage Limit Factor],,0)</f>
        <v>0.61</v>
      </c>
      <c r="AM516">
        <f>IF(Table1820[[#This Row],[Good Student Discount]]="Yes",'Rate Book'!$D$126,1)</f>
        <v>1</v>
      </c>
      <c r="AN516">
        <f>IF(Table1820[[#This Row],[Good Driver Discount]]="Yes",'Rate Book'!$D$127,1)</f>
        <v>0.89</v>
      </c>
      <c r="AO516">
        <f>IF(Table1820[[#This Row],[Multi Policy Discount]]="Yes",'Rate Book'!$D$128,1)</f>
        <v>1</v>
      </c>
      <c r="AP516">
        <f>IF(Table1820[[#This Row],[Loyal Customer Discount]]="Yes",'Rate Book'!$D$129,1)</f>
        <v>1</v>
      </c>
      <c r="AQ516">
        <f>IF(Table1820[[#This Row],[Organization Discount]]="Yes",'Rate Book'!$D$130,1)</f>
        <v>1</v>
      </c>
      <c r="AR516" cm="1">
        <f t="array" ref="AR516">IF(Table1820[[#This Row],[Effective Date]]&gt;=RateChangeTable[Effective Date],RateChangeTable[Rate Change Factor],1)</f>
        <v>1</v>
      </c>
      <c r="AS516" s="10">
        <f>PRODUCT(Table1820[[#This Row],[Base Rate]:[Rate Change Factor]])</f>
        <v>1258.3291722027141</v>
      </c>
      <c r="AT516" s="9">
        <f>Table1820[[#This Row],[System-Generated Premium]]-Table1820[[#This Row],[Expected Premium]]</f>
        <v>0</v>
      </c>
      <c r="AU516" t="str">
        <f>IF(Table1820[[#This Row],[Difference]]=0,"PASS","FAIL")</f>
        <v>PASS</v>
      </c>
      <c r="AV516" s="9">
        <f>ABS(Table1820[[#This Row],[Difference]])</f>
        <v>0</v>
      </c>
      <c r="AW516" s="9" t="s">
        <v>1136</v>
      </c>
    </row>
    <row r="517" spans="1:49" x14ac:dyDescent="0.3">
      <c r="A517" t="s">
        <v>608</v>
      </c>
      <c r="B517" s="7">
        <v>45779</v>
      </c>
      <c r="C517" t="s">
        <v>70</v>
      </c>
      <c r="D517" t="s">
        <v>1099</v>
      </c>
      <c r="E517" s="3" t="s">
        <v>1103</v>
      </c>
      <c r="F517" s="3">
        <v>3</v>
      </c>
      <c r="G517" t="s">
        <v>10</v>
      </c>
      <c r="H517" t="s">
        <v>1110</v>
      </c>
      <c r="I517" t="s">
        <v>44</v>
      </c>
      <c r="J517" t="s">
        <v>52</v>
      </c>
      <c r="K517" t="s">
        <v>10</v>
      </c>
      <c r="L517" t="s">
        <v>57</v>
      </c>
      <c r="M517" t="s">
        <v>10</v>
      </c>
      <c r="N517" t="s">
        <v>10</v>
      </c>
      <c r="O517" t="str">
        <f>INDEX(CoverageTable[Deductible Applies],MATCH(Table1820[[#This Row],[Coverage]],CoverageTable[Coverage],0))</f>
        <v>No</v>
      </c>
      <c r="P517" t="str">
        <f>INDEX(CoverageTable[Coverage Limit Applies],MATCH(Table1820[[#This Row],[Coverage]],CoverageTable[Coverage],0))</f>
        <v>Yes</v>
      </c>
      <c r="Q517" t="s">
        <v>10</v>
      </c>
      <c r="R517" t="s">
        <v>80</v>
      </c>
      <c r="S517" t="s">
        <v>10</v>
      </c>
      <c r="T517" t="s">
        <v>10</v>
      </c>
      <c r="U517" t="s">
        <v>10</v>
      </c>
      <c r="V517" t="s">
        <v>10</v>
      </c>
      <c r="W517" t="s">
        <v>10</v>
      </c>
      <c r="X517" s="11">
        <v>2552.9265203739897</v>
      </c>
      <c r="Y517">
        <f>_xlfn.XLOOKUP(Table1820[[#This Row],[Coverage]],CoverageTable[Coverage],CoverageTable[Base Rate],,0)</f>
        <v>622</v>
      </c>
      <c r="Z517">
        <f>INDEX(Table16[Ageband Factor],MATCH(Table1820[[#This Row],[Ageband]],Table16[Ageband],0))</f>
        <v>1</v>
      </c>
      <c r="AA517">
        <f>VLOOKUP(Table1820[[#This Row],[Years Driving]],Table1[],2)</f>
        <v>0.93</v>
      </c>
      <c r="AB517">
        <f>_xlfn.XLOOKUP(Table1820[[#This Row],[At Fault Accidents]],Table2[At Fault Accidents],Table2[At Fault Accident Factor],,0)</f>
        <v>1.82</v>
      </c>
      <c r="AC517">
        <f>_xlfn.XLOOKUP(Table1820[[#This Row],[Usage-Based Insurance]],Table3[Usage-Based Insurance],Table3[Usage-Based Insurance Discount],,0)</f>
        <v>1</v>
      </c>
      <c r="AD517">
        <f>_xlfn.XLOOKUP(Table1820[[#This Row],[Yearly Miles]],Table4[Yearly Miles],Table4[Yearly Miles Factor],,0)</f>
        <v>1.31</v>
      </c>
      <c r="AE517">
        <f>_xlfn.XLOOKUP(Table1820[[#This Row],[City/Zip Code]],Table5[City/Zip Code],Table5[City/Zip Code Factor],,0)</f>
        <v>1.1599999999999999</v>
      </c>
      <c r="AF517">
        <f>_xlfn.XLOOKUP(Table1820[[#This Row],[Vehicle Price]],Table6[Vehicle Price],Table6[Vehicle Price Factor])</f>
        <v>1.57</v>
      </c>
      <c r="AG517">
        <f>_xlfn.XLOOKUP(Table1820[[#This Row],[Exotic Car]],Table7[Exotic Car],Table7[Exotic Car Factor],,0)</f>
        <v>1</v>
      </c>
      <c r="AH517">
        <f>_xlfn.XLOOKUP(Table1820[[#This Row],[Difficult Parts]],Table8[Difficult Parts],Table8[Difficult Parts Factor],,0)</f>
        <v>1.21</v>
      </c>
      <c r="AI517">
        <f>_xlfn.XLOOKUP(Table1820[[#This Row],[High Theft Rate]],Table9[High Theft Rate],Table9[High Theft Rate Factor],,0)</f>
        <v>1</v>
      </c>
      <c r="AJ517">
        <f>_xlfn.XLOOKUP(Table1820[[#This Row],[Advanced Safety Features]],Table10[Advanced Safety Features],Table10[Advanced Safety Features Factor],,0)</f>
        <v>1</v>
      </c>
      <c r="AK517">
        <f>_xlfn.XLOOKUP(Table1820[[#This Row],[Deductible]],Table12[Deductible],Table12[Deductible Factor],,0)</f>
        <v>1</v>
      </c>
      <c r="AL517">
        <f>_xlfn.XLOOKUP(Table1820[[#This Row],[Coverage Limit]],Table13[Coverage Limit],Table13[Coverage Limit Factor],,0)</f>
        <v>0.84</v>
      </c>
      <c r="AM517">
        <f>IF(Table1820[[#This Row],[Good Student Discount]]="Yes",'Rate Book'!$D$126,1)</f>
        <v>1</v>
      </c>
      <c r="AN517">
        <f>IF(Table1820[[#This Row],[Good Driver Discount]]="Yes",'Rate Book'!$D$127,1)</f>
        <v>1</v>
      </c>
      <c r="AO517">
        <f>IF(Table1820[[#This Row],[Multi Policy Discount]]="Yes",'Rate Book'!$D$128,1)</f>
        <v>1</v>
      </c>
      <c r="AP517">
        <f>IF(Table1820[[#This Row],[Loyal Customer Discount]]="Yes",'Rate Book'!$D$129,1)</f>
        <v>1</v>
      </c>
      <c r="AQ517">
        <f>IF(Table1820[[#This Row],[Organization Discount]]="Yes",'Rate Book'!$D$130,1)</f>
        <v>1</v>
      </c>
      <c r="AR517" cm="1">
        <f t="array" ref="AR517">IF(Table1820[[#This Row],[Effective Date]]&gt;=RateChangeTable[Effective Date],RateChangeTable[Rate Change Factor],1)</f>
        <v>1</v>
      </c>
      <c r="AS517" s="10">
        <f>PRODUCT(Table1820[[#This Row],[Base Rate]:[Rate Change Factor]])</f>
        <v>2552.9265203739897</v>
      </c>
      <c r="AT517" s="9">
        <f>Table1820[[#This Row],[System-Generated Premium]]-Table1820[[#This Row],[Expected Premium]]</f>
        <v>0</v>
      </c>
      <c r="AU517" t="str">
        <f>IF(Table1820[[#This Row],[Difference]]=0,"PASS","FAIL")</f>
        <v>PASS</v>
      </c>
      <c r="AV517" s="9">
        <f>ABS(Table1820[[#This Row],[Difference]])</f>
        <v>0</v>
      </c>
      <c r="AW517" s="9" t="s">
        <v>1136</v>
      </c>
    </row>
    <row r="518" spans="1:49" x14ac:dyDescent="0.3">
      <c r="A518" t="s">
        <v>609</v>
      </c>
      <c r="B518" s="7">
        <v>45993</v>
      </c>
      <c r="C518" t="s">
        <v>74</v>
      </c>
      <c r="D518" t="s">
        <v>1101</v>
      </c>
      <c r="E518" s="3">
        <v>5</v>
      </c>
      <c r="F518" s="3">
        <v>0</v>
      </c>
      <c r="G518" t="s">
        <v>11</v>
      </c>
      <c r="H518" t="s">
        <v>1108</v>
      </c>
      <c r="I518" t="s">
        <v>33</v>
      </c>
      <c r="J518" t="s">
        <v>54</v>
      </c>
      <c r="K518" t="s">
        <v>10</v>
      </c>
      <c r="L518" t="s">
        <v>10</v>
      </c>
      <c r="M518" t="s">
        <v>10</v>
      </c>
      <c r="N518" t="s">
        <v>10</v>
      </c>
      <c r="O518" t="str">
        <f>INDEX(CoverageTable[Deductible Applies],MATCH(Table1820[[#This Row],[Coverage]],CoverageTable[Coverage],0))</f>
        <v>No</v>
      </c>
      <c r="P518" t="str">
        <f>INDEX(CoverageTable[Coverage Limit Applies],MATCH(Table1820[[#This Row],[Coverage]],CoverageTable[Coverage],0))</f>
        <v>Yes</v>
      </c>
      <c r="Q518" t="s">
        <v>10</v>
      </c>
      <c r="R518" t="s">
        <v>79</v>
      </c>
      <c r="S518" t="s">
        <v>10</v>
      </c>
      <c r="T518" t="s">
        <v>10</v>
      </c>
      <c r="U518" t="s">
        <v>10</v>
      </c>
      <c r="V518" t="s">
        <v>10</v>
      </c>
      <c r="W518" t="s">
        <v>10</v>
      </c>
      <c r="X518" s="11">
        <v>98.383853111040025</v>
      </c>
      <c r="Y518">
        <f>_xlfn.XLOOKUP(Table1820[[#This Row],[Coverage]],CoverageTable[Coverage],CoverageTable[Base Rate],,0)</f>
        <v>41</v>
      </c>
      <c r="Z518">
        <f>INDEX(Table16[Ageband Factor],MATCH(Table1820[[#This Row],[Ageband]],Table16[Ageband],0))</f>
        <v>1.1200000000000001</v>
      </c>
      <c r="AA518">
        <f>VLOOKUP(Table1820[[#This Row],[Years Driving]],Table1[],2)</f>
        <v>1.07</v>
      </c>
      <c r="AB518">
        <f>_xlfn.XLOOKUP(Table1820[[#This Row],[At Fault Accidents]],Table2[At Fault Accidents],Table2[At Fault Accident Factor],,0)</f>
        <v>1</v>
      </c>
      <c r="AC518">
        <f>_xlfn.XLOOKUP(Table1820[[#This Row],[Usage-Based Insurance]],Table3[Usage-Based Insurance],Table3[Usage-Based Insurance Discount],,0)</f>
        <v>0.95</v>
      </c>
      <c r="AD518">
        <f>_xlfn.XLOOKUP(Table1820[[#This Row],[Yearly Miles]],Table4[Yearly Miles],Table4[Yearly Miles Factor],,0)</f>
        <v>1</v>
      </c>
      <c r="AE518">
        <f>_xlfn.XLOOKUP(Table1820[[#This Row],[City/Zip Code]],Table5[City/Zip Code],Table5[City/Zip Code Factor],,0)</f>
        <v>1.02</v>
      </c>
      <c r="AF518">
        <f>_xlfn.XLOOKUP(Table1820[[#This Row],[Vehicle Price]],Table6[Vehicle Price],Table6[Vehicle Price Factor])</f>
        <v>2.87</v>
      </c>
      <c r="AG518">
        <f>_xlfn.XLOOKUP(Table1820[[#This Row],[Exotic Car]],Table7[Exotic Car],Table7[Exotic Car Factor],,0)</f>
        <v>1</v>
      </c>
      <c r="AH518">
        <f>_xlfn.XLOOKUP(Table1820[[#This Row],[Difficult Parts]],Table8[Difficult Parts],Table8[Difficult Parts Factor],,0)</f>
        <v>1</v>
      </c>
      <c r="AI518">
        <f>_xlfn.XLOOKUP(Table1820[[#This Row],[High Theft Rate]],Table9[High Theft Rate],Table9[High Theft Rate Factor],,0)</f>
        <v>1</v>
      </c>
      <c r="AJ518">
        <f>_xlfn.XLOOKUP(Table1820[[#This Row],[Advanced Safety Features]],Table10[Advanced Safety Features],Table10[Advanced Safety Features Factor],,0)</f>
        <v>1</v>
      </c>
      <c r="AK518">
        <f>_xlfn.XLOOKUP(Table1820[[#This Row],[Deductible]],Table12[Deductible],Table12[Deductible Factor],,0)</f>
        <v>1</v>
      </c>
      <c r="AL518">
        <f>_xlfn.XLOOKUP(Table1820[[#This Row],[Coverage Limit]],Table13[Coverage Limit],Table13[Coverage Limit Factor],,0)</f>
        <v>0.72</v>
      </c>
      <c r="AM518">
        <f>IF(Table1820[[#This Row],[Good Student Discount]]="Yes",'Rate Book'!$D$126,1)</f>
        <v>1</v>
      </c>
      <c r="AN518">
        <f>IF(Table1820[[#This Row],[Good Driver Discount]]="Yes",'Rate Book'!$D$127,1)</f>
        <v>1</v>
      </c>
      <c r="AO518">
        <f>IF(Table1820[[#This Row],[Multi Policy Discount]]="Yes",'Rate Book'!$D$128,1)</f>
        <v>1</v>
      </c>
      <c r="AP518">
        <f>IF(Table1820[[#This Row],[Loyal Customer Discount]]="Yes",'Rate Book'!$D$129,1)</f>
        <v>1</v>
      </c>
      <c r="AQ518">
        <f>IF(Table1820[[#This Row],[Organization Discount]]="Yes",'Rate Book'!$D$130,1)</f>
        <v>1</v>
      </c>
      <c r="AR518" cm="1">
        <f t="array" ref="AR518">IF(Table1820[[#This Row],[Effective Date]]&gt;=RateChangeTable[Effective Date],RateChangeTable[Rate Change Factor],1)</f>
        <v>1</v>
      </c>
      <c r="AS518" s="10">
        <f>PRODUCT(Table1820[[#This Row],[Base Rate]:[Rate Change Factor]])</f>
        <v>98.383853111040025</v>
      </c>
      <c r="AT518" s="9">
        <f>Table1820[[#This Row],[System-Generated Premium]]-Table1820[[#This Row],[Expected Premium]]</f>
        <v>0</v>
      </c>
      <c r="AU518" t="str">
        <f>IF(Table1820[[#This Row],[Difference]]=0,"PASS","FAIL")</f>
        <v>PASS</v>
      </c>
      <c r="AV518" s="9">
        <f>ABS(Table1820[[#This Row],[Difference]])</f>
        <v>0</v>
      </c>
      <c r="AW518" s="9" t="s">
        <v>1136</v>
      </c>
    </row>
    <row r="519" spans="1:49" x14ac:dyDescent="0.3">
      <c r="A519" t="s">
        <v>610</v>
      </c>
      <c r="B519" s="7">
        <v>45811</v>
      </c>
      <c r="C519" t="s">
        <v>70</v>
      </c>
      <c r="D519" t="s">
        <v>1097</v>
      </c>
      <c r="E519" s="3">
        <v>2</v>
      </c>
      <c r="F519" s="3">
        <v>1</v>
      </c>
      <c r="G519" t="s">
        <v>13</v>
      </c>
      <c r="H519" t="s">
        <v>1108</v>
      </c>
      <c r="I519" t="s">
        <v>43</v>
      </c>
      <c r="J519" t="s">
        <v>48</v>
      </c>
      <c r="K519" t="s">
        <v>10</v>
      </c>
      <c r="L519" t="s">
        <v>10</v>
      </c>
      <c r="M519" t="s">
        <v>10</v>
      </c>
      <c r="N519" t="s">
        <v>57</v>
      </c>
      <c r="O519" t="str">
        <f>INDEX(CoverageTable[Deductible Applies],MATCH(Table1820[[#This Row],[Coverage]],CoverageTable[Coverage],0))</f>
        <v>No</v>
      </c>
      <c r="P519" t="str">
        <f>INDEX(CoverageTable[Coverage Limit Applies],MATCH(Table1820[[#This Row],[Coverage]],CoverageTable[Coverage],0))</f>
        <v>Yes</v>
      </c>
      <c r="Q519" t="s">
        <v>10</v>
      </c>
      <c r="R519" t="s">
        <v>79</v>
      </c>
      <c r="S519" t="s">
        <v>10</v>
      </c>
      <c r="T519" t="s">
        <v>57</v>
      </c>
      <c r="U519" t="s">
        <v>57</v>
      </c>
      <c r="V519" t="s">
        <v>10</v>
      </c>
      <c r="W519" t="s">
        <v>10</v>
      </c>
      <c r="X519" s="11">
        <v>511.66483102779694</v>
      </c>
      <c r="Y519">
        <f>_xlfn.XLOOKUP(Table1820[[#This Row],[Coverage]],CoverageTable[Coverage],CoverageTable[Base Rate],,0)</f>
        <v>622</v>
      </c>
      <c r="Z519">
        <f>INDEX(Table16[Ageband Factor],MATCH(Table1820[[#This Row],[Ageband]],Table16[Ageband],0))</f>
        <v>1.32</v>
      </c>
      <c r="AA519">
        <f>VLOOKUP(Table1820[[#This Row],[Years Driving]],Table1[],2)</f>
        <v>1.41</v>
      </c>
      <c r="AB519">
        <f>_xlfn.XLOOKUP(Table1820[[#This Row],[At Fault Accidents]],Table2[At Fault Accidents],Table2[At Fault Accident Factor],,0)</f>
        <v>1.34</v>
      </c>
      <c r="AC519">
        <f>_xlfn.XLOOKUP(Table1820[[#This Row],[Usage-Based Insurance]],Table3[Usage-Based Insurance],Table3[Usage-Based Insurance Discount],,0)</f>
        <v>0.65</v>
      </c>
      <c r="AD519">
        <f>_xlfn.XLOOKUP(Table1820[[#This Row],[Yearly Miles]],Table4[Yearly Miles],Table4[Yearly Miles Factor],,0)</f>
        <v>1</v>
      </c>
      <c r="AE519">
        <f>_xlfn.XLOOKUP(Table1820[[#This Row],[City/Zip Code]],Table5[City/Zip Code],Table5[City/Zip Code Factor],,0)</f>
        <v>1.18</v>
      </c>
      <c r="AF519">
        <f>_xlfn.XLOOKUP(Table1820[[#This Row],[Vehicle Price]],Table6[Vehicle Price],Table6[Vehicle Price Factor])</f>
        <v>0.82</v>
      </c>
      <c r="AG519">
        <f>_xlfn.XLOOKUP(Table1820[[#This Row],[Exotic Car]],Table7[Exotic Car],Table7[Exotic Car Factor],,0)</f>
        <v>1</v>
      </c>
      <c r="AH519">
        <f>_xlfn.XLOOKUP(Table1820[[#This Row],[Difficult Parts]],Table8[Difficult Parts],Table8[Difficult Parts Factor],,0)</f>
        <v>1</v>
      </c>
      <c r="AI519">
        <f>_xlfn.XLOOKUP(Table1820[[#This Row],[High Theft Rate]],Table9[High Theft Rate],Table9[High Theft Rate Factor],,0)</f>
        <v>1</v>
      </c>
      <c r="AJ519">
        <f>_xlfn.XLOOKUP(Table1820[[#This Row],[Advanced Safety Features]],Table10[Advanced Safety Features],Table10[Advanced Safety Features Factor],,0)</f>
        <v>0.88</v>
      </c>
      <c r="AK519">
        <f>_xlfn.XLOOKUP(Table1820[[#This Row],[Deductible]],Table12[Deductible],Table12[Deductible Factor],,0)</f>
        <v>1</v>
      </c>
      <c r="AL519">
        <f>_xlfn.XLOOKUP(Table1820[[#This Row],[Coverage Limit]],Table13[Coverage Limit],Table13[Coverage Limit Factor],,0)</f>
        <v>0.72</v>
      </c>
      <c r="AM519">
        <f>IF(Table1820[[#This Row],[Good Student Discount]]="Yes",'Rate Book'!$D$126,1)</f>
        <v>1</v>
      </c>
      <c r="AN519">
        <f>IF(Table1820[[#This Row],[Good Driver Discount]]="Yes",'Rate Book'!$D$127,1)</f>
        <v>0.89</v>
      </c>
      <c r="AO519">
        <f>IF(Table1820[[#This Row],[Multi Policy Discount]]="Yes",'Rate Book'!$D$128,1)</f>
        <v>0.93</v>
      </c>
      <c r="AP519">
        <f>IF(Table1820[[#This Row],[Loyal Customer Discount]]="Yes",'Rate Book'!$D$129,1)</f>
        <v>1</v>
      </c>
      <c r="AQ519">
        <f>IF(Table1820[[#This Row],[Organization Discount]]="Yes",'Rate Book'!$D$130,1)</f>
        <v>1</v>
      </c>
      <c r="AR519" cm="1">
        <f t="array" ref="AR519">IF(Table1820[[#This Row],[Effective Date]]&gt;=RateChangeTable[Effective Date],RateChangeTable[Rate Change Factor],1)</f>
        <v>1</v>
      </c>
      <c r="AS519" s="10">
        <f>PRODUCT(Table1820[[#This Row],[Base Rate]:[Rate Change Factor]])</f>
        <v>511.66483102779694</v>
      </c>
      <c r="AT519" s="9">
        <f>Table1820[[#This Row],[System-Generated Premium]]-Table1820[[#This Row],[Expected Premium]]</f>
        <v>0</v>
      </c>
      <c r="AU519" t="str">
        <f>IF(Table1820[[#This Row],[Difference]]=0,"PASS","FAIL")</f>
        <v>PASS</v>
      </c>
      <c r="AV519" s="9">
        <f>ABS(Table1820[[#This Row],[Difference]])</f>
        <v>0</v>
      </c>
      <c r="AW519" s="9" t="s">
        <v>1136</v>
      </c>
    </row>
    <row r="520" spans="1:49" x14ac:dyDescent="0.3">
      <c r="A520" t="s">
        <v>611</v>
      </c>
      <c r="B520" s="7">
        <v>46142</v>
      </c>
      <c r="C520" t="s">
        <v>70</v>
      </c>
      <c r="D520" t="s">
        <v>1100</v>
      </c>
      <c r="E520" s="3">
        <v>7</v>
      </c>
      <c r="F520" s="3" t="s">
        <v>7</v>
      </c>
      <c r="G520" t="s">
        <v>11</v>
      </c>
      <c r="H520" t="s">
        <v>1106</v>
      </c>
      <c r="I520" t="s">
        <v>41</v>
      </c>
      <c r="J520" t="s">
        <v>54</v>
      </c>
      <c r="K520" t="s">
        <v>10</v>
      </c>
      <c r="L520" t="s">
        <v>10</v>
      </c>
      <c r="M520" t="s">
        <v>10</v>
      </c>
      <c r="N520" t="s">
        <v>57</v>
      </c>
      <c r="O520" t="str">
        <f>INDEX(CoverageTable[Deductible Applies],MATCH(Table1820[[#This Row],[Coverage]],CoverageTable[Coverage],0))</f>
        <v>No</v>
      </c>
      <c r="P520" t="str">
        <f>INDEX(CoverageTable[Coverage Limit Applies],MATCH(Table1820[[#This Row],[Coverage]],CoverageTable[Coverage],0))</f>
        <v>Yes</v>
      </c>
      <c r="Q520" t="s">
        <v>10</v>
      </c>
      <c r="R520" t="s">
        <v>78</v>
      </c>
      <c r="S520" t="s">
        <v>10</v>
      </c>
      <c r="T520" t="s">
        <v>57</v>
      </c>
      <c r="U520" t="s">
        <v>10</v>
      </c>
      <c r="V520" t="s">
        <v>57</v>
      </c>
      <c r="W520" t="s">
        <v>10</v>
      </c>
      <c r="X520" s="11">
        <v>1911.3848894752191</v>
      </c>
      <c r="Y520">
        <f>_xlfn.XLOOKUP(Table1820[[#This Row],[Coverage]],CoverageTable[Coverage],CoverageTable[Base Rate],,0)</f>
        <v>622</v>
      </c>
      <c r="Z520">
        <f>INDEX(Table16[Ageband Factor],MATCH(Table1820[[#This Row],[Ageband]],Table16[Ageband],0))</f>
        <v>1.07</v>
      </c>
      <c r="AA520">
        <f>VLOOKUP(Table1820[[#This Row],[Years Driving]],Table1[],2)</f>
        <v>0.95</v>
      </c>
      <c r="AB520">
        <f>_xlfn.XLOOKUP(Table1820[[#This Row],[At Fault Accidents]],Table2[At Fault Accidents],Table2[At Fault Accident Factor],,0)</f>
        <v>2.4700000000000002</v>
      </c>
      <c r="AC520">
        <f>_xlfn.XLOOKUP(Table1820[[#This Row],[Usage-Based Insurance]],Table3[Usage-Based Insurance],Table3[Usage-Based Insurance Discount],,0)</f>
        <v>0.95</v>
      </c>
      <c r="AD520">
        <f>_xlfn.XLOOKUP(Table1820[[#This Row],[Yearly Miles]],Table4[Yearly Miles],Table4[Yearly Miles Factor],,0)</f>
        <v>0.82</v>
      </c>
      <c r="AE520">
        <f>_xlfn.XLOOKUP(Table1820[[#This Row],[City/Zip Code]],Table5[City/Zip Code],Table5[City/Zip Code Factor],,0)</f>
        <v>1.1499999999999999</v>
      </c>
      <c r="AF520">
        <f>_xlfn.XLOOKUP(Table1820[[#This Row],[Vehicle Price]],Table6[Vehicle Price],Table6[Vehicle Price Factor])</f>
        <v>2.87</v>
      </c>
      <c r="AG520">
        <f>_xlfn.XLOOKUP(Table1820[[#This Row],[Exotic Car]],Table7[Exotic Car],Table7[Exotic Car Factor],,0)</f>
        <v>1</v>
      </c>
      <c r="AH520">
        <f>_xlfn.XLOOKUP(Table1820[[#This Row],[Difficult Parts]],Table8[Difficult Parts],Table8[Difficult Parts Factor],,0)</f>
        <v>1</v>
      </c>
      <c r="AI520">
        <f>_xlfn.XLOOKUP(Table1820[[#This Row],[High Theft Rate]],Table9[High Theft Rate],Table9[High Theft Rate Factor],,0)</f>
        <v>1</v>
      </c>
      <c r="AJ520">
        <f>_xlfn.XLOOKUP(Table1820[[#This Row],[Advanced Safety Features]],Table10[Advanced Safety Features],Table10[Advanced Safety Features Factor],,0)</f>
        <v>0.88</v>
      </c>
      <c r="AK520">
        <f>_xlfn.XLOOKUP(Table1820[[#This Row],[Deductible]],Table12[Deductible],Table12[Deductible Factor],,0)</f>
        <v>1</v>
      </c>
      <c r="AL520">
        <f>_xlfn.XLOOKUP(Table1820[[#This Row],[Coverage Limit]],Table13[Coverage Limit],Table13[Coverage Limit Factor],,0)</f>
        <v>0.61</v>
      </c>
      <c r="AM520">
        <f>IF(Table1820[[#This Row],[Good Student Discount]]="Yes",'Rate Book'!$D$126,1)</f>
        <v>1</v>
      </c>
      <c r="AN520">
        <f>IF(Table1820[[#This Row],[Good Driver Discount]]="Yes",'Rate Book'!$D$127,1)</f>
        <v>0.89</v>
      </c>
      <c r="AO520">
        <f>IF(Table1820[[#This Row],[Multi Policy Discount]]="Yes",'Rate Book'!$D$128,1)</f>
        <v>1</v>
      </c>
      <c r="AP520">
        <f>IF(Table1820[[#This Row],[Loyal Customer Discount]]="Yes",'Rate Book'!$D$129,1)</f>
        <v>0.94</v>
      </c>
      <c r="AQ520">
        <f>IF(Table1820[[#This Row],[Organization Discount]]="Yes",'Rate Book'!$D$130,1)</f>
        <v>1</v>
      </c>
      <c r="AR520" cm="1">
        <f t="array" ref="AR520">IF(Table1820[[#This Row],[Effective Date]]&gt;=RateChangeTable[Effective Date],RateChangeTable[Rate Change Factor],1)</f>
        <v>1.06</v>
      </c>
      <c r="AS520" s="10">
        <f>PRODUCT(Table1820[[#This Row],[Base Rate]:[Rate Change Factor]])</f>
        <v>1911.3848894752191</v>
      </c>
      <c r="AT520" s="9">
        <f>Table1820[[#This Row],[System-Generated Premium]]-Table1820[[#This Row],[Expected Premium]]</f>
        <v>0</v>
      </c>
      <c r="AU520" t="str">
        <f>IF(Table1820[[#This Row],[Difference]]=0,"PASS","FAIL")</f>
        <v>PASS</v>
      </c>
      <c r="AV520" s="9">
        <f>ABS(Table1820[[#This Row],[Difference]])</f>
        <v>0</v>
      </c>
      <c r="AW520" s="9" t="s">
        <v>1136</v>
      </c>
    </row>
    <row r="521" spans="1:49" x14ac:dyDescent="0.3">
      <c r="A521" t="s">
        <v>612</v>
      </c>
      <c r="B521" s="7">
        <v>45982</v>
      </c>
      <c r="C521" t="s">
        <v>72</v>
      </c>
      <c r="D521" t="s">
        <v>1098</v>
      </c>
      <c r="E521" s="3">
        <v>3</v>
      </c>
      <c r="F521" s="3">
        <v>3</v>
      </c>
      <c r="G521" t="s">
        <v>10</v>
      </c>
      <c r="H521" t="s">
        <v>1109</v>
      </c>
      <c r="I521" t="s">
        <v>26</v>
      </c>
      <c r="J521" t="s">
        <v>49</v>
      </c>
      <c r="K521" t="s">
        <v>57</v>
      </c>
      <c r="L521" t="s">
        <v>10</v>
      </c>
      <c r="M521" t="s">
        <v>10</v>
      </c>
      <c r="N521" t="s">
        <v>10</v>
      </c>
      <c r="O521" t="str">
        <f>INDEX(CoverageTable[Deductible Applies],MATCH(Table1820[[#This Row],[Coverage]],CoverageTable[Coverage],0))</f>
        <v>Yes</v>
      </c>
      <c r="P521" t="str">
        <f>INDEX(CoverageTable[Coverage Limit Applies],MATCH(Table1820[[#This Row],[Coverage]],CoverageTable[Coverage],0))</f>
        <v>No</v>
      </c>
      <c r="Q521" t="s">
        <v>78</v>
      </c>
      <c r="R521" t="s">
        <v>10</v>
      </c>
      <c r="S521" t="s">
        <v>10</v>
      </c>
      <c r="T521" t="s">
        <v>10</v>
      </c>
      <c r="U521" t="s">
        <v>10</v>
      </c>
      <c r="V521" t="s">
        <v>57</v>
      </c>
      <c r="W521" t="s">
        <v>10</v>
      </c>
      <c r="X521" s="11">
        <v>497.2041110516991</v>
      </c>
      <c r="Y521">
        <f>_xlfn.XLOOKUP(Table1820[[#This Row],[Coverage]],CoverageTable[Coverage],CoverageTable[Base Rate],,0)</f>
        <v>121</v>
      </c>
      <c r="Z521">
        <f>INDEX(Table16[Ageband Factor],MATCH(Table1820[[#This Row],[Ageband]],Table16[Ageband],0))</f>
        <v>1.23</v>
      </c>
      <c r="AA521">
        <f>VLOOKUP(Table1820[[#This Row],[Years Driving]],Table1[],2)</f>
        <v>1.22</v>
      </c>
      <c r="AB521">
        <f>_xlfn.XLOOKUP(Table1820[[#This Row],[At Fault Accidents]],Table2[At Fault Accidents],Table2[At Fault Accident Factor],,0)</f>
        <v>1.82</v>
      </c>
      <c r="AC521">
        <f>_xlfn.XLOOKUP(Table1820[[#This Row],[Usage-Based Insurance]],Table3[Usage-Based Insurance],Table3[Usage-Based Insurance Discount],,0)</f>
        <v>1</v>
      </c>
      <c r="AD521">
        <f>_xlfn.XLOOKUP(Table1820[[#This Row],[Yearly Miles]],Table4[Yearly Miles],Table4[Yearly Miles Factor],,0)</f>
        <v>1.18</v>
      </c>
      <c r="AE521">
        <f>_xlfn.XLOOKUP(Table1820[[#This Row],[City/Zip Code]],Table5[City/Zip Code],Table5[City/Zip Code Factor],,0)</f>
        <v>1.1499999999999999</v>
      </c>
      <c r="AF521">
        <f>_xlfn.XLOOKUP(Table1820[[#This Row],[Vehicle Price]],Table6[Vehicle Price],Table6[Vehicle Price Factor])</f>
        <v>0.97</v>
      </c>
      <c r="AG521">
        <f>_xlfn.XLOOKUP(Table1820[[#This Row],[Exotic Car]],Table7[Exotic Car],Table7[Exotic Car Factor],,0)</f>
        <v>1.28</v>
      </c>
      <c r="AH521">
        <f>_xlfn.XLOOKUP(Table1820[[#This Row],[Difficult Parts]],Table8[Difficult Parts],Table8[Difficult Parts Factor],,0)</f>
        <v>1</v>
      </c>
      <c r="AI521">
        <f>_xlfn.XLOOKUP(Table1820[[#This Row],[High Theft Rate]],Table9[High Theft Rate],Table9[High Theft Rate Factor],,0)</f>
        <v>1</v>
      </c>
      <c r="AJ521">
        <f>_xlfn.XLOOKUP(Table1820[[#This Row],[Advanced Safety Features]],Table10[Advanced Safety Features],Table10[Advanced Safety Features Factor],,0)</f>
        <v>1</v>
      </c>
      <c r="AK521">
        <f>_xlfn.XLOOKUP(Table1820[[#This Row],[Deductible]],Table12[Deductible],Table12[Deductible Factor],,0)</f>
        <v>0.95</v>
      </c>
      <c r="AL521">
        <f>_xlfn.XLOOKUP(Table1820[[#This Row],[Coverage Limit]],Table13[Coverage Limit],Table13[Coverage Limit Factor],,0)</f>
        <v>1</v>
      </c>
      <c r="AM521">
        <f>IF(Table1820[[#This Row],[Good Student Discount]]="Yes",'Rate Book'!$D$126,1)</f>
        <v>1</v>
      </c>
      <c r="AN521">
        <f>IF(Table1820[[#This Row],[Good Driver Discount]]="Yes",'Rate Book'!$D$127,1)</f>
        <v>1</v>
      </c>
      <c r="AO521">
        <f>IF(Table1820[[#This Row],[Multi Policy Discount]]="Yes",'Rate Book'!$D$128,1)</f>
        <v>1</v>
      </c>
      <c r="AP521">
        <f>IF(Table1820[[#This Row],[Loyal Customer Discount]]="Yes",'Rate Book'!$D$129,1)</f>
        <v>0.94</v>
      </c>
      <c r="AQ521">
        <f>IF(Table1820[[#This Row],[Organization Discount]]="Yes",'Rate Book'!$D$130,1)</f>
        <v>1</v>
      </c>
      <c r="AR521" cm="1">
        <f t="array" ref="AR521">IF(Table1820[[#This Row],[Effective Date]]&gt;=RateChangeTable[Effective Date],RateChangeTable[Rate Change Factor],1)</f>
        <v>1</v>
      </c>
      <c r="AS521" s="10">
        <f>PRODUCT(Table1820[[#This Row],[Base Rate]:[Rate Change Factor]])</f>
        <v>497.2041110516991</v>
      </c>
      <c r="AT521" s="9">
        <f>Table1820[[#This Row],[System-Generated Premium]]-Table1820[[#This Row],[Expected Premium]]</f>
        <v>0</v>
      </c>
      <c r="AU521" t="str">
        <f>IF(Table1820[[#This Row],[Difference]]=0,"PASS","FAIL")</f>
        <v>PASS</v>
      </c>
      <c r="AV521" s="9">
        <f>ABS(Table1820[[#This Row],[Difference]])</f>
        <v>0</v>
      </c>
      <c r="AW521" s="9" t="s">
        <v>1136</v>
      </c>
    </row>
    <row r="522" spans="1:49" x14ac:dyDescent="0.3">
      <c r="A522" t="s">
        <v>613</v>
      </c>
      <c r="B522" s="7">
        <v>46129</v>
      </c>
      <c r="C522" t="s">
        <v>73</v>
      </c>
      <c r="D522" t="s">
        <v>1099</v>
      </c>
      <c r="E522" s="3" t="s">
        <v>1103</v>
      </c>
      <c r="F522" s="3">
        <v>2</v>
      </c>
      <c r="G522" t="s">
        <v>12</v>
      </c>
      <c r="H522" t="s">
        <v>1110</v>
      </c>
      <c r="I522" t="s">
        <v>29</v>
      </c>
      <c r="J522" t="s">
        <v>50</v>
      </c>
      <c r="K522" t="s">
        <v>10</v>
      </c>
      <c r="L522" t="s">
        <v>10</v>
      </c>
      <c r="M522" t="s">
        <v>10</v>
      </c>
      <c r="N522" t="s">
        <v>57</v>
      </c>
      <c r="O522" t="str">
        <f>INDEX(CoverageTable[Deductible Applies],MATCH(Table1820[[#This Row],[Coverage]],CoverageTable[Coverage],0))</f>
        <v>No</v>
      </c>
      <c r="P522" t="str">
        <f>INDEX(CoverageTable[Coverage Limit Applies],MATCH(Table1820[[#This Row],[Coverage]],CoverageTable[Coverage],0))</f>
        <v>Yes</v>
      </c>
      <c r="Q522" t="s">
        <v>10</v>
      </c>
      <c r="R522" t="s">
        <v>78</v>
      </c>
      <c r="S522" t="s">
        <v>10</v>
      </c>
      <c r="T522" t="s">
        <v>10</v>
      </c>
      <c r="U522" t="s">
        <v>10</v>
      </c>
      <c r="V522" t="s">
        <v>10</v>
      </c>
      <c r="W522" t="s">
        <v>57</v>
      </c>
      <c r="X522" s="11">
        <v>76.561580844950939</v>
      </c>
      <c r="Y522">
        <f>_xlfn.XLOOKUP(Table1820[[#This Row],[Coverage]],CoverageTable[Coverage],CoverageTable[Base Rate],,0)</f>
        <v>78</v>
      </c>
      <c r="Z522">
        <f>INDEX(Table16[Ageband Factor],MATCH(Table1820[[#This Row],[Ageband]],Table16[Ageband],0))</f>
        <v>1</v>
      </c>
      <c r="AA522">
        <f>VLOOKUP(Table1820[[#This Row],[Years Driving]],Table1[],2)</f>
        <v>0.93</v>
      </c>
      <c r="AB522">
        <f>_xlfn.XLOOKUP(Table1820[[#This Row],[At Fault Accidents]],Table2[At Fault Accidents],Table2[At Fault Accident Factor],,0)</f>
        <v>1.55</v>
      </c>
      <c r="AC522">
        <f>_xlfn.XLOOKUP(Table1820[[#This Row],[Usage-Based Insurance]],Table3[Usage-Based Insurance],Table3[Usage-Based Insurance Discount],,0)</f>
        <v>0.8</v>
      </c>
      <c r="AD522">
        <f>_xlfn.XLOOKUP(Table1820[[#This Row],[Yearly Miles]],Table4[Yearly Miles],Table4[Yearly Miles Factor],,0)</f>
        <v>1.31</v>
      </c>
      <c r="AE522">
        <f>_xlfn.XLOOKUP(Table1820[[#This Row],[City/Zip Code]],Table5[City/Zip Code],Table5[City/Zip Code Factor],,0)</f>
        <v>1.0900000000000001</v>
      </c>
      <c r="AF522">
        <f>_xlfn.XLOOKUP(Table1820[[#This Row],[Vehicle Price]],Table6[Vehicle Price],Table6[Vehicle Price Factor])</f>
        <v>1.08</v>
      </c>
      <c r="AG522">
        <f>_xlfn.XLOOKUP(Table1820[[#This Row],[Exotic Car]],Table7[Exotic Car],Table7[Exotic Car Factor],,0)</f>
        <v>1</v>
      </c>
      <c r="AH522">
        <f>_xlfn.XLOOKUP(Table1820[[#This Row],[Difficult Parts]],Table8[Difficult Parts],Table8[Difficult Parts Factor],,0)</f>
        <v>1</v>
      </c>
      <c r="AI522">
        <f>_xlfn.XLOOKUP(Table1820[[#This Row],[High Theft Rate]],Table9[High Theft Rate],Table9[High Theft Rate Factor],,0)</f>
        <v>1</v>
      </c>
      <c r="AJ522">
        <f>_xlfn.XLOOKUP(Table1820[[#This Row],[Advanced Safety Features]],Table10[Advanced Safety Features],Table10[Advanced Safety Features Factor],,0)</f>
        <v>0.88</v>
      </c>
      <c r="AK522">
        <f>_xlfn.XLOOKUP(Table1820[[#This Row],[Deductible]],Table12[Deductible],Table12[Deductible Factor],,0)</f>
        <v>1</v>
      </c>
      <c r="AL522">
        <f>_xlfn.XLOOKUP(Table1820[[#This Row],[Coverage Limit]],Table13[Coverage Limit],Table13[Coverage Limit Factor],,0)</f>
        <v>0.61</v>
      </c>
      <c r="AM522">
        <f>IF(Table1820[[#This Row],[Good Student Discount]]="Yes",'Rate Book'!$D$126,1)</f>
        <v>1</v>
      </c>
      <c r="AN522">
        <f>IF(Table1820[[#This Row],[Good Driver Discount]]="Yes",'Rate Book'!$D$127,1)</f>
        <v>1</v>
      </c>
      <c r="AO522">
        <f>IF(Table1820[[#This Row],[Multi Policy Discount]]="Yes",'Rate Book'!$D$128,1)</f>
        <v>1</v>
      </c>
      <c r="AP522">
        <f>IF(Table1820[[#This Row],[Loyal Customer Discount]]="Yes",'Rate Book'!$D$129,1)</f>
        <v>1</v>
      </c>
      <c r="AQ522">
        <f>IF(Table1820[[#This Row],[Organization Discount]]="Yes",'Rate Book'!$D$130,1)</f>
        <v>0.97</v>
      </c>
      <c r="AR522" cm="1">
        <f t="array" ref="AR522">IF(Table1820[[#This Row],[Effective Date]]&gt;=RateChangeTable[Effective Date],RateChangeTable[Rate Change Factor],1)</f>
        <v>1.06</v>
      </c>
      <c r="AS522" s="10">
        <f>PRODUCT(Table1820[[#This Row],[Base Rate]:[Rate Change Factor]])</f>
        <v>76.561580844950939</v>
      </c>
      <c r="AT522" s="9">
        <f>Table1820[[#This Row],[System-Generated Premium]]-Table1820[[#This Row],[Expected Premium]]</f>
        <v>0</v>
      </c>
      <c r="AU522" t="str">
        <f>IF(Table1820[[#This Row],[Difference]]=0,"PASS","FAIL")</f>
        <v>PASS</v>
      </c>
      <c r="AV522" s="9">
        <f>ABS(Table1820[[#This Row],[Difference]])</f>
        <v>0</v>
      </c>
      <c r="AW522" s="9" t="s">
        <v>1136</v>
      </c>
    </row>
    <row r="523" spans="1:49" x14ac:dyDescent="0.3">
      <c r="A523" t="s">
        <v>614</v>
      </c>
      <c r="B523" s="7">
        <v>45995</v>
      </c>
      <c r="C523" t="s">
        <v>70</v>
      </c>
      <c r="D523" t="s">
        <v>1098</v>
      </c>
      <c r="E523" s="3">
        <v>4</v>
      </c>
      <c r="F523" s="3">
        <v>1</v>
      </c>
      <c r="G523" t="s">
        <v>10</v>
      </c>
      <c r="H523" t="s">
        <v>1107</v>
      </c>
      <c r="I523" t="s">
        <v>29</v>
      </c>
      <c r="J523" t="s">
        <v>54</v>
      </c>
      <c r="K523" t="s">
        <v>10</v>
      </c>
      <c r="L523" t="s">
        <v>57</v>
      </c>
      <c r="M523" t="s">
        <v>10</v>
      </c>
      <c r="N523" t="s">
        <v>57</v>
      </c>
      <c r="O523" t="str">
        <f>INDEX(CoverageTable[Deductible Applies],MATCH(Table1820[[#This Row],[Coverage]],CoverageTable[Coverage],0))</f>
        <v>No</v>
      </c>
      <c r="P523" t="str">
        <f>INDEX(CoverageTable[Coverage Limit Applies],MATCH(Table1820[[#This Row],[Coverage]],CoverageTable[Coverage],0))</f>
        <v>Yes</v>
      </c>
      <c r="Q523" t="s">
        <v>10</v>
      </c>
      <c r="R523" t="s">
        <v>79</v>
      </c>
      <c r="S523" t="s">
        <v>10</v>
      </c>
      <c r="T523" t="s">
        <v>10</v>
      </c>
      <c r="U523" t="s">
        <v>57</v>
      </c>
      <c r="V523" t="s">
        <v>57</v>
      </c>
      <c r="W523" t="s">
        <v>10</v>
      </c>
      <c r="X523" s="11">
        <v>2298.7980450540713</v>
      </c>
      <c r="Y523">
        <f>_xlfn.XLOOKUP(Table1820[[#This Row],[Coverage]],CoverageTable[Coverage],CoverageTable[Base Rate],,0)</f>
        <v>622</v>
      </c>
      <c r="Z523">
        <f>INDEX(Table16[Ageband Factor],MATCH(Table1820[[#This Row],[Ageband]],Table16[Ageband],0))</f>
        <v>1.23</v>
      </c>
      <c r="AA523">
        <f>VLOOKUP(Table1820[[#This Row],[Years Driving]],Table1[],2)</f>
        <v>1.1499999999999999</v>
      </c>
      <c r="AB523">
        <f>_xlfn.XLOOKUP(Table1820[[#This Row],[At Fault Accidents]],Table2[At Fault Accidents],Table2[At Fault Accident Factor],,0)</f>
        <v>1.34</v>
      </c>
      <c r="AC523">
        <f>_xlfn.XLOOKUP(Table1820[[#This Row],[Usage-Based Insurance]],Table3[Usage-Based Insurance],Table3[Usage-Based Insurance Discount],,0)</f>
        <v>1</v>
      </c>
      <c r="AD523">
        <f>_xlfn.XLOOKUP(Table1820[[#This Row],[Yearly Miles]],Table4[Yearly Miles],Table4[Yearly Miles Factor],,0)</f>
        <v>0.93</v>
      </c>
      <c r="AE523">
        <f>_xlfn.XLOOKUP(Table1820[[#This Row],[City/Zip Code]],Table5[City/Zip Code],Table5[City/Zip Code Factor],,0)</f>
        <v>1.0900000000000001</v>
      </c>
      <c r="AF523">
        <f>_xlfn.XLOOKUP(Table1820[[#This Row],[Vehicle Price]],Table6[Vehicle Price],Table6[Vehicle Price Factor])</f>
        <v>2.87</v>
      </c>
      <c r="AG523">
        <f>_xlfn.XLOOKUP(Table1820[[#This Row],[Exotic Car]],Table7[Exotic Car],Table7[Exotic Car Factor],,0)</f>
        <v>1</v>
      </c>
      <c r="AH523">
        <f>_xlfn.XLOOKUP(Table1820[[#This Row],[Difficult Parts]],Table8[Difficult Parts],Table8[Difficult Parts Factor],,0)</f>
        <v>1.21</v>
      </c>
      <c r="AI523">
        <f>_xlfn.XLOOKUP(Table1820[[#This Row],[High Theft Rate]],Table9[High Theft Rate],Table9[High Theft Rate Factor],,0)</f>
        <v>1</v>
      </c>
      <c r="AJ523">
        <f>_xlfn.XLOOKUP(Table1820[[#This Row],[Advanced Safety Features]],Table10[Advanced Safety Features],Table10[Advanced Safety Features Factor],,0)</f>
        <v>0.88</v>
      </c>
      <c r="AK523">
        <f>_xlfn.XLOOKUP(Table1820[[#This Row],[Deductible]],Table12[Deductible],Table12[Deductible Factor],,0)</f>
        <v>1</v>
      </c>
      <c r="AL523">
        <f>_xlfn.XLOOKUP(Table1820[[#This Row],[Coverage Limit]],Table13[Coverage Limit],Table13[Coverage Limit Factor],,0)</f>
        <v>0.72</v>
      </c>
      <c r="AM523">
        <f>IF(Table1820[[#This Row],[Good Student Discount]]="Yes",'Rate Book'!$D$126,1)</f>
        <v>1</v>
      </c>
      <c r="AN523">
        <f>IF(Table1820[[#This Row],[Good Driver Discount]]="Yes",'Rate Book'!$D$127,1)</f>
        <v>1</v>
      </c>
      <c r="AO523">
        <f>IF(Table1820[[#This Row],[Multi Policy Discount]]="Yes",'Rate Book'!$D$128,1)</f>
        <v>0.93</v>
      </c>
      <c r="AP523">
        <f>IF(Table1820[[#This Row],[Loyal Customer Discount]]="Yes",'Rate Book'!$D$129,1)</f>
        <v>0.94</v>
      </c>
      <c r="AQ523">
        <f>IF(Table1820[[#This Row],[Organization Discount]]="Yes",'Rate Book'!$D$130,1)</f>
        <v>1</v>
      </c>
      <c r="AR523" cm="1">
        <f t="array" ref="AR523">IF(Table1820[[#This Row],[Effective Date]]&gt;=RateChangeTable[Effective Date],RateChangeTable[Rate Change Factor],1)</f>
        <v>1</v>
      </c>
      <c r="AS523" s="10">
        <f>PRODUCT(Table1820[[#This Row],[Base Rate]:[Rate Change Factor]])</f>
        <v>2298.7980450540713</v>
      </c>
      <c r="AT523" s="9">
        <f>Table1820[[#This Row],[System-Generated Premium]]-Table1820[[#This Row],[Expected Premium]]</f>
        <v>0</v>
      </c>
      <c r="AU523" t="str">
        <f>IF(Table1820[[#This Row],[Difference]]=0,"PASS","FAIL")</f>
        <v>PASS</v>
      </c>
      <c r="AV523" s="9">
        <f>ABS(Table1820[[#This Row],[Difference]])</f>
        <v>0</v>
      </c>
      <c r="AW523" s="9" t="s">
        <v>1136</v>
      </c>
    </row>
    <row r="524" spans="1:49" x14ac:dyDescent="0.3">
      <c r="A524" t="s">
        <v>615</v>
      </c>
      <c r="B524" s="7">
        <v>46068</v>
      </c>
      <c r="C524" t="s">
        <v>70</v>
      </c>
      <c r="D524" t="s">
        <v>1102</v>
      </c>
      <c r="E524" s="3">
        <v>3</v>
      </c>
      <c r="F524" s="3">
        <v>2</v>
      </c>
      <c r="G524" t="s">
        <v>10</v>
      </c>
      <c r="H524" t="s">
        <v>1110</v>
      </c>
      <c r="I524" t="s">
        <v>21</v>
      </c>
      <c r="J524" t="s">
        <v>53</v>
      </c>
      <c r="K524" t="s">
        <v>10</v>
      </c>
      <c r="L524" t="s">
        <v>10</v>
      </c>
      <c r="M524" t="s">
        <v>10</v>
      </c>
      <c r="N524" t="s">
        <v>57</v>
      </c>
      <c r="O524" t="str">
        <f>INDEX(CoverageTable[Deductible Applies],MATCH(Table1820[[#This Row],[Coverage]],CoverageTable[Coverage],0))</f>
        <v>No</v>
      </c>
      <c r="P524" t="str">
        <f>INDEX(CoverageTable[Coverage Limit Applies],MATCH(Table1820[[#This Row],[Coverage]],CoverageTable[Coverage],0))</f>
        <v>Yes</v>
      </c>
      <c r="Q524" t="s">
        <v>10</v>
      </c>
      <c r="R524" t="s">
        <v>80</v>
      </c>
      <c r="S524" t="s">
        <v>10</v>
      </c>
      <c r="T524" t="s">
        <v>10</v>
      </c>
      <c r="U524" t="s">
        <v>10</v>
      </c>
      <c r="V524" t="s">
        <v>10</v>
      </c>
      <c r="W524" t="s">
        <v>10</v>
      </c>
      <c r="X524" s="11">
        <v>3902.5337550354866</v>
      </c>
      <c r="Y524">
        <f>_xlfn.XLOOKUP(Table1820[[#This Row],[Coverage]],CoverageTable[Coverage],CoverageTable[Base Rate],,0)</f>
        <v>622</v>
      </c>
      <c r="Z524">
        <f>INDEX(Table16[Ageband Factor],MATCH(Table1820[[#This Row],[Ageband]],Table16[Ageband],0))</f>
        <v>1.27</v>
      </c>
      <c r="AA524">
        <f>VLOOKUP(Table1820[[#This Row],[Years Driving]],Table1[],2)</f>
        <v>1.22</v>
      </c>
      <c r="AB524">
        <f>_xlfn.XLOOKUP(Table1820[[#This Row],[At Fault Accidents]],Table2[At Fault Accidents],Table2[At Fault Accident Factor],,0)</f>
        <v>1.55</v>
      </c>
      <c r="AC524">
        <f>_xlfn.XLOOKUP(Table1820[[#This Row],[Usage-Based Insurance]],Table3[Usage-Based Insurance],Table3[Usage-Based Insurance Discount],,0)</f>
        <v>1</v>
      </c>
      <c r="AD524">
        <f>_xlfn.XLOOKUP(Table1820[[#This Row],[Yearly Miles]],Table4[Yearly Miles],Table4[Yearly Miles Factor],,0)</f>
        <v>1.31</v>
      </c>
      <c r="AE524">
        <f>_xlfn.XLOOKUP(Table1820[[#This Row],[City/Zip Code]],Table5[City/Zip Code],Table5[City/Zip Code Factor],,0)</f>
        <v>1.26</v>
      </c>
      <c r="AF524">
        <f>_xlfn.XLOOKUP(Table1820[[#This Row],[Vehicle Price]],Table6[Vehicle Price],Table6[Vehicle Price Factor])</f>
        <v>2.02</v>
      </c>
      <c r="AG524">
        <f>_xlfn.XLOOKUP(Table1820[[#This Row],[Exotic Car]],Table7[Exotic Car],Table7[Exotic Car Factor],,0)</f>
        <v>1</v>
      </c>
      <c r="AH524">
        <f>_xlfn.XLOOKUP(Table1820[[#This Row],[Difficult Parts]],Table8[Difficult Parts],Table8[Difficult Parts Factor],,0)</f>
        <v>1</v>
      </c>
      <c r="AI524">
        <f>_xlfn.XLOOKUP(Table1820[[#This Row],[High Theft Rate]],Table9[High Theft Rate],Table9[High Theft Rate Factor],,0)</f>
        <v>1</v>
      </c>
      <c r="AJ524">
        <f>_xlfn.XLOOKUP(Table1820[[#This Row],[Advanced Safety Features]],Table10[Advanced Safety Features],Table10[Advanced Safety Features Factor],,0)</f>
        <v>0.88</v>
      </c>
      <c r="AK524">
        <f>_xlfn.XLOOKUP(Table1820[[#This Row],[Deductible]],Table12[Deductible],Table12[Deductible Factor],,0)</f>
        <v>1</v>
      </c>
      <c r="AL524">
        <f>_xlfn.XLOOKUP(Table1820[[#This Row],[Coverage Limit]],Table13[Coverage Limit],Table13[Coverage Limit Factor],,0)</f>
        <v>0.84</v>
      </c>
      <c r="AM524">
        <f>IF(Table1820[[#This Row],[Good Student Discount]]="Yes",'Rate Book'!$D$126,1)</f>
        <v>1</v>
      </c>
      <c r="AN524">
        <f>IF(Table1820[[#This Row],[Good Driver Discount]]="Yes",'Rate Book'!$D$127,1)</f>
        <v>1</v>
      </c>
      <c r="AO524">
        <f>IF(Table1820[[#This Row],[Multi Policy Discount]]="Yes",'Rate Book'!$D$128,1)</f>
        <v>1</v>
      </c>
      <c r="AP524">
        <f>IF(Table1820[[#This Row],[Loyal Customer Discount]]="Yes",'Rate Book'!$D$129,1)</f>
        <v>1</v>
      </c>
      <c r="AQ524">
        <f>IF(Table1820[[#This Row],[Organization Discount]]="Yes",'Rate Book'!$D$130,1)</f>
        <v>1</v>
      </c>
      <c r="AR524" cm="1">
        <f t="array" ref="AR524">IF(Table1820[[#This Row],[Effective Date]]&gt;=RateChangeTable[Effective Date],RateChangeTable[Rate Change Factor],1)</f>
        <v>1.06</v>
      </c>
      <c r="AS524" s="10">
        <f>PRODUCT(Table1820[[#This Row],[Base Rate]:[Rate Change Factor]])</f>
        <v>3902.5337550354866</v>
      </c>
      <c r="AT524" s="9">
        <f>Table1820[[#This Row],[System-Generated Premium]]-Table1820[[#This Row],[Expected Premium]]</f>
        <v>0</v>
      </c>
      <c r="AU524" t="str">
        <f>IF(Table1820[[#This Row],[Difference]]=0,"PASS","FAIL")</f>
        <v>PASS</v>
      </c>
      <c r="AV524" s="9">
        <f>ABS(Table1820[[#This Row],[Difference]])</f>
        <v>0</v>
      </c>
      <c r="AW524" s="9" t="s">
        <v>1136</v>
      </c>
    </row>
    <row r="525" spans="1:49" x14ac:dyDescent="0.3">
      <c r="A525" t="s">
        <v>616</v>
      </c>
      <c r="B525" s="7">
        <v>46033</v>
      </c>
      <c r="C525" t="s">
        <v>72</v>
      </c>
      <c r="D525" t="s">
        <v>1100</v>
      </c>
      <c r="E525" s="3">
        <v>2</v>
      </c>
      <c r="F525" s="3">
        <v>0</v>
      </c>
      <c r="G525" t="s">
        <v>13</v>
      </c>
      <c r="H525" t="s">
        <v>1108</v>
      </c>
      <c r="I525" t="s">
        <v>23</v>
      </c>
      <c r="J525" t="s">
        <v>50</v>
      </c>
      <c r="K525" t="s">
        <v>57</v>
      </c>
      <c r="L525" t="s">
        <v>10</v>
      </c>
      <c r="M525" t="s">
        <v>10</v>
      </c>
      <c r="N525" t="s">
        <v>57</v>
      </c>
      <c r="O525" t="str">
        <f>INDEX(CoverageTable[Deductible Applies],MATCH(Table1820[[#This Row],[Coverage]],CoverageTable[Coverage],0))</f>
        <v>Yes</v>
      </c>
      <c r="P525" t="str">
        <f>INDEX(CoverageTable[Coverage Limit Applies],MATCH(Table1820[[#This Row],[Coverage]],CoverageTable[Coverage],0))</f>
        <v>No</v>
      </c>
      <c r="Q525" t="s">
        <v>78</v>
      </c>
      <c r="R525" t="s">
        <v>10</v>
      </c>
      <c r="S525" t="s">
        <v>57</v>
      </c>
      <c r="T525" t="s">
        <v>57</v>
      </c>
      <c r="U525" t="s">
        <v>10</v>
      </c>
      <c r="V525" t="s">
        <v>10</v>
      </c>
      <c r="W525" t="s">
        <v>10</v>
      </c>
      <c r="X525" s="11">
        <v>109.49975475003281</v>
      </c>
      <c r="Y525">
        <f>_xlfn.XLOOKUP(Table1820[[#This Row],[Coverage]],CoverageTable[Coverage],CoverageTable[Base Rate],,0)</f>
        <v>121</v>
      </c>
      <c r="Z525">
        <f>INDEX(Table16[Ageband Factor],MATCH(Table1820[[#This Row],[Ageband]],Table16[Ageband],0))</f>
        <v>1.07</v>
      </c>
      <c r="AA525">
        <f>VLOOKUP(Table1820[[#This Row],[Years Driving]],Table1[],2)</f>
        <v>1.41</v>
      </c>
      <c r="AB525">
        <f>_xlfn.XLOOKUP(Table1820[[#This Row],[At Fault Accidents]],Table2[At Fault Accidents],Table2[At Fault Accident Factor],,0)</f>
        <v>1</v>
      </c>
      <c r="AC525">
        <f>_xlfn.XLOOKUP(Table1820[[#This Row],[Usage-Based Insurance]],Table3[Usage-Based Insurance],Table3[Usage-Based Insurance Discount],,0)</f>
        <v>0.65</v>
      </c>
      <c r="AD525">
        <f>_xlfn.XLOOKUP(Table1820[[#This Row],[Yearly Miles]],Table4[Yearly Miles],Table4[Yearly Miles Factor],,0)</f>
        <v>1</v>
      </c>
      <c r="AE525">
        <f>_xlfn.XLOOKUP(Table1820[[#This Row],[City/Zip Code]],Table5[City/Zip Code],Table5[City/Zip Code Factor],,0)</f>
        <v>0.92</v>
      </c>
      <c r="AF525">
        <f>_xlfn.XLOOKUP(Table1820[[#This Row],[Vehicle Price]],Table6[Vehicle Price],Table6[Vehicle Price Factor])</f>
        <v>1.08</v>
      </c>
      <c r="AG525">
        <f>_xlfn.XLOOKUP(Table1820[[#This Row],[Exotic Car]],Table7[Exotic Car],Table7[Exotic Car Factor],,0)</f>
        <v>1.28</v>
      </c>
      <c r="AH525">
        <f>_xlfn.XLOOKUP(Table1820[[#This Row],[Difficult Parts]],Table8[Difficult Parts],Table8[Difficult Parts Factor],,0)</f>
        <v>1</v>
      </c>
      <c r="AI525">
        <f>_xlfn.XLOOKUP(Table1820[[#This Row],[High Theft Rate]],Table9[High Theft Rate],Table9[High Theft Rate Factor],,0)</f>
        <v>1</v>
      </c>
      <c r="AJ525">
        <f>_xlfn.XLOOKUP(Table1820[[#This Row],[Advanced Safety Features]],Table10[Advanced Safety Features],Table10[Advanced Safety Features Factor],,0)</f>
        <v>0.88</v>
      </c>
      <c r="AK525">
        <f>_xlfn.XLOOKUP(Table1820[[#This Row],[Deductible]],Table12[Deductible],Table12[Deductible Factor],,0)</f>
        <v>0.95</v>
      </c>
      <c r="AL525">
        <f>_xlfn.XLOOKUP(Table1820[[#This Row],[Coverage Limit]],Table13[Coverage Limit],Table13[Coverage Limit Factor],,0)</f>
        <v>1</v>
      </c>
      <c r="AM525">
        <f>IF(Table1820[[#This Row],[Good Student Discount]]="Yes",'Rate Book'!$D$126,1)</f>
        <v>0.92</v>
      </c>
      <c r="AN525">
        <f>IF(Table1820[[#This Row],[Good Driver Discount]]="Yes",'Rate Book'!$D$127,1)</f>
        <v>0.89</v>
      </c>
      <c r="AO525">
        <f>IF(Table1820[[#This Row],[Multi Policy Discount]]="Yes",'Rate Book'!$D$128,1)</f>
        <v>1</v>
      </c>
      <c r="AP525">
        <f>IF(Table1820[[#This Row],[Loyal Customer Discount]]="Yes",'Rate Book'!$D$129,1)</f>
        <v>1</v>
      </c>
      <c r="AQ525">
        <f>IF(Table1820[[#This Row],[Organization Discount]]="Yes",'Rate Book'!$D$130,1)</f>
        <v>1</v>
      </c>
      <c r="AR525" cm="1">
        <f t="array" ref="AR525">IF(Table1820[[#This Row],[Effective Date]]&gt;=RateChangeTable[Effective Date],RateChangeTable[Rate Change Factor],1)</f>
        <v>1.06</v>
      </c>
      <c r="AS525" s="10">
        <f>PRODUCT(Table1820[[#This Row],[Base Rate]:[Rate Change Factor]])</f>
        <v>109.49975475003281</v>
      </c>
      <c r="AT525" s="9">
        <f>Table1820[[#This Row],[System-Generated Premium]]-Table1820[[#This Row],[Expected Premium]]</f>
        <v>0</v>
      </c>
      <c r="AU525" t="str">
        <f>IF(Table1820[[#This Row],[Difference]]=0,"PASS","FAIL")</f>
        <v>PASS</v>
      </c>
      <c r="AV525" s="9">
        <f>ABS(Table1820[[#This Row],[Difference]])</f>
        <v>0</v>
      </c>
      <c r="AW525" s="9" t="s">
        <v>1136</v>
      </c>
    </row>
    <row r="526" spans="1:49" x14ac:dyDescent="0.3">
      <c r="A526" t="s">
        <v>617</v>
      </c>
      <c r="B526" s="7">
        <v>45965</v>
      </c>
      <c r="C526" t="s">
        <v>73</v>
      </c>
      <c r="D526" t="s">
        <v>1100</v>
      </c>
      <c r="E526" s="3">
        <v>5</v>
      </c>
      <c r="F526" s="3">
        <v>0</v>
      </c>
      <c r="G526" t="s">
        <v>10</v>
      </c>
      <c r="H526" t="s">
        <v>1106</v>
      </c>
      <c r="I526" t="s">
        <v>25</v>
      </c>
      <c r="J526" t="s">
        <v>49</v>
      </c>
      <c r="K526" t="s">
        <v>10</v>
      </c>
      <c r="L526" t="s">
        <v>10</v>
      </c>
      <c r="M526" t="s">
        <v>10</v>
      </c>
      <c r="N526" t="s">
        <v>10</v>
      </c>
      <c r="O526" t="str">
        <f>INDEX(CoverageTable[Deductible Applies],MATCH(Table1820[[#This Row],[Coverage]],CoverageTable[Coverage],0))</f>
        <v>No</v>
      </c>
      <c r="P526" t="str">
        <f>INDEX(CoverageTable[Coverage Limit Applies],MATCH(Table1820[[#This Row],[Coverage]],CoverageTable[Coverage],0))</f>
        <v>Yes</v>
      </c>
      <c r="Q526" t="s">
        <v>10</v>
      </c>
      <c r="R526" t="s">
        <v>78</v>
      </c>
      <c r="S526" t="s">
        <v>10</v>
      </c>
      <c r="T526" t="s">
        <v>10</v>
      </c>
      <c r="U526" t="s">
        <v>10</v>
      </c>
      <c r="V526" t="s">
        <v>10</v>
      </c>
      <c r="W526" t="s">
        <v>10</v>
      </c>
      <c r="X526" s="11">
        <v>50.261514287087998</v>
      </c>
      <c r="Y526">
        <f>_xlfn.XLOOKUP(Table1820[[#This Row],[Coverage]],CoverageTable[Coverage],CoverageTable[Base Rate],,0)</f>
        <v>78</v>
      </c>
      <c r="Z526">
        <f>INDEX(Table16[Ageband Factor],MATCH(Table1820[[#This Row],[Ageband]],Table16[Ageband],0))</f>
        <v>1.07</v>
      </c>
      <c r="AA526">
        <f>VLOOKUP(Table1820[[#This Row],[Years Driving]],Table1[],2)</f>
        <v>1.07</v>
      </c>
      <c r="AB526">
        <f>_xlfn.XLOOKUP(Table1820[[#This Row],[At Fault Accidents]],Table2[At Fault Accidents],Table2[At Fault Accident Factor],,0)</f>
        <v>1</v>
      </c>
      <c r="AC526">
        <f>_xlfn.XLOOKUP(Table1820[[#This Row],[Usage-Based Insurance]],Table3[Usage-Based Insurance],Table3[Usage-Based Insurance Discount],,0)</f>
        <v>1</v>
      </c>
      <c r="AD526">
        <f>_xlfn.XLOOKUP(Table1820[[#This Row],[Yearly Miles]],Table4[Yearly Miles],Table4[Yearly Miles Factor],,0)</f>
        <v>0.82</v>
      </c>
      <c r="AE526">
        <f>_xlfn.XLOOKUP(Table1820[[#This Row],[City/Zip Code]],Table5[City/Zip Code],Table5[City/Zip Code Factor],,0)</f>
        <v>1.1599999999999999</v>
      </c>
      <c r="AF526">
        <f>_xlfn.XLOOKUP(Table1820[[#This Row],[Vehicle Price]],Table6[Vehicle Price],Table6[Vehicle Price Factor])</f>
        <v>0.97</v>
      </c>
      <c r="AG526">
        <f>_xlfn.XLOOKUP(Table1820[[#This Row],[Exotic Car]],Table7[Exotic Car],Table7[Exotic Car Factor],,0)</f>
        <v>1</v>
      </c>
      <c r="AH526">
        <f>_xlfn.XLOOKUP(Table1820[[#This Row],[Difficult Parts]],Table8[Difficult Parts],Table8[Difficult Parts Factor],,0)</f>
        <v>1</v>
      </c>
      <c r="AI526">
        <f>_xlfn.XLOOKUP(Table1820[[#This Row],[High Theft Rate]],Table9[High Theft Rate],Table9[High Theft Rate Factor],,0)</f>
        <v>1</v>
      </c>
      <c r="AJ526">
        <f>_xlfn.XLOOKUP(Table1820[[#This Row],[Advanced Safety Features]],Table10[Advanced Safety Features],Table10[Advanced Safety Features Factor],,0)</f>
        <v>1</v>
      </c>
      <c r="AK526">
        <f>_xlfn.XLOOKUP(Table1820[[#This Row],[Deductible]],Table12[Deductible],Table12[Deductible Factor],,0)</f>
        <v>1</v>
      </c>
      <c r="AL526">
        <f>_xlfn.XLOOKUP(Table1820[[#This Row],[Coverage Limit]],Table13[Coverage Limit],Table13[Coverage Limit Factor],,0)</f>
        <v>0.61</v>
      </c>
      <c r="AM526">
        <f>IF(Table1820[[#This Row],[Good Student Discount]]="Yes",'Rate Book'!$D$126,1)</f>
        <v>1</v>
      </c>
      <c r="AN526">
        <f>IF(Table1820[[#This Row],[Good Driver Discount]]="Yes",'Rate Book'!$D$127,1)</f>
        <v>1</v>
      </c>
      <c r="AO526">
        <f>IF(Table1820[[#This Row],[Multi Policy Discount]]="Yes",'Rate Book'!$D$128,1)</f>
        <v>1</v>
      </c>
      <c r="AP526">
        <f>IF(Table1820[[#This Row],[Loyal Customer Discount]]="Yes",'Rate Book'!$D$129,1)</f>
        <v>1</v>
      </c>
      <c r="AQ526">
        <f>IF(Table1820[[#This Row],[Organization Discount]]="Yes",'Rate Book'!$D$130,1)</f>
        <v>1</v>
      </c>
      <c r="AR526" cm="1">
        <f t="array" ref="AR526">IF(Table1820[[#This Row],[Effective Date]]&gt;=RateChangeTable[Effective Date],RateChangeTable[Rate Change Factor],1)</f>
        <v>1</v>
      </c>
      <c r="AS526" s="10">
        <f>PRODUCT(Table1820[[#This Row],[Base Rate]:[Rate Change Factor]])</f>
        <v>50.261514287087998</v>
      </c>
      <c r="AT526" s="9">
        <f>Table1820[[#This Row],[System-Generated Premium]]-Table1820[[#This Row],[Expected Premium]]</f>
        <v>0</v>
      </c>
      <c r="AU526" t="str">
        <f>IF(Table1820[[#This Row],[Difference]]=0,"PASS","FAIL")</f>
        <v>PASS</v>
      </c>
      <c r="AV526" s="9">
        <f>ABS(Table1820[[#This Row],[Difference]])</f>
        <v>0</v>
      </c>
      <c r="AW526" s="9" t="s">
        <v>1136</v>
      </c>
    </row>
    <row r="527" spans="1:49" x14ac:dyDescent="0.3">
      <c r="A527" t="s">
        <v>618</v>
      </c>
      <c r="B527" s="7">
        <v>45985</v>
      </c>
      <c r="C527" t="s">
        <v>71</v>
      </c>
      <c r="D527" t="s">
        <v>1099</v>
      </c>
      <c r="E527" s="3">
        <v>7</v>
      </c>
      <c r="F527" s="3" t="s">
        <v>7</v>
      </c>
      <c r="G527" t="s">
        <v>10</v>
      </c>
      <c r="H527" t="s">
        <v>1107</v>
      </c>
      <c r="I527" t="s">
        <v>29</v>
      </c>
      <c r="J527" t="s">
        <v>53</v>
      </c>
      <c r="K527" t="s">
        <v>10</v>
      </c>
      <c r="L527" t="s">
        <v>10</v>
      </c>
      <c r="M527" t="s">
        <v>10</v>
      </c>
      <c r="N527" t="s">
        <v>10</v>
      </c>
      <c r="O527" t="str">
        <f>INDEX(CoverageTable[Deductible Applies],MATCH(Table1820[[#This Row],[Coverage]],CoverageTable[Coverage],0))</f>
        <v>Yes</v>
      </c>
      <c r="P527" t="str">
        <f>INDEX(CoverageTable[Coverage Limit Applies],MATCH(Table1820[[#This Row],[Coverage]],CoverageTable[Coverage],0))</f>
        <v>No</v>
      </c>
      <c r="Q527" t="s">
        <v>79</v>
      </c>
      <c r="R527" t="s">
        <v>10</v>
      </c>
      <c r="S527" t="s">
        <v>10</v>
      </c>
      <c r="T527" t="s">
        <v>57</v>
      </c>
      <c r="U527" t="s">
        <v>57</v>
      </c>
      <c r="V527" t="s">
        <v>10</v>
      </c>
      <c r="W527" t="s">
        <v>10</v>
      </c>
      <c r="X527" s="11">
        <v>1513.3236449314809</v>
      </c>
      <c r="Y527">
        <f>_xlfn.XLOOKUP(Table1820[[#This Row],[Coverage]],CoverageTable[Coverage],CoverageTable[Base Rate],,0)</f>
        <v>453</v>
      </c>
      <c r="Z527">
        <f>INDEX(Table16[Ageband Factor],MATCH(Table1820[[#This Row],[Ageband]],Table16[Ageband],0))</f>
        <v>1</v>
      </c>
      <c r="AA527">
        <f>VLOOKUP(Table1820[[#This Row],[Years Driving]],Table1[],2)</f>
        <v>0.95</v>
      </c>
      <c r="AB527">
        <f>_xlfn.XLOOKUP(Table1820[[#This Row],[At Fault Accidents]],Table2[At Fault Accidents],Table2[At Fault Accident Factor],,0)</f>
        <v>2.4700000000000002</v>
      </c>
      <c r="AC527">
        <f>_xlfn.XLOOKUP(Table1820[[#This Row],[Usage-Based Insurance]],Table3[Usage-Based Insurance],Table3[Usage-Based Insurance Discount],,0)</f>
        <v>1</v>
      </c>
      <c r="AD527">
        <f>_xlfn.XLOOKUP(Table1820[[#This Row],[Yearly Miles]],Table4[Yearly Miles],Table4[Yearly Miles Factor],,0)</f>
        <v>0.93</v>
      </c>
      <c r="AE527">
        <f>_xlfn.XLOOKUP(Table1820[[#This Row],[City/Zip Code]],Table5[City/Zip Code],Table5[City/Zip Code Factor],,0)</f>
        <v>1.0900000000000001</v>
      </c>
      <c r="AF527">
        <f>_xlfn.XLOOKUP(Table1820[[#This Row],[Vehicle Price]],Table6[Vehicle Price],Table6[Vehicle Price Factor])</f>
        <v>2.02</v>
      </c>
      <c r="AG527">
        <f>_xlfn.XLOOKUP(Table1820[[#This Row],[Exotic Car]],Table7[Exotic Car],Table7[Exotic Car Factor],,0)</f>
        <v>1</v>
      </c>
      <c r="AH527">
        <f>_xlfn.XLOOKUP(Table1820[[#This Row],[Difficult Parts]],Table8[Difficult Parts],Table8[Difficult Parts Factor],,0)</f>
        <v>1</v>
      </c>
      <c r="AI527">
        <f>_xlfn.XLOOKUP(Table1820[[#This Row],[High Theft Rate]],Table9[High Theft Rate],Table9[High Theft Rate Factor],,0)</f>
        <v>1</v>
      </c>
      <c r="AJ527">
        <f>_xlfn.XLOOKUP(Table1820[[#This Row],[Advanced Safety Features]],Table10[Advanced Safety Features],Table10[Advanced Safety Features Factor],,0)</f>
        <v>1</v>
      </c>
      <c r="AK527">
        <f>_xlfn.XLOOKUP(Table1820[[#This Row],[Deductible]],Table12[Deductible],Table12[Deductible Factor],,0)</f>
        <v>0.84</v>
      </c>
      <c r="AL527">
        <f>_xlfn.XLOOKUP(Table1820[[#This Row],[Coverage Limit]],Table13[Coverage Limit],Table13[Coverage Limit Factor],,0)</f>
        <v>1</v>
      </c>
      <c r="AM527">
        <f>IF(Table1820[[#This Row],[Good Student Discount]]="Yes",'Rate Book'!$D$126,1)</f>
        <v>1</v>
      </c>
      <c r="AN527">
        <f>IF(Table1820[[#This Row],[Good Driver Discount]]="Yes",'Rate Book'!$D$127,1)</f>
        <v>0.89</v>
      </c>
      <c r="AO527">
        <f>IF(Table1820[[#This Row],[Multi Policy Discount]]="Yes",'Rate Book'!$D$128,1)</f>
        <v>0.93</v>
      </c>
      <c r="AP527">
        <f>IF(Table1820[[#This Row],[Loyal Customer Discount]]="Yes",'Rate Book'!$D$129,1)</f>
        <v>1</v>
      </c>
      <c r="AQ527">
        <f>IF(Table1820[[#This Row],[Organization Discount]]="Yes",'Rate Book'!$D$130,1)</f>
        <v>1</v>
      </c>
      <c r="AR527" cm="1">
        <f t="array" ref="AR527">IF(Table1820[[#This Row],[Effective Date]]&gt;=RateChangeTable[Effective Date],RateChangeTable[Rate Change Factor],1)</f>
        <v>1</v>
      </c>
      <c r="AS527" s="10">
        <f>PRODUCT(Table1820[[#This Row],[Base Rate]:[Rate Change Factor]])</f>
        <v>1513.3236449314809</v>
      </c>
      <c r="AT527" s="9">
        <f>Table1820[[#This Row],[System-Generated Premium]]-Table1820[[#This Row],[Expected Premium]]</f>
        <v>0</v>
      </c>
      <c r="AU527" t="str">
        <f>IF(Table1820[[#This Row],[Difference]]=0,"PASS","FAIL")</f>
        <v>PASS</v>
      </c>
      <c r="AV527" s="9">
        <f>ABS(Table1820[[#This Row],[Difference]])</f>
        <v>0</v>
      </c>
      <c r="AW527" s="9" t="s">
        <v>1136</v>
      </c>
    </row>
    <row r="528" spans="1:49" x14ac:dyDescent="0.3">
      <c r="A528" t="s">
        <v>619</v>
      </c>
      <c r="B528" s="7">
        <v>45820</v>
      </c>
      <c r="C528" t="s">
        <v>70</v>
      </c>
      <c r="D528" t="s">
        <v>1102</v>
      </c>
      <c r="E528" s="3" t="s">
        <v>1103</v>
      </c>
      <c r="F528" s="3">
        <v>1</v>
      </c>
      <c r="G528" t="s">
        <v>10</v>
      </c>
      <c r="H528" t="s">
        <v>1109</v>
      </c>
      <c r="I528" t="s">
        <v>34</v>
      </c>
      <c r="J528" t="s">
        <v>52</v>
      </c>
      <c r="K528" t="s">
        <v>10</v>
      </c>
      <c r="L528" t="s">
        <v>10</v>
      </c>
      <c r="M528" t="s">
        <v>57</v>
      </c>
      <c r="N528" t="s">
        <v>57</v>
      </c>
      <c r="O528" t="str">
        <f>INDEX(CoverageTable[Deductible Applies],MATCH(Table1820[[#This Row],[Coverage]],CoverageTable[Coverage],0))</f>
        <v>No</v>
      </c>
      <c r="P528" t="str">
        <f>INDEX(CoverageTable[Coverage Limit Applies],MATCH(Table1820[[#This Row],[Coverage]],CoverageTable[Coverage],0))</f>
        <v>Yes</v>
      </c>
      <c r="Q528" t="s">
        <v>10</v>
      </c>
      <c r="R528" t="s">
        <v>80</v>
      </c>
      <c r="S528" t="s">
        <v>10</v>
      </c>
      <c r="T528" t="s">
        <v>10</v>
      </c>
      <c r="U528" t="s">
        <v>10</v>
      </c>
      <c r="V528" t="s">
        <v>10</v>
      </c>
      <c r="W528" t="s">
        <v>10</v>
      </c>
      <c r="X528" s="11">
        <v>2439.5406439811236</v>
      </c>
      <c r="Y528">
        <f>_xlfn.XLOOKUP(Table1820[[#This Row],[Coverage]],CoverageTable[Coverage],CoverageTable[Base Rate],,0)</f>
        <v>622</v>
      </c>
      <c r="Z528">
        <f>INDEX(Table16[Ageband Factor],MATCH(Table1820[[#This Row],[Ageband]],Table16[Ageband],0))</f>
        <v>1.27</v>
      </c>
      <c r="AA528">
        <f>VLOOKUP(Table1820[[#This Row],[Years Driving]],Table1[],2)</f>
        <v>0.93</v>
      </c>
      <c r="AB528">
        <f>_xlfn.XLOOKUP(Table1820[[#This Row],[At Fault Accidents]],Table2[At Fault Accidents],Table2[At Fault Accident Factor],,0)</f>
        <v>1.34</v>
      </c>
      <c r="AC528">
        <f>_xlfn.XLOOKUP(Table1820[[#This Row],[Usage-Based Insurance]],Table3[Usage-Based Insurance],Table3[Usage-Based Insurance Discount],,0)</f>
        <v>1</v>
      </c>
      <c r="AD528">
        <f>_xlfn.XLOOKUP(Table1820[[#This Row],[Yearly Miles]],Table4[Yearly Miles],Table4[Yearly Miles Factor],,0)</f>
        <v>1.18</v>
      </c>
      <c r="AE528">
        <f>_xlfn.XLOOKUP(Table1820[[#This Row],[City/Zip Code]],Table5[City/Zip Code],Table5[City/Zip Code Factor],,0)</f>
        <v>1.56</v>
      </c>
      <c r="AF528">
        <f>_xlfn.XLOOKUP(Table1820[[#This Row],[Vehicle Price]],Table6[Vehicle Price],Table6[Vehicle Price Factor])</f>
        <v>1.57</v>
      </c>
      <c r="AG528">
        <f>_xlfn.XLOOKUP(Table1820[[#This Row],[Exotic Car]],Table7[Exotic Car],Table7[Exotic Car Factor],,0)</f>
        <v>1</v>
      </c>
      <c r="AH528">
        <f>_xlfn.XLOOKUP(Table1820[[#This Row],[Difficult Parts]],Table8[Difficult Parts],Table8[Difficult Parts Factor],,0)</f>
        <v>1</v>
      </c>
      <c r="AI528">
        <f>_xlfn.XLOOKUP(Table1820[[#This Row],[High Theft Rate]],Table9[High Theft Rate],Table9[High Theft Rate Factor],,0)</f>
        <v>1.1599999999999999</v>
      </c>
      <c r="AJ528">
        <f>_xlfn.XLOOKUP(Table1820[[#This Row],[Advanced Safety Features]],Table10[Advanced Safety Features],Table10[Advanced Safety Features Factor],,0)</f>
        <v>0.88</v>
      </c>
      <c r="AK528">
        <f>_xlfn.XLOOKUP(Table1820[[#This Row],[Deductible]],Table12[Deductible],Table12[Deductible Factor],,0)</f>
        <v>1</v>
      </c>
      <c r="AL528">
        <f>_xlfn.XLOOKUP(Table1820[[#This Row],[Coverage Limit]],Table13[Coverage Limit],Table13[Coverage Limit Factor],,0)</f>
        <v>0.84</v>
      </c>
      <c r="AM528">
        <f>IF(Table1820[[#This Row],[Good Student Discount]]="Yes",'Rate Book'!$D$126,1)</f>
        <v>1</v>
      </c>
      <c r="AN528">
        <f>IF(Table1820[[#This Row],[Good Driver Discount]]="Yes",'Rate Book'!$D$127,1)</f>
        <v>1</v>
      </c>
      <c r="AO528">
        <f>IF(Table1820[[#This Row],[Multi Policy Discount]]="Yes",'Rate Book'!$D$128,1)</f>
        <v>1</v>
      </c>
      <c r="AP528">
        <f>IF(Table1820[[#This Row],[Loyal Customer Discount]]="Yes",'Rate Book'!$D$129,1)</f>
        <v>1</v>
      </c>
      <c r="AQ528">
        <f>IF(Table1820[[#This Row],[Organization Discount]]="Yes",'Rate Book'!$D$130,1)</f>
        <v>1</v>
      </c>
      <c r="AR528" cm="1">
        <f t="array" ref="AR528">IF(Table1820[[#This Row],[Effective Date]]&gt;=RateChangeTable[Effective Date],RateChangeTable[Rate Change Factor],1)</f>
        <v>1</v>
      </c>
      <c r="AS528" s="10">
        <f>PRODUCT(Table1820[[#This Row],[Base Rate]:[Rate Change Factor]])</f>
        <v>2439.5406439811236</v>
      </c>
      <c r="AT528" s="9">
        <f>Table1820[[#This Row],[System-Generated Premium]]-Table1820[[#This Row],[Expected Premium]]</f>
        <v>0</v>
      </c>
      <c r="AU528" t="str">
        <f>IF(Table1820[[#This Row],[Difference]]=0,"PASS","FAIL")</f>
        <v>PASS</v>
      </c>
      <c r="AV528" s="9">
        <f>ABS(Table1820[[#This Row],[Difference]])</f>
        <v>0</v>
      </c>
      <c r="AW528" s="9" t="s">
        <v>1136</v>
      </c>
    </row>
    <row r="529" spans="1:49" x14ac:dyDescent="0.3">
      <c r="A529" t="s">
        <v>620</v>
      </c>
      <c r="B529" s="7">
        <v>45962</v>
      </c>
      <c r="C529" t="s">
        <v>71</v>
      </c>
      <c r="D529" t="s">
        <v>1097</v>
      </c>
      <c r="E529" s="3">
        <v>3</v>
      </c>
      <c r="F529" s="3">
        <v>0</v>
      </c>
      <c r="G529" t="s">
        <v>13</v>
      </c>
      <c r="H529" t="s">
        <v>1110</v>
      </c>
      <c r="I529" t="s">
        <v>25</v>
      </c>
      <c r="J529" t="s">
        <v>53</v>
      </c>
      <c r="K529" t="s">
        <v>10</v>
      </c>
      <c r="L529" t="s">
        <v>10</v>
      </c>
      <c r="M529" t="s">
        <v>10</v>
      </c>
      <c r="N529" t="s">
        <v>10</v>
      </c>
      <c r="O529" t="str">
        <f>INDEX(CoverageTable[Deductible Applies],MATCH(Table1820[[#This Row],[Coverage]],CoverageTable[Coverage],0))</f>
        <v>Yes</v>
      </c>
      <c r="P529" t="str">
        <f>INDEX(CoverageTable[Coverage Limit Applies],MATCH(Table1820[[#This Row],[Coverage]],CoverageTable[Coverage],0))</f>
        <v>No</v>
      </c>
      <c r="Q529" t="s">
        <v>79</v>
      </c>
      <c r="R529" t="s">
        <v>10</v>
      </c>
      <c r="S529" t="s">
        <v>10</v>
      </c>
      <c r="T529" t="s">
        <v>10</v>
      </c>
      <c r="U529" t="s">
        <v>10</v>
      </c>
      <c r="V529" t="s">
        <v>57</v>
      </c>
      <c r="W529" t="s">
        <v>57</v>
      </c>
      <c r="X529" s="11">
        <v>1185.98</v>
      </c>
      <c r="Y529">
        <f>_xlfn.XLOOKUP(Table1820[[#This Row],[Coverage]],CoverageTable[Coverage],CoverageTable[Base Rate],,0)</f>
        <v>453</v>
      </c>
      <c r="Z529">
        <f>INDEX(Table16[Ageband Factor],MATCH(Table1820[[#This Row],[Ageband]],Table16[Ageband],0))</f>
        <v>1.32</v>
      </c>
      <c r="AA529">
        <f>VLOOKUP(Table1820[[#This Row],[Years Driving]],Table1[],2)</f>
        <v>1.22</v>
      </c>
      <c r="AB529">
        <f>_xlfn.XLOOKUP(Table1820[[#This Row],[At Fault Accidents]],Table2[At Fault Accidents],Table2[At Fault Accident Factor],,0)</f>
        <v>1</v>
      </c>
      <c r="AC529">
        <f>_xlfn.XLOOKUP(Table1820[[#This Row],[Usage-Based Insurance]],Table3[Usage-Based Insurance],Table3[Usage-Based Insurance Discount],,0)</f>
        <v>0.65</v>
      </c>
      <c r="AD529">
        <f>_xlfn.XLOOKUP(Table1820[[#This Row],[Yearly Miles]],Table4[Yearly Miles],Table4[Yearly Miles Factor],,0)</f>
        <v>1.31</v>
      </c>
      <c r="AE529">
        <f>_xlfn.XLOOKUP(Table1820[[#This Row],[City/Zip Code]],Table5[City/Zip Code],Table5[City/Zip Code Factor],,0)</f>
        <v>1.1599999999999999</v>
      </c>
      <c r="AF529">
        <f>_xlfn.XLOOKUP(Table1820[[#This Row],[Vehicle Price]],Table6[Vehicle Price],Table6[Vehicle Price Factor])</f>
        <v>2.02</v>
      </c>
      <c r="AG529">
        <f>_xlfn.XLOOKUP(Table1820[[#This Row],[Exotic Car]],Table7[Exotic Car],Table7[Exotic Car Factor],,0)</f>
        <v>1</v>
      </c>
      <c r="AH529">
        <f>_xlfn.XLOOKUP(Table1820[[#This Row],[Difficult Parts]],Table8[Difficult Parts],Table8[Difficult Parts Factor],,0)</f>
        <v>1</v>
      </c>
      <c r="AI529">
        <f>_xlfn.XLOOKUP(Table1820[[#This Row],[High Theft Rate]],Table9[High Theft Rate],Table9[High Theft Rate Factor],,0)</f>
        <v>1</v>
      </c>
      <c r="AJ529">
        <f>_xlfn.XLOOKUP(Table1820[[#This Row],[Advanced Safety Features]],Table10[Advanced Safety Features],Table10[Advanced Safety Features Factor],,0)</f>
        <v>1</v>
      </c>
      <c r="AK529">
        <f>_xlfn.XLOOKUP(Table1820[[#This Row],[Deductible]],Table12[Deductible],Table12[Deductible Factor],,0)</f>
        <v>0.84</v>
      </c>
      <c r="AL529">
        <f>_xlfn.XLOOKUP(Table1820[[#This Row],[Coverage Limit]],Table13[Coverage Limit],Table13[Coverage Limit Factor],,0)</f>
        <v>1</v>
      </c>
      <c r="AM529">
        <f>IF(Table1820[[#This Row],[Good Student Discount]]="Yes",'Rate Book'!$D$126,1)</f>
        <v>1</v>
      </c>
      <c r="AN529">
        <f>IF(Table1820[[#This Row],[Good Driver Discount]]="Yes",'Rate Book'!$D$127,1)</f>
        <v>1</v>
      </c>
      <c r="AO529">
        <f>IF(Table1820[[#This Row],[Multi Policy Discount]]="Yes",'Rate Book'!$D$128,1)</f>
        <v>1</v>
      </c>
      <c r="AP529">
        <f>IF(Table1820[[#This Row],[Loyal Customer Discount]]="Yes",'Rate Book'!$D$129,1)</f>
        <v>0.94</v>
      </c>
      <c r="AQ529">
        <f>IF(Table1820[[#This Row],[Organization Discount]]="Yes",'Rate Book'!$D$130,1)</f>
        <v>0.97</v>
      </c>
      <c r="AR529" cm="1">
        <f t="array" ref="AR529">IF(Table1820[[#This Row],[Effective Date]]&gt;=RateChangeTable[Effective Date],RateChangeTable[Rate Change Factor],1)</f>
        <v>1</v>
      </c>
      <c r="AS529" s="10">
        <f>PRODUCT(Table1820[[#This Row],[Base Rate]:[Rate Change Factor]])</f>
        <v>1114.820249994272</v>
      </c>
      <c r="AT529" s="9">
        <f>Table1820[[#This Row],[System-Generated Premium]]-Table1820[[#This Row],[Expected Premium]]</f>
        <v>71.159750005728029</v>
      </c>
      <c r="AU529" t="str">
        <f>IF(Table1820[[#This Row],[Difference]]=0,"PASS","FAIL")</f>
        <v>FAIL</v>
      </c>
      <c r="AV529" s="9">
        <f>ABS(Table1820[[#This Row],[Difference]])</f>
        <v>71.159750005728029</v>
      </c>
      <c r="AW529" s="9" t="s">
        <v>1140</v>
      </c>
    </row>
    <row r="530" spans="1:49" x14ac:dyDescent="0.3">
      <c r="A530" t="s">
        <v>621</v>
      </c>
      <c r="B530" s="7">
        <v>45867</v>
      </c>
      <c r="C530" t="s">
        <v>70</v>
      </c>
      <c r="D530" t="s">
        <v>1102</v>
      </c>
      <c r="E530" s="3">
        <v>2</v>
      </c>
      <c r="F530" s="3">
        <v>0</v>
      </c>
      <c r="G530" t="s">
        <v>11</v>
      </c>
      <c r="H530" t="s">
        <v>1106</v>
      </c>
      <c r="I530" t="s">
        <v>26</v>
      </c>
      <c r="J530" t="s">
        <v>51</v>
      </c>
      <c r="K530" t="s">
        <v>10</v>
      </c>
      <c r="L530" t="s">
        <v>10</v>
      </c>
      <c r="M530" t="s">
        <v>57</v>
      </c>
      <c r="N530" t="s">
        <v>10</v>
      </c>
      <c r="O530" t="str">
        <f>INDEX(CoverageTable[Deductible Applies],MATCH(Table1820[[#This Row],[Coverage]],CoverageTable[Coverage],0))</f>
        <v>No</v>
      </c>
      <c r="P530" t="str">
        <f>INDEX(CoverageTable[Coverage Limit Applies],MATCH(Table1820[[#This Row],[Coverage]],CoverageTable[Coverage],0))</f>
        <v>Yes</v>
      </c>
      <c r="Q530" t="s">
        <v>10</v>
      </c>
      <c r="R530" t="s">
        <v>80</v>
      </c>
      <c r="S530" t="s">
        <v>10</v>
      </c>
      <c r="T530" t="s">
        <v>10</v>
      </c>
      <c r="U530" t="s">
        <v>57</v>
      </c>
      <c r="V530" t="s">
        <v>10</v>
      </c>
      <c r="W530" t="s">
        <v>10</v>
      </c>
      <c r="X530" s="11">
        <v>1157.3872927367026</v>
      </c>
      <c r="Y530">
        <f>_xlfn.XLOOKUP(Table1820[[#This Row],[Coverage]],CoverageTable[Coverage],CoverageTable[Base Rate],,0)</f>
        <v>622</v>
      </c>
      <c r="Z530">
        <f>INDEX(Table16[Ageband Factor],MATCH(Table1820[[#This Row],[Ageband]],Table16[Ageband],0))</f>
        <v>1.27</v>
      </c>
      <c r="AA530">
        <f>VLOOKUP(Table1820[[#This Row],[Years Driving]],Table1[],2)</f>
        <v>1.41</v>
      </c>
      <c r="AB530">
        <f>_xlfn.XLOOKUP(Table1820[[#This Row],[At Fault Accidents]],Table2[At Fault Accidents],Table2[At Fault Accident Factor],,0)</f>
        <v>1</v>
      </c>
      <c r="AC530">
        <f>_xlfn.XLOOKUP(Table1820[[#This Row],[Usage-Based Insurance]],Table3[Usage-Based Insurance],Table3[Usage-Based Insurance Discount],,0)</f>
        <v>0.95</v>
      </c>
      <c r="AD530">
        <f>_xlfn.XLOOKUP(Table1820[[#This Row],[Yearly Miles]],Table4[Yearly Miles],Table4[Yearly Miles Factor],,0)</f>
        <v>0.82</v>
      </c>
      <c r="AE530">
        <f>_xlfn.XLOOKUP(Table1820[[#This Row],[City/Zip Code]],Table5[City/Zip Code],Table5[City/Zip Code Factor],,0)</f>
        <v>1.1499999999999999</v>
      </c>
      <c r="AF530">
        <f>_xlfn.XLOOKUP(Table1820[[#This Row],[Vehicle Price]],Table6[Vehicle Price],Table6[Vehicle Price Factor])</f>
        <v>1.28</v>
      </c>
      <c r="AG530">
        <f>_xlfn.XLOOKUP(Table1820[[#This Row],[Exotic Car]],Table7[Exotic Car],Table7[Exotic Car Factor],,0)</f>
        <v>1</v>
      </c>
      <c r="AH530">
        <f>_xlfn.XLOOKUP(Table1820[[#This Row],[Difficult Parts]],Table8[Difficult Parts],Table8[Difficult Parts Factor],,0)</f>
        <v>1</v>
      </c>
      <c r="AI530">
        <f>_xlfn.XLOOKUP(Table1820[[#This Row],[High Theft Rate]],Table9[High Theft Rate],Table9[High Theft Rate Factor],,0)</f>
        <v>1.1599999999999999</v>
      </c>
      <c r="AJ530">
        <f>_xlfn.XLOOKUP(Table1820[[#This Row],[Advanced Safety Features]],Table10[Advanced Safety Features],Table10[Advanced Safety Features Factor],,0)</f>
        <v>1</v>
      </c>
      <c r="AK530">
        <f>_xlfn.XLOOKUP(Table1820[[#This Row],[Deductible]],Table12[Deductible],Table12[Deductible Factor],,0)</f>
        <v>1</v>
      </c>
      <c r="AL530">
        <f>_xlfn.XLOOKUP(Table1820[[#This Row],[Coverage Limit]],Table13[Coverage Limit],Table13[Coverage Limit Factor],,0)</f>
        <v>0.84</v>
      </c>
      <c r="AM530">
        <f>IF(Table1820[[#This Row],[Good Student Discount]]="Yes",'Rate Book'!$D$126,1)</f>
        <v>1</v>
      </c>
      <c r="AN530">
        <f>IF(Table1820[[#This Row],[Good Driver Discount]]="Yes",'Rate Book'!$D$127,1)</f>
        <v>1</v>
      </c>
      <c r="AO530">
        <f>IF(Table1820[[#This Row],[Multi Policy Discount]]="Yes",'Rate Book'!$D$128,1)</f>
        <v>0.93</v>
      </c>
      <c r="AP530">
        <f>IF(Table1820[[#This Row],[Loyal Customer Discount]]="Yes",'Rate Book'!$D$129,1)</f>
        <v>1</v>
      </c>
      <c r="AQ530">
        <f>IF(Table1820[[#This Row],[Organization Discount]]="Yes",'Rate Book'!$D$130,1)</f>
        <v>1</v>
      </c>
      <c r="AR530" cm="1">
        <f t="array" ref="AR530">IF(Table1820[[#This Row],[Effective Date]]&gt;=RateChangeTable[Effective Date],RateChangeTable[Rate Change Factor],1)</f>
        <v>1</v>
      </c>
      <c r="AS530" s="10">
        <f>PRODUCT(Table1820[[#This Row],[Base Rate]:[Rate Change Factor]])</f>
        <v>1157.3872927367026</v>
      </c>
      <c r="AT530" s="9">
        <f>Table1820[[#This Row],[System-Generated Premium]]-Table1820[[#This Row],[Expected Premium]]</f>
        <v>0</v>
      </c>
      <c r="AU530" t="str">
        <f>IF(Table1820[[#This Row],[Difference]]=0,"PASS","FAIL")</f>
        <v>PASS</v>
      </c>
      <c r="AV530" s="9">
        <f>ABS(Table1820[[#This Row],[Difference]])</f>
        <v>0</v>
      </c>
      <c r="AW530" s="9" t="s">
        <v>1136</v>
      </c>
    </row>
    <row r="531" spans="1:49" x14ac:dyDescent="0.3">
      <c r="A531" t="s">
        <v>622</v>
      </c>
      <c r="B531" s="7">
        <v>45884</v>
      </c>
      <c r="C531" t="s">
        <v>70</v>
      </c>
      <c r="D531" t="s">
        <v>1101</v>
      </c>
      <c r="E531" s="3">
        <v>1</v>
      </c>
      <c r="F531" s="3">
        <v>2</v>
      </c>
      <c r="G531" t="s">
        <v>10</v>
      </c>
      <c r="H531" t="s">
        <v>1110</v>
      </c>
      <c r="I531" t="s">
        <v>42</v>
      </c>
      <c r="J531" t="s">
        <v>53</v>
      </c>
      <c r="K531" t="s">
        <v>10</v>
      </c>
      <c r="L531" t="s">
        <v>57</v>
      </c>
      <c r="M531" t="s">
        <v>10</v>
      </c>
      <c r="N531" t="s">
        <v>57</v>
      </c>
      <c r="O531" t="str">
        <f>INDEX(CoverageTable[Deductible Applies],MATCH(Table1820[[#This Row],[Coverage]],CoverageTable[Coverage],0))</f>
        <v>No</v>
      </c>
      <c r="P531" t="str">
        <f>INDEX(CoverageTable[Coverage Limit Applies],MATCH(Table1820[[#This Row],[Coverage]],CoverageTable[Coverage],0))</f>
        <v>Yes</v>
      </c>
      <c r="Q531" t="s">
        <v>10</v>
      </c>
      <c r="R531" t="s">
        <v>79</v>
      </c>
      <c r="S531" t="s">
        <v>10</v>
      </c>
      <c r="T531" t="s">
        <v>10</v>
      </c>
      <c r="U531" t="s">
        <v>57</v>
      </c>
      <c r="V531" t="s">
        <v>10</v>
      </c>
      <c r="W531" t="s">
        <v>10</v>
      </c>
      <c r="X531" s="11">
        <v>4042.7368808209312</v>
      </c>
      <c r="Y531">
        <f>_xlfn.XLOOKUP(Table1820[[#This Row],[Coverage]],CoverageTable[Coverage],CoverageTable[Base Rate],,0)</f>
        <v>622</v>
      </c>
      <c r="Z531">
        <f>INDEX(Table16[Ageband Factor],MATCH(Table1820[[#This Row],[Ageband]],Table16[Ageband],0))</f>
        <v>1.1200000000000001</v>
      </c>
      <c r="AA531">
        <f>VLOOKUP(Table1820[[#This Row],[Years Driving]],Table1[],2)</f>
        <v>1.64</v>
      </c>
      <c r="AB531">
        <f>_xlfn.XLOOKUP(Table1820[[#This Row],[At Fault Accidents]],Table2[At Fault Accidents],Table2[At Fault Accident Factor],,0)</f>
        <v>1.55</v>
      </c>
      <c r="AC531">
        <f>_xlfn.XLOOKUP(Table1820[[#This Row],[Usage-Based Insurance]],Table3[Usage-Based Insurance],Table3[Usage-Based Insurance Discount],,0)</f>
        <v>1</v>
      </c>
      <c r="AD531">
        <f>_xlfn.XLOOKUP(Table1820[[#This Row],[Yearly Miles]],Table4[Yearly Miles],Table4[Yearly Miles Factor],,0)</f>
        <v>1.31</v>
      </c>
      <c r="AE531">
        <f>_xlfn.XLOOKUP(Table1820[[#This Row],[City/Zip Code]],Table5[City/Zip Code],Table5[City/Zip Code Factor],,0)</f>
        <v>1.21</v>
      </c>
      <c r="AF531">
        <f>_xlfn.XLOOKUP(Table1820[[#This Row],[Vehicle Price]],Table6[Vehicle Price],Table6[Vehicle Price Factor])</f>
        <v>2.02</v>
      </c>
      <c r="AG531">
        <f>_xlfn.XLOOKUP(Table1820[[#This Row],[Exotic Car]],Table7[Exotic Car],Table7[Exotic Car Factor],,0)</f>
        <v>1</v>
      </c>
      <c r="AH531">
        <f>_xlfn.XLOOKUP(Table1820[[#This Row],[Difficult Parts]],Table8[Difficult Parts],Table8[Difficult Parts Factor],,0)</f>
        <v>1.21</v>
      </c>
      <c r="AI531">
        <f>_xlfn.XLOOKUP(Table1820[[#This Row],[High Theft Rate]],Table9[High Theft Rate],Table9[High Theft Rate Factor],,0)</f>
        <v>1</v>
      </c>
      <c r="AJ531">
        <f>_xlfn.XLOOKUP(Table1820[[#This Row],[Advanced Safety Features]],Table10[Advanced Safety Features],Table10[Advanced Safety Features Factor],,0)</f>
        <v>0.88</v>
      </c>
      <c r="AK531">
        <f>_xlfn.XLOOKUP(Table1820[[#This Row],[Deductible]],Table12[Deductible],Table12[Deductible Factor],,0)</f>
        <v>1</v>
      </c>
      <c r="AL531">
        <f>_xlfn.XLOOKUP(Table1820[[#This Row],[Coverage Limit]],Table13[Coverage Limit],Table13[Coverage Limit Factor],,0)</f>
        <v>0.72</v>
      </c>
      <c r="AM531">
        <f>IF(Table1820[[#This Row],[Good Student Discount]]="Yes",'Rate Book'!$D$126,1)</f>
        <v>1</v>
      </c>
      <c r="AN531">
        <f>IF(Table1820[[#This Row],[Good Driver Discount]]="Yes",'Rate Book'!$D$127,1)</f>
        <v>1</v>
      </c>
      <c r="AO531">
        <f>IF(Table1820[[#This Row],[Multi Policy Discount]]="Yes",'Rate Book'!$D$128,1)</f>
        <v>0.93</v>
      </c>
      <c r="AP531">
        <f>IF(Table1820[[#This Row],[Loyal Customer Discount]]="Yes",'Rate Book'!$D$129,1)</f>
        <v>1</v>
      </c>
      <c r="AQ531">
        <f>IF(Table1820[[#This Row],[Organization Discount]]="Yes",'Rate Book'!$D$130,1)</f>
        <v>1</v>
      </c>
      <c r="AR531" cm="1">
        <f t="array" ref="AR531">IF(Table1820[[#This Row],[Effective Date]]&gt;=RateChangeTable[Effective Date],RateChangeTable[Rate Change Factor],1)</f>
        <v>1</v>
      </c>
      <c r="AS531" s="10">
        <f>PRODUCT(Table1820[[#This Row],[Base Rate]:[Rate Change Factor]])</f>
        <v>4042.7368808209312</v>
      </c>
      <c r="AT531" s="9">
        <f>Table1820[[#This Row],[System-Generated Premium]]-Table1820[[#This Row],[Expected Premium]]</f>
        <v>0</v>
      </c>
      <c r="AU531" t="str">
        <f>IF(Table1820[[#This Row],[Difference]]=0,"PASS","FAIL")</f>
        <v>PASS</v>
      </c>
      <c r="AV531" s="9">
        <f>ABS(Table1820[[#This Row],[Difference]])</f>
        <v>0</v>
      </c>
      <c r="AW531" s="9" t="s">
        <v>1136</v>
      </c>
    </row>
    <row r="532" spans="1:49" x14ac:dyDescent="0.3">
      <c r="A532" t="s">
        <v>623</v>
      </c>
      <c r="B532" s="7">
        <v>46010</v>
      </c>
      <c r="C532" t="s">
        <v>71</v>
      </c>
      <c r="D532" t="s">
        <v>1101</v>
      </c>
      <c r="E532" s="3">
        <v>2</v>
      </c>
      <c r="F532" s="3">
        <v>1</v>
      </c>
      <c r="G532" t="s">
        <v>10</v>
      </c>
      <c r="H532" t="s">
        <v>1110</v>
      </c>
      <c r="I532" t="s">
        <v>24</v>
      </c>
      <c r="J532" t="s">
        <v>50</v>
      </c>
      <c r="K532" t="s">
        <v>10</v>
      </c>
      <c r="L532" t="s">
        <v>10</v>
      </c>
      <c r="M532" t="s">
        <v>10</v>
      </c>
      <c r="N532" t="s">
        <v>10</v>
      </c>
      <c r="O532" t="str">
        <f>INDEX(CoverageTable[Deductible Applies],MATCH(Table1820[[#This Row],[Coverage]],CoverageTable[Coverage],0))</f>
        <v>Yes</v>
      </c>
      <c r="P532" t="str">
        <f>INDEX(CoverageTable[Coverage Limit Applies],MATCH(Table1820[[#This Row],[Coverage]],CoverageTable[Coverage],0))</f>
        <v>No</v>
      </c>
      <c r="Q532" t="s">
        <v>78</v>
      </c>
      <c r="R532" t="s">
        <v>10</v>
      </c>
      <c r="S532" t="s">
        <v>10</v>
      </c>
      <c r="T532" t="s">
        <v>57</v>
      </c>
      <c r="U532" t="s">
        <v>10</v>
      </c>
      <c r="V532" t="s">
        <v>10</v>
      </c>
      <c r="W532" t="s">
        <v>10</v>
      </c>
      <c r="X532" s="11">
        <v>1364.5698148233732</v>
      </c>
      <c r="Y532">
        <f>_xlfn.XLOOKUP(Table1820[[#This Row],[Coverage]],CoverageTable[Coverage],CoverageTable[Base Rate],,0)</f>
        <v>453</v>
      </c>
      <c r="Z532">
        <f>INDEX(Table16[Ageband Factor],MATCH(Table1820[[#This Row],[Ageband]],Table16[Ageband],0))</f>
        <v>1.1200000000000001</v>
      </c>
      <c r="AA532">
        <f>VLOOKUP(Table1820[[#This Row],[Years Driving]],Table1[],2)</f>
        <v>1.41</v>
      </c>
      <c r="AB532">
        <f>_xlfn.XLOOKUP(Table1820[[#This Row],[At Fault Accidents]],Table2[At Fault Accidents],Table2[At Fault Accident Factor],,0)</f>
        <v>1.34</v>
      </c>
      <c r="AC532">
        <f>_xlfn.XLOOKUP(Table1820[[#This Row],[Usage-Based Insurance]],Table3[Usage-Based Insurance],Table3[Usage-Based Insurance Discount],,0)</f>
        <v>1</v>
      </c>
      <c r="AD532">
        <f>_xlfn.XLOOKUP(Table1820[[#This Row],[Yearly Miles]],Table4[Yearly Miles],Table4[Yearly Miles Factor],,0)</f>
        <v>1.31</v>
      </c>
      <c r="AE532">
        <f>_xlfn.XLOOKUP(Table1820[[#This Row],[City/Zip Code]],Table5[City/Zip Code],Table5[City/Zip Code Factor],,0)</f>
        <v>1.19</v>
      </c>
      <c r="AF532">
        <f>_xlfn.XLOOKUP(Table1820[[#This Row],[Vehicle Price]],Table6[Vehicle Price],Table6[Vehicle Price Factor])</f>
        <v>1.08</v>
      </c>
      <c r="AG532">
        <f>_xlfn.XLOOKUP(Table1820[[#This Row],[Exotic Car]],Table7[Exotic Car],Table7[Exotic Car Factor],,0)</f>
        <v>1</v>
      </c>
      <c r="AH532">
        <f>_xlfn.XLOOKUP(Table1820[[#This Row],[Difficult Parts]],Table8[Difficult Parts],Table8[Difficult Parts Factor],,0)</f>
        <v>1</v>
      </c>
      <c r="AI532">
        <f>_xlfn.XLOOKUP(Table1820[[#This Row],[High Theft Rate]],Table9[High Theft Rate],Table9[High Theft Rate Factor],,0)</f>
        <v>1</v>
      </c>
      <c r="AJ532">
        <f>_xlfn.XLOOKUP(Table1820[[#This Row],[Advanced Safety Features]],Table10[Advanced Safety Features],Table10[Advanced Safety Features Factor],,0)</f>
        <v>1</v>
      </c>
      <c r="AK532">
        <f>_xlfn.XLOOKUP(Table1820[[#This Row],[Deductible]],Table12[Deductible],Table12[Deductible Factor],,0)</f>
        <v>0.95</v>
      </c>
      <c r="AL532">
        <f>_xlfn.XLOOKUP(Table1820[[#This Row],[Coverage Limit]],Table13[Coverage Limit],Table13[Coverage Limit Factor],,0)</f>
        <v>1</v>
      </c>
      <c r="AM532">
        <f>IF(Table1820[[#This Row],[Good Student Discount]]="Yes",'Rate Book'!$D$126,1)</f>
        <v>1</v>
      </c>
      <c r="AN532">
        <f>IF(Table1820[[#This Row],[Good Driver Discount]]="Yes",'Rate Book'!$D$127,1)</f>
        <v>0.89</v>
      </c>
      <c r="AO532">
        <f>IF(Table1820[[#This Row],[Multi Policy Discount]]="Yes",'Rate Book'!$D$128,1)</f>
        <v>1</v>
      </c>
      <c r="AP532">
        <f>IF(Table1820[[#This Row],[Loyal Customer Discount]]="Yes",'Rate Book'!$D$129,1)</f>
        <v>1</v>
      </c>
      <c r="AQ532">
        <f>IF(Table1820[[#This Row],[Organization Discount]]="Yes",'Rate Book'!$D$130,1)</f>
        <v>1</v>
      </c>
      <c r="AR532" cm="1">
        <f t="array" ref="AR532">IF(Table1820[[#This Row],[Effective Date]]&gt;=RateChangeTable[Effective Date],RateChangeTable[Rate Change Factor],1)</f>
        <v>1</v>
      </c>
      <c r="AS532" s="10">
        <f>PRODUCT(Table1820[[#This Row],[Base Rate]:[Rate Change Factor]])</f>
        <v>1364.5698148233732</v>
      </c>
      <c r="AT532" s="9">
        <f>Table1820[[#This Row],[System-Generated Premium]]-Table1820[[#This Row],[Expected Premium]]</f>
        <v>0</v>
      </c>
      <c r="AU532" t="str">
        <f>IF(Table1820[[#This Row],[Difference]]=0,"PASS","FAIL")</f>
        <v>PASS</v>
      </c>
      <c r="AV532" s="9">
        <f>ABS(Table1820[[#This Row],[Difference]])</f>
        <v>0</v>
      </c>
      <c r="AW532" s="9" t="s">
        <v>1136</v>
      </c>
    </row>
    <row r="533" spans="1:49" x14ac:dyDescent="0.3">
      <c r="A533" t="s">
        <v>624</v>
      </c>
      <c r="B533" s="7">
        <v>45937</v>
      </c>
      <c r="C533" t="s">
        <v>70</v>
      </c>
      <c r="D533" t="s">
        <v>1099</v>
      </c>
      <c r="E533" s="3">
        <v>3</v>
      </c>
      <c r="F533" s="3">
        <v>0</v>
      </c>
      <c r="G533" t="s">
        <v>10</v>
      </c>
      <c r="H533" t="s">
        <v>1106</v>
      </c>
      <c r="I533" t="s">
        <v>22</v>
      </c>
      <c r="J533" t="s">
        <v>54</v>
      </c>
      <c r="K533" t="s">
        <v>10</v>
      </c>
      <c r="L533" t="s">
        <v>10</v>
      </c>
      <c r="M533" t="s">
        <v>10</v>
      </c>
      <c r="N533" t="s">
        <v>57</v>
      </c>
      <c r="O533" t="str">
        <f>INDEX(CoverageTable[Deductible Applies],MATCH(Table1820[[#This Row],[Coverage]],CoverageTable[Coverage],0))</f>
        <v>No</v>
      </c>
      <c r="P533" t="str">
        <f>INDEX(CoverageTable[Coverage Limit Applies],MATCH(Table1820[[#This Row],[Coverage]],CoverageTable[Coverage],0))</f>
        <v>Yes</v>
      </c>
      <c r="Q533" t="s">
        <v>10</v>
      </c>
      <c r="R533" t="s">
        <v>78</v>
      </c>
      <c r="S533" t="s">
        <v>10</v>
      </c>
      <c r="T533" t="s">
        <v>10</v>
      </c>
      <c r="U533" t="s">
        <v>10</v>
      </c>
      <c r="V533" t="s">
        <v>57</v>
      </c>
      <c r="W533" t="s">
        <v>10</v>
      </c>
      <c r="X533" s="11">
        <v>1090.3644804884339</v>
      </c>
      <c r="Y533">
        <f>_xlfn.XLOOKUP(Table1820[[#This Row],[Coverage]],CoverageTable[Coverage],CoverageTable[Base Rate],,0)</f>
        <v>622</v>
      </c>
      <c r="Z533">
        <f>INDEX(Table16[Ageband Factor],MATCH(Table1820[[#This Row],[Ageband]],Table16[Ageband],0))</f>
        <v>1</v>
      </c>
      <c r="AA533">
        <f>VLOOKUP(Table1820[[#This Row],[Years Driving]],Table1[],2)</f>
        <v>1.22</v>
      </c>
      <c r="AB533">
        <f>_xlfn.XLOOKUP(Table1820[[#This Row],[At Fault Accidents]],Table2[At Fault Accidents],Table2[At Fault Accident Factor],,0)</f>
        <v>1</v>
      </c>
      <c r="AC533">
        <f>_xlfn.XLOOKUP(Table1820[[#This Row],[Usage-Based Insurance]],Table3[Usage-Based Insurance],Table3[Usage-Based Insurance Discount],,0)</f>
        <v>1</v>
      </c>
      <c r="AD533">
        <f>_xlfn.XLOOKUP(Table1820[[#This Row],[Yearly Miles]],Table4[Yearly Miles],Table4[Yearly Miles Factor],,0)</f>
        <v>0.82</v>
      </c>
      <c r="AE533">
        <f>_xlfn.XLOOKUP(Table1820[[#This Row],[City/Zip Code]],Table5[City/Zip Code],Table5[City/Zip Code Factor],,0)</f>
        <v>1.21</v>
      </c>
      <c r="AF533">
        <f>_xlfn.XLOOKUP(Table1820[[#This Row],[Vehicle Price]],Table6[Vehicle Price],Table6[Vehicle Price Factor])</f>
        <v>2.87</v>
      </c>
      <c r="AG533">
        <f>_xlfn.XLOOKUP(Table1820[[#This Row],[Exotic Car]],Table7[Exotic Car],Table7[Exotic Car Factor],,0)</f>
        <v>1</v>
      </c>
      <c r="AH533">
        <f>_xlfn.XLOOKUP(Table1820[[#This Row],[Difficult Parts]],Table8[Difficult Parts],Table8[Difficult Parts Factor],,0)</f>
        <v>1</v>
      </c>
      <c r="AI533">
        <f>_xlfn.XLOOKUP(Table1820[[#This Row],[High Theft Rate]],Table9[High Theft Rate],Table9[High Theft Rate Factor],,0)</f>
        <v>1</v>
      </c>
      <c r="AJ533">
        <f>_xlfn.XLOOKUP(Table1820[[#This Row],[Advanced Safety Features]],Table10[Advanced Safety Features],Table10[Advanced Safety Features Factor],,0)</f>
        <v>0.88</v>
      </c>
      <c r="AK533">
        <f>_xlfn.XLOOKUP(Table1820[[#This Row],[Deductible]],Table12[Deductible],Table12[Deductible Factor],,0)</f>
        <v>1</v>
      </c>
      <c r="AL533">
        <f>_xlfn.XLOOKUP(Table1820[[#This Row],[Coverage Limit]],Table13[Coverage Limit],Table13[Coverage Limit Factor],,0)</f>
        <v>0.61</v>
      </c>
      <c r="AM533">
        <f>IF(Table1820[[#This Row],[Good Student Discount]]="Yes",'Rate Book'!$D$126,1)</f>
        <v>1</v>
      </c>
      <c r="AN533">
        <f>IF(Table1820[[#This Row],[Good Driver Discount]]="Yes",'Rate Book'!$D$127,1)</f>
        <v>1</v>
      </c>
      <c r="AO533">
        <f>IF(Table1820[[#This Row],[Multi Policy Discount]]="Yes",'Rate Book'!$D$128,1)</f>
        <v>1</v>
      </c>
      <c r="AP533">
        <f>IF(Table1820[[#This Row],[Loyal Customer Discount]]="Yes",'Rate Book'!$D$129,1)</f>
        <v>0.94</v>
      </c>
      <c r="AQ533">
        <f>IF(Table1820[[#This Row],[Organization Discount]]="Yes",'Rate Book'!$D$130,1)</f>
        <v>1</v>
      </c>
      <c r="AR533" cm="1">
        <f t="array" ref="AR533">IF(Table1820[[#This Row],[Effective Date]]&gt;=RateChangeTable[Effective Date],RateChangeTable[Rate Change Factor],1)</f>
        <v>1</v>
      </c>
      <c r="AS533" s="10">
        <f>PRODUCT(Table1820[[#This Row],[Base Rate]:[Rate Change Factor]])</f>
        <v>1090.3644804884339</v>
      </c>
      <c r="AT533" s="9">
        <f>Table1820[[#This Row],[System-Generated Premium]]-Table1820[[#This Row],[Expected Premium]]</f>
        <v>0</v>
      </c>
      <c r="AU533" t="str">
        <f>IF(Table1820[[#This Row],[Difference]]=0,"PASS","FAIL")</f>
        <v>PASS</v>
      </c>
      <c r="AV533" s="9">
        <f>ABS(Table1820[[#This Row],[Difference]])</f>
        <v>0</v>
      </c>
      <c r="AW533" s="9" t="s">
        <v>1136</v>
      </c>
    </row>
    <row r="534" spans="1:49" x14ac:dyDescent="0.3">
      <c r="A534" t="s">
        <v>625</v>
      </c>
      <c r="B534" s="7">
        <v>45863</v>
      </c>
      <c r="C534" t="s">
        <v>73</v>
      </c>
      <c r="D534" t="s">
        <v>1100</v>
      </c>
      <c r="E534" s="3">
        <v>5</v>
      </c>
      <c r="F534" s="3">
        <v>4</v>
      </c>
      <c r="G534" t="s">
        <v>10</v>
      </c>
      <c r="H534" t="s">
        <v>1110</v>
      </c>
      <c r="I534" t="s">
        <v>28</v>
      </c>
      <c r="J534" t="s">
        <v>50</v>
      </c>
      <c r="K534" t="s">
        <v>10</v>
      </c>
      <c r="L534" t="s">
        <v>10</v>
      </c>
      <c r="M534" t="s">
        <v>10</v>
      </c>
      <c r="N534" t="s">
        <v>10</v>
      </c>
      <c r="O534" t="str">
        <f>INDEX(CoverageTable[Deductible Applies],MATCH(Table1820[[#This Row],[Coverage]],CoverageTable[Coverage],0))</f>
        <v>No</v>
      </c>
      <c r="P534" t="str">
        <f>INDEX(CoverageTable[Coverage Limit Applies],MATCH(Table1820[[#This Row],[Coverage]],CoverageTable[Coverage],0))</f>
        <v>Yes</v>
      </c>
      <c r="Q534" t="s">
        <v>10</v>
      </c>
      <c r="R534" t="s">
        <v>80</v>
      </c>
      <c r="S534" t="s">
        <v>10</v>
      </c>
      <c r="T534" t="s">
        <v>57</v>
      </c>
      <c r="U534" t="s">
        <v>10</v>
      </c>
      <c r="V534" t="s">
        <v>10</v>
      </c>
      <c r="W534" t="s">
        <v>10</v>
      </c>
      <c r="X534" s="11">
        <v>190.23304874590605</v>
      </c>
      <c r="Y534">
        <f>_xlfn.XLOOKUP(Table1820[[#This Row],[Coverage]],CoverageTable[Coverage],CoverageTable[Base Rate],,0)</f>
        <v>78</v>
      </c>
      <c r="Z534">
        <f>INDEX(Table16[Ageband Factor],MATCH(Table1820[[#This Row],[Ageband]],Table16[Ageband],0))</f>
        <v>1.07</v>
      </c>
      <c r="AA534">
        <f>VLOOKUP(Table1820[[#This Row],[Years Driving]],Table1[],2)</f>
        <v>1.07</v>
      </c>
      <c r="AB534">
        <f>_xlfn.XLOOKUP(Table1820[[#This Row],[At Fault Accidents]],Table2[At Fault Accidents],Table2[At Fault Accident Factor],,0)</f>
        <v>2.12</v>
      </c>
      <c r="AC534">
        <f>_xlfn.XLOOKUP(Table1820[[#This Row],[Usage-Based Insurance]],Table3[Usage-Based Insurance],Table3[Usage-Based Insurance Discount],,0)</f>
        <v>1</v>
      </c>
      <c r="AD534">
        <f>_xlfn.XLOOKUP(Table1820[[#This Row],[Yearly Miles]],Table4[Yearly Miles],Table4[Yearly Miles Factor],,0)</f>
        <v>1.31</v>
      </c>
      <c r="AE534">
        <f>_xlfn.XLOOKUP(Table1820[[#This Row],[City/Zip Code]],Table5[City/Zip Code],Table5[City/Zip Code Factor],,0)</f>
        <v>0.95</v>
      </c>
      <c r="AF534">
        <f>_xlfn.XLOOKUP(Table1820[[#This Row],[Vehicle Price]],Table6[Vehicle Price],Table6[Vehicle Price Factor])</f>
        <v>1.08</v>
      </c>
      <c r="AG534">
        <f>_xlfn.XLOOKUP(Table1820[[#This Row],[Exotic Car]],Table7[Exotic Car],Table7[Exotic Car Factor],,0)</f>
        <v>1</v>
      </c>
      <c r="AH534">
        <f>_xlfn.XLOOKUP(Table1820[[#This Row],[Difficult Parts]],Table8[Difficult Parts],Table8[Difficult Parts Factor],,0)</f>
        <v>1</v>
      </c>
      <c r="AI534">
        <f>_xlfn.XLOOKUP(Table1820[[#This Row],[High Theft Rate]],Table9[High Theft Rate],Table9[High Theft Rate Factor],,0)</f>
        <v>1</v>
      </c>
      <c r="AJ534">
        <f>_xlfn.XLOOKUP(Table1820[[#This Row],[Advanced Safety Features]],Table10[Advanced Safety Features],Table10[Advanced Safety Features Factor],,0)</f>
        <v>1</v>
      </c>
      <c r="AK534">
        <f>_xlfn.XLOOKUP(Table1820[[#This Row],[Deductible]],Table12[Deductible],Table12[Deductible Factor],,0)</f>
        <v>1</v>
      </c>
      <c r="AL534">
        <f>_xlfn.XLOOKUP(Table1820[[#This Row],[Coverage Limit]],Table13[Coverage Limit],Table13[Coverage Limit Factor],,0)</f>
        <v>0.84</v>
      </c>
      <c r="AM534">
        <f>IF(Table1820[[#This Row],[Good Student Discount]]="Yes",'Rate Book'!$D$126,1)</f>
        <v>1</v>
      </c>
      <c r="AN534">
        <f>IF(Table1820[[#This Row],[Good Driver Discount]]="Yes",'Rate Book'!$D$127,1)</f>
        <v>0.89</v>
      </c>
      <c r="AO534">
        <f>IF(Table1820[[#This Row],[Multi Policy Discount]]="Yes",'Rate Book'!$D$128,1)</f>
        <v>1</v>
      </c>
      <c r="AP534">
        <f>IF(Table1820[[#This Row],[Loyal Customer Discount]]="Yes",'Rate Book'!$D$129,1)</f>
        <v>1</v>
      </c>
      <c r="AQ534">
        <f>IF(Table1820[[#This Row],[Organization Discount]]="Yes",'Rate Book'!$D$130,1)</f>
        <v>1</v>
      </c>
      <c r="AR534" cm="1">
        <f t="array" ref="AR534">IF(Table1820[[#This Row],[Effective Date]]&gt;=RateChangeTable[Effective Date],RateChangeTable[Rate Change Factor],1)</f>
        <v>1</v>
      </c>
      <c r="AS534" s="10">
        <f>PRODUCT(Table1820[[#This Row],[Base Rate]:[Rate Change Factor]])</f>
        <v>190.23304874590605</v>
      </c>
      <c r="AT534" s="9">
        <f>Table1820[[#This Row],[System-Generated Premium]]-Table1820[[#This Row],[Expected Premium]]</f>
        <v>0</v>
      </c>
      <c r="AU534" t="str">
        <f>IF(Table1820[[#This Row],[Difference]]=0,"PASS","FAIL")</f>
        <v>PASS</v>
      </c>
      <c r="AV534" s="9">
        <f>ABS(Table1820[[#This Row],[Difference]])</f>
        <v>0</v>
      </c>
      <c r="AW534" s="9" t="s">
        <v>1136</v>
      </c>
    </row>
    <row r="535" spans="1:49" x14ac:dyDescent="0.3">
      <c r="A535" t="s">
        <v>626</v>
      </c>
      <c r="B535" s="7">
        <v>46059</v>
      </c>
      <c r="C535" t="s">
        <v>70</v>
      </c>
      <c r="D535" t="s">
        <v>1099</v>
      </c>
      <c r="E535" s="3">
        <v>1</v>
      </c>
      <c r="F535" s="3">
        <v>0</v>
      </c>
      <c r="G535" t="s">
        <v>10</v>
      </c>
      <c r="H535" t="s">
        <v>1106</v>
      </c>
      <c r="I535" t="s">
        <v>39</v>
      </c>
      <c r="J535" t="s">
        <v>49</v>
      </c>
      <c r="K535" t="s">
        <v>10</v>
      </c>
      <c r="L535" t="s">
        <v>10</v>
      </c>
      <c r="M535" t="s">
        <v>10</v>
      </c>
      <c r="N535" t="s">
        <v>57</v>
      </c>
      <c r="O535" t="str">
        <f>INDEX(CoverageTable[Deductible Applies],MATCH(Table1820[[#This Row],[Coverage]],CoverageTable[Coverage],0))</f>
        <v>No</v>
      </c>
      <c r="P535" t="str">
        <f>INDEX(CoverageTable[Coverage Limit Applies],MATCH(Table1820[[#This Row],[Coverage]],CoverageTable[Coverage],0))</f>
        <v>Yes</v>
      </c>
      <c r="Q535" t="s">
        <v>10</v>
      </c>
      <c r="R535" t="s">
        <v>79</v>
      </c>
      <c r="S535" t="s">
        <v>10</v>
      </c>
      <c r="T535" t="s">
        <v>57</v>
      </c>
      <c r="U535" t="s">
        <v>57</v>
      </c>
      <c r="V535" t="s">
        <v>57</v>
      </c>
      <c r="W535" t="s">
        <v>57</v>
      </c>
      <c r="X535" s="11">
        <v>444.15765527353659</v>
      </c>
      <c r="Y535">
        <f>_xlfn.XLOOKUP(Table1820[[#This Row],[Coverage]],CoverageTable[Coverage],CoverageTable[Base Rate],,0)</f>
        <v>622</v>
      </c>
      <c r="Z535">
        <f>INDEX(Table16[Ageband Factor],MATCH(Table1820[[#This Row],[Ageband]],Table16[Ageband],0))</f>
        <v>1</v>
      </c>
      <c r="AA535">
        <f>VLOOKUP(Table1820[[#This Row],[Years Driving]],Table1[],2)</f>
        <v>1.64</v>
      </c>
      <c r="AB535">
        <f>_xlfn.XLOOKUP(Table1820[[#This Row],[At Fault Accidents]],Table2[At Fault Accidents],Table2[At Fault Accident Factor],,0)</f>
        <v>1</v>
      </c>
      <c r="AC535">
        <f>_xlfn.XLOOKUP(Table1820[[#This Row],[Usage-Based Insurance]],Table3[Usage-Based Insurance],Table3[Usage-Based Insurance Discount],,0)</f>
        <v>1</v>
      </c>
      <c r="AD535">
        <f>_xlfn.XLOOKUP(Table1820[[#This Row],[Yearly Miles]],Table4[Yearly Miles],Table4[Yearly Miles Factor],,0)</f>
        <v>0.82</v>
      </c>
      <c r="AE535">
        <f>_xlfn.XLOOKUP(Table1820[[#This Row],[City/Zip Code]],Table5[City/Zip Code],Table5[City/Zip Code Factor],,0)</f>
        <v>1.08</v>
      </c>
      <c r="AF535">
        <f>_xlfn.XLOOKUP(Table1820[[#This Row],[Vehicle Price]],Table6[Vehicle Price],Table6[Vehicle Price Factor])</f>
        <v>0.97</v>
      </c>
      <c r="AG535">
        <f>_xlfn.XLOOKUP(Table1820[[#This Row],[Exotic Car]],Table7[Exotic Car],Table7[Exotic Car Factor],,0)</f>
        <v>1</v>
      </c>
      <c r="AH535">
        <f>_xlfn.XLOOKUP(Table1820[[#This Row],[Difficult Parts]],Table8[Difficult Parts],Table8[Difficult Parts Factor],,0)</f>
        <v>1</v>
      </c>
      <c r="AI535">
        <f>_xlfn.XLOOKUP(Table1820[[#This Row],[High Theft Rate]],Table9[High Theft Rate],Table9[High Theft Rate Factor],,0)</f>
        <v>1</v>
      </c>
      <c r="AJ535">
        <f>_xlfn.XLOOKUP(Table1820[[#This Row],[Advanced Safety Features]],Table10[Advanced Safety Features],Table10[Advanced Safety Features Factor],,0)</f>
        <v>0.88</v>
      </c>
      <c r="AK535">
        <f>_xlfn.XLOOKUP(Table1820[[#This Row],[Deductible]],Table12[Deductible],Table12[Deductible Factor],,0)</f>
        <v>1</v>
      </c>
      <c r="AL535">
        <f>_xlfn.XLOOKUP(Table1820[[#This Row],[Coverage Limit]],Table13[Coverage Limit],Table13[Coverage Limit Factor],,0)</f>
        <v>0.72</v>
      </c>
      <c r="AM535">
        <f>IF(Table1820[[#This Row],[Good Student Discount]]="Yes",'Rate Book'!$D$126,1)</f>
        <v>1</v>
      </c>
      <c r="AN535">
        <f>IF(Table1820[[#This Row],[Good Driver Discount]]="Yes",'Rate Book'!$D$127,1)</f>
        <v>0.89</v>
      </c>
      <c r="AO535">
        <f>IF(Table1820[[#This Row],[Multi Policy Discount]]="Yes",'Rate Book'!$D$128,1)</f>
        <v>0.93</v>
      </c>
      <c r="AP535">
        <f>IF(Table1820[[#This Row],[Loyal Customer Discount]]="Yes",'Rate Book'!$D$129,1)</f>
        <v>0.94</v>
      </c>
      <c r="AQ535">
        <f>IF(Table1820[[#This Row],[Organization Discount]]="Yes",'Rate Book'!$D$130,1)</f>
        <v>0.97</v>
      </c>
      <c r="AR535" cm="1">
        <f t="array" ref="AR535">IF(Table1820[[#This Row],[Effective Date]]&gt;=RateChangeTable[Effective Date],RateChangeTable[Rate Change Factor],1)</f>
        <v>1.06</v>
      </c>
      <c r="AS535" s="10">
        <f>PRODUCT(Table1820[[#This Row],[Base Rate]:[Rate Change Factor]])</f>
        <v>444.15765527353659</v>
      </c>
      <c r="AT535" s="9">
        <f>Table1820[[#This Row],[System-Generated Premium]]-Table1820[[#This Row],[Expected Premium]]</f>
        <v>0</v>
      </c>
      <c r="AU535" t="str">
        <f>IF(Table1820[[#This Row],[Difference]]=0,"PASS","FAIL")</f>
        <v>PASS</v>
      </c>
      <c r="AV535" s="9">
        <f>ABS(Table1820[[#This Row],[Difference]])</f>
        <v>0</v>
      </c>
      <c r="AW535" s="9" t="s">
        <v>1136</v>
      </c>
    </row>
    <row r="536" spans="1:49" x14ac:dyDescent="0.3">
      <c r="A536" t="s">
        <v>627</v>
      </c>
      <c r="B536" s="7">
        <v>46081</v>
      </c>
      <c r="C536" t="s">
        <v>71</v>
      </c>
      <c r="D536" t="s">
        <v>1102</v>
      </c>
      <c r="E536" s="3" t="s">
        <v>1103</v>
      </c>
      <c r="F536" s="3">
        <v>0</v>
      </c>
      <c r="G536" t="s">
        <v>12</v>
      </c>
      <c r="H536" t="s">
        <v>1107</v>
      </c>
      <c r="I536" t="s">
        <v>34</v>
      </c>
      <c r="J536" t="s">
        <v>48</v>
      </c>
      <c r="K536" t="s">
        <v>10</v>
      </c>
      <c r="L536" t="s">
        <v>10</v>
      </c>
      <c r="M536" t="s">
        <v>10</v>
      </c>
      <c r="N536" t="s">
        <v>10</v>
      </c>
      <c r="O536" t="str">
        <f>INDEX(CoverageTable[Deductible Applies],MATCH(Table1820[[#This Row],[Coverage]],CoverageTable[Coverage],0))</f>
        <v>Yes</v>
      </c>
      <c r="P536" t="str">
        <f>INDEX(CoverageTable[Coverage Limit Applies],MATCH(Table1820[[#This Row],[Coverage]],CoverageTable[Coverage],0))</f>
        <v>No</v>
      </c>
      <c r="Q536" t="s">
        <v>79</v>
      </c>
      <c r="R536" t="s">
        <v>10</v>
      </c>
      <c r="S536" t="s">
        <v>10</v>
      </c>
      <c r="T536" t="s">
        <v>57</v>
      </c>
      <c r="U536" t="s">
        <v>57</v>
      </c>
      <c r="V536" t="s">
        <v>10</v>
      </c>
      <c r="W536" t="s">
        <v>10</v>
      </c>
      <c r="X536" s="11">
        <v>375.27908783633472</v>
      </c>
      <c r="Y536">
        <f>_xlfn.XLOOKUP(Table1820[[#This Row],[Coverage]],CoverageTable[Coverage],CoverageTable[Base Rate],,0)</f>
        <v>453</v>
      </c>
      <c r="Z536">
        <f>INDEX(Table16[Ageband Factor],MATCH(Table1820[[#This Row],[Ageband]],Table16[Ageband],0))</f>
        <v>1.27</v>
      </c>
      <c r="AA536">
        <f>VLOOKUP(Table1820[[#This Row],[Years Driving]],Table1[],2)</f>
        <v>0.93</v>
      </c>
      <c r="AB536">
        <f>_xlfn.XLOOKUP(Table1820[[#This Row],[At Fault Accidents]],Table2[At Fault Accidents],Table2[At Fault Accident Factor],,0)</f>
        <v>1</v>
      </c>
      <c r="AC536">
        <f>_xlfn.XLOOKUP(Table1820[[#This Row],[Usage-Based Insurance]],Table3[Usage-Based Insurance],Table3[Usage-Based Insurance Discount],,0)</f>
        <v>0.8</v>
      </c>
      <c r="AD536">
        <f>_xlfn.XLOOKUP(Table1820[[#This Row],[Yearly Miles]],Table4[Yearly Miles],Table4[Yearly Miles Factor],,0)</f>
        <v>0.93</v>
      </c>
      <c r="AE536">
        <f>_xlfn.XLOOKUP(Table1820[[#This Row],[City/Zip Code]],Table5[City/Zip Code],Table5[City/Zip Code Factor],,0)</f>
        <v>1.56</v>
      </c>
      <c r="AF536">
        <f>_xlfn.XLOOKUP(Table1820[[#This Row],[Vehicle Price]],Table6[Vehicle Price],Table6[Vehicle Price Factor])</f>
        <v>0.82</v>
      </c>
      <c r="AG536">
        <f>_xlfn.XLOOKUP(Table1820[[#This Row],[Exotic Car]],Table7[Exotic Car],Table7[Exotic Car Factor],,0)</f>
        <v>1</v>
      </c>
      <c r="AH536">
        <f>_xlfn.XLOOKUP(Table1820[[#This Row],[Difficult Parts]],Table8[Difficult Parts],Table8[Difficult Parts Factor],,0)</f>
        <v>1</v>
      </c>
      <c r="AI536">
        <f>_xlfn.XLOOKUP(Table1820[[#This Row],[High Theft Rate]],Table9[High Theft Rate],Table9[High Theft Rate Factor],,0)</f>
        <v>1</v>
      </c>
      <c r="AJ536">
        <f>_xlfn.XLOOKUP(Table1820[[#This Row],[Advanced Safety Features]],Table10[Advanced Safety Features],Table10[Advanced Safety Features Factor],,0)</f>
        <v>1</v>
      </c>
      <c r="AK536">
        <f>_xlfn.XLOOKUP(Table1820[[#This Row],[Deductible]],Table12[Deductible],Table12[Deductible Factor],,0)</f>
        <v>0.84</v>
      </c>
      <c r="AL536">
        <f>_xlfn.XLOOKUP(Table1820[[#This Row],[Coverage Limit]],Table13[Coverage Limit],Table13[Coverage Limit Factor],,0)</f>
        <v>1</v>
      </c>
      <c r="AM536">
        <f>IF(Table1820[[#This Row],[Good Student Discount]]="Yes",'Rate Book'!$D$126,1)</f>
        <v>1</v>
      </c>
      <c r="AN536">
        <f>IF(Table1820[[#This Row],[Good Driver Discount]]="Yes",'Rate Book'!$D$127,1)</f>
        <v>0.89</v>
      </c>
      <c r="AO536">
        <f>IF(Table1820[[#This Row],[Multi Policy Discount]]="Yes",'Rate Book'!$D$128,1)</f>
        <v>0.93</v>
      </c>
      <c r="AP536">
        <f>IF(Table1820[[#This Row],[Loyal Customer Discount]]="Yes",'Rate Book'!$D$129,1)</f>
        <v>1</v>
      </c>
      <c r="AQ536">
        <f>IF(Table1820[[#This Row],[Organization Discount]]="Yes",'Rate Book'!$D$130,1)</f>
        <v>1</v>
      </c>
      <c r="AR536" cm="1">
        <f t="array" ref="AR536">IF(Table1820[[#This Row],[Effective Date]]&gt;=RateChangeTable[Effective Date],RateChangeTable[Rate Change Factor],1)</f>
        <v>1.06</v>
      </c>
      <c r="AS536" s="10">
        <f>PRODUCT(Table1820[[#This Row],[Base Rate]:[Rate Change Factor]])</f>
        <v>375.27908783633472</v>
      </c>
      <c r="AT536" s="9">
        <f>Table1820[[#This Row],[System-Generated Premium]]-Table1820[[#This Row],[Expected Premium]]</f>
        <v>0</v>
      </c>
      <c r="AU536" t="str">
        <f>IF(Table1820[[#This Row],[Difference]]=0,"PASS","FAIL")</f>
        <v>PASS</v>
      </c>
      <c r="AV536" s="9">
        <f>ABS(Table1820[[#This Row],[Difference]])</f>
        <v>0</v>
      </c>
      <c r="AW536" s="9" t="s">
        <v>1136</v>
      </c>
    </row>
    <row r="537" spans="1:49" x14ac:dyDescent="0.3">
      <c r="A537" t="s">
        <v>628</v>
      </c>
      <c r="B537" s="7">
        <v>45902</v>
      </c>
      <c r="C537" t="s">
        <v>74</v>
      </c>
      <c r="D537" t="s">
        <v>1102</v>
      </c>
      <c r="E537" s="3">
        <v>4</v>
      </c>
      <c r="F537" s="3">
        <v>1</v>
      </c>
      <c r="G537" t="s">
        <v>10</v>
      </c>
      <c r="H537" t="s">
        <v>1109</v>
      </c>
      <c r="I537" t="s">
        <v>31</v>
      </c>
      <c r="J537" t="s">
        <v>52</v>
      </c>
      <c r="K537" t="s">
        <v>10</v>
      </c>
      <c r="L537" t="s">
        <v>10</v>
      </c>
      <c r="M537" t="s">
        <v>57</v>
      </c>
      <c r="N537" t="s">
        <v>10</v>
      </c>
      <c r="O537" t="str">
        <f>INDEX(CoverageTable[Deductible Applies],MATCH(Table1820[[#This Row],[Coverage]],CoverageTable[Coverage],0))</f>
        <v>No</v>
      </c>
      <c r="P537" t="str">
        <f>INDEX(CoverageTable[Coverage Limit Applies],MATCH(Table1820[[#This Row],[Coverage]],CoverageTable[Coverage],0))</f>
        <v>Yes</v>
      </c>
      <c r="Q537" t="s">
        <v>10</v>
      </c>
      <c r="R537" t="s">
        <v>80</v>
      </c>
      <c r="S537" t="s">
        <v>10</v>
      </c>
      <c r="T537" t="s">
        <v>10</v>
      </c>
      <c r="U537" t="s">
        <v>10</v>
      </c>
      <c r="V537" t="s">
        <v>10</v>
      </c>
      <c r="W537" t="s">
        <v>10</v>
      </c>
      <c r="X537" s="11">
        <v>160.78003918988861</v>
      </c>
      <c r="Y537">
        <f>_xlfn.XLOOKUP(Table1820[[#This Row],[Coverage]],CoverageTable[Coverage],CoverageTable[Base Rate],,0)</f>
        <v>41</v>
      </c>
      <c r="Z537">
        <f>INDEX(Table16[Ageband Factor],MATCH(Table1820[[#This Row],[Ageband]],Table16[Ageband],0))</f>
        <v>1.27</v>
      </c>
      <c r="AA537">
        <f>VLOOKUP(Table1820[[#This Row],[Years Driving]],Table1[],2)</f>
        <v>1.1499999999999999</v>
      </c>
      <c r="AB537">
        <f>_xlfn.XLOOKUP(Table1820[[#This Row],[At Fault Accidents]],Table2[At Fault Accidents],Table2[At Fault Accident Factor],,0)</f>
        <v>1.34</v>
      </c>
      <c r="AC537">
        <f>_xlfn.XLOOKUP(Table1820[[#This Row],[Usage-Based Insurance]],Table3[Usage-Based Insurance],Table3[Usage-Based Insurance Discount],,0)</f>
        <v>1</v>
      </c>
      <c r="AD537">
        <f>_xlfn.XLOOKUP(Table1820[[#This Row],[Yearly Miles]],Table4[Yearly Miles],Table4[Yearly Miles Factor],,0)</f>
        <v>1.18</v>
      </c>
      <c r="AE537">
        <f>_xlfn.XLOOKUP(Table1820[[#This Row],[City/Zip Code]],Table5[City/Zip Code],Table5[City/Zip Code Factor],,0)</f>
        <v>1.1100000000000001</v>
      </c>
      <c r="AF537">
        <f>_xlfn.XLOOKUP(Table1820[[#This Row],[Vehicle Price]],Table6[Vehicle Price],Table6[Vehicle Price Factor])</f>
        <v>1.57</v>
      </c>
      <c r="AG537">
        <f>_xlfn.XLOOKUP(Table1820[[#This Row],[Exotic Car]],Table7[Exotic Car],Table7[Exotic Car Factor],,0)</f>
        <v>1</v>
      </c>
      <c r="AH537">
        <f>_xlfn.XLOOKUP(Table1820[[#This Row],[Difficult Parts]],Table8[Difficult Parts],Table8[Difficult Parts Factor],,0)</f>
        <v>1</v>
      </c>
      <c r="AI537">
        <f>_xlfn.XLOOKUP(Table1820[[#This Row],[High Theft Rate]],Table9[High Theft Rate],Table9[High Theft Rate Factor],,0)</f>
        <v>1.1599999999999999</v>
      </c>
      <c r="AJ537">
        <f>_xlfn.XLOOKUP(Table1820[[#This Row],[Advanced Safety Features]],Table10[Advanced Safety Features],Table10[Advanced Safety Features Factor],,0)</f>
        <v>1</v>
      </c>
      <c r="AK537">
        <f>_xlfn.XLOOKUP(Table1820[[#This Row],[Deductible]],Table12[Deductible],Table12[Deductible Factor],,0)</f>
        <v>1</v>
      </c>
      <c r="AL537">
        <f>_xlfn.XLOOKUP(Table1820[[#This Row],[Coverage Limit]],Table13[Coverage Limit],Table13[Coverage Limit Factor],,0)</f>
        <v>0.84</v>
      </c>
      <c r="AM537">
        <f>IF(Table1820[[#This Row],[Good Student Discount]]="Yes",'Rate Book'!$D$126,1)</f>
        <v>1</v>
      </c>
      <c r="AN537">
        <f>IF(Table1820[[#This Row],[Good Driver Discount]]="Yes",'Rate Book'!$D$127,1)</f>
        <v>1</v>
      </c>
      <c r="AO537">
        <f>IF(Table1820[[#This Row],[Multi Policy Discount]]="Yes",'Rate Book'!$D$128,1)</f>
        <v>1</v>
      </c>
      <c r="AP537">
        <f>IF(Table1820[[#This Row],[Loyal Customer Discount]]="Yes",'Rate Book'!$D$129,1)</f>
        <v>1</v>
      </c>
      <c r="AQ537">
        <f>IF(Table1820[[#This Row],[Organization Discount]]="Yes",'Rate Book'!$D$130,1)</f>
        <v>1</v>
      </c>
      <c r="AR537" cm="1">
        <f t="array" ref="AR537">IF(Table1820[[#This Row],[Effective Date]]&gt;=RateChangeTable[Effective Date],RateChangeTable[Rate Change Factor],1)</f>
        <v>1</v>
      </c>
      <c r="AS537" s="10">
        <f>PRODUCT(Table1820[[#This Row],[Base Rate]:[Rate Change Factor]])</f>
        <v>160.78003918988861</v>
      </c>
      <c r="AT537" s="9">
        <f>Table1820[[#This Row],[System-Generated Premium]]-Table1820[[#This Row],[Expected Premium]]</f>
        <v>0</v>
      </c>
      <c r="AU537" t="str">
        <f>IF(Table1820[[#This Row],[Difference]]=0,"PASS","FAIL")</f>
        <v>PASS</v>
      </c>
      <c r="AV537" s="9">
        <f>ABS(Table1820[[#This Row],[Difference]])</f>
        <v>0</v>
      </c>
      <c r="AW537" s="9" t="s">
        <v>1136</v>
      </c>
    </row>
    <row r="538" spans="1:49" x14ac:dyDescent="0.3">
      <c r="A538" t="s">
        <v>629</v>
      </c>
      <c r="B538" s="7">
        <v>45863</v>
      </c>
      <c r="C538" t="s">
        <v>71</v>
      </c>
      <c r="D538" t="s">
        <v>1098</v>
      </c>
      <c r="E538" s="3">
        <v>5</v>
      </c>
      <c r="F538" s="3">
        <v>0</v>
      </c>
      <c r="G538" t="s">
        <v>11</v>
      </c>
      <c r="H538" t="s">
        <v>1106</v>
      </c>
      <c r="I538" t="s">
        <v>43</v>
      </c>
      <c r="J538" t="s">
        <v>52</v>
      </c>
      <c r="K538" t="s">
        <v>10</v>
      </c>
      <c r="L538" t="s">
        <v>10</v>
      </c>
      <c r="M538" t="s">
        <v>10</v>
      </c>
      <c r="N538" t="s">
        <v>57</v>
      </c>
      <c r="O538" t="str">
        <f>INDEX(CoverageTable[Deductible Applies],MATCH(Table1820[[#This Row],[Coverage]],CoverageTable[Coverage],0))</f>
        <v>Yes</v>
      </c>
      <c r="P538" t="str">
        <f>INDEX(CoverageTable[Coverage Limit Applies],MATCH(Table1820[[#This Row],[Coverage]],CoverageTable[Coverage],0))</f>
        <v>No</v>
      </c>
      <c r="Q538" t="s">
        <v>79</v>
      </c>
      <c r="R538" t="s">
        <v>10</v>
      </c>
      <c r="S538" t="s">
        <v>10</v>
      </c>
      <c r="T538" t="s">
        <v>10</v>
      </c>
      <c r="U538" t="s">
        <v>10</v>
      </c>
      <c r="V538" t="s">
        <v>10</v>
      </c>
      <c r="W538" t="s">
        <v>10</v>
      </c>
      <c r="X538" s="11">
        <v>636.01618390820283</v>
      </c>
      <c r="Y538">
        <f>_xlfn.XLOOKUP(Table1820[[#This Row],[Coverage]],CoverageTable[Coverage],CoverageTable[Base Rate],,0)</f>
        <v>453</v>
      </c>
      <c r="Z538">
        <f>INDEX(Table16[Ageband Factor],MATCH(Table1820[[#This Row],[Ageband]],Table16[Ageband],0))</f>
        <v>1.23</v>
      </c>
      <c r="AA538">
        <f>VLOOKUP(Table1820[[#This Row],[Years Driving]],Table1[],2)</f>
        <v>1.07</v>
      </c>
      <c r="AB538">
        <f>_xlfn.XLOOKUP(Table1820[[#This Row],[At Fault Accidents]],Table2[At Fault Accidents],Table2[At Fault Accident Factor],,0)</f>
        <v>1</v>
      </c>
      <c r="AC538">
        <f>_xlfn.XLOOKUP(Table1820[[#This Row],[Usage-Based Insurance]],Table3[Usage-Based Insurance],Table3[Usage-Based Insurance Discount],,0)</f>
        <v>0.95</v>
      </c>
      <c r="AD538">
        <f>_xlfn.XLOOKUP(Table1820[[#This Row],[Yearly Miles]],Table4[Yearly Miles],Table4[Yearly Miles Factor],,0)</f>
        <v>0.82</v>
      </c>
      <c r="AE538">
        <f>_xlfn.XLOOKUP(Table1820[[#This Row],[City/Zip Code]],Table5[City/Zip Code],Table5[City/Zip Code Factor],,0)</f>
        <v>1.18</v>
      </c>
      <c r="AF538">
        <f>_xlfn.XLOOKUP(Table1820[[#This Row],[Vehicle Price]],Table6[Vehicle Price],Table6[Vehicle Price Factor])</f>
        <v>1.57</v>
      </c>
      <c r="AG538">
        <f>_xlfn.XLOOKUP(Table1820[[#This Row],[Exotic Car]],Table7[Exotic Car],Table7[Exotic Car Factor],,0)</f>
        <v>1</v>
      </c>
      <c r="AH538">
        <f>_xlfn.XLOOKUP(Table1820[[#This Row],[Difficult Parts]],Table8[Difficult Parts],Table8[Difficult Parts Factor],,0)</f>
        <v>1</v>
      </c>
      <c r="AI538">
        <f>_xlfn.XLOOKUP(Table1820[[#This Row],[High Theft Rate]],Table9[High Theft Rate],Table9[High Theft Rate Factor],,0)</f>
        <v>1</v>
      </c>
      <c r="AJ538">
        <f>_xlfn.XLOOKUP(Table1820[[#This Row],[Advanced Safety Features]],Table10[Advanced Safety Features],Table10[Advanced Safety Features Factor],,0)</f>
        <v>0.88</v>
      </c>
      <c r="AK538">
        <f>_xlfn.XLOOKUP(Table1820[[#This Row],[Deductible]],Table12[Deductible],Table12[Deductible Factor],,0)</f>
        <v>0.84</v>
      </c>
      <c r="AL538">
        <f>_xlfn.XLOOKUP(Table1820[[#This Row],[Coverage Limit]],Table13[Coverage Limit],Table13[Coverage Limit Factor],,0)</f>
        <v>1</v>
      </c>
      <c r="AM538">
        <f>IF(Table1820[[#This Row],[Good Student Discount]]="Yes",'Rate Book'!$D$126,1)</f>
        <v>1</v>
      </c>
      <c r="AN538">
        <f>IF(Table1820[[#This Row],[Good Driver Discount]]="Yes",'Rate Book'!$D$127,1)</f>
        <v>1</v>
      </c>
      <c r="AO538">
        <f>IF(Table1820[[#This Row],[Multi Policy Discount]]="Yes",'Rate Book'!$D$128,1)</f>
        <v>1</v>
      </c>
      <c r="AP538">
        <f>IF(Table1820[[#This Row],[Loyal Customer Discount]]="Yes",'Rate Book'!$D$129,1)</f>
        <v>1</v>
      </c>
      <c r="AQ538">
        <f>IF(Table1820[[#This Row],[Organization Discount]]="Yes",'Rate Book'!$D$130,1)</f>
        <v>1</v>
      </c>
      <c r="AR538" cm="1">
        <f t="array" ref="AR538">IF(Table1820[[#This Row],[Effective Date]]&gt;=RateChangeTable[Effective Date],RateChangeTable[Rate Change Factor],1)</f>
        <v>1</v>
      </c>
      <c r="AS538" s="10">
        <f>PRODUCT(Table1820[[#This Row],[Base Rate]:[Rate Change Factor]])</f>
        <v>636.01618390820283</v>
      </c>
      <c r="AT538" s="9">
        <f>Table1820[[#This Row],[System-Generated Premium]]-Table1820[[#This Row],[Expected Premium]]</f>
        <v>0</v>
      </c>
      <c r="AU538" t="str">
        <f>IF(Table1820[[#This Row],[Difference]]=0,"PASS","FAIL")</f>
        <v>PASS</v>
      </c>
      <c r="AV538" s="9">
        <f>ABS(Table1820[[#This Row],[Difference]])</f>
        <v>0</v>
      </c>
      <c r="AW538" s="9" t="s">
        <v>1136</v>
      </c>
    </row>
    <row r="539" spans="1:49" x14ac:dyDescent="0.3">
      <c r="A539" t="s">
        <v>630</v>
      </c>
      <c r="B539" s="7">
        <v>46021</v>
      </c>
      <c r="C539" t="s">
        <v>71</v>
      </c>
      <c r="D539" t="s">
        <v>1099</v>
      </c>
      <c r="E539" s="3">
        <v>2</v>
      </c>
      <c r="F539" s="3">
        <v>4</v>
      </c>
      <c r="G539" t="s">
        <v>12</v>
      </c>
      <c r="H539" t="s">
        <v>1108</v>
      </c>
      <c r="I539" t="s">
        <v>37</v>
      </c>
      <c r="J539" t="s">
        <v>48</v>
      </c>
      <c r="K539" t="s">
        <v>10</v>
      </c>
      <c r="L539" t="s">
        <v>10</v>
      </c>
      <c r="M539" t="s">
        <v>57</v>
      </c>
      <c r="N539" t="s">
        <v>57</v>
      </c>
      <c r="O539" t="str">
        <f>INDEX(CoverageTable[Deductible Applies],MATCH(Table1820[[#This Row],[Coverage]],CoverageTable[Coverage],0))</f>
        <v>Yes</v>
      </c>
      <c r="P539" t="str">
        <f>INDEX(CoverageTable[Coverage Limit Applies],MATCH(Table1820[[#This Row],[Coverage]],CoverageTable[Coverage],0))</f>
        <v>No</v>
      </c>
      <c r="Q539" t="s">
        <v>79</v>
      </c>
      <c r="R539" t="s">
        <v>10</v>
      </c>
      <c r="S539" t="s">
        <v>10</v>
      </c>
      <c r="T539" t="s">
        <v>57</v>
      </c>
      <c r="U539" t="s">
        <v>10</v>
      </c>
      <c r="V539" t="s">
        <v>10</v>
      </c>
      <c r="W539" t="s">
        <v>10</v>
      </c>
      <c r="X539" s="11">
        <v>738.91327162998539</v>
      </c>
      <c r="Y539">
        <f>_xlfn.XLOOKUP(Table1820[[#This Row],[Coverage]],CoverageTable[Coverage],CoverageTable[Base Rate],,0)</f>
        <v>453</v>
      </c>
      <c r="Z539">
        <f>INDEX(Table16[Ageband Factor],MATCH(Table1820[[#This Row],[Ageband]],Table16[Ageband],0))</f>
        <v>1</v>
      </c>
      <c r="AA539">
        <f>VLOOKUP(Table1820[[#This Row],[Years Driving]],Table1[],2)</f>
        <v>1.41</v>
      </c>
      <c r="AB539">
        <f>_xlfn.XLOOKUP(Table1820[[#This Row],[At Fault Accidents]],Table2[At Fault Accidents],Table2[At Fault Accident Factor],,0)</f>
        <v>2.12</v>
      </c>
      <c r="AC539">
        <f>_xlfn.XLOOKUP(Table1820[[#This Row],[Usage-Based Insurance]],Table3[Usage-Based Insurance],Table3[Usage-Based Insurance Discount],,0)</f>
        <v>0.8</v>
      </c>
      <c r="AD539">
        <f>_xlfn.XLOOKUP(Table1820[[#This Row],[Yearly Miles]],Table4[Yearly Miles],Table4[Yearly Miles Factor],,0)</f>
        <v>1</v>
      </c>
      <c r="AE539">
        <f>_xlfn.XLOOKUP(Table1820[[#This Row],[City/Zip Code]],Table5[City/Zip Code],Table5[City/Zip Code Factor],,0)</f>
        <v>1.0900000000000001</v>
      </c>
      <c r="AF539">
        <f>_xlfn.XLOOKUP(Table1820[[#This Row],[Vehicle Price]],Table6[Vehicle Price],Table6[Vehicle Price Factor])</f>
        <v>0.82</v>
      </c>
      <c r="AG539">
        <f>_xlfn.XLOOKUP(Table1820[[#This Row],[Exotic Car]],Table7[Exotic Car],Table7[Exotic Car Factor],,0)</f>
        <v>1</v>
      </c>
      <c r="AH539">
        <f>_xlfn.XLOOKUP(Table1820[[#This Row],[Difficult Parts]],Table8[Difficult Parts],Table8[Difficult Parts Factor],,0)</f>
        <v>1</v>
      </c>
      <c r="AI539">
        <f>_xlfn.XLOOKUP(Table1820[[#This Row],[High Theft Rate]],Table9[High Theft Rate],Table9[High Theft Rate Factor],,0)</f>
        <v>1.1599999999999999</v>
      </c>
      <c r="AJ539">
        <f>_xlfn.XLOOKUP(Table1820[[#This Row],[Advanced Safety Features]],Table10[Advanced Safety Features],Table10[Advanced Safety Features Factor],,0)</f>
        <v>0.88</v>
      </c>
      <c r="AK539">
        <f>_xlfn.XLOOKUP(Table1820[[#This Row],[Deductible]],Table12[Deductible],Table12[Deductible Factor],,0)</f>
        <v>0.84</v>
      </c>
      <c r="AL539">
        <f>_xlfn.XLOOKUP(Table1820[[#This Row],[Coverage Limit]],Table13[Coverage Limit],Table13[Coverage Limit Factor],,0)</f>
        <v>1</v>
      </c>
      <c r="AM539">
        <f>IF(Table1820[[#This Row],[Good Student Discount]]="Yes",'Rate Book'!$D$126,1)</f>
        <v>1</v>
      </c>
      <c r="AN539">
        <f>IF(Table1820[[#This Row],[Good Driver Discount]]="Yes",'Rate Book'!$D$127,1)</f>
        <v>0.89</v>
      </c>
      <c r="AO539">
        <f>IF(Table1820[[#This Row],[Multi Policy Discount]]="Yes",'Rate Book'!$D$128,1)</f>
        <v>1</v>
      </c>
      <c r="AP539">
        <f>IF(Table1820[[#This Row],[Loyal Customer Discount]]="Yes",'Rate Book'!$D$129,1)</f>
        <v>1</v>
      </c>
      <c r="AQ539">
        <f>IF(Table1820[[#This Row],[Organization Discount]]="Yes",'Rate Book'!$D$130,1)</f>
        <v>1</v>
      </c>
      <c r="AR539" cm="1">
        <f t="array" ref="AR539">IF(Table1820[[#This Row],[Effective Date]]&gt;=RateChangeTable[Effective Date],RateChangeTable[Rate Change Factor],1)</f>
        <v>1</v>
      </c>
      <c r="AS539" s="10">
        <f>PRODUCT(Table1820[[#This Row],[Base Rate]:[Rate Change Factor]])</f>
        <v>738.91327162998539</v>
      </c>
      <c r="AT539" s="9">
        <f>Table1820[[#This Row],[System-Generated Premium]]-Table1820[[#This Row],[Expected Premium]]</f>
        <v>0</v>
      </c>
      <c r="AU539" t="str">
        <f>IF(Table1820[[#This Row],[Difference]]=0,"PASS","FAIL")</f>
        <v>PASS</v>
      </c>
      <c r="AV539" s="9">
        <f>ABS(Table1820[[#This Row],[Difference]])</f>
        <v>0</v>
      </c>
      <c r="AW539" s="9" t="s">
        <v>1136</v>
      </c>
    </row>
    <row r="540" spans="1:49" x14ac:dyDescent="0.3">
      <c r="A540" t="s">
        <v>631</v>
      </c>
      <c r="B540" s="7">
        <v>45842</v>
      </c>
      <c r="C540" t="s">
        <v>70</v>
      </c>
      <c r="D540" t="s">
        <v>1097</v>
      </c>
      <c r="E540" s="3">
        <v>7</v>
      </c>
      <c r="F540" s="3">
        <v>4</v>
      </c>
      <c r="G540" t="s">
        <v>10</v>
      </c>
      <c r="H540" t="s">
        <v>1108</v>
      </c>
      <c r="I540" t="s">
        <v>23</v>
      </c>
      <c r="J540" t="s">
        <v>51</v>
      </c>
      <c r="K540" t="s">
        <v>10</v>
      </c>
      <c r="L540" t="s">
        <v>10</v>
      </c>
      <c r="M540" t="s">
        <v>57</v>
      </c>
      <c r="N540" t="s">
        <v>10</v>
      </c>
      <c r="O540" t="str">
        <f>INDEX(CoverageTable[Deductible Applies],MATCH(Table1820[[#This Row],[Coverage]],CoverageTable[Coverage],0))</f>
        <v>No</v>
      </c>
      <c r="P540" t="str">
        <f>INDEX(CoverageTable[Coverage Limit Applies],MATCH(Table1820[[#This Row],[Coverage]],CoverageTable[Coverage],0))</f>
        <v>Yes</v>
      </c>
      <c r="Q540" t="s">
        <v>10</v>
      </c>
      <c r="R540" t="s">
        <v>79</v>
      </c>
      <c r="S540" t="s">
        <v>10</v>
      </c>
      <c r="T540" t="s">
        <v>57</v>
      </c>
      <c r="U540" t="s">
        <v>10</v>
      </c>
      <c r="V540" t="s">
        <v>10</v>
      </c>
      <c r="W540" t="s">
        <v>10</v>
      </c>
      <c r="X540" s="11">
        <v>1447.4450033828168</v>
      </c>
      <c r="Y540">
        <f>_xlfn.XLOOKUP(Table1820[[#This Row],[Coverage]],CoverageTable[Coverage],CoverageTable[Base Rate],,0)</f>
        <v>622</v>
      </c>
      <c r="Z540">
        <f>INDEX(Table16[Ageband Factor],MATCH(Table1820[[#This Row],[Ageband]],Table16[Ageband],0))</f>
        <v>1.32</v>
      </c>
      <c r="AA540">
        <f>VLOOKUP(Table1820[[#This Row],[Years Driving]],Table1[],2)</f>
        <v>0.95</v>
      </c>
      <c r="AB540">
        <f>_xlfn.XLOOKUP(Table1820[[#This Row],[At Fault Accidents]],Table2[At Fault Accidents],Table2[At Fault Accident Factor],,0)</f>
        <v>2.12</v>
      </c>
      <c r="AC540">
        <f>_xlfn.XLOOKUP(Table1820[[#This Row],[Usage-Based Insurance]],Table3[Usage-Based Insurance],Table3[Usage-Based Insurance Discount],,0)</f>
        <v>1</v>
      </c>
      <c r="AD540">
        <f>_xlfn.XLOOKUP(Table1820[[#This Row],[Yearly Miles]],Table4[Yearly Miles],Table4[Yearly Miles Factor],,0)</f>
        <v>1</v>
      </c>
      <c r="AE540">
        <f>_xlfn.XLOOKUP(Table1820[[#This Row],[City/Zip Code]],Table5[City/Zip Code],Table5[City/Zip Code Factor],,0)</f>
        <v>0.92</v>
      </c>
      <c r="AF540">
        <f>_xlfn.XLOOKUP(Table1820[[#This Row],[Vehicle Price]],Table6[Vehicle Price],Table6[Vehicle Price Factor])</f>
        <v>1.28</v>
      </c>
      <c r="AG540">
        <f>_xlfn.XLOOKUP(Table1820[[#This Row],[Exotic Car]],Table7[Exotic Car],Table7[Exotic Car Factor],,0)</f>
        <v>1</v>
      </c>
      <c r="AH540">
        <f>_xlfn.XLOOKUP(Table1820[[#This Row],[Difficult Parts]],Table8[Difficult Parts],Table8[Difficult Parts Factor],,0)</f>
        <v>1</v>
      </c>
      <c r="AI540">
        <f>_xlfn.XLOOKUP(Table1820[[#This Row],[High Theft Rate]],Table9[High Theft Rate],Table9[High Theft Rate Factor],,0)</f>
        <v>1.1599999999999999</v>
      </c>
      <c r="AJ540">
        <f>_xlfn.XLOOKUP(Table1820[[#This Row],[Advanced Safety Features]],Table10[Advanced Safety Features],Table10[Advanced Safety Features Factor],,0)</f>
        <v>1</v>
      </c>
      <c r="AK540">
        <f>_xlfn.XLOOKUP(Table1820[[#This Row],[Deductible]],Table12[Deductible],Table12[Deductible Factor],,0)</f>
        <v>1</v>
      </c>
      <c r="AL540">
        <f>_xlfn.XLOOKUP(Table1820[[#This Row],[Coverage Limit]],Table13[Coverage Limit],Table13[Coverage Limit Factor],,0)</f>
        <v>0.72</v>
      </c>
      <c r="AM540">
        <f>IF(Table1820[[#This Row],[Good Student Discount]]="Yes",'Rate Book'!$D$126,1)</f>
        <v>1</v>
      </c>
      <c r="AN540">
        <f>IF(Table1820[[#This Row],[Good Driver Discount]]="Yes",'Rate Book'!$D$127,1)</f>
        <v>0.89</v>
      </c>
      <c r="AO540">
        <f>IF(Table1820[[#This Row],[Multi Policy Discount]]="Yes",'Rate Book'!$D$128,1)</f>
        <v>1</v>
      </c>
      <c r="AP540">
        <f>IF(Table1820[[#This Row],[Loyal Customer Discount]]="Yes",'Rate Book'!$D$129,1)</f>
        <v>1</v>
      </c>
      <c r="AQ540">
        <f>IF(Table1820[[#This Row],[Organization Discount]]="Yes",'Rate Book'!$D$130,1)</f>
        <v>1</v>
      </c>
      <c r="AR540" cm="1">
        <f t="array" ref="AR540">IF(Table1820[[#This Row],[Effective Date]]&gt;=RateChangeTable[Effective Date],RateChangeTable[Rate Change Factor],1)</f>
        <v>1</v>
      </c>
      <c r="AS540" s="10">
        <f>PRODUCT(Table1820[[#This Row],[Base Rate]:[Rate Change Factor]])</f>
        <v>1447.4450033828168</v>
      </c>
      <c r="AT540" s="9">
        <f>Table1820[[#This Row],[System-Generated Premium]]-Table1820[[#This Row],[Expected Premium]]</f>
        <v>0</v>
      </c>
      <c r="AU540" t="str">
        <f>IF(Table1820[[#This Row],[Difference]]=0,"PASS","FAIL")</f>
        <v>PASS</v>
      </c>
      <c r="AV540" s="9">
        <f>ABS(Table1820[[#This Row],[Difference]])</f>
        <v>0</v>
      </c>
      <c r="AW540" s="9" t="s">
        <v>1136</v>
      </c>
    </row>
    <row r="541" spans="1:49" x14ac:dyDescent="0.3">
      <c r="A541" t="s">
        <v>632</v>
      </c>
      <c r="B541" s="7">
        <v>46054</v>
      </c>
      <c r="C541" t="s">
        <v>74</v>
      </c>
      <c r="D541" t="s">
        <v>1101</v>
      </c>
      <c r="E541" s="3">
        <v>1</v>
      </c>
      <c r="F541" s="3">
        <v>1</v>
      </c>
      <c r="G541" t="s">
        <v>10</v>
      </c>
      <c r="H541" t="s">
        <v>1109</v>
      </c>
      <c r="I541" t="s">
        <v>28</v>
      </c>
      <c r="J541" t="s">
        <v>53</v>
      </c>
      <c r="K541" t="s">
        <v>10</v>
      </c>
      <c r="L541" t="s">
        <v>10</v>
      </c>
      <c r="M541" t="s">
        <v>10</v>
      </c>
      <c r="N541" t="s">
        <v>57</v>
      </c>
      <c r="O541" t="str">
        <f>INDEX(CoverageTable[Deductible Applies],MATCH(Table1820[[#This Row],[Coverage]],CoverageTable[Coverage],0))</f>
        <v>No</v>
      </c>
      <c r="P541" t="str">
        <f>INDEX(CoverageTable[Coverage Limit Applies],MATCH(Table1820[[#This Row],[Coverage]],CoverageTable[Coverage],0))</f>
        <v>Yes</v>
      </c>
      <c r="Q541" t="s">
        <v>10</v>
      </c>
      <c r="R541" t="s">
        <v>78</v>
      </c>
      <c r="S541" t="s">
        <v>10</v>
      </c>
      <c r="T541" t="s">
        <v>10</v>
      </c>
      <c r="U541" t="s">
        <v>57</v>
      </c>
      <c r="V541" t="s">
        <v>10</v>
      </c>
      <c r="W541" t="s">
        <v>10</v>
      </c>
      <c r="X541" s="11">
        <v>120.92297652676235</v>
      </c>
      <c r="Y541">
        <f>_xlfn.XLOOKUP(Table1820[[#This Row],[Coverage]],CoverageTable[Coverage],CoverageTable[Base Rate],,0)</f>
        <v>41</v>
      </c>
      <c r="Z541">
        <f>INDEX(Table16[Ageband Factor],MATCH(Table1820[[#This Row],[Ageband]],Table16[Ageband],0))</f>
        <v>1.1200000000000001</v>
      </c>
      <c r="AA541">
        <f>VLOOKUP(Table1820[[#This Row],[Years Driving]],Table1[],2)</f>
        <v>1.64</v>
      </c>
      <c r="AB541">
        <f>_xlfn.XLOOKUP(Table1820[[#This Row],[At Fault Accidents]],Table2[At Fault Accidents],Table2[At Fault Accident Factor],,0)</f>
        <v>1.34</v>
      </c>
      <c r="AC541">
        <f>_xlfn.XLOOKUP(Table1820[[#This Row],[Usage-Based Insurance]],Table3[Usage-Based Insurance],Table3[Usage-Based Insurance Discount],,0)</f>
        <v>1</v>
      </c>
      <c r="AD541">
        <f>_xlfn.XLOOKUP(Table1820[[#This Row],[Yearly Miles]],Table4[Yearly Miles],Table4[Yearly Miles Factor],,0)</f>
        <v>1.18</v>
      </c>
      <c r="AE541">
        <f>_xlfn.XLOOKUP(Table1820[[#This Row],[City/Zip Code]],Table5[City/Zip Code],Table5[City/Zip Code Factor],,0)</f>
        <v>0.95</v>
      </c>
      <c r="AF541">
        <f>_xlfn.XLOOKUP(Table1820[[#This Row],[Vehicle Price]],Table6[Vehicle Price],Table6[Vehicle Price Factor])</f>
        <v>2.02</v>
      </c>
      <c r="AG541">
        <f>_xlfn.XLOOKUP(Table1820[[#This Row],[Exotic Car]],Table7[Exotic Car],Table7[Exotic Car Factor],,0)</f>
        <v>1</v>
      </c>
      <c r="AH541">
        <f>_xlfn.XLOOKUP(Table1820[[#This Row],[Difficult Parts]],Table8[Difficult Parts],Table8[Difficult Parts Factor],,0)</f>
        <v>1</v>
      </c>
      <c r="AI541">
        <f>_xlfn.XLOOKUP(Table1820[[#This Row],[High Theft Rate]],Table9[High Theft Rate],Table9[High Theft Rate Factor],,0)</f>
        <v>1</v>
      </c>
      <c r="AJ541">
        <f>_xlfn.XLOOKUP(Table1820[[#This Row],[Advanced Safety Features]],Table10[Advanced Safety Features],Table10[Advanced Safety Features Factor],,0)</f>
        <v>0.88</v>
      </c>
      <c r="AK541">
        <f>_xlfn.XLOOKUP(Table1820[[#This Row],[Deductible]],Table12[Deductible],Table12[Deductible Factor],,0)</f>
        <v>1</v>
      </c>
      <c r="AL541">
        <f>_xlfn.XLOOKUP(Table1820[[#This Row],[Coverage Limit]],Table13[Coverage Limit],Table13[Coverage Limit Factor],,0)</f>
        <v>0.61</v>
      </c>
      <c r="AM541">
        <f>IF(Table1820[[#This Row],[Good Student Discount]]="Yes",'Rate Book'!$D$126,1)</f>
        <v>1</v>
      </c>
      <c r="AN541">
        <f>IF(Table1820[[#This Row],[Good Driver Discount]]="Yes",'Rate Book'!$D$127,1)</f>
        <v>1</v>
      </c>
      <c r="AO541">
        <f>IF(Table1820[[#This Row],[Multi Policy Discount]]="Yes",'Rate Book'!$D$128,1)</f>
        <v>0.93</v>
      </c>
      <c r="AP541">
        <f>IF(Table1820[[#This Row],[Loyal Customer Discount]]="Yes",'Rate Book'!$D$129,1)</f>
        <v>1</v>
      </c>
      <c r="AQ541">
        <f>IF(Table1820[[#This Row],[Organization Discount]]="Yes",'Rate Book'!$D$130,1)</f>
        <v>1</v>
      </c>
      <c r="AR541" cm="1">
        <f t="array" ref="AR541">IF(Table1820[[#This Row],[Effective Date]]&gt;=RateChangeTable[Effective Date],RateChangeTable[Rate Change Factor],1)</f>
        <v>1.06</v>
      </c>
      <c r="AS541" s="10">
        <f>PRODUCT(Table1820[[#This Row],[Base Rate]:[Rate Change Factor]])</f>
        <v>120.92297652676235</v>
      </c>
      <c r="AT541" s="9">
        <f>Table1820[[#This Row],[System-Generated Premium]]-Table1820[[#This Row],[Expected Premium]]</f>
        <v>0</v>
      </c>
      <c r="AU541" t="str">
        <f>IF(Table1820[[#This Row],[Difference]]=0,"PASS","FAIL")</f>
        <v>PASS</v>
      </c>
      <c r="AV541" s="9">
        <f>ABS(Table1820[[#This Row],[Difference]])</f>
        <v>0</v>
      </c>
      <c r="AW541" s="9" t="s">
        <v>1136</v>
      </c>
    </row>
    <row r="542" spans="1:49" x14ac:dyDescent="0.3">
      <c r="A542" t="s">
        <v>633</v>
      </c>
      <c r="B542" s="7">
        <v>46000</v>
      </c>
      <c r="C542" t="s">
        <v>70</v>
      </c>
      <c r="D542" t="s">
        <v>1102</v>
      </c>
      <c r="E542" s="3">
        <v>2</v>
      </c>
      <c r="F542" s="3">
        <v>2</v>
      </c>
      <c r="G542" t="s">
        <v>10</v>
      </c>
      <c r="H542" t="s">
        <v>1109</v>
      </c>
      <c r="I542" t="s">
        <v>34</v>
      </c>
      <c r="J542" t="s">
        <v>48</v>
      </c>
      <c r="K542" t="s">
        <v>10</v>
      </c>
      <c r="L542" t="s">
        <v>10</v>
      </c>
      <c r="M542" t="s">
        <v>57</v>
      </c>
      <c r="N542" t="s">
        <v>10</v>
      </c>
      <c r="O542" t="str">
        <f>INDEX(CoverageTable[Deductible Applies],MATCH(Table1820[[#This Row],[Coverage]],CoverageTable[Coverage],0))</f>
        <v>No</v>
      </c>
      <c r="P542" t="str">
        <f>INDEX(CoverageTable[Coverage Limit Applies],MATCH(Table1820[[#This Row],[Coverage]],CoverageTable[Coverage],0))</f>
        <v>Yes</v>
      </c>
      <c r="Q542" t="s">
        <v>10</v>
      </c>
      <c r="R542" t="s">
        <v>79</v>
      </c>
      <c r="S542" t="s">
        <v>10</v>
      </c>
      <c r="T542" t="s">
        <v>10</v>
      </c>
      <c r="U542" t="s">
        <v>10</v>
      </c>
      <c r="V542" t="s">
        <v>10</v>
      </c>
      <c r="W542" t="s">
        <v>57</v>
      </c>
      <c r="X542" s="11">
        <v>2111.1913335808586</v>
      </c>
      <c r="Y542">
        <f>_xlfn.XLOOKUP(Table1820[[#This Row],[Coverage]],CoverageTable[Coverage],CoverageTable[Base Rate],,0)</f>
        <v>622</v>
      </c>
      <c r="Z542">
        <f>INDEX(Table16[Ageband Factor],MATCH(Table1820[[#This Row],[Ageband]],Table16[Ageband],0))</f>
        <v>1.27</v>
      </c>
      <c r="AA542">
        <f>VLOOKUP(Table1820[[#This Row],[Years Driving]],Table1[],2)</f>
        <v>1.41</v>
      </c>
      <c r="AB542">
        <f>_xlfn.XLOOKUP(Table1820[[#This Row],[At Fault Accidents]],Table2[At Fault Accidents],Table2[At Fault Accident Factor],,0)</f>
        <v>1.55</v>
      </c>
      <c r="AC542">
        <f>_xlfn.XLOOKUP(Table1820[[#This Row],[Usage-Based Insurance]],Table3[Usage-Based Insurance],Table3[Usage-Based Insurance Discount],,0)</f>
        <v>1</v>
      </c>
      <c r="AD542">
        <f>_xlfn.XLOOKUP(Table1820[[#This Row],[Yearly Miles]],Table4[Yearly Miles],Table4[Yearly Miles Factor],,0)</f>
        <v>1.18</v>
      </c>
      <c r="AE542">
        <f>_xlfn.XLOOKUP(Table1820[[#This Row],[City/Zip Code]],Table5[City/Zip Code],Table5[City/Zip Code Factor],,0)</f>
        <v>1.56</v>
      </c>
      <c r="AF542">
        <f>_xlfn.XLOOKUP(Table1820[[#This Row],[Vehicle Price]],Table6[Vehicle Price],Table6[Vehicle Price Factor])</f>
        <v>0.82</v>
      </c>
      <c r="AG542">
        <f>_xlfn.XLOOKUP(Table1820[[#This Row],[Exotic Car]],Table7[Exotic Car],Table7[Exotic Car Factor],,0)</f>
        <v>1</v>
      </c>
      <c r="AH542">
        <f>_xlfn.XLOOKUP(Table1820[[#This Row],[Difficult Parts]],Table8[Difficult Parts],Table8[Difficult Parts Factor],,0)</f>
        <v>1</v>
      </c>
      <c r="AI542">
        <f>_xlfn.XLOOKUP(Table1820[[#This Row],[High Theft Rate]],Table9[High Theft Rate],Table9[High Theft Rate Factor],,0)</f>
        <v>1.1599999999999999</v>
      </c>
      <c r="AJ542">
        <f>_xlfn.XLOOKUP(Table1820[[#This Row],[Advanced Safety Features]],Table10[Advanced Safety Features],Table10[Advanced Safety Features Factor],,0)</f>
        <v>1</v>
      </c>
      <c r="AK542">
        <f>_xlfn.XLOOKUP(Table1820[[#This Row],[Deductible]],Table12[Deductible],Table12[Deductible Factor],,0)</f>
        <v>1</v>
      </c>
      <c r="AL542">
        <f>_xlfn.XLOOKUP(Table1820[[#This Row],[Coverage Limit]],Table13[Coverage Limit],Table13[Coverage Limit Factor],,0)</f>
        <v>0.72</v>
      </c>
      <c r="AM542">
        <f>IF(Table1820[[#This Row],[Good Student Discount]]="Yes",'Rate Book'!$D$126,1)</f>
        <v>1</v>
      </c>
      <c r="AN542">
        <f>IF(Table1820[[#This Row],[Good Driver Discount]]="Yes",'Rate Book'!$D$127,1)</f>
        <v>1</v>
      </c>
      <c r="AO542">
        <f>IF(Table1820[[#This Row],[Multi Policy Discount]]="Yes",'Rate Book'!$D$128,1)</f>
        <v>1</v>
      </c>
      <c r="AP542">
        <f>IF(Table1820[[#This Row],[Loyal Customer Discount]]="Yes",'Rate Book'!$D$129,1)</f>
        <v>1</v>
      </c>
      <c r="AQ542">
        <f>IF(Table1820[[#This Row],[Organization Discount]]="Yes",'Rate Book'!$D$130,1)</f>
        <v>0.97</v>
      </c>
      <c r="AR542" cm="1">
        <f t="array" ref="AR542">IF(Table1820[[#This Row],[Effective Date]]&gt;=RateChangeTable[Effective Date],RateChangeTable[Rate Change Factor],1)</f>
        <v>1</v>
      </c>
      <c r="AS542" s="10">
        <f>PRODUCT(Table1820[[#This Row],[Base Rate]:[Rate Change Factor]])</f>
        <v>2111.1913335808586</v>
      </c>
      <c r="AT542" s="9">
        <f>Table1820[[#This Row],[System-Generated Premium]]-Table1820[[#This Row],[Expected Premium]]</f>
        <v>0</v>
      </c>
      <c r="AU542" t="str">
        <f>IF(Table1820[[#This Row],[Difference]]=0,"PASS","FAIL")</f>
        <v>PASS</v>
      </c>
      <c r="AV542" s="9">
        <f>ABS(Table1820[[#This Row],[Difference]])</f>
        <v>0</v>
      </c>
      <c r="AW542" s="9" t="s">
        <v>1136</v>
      </c>
    </row>
    <row r="543" spans="1:49" x14ac:dyDescent="0.3">
      <c r="A543" t="s">
        <v>634</v>
      </c>
      <c r="B543" s="7">
        <v>46051</v>
      </c>
      <c r="C543" t="s">
        <v>74</v>
      </c>
      <c r="D543" t="s">
        <v>1100</v>
      </c>
      <c r="E543" s="3">
        <v>7</v>
      </c>
      <c r="F543" s="3">
        <v>2</v>
      </c>
      <c r="G543" t="s">
        <v>10</v>
      </c>
      <c r="H543" t="s">
        <v>1108</v>
      </c>
      <c r="I543" t="s">
        <v>44</v>
      </c>
      <c r="J543" t="s">
        <v>48</v>
      </c>
      <c r="K543" t="s">
        <v>10</v>
      </c>
      <c r="L543" t="s">
        <v>10</v>
      </c>
      <c r="M543" t="s">
        <v>57</v>
      </c>
      <c r="N543" t="s">
        <v>10</v>
      </c>
      <c r="O543" t="str">
        <f>INDEX(CoverageTable[Deductible Applies],MATCH(Table1820[[#This Row],[Coverage]],CoverageTable[Coverage],0))</f>
        <v>No</v>
      </c>
      <c r="P543" t="str">
        <f>INDEX(CoverageTable[Coverage Limit Applies],MATCH(Table1820[[#This Row],[Coverage]],CoverageTable[Coverage],0))</f>
        <v>Yes</v>
      </c>
      <c r="Q543" t="s">
        <v>10</v>
      </c>
      <c r="R543" t="s">
        <v>80</v>
      </c>
      <c r="S543" t="s">
        <v>57</v>
      </c>
      <c r="T543" t="s">
        <v>10</v>
      </c>
      <c r="U543" t="s">
        <v>10</v>
      </c>
      <c r="V543" t="s">
        <v>10</v>
      </c>
      <c r="W543" t="s">
        <v>10</v>
      </c>
      <c r="X543" s="11">
        <v>58.388288788127149</v>
      </c>
      <c r="Y543">
        <f>_xlfn.XLOOKUP(Table1820[[#This Row],[Coverage]],CoverageTable[Coverage],CoverageTable[Base Rate],,0)</f>
        <v>41</v>
      </c>
      <c r="Z543">
        <f>INDEX(Table16[Ageband Factor],MATCH(Table1820[[#This Row],[Ageband]],Table16[Ageband],0))</f>
        <v>1.07</v>
      </c>
      <c r="AA543">
        <f>VLOOKUP(Table1820[[#This Row],[Years Driving]],Table1[],2)</f>
        <v>0.95</v>
      </c>
      <c r="AB543">
        <f>_xlfn.XLOOKUP(Table1820[[#This Row],[At Fault Accidents]],Table2[At Fault Accidents],Table2[At Fault Accident Factor],,0)</f>
        <v>1.55</v>
      </c>
      <c r="AC543">
        <f>_xlfn.XLOOKUP(Table1820[[#This Row],[Usage-Based Insurance]],Table3[Usage-Based Insurance],Table3[Usage-Based Insurance Discount],,0)</f>
        <v>1</v>
      </c>
      <c r="AD543">
        <f>_xlfn.XLOOKUP(Table1820[[#This Row],[Yearly Miles]],Table4[Yearly Miles],Table4[Yearly Miles Factor],,0)</f>
        <v>1</v>
      </c>
      <c r="AE543">
        <f>_xlfn.XLOOKUP(Table1820[[#This Row],[City/Zip Code]],Table5[City/Zip Code],Table5[City/Zip Code Factor],,0)</f>
        <v>1.1599999999999999</v>
      </c>
      <c r="AF543">
        <f>_xlfn.XLOOKUP(Table1820[[#This Row],[Vehicle Price]],Table6[Vehicle Price],Table6[Vehicle Price Factor])</f>
        <v>0.82</v>
      </c>
      <c r="AG543">
        <f>_xlfn.XLOOKUP(Table1820[[#This Row],[Exotic Car]],Table7[Exotic Car],Table7[Exotic Car Factor],,0)</f>
        <v>1</v>
      </c>
      <c r="AH543">
        <f>_xlfn.XLOOKUP(Table1820[[#This Row],[Difficult Parts]],Table8[Difficult Parts],Table8[Difficult Parts Factor],,0)</f>
        <v>1</v>
      </c>
      <c r="AI543">
        <f>_xlfn.XLOOKUP(Table1820[[#This Row],[High Theft Rate]],Table9[High Theft Rate],Table9[High Theft Rate Factor],,0)</f>
        <v>1.1599999999999999</v>
      </c>
      <c r="AJ543">
        <f>_xlfn.XLOOKUP(Table1820[[#This Row],[Advanced Safety Features]],Table10[Advanced Safety Features],Table10[Advanced Safety Features Factor],,0)</f>
        <v>1</v>
      </c>
      <c r="AK543">
        <f>_xlfn.XLOOKUP(Table1820[[#This Row],[Deductible]],Table12[Deductible],Table12[Deductible Factor],,0)</f>
        <v>1</v>
      </c>
      <c r="AL543">
        <f>_xlfn.XLOOKUP(Table1820[[#This Row],[Coverage Limit]],Table13[Coverage Limit],Table13[Coverage Limit Factor],,0)</f>
        <v>0.84</v>
      </c>
      <c r="AM543">
        <f>IF(Table1820[[#This Row],[Good Student Discount]]="Yes",'Rate Book'!$D$126,1)</f>
        <v>0.92</v>
      </c>
      <c r="AN543">
        <f>IF(Table1820[[#This Row],[Good Driver Discount]]="Yes",'Rate Book'!$D$127,1)</f>
        <v>1</v>
      </c>
      <c r="AO543">
        <f>IF(Table1820[[#This Row],[Multi Policy Discount]]="Yes",'Rate Book'!$D$128,1)</f>
        <v>1</v>
      </c>
      <c r="AP543">
        <f>IF(Table1820[[#This Row],[Loyal Customer Discount]]="Yes",'Rate Book'!$D$129,1)</f>
        <v>1</v>
      </c>
      <c r="AQ543">
        <f>IF(Table1820[[#This Row],[Organization Discount]]="Yes",'Rate Book'!$D$130,1)</f>
        <v>1</v>
      </c>
      <c r="AR543" cm="1">
        <f t="array" ref="AR543">IF(Table1820[[#This Row],[Effective Date]]&gt;=RateChangeTable[Effective Date],RateChangeTable[Rate Change Factor],1)</f>
        <v>1.06</v>
      </c>
      <c r="AS543" s="10">
        <f>PRODUCT(Table1820[[#This Row],[Base Rate]:[Rate Change Factor]])</f>
        <v>58.388288788127149</v>
      </c>
      <c r="AT543" s="9">
        <f>Table1820[[#This Row],[System-Generated Premium]]-Table1820[[#This Row],[Expected Premium]]</f>
        <v>0</v>
      </c>
      <c r="AU543" t="str">
        <f>IF(Table1820[[#This Row],[Difference]]=0,"PASS","FAIL")</f>
        <v>PASS</v>
      </c>
      <c r="AV543" s="9">
        <f>ABS(Table1820[[#This Row],[Difference]])</f>
        <v>0</v>
      </c>
      <c r="AW543" s="9" t="s">
        <v>1136</v>
      </c>
    </row>
    <row r="544" spans="1:49" x14ac:dyDescent="0.3">
      <c r="A544" t="s">
        <v>635</v>
      </c>
      <c r="B544" s="7">
        <v>46095</v>
      </c>
      <c r="C544" t="s">
        <v>71</v>
      </c>
      <c r="D544" t="s">
        <v>1098</v>
      </c>
      <c r="E544" s="3">
        <v>2</v>
      </c>
      <c r="F544" s="3">
        <v>2</v>
      </c>
      <c r="G544" t="s">
        <v>11</v>
      </c>
      <c r="H544" t="s">
        <v>1107</v>
      </c>
      <c r="I544" t="s">
        <v>21</v>
      </c>
      <c r="J544" t="s">
        <v>49</v>
      </c>
      <c r="K544" t="s">
        <v>10</v>
      </c>
      <c r="L544" t="s">
        <v>10</v>
      </c>
      <c r="M544" t="s">
        <v>57</v>
      </c>
      <c r="N544" t="s">
        <v>10</v>
      </c>
      <c r="O544" t="str">
        <f>INDEX(CoverageTable[Deductible Applies],MATCH(Table1820[[#This Row],[Coverage]],CoverageTable[Coverage],0))</f>
        <v>Yes</v>
      </c>
      <c r="P544" t="str">
        <f>INDEX(CoverageTable[Coverage Limit Applies],MATCH(Table1820[[#This Row],[Coverage]],CoverageTable[Coverage],0))</f>
        <v>No</v>
      </c>
      <c r="Q544" t="s">
        <v>78</v>
      </c>
      <c r="R544" t="s">
        <v>10</v>
      </c>
      <c r="S544" t="s">
        <v>10</v>
      </c>
      <c r="T544" t="s">
        <v>10</v>
      </c>
      <c r="U544" t="s">
        <v>10</v>
      </c>
      <c r="V544" t="s">
        <v>10</v>
      </c>
      <c r="W544" t="s">
        <v>57</v>
      </c>
      <c r="X544" s="11">
        <v>1489.9172609216187</v>
      </c>
      <c r="Y544">
        <f>_xlfn.XLOOKUP(Table1820[[#This Row],[Coverage]],CoverageTable[Coverage],CoverageTable[Base Rate],,0)</f>
        <v>453</v>
      </c>
      <c r="Z544">
        <f>INDEX(Table16[Ageband Factor],MATCH(Table1820[[#This Row],[Ageband]],Table16[Ageband],0))</f>
        <v>1.23</v>
      </c>
      <c r="AA544">
        <f>VLOOKUP(Table1820[[#This Row],[Years Driving]],Table1[],2)</f>
        <v>1.41</v>
      </c>
      <c r="AB544">
        <f>_xlfn.XLOOKUP(Table1820[[#This Row],[At Fault Accidents]],Table2[At Fault Accidents],Table2[At Fault Accident Factor],,0)</f>
        <v>1.55</v>
      </c>
      <c r="AC544">
        <f>_xlfn.XLOOKUP(Table1820[[#This Row],[Usage-Based Insurance]],Table3[Usage-Based Insurance],Table3[Usage-Based Insurance Discount],,0)</f>
        <v>0.95</v>
      </c>
      <c r="AD544">
        <f>_xlfn.XLOOKUP(Table1820[[#This Row],[Yearly Miles]],Table4[Yearly Miles],Table4[Yearly Miles Factor],,0)</f>
        <v>0.93</v>
      </c>
      <c r="AE544">
        <f>_xlfn.XLOOKUP(Table1820[[#This Row],[City/Zip Code]],Table5[City/Zip Code],Table5[City/Zip Code Factor],,0)</f>
        <v>1.26</v>
      </c>
      <c r="AF544">
        <f>_xlfn.XLOOKUP(Table1820[[#This Row],[Vehicle Price]],Table6[Vehicle Price],Table6[Vehicle Price Factor])</f>
        <v>0.97</v>
      </c>
      <c r="AG544">
        <f>_xlfn.XLOOKUP(Table1820[[#This Row],[Exotic Car]],Table7[Exotic Car],Table7[Exotic Car Factor],,0)</f>
        <v>1</v>
      </c>
      <c r="AH544">
        <f>_xlfn.XLOOKUP(Table1820[[#This Row],[Difficult Parts]],Table8[Difficult Parts],Table8[Difficult Parts Factor],,0)</f>
        <v>1</v>
      </c>
      <c r="AI544">
        <f>_xlfn.XLOOKUP(Table1820[[#This Row],[High Theft Rate]],Table9[High Theft Rate],Table9[High Theft Rate Factor],,0)</f>
        <v>1.1599999999999999</v>
      </c>
      <c r="AJ544">
        <f>_xlfn.XLOOKUP(Table1820[[#This Row],[Advanced Safety Features]],Table10[Advanced Safety Features],Table10[Advanced Safety Features Factor],,0)</f>
        <v>1</v>
      </c>
      <c r="AK544">
        <f>_xlfn.XLOOKUP(Table1820[[#This Row],[Deductible]],Table12[Deductible],Table12[Deductible Factor],,0)</f>
        <v>0.95</v>
      </c>
      <c r="AL544">
        <f>_xlfn.XLOOKUP(Table1820[[#This Row],[Coverage Limit]],Table13[Coverage Limit],Table13[Coverage Limit Factor],,0)</f>
        <v>1</v>
      </c>
      <c r="AM544">
        <f>IF(Table1820[[#This Row],[Good Student Discount]]="Yes",'Rate Book'!$D$126,1)</f>
        <v>1</v>
      </c>
      <c r="AN544">
        <f>IF(Table1820[[#This Row],[Good Driver Discount]]="Yes",'Rate Book'!$D$127,1)</f>
        <v>1</v>
      </c>
      <c r="AO544">
        <f>IF(Table1820[[#This Row],[Multi Policy Discount]]="Yes",'Rate Book'!$D$128,1)</f>
        <v>1</v>
      </c>
      <c r="AP544">
        <f>IF(Table1820[[#This Row],[Loyal Customer Discount]]="Yes",'Rate Book'!$D$129,1)</f>
        <v>1</v>
      </c>
      <c r="AQ544">
        <f>IF(Table1820[[#This Row],[Organization Discount]]="Yes",'Rate Book'!$D$130,1)</f>
        <v>0.97</v>
      </c>
      <c r="AR544" cm="1">
        <f t="array" ref="AR544">IF(Table1820[[#This Row],[Effective Date]]&gt;=RateChangeTable[Effective Date],RateChangeTable[Rate Change Factor],1)</f>
        <v>1.06</v>
      </c>
      <c r="AS544" s="10">
        <f>PRODUCT(Table1820[[#This Row],[Base Rate]:[Rate Change Factor]])</f>
        <v>1489.9172609216187</v>
      </c>
      <c r="AT544" s="9">
        <f>Table1820[[#This Row],[System-Generated Premium]]-Table1820[[#This Row],[Expected Premium]]</f>
        <v>0</v>
      </c>
      <c r="AU544" t="str">
        <f>IF(Table1820[[#This Row],[Difference]]=0,"PASS","FAIL")</f>
        <v>PASS</v>
      </c>
      <c r="AV544" s="9">
        <f>ABS(Table1820[[#This Row],[Difference]])</f>
        <v>0</v>
      </c>
      <c r="AW544" s="9" t="s">
        <v>1136</v>
      </c>
    </row>
    <row r="545" spans="1:49" x14ac:dyDescent="0.3">
      <c r="A545" t="s">
        <v>636</v>
      </c>
      <c r="B545" s="7">
        <v>46104</v>
      </c>
      <c r="C545" t="s">
        <v>71</v>
      </c>
      <c r="D545" t="s">
        <v>1100</v>
      </c>
      <c r="E545" s="3">
        <v>6</v>
      </c>
      <c r="F545" s="3">
        <v>0</v>
      </c>
      <c r="G545" t="s">
        <v>10</v>
      </c>
      <c r="H545" t="s">
        <v>1108</v>
      </c>
      <c r="I545" t="s">
        <v>33</v>
      </c>
      <c r="J545" t="s">
        <v>48</v>
      </c>
      <c r="K545" t="s">
        <v>57</v>
      </c>
      <c r="L545" t="s">
        <v>10</v>
      </c>
      <c r="M545" t="s">
        <v>10</v>
      </c>
      <c r="N545" t="s">
        <v>10</v>
      </c>
      <c r="O545" t="str">
        <f>INDEX(CoverageTable[Deductible Applies],MATCH(Table1820[[#This Row],[Coverage]],CoverageTable[Coverage],0))</f>
        <v>Yes</v>
      </c>
      <c r="P545" t="str">
        <f>INDEX(CoverageTable[Coverage Limit Applies],MATCH(Table1820[[#This Row],[Coverage]],CoverageTable[Coverage],0))</f>
        <v>No</v>
      </c>
      <c r="Q545" t="s">
        <v>78</v>
      </c>
      <c r="R545" t="s">
        <v>10</v>
      </c>
      <c r="S545" t="s">
        <v>10</v>
      </c>
      <c r="T545" t="s">
        <v>10</v>
      </c>
      <c r="U545" t="s">
        <v>57</v>
      </c>
      <c r="V545" t="s">
        <v>10</v>
      </c>
      <c r="W545" t="s">
        <v>10</v>
      </c>
      <c r="X545" s="11">
        <v>485.9799954181633</v>
      </c>
      <c r="Y545">
        <f>_xlfn.XLOOKUP(Table1820[[#This Row],[Coverage]],CoverageTable[Coverage],CoverageTable[Base Rate],,0)</f>
        <v>453</v>
      </c>
      <c r="Z545">
        <f>INDEX(Table16[Ageband Factor],MATCH(Table1820[[#This Row],[Ageband]],Table16[Ageband],0))</f>
        <v>1.07</v>
      </c>
      <c r="AA545">
        <f>VLOOKUP(Table1820[[#This Row],[Years Driving]],Table1[],2)</f>
        <v>1</v>
      </c>
      <c r="AB545">
        <f>_xlfn.XLOOKUP(Table1820[[#This Row],[At Fault Accidents]],Table2[At Fault Accidents],Table2[At Fault Accident Factor],,0)</f>
        <v>1</v>
      </c>
      <c r="AC545">
        <f>_xlfn.XLOOKUP(Table1820[[#This Row],[Usage-Based Insurance]],Table3[Usage-Based Insurance],Table3[Usage-Based Insurance Discount],,0)</f>
        <v>1</v>
      </c>
      <c r="AD545">
        <f>_xlfn.XLOOKUP(Table1820[[#This Row],[Yearly Miles]],Table4[Yearly Miles],Table4[Yearly Miles Factor],,0)</f>
        <v>1</v>
      </c>
      <c r="AE545">
        <f>_xlfn.XLOOKUP(Table1820[[#This Row],[City/Zip Code]],Table5[City/Zip Code],Table5[City/Zip Code Factor],,0)</f>
        <v>1.02</v>
      </c>
      <c r="AF545">
        <f>_xlfn.XLOOKUP(Table1820[[#This Row],[Vehicle Price]],Table6[Vehicle Price],Table6[Vehicle Price Factor])</f>
        <v>0.82</v>
      </c>
      <c r="AG545">
        <f>_xlfn.XLOOKUP(Table1820[[#This Row],[Exotic Car]],Table7[Exotic Car],Table7[Exotic Car Factor],,0)</f>
        <v>1.28</v>
      </c>
      <c r="AH545">
        <f>_xlfn.XLOOKUP(Table1820[[#This Row],[Difficult Parts]],Table8[Difficult Parts],Table8[Difficult Parts Factor],,0)</f>
        <v>1</v>
      </c>
      <c r="AI545">
        <f>_xlfn.XLOOKUP(Table1820[[#This Row],[High Theft Rate]],Table9[High Theft Rate],Table9[High Theft Rate Factor],,0)</f>
        <v>1</v>
      </c>
      <c r="AJ545">
        <f>_xlfn.XLOOKUP(Table1820[[#This Row],[Advanced Safety Features]],Table10[Advanced Safety Features],Table10[Advanced Safety Features Factor],,0)</f>
        <v>1</v>
      </c>
      <c r="AK545">
        <f>_xlfn.XLOOKUP(Table1820[[#This Row],[Deductible]],Table12[Deductible],Table12[Deductible Factor],,0)</f>
        <v>0.95</v>
      </c>
      <c r="AL545">
        <f>_xlfn.XLOOKUP(Table1820[[#This Row],[Coverage Limit]],Table13[Coverage Limit],Table13[Coverage Limit Factor],,0)</f>
        <v>1</v>
      </c>
      <c r="AM545">
        <f>IF(Table1820[[#This Row],[Good Student Discount]]="Yes",'Rate Book'!$D$126,1)</f>
        <v>1</v>
      </c>
      <c r="AN545">
        <f>IF(Table1820[[#This Row],[Good Driver Discount]]="Yes",'Rate Book'!$D$127,1)</f>
        <v>1</v>
      </c>
      <c r="AO545">
        <f>IF(Table1820[[#This Row],[Multi Policy Discount]]="Yes",'Rate Book'!$D$128,1)</f>
        <v>0.93</v>
      </c>
      <c r="AP545">
        <f>IF(Table1820[[#This Row],[Loyal Customer Discount]]="Yes",'Rate Book'!$D$129,1)</f>
        <v>1</v>
      </c>
      <c r="AQ545">
        <f>IF(Table1820[[#This Row],[Organization Discount]]="Yes",'Rate Book'!$D$130,1)</f>
        <v>1</v>
      </c>
      <c r="AR545" cm="1">
        <f t="array" ref="AR545">IF(Table1820[[#This Row],[Effective Date]]&gt;=RateChangeTable[Effective Date],RateChangeTable[Rate Change Factor],1)</f>
        <v>1.06</v>
      </c>
      <c r="AS545" s="10">
        <f>PRODUCT(Table1820[[#This Row],[Base Rate]:[Rate Change Factor]])</f>
        <v>485.9799954181633</v>
      </c>
      <c r="AT545" s="9">
        <f>Table1820[[#This Row],[System-Generated Premium]]-Table1820[[#This Row],[Expected Premium]]</f>
        <v>0</v>
      </c>
      <c r="AU545" t="str">
        <f>IF(Table1820[[#This Row],[Difference]]=0,"PASS","FAIL")</f>
        <v>PASS</v>
      </c>
      <c r="AV545" s="9">
        <f>ABS(Table1820[[#This Row],[Difference]])</f>
        <v>0</v>
      </c>
      <c r="AW545" s="9" t="s">
        <v>1136</v>
      </c>
    </row>
    <row r="546" spans="1:49" x14ac:dyDescent="0.3">
      <c r="A546" t="s">
        <v>637</v>
      </c>
      <c r="B546" s="7">
        <v>45842</v>
      </c>
      <c r="C546" t="s">
        <v>70</v>
      </c>
      <c r="D546" t="s">
        <v>1098</v>
      </c>
      <c r="E546" s="3">
        <v>1</v>
      </c>
      <c r="F546" s="3">
        <v>0</v>
      </c>
      <c r="G546" t="s">
        <v>10</v>
      </c>
      <c r="H546" t="s">
        <v>1110</v>
      </c>
      <c r="I546" t="s">
        <v>43</v>
      </c>
      <c r="J546" t="s">
        <v>54</v>
      </c>
      <c r="K546" t="s">
        <v>10</v>
      </c>
      <c r="L546" t="s">
        <v>10</v>
      </c>
      <c r="M546" t="s">
        <v>10</v>
      </c>
      <c r="N546" t="s">
        <v>57</v>
      </c>
      <c r="O546" t="str">
        <f>INDEX(CoverageTable[Deductible Applies],MATCH(Table1820[[#This Row],[Coverage]],CoverageTable[Coverage],0))</f>
        <v>No</v>
      </c>
      <c r="P546" t="str">
        <f>INDEX(CoverageTable[Coverage Limit Applies],MATCH(Table1820[[#This Row],[Coverage]],CoverageTable[Coverage],0))</f>
        <v>Yes</v>
      </c>
      <c r="Q546" t="s">
        <v>10</v>
      </c>
      <c r="R546" t="s">
        <v>78</v>
      </c>
      <c r="S546" t="s">
        <v>10</v>
      </c>
      <c r="T546" t="s">
        <v>10</v>
      </c>
      <c r="U546" t="s">
        <v>10</v>
      </c>
      <c r="V546" t="s">
        <v>10</v>
      </c>
      <c r="W546" t="s">
        <v>10</v>
      </c>
      <c r="X546" s="11">
        <v>2988.0444314254191</v>
      </c>
      <c r="Y546">
        <f>_xlfn.XLOOKUP(Table1820[[#This Row],[Coverage]],CoverageTable[Coverage],CoverageTable[Base Rate],,0)</f>
        <v>622</v>
      </c>
      <c r="Z546">
        <f>INDEX(Table16[Ageband Factor],MATCH(Table1820[[#This Row],[Ageband]],Table16[Ageband],0))</f>
        <v>1.23</v>
      </c>
      <c r="AA546">
        <f>VLOOKUP(Table1820[[#This Row],[Years Driving]],Table1[],2)</f>
        <v>1.64</v>
      </c>
      <c r="AB546">
        <f>_xlfn.XLOOKUP(Table1820[[#This Row],[At Fault Accidents]],Table2[At Fault Accidents],Table2[At Fault Accident Factor],,0)</f>
        <v>1</v>
      </c>
      <c r="AC546">
        <f>_xlfn.XLOOKUP(Table1820[[#This Row],[Usage-Based Insurance]],Table3[Usage-Based Insurance],Table3[Usage-Based Insurance Discount],,0)</f>
        <v>1</v>
      </c>
      <c r="AD546">
        <f>_xlfn.XLOOKUP(Table1820[[#This Row],[Yearly Miles]],Table4[Yearly Miles],Table4[Yearly Miles Factor],,0)</f>
        <v>1.31</v>
      </c>
      <c r="AE546">
        <f>_xlfn.XLOOKUP(Table1820[[#This Row],[City/Zip Code]],Table5[City/Zip Code],Table5[City/Zip Code Factor],,0)</f>
        <v>1.18</v>
      </c>
      <c r="AF546">
        <f>_xlfn.XLOOKUP(Table1820[[#This Row],[Vehicle Price]],Table6[Vehicle Price],Table6[Vehicle Price Factor])</f>
        <v>2.87</v>
      </c>
      <c r="AG546">
        <f>_xlfn.XLOOKUP(Table1820[[#This Row],[Exotic Car]],Table7[Exotic Car],Table7[Exotic Car Factor],,0)</f>
        <v>1</v>
      </c>
      <c r="AH546">
        <f>_xlfn.XLOOKUP(Table1820[[#This Row],[Difficult Parts]],Table8[Difficult Parts],Table8[Difficult Parts Factor],,0)</f>
        <v>1</v>
      </c>
      <c r="AI546">
        <f>_xlfn.XLOOKUP(Table1820[[#This Row],[High Theft Rate]],Table9[High Theft Rate],Table9[High Theft Rate Factor],,0)</f>
        <v>1</v>
      </c>
      <c r="AJ546">
        <f>_xlfn.XLOOKUP(Table1820[[#This Row],[Advanced Safety Features]],Table10[Advanced Safety Features],Table10[Advanced Safety Features Factor],,0)</f>
        <v>0.88</v>
      </c>
      <c r="AK546">
        <f>_xlfn.XLOOKUP(Table1820[[#This Row],[Deductible]],Table12[Deductible],Table12[Deductible Factor],,0)</f>
        <v>1</v>
      </c>
      <c r="AL546">
        <f>_xlfn.XLOOKUP(Table1820[[#This Row],[Coverage Limit]],Table13[Coverage Limit],Table13[Coverage Limit Factor],,0)</f>
        <v>0.61</v>
      </c>
      <c r="AM546">
        <f>IF(Table1820[[#This Row],[Good Student Discount]]="Yes",'Rate Book'!$D$126,1)</f>
        <v>1</v>
      </c>
      <c r="AN546">
        <f>IF(Table1820[[#This Row],[Good Driver Discount]]="Yes",'Rate Book'!$D$127,1)</f>
        <v>1</v>
      </c>
      <c r="AO546">
        <f>IF(Table1820[[#This Row],[Multi Policy Discount]]="Yes",'Rate Book'!$D$128,1)</f>
        <v>1</v>
      </c>
      <c r="AP546">
        <f>IF(Table1820[[#This Row],[Loyal Customer Discount]]="Yes",'Rate Book'!$D$129,1)</f>
        <v>1</v>
      </c>
      <c r="AQ546">
        <f>IF(Table1820[[#This Row],[Organization Discount]]="Yes",'Rate Book'!$D$130,1)</f>
        <v>1</v>
      </c>
      <c r="AR546" cm="1">
        <f t="array" ref="AR546">IF(Table1820[[#This Row],[Effective Date]]&gt;=RateChangeTable[Effective Date],RateChangeTable[Rate Change Factor],1)</f>
        <v>1</v>
      </c>
      <c r="AS546" s="10">
        <f>PRODUCT(Table1820[[#This Row],[Base Rate]:[Rate Change Factor]])</f>
        <v>2988.0444314254191</v>
      </c>
      <c r="AT546" s="9">
        <f>Table1820[[#This Row],[System-Generated Premium]]-Table1820[[#This Row],[Expected Premium]]</f>
        <v>0</v>
      </c>
      <c r="AU546" t="str">
        <f>IF(Table1820[[#This Row],[Difference]]=0,"PASS","FAIL")</f>
        <v>PASS</v>
      </c>
      <c r="AV546" s="9">
        <f>ABS(Table1820[[#This Row],[Difference]])</f>
        <v>0</v>
      </c>
      <c r="AW546" s="9" t="s">
        <v>1136</v>
      </c>
    </row>
    <row r="547" spans="1:49" x14ac:dyDescent="0.3">
      <c r="A547" t="s">
        <v>638</v>
      </c>
      <c r="B547" s="7">
        <v>46133</v>
      </c>
      <c r="C547" t="s">
        <v>71</v>
      </c>
      <c r="D547" t="s">
        <v>1100</v>
      </c>
      <c r="E547" s="3">
        <v>1</v>
      </c>
      <c r="F547" s="3">
        <v>0</v>
      </c>
      <c r="G547" t="s">
        <v>10</v>
      </c>
      <c r="H547" t="s">
        <v>1108</v>
      </c>
      <c r="I547" t="s">
        <v>43</v>
      </c>
      <c r="J547" t="s">
        <v>53</v>
      </c>
      <c r="K547" t="s">
        <v>10</v>
      </c>
      <c r="L547" t="s">
        <v>10</v>
      </c>
      <c r="M547" t="s">
        <v>57</v>
      </c>
      <c r="N547" t="s">
        <v>57</v>
      </c>
      <c r="O547" t="str">
        <f>INDEX(CoverageTable[Deductible Applies],MATCH(Table1820[[#This Row],[Coverage]],CoverageTable[Coverage],0))</f>
        <v>Yes</v>
      </c>
      <c r="P547" t="str">
        <f>INDEX(CoverageTable[Coverage Limit Applies],MATCH(Table1820[[#This Row],[Coverage]],CoverageTable[Coverage],0))</f>
        <v>No</v>
      </c>
      <c r="Q547" t="s">
        <v>78</v>
      </c>
      <c r="R547" t="s">
        <v>10</v>
      </c>
      <c r="S547" t="s">
        <v>10</v>
      </c>
      <c r="T547" t="s">
        <v>10</v>
      </c>
      <c r="U547" t="s">
        <v>10</v>
      </c>
      <c r="V547" t="s">
        <v>10</v>
      </c>
      <c r="W547" t="s">
        <v>10</v>
      </c>
      <c r="X547" s="11">
        <v>1947.7326141056085</v>
      </c>
      <c r="Y547">
        <f>_xlfn.XLOOKUP(Table1820[[#This Row],[Coverage]],CoverageTable[Coverage],CoverageTable[Base Rate],,0)</f>
        <v>453</v>
      </c>
      <c r="Z547">
        <f>INDEX(Table16[Ageband Factor],MATCH(Table1820[[#This Row],[Ageband]],Table16[Ageband],0))</f>
        <v>1.07</v>
      </c>
      <c r="AA547">
        <f>VLOOKUP(Table1820[[#This Row],[Years Driving]],Table1[],2)</f>
        <v>1.64</v>
      </c>
      <c r="AB547">
        <f>_xlfn.XLOOKUP(Table1820[[#This Row],[At Fault Accidents]],Table2[At Fault Accidents],Table2[At Fault Accident Factor],,0)</f>
        <v>1</v>
      </c>
      <c r="AC547">
        <f>_xlfn.XLOOKUP(Table1820[[#This Row],[Usage-Based Insurance]],Table3[Usage-Based Insurance],Table3[Usage-Based Insurance Discount],,0)</f>
        <v>1</v>
      </c>
      <c r="AD547">
        <f>_xlfn.XLOOKUP(Table1820[[#This Row],[Yearly Miles]],Table4[Yearly Miles],Table4[Yearly Miles Factor],,0)</f>
        <v>1</v>
      </c>
      <c r="AE547">
        <f>_xlfn.XLOOKUP(Table1820[[#This Row],[City/Zip Code]],Table5[City/Zip Code],Table5[City/Zip Code Factor],,0)</f>
        <v>1.18</v>
      </c>
      <c r="AF547">
        <f>_xlfn.XLOOKUP(Table1820[[#This Row],[Vehicle Price]],Table6[Vehicle Price],Table6[Vehicle Price Factor])</f>
        <v>2.02</v>
      </c>
      <c r="AG547">
        <f>_xlfn.XLOOKUP(Table1820[[#This Row],[Exotic Car]],Table7[Exotic Car],Table7[Exotic Car Factor],,0)</f>
        <v>1</v>
      </c>
      <c r="AH547">
        <f>_xlfn.XLOOKUP(Table1820[[#This Row],[Difficult Parts]],Table8[Difficult Parts],Table8[Difficult Parts Factor],,0)</f>
        <v>1</v>
      </c>
      <c r="AI547">
        <f>_xlfn.XLOOKUP(Table1820[[#This Row],[High Theft Rate]],Table9[High Theft Rate],Table9[High Theft Rate Factor],,0)</f>
        <v>1.1599999999999999</v>
      </c>
      <c r="AJ547">
        <f>_xlfn.XLOOKUP(Table1820[[#This Row],[Advanced Safety Features]],Table10[Advanced Safety Features],Table10[Advanced Safety Features Factor],,0)</f>
        <v>0.88</v>
      </c>
      <c r="AK547">
        <f>_xlfn.XLOOKUP(Table1820[[#This Row],[Deductible]],Table12[Deductible],Table12[Deductible Factor],,0)</f>
        <v>0.95</v>
      </c>
      <c r="AL547">
        <f>_xlfn.XLOOKUP(Table1820[[#This Row],[Coverage Limit]],Table13[Coverage Limit],Table13[Coverage Limit Factor],,0)</f>
        <v>1</v>
      </c>
      <c r="AM547">
        <f>IF(Table1820[[#This Row],[Good Student Discount]]="Yes",'Rate Book'!$D$126,1)</f>
        <v>1</v>
      </c>
      <c r="AN547">
        <f>IF(Table1820[[#This Row],[Good Driver Discount]]="Yes",'Rate Book'!$D$127,1)</f>
        <v>1</v>
      </c>
      <c r="AO547">
        <f>IF(Table1820[[#This Row],[Multi Policy Discount]]="Yes",'Rate Book'!$D$128,1)</f>
        <v>1</v>
      </c>
      <c r="AP547">
        <f>IF(Table1820[[#This Row],[Loyal Customer Discount]]="Yes",'Rate Book'!$D$129,1)</f>
        <v>1</v>
      </c>
      <c r="AQ547">
        <f>IF(Table1820[[#This Row],[Organization Discount]]="Yes",'Rate Book'!$D$130,1)</f>
        <v>1</v>
      </c>
      <c r="AR547" cm="1">
        <f t="array" ref="AR547">IF(Table1820[[#This Row],[Effective Date]]&gt;=RateChangeTable[Effective Date],RateChangeTable[Rate Change Factor],1)</f>
        <v>1.06</v>
      </c>
      <c r="AS547" s="10">
        <f>PRODUCT(Table1820[[#This Row],[Base Rate]:[Rate Change Factor]])</f>
        <v>1947.7326141056085</v>
      </c>
      <c r="AT547" s="9">
        <f>Table1820[[#This Row],[System-Generated Premium]]-Table1820[[#This Row],[Expected Premium]]</f>
        <v>0</v>
      </c>
      <c r="AU547" t="str">
        <f>IF(Table1820[[#This Row],[Difference]]=0,"PASS","FAIL")</f>
        <v>PASS</v>
      </c>
      <c r="AV547" s="9">
        <f>ABS(Table1820[[#This Row],[Difference]])</f>
        <v>0</v>
      </c>
      <c r="AW547" s="9" t="s">
        <v>1136</v>
      </c>
    </row>
    <row r="548" spans="1:49" x14ac:dyDescent="0.3">
      <c r="A548" t="s">
        <v>639</v>
      </c>
      <c r="B548" s="7">
        <v>45974</v>
      </c>
      <c r="C548" t="s">
        <v>70</v>
      </c>
      <c r="D548" t="s">
        <v>1100</v>
      </c>
      <c r="E548" s="3" t="s">
        <v>1103</v>
      </c>
      <c r="F548" s="3">
        <v>1</v>
      </c>
      <c r="G548" t="s">
        <v>13</v>
      </c>
      <c r="H548" t="s">
        <v>1109</v>
      </c>
      <c r="I548" t="s">
        <v>43</v>
      </c>
      <c r="J548" t="s">
        <v>51</v>
      </c>
      <c r="K548" t="s">
        <v>10</v>
      </c>
      <c r="L548" t="s">
        <v>10</v>
      </c>
      <c r="M548" t="s">
        <v>10</v>
      </c>
      <c r="N548" t="s">
        <v>10</v>
      </c>
      <c r="O548" t="str">
        <f>INDEX(CoverageTable[Deductible Applies],MATCH(Table1820[[#This Row],[Coverage]],CoverageTable[Coverage],0))</f>
        <v>No</v>
      </c>
      <c r="P548" t="str">
        <f>INDEX(CoverageTable[Coverage Limit Applies],MATCH(Table1820[[#This Row],[Coverage]],CoverageTable[Coverage],0))</f>
        <v>Yes</v>
      </c>
      <c r="Q548" t="s">
        <v>10</v>
      </c>
      <c r="R548" t="s">
        <v>78</v>
      </c>
      <c r="S548" t="s">
        <v>10</v>
      </c>
      <c r="T548" t="s">
        <v>57</v>
      </c>
      <c r="U548" t="s">
        <v>57</v>
      </c>
      <c r="V548" t="s">
        <v>10</v>
      </c>
      <c r="W548" t="s">
        <v>10</v>
      </c>
      <c r="X548" s="11">
        <v>485.12319560059473</v>
      </c>
      <c r="Y548">
        <f>_xlfn.XLOOKUP(Table1820[[#This Row],[Coverage]],CoverageTable[Coverage],CoverageTable[Base Rate],,0)</f>
        <v>622</v>
      </c>
      <c r="Z548">
        <f>INDEX(Table16[Ageband Factor],MATCH(Table1820[[#This Row],[Ageband]],Table16[Ageband],0))</f>
        <v>1.07</v>
      </c>
      <c r="AA548">
        <f>VLOOKUP(Table1820[[#This Row],[Years Driving]],Table1[],2)</f>
        <v>0.93</v>
      </c>
      <c r="AB548">
        <f>_xlfn.XLOOKUP(Table1820[[#This Row],[At Fault Accidents]],Table2[At Fault Accidents],Table2[At Fault Accident Factor],,0)</f>
        <v>1.34</v>
      </c>
      <c r="AC548">
        <f>_xlfn.XLOOKUP(Table1820[[#This Row],[Usage-Based Insurance]],Table3[Usage-Based Insurance],Table3[Usage-Based Insurance Discount],,0)</f>
        <v>0.65</v>
      </c>
      <c r="AD548">
        <f>_xlfn.XLOOKUP(Table1820[[#This Row],[Yearly Miles]],Table4[Yearly Miles],Table4[Yearly Miles Factor],,0)</f>
        <v>1.18</v>
      </c>
      <c r="AE548">
        <f>_xlfn.XLOOKUP(Table1820[[#This Row],[City/Zip Code]],Table5[City/Zip Code],Table5[City/Zip Code Factor],,0)</f>
        <v>1.18</v>
      </c>
      <c r="AF548">
        <f>_xlfn.XLOOKUP(Table1820[[#This Row],[Vehicle Price]],Table6[Vehicle Price],Table6[Vehicle Price Factor])</f>
        <v>1.28</v>
      </c>
      <c r="AG548">
        <f>_xlfn.XLOOKUP(Table1820[[#This Row],[Exotic Car]],Table7[Exotic Car],Table7[Exotic Car Factor],,0)</f>
        <v>1</v>
      </c>
      <c r="AH548">
        <f>_xlfn.XLOOKUP(Table1820[[#This Row],[Difficult Parts]],Table8[Difficult Parts],Table8[Difficult Parts Factor],,0)</f>
        <v>1</v>
      </c>
      <c r="AI548">
        <f>_xlfn.XLOOKUP(Table1820[[#This Row],[High Theft Rate]],Table9[High Theft Rate],Table9[High Theft Rate Factor],,0)</f>
        <v>1</v>
      </c>
      <c r="AJ548">
        <f>_xlfn.XLOOKUP(Table1820[[#This Row],[Advanced Safety Features]],Table10[Advanced Safety Features],Table10[Advanced Safety Features Factor],,0)</f>
        <v>1</v>
      </c>
      <c r="AK548">
        <f>_xlfn.XLOOKUP(Table1820[[#This Row],[Deductible]],Table12[Deductible],Table12[Deductible Factor],,0)</f>
        <v>1</v>
      </c>
      <c r="AL548">
        <f>_xlfn.XLOOKUP(Table1820[[#This Row],[Coverage Limit]],Table13[Coverage Limit],Table13[Coverage Limit Factor],,0)</f>
        <v>0.61</v>
      </c>
      <c r="AM548">
        <f>IF(Table1820[[#This Row],[Good Student Discount]]="Yes",'Rate Book'!$D$126,1)</f>
        <v>1</v>
      </c>
      <c r="AN548">
        <f>IF(Table1820[[#This Row],[Good Driver Discount]]="Yes",'Rate Book'!$D$127,1)</f>
        <v>0.89</v>
      </c>
      <c r="AO548">
        <f>IF(Table1820[[#This Row],[Multi Policy Discount]]="Yes",'Rate Book'!$D$128,1)</f>
        <v>0.93</v>
      </c>
      <c r="AP548">
        <f>IF(Table1820[[#This Row],[Loyal Customer Discount]]="Yes",'Rate Book'!$D$129,1)</f>
        <v>1</v>
      </c>
      <c r="AQ548">
        <f>IF(Table1820[[#This Row],[Organization Discount]]="Yes",'Rate Book'!$D$130,1)</f>
        <v>1</v>
      </c>
      <c r="AR548" cm="1">
        <f t="array" ref="AR548">IF(Table1820[[#This Row],[Effective Date]]&gt;=RateChangeTable[Effective Date],RateChangeTable[Rate Change Factor],1)</f>
        <v>1</v>
      </c>
      <c r="AS548" s="10">
        <f>PRODUCT(Table1820[[#This Row],[Base Rate]:[Rate Change Factor]])</f>
        <v>485.12319560059473</v>
      </c>
      <c r="AT548" s="9">
        <f>Table1820[[#This Row],[System-Generated Premium]]-Table1820[[#This Row],[Expected Premium]]</f>
        <v>0</v>
      </c>
      <c r="AU548" t="str">
        <f>IF(Table1820[[#This Row],[Difference]]=0,"PASS","FAIL")</f>
        <v>PASS</v>
      </c>
      <c r="AV548" s="9">
        <f>ABS(Table1820[[#This Row],[Difference]])</f>
        <v>0</v>
      </c>
      <c r="AW548" s="9" t="s">
        <v>1136</v>
      </c>
    </row>
    <row r="549" spans="1:49" x14ac:dyDescent="0.3">
      <c r="A549" t="s">
        <v>640</v>
      </c>
      <c r="B549" s="7">
        <v>45957</v>
      </c>
      <c r="C549" t="s">
        <v>70</v>
      </c>
      <c r="D549" t="s">
        <v>1098</v>
      </c>
      <c r="E549" s="3" t="s">
        <v>1103</v>
      </c>
      <c r="F549" s="3">
        <v>0</v>
      </c>
      <c r="G549" t="s">
        <v>11</v>
      </c>
      <c r="H549" t="s">
        <v>1110</v>
      </c>
      <c r="I549" t="s">
        <v>31</v>
      </c>
      <c r="J549" t="s">
        <v>48</v>
      </c>
      <c r="K549" t="s">
        <v>10</v>
      </c>
      <c r="L549" t="s">
        <v>10</v>
      </c>
      <c r="M549" t="s">
        <v>57</v>
      </c>
      <c r="N549" t="s">
        <v>57</v>
      </c>
      <c r="O549" t="str">
        <f>INDEX(CoverageTable[Deductible Applies],MATCH(Table1820[[#This Row],[Coverage]],CoverageTable[Coverage],0))</f>
        <v>No</v>
      </c>
      <c r="P549" t="str">
        <f>INDEX(CoverageTable[Coverage Limit Applies],MATCH(Table1820[[#This Row],[Coverage]],CoverageTable[Coverage],0))</f>
        <v>Yes</v>
      </c>
      <c r="Q549" t="s">
        <v>10</v>
      </c>
      <c r="R549" t="s">
        <v>79</v>
      </c>
      <c r="S549" t="s">
        <v>10</v>
      </c>
      <c r="T549" t="s">
        <v>10</v>
      </c>
      <c r="U549" t="s">
        <v>57</v>
      </c>
      <c r="V549" t="s">
        <v>10</v>
      </c>
      <c r="W549" t="s">
        <v>10</v>
      </c>
      <c r="X549" s="11">
        <v>550.89176853431775</v>
      </c>
      <c r="Y549">
        <f>_xlfn.XLOOKUP(Table1820[[#This Row],[Coverage]],CoverageTable[Coverage],CoverageTable[Base Rate],,0)</f>
        <v>622</v>
      </c>
      <c r="Z549">
        <f>INDEX(Table16[Ageband Factor],MATCH(Table1820[[#This Row],[Ageband]],Table16[Ageband],0))</f>
        <v>1.23</v>
      </c>
      <c r="AA549">
        <f>VLOOKUP(Table1820[[#This Row],[Years Driving]],Table1[],2)</f>
        <v>0.93</v>
      </c>
      <c r="AB549">
        <f>_xlfn.XLOOKUP(Table1820[[#This Row],[At Fault Accidents]],Table2[At Fault Accidents],Table2[At Fault Accident Factor],,0)</f>
        <v>1</v>
      </c>
      <c r="AC549">
        <f>_xlfn.XLOOKUP(Table1820[[#This Row],[Usage-Based Insurance]],Table3[Usage-Based Insurance],Table3[Usage-Based Insurance Discount],,0)</f>
        <v>0.95</v>
      </c>
      <c r="AD549">
        <f>_xlfn.XLOOKUP(Table1820[[#This Row],[Yearly Miles]],Table4[Yearly Miles],Table4[Yearly Miles Factor],,0)</f>
        <v>1.31</v>
      </c>
      <c r="AE549">
        <f>_xlfn.XLOOKUP(Table1820[[#This Row],[City/Zip Code]],Table5[City/Zip Code],Table5[City/Zip Code Factor],,0)</f>
        <v>1.1100000000000001</v>
      </c>
      <c r="AF549">
        <f>_xlfn.XLOOKUP(Table1820[[#This Row],[Vehicle Price]],Table6[Vehicle Price],Table6[Vehicle Price Factor])</f>
        <v>0.82</v>
      </c>
      <c r="AG549">
        <f>_xlfn.XLOOKUP(Table1820[[#This Row],[Exotic Car]],Table7[Exotic Car],Table7[Exotic Car Factor],,0)</f>
        <v>1</v>
      </c>
      <c r="AH549">
        <f>_xlfn.XLOOKUP(Table1820[[#This Row],[Difficult Parts]],Table8[Difficult Parts],Table8[Difficult Parts Factor],,0)</f>
        <v>1</v>
      </c>
      <c r="AI549">
        <f>_xlfn.XLOOKUP(Table1820[[#This Row],[High Theft Rate]],Table9[High Theft Rate],Table9[High Theft Rate Factor],,0)</f>
        <v>1.1599999999999999</v>
      </c>
      <c r="AJ549">
        <f>_xlfn.XLOOKUP(Table1820[[#This Row],[Advanced Safety Features]],Table10[Advanced Safety Features],Table10[Advanced Safety Features Factor],,0)</f>
        <v>0.88</v>
      </c>
      <c r="AK549">
        <f>_xlfn.XLOOKUP(Table1820[[#This Row],[Deductible]],Table12[Deductible],Table12[Deductible Factor],,0)</f>
        <v>1</v>
      </c>
      <c r="AL549">
        <f>_xlfn.XLOOKUP(Table1820[[#This Row],[Coverage Limit]],Table13[Coverage Limit],Table13[Coverage Limit Factor],,0)</f>
        <v>0.72</v>
      </c>
      <c r="AM549">
        <f>IF(Table1820[[#This Row],[Good Student Discount]]="Yes",'Rate Book'!$D$126,1)</f>
        <v>1</v>
      </c>
      <c r="AN549">
        <f>IF(Table1820[[#This Row],[Good Driver Discount]]="Yes",'Rate Book'!$D$127,1)</f>
        <v>1</v>
      </c>
      <c r="AO549">
        <f>IF(Table1820[[#This Row],[Multi Policy Discount]]="Yes",'Rate Book'!$D$128,1)</f>
        <v>0.93</v>
      </c>
      <c r="AP549">
        <f>IF(Table1820[[#This Row],[Loyal Customer Discount]]="Yes",'Rate Book'!$D$129,1)</f>
        <v>1</v>
      </c>
      <c r="AQ549">
        <f>IF(Table1820[[#This Row],[Organization Discount]]="Yes",'Rate Book'!$D$130,1)</f>
        <v>1</v>
      </c>
      <c r="AR549" cm="1">
        <f t="array" ref="AR549">IF(Table1820[[#This Row],[Effective Date]]&gt;=RateChangeTable[Effective Date],RateChangeTable[Rate Change Factor],1)</f>
        <v>1</v>
      </c>
      <c r="AS549" s="10">
        <f>PRODUCT(Table1820[[#This Row],[Base Rate]:[Rate Change Factor]])</f>
        <v>550.89176853431775</v>
      </c>
      <c r="AT549" s="9">
        <f>Table1820[[#This Row],[System-Generated Premium]]-Table1820[[#This Row],[Expected Premium]]</f>
        <v>0</v>
      </c>
      <c r="AU549" t="str">
        <f>IF(Table1820[[#This Row],[Difference]]=0,"PASS","FAIL")</f>
        <v>PASS</v>
      </c>
      <c r="AV549" s="9">
        <f>ABS(Table1820[[#This Row],[Difference]])</f>
        <v>0</v>
      </c>
      <c r="AW549" s="9" t="s">
        <v>1136</v>
      </c>
    </row>
    <row r="550" spans="1:49" x14ac:dyDescent="0.3">
      <c r="A550" t="s">
        <v>641</v>
      </c>
      <c r="B550" s="7">
        <v>46125</v>
      </c>
      <c r="C550" t="s">
        <v>72</v>
      </c>
      <c r="D550" t="s">
        <v>1097</v>
      </c>
      <c r="E550" s="3">
        <v>6</v>
      </c>
      <c r="F550" s="3">
        <v>1</v>
      </c>
      <c r="G550" t="s">
        <v>10</v>
      </c>
      <c r="H550" t="s">
        <v>1107</v>
      </c>
      <c r="I550" t="s">
        <v>23</v>
      </c>
      <c r="J550" t="s">
        <v>52</v>
      </c>
      <c r="K550" t="s">
        <v>10</v>
      </c>
      <c r="L550" t="s">
        <v>10</v>
      </c>
      <c r="M550" t="s">
        <v>10</v>
      </c>
      <c r="N550" t="s">
        <v>57</v>
      </c>
      <c r="O550" t="str">
        <f>INDEX(CoverageTable[Deductible Applies],MATCH(Table1820[[#This Row],[Coverage]],CoverageTable[Coverage],0))</f>
        <v>Yes</v>
      </c>
      <c r="P550" t="str">
        <f>INDEX(CoverageTable[Coverage Limit Applies],MATCH(Table1820[[#This Row],[Coverage]],CoverageTable[Coverage],0))</f>
        <v>No</v>
      </c>
      <c r="Q550" t="s">
        <v>80</v>
      </c>
      <c r="R550" t="s">
        <v>10</v>
      </c>
      <c r="S550" t="s">
        <v>10</v>
      </c>
      <c r="T550" t="s">
        <v>57</v>
      </c>
      <c r="U550" t="s">
        <v>10</v>
      </c>
      <c r="V550" t="s">
        <v>10</v>
      </c>
      <c r="W550" t="s">
        <v>57</v>
      </c>
      <c r="X550" s="11">
        <v>166.69297705840555</v>
      </c>
      <c r="Y550">
        <f>_xlfn.XLOOKUP(Table1820[[#This Row],[Coverage]],CoverageTable[Coverage],CoverageTable[Base Rate],,0)</f>
        <v>121</v>
      </c>
      <c r="Z550">
        <f>INDEX(Table16[Ageband Factor],MATCH(Table1820[[#This Row],[Ageband]],Table16[Ageband],0))</f>
        <v>1.32</v>
      </c>
      <c r="AA550">
        <f>VLOOKUP(Table1820[[#This Row],[Years Driving]],Table1[],2)</f>
        <v>1</v>
      </c>
      <c r="AB550">
        <f>_xlfn.XLOOKUP(Table1820[[#This Row],[At Fault Accidents]],Table2[At Fault Accidents],Table2[At Fault Accident Factor],,0)</f>
        <v>1.34</v>
      </c>
      <c r="AC550">
        <f>_xlfn.XLOOKUP(Table1820[[#This Row],[Usage-Based Insurance]],Table3[Usage-Based Insurance],Table3[Usage-Based Insurance Discount],,0)</f>
        <v>1</v>
      </c>
      <c r="AD550">
        <f>_xlfn.XLOOKUP(Table1820[[#This Row],[Yearly Miles]],Table4[Yearly Miles],Table4[Yearly Miles Factor],,0)</f>
        <v>0.93</v>
      </c>
      <c r="AE550">
        <f>_xlfn.XLOOKUP(Table1820[[#This Row],[City/Zip Code]],Table5[City/Zip Code],Table5[City/Zip Code Factor],,0)</f>
        <v>0.92</v>
      </c>
      <c r="AF550">
        <f>_xlfn.XLOOKUP(Table1820[[#This Row],[Vehicle Price]],Table6[Vehicle Price],Table6[Vehicle Price Factor])</f>
        <v>1.57</v>
      </c>
      <c r="AG550">
        <f>_xlfn.XLOOKUP(Table1820[[#This Row],[Exotic Car]],Table7[Exotic Car],Table7[Exotic Car Factor],,0)</f>
        <v>1</v>
      </c>
      <c r="AH550">
        <f>_xlfn.XLOOKUP(Table1820[[#This Row],[Difficult Parts]],Table8[Difficult Parts],Table8[Difficult Parts Factor],,0)</f>
        <v>1</v>
      </c>
      <c r="AI550">
        <f>_xlfn.XLOOKUP(Table1820[[#This Row],[High Theft Rate]],Table9[High Theft Rate],Table9[High Theft Rate Factor],,0)</f>
        <v>1</v>
      </c>
      <c r="AJ550">
        <f>_xlfn.XLOOKUP(Table1820[[#This Row],[Advanced Safety Features]],Table10[Advanced Safety Features],Table10[Advanced Safety Features Factor],,0)</f>
        <v>0.88</v>
      </c>
      <c r="AK550">
        <f>_xlfn.XLOOKUP(Table1820[[#This Row],[Deductible]],Table12[Deductible],Table12[Deductible Factor],,0)</f>
        <v>0.72</v>
      </c>
      <c r="AL550">
        <f>_xlfn.XLOOKUP(Table1820[[#This Row],[Coverage Limit]],Table13[Coverage Limit],Table13[Coverage Limit Factor],,0)</f>
        <v>1</v>
      </c>
      <c r="AM550">
        <f>IF(Table1820[[#This Row],[Good Student Discount]]="Yes",'Rate Book'!$D$126,1)</f>
        <v>1</v>
      </c>
      <c r="AN550">
        <f>IF(Table1820[[#This Row],[Good Driver Discount]]="Yes",'Rate Book'!$D$127,1)</f>
        <v>0.89</v>
      </c>
      <c r="AO550">
        <f>IF(Table1820[[#This Row],[Multi Policy Discount]]="Yes",'Rate Book'!$D$128,1)</f>
        <v>1</v>
      </c>
      <c r="AP550">
        <f>IF(Table1820[[#This Row],[Loyal Customer Discount]]="Yes",'Rate Book'!$D$129,1)</f>
        <v>1</v>
      </c>
      <c r="AQ550">
        <f>IF(Table1820[[#This Row],[Organization Discount]]="Yes",'Rate Book'!$D$130,1)</f>
        <v>0.97</v>
      </c>
      <c r="AR550" cm="1">
        <f t="array" ref="AR550">IF(Table1820[[#This Row],[Effective Date]]&gt;=RateChangeTable[Effective Date],RateChangeTable[Rate Change Factor],1)</f>
        <v>1.06</v>
      </c>
      <c r="AS550" s="10">
        <f>PRODUCT(Table1820[[#This Row],[Base Rate]:[Rate Change Factor]])</f>
        <v>166.69297705840555</v>
      </c>
      <c r="AT550" s="9">
        <f>Table1820[[#This Row],[System-Generated Premium]]-Table1820[[#This Row],[Expected Premium]]</f>
        <v>0</v>
      </c>
      <c r="AU550" t="str">
        <f>IF(Table1820[[#This Row],[Difference]]=0,"PASS","FAIL")</f>
        <v>PASS</v>
      </c>
      <c r="AV550" s="9">
        <f>ABS(Table1820[[#This Row],[Difference]])</f>
        <v>0</v>
      </c>
      <c r="AW550" s="9" t="s">
        <v>1136</v>
      </c>
    </row>
    <row r="551" spans="1:49" x14ac:dyDescent="0.3">
      <c r="A551" t="s">
        <v>642</v>
      </c>
      <c r="B551" s="7">
        <v>46054</v>
      </c>
      <c r="C551" t="s">
        <v>71</v>
      </c>
      <c r="D551" t="s">
        <v>1101</v>
      </c>
      <c r="E551" s="3">
        <v>1</v>
      </c>
      <c r="F551" s="3">
        <v>4</v>
      </c>
      <c r="G551" t="s">
        <v>10</v>
      </c>
      <c r="H551" t="s">
        <v>1106</v>
      </c>
      <c r="I551" t="s">
        <v>23</v>
      </c>
      <c r="J551" t="s">
        <v>52</v>
      </c>
      <c r="K551" t="s">
        <v>10</v>
      </c>
      <c r="L551" t="s">
        <v>10</v>
      </c>
      <c r="M551" t="s">
        <v>10</v>
      </c>
      <c r="N551" t="s">
        <v>10</v>
      </c>
      <c r="O551" t="str">
        <f>INDEX(CoverageTable[Deductible Applies],MATCH(Table1820[[#This Row],[Coverage]],CoverageTable[Coverage],0))</f>
        <v>Yes</v>
      </c>
      <c r="P551" t="str">
        <f>INDEX(CoverageTable[Coverage Limit Applies],MATCH(Table1820[[#This Row],[Coverage]],CoverageTable[Coverage],0))</f>
        <v>No</v>
      </c>
      <c r="Q551" t="s">
        <v>78</v>
      </c>
      <c r="R551" t="s">
        <v>10</v>
      </c>
      <c r="S551" t="s">
        <v>57</v>
      </c>
      <c r="T551" t="s">
        <v>57</v>
      </c>
      <c r="U551" t="s">
        <v>10</v>
      </c>
      <c r="V551" t="s">
        <v>57</v>
      </c>
      <c r="W551" t="s">
        <v>57</v>
      </c>
      <c r="X551" s="11">
        <v>1481.83</v>
      </c>
      <c r="Y551">
        <f>_xlfn.XLOOKUP(Table1820[[#This Row],[Coverage]],CoverageTable[Coverage],CoverageTable[Base Rate],,0)</f>
        <v>453</v>
      </c>
      <c r="Z551">
        <f>INDEX(Table16[Ageband Factor],MATCH(Table1820[[#This Row],[Ageband]],Table16[Ageband],0))</f>
        <v>1.1200000000000001</v>
      </c>
      <c r="AA551">
        <f>VLOOKUP(Table1820[[#This Row],[Years Driving]],Table1[],2)</f>
        <v>1.64</v>
      </c>
      <c r="AB551">
        <f>_xlfn.XLOOKUP(Table1820[[#This Row],[At Fault Accidents]],Table2[At Fault Accidents],Table2[At Fault Accident Factor],,0)</f>
        <v>2.12</v>
      </c>
      <c r="AC551">
        <f>_xlfn.XLOOKUP(Table1820[[#This Row],[Usage-Based Insurance]],Table3[Usage-Based Insurance],Table3[Usage-Based Insurance Discount],,0)</f>
        <v>1</v>
      </c>
      <c r="AD551">
        <f>_xlfn.XLOOKUP(Table1820[[#This Row],[Yearly Miles]],Table4[Yearly Miles],Table4[Yearly Miles Factor],,0)</f>
        <v>0.82</v>
      </c>
      <c r="AE551">
        <f>_xlfn.XLOOKUP(Table1820[[#This Row],[City/Zip Code]],Table5[City/Zip Code],Table5[City/Zip Code Factor],,0)</f>
        <v>0.92</v>
      </c>
      <c r="AF551">
        <f>_xlfn.XLOOKUP(Table1820[[#This Row],[Vehicle Price]],Table6[Vehicle Price],Table6[Vehicle Price Factor])</f>
        <v>1.57</v>
      </c>
      <c r="AG551">
        <f>_xlfn.XLOOKUP(Table1820[[#This Row],[Exotic Car]],Table7[Exotic Car],Table7[Exotic Car Factor],,0)</f>
        <v>1</v>
      </c>
      <c r="AH551">
        <f>_xlfn.XLOOKUP(Table1820[[#This Row],[Difficult Parts]],Table8[Difficult Parts],Table8[Difficult Parts Factor],,0)</f>
        <v>1</v>
      </c>
      <c r="AI551">
        <f>_xlfn.XLOOKUP(Table1820[[#This Row],[High Theft Rate]],Table9[High Theft Rate],Table9[High Theft Rate Factor],,0)</f>
        <v>1</v>
      </c>
      <c r="AJ551">
        <f>_xlfn.XLOOKUP(Table1820[[#This Row],[Advanced Safety Features]],Table10[Advanced Safety Features],Table10[Advanced Safety Features Factor],,0)</f>
        <v>1</v>
      </c>
      <c r="AK551">
        <f>_xlfn.XLOOKUP(Table1820[[#This Row],[Deductible]],Table12[Deductible],Table12[Deductible Factor],,0)</f>
        <v>0.95</v>
      </c>
      <c r="AL551">
        <f>_xlfn.XLOOKUP(Table1820[[#This Row],[Coverage Limit]],Table13[Coverage Limit],Table13[Coverage Limit Factor],,0)</f>
        <v>1</v>
      </c>
      <c r="AM551">
        <f>IF(Table1820[[#This Row],[Good Student Discount]]="Yes",'Rate Book'!$D$126,1)</f>
        <v>0.92</v>
      </c>
      <c r="AN551">
        <f>IF(Table1820[[#This Row],[Good Driver Discount]]="Yes",'Rate Book'!$D$127,1)</f>
        <v>0.89</v>
      </c>
      <c r="AO551">
        <f>IF(Table1820[[#This Row],[Multi Policy Discount]]="Yes",'Rate Book'!$D$128,1)</f>
        <v>1</v>
      </c>
      <c r="AP551">
        <f>IF(Table1820[[#This Row],[Loyal Customer Discount]]="Yes",'Rate Book'!$D$129,1)</f>
        <v>0.94</v>
      </c>
      <c r="AQ551">
        <f>IF(Table1820[[#This Row],[Organization Discount]]="Yes",'Rate Book'!$D$130,1)</f>
        <v>0.97</v>
      </c>
      <c r="AR551" cm="1">
        <f t="array" ref="AR551">IF(Table1820[[#This Row],[Effective Date]]&gt;=RateChangeTable[Effective Date],RateChangeTable[Rate Change Factor],1)</f>
        <v>1.06</v>
      </c>
      <c r="AS551" s="10">
        <f>PRODUCT(Table1820[[#This Row],[Base Rate]:[Rate Change Factor]])</f>
        <v>1570.7394745384142</v>
      </c>
      <c r="AT551" s="9">
        <f>Table1820[[#This Row],[System-Generated Premium]]-Table1820[[#This Row],[Expected Premium]]</f>
        <v>-88.909474538414315</v>
      </c>
      <c r="AU551" t="str">
        <f>IF(Table1820[[#This Row],[Difference]]=0,"PASS","FAIL")</f>
        <v>FAIL</v>
      </c>
      <c r="AV551" s="9">
        <f>ABS(Table1820[[#This Row],[Difference]])</f>
        <v>88.909474538414315</v>
      </c>
      <c r="AW551" s="9" t="s">
        <v>1133</v>
      </c>
    </row>
    <row r="552" spans="1:49" x14ac:dyDescent="0.3">
      <c r="A552" t="s">
        <v>643</v>
      </c>
      <c r="B552" s="7">
        <v>45891</v>
      </c>
      <c r="C552" t="s">
        <v>70</v>
      </c>
      <c r="D552" t="s">
        <v>1097</v>
      </c>
      <c r="E552" s="3">
        <v>4</v>
      </c>
      <c r="F552" s="3">
        <v>0</v>
      </c>
      <c r="G552" t="s">
        <v>13</v>
      </c>
      <c r="H552" t="s">
        <v>1110</v>
      </c>
      <c r="I552" t="s">
        <v>23</v>
      </c>
      <c r="J552" t="s">
        <v>52</v>
      </c>
      <c r="K552" t="s">
        <v>10</v>
      </c>
      <c r="L552" t="s">
        <v>57</v>
      </c>
      <c r="M552" t="s">
        <v>10</v>
      </c>
      <c r="N552" t="s">
        <v>57</v>
      </c>
      <c r="O552" t="str">
        <f>INDEX(CoverageTable[Deductible Applies],MATCH(Table1820[[#This Row],[Coverage]],CoverageTable[Coverage],0))</f>
        <v>No</v>
      </c>
      <c r="P552" t="str">
        <f>INDEX(CoverageTable[Coverage Limit Applies],MATCH(Table1820[[#This Row],[Coverage]],CoverageTable[Coverage],0))</f>
        <v>Yes</v>
      </c>
      <c r="Q552" t="s">
        <v>10</v>
      </c>
      <c r="R552" t="s">
        <v>78</v>
      </c>
      <c r="S552" t="s">
        <v>10</v>
      </c>
      <c r="T552" t="s">
        <v>10</v>
      </c>
      <c r="U552" t="s">
        <v>10</v>
      </c>
      <c r="V552" t="s">
        <v>10</v>
      </c>
      <c r="W552" t="s">
        <v>10</v>
      </c>
      <c r="X552" s="11">
        <v>754.27925905577194</v>
      </c>
      <c r="Y552">
        <f>_xlfn.XLOOKUP(Table1820[[#This Row],[Coverage]],CoverageTable[Coverage],CoverageTable[Base Rate],,0)</f>
        <v>622</v>
      </c>
      <c r="Z552">
        <f>INDEX(Table16[Ageband Factor],MATCH(Table1820[[#This Row],[Ageband]],Table16[Ageband],0))</f>
        <v>1.32</v>
      </c>
      <c r="AA552">
        <f>VLOOKUP(Table1820[[#This Row],[Years Driving]],Table1[],2)</f>
        <v>1.1499999999999999</v>
      </c>
      <c r="AB552">
        <f>_xlfn.XLOOKUP(Table1820[[#This Row],[At Fault Accidents]],Table2[At Fault Accidents],Table2[At Fault Accident Factor],,0)</f>
        <v>1</v>
      </c>
      <c r="AC552">
        <f>_xlfn.XLOOKUP(Table1820[[#This Row],[Usage-Based Insurance]],Table3[Usage-Based Insurance],Table3[Usage-Based Insurance Discount],,0)</f>
        <v>0.65</v>
      </c>
      <c r="AD552">
        <f>_xlfn.XLOOKUP(Table1820[[#This Row],[Yearly Miles]],Table4[Yearly Miles],Table4[Yearly Miles Factor],,0)</f>
        <v>1.31</v>
      </c>
      <c r="AE552">
        <f>_xlfn.XLOOKUP(Table1820[[#This Row],[City/Zip Code]],Table5[City/Zip Code],Table5[City/Zip Code Factor],,0)</f>
        <v>0.92</v>
      </c>
      <c r="AF552">
        <f>_xlfn.XLOOKUP(Table1820[[#This Row],[Vehicle Price]],Table6[Vehicle Price],Table6[Vehicle Price Factor])</f>
        <v>1.57</v>
      </c>
      <c r="AG552">
        <f>_xlfn.XLOOKUP(Table1820[[#This Row],[Exotic Car]],Table7[Exotic Car],Table7[Exotic Car Factor],,0)</f>
        <v>1</v>
      </c>
      <c r="AH552">
        <f>_xlfn.XLOOKUP(Table1820[[#This Row],[Difficult Parts]],Table8[Difficult Parts],Table8[Difficult Parts Factor],,0)</f>
        <v>1.21</v>
      </c>
      <c r="AI552">
        <f>_xlfn.XLOOKUP(Table1820[[#This Row],[High Theft Rate]],Table9[High Theft Rate],Table9[High Theft Rate Factor],,0)</f>
        <v>1</v>
      </c>
      <c r="AJ552">
        <f>_xlfn.XLOOKUP(Table1820[[#This Row],[Advanced Safety Features]],Table10[Advanced Safety Features],Table10[Advanced Safety Features Factor],,0)</f>
        <v>0.88</v>
      </c>
      <c r="AK552">
        <f>_xlfn.XLOOKUP(Table1820[[#This Row],[Deductible]],Table12[Deductible],Table12[Deductible Factor],,0)</f>
        <v>1</v>
      </c>
      <c r="AL552">
        <f>_xlfn.XLOOKUP(Table1820[[#This Row],[Coverage Limit]],Table13[Coverage Limit],Table13[Coverage Limit Factor],,0)</f>
        <v>0.61</v>
      </c>
      <c r="AM552">
        <f>IF(Table1820[[#This Row],[Good Student Discount]]="Yes",'Rate Book'!$D$126,1)</f>
        <v>1</v>
      </c>
      <c r="AN552">
        <f>IF(Table1820[[#This Row],[Good Driver Discount]]="Yes",'Rate Book'!$D$127,1)</f>
        <v>1</v>
      </c>
      <c r="AO552">
        <f>IF(Table1820[[#This Row],[Multi Policy Discount]]="Yes",'Rate Book'!$D$128,1)</f>
        <v>1</v>
      </c>
      <c r="AP552">
        <f>IF(Table1820[[#This Row],[Loyal Customer Discount]]="Yes",'Rate Book'!$D$129,1)</f>
        <v>1</v>
      </c>
      <c r="AQ552">
        <f>IF(Table1820[[#This Row],[Organization Discount]]="Yes",'Rate Book'!$D$130,1)</f>
        <v>1</v>
      </c>
      <c r="AR552" cm="1">
        <f t="array" ref="AR552">IF(Table1820[[#This Row],[Effective Date]]&gt;=RateChangeTable[Effective Date],RateChangeTable[Rate Change Factor],1)</f>
        <v>1</v>
      </c>
      <c r="AS552" s="10">
        <f>PRODUCT(Table1820[[#This Row],[Base Rate]:[Rate Change Factor]])</f>
        <v>754.27925905577194</v>
      </c>
      <c r="AT552" s="9">
        <f>Table1820[[#This Row],[System-Generated Premium]]-Table1820[[#This Row],[Expected Premium]]</f>
        <v>0</v>
      </c>
      <c r="AU552" t="str">
        <f>IF(Table1820[[#This Row],[Difference]]=0,"PASS","FAIL")</f>
        <v>PASS</v>
      </c>
      <c r="AV552" s="9">
        <f>ABS(Table1820[[#This Row],[Difference]])</f>
        <v>0</v>
      </c>
      <c r="AW552" s="9" t="s">
        <v>1136</v>
      </c>
    </row>
    <row r="553" spans="1:49" x14ac:dyDescent="0.3">
      <c r="A553" t="s">
        <v>644</v>
      </c>
      <c r="B553" s="7">
        <v>46102</v>
      </c>
      <c r="C553" t="s">
        <v>71</v>
      </c>
      <c r="D553" t="s">
        <v>1098</v>
      </c>
      <c r="E553" s="3" t="s">
        <v>1103</v>
      </c>
      <c r="F553" s="3">
        <v>1</v>
      </c>
      <c r="G553" t="s">
        <v>13</v>
      </c>
      <c r="H553" t="s">
        <v>1109</v>
      </c>
      <c r="I553" t="s">
        <v>43</v>
      </c>
      <c r="J553" t="s">
        <v>53</v>
      </c>
      <c r="K553" t="s">
        <v>10</v>
      </c>
      <c r="L553" t="s">
        <v>10</v>
      </c>
      <c r="M553" t="s">
        <v>10</v>
      </c>
      <c r="N553" t="s">
        <v>57</v>
      </c>
      <c r="O553" t="str">
        <f>INDEX(CoverageTable[Deductible Applies],MATCH(Table1820[[#This Row],[Coverage]],CoverageTable[Coverage],0))</f>
        <v>Yes</v>
      </c>
      <c r="P553" t="str">
        <f>INDEX(CoverageTable[Coverage Limit Applies],MATCH(Table1820[[#This Row],[Coverage]],CoverageTable[Coverage],0))</f>
        <v>No</v>
      </c>
      <c r="Q553" t="s">
        <v>78</v>
      </c>
      <c r="R553" t="s">
        <v>10</v>
      </c>
      <c r="S553" t="s">
        <v>10</v>
      </c>
      <c r="T553" t="s">
        <v>10</v>
      </c>
      <c r="U553" t="s">
        <v>57</v>
      </c>
      <c r="V553" t="s">
        <v>10</v>
      </c>
      <c r="W553" t="s">
        <v>10</v>
      </c>
      <c r="X553" s="11">
        <v>1046.2004255171883</v>
      </c>
      <c r="Y553">
        <f>_xlfn.XLOOKUP(Table1820[[#This Row],[Coverage]],CoverageTable[Coverage],CoverageTable[Base Rate],,0)</f>
        <v>453</v>
      </c>
      <c r="Z553">
        <f>INDEX(Table16[Ageband Factor],MATCH(Table1820[[#This Row],[Ageband]],Table16[Ageband],0))</f>
        <v>1.23</v>
      </c>
      <c r="AA553">
        <f>VLOOKUP(Table1820[[#This Row],[Years Driving]],Table1[],2)</f>
        <v>0.93</v>
      </c>
      <c r="AB553">
        <f>_xlfn.XLOOKUP(Table1820[[#This Row],[At Fault Accidents]],Table2[At Fault Accidents],Table2[At Fault Accident Factor],,0)</f>
        <v>1.34</v>
      </c>
      <c r="AC553">
        <f>_xlfn.XLOOKUP(Table1820[[#This Row],[Usage-Based Insurance]],Table3[Usage-Based Insurance],Table3[Usage-Based Insurance Discount],,0)</f>
        <v>0.65</v>
      </c>
      <c r="AD553">
        <f>_xlfn.XLOOKUP(Table1820[[#This Row],[Yearly Miles]],Table4[Yearly Miles],Table4[Yearly Miles Factor],,0)</f>
        <v>1.18</v>
      </c>
      <c r="AE553">
        <f>_xlfn.XLOOKUP(Table1820[[#This Row],[City/Zip Code]],Table5[City/Zip Code],Table5[City/Zip Code Factor],,0)</f>
        <v>1.18</v>
      </c>
      <c r="AF553">
        <f>_xlfn.XLOOKUP(Table1820[[#This Row],[Vehicle Price]],Table6[Vehicle Price],Table6[Vehicle Price Factor])</f>
        <v>2.02</v>
      </c>
      <c r="AG553">
        <f>_xlfn.XLOOKUP(Table1820[[#This Row],[Exotic Car]],Table7[Exotic Car],Table7[Exotic Car Factor],,0)</f>
        <v>1</v>
      </c>
      <c r="AH553">
        <f>_xlfn.XLOOKUP(Table1820[[#This Row],[Difficult Parts]],Table8[Difficult Parts],Table8[Difficult Parts Factor],,0)</f>
        <v>1</v>
      </c>
      <c r="AI553">
        <f>_xlfn.XLOOKUP(Table1820[[#This Row],[High Theft Rate]],Table9[High Theft Rate],Table9[High Theft Rate Factor],,0)</f>
        <v>1</v>
      </c>
      <c r="AJ553">
        <f>_xlfn.XLOOKUP(Table1820[[#This Row],[Advanced Safety Features]],Table10[Advanced Safety Features],Table10[Advanced Safety Features Factor],,0)</f>
        <v>0.88</v>
      </c>
      <c r="AK553">
        <f>_xlfn.XLOOKUP(Table1820[[#This Row],[Deductible]],Table12[Deductible],Table12[Deductible Factor],,0)</f>
        <v>0.95</v>
      </c>
      <c r="AL553">
        <f>_xlfn.XLOOKUP(Table1820[[#This Row],[Coverage Limit]],Table13[Coverage Limit],Table13[Coverage Limit Factor],,0)</f>
        <v>1</v>
      </c>
      <c r="AM553">
        <f>IF(Table1820[[#This Row],[Good Student Discount]]="Yes",'Rate Book'!$D$126,1)</f>
        <v>1</v>
      </c>
      <c r="AN553">
        <f>IF(Table1820[[#This Row],[Good Driver Discount]]="Yes",'Rate Book'!$D$127,1)</f>
        <v>1</v>
      </c>
      <c r="AO553">
        <f>IF(Table1820[[#This Row],[Multi Policy Discount]]="Yes",'Rate Book'!$D$128,1)</f>
        <v>0.93</v>
      </c>
      <c r="AP553">
        <f>IF(Table1820[[#This Row],[Loyal Customer Discount]]="Yes",'Rate Book'!$D$129,1)</f>
        <v>1</v>
      </c>
      <c r="AQ553">
        <f>IF(Table1820[[#This Row],[Organization Discount]]="Yes",'Rate Book'!$D$130,1)</f>
        <v>1</v>
      </c>
      <c r="AR553" cm="1">
        <f t="array" ref="AR553">IF(Table1820[[#This Row],[Effective Date]]&gt;=RateChangeTable[Effective Date],RateChangeTable[Rate Change Factor],1)</f>
        <v>1.06</v>
      </c>
      <c r="AS553" s="10">
        <f>PRODUCT(Table1820[[#This Row],[Base Rate]:[Rate Change Factor]])</f>
        <v>1046.2004255171883</v>
      </c>
      <c r="AT553" s="9">
        <f>Table1820[[#This Row],[System-Generated Premium]]-Table1820[[#This Row],[Expected Premium]]</f>
        <v>0</v>
      </c>
      <c r="AU553" t="str">
        <f>IF(Table1820[[#This Row],[Difference]]=0,"PASS","FAIL")</f>
        <v>PASS</v>
      </c>
      <c r="AV553" s="9">
        <f>ABS(Table1820[[#This Row],[Difference]])</f>
        <v>0</v>
      </c>
      <c r="AW553" s="9" t="s">
        <v>1136</v>
      </c>
    </row>
    <row r="554" spans="1:49" x14ac:dyDescent="0.3">
      <c r="A554" t="s">
        <v>645</v>
      </c>
      <c r="B554" s="7">
        <v>45835</v>
      </c>
      <c r="C554" t="s">
        <v>70</v>
      </c>
      <c r="D554" t="s">
        <v>1102</v>
      </c>
      <c r="E554" s="3">
        <v>2</v>
      </c>
      <c r="F554" s="3">
        <v>3</v>
      </c>
      <c r="G554" t="s">
        <v>12</v>
      </c>
      <c r="H554" t="s">
        <v>1108</v>
      </c>
      <c r="I554" t="s">
        <v>23</v>
      </c>
      <c r="J554" t="s">
        <v>52</v>
      </c>
      <c r="K554" t="s">
        <v>10</v>
      </c>
      <c r="L554" t="s">
        <v>10</v>
      </c>
      <c r="M554" t="s">
        <v>10</v>
      </c>
      <c r="N554" t="s">
        <v>57</v>
      </c>
      <c r="O554" t="str">
        <f>INDEX(CoverageTable[Deductible Applies],MATCH(Table1820[[#This Row],[Coverage]],CoverageTable[Coverage],0))</f>
        <v>No</v>
      </c>
      <c r="P554" t="str">
        <f>INDEX(CoverageTable[Coverage Limit Applies],MATCH(Table1820[[#This Row],[Coverage]],CoverageTable[Coverage],0))</f>
        <v>Yes</v>
      </c>
      <c r="Q554" t="s">
        <v>10</v>
      </c>
      <c r="R554" t="s">
        <v>80</v>
      </c>
      <c r="S554" t="s">
        <v>57</v>
      </c>
      <c r="T554" t="s">
        <v>10</v>
      </c>
      <c r="U554" t="s">
        <v>10</v>
      </c>
      <c r="V554" t="s">
        <v>57</v>
      </c>
      <c r="W554" t="s">
        <v>10</v>
      </c>
      <c r="X554" s="11">
        <v>1497.4064937692397</v>
      </c>
      <c r="Y554">
        <f>_xlfn.XLOOKUP(Table1820[[#This Row],[Coverage]],CoverageTable[Coverage],CoverageTable[Base Rate],,0)</f>
        <v>622</v>
      </c>
      <c r="Z554">
        <f>INDEX(Table16[Ageband Factor],MATCH(Table1820[[#This Row],[Ageband]],Table16[Ageband],0))</f>
        <v>1.27</v>
      </c>
      <c r="AA554">
        <f>VLOOKUP(Table1820[[#This Row],[Years Driving]],Table1[],2)</f>
        <v>1.41</v>
      </c>
      <c r="AB554">
        <f>_xlfn.XLOOKUP(Table1820[[#This Row],[At Fault Accidents]],Table2[At Fault Accidents],Table2[At Fault Accident Factor],,0)</f>
        <v>1.82</v>
      </c>
      <c r="AC554">
        <f>_xlfn.XLOOKUP(Table1820[[#This Row],[Usage-Based Insurance]],Table3[Usage-Based Insurance],Table3[Usage-Based Insurance Discount],,0)</f>
        <v>0.8</v>
      </c>
      <c r="AD554">
        <f>_xlfn.XLOOKUP(Table1820[[#This Row],[Yearly Miles]],Table4[Yearly Miles],Table4[Yearly Miles Factor],,0)</f>
        <v>1</v>
      </c>
      <c r="AE554">
        <f>_xlfn.XLOOKUP(Table1820[[#This Row],[City/Zip Code]],Table5[City/Zip Code],Table5[City/Zip Code Factor],,0)</f>
        <v>0.92</v>
      </c>
      <c r="AF554">
        <f>_xlfn.XLOOKUP(Table1820[[#This Row],[Vehicle Price]],Table6[Vehicle Price],Table6[Vehicle Price Factor])</f>
        <v>1.57</v>
      </c>
      <c r="AG554">
        <f>_xlfn.XLOOKUP(Table1820[[#This Row],[Exotic Car]],Table7[Exotic Car],Table7[Exotic Car Factor],,0)</f>
        <v>1</v>
      </c>
      <c r="AH554">
        <f>_xlfn.XLOOKUP(Table1820[[#This Row],[Difficult Parts]],Table8[Difficult Parts],Table8[Difficult Parts Factor],,0)</f>
        <v>1</v>
      </c>
      <c r="AI554">
        <f>_xlfn.XLOOKUP(Table1820[[#This Row],[High Theft Rate]],Table9[High Theft Rate],Table9[High Theft Rate Factor],,0)</f>
        <v>1</v>
      </c>
      <c r="AJ554">
        <f>_xlfn.XLOOKUP(Table1820[[#This Row],[Advanced Safety Features]],Table10[Advanced Safety Features],Table10[Advanced Safety Features Factor],,0)</f>
        <v>0.88</v>
      </c>
      <c r="AK554">
        <f>_xlfn.XLOOKUP(Table1820[[#This Row],[Deductible]],Table12[Deductible],Table12[Deductible Factor],,0)</f>
        <v>1</v>
      </c>
      <c r="AL554">
        <f>_xlfn.XLOOKUP(Table1820[[#This Row],[Coverage Limit]],Table13[Coverage Limit],Table13[Coverage Limit Factor],,0)</f>
        <v>0.84</v>
      </c>
      <c r="AM554">
        <f>IF(Table1820[[#This Row],[Good Student Discount]]="Yes",'Rate Book'!$D$126,1)</f>
        <v>0.92</v>
      </c>
      <c r="AN554">
        <f>IF(Table1820[[#This Row],[Good Driver Discount]]="Yes",'Rate Book'!$D$127,1)</f>
        <v>1</v>
      </c>
      <c r="AO554">
        <f>IF(Table1820[[#This Row],[Multi Policy Discount]]="Yes",'Rate Book'!$D$128,1)</f>
        <v>1</v>
      </c>
      <c r="AP554">
        <f>IF(Table1820[[#This Row],[Loyal Customer Discount]]="Yes",'Rate Book'!$D$129,1)</f>
        <v>0.94</v>
      </c>
      <c r="AQ554">
        <f>IF(Table1820[[#This Row],[Organization Discount]]="Yes",'Rate Book'!$D$130,1)</f>
        <v>1</v>
      </c>
      <c r="AR554" cm="1">
        <f t="array" ref="AR554">IF(Table1820[[#This Row],[Effective Date]]&gt;=RateChangeTable[Effective Date],RateChangeTable[Rate Change Factor],1)</f>
        <v>1</v>
      </c>
      <c r="AS554" s="10">
        <f>PRODUCT(Table1820[[#This Row],[Base Rate]:[Rate Change Factor]])</f>
        <v>1497.4064937692397</v>
      </c>
      <c r="AT554" s="9">
        <f>Table1820[[#This Row],[System-Generated Premium]]-Table1820[[#This Row],[Expected Premium]]</f>
        <v>0</v>
      </c>
      <c r="AU554" t="str">
        <f>IF(Table1820[[#This Row],[Difference]]=0,"PASS","FAIL")</f>
        <v>PASS</v>
      </c>
      <c r="AV554" s="9">
        <f>ABS(Table1820[[#This Row],[Difference]])</f>
        <v>0</v>
      </c>
      <c r="AW554" s="9" t="s">
        <v>1136</v>
      </c>
    </row>
    <row r="555" spans="1:49" x14ac:dyDescent="0.3">
      <c r="A555" t="s">
        <v>646</v>
      </c>
      <c r="B555" s="7">
        <v>46132</v>
      </c>
      <c r="C555" t="s">
        <v>74</v>
      </c>
      <c r="D555" t="s">
        <v>1102</v>
      </c>
      <c r="E555" s="3">
        <v>2</v>
      </c>
      <c r="F555" s="3">
        <v>0</v>
      </c>
      <c r="G555" t="s">
        <v>12</v>
      </c>
      <c r="H555" t="s">
        <v>1108</v>
      </c>
      <c r="I555" t="s">
        <v>25</v>
      </c>
      <c r="J555" t="s">
        <v>51</v>
      </c>
      <c r="K555" t="s">
        <v>10</v>
      </c>
      <c r="L555" t="s">
        <v>10</v>
      </c>
      <c r="M555" t="s">
        <v>10</v>
      </c>
      <c r="N555" t="s">
        <v>10</v>
      </c>
      <c r="O555" t="str">
        <f>INDEX(CoverageTable[Deductible Applies],MATCH(Table1820[[#This Row],[Coverage]],CoverageTable[Coverage],0))</f>
        <v>No</v>
      </c>
      <c r="P555" t="str">
        <f>INDEX(CoverageTable[Coverage Limit Applies],MATCH(Table1820[[#This Row],[Coverage]],CoverageTable[Coverage],0))</f>
        <v>Yes</v>
      </c>
      <c r="Q555" t="s">
        <v>10</v>
      </c>
      <c r="R555" t="s">
        <v>78</v>
      </c>
      <c r="S555" t="s">
        <v>10</v>
      </c>
      <c r="T555" t="s">
        <v>10</v>
      </c>
      <c r="U555" t="s">
        <v>10</v>
      </c>
      <c r="V555" t="s">
        <v>10</v>
      </c>
      <c r="W555" t="s">
        <v>10</v>
      </c>
      <c r="X555" s="11">
        <v>56.389771721932803</v>
      </c>
      <c r="Y555">
        <f>_xlfn.XLOOKUP(Table1820[[#This Row],[Coverage]],CoverageTable[Coverage],CoverageTable[Base Rate],,0)</f>
        <v>41</v>
      </c>
      <c r="Z555">
        <f>INDEX(Table16[Ageband Factor],MATCH(Table1820[[#This Row],[Ageband]],Table16[Ageband],0))</f>
        <v>1.27</v>
      </c>
      <c r="AA555">
        <f>VLOOKUP(Table1820[[#This Row],[Years Driving]],Table1[],2)</f>
        <v>1.41</v>
      </c>
      <c r="AB555">
        <f>_xlfn.XLOOKUP(Table1820[[#This Row],[At Fault Accidents]],Table2[At Fault Accidents],Table2[At Fault Accident Factor],,0)</f>
        <v>1</v>
      </c>
      <c r="AC555">
        <f>_xlfn.XLOOKUP(Table1820[[#This Row],[Usage-Based Insurance]],Table3[Usage-Based Insurance],Table3[Usage-Based Insurance Discount],,0)</f>
        <v>0.8</v>
      </c>
      <c r="AD555">
        <f>_xlfn.XLOOKUP(Table1820[[#This Row],[Yearly Miles]],Table4[Yearly Miles],Table4[Yearly Miles Factor],,0)</f>
        <v>1</v>
      </c>
      <c r="AE555">
        <f>_xlfn.XLOOKUP(Table1820[[#This Row],[City/Zip Code]],Table5[City/Zip Code],Table5[City/Zip Code Factor],,0)</f>
        <v>1.1599999999999999</v>
      </c>
      <c r="AF555">
        <f>_xlfn.XLOOKUP(Table1820[[#This Row],[Vehicle Price]],Table6[Vehicle Price],Table6[Vehicle Price Factor])</f>
        <v>1.28</v>
      </c>
      <c r="AG555">
        <f>_xlfn.XLOOKUP(Table1820[[#This Row],[Exotic Car]],Table7[Exotic Car],Table7[Exotic Car Factor],,0)</f>
        <v>1</v>
      </c>
      <c r="AH555">
        <f>_xlfn.XLOOKUP(Table1820[[#This Row],[Difficult Parts]],Table8[Difficult Parts],Table8[Difficult Parts Factor],,0)</f>
        <v>1</v>
      </c>
      <c r="AI555">
        <f>_xlfn.XLOOKUP(Table1820[[#This Row],[High Theft Rate]],Table9[High Theft Rate],Table9[High Theft Rate Factor],,0)</f>
        <v>1</v>
      </c>
      <c r="AJ555">
        <f>_xlfn.XLOOKUP(Table1820[[#This Row],[Advanced Safety Features]],Table10[Advanced Safety Features],Table10[Advanced Safety Features Factor],,0)</f>
        <v>1</v>
      </c>
      <c r="AK555">
        <f>_xlfn.XLOOKUP(Table1820[[#This Row],[Deductible]],Table12[Deductible],Table12[Deductible Factor],,0)</f>
        <v>1</v>
      </c>
      <c r="AL555">
        <f>_xlfn.XLOOKUP(Table1820[[#This Row],[Coverage Limit]],Table13[Coverage Limit],Table13[Coverage Limit Factor],,0)</f>
        <v>0.61</v>
      </c>
      <c r="AM555">
        <f>IF(Table1820[[#This Row],[Good Student Discount]]="Yes",'Rate Book'!$D$126,1)</f>
        <v>1</v>
      </c>
      <c r="AN555">
        <f>IF(Table1820[[#This Row],[Good Driver Discount]]="Yes",'Rate Book'!$D$127,1)</f>
        <v>1</v>
      </c>
      <c r="AO555">
        <f>IF(Table1820[[#This Row],[Multi Policy Discount]]="Yes",'Rate Book'!$D$128,1)</f>
        <v>1</v>
      </c>
      <c r="AP555">
        <f>IF(Table1820[[#This Row],[Loyal Customer Discount]]="Yes",'Rate Book'!$D$129,1)</f>
        <v>1</v>
      </c>
      <c r="AQ555">
        <f>IF(Table1820[[#This Row],[Organization Discount]]="Yes",'Rate Book'!$D$130,1)</f>
        <v>1</v>
      </c>
      <c r="AR555" cm="1">
        <f t="array" ref="AR555">IF(Table1820[[#This Row],[Effective Date]]&gt;=RateChangeTable[Effective Date],RateChangeTable[Rate Change Factor],1)</f>
        <v>1.06</v>
      </c>
      <c r="AS555" s="10">
        <f>PRODUCT(Table1820[[#This Row],[Base Rate]:[Rate Change Factor]])</f>
        <v>56.389771721932803</v>
      </c>
      <c r="AT555" s="9">
        <f>Table1820[[#This Row],[System-Generated Premium]]-Table1820[[#This Row],[Expected Premium]]</f>
        <v>0</v>
      </c>
      <c r="AU555" t="str">
        <f>IF(Table1820[[#This Row],[Difference]]=0,"PASS","FAIL")</f>
        <v>PASS</v>
      </c>
      <c r="AV555" s="9">
        <f>ABS(Table1820[[#This Row],[Difference]])</f>
        <v>0</v>
      </c>
      <c r="AW555" s="9" t="s">
        <v>1136</v>
      </c>
    </row>
    <row r="556" spans="1:49" x14ac:dyDescent="0.3">
      <c r="A556" t="s">
        <v>647</v>
      </c>
      <c r="B556" s="7">
        <v>45797</v>
      </c>
      <c r="C556" t="s">
        <v>70</v>
      </c>
      <c r="D556" t="s">
        <v>1097</v>
      </c>
      <c r="E556" s="3">
        <v>1</v>
      </c>
      <c r="F556" s="3">
        <v>0</v>
      </c>
      <c r="G556" t="s">
        <v>11</v>
      </c>
      <c r="H556" t="s">
        <v>1107</v>
      </c>
      <c r="I556" t="s">
        <v>42</v>
      </c>
      <c r="J556" t="s">
        <v>54</v>
      </c>
      <c r="K556" t="s">
        <v>10</v>
      </c>
      <c r="L556" t="s">
        <v>57</v>
      </c>
      <c r="M556" t="s">
        <v>10</v>
      </c>
      <c r="N556" t="s">
        <v>10</v>
      </c>
      <c r="O556" t="str">
        <f>INDEX(CoverageTable[Deductible Applies],MATCH(Table1820[[#This Row],[Coverage]],CoverageTable[Coverage],0))</f>
        <v>No</v>
      </c>
      <c r="P556" t="str">
        <f>INDEX(CoverageTable[Coverage Limit Applies],MATCH(Table1820[[#This Row],[Coverage]],CoverageTable[Coverage],0))</f>
        <v>Yes</v>
      </c>
      <c r="Q556" t="s">
        <v>10</v>
      </c>
      <c r="R556" t="s">
        <v>80</v>
      </c>
      <c r="S556" t="s">
        <v>10</v>
      </c>
      <c r="T556" t="s">
        <v>10</v>
      </c>
      <c r="U556" t="s">
        <v>10</v>
      </c>
      <c r="V556" t="s">
        <v>10</v>
      </c>
      <c r="W556" t="s">
        <v>57</v>
      </c>
      <c r="X556" s="11">
        <v>4073.0371893565562</v>
      </c>
      <c r="Y556">
        <f>_xlfn.XLOOKUP(Table1820[[#This Row],[Coverage]],CoverageTable[Coverage],CoverageTable[Base Rate],,0)</f>
        <v>622</v>
      </c>
      <c r="Z556">
        <f>INDEX(Table16[Ageband Factor],MATCH(Table1820[[#This Row],[Ageband]],Table16[Ageband],0))</f>
        <v>1.32</v>
      </c>
      <c r="AA556">
        <f>VLOOKUP(Table1820[[#This Row],[Years Driving]],Table1[],2)</f>
        <v>1.64</v>
      </c>
      <c r="AB556">
        <f>_xlfn.XLOOKUP(Table1820[[#This Row],[At Fault Accidents]],Table2[At Fault Accidents],Table2[At Fault Accident Factor],,0)</f>
        <v>1</v>
      </c>
      <c r="AC556">
        <f>_xlfn.XLOOKUP(Table1820[[#This Row],[Usage-Based Insurance]],Table3[Usage-Based Insurance],Table3[Usage-Based Insurance Discount],,0)</f>
        <v>0.95</v>
      </c>
      <c r="AD556">
        <f>_xlfn.XLOOKUP(Table1820[[#This Row],[Yearly Miles]],Table4[Yearly Miles],Table4[Yearly Miles Factor],,0)</f>
        <v>0.93</v>
      </c>
      <c r="AE556">
        <f>_xlfn.XLOOKUP(Table1820[[#This Row],[City/Zip Code]],Table5[City/Zip Code],Table5[City/Zip Code Factor],,0)</f>
        <v>1.21</v>
      </c>
      <c r="AF556">
        <f>_xlfn.XLOOKUP(Table1820[[#This Row],[Vehicle Price]],Table6[Vehicle Price],Table6[Vehicle Price Factor])</f>
        <v>2.87</v>
      </c>
      <c r="AG556">
        <f>_xlfn.XLOOKUP(Table1820[[#This Row],[Exotic Car]],Table7[Exotic Car],Table7[Exotic Car Factor],,0)</f>
        <v>1</v>
      </c>
      <c r="AH556">
        <f>_xlfn.XLOOKUP(Table1820[[#This Row],[Difficult Parts]],Table8[Difficult Parts],Table8[Difficult Parts Factor],,0)</f>
        <v>1.21</v>
      </c>
      <c r="AI556">
        <f>_xlfn.XLOOKUP(Table1820[[#This Row],[High Theft Rate]],Table9[High Theft Rate],Table9[High Theft Rate Factor],,0)</f>
        <v>1</v>
      </c>
      <c r="AJ556">
        <f>_xlfn.XLOOKUP(Table1820[[#This Row],[Advanced Safety Features]],Table10[Advanced Safety Features],Table10[Advanced Safety Features Factor],,0)</f>
        <v>1</v>
      </c>
      <c r="AK556">
        <f>_xlfn.XLOOKUP(Table1820[[#This Row],[Deductible]],Table12[Deductible],Table12[Deductible Factor],,0)</f>
        <v>1</v>
      </c>
      <c r="AL556">
        <f>_xlfn.XLOOKUP(Table1820[[#This Row],[Coverage Limit]],Table13[Coverage Limit],Table13[Coverage Limit Factor],,0)</f>
        <v>0.84</v>
      </c>
      <c r="AM556">
        <f>IF(Table1820[[#This Row],[Good Student Discount]]="Yes",'Rate Book'!$D$126,1)</f>
        <v>1</v>
      </c>
      <c r="AN556">
        <f>IF(Table1820[[#This Row],[Good Driver Discount]]="Yes",'Rate Book'!$D$127,1)</f>
        <v>1</v>
      </c>
      <c r="AO556">
        <f>IF(Table1820[[#This Row],[Multi Policy Discount]]="Yes",'Rate Book'!$D$128,1)</f>
        <v>1</v>
      </c>
      <c r="AP556">
        <f>IF(Table1820[[#This Row],[Loyal Customer Discount]]="Yes",'Rate Book'!$D$129,1)</f>
        <v>1</v>
      </c>
      <c r="AQ556">
        <f>IF(Table1820[[#This Row],[Organization Discount]]="Yes",'Rate Book'!$D$130,1)</f>
        <v>0.97</v>
      </c>
      <c r="AR556" cm="1">
        <f t="array" ref="AR556">IF(Table1820[[#This Row],[Effective Date]]&gt;=RateChangeTable[Effective Date],RateChangeTable[Rate Change Factor],1)</f>
        <v>1</v>
      </c>
      <c r="AS556" s="10">
        <f>PRODUCT(Table1820[[#This Row],[Base Rate]:[Rate Change Factor]])</f>
        <v>4073.0371893565562</v>
      </c>
      <c r="AT556" s="9">
        <f>Table1820[[#This Row],[System-Generated Premium]]-Table1820[[#This Row],[Expected Premium]]</f>
        <v>0</v>
      </c>
      <c r="AU556" t="str">
        <f>IF(Table1820[[#This Row],[Difference]]=0,"PASS","FAIL")</f>
        <v>PASS</v>
      </c>
      <c r="AV556" s="9">
        <f>ABS(Table1820[[#This Row],[Difference]])</f>
        <v>0</v>
      </c>
      <c r="AW556" s="9" t="s">
        <v>1136</v>
      </c>
    </row>
    <row r="557" spans="1:49" x14ac:dyDescent="0.3">
      <c r="A557" t="s">
        <v>648</v>
      </c>
      <c r="B557" s="7">
        <v>45871</v>
      </c>
      <c r="C557" t="s">
        <v>70</v>
      </c>
      <c r="D557" t="s">
        <v>1100</v>
      </c>
      <c r="E557" s="3" t="s">
        <v>1103</v>
      </c>
      <c r="F557" s="3">
        <v>0</v>
      </c>
      <c r="G557" t="s">
        <v>12</v>
      </c>
      <c r="H557" t="s">
        <v>1109</v>
      </c>
      <c r="I557" t="s">
        <v>35</v>
      </c>
      <c r="J557" t="s">
        <v>52</v>
      </c>
      <c r="K557" t="s">
        <v>10</v>
      </c>
      <c r="L557" t="s">
        <v>10</v>
      </c>
      <c r="M557" t="s">
        <v>10</v>
      </c>
      <c r="N557" t="s">
        <v>57</v>
      </c>
      <c r="O557" t="str">
        <f>INDEX(CoverageTable[Deductible Applies],MATCH(Table1820[[#This Row],[Coverage]],CoverageTable[Coverage],0))</f>
        <v>No</v>
      </c>
      <c r="P557" t="str">
        <f>INDEX(CoverageTable[Coverage Limit Applies],MATCH(Table1820[[#This Row],[Coverage]],CoverageTable[Coverage],0))</f>
        <v>Yes</v>
      </c>
      <c r="Q557" t="s">
        <v>10</v>
      </c>
      <c r="R557" t="s">
        <v>79</v>
      </c>
      <c r="S557" t="s">
        <v>10</v>
      </c>
      <c r="T557" t="s">
        <v>10</v>
      </c>
      <c r="U557" t="s">
        <v>10</v>
      </c>
      <c r="V557" t="s">
        <v>57</v>
      </c>
      <c r="W557" t="s">
        <v>10</v>
      </c>
      <c r="X557" s="11">
        <v>611.91317284366141</v>
      </c>
      <c r="Y557">
        <f>_xlfn.XLOOKUP(Table1820[[#This Row],[Coverage]],CoverageTable[Coverage],CoverageTable[Base Rate],,0)</f>
        <v>622</v>
      </c>
      <c r="Z557">
        <f>INDEX(Table16[Ageband Factor],MATCH(Table1820[[#This Row],[Ageband]],Table16[Ageband],0))</f>
        <v>1.07</v>
      </c>
      <c r="AA557">
        <f>VLOOKUP(Table1820[[#This Row],[Years Driving]],Table1[],2)</f>
        <v>0.93</v>
      </c>
      <c r="AB557">
        <f>_xlfn.XLOOKUP(Table1820[[#This Row],[At Fault Accidents]],Table2[At Fault Accidents],Table2[At Fault Accident Factor],,0)</f>
        <v>1</v>
      </c>
      <c r="AC557">
        <f>_xlfn.XLOOKUP(Table1820[[#This Row],[Usage-Based Insurance]],Table3[Usage-Based Insurance],Table3[Usage-Based Insurance Discount],,0)</f>
        <v>0.8</v>
      </c>
      <c r="AD557">
        <f>_xlfn.XLOOKUP(Table1820[[#This Row],[Yearly Miles]],Table4[Yearly Miles],Table4[Yearly Miles Factor],,0)</f>
        <v>1.18</v>
      </c>
      <c r="AE557">
        <f>_xlfn.XLOOKUP(Table1820[[#This Row],[City/Zip Code]],Table5[City/Zip Code],Table5[City/Zip Code Factor],,0)</f>
        <v>1.1200000000000001</v>
      </c>
      <c r="AF557">
        <f>_xlfn.XLOOKUP(Table1820[[#This Row],[Vehicle Price]],Table6[Vehicle Price],Table6[Vehicle Price Factor])</f>
        <v>1.57</v>
      </c>
      <c r="AG557">
        <f>_xlfn.XLOOKUP(Table1820[[#This Row],[Exotic Car]],Table7[Exotic Car],Table7[Exotic Car Factor],,0)</f>
        <v>1</v>
      </c>
      <c r="AH557">
        <f>_xlfn.XLOOKUP(Table1820[[#This Row],[Difficult Parts]],Table8[Difficult Parts],Table8[Difficult Parts Factor],,0)</f>
        <v>1</v>
      </c>
      <c r="AI557">
        <f>_xlfn.XLOOKUP(Table1820[[#This Row],[High Theft Rate]],Table9[High Theft Rate],Table9[High Theft Rate Factor],,0)</f>
        <v>1</v>
      </c>
      <c r="AJ557">
        <f>_xlfn.XLOOKUP(Table1820[[#This Row],[Advanced Safety Features]],Table10[Advanced Safety Features],Table10[Advanced Safety Features Factor],,0)</f>
        <v>0.88</v>
      </c>
      <c r="AK557">
        <f>_xlfn.XLOOKUP(Table1820[[#This Row],[Deductible]],Table12[Deductible],Table12[Deductible Factor],,0)</f>
        <v>1</v>
      </c>
      <c r="AL557">
        <f>_xlfn.XLOOKUP(Table1820[[#This Row],[Coverage Limit]],Table13[Coverage Limit],Table13[Coverage Limit Factor],,0)</f>
        <v>0.72</v>
      </c>
      <c r="AM557">
        <f>IF(Table1820[[#This Row],[Good Student Discount]]="Yes",'Rate Book'!$D$126,1)</f>
        <v>1</v>
      </c>
      <c r="AN557">
        <f>IF(Table1820[[#This Row],[Good Driver Discount]]="Yes",'Rate Book'!$D$127,1)</f>
        <v>1</v>
      </c>
      <c r="AO557">
        <f>IF(Table1820[[#This Row],[Multi Policy Discount]]="Yes",'Rate Book'!$D$128,1)</f>
        <v>1</v>
      </c>
      <c r="AP557">
        <f>IF(Table1820[[#This Row],[Loyal Customer Discount]]="Yes",'Rate Book'!$D$129,1)</f>
        <v>0.94</v>
      </c>
      <c r="AQ557">
        <f>IF(Table1820[[#This Row],[Organization Discount]]="Yes",'Rate Book'!$D$130,1)</f>
        <v>1</v>
      </c>
      <c r="AR557" cm="1">
        <f t="array" ref="AR557">IF(Table1820[[#This Row],[Effective Date]]&gt;=RateChangeTable[Effective Date],RateChangeTable[Rate Change Factor],1)</f>
        <v>1</v>
      </c>
      <c r="AS557" s="10">
        <f>PRODUCT(Table1820[[#This Row],[Base Rate]:[Rate Change Factor]])</f>
        <v>611.91317284366141</v>
      </c>
      <c r="AT557" s="9">
        <f>Table1820[[#This Row],[System-Generated Premium]]-Table1820[[#This Row],[Expected Premium]]</f>
        <v>0</v>
      </c>
      <c r="AU557" t="str">
        <f>IF(Table1820[[#This Row],[Difference]]=0,"PASS","FAIL")</f>
        <v>PASS</v>
      </c>
      <c r="AV557" s="9">
        <f>ABS(Table1820[[#This Row],[Difference]])</f>
        <v>0</v>
      </c>
      <c r="AW557" s="9" t="s">
        <v>1136</v>
      </c>
    </row>
    <row r="558" spans="1:49" x14ac:dyDescent="0.3">
      <c r="A558" t="s">
        <v>649</v>
      </c>
      <c r="B558" s="7">
        <v>45935</v>
      </c>
      <c r="C558" t="s">
        <v>71</v>
      </c>
      <c r="D558" t="s">
        <v>1101</v>
      </c>
      <c r="E558" s="3">
        <v>3</v>
      </c>
      <c r="F558" s="3">
        <v>0</v>
      </c>
      <c r="G558" t="s">
        <v>13</v>
      </c>
      <c r="H558" t="s">
        <v>1106</v>
      </c>
      <c r="I558" t="s">
        <v>40</v>
      </c>
      <c r="J558" t="s">
        <v>50</v>
      </c>
      <c r="K558" t="s">
        <v>10</v>
      </c>
      <c r="L558" t="s">
        <v>10</v>
      </c>
      <c r="M558" t="s">
        <v>10</v>
      </c>
      <c r="N558" t="s">
        <v>10</v>
      </c>
      <c r="O558" t="str">
        <f>INDEX(CoverageTable[Deductible Applies],MATCH(Table1820[[#This Row],[Coverage]],CoverageTable[Coverage],0))</f>
        <v>Yes</v>
      </c>
      <c r="P558" t="str">
        <f>INDEX(CoverageTable[Coverage Limit Applies],MATCH(Table1820[[#This Row],[Coverage]],CoverageTable[Coverage],0))</f>
        <v>No</v>
      </c>
      <c r="Q558" t="s">
        <v>80</v>
      </c>
      <c r="R558" t="s">
        <v>10</v>
      </c>
      <c r="S558" t="s">
        <v>10</v>
      </c>
      <c r="T558" t="s">
        <v>57</v>
      </c>
      <c r="U558" t="s">
        <v>10</v>
      </c>
      <c r="V558" t="s">
        <v>10</v>
      </c>
      <c r="W558" t="s">
        <v>57</v>
      </c>
      <c r="X558" s="11">
        <v>241.40583053701053</v>
      </c>
      <c r="Y558">
        <f>_xlfn.XLOOKUP(Table1820[[#This Row],[Coverage]],CoverageTable[Coverage],CoverageTable[Base Rate],,0)</f>
        <v>453</v>
      </c>
      <c r="Z558">
        <f>INDEX(Table16[Ageband Factor],MATCH(Table1820[[#This Row],[Ageband]],Table16[Ageband],0))</f>
        <v>1.1200000000000001</v>
      </c>
      <c r="AA558">
        <f>VLOOKUP(Table1820[[#This Row],[Years Driving]],Table1[],2)</f>
        <v>1.22</v>
      </c>
      <c r="AB558">
        <f>_xlfn.XLOOKUP(Table1820[[#This Row],[At Fault Accidents]],Table2[At Fault Accidents],Table2[At Fault Accident Factor],,0)</f>
        <v>1</v>
      </c>
      <c r="AC558">
        <f>_xlfn.XLOOKUP(Table1820[[#This Row],[Usage-Based Insurance]],Table3[Usage-Based Insurance],Table3[Usage-Based Insurance Discount],,0)</f>
        <v>0.65</v>
      </c>
      <c r="AD558">
        <f>_xlfn.XLOOKUP(Table1820[[#This Row],[Yearly Miles]],Table4[Yearly Miles],Table4[Yearly Miles Factor],,0)</f>
        <v>0.82</v>
      </c>
      <c r="AE558">
        <f>_xlfn.XLOOKUP(Table1820[[#This Row],[City/Zip Code]],Table5[City/Zip Code],Table5[City/Zip Code Factor],,0)</f>
        <v>1.0900000000000001</v>
      </c>
      <c r="AF558">
        <f>_xlfn.XLOOKUP(Table1820[[#This Row],[Vehicle Price]],Table6[Vehicle Price],Table6[Vehicle Price Factor])</f>
        <v>1.08</v>
      </c>
      <c r="AG558">
        <f>_xlfn.XLOOKUP(Table1820[[#This Row],[Exotic Car]],Table7[Exotic Car],Table7[Exotic Car Factor],,0)</f>
        <v>1</v>
      </c>
      <c r="AH558">
        <f>_xlfn.XLOOKUP(Table1820[[#This Row],[Difficult Parts]],Table8[Difficult Parts],Table8[Difficult Parts Factor],,0)</f>
        <v>1</v>
      </c>
      <c r="AI558">
        <f>_xlfn.XLOOKUP(Table1820[[#This Row],[High Theft Rate]],Table9[High Theft Rate],Table9[High Theft Rate Factor],,0)</f>
        <v>1</v>
      </c>
      <c r="AJ558">
        <f>_xlfn.XLOOKUP(Table1820[[#This Row],[Advanced Safety Features]],Table10[Advanced Safety Features],Table10[Advanced Safety Features Factor],,0)</f>
        <v>1</v>
      </c>
      <c r="AK558">
        <f>_xlfn.XLOOKUP(Table1820[[#This Row],[Deductible]],Table12[Deductible],Table12[Deductible Factor],,0)</f>
        <v>0.72</v>
      </c>
      <c r="AL558">
        <f>_xlfn.XLOOKUP(Table1820[[#This Row],[Coverage Limit]],Table13[Coverage Limit],Table13[Coverage Limit Factor],,0)</f>
        <v>1</v>
      </c>
      <c r="AM558">
        <f>IF(Table1820[[#This Row],[Good Student Discount]]="Yes",'Rate Book'!$D$126,1)</f>
        <v>1</v>
      </c>
      <c r="AN558">
        <f>IF(Table1820[[#This Row],[Good Driver Discount]]="Yes",'Rate Book'!$D$127,1)</f>
        <v>0.89</v>
      </c>
      <c r="AO558">
        <f>IF(Table1820[[#This Row],[Multi Policy Discount]]="Yes",'Rate Book'!$D$128,1)</f>
        <v>1</v>
      </c>
      <c r="AP558">
        <f>IF(Table1820[[#This Row],[Loyal Customer Discount]]="Yes",'Rate Book'!$D$129,1)</f>
        <v>1</v>
      </c>
      <c r="AQ558">
        <f>IF(Table1820[[#This Row],[Organization Discount]]="Yes",'Rate Book'!$D$130,1)</f>
        <v>0.97</v>
      </c>
      <c r="AR558" cm="1">
        <f t="array" ref="AR558">IF(Table1820[[#This Row],[Effective Date]]&gt;=RateChangeTable[Effective Date],RateChangeTable[Rate Change Factor],1)</f>
        <v>1</v>
      </c>
      <c r="AS558" s="10">
        <f>PRODUCT(Table1820[[#This Row],[Base Rate]:[Rate Change Factor]])</f>
        <v>241.40583053701053</v>
      </c>
      <c r="AT558" s="9">
        <f>Table1820[[#This Row],[System-Generated Premium]]-Table1820[[#This Row],[Expected Premium]]</f>
        <v>0</v>
      </c>
      <c r="AU558" t="str">
        <f>IF(Table1820[[#This Row],[Difference]]=0,"PASS","FAIL")</f>
        <v>PASS</v>
      </c>
      <c r="AV558" s="9">
        <f>ABS(Table1820[[#This Row],[Difference]])</f>
        <v>0</v>
      </c>
      <c r="AW558" s="9" t="s">
        <v>1136</v>
      </c>
    </row>
    <row r="559" spans="1:49" x14ac:dyDescent="0.3">
      <c r="A559" t="s">
        <v>650</v>
      </c>
      <c r="B559" s="7">
        <v>46097</v>
      </c>
      <c r="C559" t="s">
        <v>71</v>
      </c>
      <c r="D559" t="s">
        <v>1100</v>
      </c>
      <c r="E559" s="3" t="s">
        <v>1103</v>
      </c>
      <c r="F559" s="3">
        <v>0</v>
      </c>
      <c r="G559" t="s">
        <v>10</v>
      </c>
      <c r="H559" t="s">
        <v>1107</v>
      </c>
      <c r="I559" t="s">
        <v>27</v>
      </c>
      <c r="J559" t="s">
        <v>53</v>
      </c>
      <c r="K559" t="s">
        <v>10</v>
      </c>
      <c r="L559" t="s">
        <v>10</v>
      </c>
      <c r="M559" t="s">
        <v>10</v>
      </c>
      <c r="N559" t="s">
        <v>57</v>
      </c>
      <c r="O559" t="str">
        <f>INDEX(CoverageTable[Deductible Applies],MATCH(Table1820[[#This Row],[Coverage]],CoverageTable[Coverage],0))</f>
        <v>Yes</v>
      </c>
      <c r="P559" t="str">
        <f>INDEX(CoverageTable[Coverage Limit Applies],MATCH(Table1820[[#This Row],[Coverage]],CoverageTable[Coverage],0))</f>
        <v>No</v>
      </c>
      <c r="Q559" t="s">
        <v>79</v>
      </c>
      <c r="R559" t="s">
        <v>10</v>
      </c>
      <c r="S559" t="s">
        <v>57</v>
      </c>
      <c r="T559" t="s">
        <v>10</v>
      </c>
      <c r="U559" t="s">
        <v>10</v>
      </c>
      <c r="V559" t="s">
        <v>10</v>
      </c>
      <c r="W559" t="s">
        <v>10</v>
      </c>
      <c r="X559" s="11">
        <v>573.82934084556859</v>
      </c>
      <c r="Y559">
        <f>_xlfn.XLOOKUP(Table1820[[#This Row],[Coverage]],CoverageTable[Coverage],CoverageTable[Base Rate],,0)</f>
        <v>453</v>
      </c>
      <c r="Z559">
        <f>INDEX(Table16[Ageband Factor],MATCH(Table1820[[#This Row],[Ageband]],Table16[Ageband],0))</f>
        <v>1.07</v>
      </c>
      <c r="AA559">
        <f>VLOOKUP(Table1820[[#This Row],[Years Driving]],Table1[],2)</f>
        <v>0.93</v>
      </c>
      <c r="AB559">
        <f>_xlfn.XLOOKUP(Table1820[[#This Row],[At Fault Accidents]],Table2[At Fault Accidents],Table2[At Fault Accident Factor],,0)</f>
        <v>1</v>
      </c>
      <c r="AC559">
        <f>_xlfn.XLOOKUP(Table1820[[#This Row],[Usage-Based Insurance]],Table3[Usage-Based Insurance],Table3[Usage-Based Insurance Discount],,0)</f>
        <v>1</v>
      </c>
      <c r="AD559">
        <f>_xlfn.XLOOKUP(Table1820[[#This Row],[Yearly Miles]],Table4[Yearly Miles],Table4[Yearly Miles Factor],,0)</f>
        <v>0.93</v>
      </c>
      <c r="AE559">
        <f>_xlfn.XLOOKUP(Table1820[[#This Row],[City/Zip Code]],Table5[City/Zip Code],Table5[City/Zip Code Factor],,0)</f>
        <v>0.94</v>
      </c>
      <c r="AF559">
        <f>_xlfn.XLOOKUP(Table1820[[#This Row],[Vehicle Price]],Table6[Vehicle Price],Table6[Vehicle Price Factor])</f>
        <v>2.02</v>
      </c>
      <c r="AG559">
        <f>_xlfn.XLOOKUP(Table1820[[#This Row],[Exotic Car]],Table7[Exotic Car],Table7[Exotic Car Factor],,0)</f>
        <v>1</v>
      </c>
      <c r="AH559">
        <f>_xlfn.XLOOKUP(Table1820[[#This Row],[Difficult Parts]],Table8[Difficult Parts],Table8[Difficult Parts Factor],,0)</f>
        <v>1</v>
      </c>
      <c r="AI559">
        <f>_xlfn.XLOOKUP(Table1820[[#This Row],[High Theft Rate]],Table9[High Theft Rate],Table9[High Theft Rate Factor],,0)</f>
        <v>1</v>
      </c>
      <c r="AJ559">
        <f>_xlfn.XLOOKUP(Table1820[[#This Row],[Advanced Safety Features]],Table10[Advanced Safety Features],Table10[Advanced Safety Features Factor],,0)</f>
        <v>0.88</v>
      </c>
      <c r="AK559">
        <f>_xlfn.XLOOKUP(Table1820[[#This Row],[Deductible]],Table12[Deductible],Table12[Deductible Factor],,0)</f>
        <v>0.84</v>
      </c>
      <c r="AL559">
        <f>_xlfn.XLOOKUP(Table1820[[#This Row],[Coverage Limit]],Table13[Coverage Limit],Table13[Coverage Limit Factor],,0)</f>
        <v>1</v>
      </c>
      <c r="AM559">
        <f>IF(Table1820[[#This Row],[Good Student Discount]]="Yes",'Rate Book'!$D$126,1)</f>
        <v>0.92</v>
      </c>
      <c r="AN559">
        <f>IF(Table1820[[#This Row],[Good Driver Discount]]="Yes",'Rate Book'!$D$127,1)</f>
        <v>1</v>
      </c>
      <c r="AO559">
        <f>IF(Table1820[[#This Row],[Multi Policy Discount]]="Yes",'Rate Book'!$D$128,1)</f>
        <v>1</v>
      </c>
      <c r="AP559">
        <f>IF(Table1820[[#This Row],[Loyal Customer Discount]]="Yes",'Rate Book'!$D$129,1)</f>
        <v>1</v>
      </c>
      <c r="AQ559">
        <f>IF(Table1820[[#This Row],[Organization Discount]]="Yes",'Rate Book'!$D$130,1)</f>
        <v>1</v>
      </c>
      <c r="AR559" cm="1">
        <f t="array" ref="AR559">IF(Table1820[[#This Row],[Effective Date]]&gt;=RateChangeTable[Effective Date],RateChangeTable[Rate Change Factor],1)</f>
        <v>1.06</v>
      </c>
      <c r="AS559" s="10">
        <f>PRODUCT(Table1820[[#This Row],[Base Rate]:[Rate Change Factor]])</f>
        <v>573.82934084556859</v>
      </c>
      <c r="AT559" s="9">
        <f>Table1820[[#This Row],[System-Generated Premium]]-Table1820[[#This Row],[Expected Premium]]</f>
        <v>0</v>
      </c>
      <c r="AU559" t="str">
        <f>IF(Table1820[[#This Row],[Difference]]=0,"PASS","FAIL")</f>
        <v>PASS</v>
      </c>
      <c r="AV559" s="9">
        <f>ABS(Table1820[[#This Row],[Difference]])</f>
        <v>0</v>
      </c>
      <c r="AW559" s="9" t="s">
        <v>1136</v>
      </c>
    </row>
    <row r="560" spans="1:49" x14ac:dyDescent="0.3">
      <c r="A560" t="s">
        <v>651</v>
      </c>
      <c r="B560" s="7">
        <v>46136</v>
      </c>
      <c r="C560" t="s">
        <v>70</v>
      </c>
      <c r="D560" t="s">
        <v>1098</v>
      </c>
      <c r="E560" s="3">
        <v>1</v>
      </c>
      <c r="F560" s="3">
        <v>0</v>
      </c>
      <c r="G560" t="s">
        <v>12</v>
      </c>
      <c r="H560" t="s">
        <v>1107</v>
      </c>
      <c r="I560" t="s">
        <v>33</v>
      </c>
      <c r="J560" t="s">
        <v>50</v>
      </c>
      <c r="K560" t="s">
        <v>10</v>
      </c>
      <c r="L560" t="s">
        <v>10</v>
      </c>
      <c r="M560" t="s">
        <v>57</v>
      </c>
      <c r="N560" t="s">
        <v>10</v>
      </c>
      <c r="O560" t="str">
        <f>INDEX(CoverageTable[Deductible Applies],MATCH(Table1820[[#This Row],[Coverage]],CoverageTable[Coverage],0))</f>
        <v>No</v>
      </c>
      <c r="P560" t="str">
        <f>INDEX(CoverageTable[Coverage Limit Applies],MATCH(Table1820[[#This Row],[Coverage]],CoverageTable[Coverage],0))</f>
        <v>Yes</v>
      </c>
      <c r="Q560" t="s">
        <v>10</v>
      </c>
      <c r="R560" t="s">
        <v>78</v>
      </c>
      <c r="S560" t="s">
        <v>10</v>
      </c>
      <c r="T560" t="s">
        <v>57</v>
      </c>
      <c r="U560" t="s">
        <v>10</v>
      </c>
      <c r="V560" t="s">
        <v>10</v>
      </c>
      <c r="W560" t="s">
        <v>10</v>
      </c>
      <c r="X560" s="11">
        <v>686.46737706382737</v>
      </c>
      <c r="Y560">
        <f>_xlfn.XLOOKUP(Table1820[[#This Row],[Coverage]],CoverageTable[Coverage],CoverageTable[Base Rate],,0)</f>
        <v>622</v>
      </c>
      <c r="Z560">
        <f>INDEX(Table16[Ageband Factor],MATCH(Table1820[[#This Row],[Ageband]],Table16[Ageband],0))</f>
        <v>1.23</v>
      </c>
      <c r="AA560">
        <f>VLOOKUP(Table1820[[#This Row],[Years Driving]],Table1[],2)</f>
        <v>1.64</v>
      </c>
      <c r="AB560">
        <f>_xlfn.XLOOKUP(Table1820[[#This Row],[At Fault Accidents]],Table2[At Fault Accidents],Table2[At Fault Accident Factor],,0)</f>
        <v>1</v>
      </c>
      <c r="AC560">
        <f>_xlfn.XLOOKUP(Table1820[[#This Row],[Usage-Based Insurance]],Table3[Usage-Based Insurance],Table3[Usage-Based Insurance Discount],,0)</f>
        <v>0.8</v>
      </c>
      <c r="AD560">
        <f>_xlfn.XLOOKUP(Table1820[[#This Row],[Yearly Miles]],Table4[Yearly Miles],Table4[Yearly Miles Factor],,0)</f>
        <v>0.93</v>
      </c>
      <c r="AE560">
        <f>_xlfn.XLOOKUP(Table1820[[#This Row],[City/Zip Code]],Table5[City/Zip Code],Table5[City/Zip Code Factor],,0)</f>
        <v>1.02</v>
      </c>
      <c r="AF560">
        <f>_xlfn.XLOOKUP(Table1820[[#This Row],[Vehicle Price]],Table6[Vehicle Price],Table6[Vehicle Price Factor])</f>
        <v>1.08</v>
      </c>
      <c r="AG560">
        <f>_xlfn.XLOOKUP(Table1820[[#This Row],[Exotic Car]],Table7[Exotic Car],Table7[Exotic Car Factor],,0)</f>
        <v>1</v>
      </c>
      <c r="AH560">
        <f>_xlfn.XLOOKUP(Table1820[[#This Row],[Difficult Parts]],Table8[Difficult Parts],Table8[Difficult Parts Factor],,0)</f>
        <v>1</v>
      </c>
      <c r="AI560">
        <f>_xlfn.XLOOKUP(Table1820[[#This Row],[High Theft Rate]],Table9[High Theft Rate],Table9[High Theft Rate Factor],,0)</f>
        <v>1.1599999999999999</v>
      </c>
      <c r="AJ560">
        <f>_xlfn.XLOOKUP(Table1820[[#This Row],[Advanced Safety Features]],Table10[Advanced Safety Features],Table10[Advanced Safety Features Factor],,0)</f>
        <v>1</v>
      </c>
      <c r="AK560">
        <f>_xlfn.XLOOKUP(Table1820[[#This Row],[Deductible]],Table12[Deductible],Table12[Deductible Factor],,0)</f>
        <v>1</v>
      </c>
      <c r="AL560">
        <f>_xlfn.XLOOKUP(Table1820[[#This Row],[Coverage Limit]],Table13[Coverage Limit],Table13[Coverage Limit Factor],,0)</f>
        <v>0.61</v>
      </c>
      <c r="AM560">
        <f>IF(Table1820[[#This Row],[Good Student Discount]]="Yes",'Rate Book'!$D$126,1)</f>
        <v>1</v>
      </c>
      <c r="AN560">
        <f>IF(Table1820[[#This Row],[Good Driver Discount]]="Yes",'Rate Book'!$D$127,1)</f>
        <v>0.89</v>
      </c>
      <c r="AO560">
        <f>IF(Table1820[[#This Row],[Multi Policy Discount]]="Yes",'Rate Book'!$D$128,1)</f>
        <v>1</v>
      </c>
      <c r="AP560">
        <f>IF(Table1820[[#This Row],[Loyal Customer Discount]]="Yes",'Rate Book'!$D$129,1)</f>
        <v>1</v>
      </c>
      <c r="AQ560">
        <f>IF(Table1820[[#This Row],[Organization Discount]]="Yes",'Rate Book'!$D$130,1)</f>
        <v>1</v>
      </c>
      <c r="AR560" cm="1">
        <f t="array" ref="AR560">IF(Table1820[[#This Row],[Effective Date]]&gt;=RateChangeTable[Effective Date],RateChangeTable[Rate Change Factor],1)</f>
        <v>1.06</v>
      </c>
      <c r="AS560" s="10">
        <f>PRODUCT(Table1820[[#This Row],[Base Rate]:[Rate Change Factor]])</f>
        <v>686.46737706382737</v>
      </c>
      <c r="AT560" s="9">
        <f>Table1820[[#This Row],[System-Generated Premium]]-Table1820[[#This Row],[Expected Premium]]</f>
        <v>0</v>
      </c>
      <c r="AU560" t="str">
        <f>IF(Table1820[[#This Row],[Difference]]=0,"PASS","FAIL")</f>
        <v>PASS</v>
      </c>
      <c r="AV560" s="9">
        <f>ABS(Table1820[[#This Row],[Difference]])</f>
        <v>0</v>
      </c>
      <c r="AW560" s="9" t="s">
        <v>1136</v>
      </c>
    </row>
    <row r="561" spans="1:49" x14ac:dyDescent="0.3">
      <c r="A561" t="s">
        <v>652</v>
      </c>
      <c r="B561" s="7">
        <v>45863</v>
      </c>
      <c r="C561" t="s">
        <v>72</v>
      </c>
      <c r="D561" t="s">
        <v>1097</v>
      </c>
      <c r="E561" s="3" t="s">
        <v>1103</v>
      </c>
      <c r="F561" s="3">
        <v>4</v>
      </c>
      <c r="G561" t="s">
        <v>10</v>
      </c>
      <c r="H561" t="s">
        <v>1106</v>
      </c>
      <c r="I561" t="s">
        <v>26</v>
      </c>
      <c r="J561" t="s">
        <v>48</v>
      </c>
      <c r="K561" t="s">
        <v>10</v>
      </c>
      <c r="L561" t="s">
        <v>10</v>
      </c>
      <c r="M561" t="s">
        <v>10</v>
      </c>
      <c r="N561" t="s">
        <v>57</v>
      </c>
      <c r="O561" t="str">
        <f>INDEX(CoverageTable[Deductible Applies],MATCH(Table1820[[#This Row],[Coverage]],CoverageTable[Coverage],0))</f>
        <v>Yes</v>
      </c>
      <c r="P561" t="str">
        <f>INDEX(CoverageTable[Coverage Limit Applies],MATCH(Table1820[[#This Row],[Coverage]],CoverageTable[Coverage],0))</f>
        <v>No</v>
      </c>
      <c r="Q561" t="s">
        <v>80</v>
      </c>
      <c r="R561" t="s">
        <v>10</v>
      </c>
      <c r="S561" t="s">
        <v>10</v>
      </c>
      <c r="T561" t="s">
        <v>10</v>
      </c>
      <c r="U561" t="s">
        <v>10</v>
      </c>
      <c r="V561" t="s">
        <v>10</v>
      </c>
      <c r="W561" t="s">
        <v>57</v>
      </c>
      <c r="X561" s="11">
        <v>149.65476832995597</v>
      </c>
      <c r="Y561">
        <f>_xlfn.XLOOKUP(Table1820[[#This Row],[Coverage]],CoverageTable[Coverage],CoverageTable[Base Rate],,0)</f>
        <v>121</v>
      </c>
      <c r="Z561">
        <f>INDEX(Table16[Ageband Factor],MATCH(Table1820[[#This Row],[Ageband]],Table16[Ageband],0))</f>
        <v>1.32</v>
      </c>
      <c r="AA561">
        <f>VLOOKUP(Table1820[[#This Row],[Years Driving]],Table1[],2)</f>
        <v>0.93</v>
      </c>
      <c r="AB561">
        <f>_xlfn.XLOOKUP(Table1820[[#This Row],[At Fault Accidents]],Table2[At Fault Accidents],Table2[At Fault Accident Factor],,0)</f>
        <v>2.12</v>
      </c>
      <c r="AC561">
        <f>_xlfn.XLOOKUP(Table1820[[#This Row],[Usage-Based Insurance]],Table3[Usage-Based Insurance],Table3[Usage-Based Insurance Discount],,0)</f>
        <v>1</v>
      </c>
      <c r="AD561">
        <f>_xlfn.XLOOKUP(Table1820[[#This Row],[Yearly Miles]],Table4[Yearly Miles],Table4[Yearly Miles Factor],,0)</f>
        <v>0.82</v>
      </c>
      <c r="AE561">
        <f>_xlfn.XLOOKUP(Table1820[[#This Row],[City/Zip Code]],Table5[City/Zip Code],Table5[City/Zip Code Factor],,0)</f>
        <v>1.1499999999999999</v>
      </c>
      <c r="AF561">
        <f>_xlfn.XLOOKUP(Table1820[[#This Row],[Vehicle Price]],Table6[Vehicle Price],Table6[Vehicle Price Factor])</f>
        <v>0.82</v>
      </c>
      <c r="AG561">
        <f>_xlfn.XLOOKUP(Table1820[[#This Row],[Exotic Car]],Table7[Exotic Car],Table7[Exotic Car Factor],,0)</f>
        <v>1</v>
      </c>
      <c r="AH561">
        <f>_xlfn.XLOOKUP(Table1820[[#This Row],[Difficult Parts]],Table8[Difficult Parts],Table8[Difficult Parts Factor],,0)</f>
        <v>1</v>
      </c>
      <c r="AI561">
        <f>_xlfn.XLOOKUP(Table1820[[#This Row],[High Theft Rate]],Table9[High Theft Rate],Table9[High Theft Rate Factor],,0)</f>
        <v>1</v>
      </c>
      <c r="AJ561">
        <f>_xlfn.XLOOKUP(Table1820[[#This Row],[Advanced Safety Features]],Table10[Advanced Safety Features],Table10[Advanced Safety Features Factor],,0)</f>
        <v>0.88</v>
      </c>
      <c r="AK561">
        <f>_xlfn.XLOOKUP(Table1820[[#This Row],[Deductible]],Table12[Deductible],Table12[Deductible Factor],,0)</f>
        <v>0.72</v>
      </c>
      <c r="AL561">
        <f>_xlfn.XLOOKUP(Table1820[[#This Row],[Coverage Limit]],Table13[Coverage Limit],Table13[Coverage Limit Factor],,0)</f>
        <v>1</v>
      </c>
      <c r="AM561">
        <f>IF(Table1820[[#This Row],[Good Student Discount]]="Yes",'Rate Book'!$D$126,1)</f>
        <v>1</v>
      </c>
      <c r="AN561">
        <f>IF(Table1820[[#This Row],[Good Driver Discount]]="Yes",'Rate Book'!$D$127,1)</f>
        <v>1</v>
      </c>
      <c r="AO561">
        <f>IF(Table1820[[#This Row],[Multi Policy Discount]]="Yes",'Rate Book'!$D$128,1)</f>
        <v>1</v>
      </c>
      <c r="AP561">
        <f>IF(Table1820[[#This Row],[Loyal Customer Discount]]="Yes",'Rate Book'!$D$129,1)</f>
        <v>1</v>
      </c>
      <c r="AQ561">
        <f>IF(Table1820[[#This Row],[Organization Discount]]="Yes",'Rate Book'!$D$130,1)</f>
        <v>0.97</v>
      </c>
      <c r="AR561" cm="1">
        <f t="array" ref="AR561">IF(Table1820[[#This Row],[Effective Date]]&gt;=RateChangeTable[Effective Date],RateChangeTable[Rate Change Factor],1)</f>
        <v>1</v>
      </c>
      <c r="AS561" s="10">
        <f>PRODUCT(Table1820[[#This Row],[Base Rate]:[Rate Change Factor]])</f>
        <v>149.65476832995597</v>
      </c>
      <c r="AT561" s="9">
        <f>Table1820[[#This Row],[System-Generated Premium]]-Table1820[[#This Row],[Expected Premium]]</f>
        <v>0</v>
      </c>
      <c r="AU561" t="str">
        <f>IF(Table1820[[#This Row],[Difference]]=0,"PASS","FAIL")</f>
        <v>PASS</v>
      </c>
      <c r="AV561" s="9">
        <f>ABS(Table1820[[#This Row],[Difference]])</f>
        <v>0</v>
      </c>
      <c r="AW561" s="9" t="s">
        <v>1136</v>
      </c>
    </row>
    <row r="562" spans="1:49" x14ac:dyDescent="0.3">
      <c r="A562" t="s">
        <v>653</v>
      </c>
      <c r="B562" s="7">
        <v>46033</v>
      </c>
      <c r="C562" t="s">
        <v>71</v>
      </c>
      <c r="D562" t="s">
        <v>1097</v>
      </c>
      <c r="E562" s="3" t="s">
        <v>1103</v>
      </c>
      <c r="F562" s="3">
        <v>1</v>
      </c>
      <c r="G562" t="s">
        <v>10</v>
      </c>
      <c r="H562" t="s">
        <v>1110</v>
      </c>
      <c r="I562" t="s">
        <v>42</v>
      </c>
      <c r="J562" t="s">
        <v>53</v>
      </c>
      <c r="K562" t="s">
        <v>10</v>
      </c>
      <c r="L562" t="s">
        <v>10</v>
      </c>
      <c r="M562" t="s">
        <v>10</v>
      </c>
      <c r="N562" t="s">
        <v>10</v>
      </c>
      <c r="O562" t="str">
        <f>INDEX(CoverageTable[Deductible Applies],MATCH(Table1820[[#This Row],[Coverage]],CoverageTable[Coverage],0))</f>
        <v>Yes</v>
      </c>
      <c r="P562" t="str">
        <f>INDEX(CoverageTable[Coverage Limit Applies],MATCH(Table1820[[#This Row],[Coverage]],CoverageTable[Coverage],0))</f>
        <v>No</v>
      </c>
      <c r="Q562" t="s">
        <v>80</v>
      </c>
      <c r="R562" t="s">
        <v>10</v>
      </c>
      <c r="S562" t="s">
        <v>10</v>
      </c>
      <c r="T562" t="s">
        <v>10</v>
      </c>
      <c r="U562" t="s">
        <v>10</v>
      </c>
      <c r="V562" t="s">
        <v>10</v>
      </c>
      <c r="W562" t="s">
        <v>10</v>
      </c>
      <c r="X562" s="11">
        <v>1820.9846178384214</v>
      </c>
      <c r="Y562">
        <f>_xlfn.XLOOKUP(Table1820[[#This Row],[Coverage]],CoverageTable[Coverage],CoverageTable[Base Rate],,0)</f>
        <v>453</v>
      </c>
      <c r="Z562">
        <f>INDEX(Table16[Ageband Factor],MATCH(Table1820[[#This Row],[Ageband]],Table16[Ageband],0))</f>
        <v>1.32</v>
      </c>
      <c r="AA562">
        <f>VLOOKUP(Table1820[[#This Row],[Years Driving]],Table1[],2)</f>
        <v>0.93</v>
      </c>
      <c r="AB562">
        <f>_xlfn.XLOOKUP(Table1820[[#This Row],[At Fault Accidents]],Table2[At Fault Accidents],Table2[At Fault Accident Factor],,0)</f>
        <v>1.34</v>
      </c>
      <c r="AC562">
        <f>_xlfn.XLOOKUP(Table1820[[#This Row],[Usage-Based Insurance]],Table3[Usage-Based Insurance],Table3[Usage-Based Insurance Discount],,0)</f>
        <v>1</v>
      </c>
      <c r="AD562">
        <f>_xlfn.XLOOKUP(Table1820[[#This Row],[Yearly Miles]],Table4[Yearly Miles],Table4[Yearly Miles Factor],,0)</f>
        <v>1.31</v>
      </c>
      <c r="AE562">
        <f>_xlfn.XLOOKUP(Table1820[[#This Row],[City/Zip Code]],Table5[City/Zip Code],Table5[City/Zip Code Factor],,0)</f>
        <v>1.21</v>
      </c>
      <c r="AF562">
        <f>_xlfn.XLOOKUP(Table1820[[#This Row],[Vehicle Price]],Table6[Vehicle Price],Table6[Vehicle Price Factor])</f>
        <v>2.02</v>
      </c>
      <c r="AG562">
        <f>_xlfn.XLOOKUP(Table1820[[#This Row],[Exotic Car]],Table7[Exotic Car],Table7[Exotic Car Factor],,0)</f>
        <v>1</v>
      </c>
      <c r="AH562">
        <f>_xlfn.XLOOKUP(Table1820[[#This Row],[Difficult Parts]],Table8[Difficult Parts],Table8[Difficult Parts Factor],,0)</f>
        <v>1</v>
      </c>
      <c r="AI562">
        <f>_xlfn.XLOOKUP(Table1820[[#This Row],[High Theft Rate]],Table9[High Theft Rate],Table9[High Theft Rate Factor],,0)</f>
        <v>1</v>
      </c>
      <c r="AJ562">
        <f>_xlfn.XLOOKUP(Table1820[[#This Row],[Advanced Safety Features]],Table10[Advanced Safety Features],Table10[Advanced Safety Features Factor],,0)</f>
        <v>1</v>
      </c>
      <c r="AK562">
        <f>_xlfn.XLOOKUP(Table1820[[#This Row],[Deductible]],Table12[Deductible],Table12[Deductible Factor],,0)</f>
        <v>0.72</v>
      </c>
      <c r="AL562">
        <f>_xlfn.XLOOKUP(Table1820[[#This Row],[Coverage Limit]],Table13[Coverage Limit],Table13[Coverage Limit Factor],,0)</f>
        <v>1</v>
      </c>
      <c r="AM562">
        <f>IF(Table1820[[#This Row],[Good Student Discount]]="Yes",'Rate Book'!$D$126,1)</f>
        <v>1</v>
      </c>
      <c r="AN562">
        <f>IF(Table1820[[#This Row],[Good Driver Discount]]="Yes",'Rate Book'!$D$127,1)</f>
        <v>1</v>
      </c>
      <c r="AO562">
        <f>IF(Table1820[[#This Row],[Multi Policy Discount]]="Yes",'Rate Book'!$D$128,1)</f>
        <v>1</v>
      </c>
      <c r="AP562">
        <f>IF(Table1820[[#This Row],[Loyal Customer Discount]]="Yes",'Rate Book'!$D$129,1)</f>
        <v>1</v>
      </c>
      <c r="AQ562">
        <f>IF(Table1820[[#This Row],[Organization Discount]]="Yes",'Rate Book'!$D$130,1)</f>
        <v>1</v>
      </c>
      <c r="AR562" cm="1">
        <f t="array" ref="AR562">IF(Table1820[[#This Row],[Effective Date]]&gt;=RateChangeTable[Effective Date],RateChangeTable[Rate Change Factor],1)</f>
        <v>1.06</v>
      </c>
      <c r="AS562" s="10">
        <f>PRODUCT(Table1820[[#This Row],[Base Rate]:[Rate Change Factor]])</f>
        <v>1820.9846178384214</v>
      </c>
      <c r="AT562" s="9">
        <f>Table1820[[#This Row],[System-Generated Premium]]-Table1820[[#This Row],[Expected Premium]]</f>
        <v>0</v>
      </c>
      <c r="AU562" t="str">
        <f>IF(Table1820[[#This Row],[Difference]]=0,"PASS","FAIL")</f>
        <v>PASS</v>
      </c>
      <c r="AV562" s="9">
        <f>ABS(Table1820[[#This Row],[Difference]])</f>
        <v>0</v>
      </c>
      <c r="AW562" s="9" t="s">
        <v>1136</v>
      </c>
    </row>
    <row r="563" spans="1:49" x14ac:dyDescent="0.3">
      <c r="A563" t="s">
        <v>654</v>
      </c>
      <c r="B563" s="7">
        <v>46053</v>
      </c>
      <c r="C563" t="s">
        <v>71</v>
      </c>
      <c r="D563" t="s">
        <v>1100</v>
      </c>
      <c r="E563" s="3">
        <v>7</v>
      </c>
      <c r="F563" s="3">
        <v>1</v>
      </c>
      <c r="G563" t="s">
        <v>10</v>
      </c>
      <c r="H563" t="s">
        <v>1110</v>
      </c>
      <c r="I563" t="s">
        <v>38</v>
      </c>
      <c r="J563" t="s">
        <v>50</v>
      </c>
      <c r="K563" t="s">
        <v>10</v>
      </c>
      <c r="L563" t="s">
        <v>10</v>
      </c>
      <c r="M563" t="s">
        <v>10</v>
      </c>
      <c r="N563" t="s">
        <v>57</v>
      </c>
      <c r="O563" t="str">
        <f>INDEX(CoverageTable[Deductible Applies],MATCH(Table1820[[#This Row],[Coverage]],CoverageTable[Coverage],0))</f>
        <v>Yes</v>
      </c>
      <c r="P563" t="str">
        <f>INDEX(CoverageTable[Coverage Limit Applies],MATCH(Table1820[[#This Row],[Coverage]],CoverageTable[Coverage],0))</f>
        <v>No</v>
      </c>
      <c r="Q563" t="s">
        <v>79</v>
      </c>
      <c r="R563" t="s">
        <v>10</v>
      </c>
      <c r="S563" t="s">
        <v>57</v>
      </c>
      <c r="T563" t="s">
        <v>10</v>
      </c>
      <c r="U563" t="s">
        <v>10</v>
      </c>
      <c r="V563" t="s">
        <v>10</v>
      </c>
      <c r="W563" t="s">
        <v>10</v>
      </c>
      <c r="X563" s="11">
        <v>704.82144252465775</v>
      </c>
      <c r="Y563">
        <f>_xlfn.XLOOKUP(Table1820[[#This Row],[Coverage]],CoverageTable[Coverage],CoverageTable[Base Rate],,0)</f>
        <v>453</v>
      </c>
      <c r="Z563">
        <f>INDEX(Table16[Ageband Factor],MATCH(Table1820[[#This Row],[Ageband]],Table16[Ageband],0))</f>
        <v>1.07</v>
      </c>
      <c r="AA563">
        <f>VLOOKUP(Table1820[[#This Row],[Years Driving]],Table1[],2)</f>
        <v>0.95</v>
      </c>
      <c r="AB563">
        <f>_xlfn.XLOOKUP(Table1820[[#This Row],[At Fault Accidents]],Table2[At Fault Accidents],Table2[At Fault Accident Factor],,0)</f>
        <v>1.34</v>
      </c>
      <c r="AC563">
        <f>_xlfn.XLOOKUP(Table1820[[#This Row],[Usage-Based Insurance]],Table3[Usage-Based Insurance],Table3[Usage-Based Insurance Discount],,0)</f>
        <v>1</v>
      </c>
      <c r="AD563">
        <f>_xlfn.XLOOKUP(Table1820[[#This Row],[Yearly Miles]],Table4[Yearly Miles],Table4[Yearly Miles Factor],,0)</f>
        <v>1.31</v>
      </c>
      <c r="AE563">
        <f>_xlfn.XLOOKUP(Table1820[[#This Row],[City/Zip Code]],Table5[City/Zip Code],Table5[City/Zip Code Factor],,0)</f>
        <v>1.1200000000000001</v>
      </c>
      <c r="AF563">
        <f>_xlfn.XLOOKUP(Table1820[[#This Row],[Vehicle Price]],Table6[Vehicle Price],Table6[Vehicle Price Factor])</f>
        <v>1.08</v>
      </c>
      <c r="AG563">
        <f>_xlfn.XLOOKUP(Table1820[[#This Row],[Exotic Car]],Table7[Exotic Car],Table7[Exotic Car Factor],,0)</f>
        <v>1</v>
      </c>
      <c r="AH563">
        <f>_xlfn.XLOOKUP(Table1820[[#This Row],[Difficult Parts]],Table8[Difficult Parts],Table8[Difficult Parts Factor],,0)</f>
        <v>1</v>
      </c>
      <c r="AI563">
        <f>_xlfn.XLOOKUP(Table1820[[#This Row],[High Theft Rate]],Table9[High Theft Rate],Table9[High Theft Rate Factor],,0)</f>
        <v>1</v>
      </c>
      <c r="AJ563">
        <f>_xlfn.XLOOKUP(Table1820[[#This Row],[Advanced Safety Features]],Table10[Advanced Safety Features],Table10[Advanced Safety Features Factor],,0)</f>
        <v>0.88</v>
      </c>
      <c r="AK563">
        <f>_xlfn.XLOOKUP(Table1820[[#This Row],[Deductible]],Table12[Deductible],Table12[Deductible Factor],,0)</f>
        <v>0.84</v>
      </c>
      <c r="AL563">
        <f>_xlfn.XLOOKUP(Table1820[[#This Row],[Coverage Limit]],Table13[Coverage Limit],Table13[Coverage Limit Factor],,0)</f>
        <v>1</v>
      </c>
      <c r="AM563">
        <f>IF(Table1820[[#This Row],[Good Student Discount]]="Yes",'Rate Book'!$D$126,1)</f>
        <v>0.92</v>
      </c>
      <c r="AN563">
        <f>IF(Table1820[[#This Row],[Good Driver Discount]]="Yes",'Rate Book'!$D$127,1)</f>
        <v>1</v>
      </c>
      <c r="AO563">
        <f>IF(Table1820[[#This Row],[Multi Policy Discount]]="Yes",'Rate Book'!$D$128,1)</f>
        <v>1</v>
      </c>
      <c r="AP563">
        <f>IF(Table1820[[#This Row],[Loyal Customer Discount]]="Yes",'Rate Book'!$D$129,1)</f>
        <v>1</v>
      </c>
      <c r="AQ563">
        <f>IF(Table1820[[#This Row],[Organization Discount]]="Yes",'Rate Book'!$D$130,1)</f>
        <v>1</v>
      </c>
      <c r="AR563" cm="1">
        <f t="array" ref="AR563">IF(Table1820[[#This Row],[Effective Date]]&gt;=RateChangeTable[Effective Date],RateChangeTable[Rate Change Factor],1)</f>
        <v>1.06</v>
      </c>
      <c r="AS563" s="10">
        <f>PRODUCT(Table1820[[#This Row],[Base Rate]:[Rate Change Factor]])</f>
        <v>704.82144252465775</v>
      </c>
      <c r="AT563" s="9">
        <f>Table1820[[#This Row],[System-Generated Premium]]-Table1820[[#This Row],[Expected Premium]]</f>
        <v>0</v>
      </c>
      <c r="AU563" t="str">
        <f>IF(Table1820[[#This Row],[Difference]]=0,"PASS","FAIL")</f>
        <v>PASS</v>
      </c>
      <c r="AV563" s="9">
        <f>ABS(Table1820[[#This Row],[Difference]])</f>
        <v>0</v>
      </c>
      <c r="AW563" s="9" t="s">
        <v>1136</v>
      </c>
    </row>
    <row r="564" spans="1:49" x14ac:dyDescent="0.3">
      <c r="A564" t="s">
        <v>655</v>
      </c>
      <c r="B564" s="7">
        <v>46115</v>
      </c>
      <c r="C564" t="s">
        <v>70</v>
      </c>
      <c r="D564" t="s">
        <v>1100</v>
      </c>
      <c r="E564" s="3" t="s">
        <v>1103</v>
      </c>
      <c r="F564" s="3">
        <v>1</v>
      </c>
      <c r="G564" t="s">
        <v>11</v>
      </c>
      <c r="H564" t="s">
        <v>1109</v>
      </c>
      <c r="I564" t="s">
        <v>31</v>
      </c>
      <c r="J564" t="s">
        <v>52</v>
      </c>
      <c r="K564" t="s">
        <v>10</v>
      </c>
      <c r="L564" t="s">
        <v>10</v>
      </c>
      <c r="M564" t="s">
        <v>57</v>
      </c>
      <c r="N564" t="s">
        <v>10</v>
      </c>
      <c r="O564" t="str">
        <f>INDEX(CoverageTable[Deductible Applies],MATCH(Table1820[[#This Row],[Coverage]],CoverageTable[Coverage],0))</f>
        <v>No</v>
      </c>
      <c r="P564" t="str">
        <f>INDEX(CoverageTable[Coverage Limit Applies],MATCH(Table1820[[#This Row],[Coverage]],CoverageTable[Coverage],0))</f>
        <v>Yes</v>
      </c>
      <c r="Q564" t="s">
        <v>10</v>
      </c>
      <c r="R564" t="s">
        <v>78</v>
      </c>
      <c r="S564" t="s">
        <v>10</v>
      </c>
      <c r="T564" t="s">
        <v>10</v>
      </c>
      <c r="U564" t="s">
        <v>57</v>
      </c>
      <c r="V564" t="s">
        <v>10</v>
      </c>
      <c r="W564" t="s">
        <v>57</v>
      </c>
      <c r="X564" s="11">
        <v>1096.3230001141374</v>
      </c>
      <c r="Y564">
        <f>_xlfn.XLOOKUP(Table1820[[#This Row],[Coverage]],CoverageTable[Coverage],CoverageTable[Base Rate],,0)</f>
        <v>622</v>
      </c>
      <c r="Z564">
        <f>INDEX(Table16[Ageband Factor],MATCH(Table1820[[#This Row],[Ageband]],Table16[Ageband],0))</f>
        <v>1.07</v>
      </c>
      <c r="AA564">
        <f>VLOOKUP(Table1820[[#This Row],[Years Driving]],Table1[],2)</f>
        <v>0.93</v>
      </c>
      <c r="AB564">
        <f>_xlfn.XLOOKUP(Table1820[[#This Row],[At Fault Accidents]],Table2[At Fault Accidents],Table2[At Fault Accident Factor],,0)</f>
        <v>1.34</v>
      </c>
      <c r="AC564">
        <f>_xlfn.XLOOKUP(Table1820[[#This Row],[Usage-Based Insurance]],Table3[Usage-Based Insurance],Table3[Usage-Based Insurance Discount],,0)</f>
        <v>0.95</v>
      </c>
      <c r="AD564">
        <f>_xlfn.XLOOKUP(Table1820[[#This Row],[Yearly Miles]],Table4[Yearly Miles],Table4[Yearly Miles Factor],,0)</f>
        <v>1.18</v>
      </c>
      <c r="AE564">
        <f>_xlfn.XLOOKUP(Table1820[[#This Row],[City/Zip Code]],Table5[City/Zip Code],Table5[City/Zip Code Factor],,0)</f>
        <v>1.1100000000000001</v>
      </c>
      <c r="AF564">
        <f>_xlfn.XLOOKUP(Table1820[[#This Row],[Vehicle Price]],Table6[Vehicle Price],Table6[Vehicle Price Factor])</f>
        <v>1.57</v>
      </c>
      <c r="AG564">
        <f>_xlfn.XLOOKUP(Table1820[[#This Row],[Exotic Car]],Table7[Exotic Car],Table7[Exotic Car Factor],,0)</f>
        <v>1</v>
      </c>
      <c r="AH564">
        <f>_xlfn.XLOOKUP(Table1820[[#This Row],[Difficult Parts]],Table8[Difficult Parts],Table8[Difficult Parts Factor],,0)</f>
        <v>1</v>
      </c>
      <c r="AI564">
        <f>_xlfn.XLOOKUP(Table1820[[#This Row],[High Theft Rate]],Table9[High Theft Rate],Table9[High Theft Rate Factor],,0)</f>
        <v>1.1599999999999999</v>
      </c>
      <c r="AJ564">
        <f>_xlfn.XLOOKUP(Table1820[[#This Row],[Advanced Safety Features]],Table10[Advanced Safety Features],Table10[Advanced Safety Features Factor],,0)</f>
        <v>1</v>
      </c>
      <c r="AK564">
        <f>_xlfn.XLOOKUP(Table1820[[#This Row],[Deductible]],Table12[Deductible],Table12[Deductible Factor],,0)</f>
        <v>1</v>
      </c>
      <c r="AL564">
        <f>_xlfn.XLOOKUP(Table1820[[#This Row],[Coverage Limit]],Table13[Coverage Limit],Table13[Coverage Limit Factor],,0)</f>
        <v>0.61</v>
      </c>
      <c r="AM564">
        <f>IF(Table1820[[#This Row],[Good Student Discount]]="Yes",'Rate Book'!$D$126,1)</f>
        <v>1</v>
      </c>
      <c r="AN564">
        <f>IF(Table1820[[#This Row],[Good Driver Discount]]="Yes",'Rate Book'!$D$127,1)</f>
        <v>1</v>
      </c>
      <c r="AO564">
        <f>IF(Table1820[[#This Row],[Multi Policy Discount]]="Yes",'Rate Book'!$D$128,1)</f>
        <v>0.93</v>
      </c>
      <c r="AP564">
        <f>IF(Table1820[[#This Row],[Loyal Customer Discount]]="Yes",'Rate Book'!$D$129,1)</f>
        <v>1</v>
      </c>
      <c r="AQ564">
        <f>IF(Table1820[[#This Row],[Organization Discount]]="Yes",'Rate Book'!$D$130,1)</f>
        <v>0.97</v>
      </c>
      <c r="AR564" cm="1">
        <f t="array" ref="AR564">IF(Table1820[[#This Row],[Effective Date]]&gt;=RateChangeTable[Effective Date],RateChangeTable[Rate Change Factor],1)</f>
        <v>1.06</v>
      </c>
      <c r="AS564" s="10">
        <f>PRODUCT(Table1820[[#This Row],[Base Rate]:[Rate Change Factor]])</f>
        <v>1096.3230001141374</v>
      </c>
      <c r="AT564" s="9">
        <f>Table1820[[#This Row],[System-Generated Premium]]-Table1820[[#This Row],[Expected Premium]]</f>
        <v>0</v>
      </c>
      <c r="AU564" t="str">
        <f>IF(Table1820[[#This Row],[Difference]]=0,"PASS","FAIL")</f>
        <v>PASS</v>
      </c>
      <c r="AV564" s="9">
        <f>ABS(Table1820[[#This Row],[Difference]])</f>
        <v>0</v>
      </c>
      <c r="AW564" s="9" t="s">
        <v>1136</v>
      </c>
    </row>
    <row r="565" spans="1:49" x14ac:dyDescent="0.3">
      <c r="A565" t="s">
        <v>656</v>
      </c>
      <c r="B565" s="7">
        <v>45782</v>
      </c>
      <c r="C565" t="s">
        <v>70</v>
      </c>
      <c r="D565" t="s">
        <v>1099</v>
      </c>
      <c r="E565" s="3" t="s">
        <v>1103</v>
      </c>
      <c r="F565" s="3">
        <v>4</v>
      </c>
      <c r="G565" t="s">
        <v>13</v>
      </c>
      <c r="H565" t="s">
        <v>1106</v>
      </c>
      <c r="I565" t="s">
        <v>44</v>
      </c>
      <c r="J565" t="s">
        <v>50</v>
      </c>
      <c r="K565" t="s">
        <v>10</v>
      </c>
      <c r="L565" t="s">
        <v>10</v>
      </c>
      <c r="M565" t="s">
        <v>10</v>
      </c>
      <c r="N565" t="s">
        <v>57</v>
      </c>
      <c r="O565" t="str">
        <f>INDEX(CoverageTable[Deductible Applies],MATCH(Table1820[[#This Row],[Coverage]],CoverageTable[Coverage],0))</f>
        <v>No</v>
      </c>
      <c r="P565" t="str">
        <f>INDEX(CoverageTable[Coverage Limit Applies],MATCH(Table1820[[#This Row],[Coverage]],CoverageTable[Coverage],0))</f>
        <v>Yes</v>
      </c>
      <c r="Q565" t="s">
        <v>10</v>
      </c>
      <c r="R565" t="s">
        <v>78</v>
      </c>
      <c r="S565" t="s">
        <v>10</v>
      </c>
      <c r="T565" t="s">
        <v>10</v>
      </c>
      <c r="U565" t="s">
        <v>10</v>
      </c>
      <c r="V565" t="s">
        <v>10</v>
      </c>
      <c r="W565" t="s">
        <v>10</v>
      </c>
      <c r="X565" s="11">
        <v>439.57264198145128</v>
      </c>
      <c r="Y565">
        <f>_xlfn.XLOOKUP(Table1820[[#This Row],[Coverage]],CoverageTable[Coverage],CoverageTable[Base Rate],,0)</f>
        <v>622</v>
      </c>
      <c r="Z565">
        <f>INDEX(Table16[Ageband Factor],MATCH(Table1820[[#This Row],[Ageband]],Table16[Ageband],0))</f>
        <v>1</v>
      </c>
      <c r="AA565">
        <f>VLOOKUP(Table1820[[#This Row],[Years Driving]],Table1[],2)</f>
        <v>0.93</v>
      </c>
      <c r="AB565">
        <f>_xlfn.XLOOKUP(Table1820[[#This Row],[At Fault Accidents]],Table2[At Fault Accidents],Table2[At Fault Accident Factor],,0)</f>
        <v>2.12</v>
      </c>
      <c r="AC565">
        <f>_xlfn.XLOOKUP(Table1820[[#This Row],[Usage-Based Insurance]],Table3[Usage-Based Insurance],Table3[Usage-Based Insurance Discount],,0)</f>
        <v>0.65</v>
      </c>
      <c r="AD565">
        <f>_xlfn.XLOOKUP(Table1820[[#This Row],[Yearly Miles]],Table4[Yearly Miles],Table4[Yearly Miles Factor],,0)</f>
        <v>0.82</v>
      </c>
      <c r="AE565">
        <f>_xlfn.XLOOKUP(Table1820[[#This Row],[City/Zip Code]],Table5[City/Zip Code],Table5[City/Zip Code Factor],,0)</f>
        <v>1.1599999999999999</v>
      </c>
      <c r="AF565">
        <f>_xlfn.XLOOKUP(Table1820[[#This Row],[Vehicle Price]],Table6[Vehicle Price],Table6[Vehicle Price Factor])</f>
        <v>1.08</v>
      </c>
      <c r="AG565">
        <f>_xlfn.XLOOKUP(Table1820[[#This Row],[Exotic Car]],Table7[Exotic Car],Table7[Exotic Car Factor],,0)</f>
        <v>1</v>
      </c>
      <c r="AH565">
        <f>_xlfn.XLOOKUP(Table1820[[#This Row],[Difficult Parts]],Table8[Difficult Parts],Table8[Difficult Parts Factor],,0)</f>
        <v>1</v>
      </c>
      <c r="AI565">
        <f>_xlfn.XLOOKUP(Table1820[[#This Row],[High Theft Rate]],Table9[High Theft Rate],Table9[High Theft Rate Factor],,0)</f>
        <v>1</v>
      </c>
      <c r="AJ565">
        <f>_xlfn.XLOOKUP(Table1820[[#This Row],[Advanced Safety Features]],Table10[Advanced Safety Features],Table10[Advanced Safety Features Factor],,0)</f>
        <v>0.88</v>
      </c>
      <c r="AK565">
        <f>_xlfn.XLOOKUP(Table1820[[#This Row],[Deductible]],Table12[Deductible],Table12[Deductible Factor],,0)</f>
        <v>1</v>
      </c>
      <c r="AL565">
        <f>_xlfn.XLOOKUP(Table1820[[#This Row],[Coverage Limit]],Table13[Coverage Limit],Table13[Coverage Limit Factor],,0)</f>
        <v>0.61</v>
      </c>
      <c r="AM565">
        <f>IF(Table1820[[#This Row],[Good Student Discount]]="Yes",'Rate Book'!$D$126,1)</f>
        <v>1</v>
      </c>
      <c r="AN565">
        <f>IF(Table1820[[#This Row],[Good Driver Discount]]="Yes",'Rate Book'!$D$127,1)</f>
        <v>1</v>
      </c>
      <c r="AO565">
        <f>IF(Table1820[[#This Row],[Multi Policy Discount]]="Yes",'Rate Book'!$D$128,1)</f>
        <v>1</v>
      </c>
      <c r="AP565">
        <f>IF(Table1820[[#This Row],[Loyal Customer Discount]]="Yes",'Rate Book'!$D$129,1)</f>
        <v>1</v>
      </c>
      <c r="AQ565">
        <f>IF(Table1820[[#This Row],[Organization Discount]]="Yes",'Rate Book'!$D$130,1)</f>
        <v>1</v>
      </c>
      <c r="AR565" cm="1">
        <f t="array" ref="AR565">IF(Table1820[[#This Row],[Effective Date]]&gt;=RateChangeTable[Effective Date],RateChangeTable[Rate Change Factor],1)</f>
        <v>1</v>
      </c>
      <c r="AS565" s="10">
        <f>PRODUCT(Table1820[[#This Row],[Base Rate]:[Rate Change Factor]])</f>
        <v>439.57264198145128</v>
      </c>
      <c r="AT565" s="9">
        <f>Table1820[[#This Row],[System-Generated Premium]]-Table1820[[#This Row],[Expected Premium]]</f>
        <v>0</v>
      </c>
      <c r="AU565" t="str">
        <f>IF(Table1820[[#This Row],[Difference]]=0,"PASS","FAIL")</f>
        <v>PASS</v>
      </c>
      <c r="AV565" s="9">
        <f>ABS(Table1820[[#This Row],[Difference]])</f>
        <v>0</v>
      </c>
      <c r="AW565" s="9" t="s">
        <v>1136</v>
      </c>
    </row>
    <row r="566" spans="1:49" x14ac:dyDescent="0.3">
      <c r="A566" t="s">
        <v>657</v>
      </c>
      <c r="B566" s="7">
        <v>46105</v>
      </c>
      <c r="C566" t="s">
        <v>72</v>
      </c>
      <c r="D566" t="s">
        <v>1099</v>
      </c>
      <c r="E566" s="3" t="s">
        <v>1103</v>
      </c>
      <c r="F566" s="3">
        <v>4</v>
      </c>
      <c r="G566" t="s">
        <v>10</v>
      </c>
      <c r="H566" t="s">
        <v>1107</v>
      </c>
      <c r="I566" t="s">
        <v>31</v>
      </c>
      <c r="J566" t="s">
        <v>48</v>
      </c>
      <c r="K566" t="s">
        <v>57</v>
      </c>
      <c r="L566" t="s">
        <v>10</v>
      </c>
      <c r="M566" t="s">
        <v>10</v>
      </c>
      <c r="N566" t="s">
        <v>10</v>
      </c>
      <c r="O566" t="str">
        <f>INDEX(CoverageTable[Deductible Applies],MATCH(Table1820[[#This Row],[Coverage]],CoverageTable[Coverage],0))</f>
        <v>Yes</v>
      </c>
      <c r="P566" t="str">
        <f>INDEX(CoverageTable[Coverage Limit Applies],MATCH(Table1820[[#This Row],[Coverage]],CoverageTable[Coverage],0))</f>
        <v>No</v>
      </c>
      <c r="Q566" t="s">
        <v>79</v>
      </c>
      <c r="R566" t="s">
        <v>10</v>
      </c>
      <c r="S566" t="s">
        <v>10</v>
      </c>
      <c r="T566" t="s">
        <v>57</v>
      </c>
      <c r="U566" t="s">
        <v>10</v>
      </c>
      <c r="V566" t="s">
        <v>10</v>
      </c>
      <c r="W566" t="s">
        <v>57</v>
      </c>
      <c r="X566" s="11">
        <v>198.6922013417134</v>
      </c>
      <c r="Y566">
        <f>_xlfn.XLOOKUP(Table1820[[#This Row],[Coverage]],CoverageTable[Coverage],CoverageTable[Base Rate],,0)</f>
        <v>121</v>
      </c>
      <c r="Z566">
        <f>INDEX(Table16[Ageband Factor],MATCH(Table1820[[#This Row],[Ageband]],Table16[Ageband],0))</f>
        <v>1</v>
      </c>
      <c r="AA566">
        <f>VLOOKUP(Table1820[[#This Row],[Years Driving]],Table1[],2)</f>
        <v>0.93</v>
      </c>
      <c r="AB566">
        <f>_xlfn.XLOOKUP(Table1820[[#This Row],[At Fault Accidents]],Table2[At Fault Accidents],Table2[At Fault Accident Factor],,0)</f>
        <v>2.12</v>
      </c>
      <c r="AC566">
        <f>_xlfn.XLOOKUP(Table1820[[#This Row],[Usage-Based Insurance]],Table3[Usage-Based Insurance],Table3[Usage-Based Insurance Discount],,0)</f>
        <v>1</v>
      </c>
      <c r="AD566">
        <f>_xlfn.XLOOKUP(Table1820[[#This Row],[Yearly Miles]],Table4[Yearly Miles],Table4[Yearly Miles Factor],,0)</f>
        <v>0.93</v>
      </c>
      <c r="AE566">
        <f>_xlfn.XLOOKUP(Table1820[[#This Row],[City/Zip Code]],Table5[City/Zip Code],Table5[City/Zip Code Factor],,0)</f>
        <v>1.1100000000000001</v>
      </c>
      <c r="AF566">
        <f>_xlfn.XLOOKUP(Table1820[[#This Row],[Vehicle Price]],Table6[Vehicle Price],Table6[Vehicle Price Factor])</f>
        <v>0.82</v>
      </c>
      <c r="AG566">
        <f>_xlfn.XLOOKUP(Table1820[[#This Row],[Exotic Car]],Table7[Exotic Car],Table7[Exotic Car Factor],,0)</f>
        <v>1.28</v>
      </c>
      <c r="AH566">
        <f>_xlfn.XLOOKUP(Table1820[[#This Row],[Difficult Parts]],Table8[Difficult Parts],Table8[Difficult Parts Factor],,0)</f>
        <v>1</v>
      </c>
      <c r="AI566">
        <f>_xlfn.XLOOKUP(Table1820[[#This Row],[High Theft Rate]],Table9[High Theft Rate],Table9[High Theft Rate Factor],,0)</f>
        <v>1</v>
      </c>
      <c r="AJ566">
        <f>_xlfn.XLOOKUP(Table1820[[#This Row],[Advanced Safety Features]],Table10[Advanced Safety Features],Table10[Advanced Safety Features Factor],,0)</f>
        <v>1</v>
      </c>
      <c r="AK566">
        <f>_xlfn.XLOOKUP(Table1820[[#This Row],[Deductible]],Table12[Deductible],Table12[Deductible Factor],,0)</f>
        <v>0.84</v>
      </c>
      <c r="AL566">
        <f>_xlfn.XLOOKUP(Table1820[[#This Row],[Coverage Limit]],Table13[Coverage Limit],Table13[Coverage Limit Factor],,0)</f>
        <v>1</v>
      </c>
      <c r="AM566">
        <f>IF(Table1820[[#This Row],[Good Student Discount]]="Yes",'Rate Book'!$D$126,1)</f>
        <v>1</v>
      </c>
      <c r="AN566">
        <f>IF(Table1820[[#This Row],[Good Driver Discount]]="Yes",'Rate Book'!$D$127,1)</f>
        <v>0.89</v>
      </c>
      <c r="AO566">
        <f>IF(Table1820[[#This Row],[Multi Policy Discount]]="Yes",'Rate Book'!$D$128,1)</f>
        <v>1</v>
      </c>
      <c r="AP566">
        <f>IF(Table1820[[#This Row],[Loyal Customer Discount]]="Yes",'Rate Book'!$D$129,1)</f>
        <v>1</v>
      </c>
      <c r="AQ566">
        <f>IF(Table1820[[#This Row],[Organization Discount]]="Yes",'Rate Book'!$D$130,1)</f>
        <v>0.97</v>
      </c>
      <c r="AR566" cm="1">
        <f t="array" ref="AR566">IF(Table1820[[#This Row],[Effective Date]]&gt;=RateChangeTable[Effective Date],RateChangeTable[Rate Change Factor],1)</f>
        <v>1.06</v>
      </c>
      <c r="AS566" s="10">
        <f>PRODUCT(Table1820[[#This Row],[Base Rate]:[Rate Change Factor]])</f>
        <v>198.6922013417134</v>
      </c>
      <c r="AT566" s="9">
        <f>Table1820[[#This Row],[System-Generated Premium]]-Table1820[[#This Row],[Expected Premium]]</f>
        <v>0</v>
      </c>
      <c r="AU566" t="str">
        <f>IF(Table1820[[#This Row],[Difference]]=0,"PASS","FAIL")</f>
        <v>PASS</v>
      </c>
      <c r="AV566" s="9">
        <f>ABS(Table1820[[#This Row],[Difference]])</f>
        <v>0</v>
      </c>
      <c r="AW566" s="9" t="s">
        <v>1136</v>
      </c>
    </row>
    <row r="567" spans="1:49" x14ac:dyDescent="0.3">
      <c r="A567" t="s">
        <v>658</v>
      </c>
      <c r="B567" s="7">
        <v>46013</v>
      </c>
      <c r="C567" t="s">
        <v>71</v>
      </c>
      <c r="D567" t="s">
        <v>1099</v>
      </c>
      <c r="E567" s="3">
        <v>3</v>
      </c>
      <c r="F567" s="3">
        <v>1</v>
      </c>
      <c r="G567" t="s">
        <v>10</v>
      </c>
      <c r="H567" t="s">
        <v>1109</v>
      </c>
      <c r="I567" t="s">
        <v>31</v>
      </c>
      <c r="J567" t="s">
        <v>51</v>
      </c>
      <c r="K567" t="s">
        <v>10</v>
      </c>
      <c r="L567" t="s">
        <v>10</v>
      </c>
      <c r="M567" t="s">
        <v>10</v>
      </c>
      <c r="N567" t="s">
        <v>57</v>
      </c>
      <c r="O567" t="str">
        <f>INDEX(CoverageTable[Deductible Applies],MATCH(Table1820[[#This Row],[Coverage]],CoverageTable[Coverage],0))</f>
        <v>Yes</v>
      </c>
      <c r="P567" t="str">
        <f>INDEX(CoverageTable[Coverage Limit Applies],MATCH(Table1820[[#This Row],[Coverage]],CoverageTable[Coverage],0))</f>
        <v>No</v>
      </c>
      <c r="Q567" t="s">
        <v>80</v>
      </c>
      <c r="R567" t="s">
        <v>10</v>
      </c>
      <c r="S567" t="s">
        <v>10</v>
      </c>
      <c r="T567" t="s">
        <v>57</v>
      </c>
      <c r="U567" t="s">
        <v>10</v>
      </c>
      <c r="V567" t="s">
        <v>10</v>
      </c>
      <c r="W567" t="s">
        <v>10</v>
      </c>
      <c r="X567" s="11">
        <v>700.13689148361289</v>
      </c>
      <c r="Y567">
        <f>_xlfn.XLOOKUP(Table1820[[#This Row],[Coverage]],CoverageTable[Coverage],CoverageTable[Base Rate],,0)</f>
        <v>453</v>
      </c>
      <c r="Z567">
        <f>INDEX(Table16[Ageband Factor],MATCH(Table1820[[#This Row],[Ageband]],Table16[Ageband],0))</f>
        <v>1</v>
      </c>
      <c r="AA567">
        <f>VLOOKUP(Table1820[[#This Row],[Years Driving]],Table1[],2)</f>
        <v>1.22</v>
      </c>
      <c r="AB567">
        <f>_xlfn.XLOOKUP(Table1820[[#This Row],[At Fault Accidents]],Table2[At Fault Accidents],Table2[At Fault Accident Factor],,0)</f>
        <v>1.34</v>
      </c>
      <c r="AC567">
        <f>_xlfn.XLOOKUP(Table1820[[#This Row],[Usage-Based Insurance]],Table3[Usage-Based Insurance],Table3[Usage-Based Insurance Discount],,0)</f>
        <v>1</v>
      </c>
      <c r="AD567">
        <f>_xlfn.XLOOKUP(Table1820[[#This Row],[Yearly Miles]],Table4[Yearly Miles],Table4[Yearly Miles Factor],,0)</f>
        <v>1.18</v>
      </c>
      <c r="AE567">
        <f>_xlfn.XLOOKUP(Table1820[[#This Row],[City/Zip Code]],Table5[City/Zip Code],Table5[City/Zip Code Factor],,0)</f>
        <v>1.1100000000000001</v>
      </c>
      <c r="AF567">
        <f>_xlfn.XLOOKUP(Table1820[[#This Row],[Vehicle Price]],Table6[Vehicle Price],Table6[Vehicle Price Factor])</f>
        <v>1.28</v>
      </c>
      <c r="AG567">
        <f>_xlfn.XLOOKUP(Table1820[[#This Row],[Exotic Car]],Table7[Exotic Car],Table7[Exotic Car Factor],,0)</f>
        <v>1</v>
      </c>
      <c r="AH567">
        <f>_xlfn.XLOOKUP(Table1820[[#This Row],[Difficult Parts]],Table8[Difficult Parts],Table8[Difficult Parts Factor],,0)</f>
        <v>1</v>
      </c>
      <c r="AI567">
        <f>_xlfn.XLOOKUP(Table1820[[#This Row],[High Theft Rate]],Table9[High Theft Rate],Table9[High Theft Rate Factor],,0)</f>
        <v>1</v>
      </c>
      <c r="AJ567">
        <f>_xlfn.XLOOKUP(Table1820[[#This Row],[Advanced Safety Features]],Table10[Advanced Safety Features],Table10[Advanced Safety Features Factor],,0)</f>
        <v>0.88</v>
      </c>
      <c r="AK567">
        <f>_xlfn.XLOOKUP(Table1820[[#This Row],[Deductible]],Table12[Deductible],Table12[Deductible Factor],,0)</f>
        <v>0.72</v>
      </c>
      <c r="AL567">
        <f>_xlfn.XLOOKUP(Table1820[[#This Row],[Coverage Limit]],Table13[Coverage Limit],Table13[Coverage Limit Factor],,0)</f>
        <v>1</v>
      </c>
      <c r="AM567">
        <f>IF(Table1820[[#This Row],[Good Student Discount]]="Yes",'Rate Book'!$D$126,1)</f>
        <v>1</v>
      </c>
      <c r="AN567">
        <f>IF(Table1820[[#This Row],[Good Driver Discount]]="Yes",'Rate Book'!$D$127,1)</f>
        <v>0.89</v>
      </c>
      <c r="AO567">
        <f>IF(Table1820[[#This Row],[Multi Policy Discount]]="Yes",'Rate Book'!$D$128,1)</f>
        <v>1</v>
      </c>
      <c r="AP567">
        <f>IF(Table1820[[#This Row],[Loyal Customer Discount]]="Yes",'Rate Book'!$D$129,1)</f>
        <v>1</v>
      </c>
      <c r="AQ567">
        <f>IF(Table1820[[#This Row],[Organization Discount]]="Yes",'Rate Book'!$D$130,1)</f>
        <v>1</v>
      </c>
      <c r="AR567" cm="1">
        <f t="array" ref="AR567">IF(Table1820[[#This Row],[Effective Date]]&gt;=RateChangeTable[Effective Date],RateChangeTable[Rate Change Factor],1)</f>
        <v>1</v>
      </c>
      <c r="AS567" s="10">
        <f>PRODUCT(Table1820[[#This Row],[Base Rate]:[Rate Change Factor]])</f>
        <v>700.13689148361289</v>
      </c>
      <c r="AT567" s="9">
        <f>Table1820[[#This Row],[System-Generated Premium]]-Table1820[[#This Row],[Expected Premium]]</f>
        <v>0</v>
      </c>
      <c r="AU567" t="str">
        <f>IF(Table1820[[#This Row],[Difference]]=0,"PASS","FAIL")</f>
        <v>PASS</v>
      </c>
      <c r="AV567" s="9">
        <f>ABS(Table1820[[#This Row],[Difference]])</f>
        <v>0</v>
      </c>
      <c r="AW567" s="9" t="s">
        <v>1136</v>
      </c>
    </row>
    <row r="568" spans="1:49" x14ac:dyDescent="0.3">
      <c r="A568" t="s">
        <v>659</v>
      </c>
      <c r="B568" s="7">
        <v>45857</v>
      </c>
      <c r="C568" t="s">
        <v>71</v>
      </c>
      <c r="D568" t="s">
        <v>1098</v>
      </c>
      <c r="E568" s="3" t="s">
        <v>1103</v>
      </c>
      <c r="F568" s="3" t="s">
        <v>7</v>
      </c>
      <c r="G568" t="s">
        <v>11</v>
      </c>
      <c r="H568" t="s">
        <v>1110</v>
      </c>
      <c r="I568" t="s">
        <v>41</v>
      </c>
      <c r="J568" t="s">
        <v>49</v>
      </c>
      <c r="K568" t="s">
        <v>10</v>
      </c>
      <c r="L568" t="s">
        <v>10</v>
      </c>
      <c r="M568" t="s">
        <v>10</v>
      </c>
      <c r="N568" t="s">
        <v>57</v>
      </c>
      <c r="O568" t="str">
        <f>INDEX(CoverageTable[Deductible Applies],MATCH(Table1820[[#This Row],[Coverage]],CoverageTable[Coverage],0))</f>
        <v>Yes</v>
      </c>
      <c r="P568" t="str">
        <f>INDEX(CoverageTable[Coverage Limit Applies],MATCH(Table1820[[#This Row],[Coverage]],CoverageTable[Coverage],0))</f>
        <v>No</v>
      </c>
      <c r="Q568" t="s">
        <v>80</v>
      </c>
      <c r="R568" t="s">
        <v>10</v>
      </c>
      <c r="S568" t="s">
        <v>10</v>
      </c>
      <c r="T568" t="s">
        <v>10</v>
      </c>
      <c r="U568" t="s">
        <v>10</v>
      </c>
      <c r="V568" t="s">
        <v>57</v>
      </c>
      <c r="W568" t="s">
        <v>10</v>
      </c>
      <c r="X568" s="11">
        <v>1058.255935515836</v>
      </c>
      <c r="Y568">
        <f>_xlfn.XLOOKUP(Table1820[[#This Row],[Coverage]],CoverageTable[Coverage],CoverageTable[Base Rate],,0)</f>
        <v>453</v>
      </c>
      <c r="Z568">
        <f>INDEX(Table16[Ageband Factor],MATCH(Table1820[[#This Row],[Ageband]],Table16[Ageband],0))</f>
        <v>1.23</v>
      </c>
      <c r="AA568">
        <f>VLOOKUP(Table1820[[#This Row],[Years Driving]],Table1[],2)</f>
        <v>0.93</v>
      </c>
      <c r="AB568">
        <f>_xlfn.XLOOKUP(Table1820[[#This Row],[At Fault Accidents]],Table2[At Fault Accidents],Table2[At Fault Accident Factor],,0)</f>
        <v>2.4700000000000002</v>
      </c>
      <c r="AC568">
        <f>_xlfn.XLOOKUP(Table1820[[#This Row],[Usage-Based Insurance]],Table3[Usage-Based Insurance],Table3[Usage-Based Insurance Discount],,0)</f>
        <v>0.95</v>
      </c>
      <c r="AD568">
        <f>_xlfn.XLOOKUP(Table1820[[#This Row],[Yearly Miles]],Table4[Yearly Miles],Table4[Yearly Miles Factor],,0)</f>
        <v>1.31</v>
      </c>
      <c r="AE568">
        <f>_xlfn.XLOOKUP(Table1820[[#This Row],[City/Zip Code]],Table5[City/Zip Code],Table5[City/Zip Code Factor],,0)</f>
        <v>1.1499999999999999</v>
      </c>
      <c r="AF568">
        <f>_xlfn.XLOOKUP(Table1820[[#This Row],[Vehicle Price]],Table6[Vehicle Price],Table6[Vehicle Price Factor])</f>
        <v>0.97</v>
      </c>
      <c r="AG568">
        <f>_xlfn.XLOOKUP(Table1820[[#This Row],[Exotic Car]],Table7[Exotic Car],Table7[Exotic Car Factor],,0)</f>
        <v>1</v>
      </c>
      <c r="AH568">
        <f>_xlfn.XLOOKUP(Table1820[[#This Row],[Difficult Parts]],Table8[Difficult Parts],Table8[Difficult Parts Factor],,0)</f>
        <v>1</v>
      </c>
      <c r="AI568">
        <f>_xlfn.XLOOKUP(Table1820[[#This Row],[High Theft Rate]],Table9[High Theft Rate],Table9[High Theft Rate Factor],,0)</f>
        <v>1</v>
      </c>
      <c r="AJ568">
        <f>_xlfn.XLOOKUP(Table1820[[#This Row],[Advanced Safety Features]],Table10[Advanced Safety Features],Table10[Advanced Safety Features Factor],,0)</f>
        <v>0.88</v>
      </c>
      <c r="AK568">
        <f>_xlfn.XLOOKUP(Table1820[[#This Row],[Deductible]],Table12[Deductible],Table12[Deductible Factor],,0)</f>
        <v>0.72</v>
      </c>
      <c r="AL568">
        <f>_xlfn.XLOOKUP(Table1820[[#This Row],[Coverage Limit]],Table13[Coverage Limit],Table13[Coverage Limit Factor],,0)</f>
        <v>1</v>
      </c>
      <c r="AM568">
        <f>IF(Table1820[[#This Row],[Good Student Discount]]="Yes",'Rate Book'!$D$126,1)</f>
        <v>1</v>
      </c>
      <c r="AN568">
        <f>IF(Table1820[[#This Row],[Good Driver Discount]]="Yes",'Rate Book'!$D$127,1)</f>
        <v>1</v>
      </c>
      <c r="AO568">
        <f>IF(Table1820[[#This Row],[Multi Policy Discount]]="Yes",'Rate Book'!$D$128,1)</f>
        <v>1</v>
      </c>
      <c r="AP568">
        <f>IF(Table1820[[#This Row],[Loyal Customer Discount]]="Yes",'Rate Book'!$D$129,1)</f>
        <v>0.94</v>
      </c>
      <c r="AQ568">
        <f>IF(Table1820[[#This Row],[Organization Discount]]="Yes",'Rate Book'!$D$130,1)</f>
        <v>1</v>
      </c>
      <c r="AR568" cm="1">
        <f t="array" ref="AR568">IF(Table1820[[#This Row],[Effective Date]]&gt;=RateChangeTable[Effective Date],RateChangeTable[Rate Change Factor],1)</f>
        <v>1</v>
      </c>
      <c r="AS568" s="10">
        <f>PRODUCT(Table1820[[#This Row],[Base Rate]:[Rate Change Factor]])</f>
        <v>1058.255935515836</v>
      </c>
      <c r="AT568" s="9">
        <f>Table1820[[#This Row],[System-Generated Premium]]-Table1820[[#This Row],[Expected Premium]]</f>
        <v>0</v>
      </c>
      <c r="AU568" t="str">
        <f>IF(Table1820[[#This Row],[Difference]]=0,"PASS","FAIL")</f>
        <v>PASS</v>
      </c>
      <c r="AV568" s="9">
        <f>ABS(Table1820[[#This Row],[Difference]])</f>
        <v>0</v>
      </c>
      <c r="AW568" s="9" t="s">
        <v>1136</v>
      </c>
    </row>
    <row r="569" spans="1:49" x14ac:dyDescent="0.3">
      <c r="A569" t="s">
        <v>660</v>
      </c>
      <c r="B569" s="7">
        <v>45982</v>
      </c>
      <c r="C569" t="s">
        <v>71</v>
      </c>
      <c r="D569" t="s">
        <v>1099</v>
      </c>
      <c r="E569" s="3">
        <v>4</v>
      </c>
      <c r="F569" s="3">
        <v>1</v>
      </c>
      <c r="G569" t="s">
        <v>10</v>
      </c>
      <c r="H569" t="s">
        <v>1110</v>
      </c>
      <c r="I569" t="s">
        <v>36</v>
      </c>
      <c r="J569" t="s">
        <v>49</v>
      </c>
      <c r="K569" t="s">
        <v>10</v>
      </c>
      <c r="L569" t="s">
        <v>10</v>
      </c>
      <c r="M569" t="s">
        <v>10</v>
      </c>
      <c r="N569" t="s">
        <v>57</v>
      </c>
      <c r="O569" t="str">
        <f>INDEX(CoverageTable[Deductible Applies],MATCH(Table1820[[#This Row],[Coverage]],CoverageTable[Coverage],0))</f>
        <v>Yes</v>
      </c>
      <c r="P569" t="str">
        <f>INDEX(CoverageTable[Coverage Limit Applies],MATCH(Table1820[[#This Row],[Coverage]],CoverageTable[Coverage],0))</f>
        <v>No</v>
      </c>
      <c r="Q569" t="s">
        <v>78</v>
      </c>
      <c r="R569" t="s">
        <v>10</v>
      </c>
      <c r="S569" t="s">
        <v>10</v>
      </c>
      <c r="T569" t="s">
        <v>10</v>
      </c>
      <c r="U569" t="s">
        <v>57</v>
      </c>
      <c r="V569" t="s">
        <v>10</v>
      </c>
      <c r="W569" t="s">
        <v>10</v>
      </c>
      <c r="X569" s="11">
        <v>675.86377907946735</v>
      </c>
      <c r="Y569">
        <f>_xlfn.XLOOKUP(Table1820[[#This Row],[Coverage]],CoverageTable[Coverage],CoverageTable[Base Rate],,0)</f>
        <v>453</v>
      </c>
      <c r="Z569">
        <f>INDEX(Table16[Ageband Factor],MATCH(Table1820[[#This Row],[Ageband]],Table16[Ageband],0))</f>
        <v>1</v>
      </c>
      <c r="AA569">
        <f>VLOOKUP(Table1820[[#This Row],[Years Driving]],Table1[],2)</f>
        <v>1.1499999999999999</v>
      </c>
      <c r="AB569">
        <f>_xlfn.XLOOKUP(Table1820[[#This Row],[At Fault Accidents]],Table2[At Fault Accidents],Table2[At Fault Accident Factor],,0)</f>
        <v>1.34</v>
      </c>
      <c r="AC569">
        <f>_xlfn.XLOOKUP(Table1820[[#This Row],[Usage-Based Insurance]],Table3[Usage-Based Insurance],Table3[Usage-Based Insurance Discount],,0)</f>
        <v>1</v>
      </c>
      <c r="AD569">
        <f>_xlfn.XLOOKUP(Table1820[[#This Row],[Yearly Miles]],Table4[Yearly Miles],Table4[Yearly Miles Factor],,0)</f>
        <v>1.31</v>
      </c>
      <c r="AE569">
        <f>_xlfn.XLOOKUP(Table1820[[#This Row],[City/Zip Code]],Table5[City/Zip Code],Table5[City/Zip Code Factor],,0)</f>
        <v>0.98</v>
      </c>
      <c r="AF569">
        <f>_xlfn.XLOOKUP(Table1820[[#This Row],[Vehicle Price]],Table6[Vehicle Price],Table6[Vehicle Price Factor])</f>
        <v>0.97</v>
      </c>
      <c r="AG569">
        <f>_xlfn.XLOOKUP(Table1820[[#This Row],[Exotic Car]],Table7[Exotic Car],Table7[Exotic Car Factor],,0)</f>
        <v>1</v>
      </c>
      <c r="AH569">
        <f>_xlfn.XLOOKUP(Table1820[[#This Row],[Difficult Parts]],Table8[Difficult Parts],Table8[Difficult Parts Factor],,0)</f>
        <v>1</v>
      </c>
      <c r="AI569">
        <f>_xlfn.XLOOKUP(Table1820[[#This Row],[High Theft Rate]],Table9[High Theft Rate],Table9[High Theft Rate Factor],,0)</f>
        <v>1</v>
      </c>
      <c r="AJ569">
        <f>_xlfn.XLOOKUP(Table1820[[#This Row],[Advanced Safety Features]],Table10[Advanced Safety Features],Table10[Advanced Safety Features Factor],,0)</f>
        <v>0.88</v>
      </c>
      <c r="AK569">
        <f>_xlfn.XLOOKUP(Table1820[[#This Row],[Deductible]],Table12[Deductible],Table12[Deductible Factor],,0)</f>
        <v>0.95</v>
      </c>
      <c r="AL569">
        <f>_xlfn.XLOOKUP(Table1820[[#This Row],[Coverage Limit]],Table13[Coverage Limit],Table13[Coverage Limit Factor],,0)</f>
        <v>1</v>
      </c>
      <c r="AM569">
        <f>IF(Table1820[[#This Row],[Good Student Discount]]="Yes",'Rate Book'!$D$126,1)</f>
        <v>1</v>
      </c>
      <c r="AN569">
        <f>IF(Table1820[[#This Row],[Good Driver Discount]]="Yes",'Rate Book'!$D$127,1)</f>
        <v>1</v>
      </c>
      <c r="AO569">
        <f>IF(Table1820[[#This Row],[Multi Policy Discount]]="Yes",'Rate Book'!$D$128,1)</f>
        <v>0.93</v>
      </c>
      <c r="AP569">
        <f>IF(Table1820[[#This Row],[Loyal Customer Discount]]="Yes",'Rate Book'!$D$129,1)</f>
        <v>1</v>
      </c>
      <c r="AQ569">
        <f>IF(Table1820[[#This Row],[Organization Discount]]="Yes",'Rate Book'!$D$130,1)</f>
        <v>1</v>
      </c>
      <c r="AR569" cm="1">
        <f t="array" ref="AR569">IF(Table1820[[#This Row],[Effective Date]]&gt;=RateChangeTable[Effective Date],RateChangeTable[Rate Change Factor],1)</f>
        <v>1</v>
      </c>
      <c r="AS569" s="10">
        <f>PRODUCT(Table1820[[#This Row],[Base Rate]:[Rate Change Factor]])</f>
        <v>675.86377907946735</v>
      </c>
      <c r="AT569" s="9">
        <f>Table1820[[#This Row],[System-Generated Premium]]-Table1820[[#This Row],[Expected Premium]]</f>
        <v>0</v>
      </c>
      <c r="AU569" t="str">
        <f>IF(Table1820[[#This Row],[Difference]]=0,"PASS","FAIL")</f>
        <v>PASS</v>
      </c>
      <c r="AV569" s="9">
        <f>ABS(Table1820[[#This Row],[Difference]])</f>
        <v>0</v>
      </c>
      <c r="AW569" s="9" t="s">
        <v>1136</v>
      </c>
    </row>
    <row r="570" spans="1:49" x14ac:dyDescent="0.3">
      <c r="A570" t="s">
        <v>661</v>
      </c>
      <c r="B570" s="7">
        <v>45854</v>
      </c>
      <c r="C570" t="s">
        <v>73</v>
      </c>
      <c r="D570" t="s">
        <v>1102</v>
      </c>
      <c r="E570" s="3">
        <v>7</v>
      </c>
      <c r="F570" s="3">
        <v>3</v>
      </c>
      <c r="G570" t="s">
        <v>11</v>
      </c>
      <c r="H570" t="s">
        <v>1106</v>
      </c>
      <c r="I570" t="s">
        <v>21</v>
      </c>
      <c r="J570" t="s">
        <v>50</v>
      </c>
      <c r="K570" t="s">
        <v>10</v>
      </c>
      <c r="L570" t="s">
        <v>57</v>
      </c>
      <c r="M570" t="s">
        <v>10</v>
      </c>
      <c r="N570" t="s">
        <v>10</v>
      </c>
      <c r="O570" t="str">
        <f>INDEX(CoverageTable[Deductible Applies],MATCH(Table1820[[#This Row],[Coverage]],CoverageTable[Coverage],0))</f>
        <v>No</v>
      </c>
      <c r="P570" t="str">
        <f>INDEX(CoverageTable[Coverage Limit Applies],MATCH(Table1820[[#This Row],[Coverage]],CoverageTable[Coverage],0))</f>
        <v>Yes</v>
      </c>
      <c r="Q570" t="s">
        <v>10</v>
      </c>
      <c r="R570" t="s">
        <v>80</v>
      </c>
      <c r="S570" t="s">
        <v>57</v>
      </c>
      <c r="T570" t="s">
        <v>10</v>
      </c>
      <c r="U570" t="s">
        <v>10</v>
      </c>
      <c r="V570" t="s">
        <v>10</v>
      </c>
      <c r="W570" t="s">
        <v>10</v>
      </c>
      <c r="X570" s="11">
        <v>169.77649324124491</v>
      </c>
      <c r="Y570">
        <f>_xlfn.XLOOKUP(Table1820[[#This Row],[Coverage]],CoverageTable[Coverage],CoverageTable[Base Rate],,0)</f>
        <v>78</v>
      </c>
      <c r="Z570">
        <f>INDEX(Table16[Ageband Factor],MATCH(Table1820[[#This Row],[Ageband]],Table16[Ageband],0))</f>
        <v>1.27</v>
      </c>
      <c r="AA570">
        <f>VLOOKUP(Table1820[[#This Row],[Years Driving]],Table1[],2)</f>
        <v>0.95</v>
      </c>
      <c r="AB570">
        <f>_xlfn.XLOOKUP(Table1820[[#This Row],[At Fault Accidents]],Table2[At Fault Accidents],Table2[At Fault Accident Factor],,0)</f>
        <v>1.82</v>
      </c>
      <c r="AC570">
        <f>_xlfn.XLOOKUP(Table1820[[#This Row],[Usage-Based Insurance]],Table3[Usage-Based Insurance],Table3[Usage-Based Insurance Discount],,0)</f>
        <v>0.95</v>
      </c>
      <c r="AD570">
        <f>_xlfn.XLOOKUP(Table1820[[#This Row],[Yearly Miles]],Table4[Yearly Miles],Table4[Yearly Miles Factor],,0)</f>
        <v>0.82</v>
      </c>
      <c r="AE570">
        <f>_xlfn.XLOOKUP(Table1820[[#This Row],[City/Zip Code]],Table5[City/Zip Code],Table5[City/Zip Code Factor],,0)</f>
        <v>1.26</v>
      </c>
      <c r="AF570">
        <f>_xlfn.XLOOKUP(Table1820[[#This Row],[Vehicle Price]],Table6[Vehicle Price],Table6[Vehicle Price Factor])</f>
        <v>1.08</v>
      </c>
      <c r="AG570">
        <f>_xlfn.XLOOKUP(Table1820[[#This Row],[Exotic Car]],Table7[Exotic Car],Table7[Exotic Car Factor],,0)</f>
        <v>1</v>
      </c>
      <c r="AH570">
        <f>_xlfn.XLOOKUP(Table1820[[#This Row],[Difficult Parts]],Table8[Difficult Parts],Table8[Difficult Parts Factor],,0)</f>
        <v>1.21</v>
      </c>
      <c r="AI570">
        <f>_xlfn.XLOOKUP(Table1820[[#This Row],[High Theft Rate]],Table9[High Theft Rate],Table9[High Theft Rate Factor],,0)</f>
        <v>1</v>
      </c>
      <c r="AJ570">
        <f>_xlfn.XLOOKUP(Table1820[[#This Row],[Advanced Safety Features]],Table10[Advanced Safety Features],Table10[Advanced Safety Features Factor],,0)</f>
        <v>1</v>
      </c>
      <c r="AK570">
        <f>_xlfn.XLOOKUP(Table1820[[#This Row],[Deductible]],Table12[Deductible],Table12[Deductible Factor],,0)</f>
        <v>1</v>
      </c>
      <c r="AL570">
        <f>_xlfn.XLOOKUP(Table1820[[#This Row],[Coverage Limit]],Table13[Coverage Limit],Table13[Coverage Limit Factor],,0)</f>
        <v>0.84</v>
      </c>
      <c r="AM570">
        <f>IF(Table1820[[#This Row],[Good Student Discount]]="Yes",'Rate Book'!$D$126,1)</f>
        <v>0.92</v>
      </c>
      <c r="AN570">
        <f>IF(Table1820[[#This Row],[Good Driver Discount]]="Yes",'Rate Book'!$D$127,1)</f>
        <v>1</v>
      </c>
      <c r="AO570">
        <f>IF(Table1820[[#This Row],[Multi Policy Discount]]="Yes",'Rate Book'!$D$128,1)</f>
        <v>1</v>
      </c>
      <c r="AP570">
        <f>IF(Table1820[[#This Row],[Loyal Customer Discount]]="Yes",'Rate Book'!$D$129,1)</f>
        <v>1</v>
      </c>
      <c r="AQ570">
        <f>IF(Table1820[[#This Row],[Organization Discount]]="Yes",'Rate Book'!$D$130,1)</f>
        <v>1</v>
      </c>
      <c r="AR570" cm="1">
        <f t="array" ref="AR570">IF(Table1820[[#This Row],[Effective Date]]&gt;=RateChangeTable[Effective Date],RateChangeTable[Rate Change Factor],1)</f>
        <v>1</v>
      </c>
      <c r="AS570" s="10">
        <f>PRODUCT(Table1820[[#This Row],[Base Rate]:[Rate Change Factor]])</f>
        <v>169.77649324124491</v>
      </c>
      <c r="AT570" s="9">
        <f>Table1820[[#This Row],[System-Generated Premium]]-Table1820[[#This Row],[Expected Premium]]</f>
        <v>0</v>
      </c>
      <c r="AU570" t="str">
        <f>IF(Table1820[[#This Row],[Difference]]=0,"PASS","FAIL")</f>
        <v>PASS</v>
      </c>
      <c r="AV570" s="9">
        <f>ABS(Table1820[[#This Row],[Difference]])</f>
        <v>0</v>
      </c>
      <c r="AW570" s="9" t="s">
        <v>1136</v>
      </c>
    </row>
    <row r="571" spans="1:49" x14ac:dyDescent="0.3">
      <c r="A571" t="s">
        <v>662</v>
      </c>
      <c r="B571" s="7">
        <v>46005</v>
      </c>
      <c r="C571" t="s">
        <v>73</v>
      </c>
      <c r="D571" t="s">
        <v>1098</v>
      </c>
      <c r="E571" s="3">
        <v>2</v>
      </c>
      <c r="F571" s="3" t="s">
        <v>7</v>
      </c>
      <c r="G571" t="s">
        <v>13</v>
      </c>
      <c r="H571" t="s">
        <v>1106</v>
      </c>
      <c r="I571" t="s">
        <v>31</v>
      </c>
      <c r="J571" t="s">
        <v>49</v>
      </c>
      <c r="K571" t="s">
        <v>10</v>
      </c>
      <c r="L571" t="s">
        <v>10</v>
      </c>
      <c r="M571" t="s">
        <v>10</v>
      </c>
      <c r="N571" t="s">
        <v>10</v>
      </c>
      <c r="O571" t="str">
        <f>INDEX(CoverageTable[Deductible Applies],MATCH(Table1820[[#This Row],[Coverage]],CoverageTable[Coverage],0))</f>
        <v>No</v>
      </c>
      <c r="P571" t="str">
        <f>INDEX(CoverageTable[Coverage Limit Applies],MATCH(Table1820[[#This Row],[Coverage]],CoverageTable[Coverage],0))</f>
        <v>Yes</v>
      </c>
      <c r="Q571" t="s">
        <v>10</v>
      </c>
      <c r="R571" t="s">
        <v>80</v>
      </c>
      <c r="S571" t="s">
        <v>10</v>
      </c>
      <c r="T571" t="s">
        <v>57</v>
      </c>
      <c r="U571" t="s">
        <v>10</v>
      </c>
      <c r="V571" t="s">
        <v>57</v>
      </c>
      <c r="W571" t="s">
        <v>57</v>
      </c>
      <c r="X571" s="11">
        <v>130.70932824723943</v>
      </c>
      <c r="Y571">
        <f>_xlfn.XLOOKUP(Table1820[[#This Row],[Coverage]],CoverageTable[Coverage],CoverageTable[Base Rate],,0)</f>
        <v>78</v>
      </c>
      <c r="Z571">
        <f>INDEX(Table16[Ageband Factor],MATCH(Table1820[[#This Row],[Ageband]],Table16[Ageband],0))</f>
        <v>1.23</v>
      </c>
      <c r="AA571">
        <f>VLOOKUP(Table1820[[#This Row],[Years Driving]],Table1[],2)</f>
        <v>1.41</v>
      </c>
      <c r="AB571">
        <f>_xlfn.XLOOKUP(Table1820[[#This Row],[At Fault Accidents]],Table2[At Fault Accidents],Table2[At Fault Accident Factor],,0)</f>
        <v>2.4700000000000002</v>
      </c>
      <c r="AC571">
        <f>_xlfn.XLOOKUP(Table1820[[#This Row],[Usage-Based Insurance]],Table3[Usage-Based Insurance],Table3[Usage-Based Insurance Discount],,0)</f>
        <v>0.65</v>
      </c>
      <c r="AD571">
        <f>_xlfn.XLOOKUP(Table1820[[#This Row],[Yearly Miles]],Table4[Yearly Miles],Table4[Yearly Miles Factor],,0)</f>
        <v>0.82</v>
      </c>
      <c r="AE571">
        <f>_xlfn.XLOOKUP(Table1820[[#This Row],[City/Zip Code]],Table5[City/Zip Code],Table5[City/Zip Code Factor],,0)</f>
        <v>1.1100000000000001</v>
      </c>
      <c r="AF571">
        <f>_xlfn.XLOOKUP(Table1820[[#This Row],[Vehicle Price]],Table6[Vehicle Price],Table6[Vehicle Price Factor])</f>
        <v>0.97</v>
      </c>
      <c r="AG571">
        <f>_xlfn.XLOOKUP(Table1820[[#This Row],[Exotic Car]],Table7[Exotic Car],Table7[Exotic Car Factor],,0)</f>
        <v>1</v>
      </c>
      <c r="AH571">
        <f>_xlfn.XLOOKUP(Table1820[[#This Row],[Difficult Parts]],Table8[Difficult Parts],Table8[Difficult Parts Factor],,0)</f>
        <v>1</v>
      </c>
      <c r="AI571">
        <f>_xlfn.XLOOKUP(Table1820[[#This Row],[High Theft Rate]],Table9[High Theft Rate],Table9[High Theft Rate Factor],,0)</f>
        <v>1</v>
      </c>
      <c r="AJ571">
        <f>_xlfn.XLOOKUP(Table1820[[#This Row],[Advanced Safety Features]],Table10[Advanced Safety Features],Table10[Advanced Safety Features Factor],,0)</f>
        <v>1</v>
      </c>
      <c r="AK571">
        <f>_xlfn.XLOOKUP(Table1820[[#This Row],[Deductible]],Table12[Deductible],Table12[Deductible Factor],,0)</f>
        <v>1</v>
      </c>
      <c r="AL571">
        <f>_xlfn.XLOOKUP(Table1820[[#This Row],[Coverage Limit]],Table13[Coverage Limit],Table13[Coverage Limit Factor],,0)</f>
        <v>0.84</v>
      </c>
      <c r="AM571">
        <f>IF(Table1820[[#This Row],[Good Student Discount]]="Yes",'Rate Book'!$D$126,1)</f>
        <v>1</v>
      </c>
      <c r="AN571">
        <f>IF(Table1820[[#This Row],[Good Driver Discount]]="Yes",'Rate Book'!$D$127,1)</f>
        <v>0.89</v>
      </c>
      <c r="AO571">
        <f>IF(Table1820[[#This Row],[Multi Policy Discount]]="Yes",'Rate Book'!$D$128,1)</f>
        <v>1</v>
      </c>
      <c r="AP571">
        <f>IF(Table1820[[#This Row],[Loyal Customer Discount]]="Yes",'Rate Book'!$D$129,1)</f>
        <v>0.94</v>
      </c>
      <c r="AQ571">
        <f>IF(Table1820[[#This Row],[Organization Discount]]="Yes",'Rate Book'!$D$130,1)</f>
        <v>0.97</v>
      </c>
      <c r="AR571" cm="1">
        <f t="array" ref="AR571">IF(Table1820[[#This Row],[Effective Date]]&gt;=RateChangeTable[Effective Date],RateChangeTable[Rate Change Factor],1)</f>
        <v>1</v>
      </c>
      <c r="AS571" s="10">
        <f>PRODUCT(Table1820[[#This Row],[Base Rate]:[Rate Change Factor]])</f>
        <v>130.70932824723943</v>
      </c>
      <c r="AT571" s="9">
        <f>Table1820[[#This Row],[System-Generated Premium]]-Table1820[[#This Row],[Expected Premium]]</f>
        <v>0</v>
      </c>
      <c r="AU571" t="str">
        <f>IF(Table1820[[#This Row],[Difference]]=0,"PASS","FAIL")</f>
        <v>PASS</v>
      </c>
      <c r="AV571" s="9">
        <f>ABS(Table1820[[#This Row],[Difference]])</f>
        <v>0</v>
      </c>
      <c r="AW571" s="9" t="s">
        <v>1136</v>
      </c>
    </row>
    <row r="572" spans="1:49" x14ac:dyDescent="0.3">
      <c r="A572" t="s">
        <v>663</v>
      </c>
      <c r="B572" s="7">
        <v>45902</v>
      </c>
      <c r="C572" t="s">
        <v>70</v>
      </c>
      <c r="D572" t="s">
        <v>1099</v>
      </c>
      <c r="E572" s="3">
        <v>1</v>
      </c>
      <c r="F572" s="3" t="s">
        <v>7</v>
      </c>
      <c r="G572" t="s">
        <v>12</v>
      </c>
      <c r="H572" t="s">
        <v>1109</v>
      </c>
      <c r="I572" t="s">
        <v>41</v>
      </c>
      <c r="J572" t="s">
        <v>52</v>
      </c>
      <c r="K572" t="s">
        <v>10</v>
      </c>
      <c r="L572" t="s">
        <v>10</v>
      </c>
      <c r="M572" t="s">
        <v>10</v>
      </c>
      <c r="N572" t="s">
        <v>10</v>
      </c>
      <c r="O572" t="str">
        <f>INDEX(CoverageTable[Deductible Applies],MATCH(Table1820[[#This Row],[Coverage]],CoverageTable[Coverage],0))</f>
        <v>No</v>
      </c>
      <c r="P572" t="str">
        <f>INDEX(CoverageTable[Coverage Limit Applies],MATCH(Table1820[[#This Row],[Coverage]],CoverageTable[Coverage],0))</f>
        <v>Yes</v>
      </c>
      <c r="Q572" t="s">
        <v>10</v>
      </c>
      <c r="R572" t="s">
        <v>79</v>
      </c>
      <c r="S572" t="s">
        <v>10</v>
      </c>
      <c r="T572" t="s">
        <v>57</v>
      </c>
      <c r="U572" t="s">
        <v>10</v>
      </c>
      <c r="V572" t="s">
        <v>10</v>
      </c>
      <c r="W572" t="s">
        <v>57</v>
      </c>
      <c r="X572" s="11">
        <v>2669.2847814691354</v>
      </c>
      <c r="Y572">
        <f>_xlfn.XLOOKUP(Table1820[[#This Row],[Coverage]],CoverageTable[Coverage],CoverageTable[Base Rate],,0)</f>
        <v>622</v>
      </c>
      <c r="Z572">
        <f>INDEX(Table16[Ageband Factor],MATCH(Table1820[[#This Row],[Ageband]],Table16[Ageband],0))</f>
        <v>1</v>
      </c>
      <c r="AA572">
        <f>VLOOKUP(Table1820[[#This Row],[Years Driving]],Table1[],2)</f>
        <v>1.64</v>
      </c>
      <c r="AB572">
        <f>_xlfn.XLOOKUP(Table1820[[#This Row],[At Fault Accidents]],Table2[At Fault Accidents],Table2[At Fault Accident Factor],,0)</f>
        <v>2.4700000000000002</v>
      </c>
      <c r="AC572">
        <f>_xlfn.XLOOKUP(Table1820[[#This Row],[Usage-Based Insurance]],Table3[Usage-Based Insurance],Table3[Usage-Based Insurance Discount],,0)</f>
        <v>0.8</v>
      </c>
      <c r="AD572">
        <f>_xlfn.XLOOKUP(Table1820[[#This Row],[Yearly Miles]],Table4[Yearly Miles],Table4[Yearly Miles Factor],,0)</f>
        <v>1.18</v>
      </c>
      <c r="AE572">
        <f>_xlfn.XLOOKUP(Table1820[[#This Row],[City/Zip Code]],Table5[City/Zip Code],Table5[City/Zip Code Factor],,0)</f>
        <v>1.1499999999999999</v>
      </c>
      <c r="AF572">
        <f>_xlfn.XLOOKUP(Table1820[[#This Row],[Vehicle Price]],Table6[Vehicle Price],Table6[Vehicle Price Factor])</f>
        <v>1.57</v>
      </c>
      <c r="AG572">
        <f>_xlfn.XLOOKUP(Table1820[[#This Row],[Exotic Car]],Table7[Exotic Car],Table7[Exotic Car Factor],,0)</f>
        <v>1</v>
      </c>
      <c r="AH572">
        <f>_xlfn.XLOOKUP(Table1820[[#This Row],[Difficult Parts]],Table8[Difficult Parts],Table8[Difficult Parts Factor],,0)</f>
        <v>1</v>
      </c>
      <c r="AI572">
        <f>_xlfn.XLOOKUP(Table1820[[#This Row],[High Theft Rate]],Table9[High Theft Rate],Table9[High Theft Rate Factor],,0)</f>
        <v>1</v>
      </c>
      <c r="AJ572">
        <f>_xlfn.XLOOKUP(Table1820[[#This Row],[Advanced Safety Features]],Table10[Advanced Safety Features],Table10[Advanced Safety Features Factor],,0)</f>
        <v>1</v>
      </c>
      <c r="AK572">
        <f>_xlfn.XLOOKUP(Table1820[[#This Row],[Deductible]],Table12[Deductible],Table12[Deductible Factor],,0)</f>
        <v>1</v>
      </c>
      <c r="AL572">
        <f>_xlfn.XLOOKUP(Table1820[[#This Row],[Coverage Limit]],Table13[Coverage Limit],Table13[Coverage Limit Factor],,0)</f>
        <v>0.72</v>
      </c>
      <c r="AM572">
        <f>IF(Table1820[[#This Row],[Good Student Discount]]="Yes",'Rate Book'!$D$126,1)</f>
        <v>1</v>
      </c>
      <c r="AN572">
        <f>IF(Table1820[[#This Row],[Good Driver Discount]]="Yes",'Rate Book'!$D$127,1)</f>
        <v>0.89</v>
      </c>
      <c r="AO572">
        <f>IF(Table1820[[#This Row],[Multi Policy Discount]]="Yes",'Rate Book'!$D$128,1)</f>
        <v>1</v>
      </c>
      <c r="AP572">
        <f>IF(Table1820[[#This Row],[Loyal Customer Discount]]="Yes",'Rate Book'!$D$129,1)</f>
        <v>1</v>
      </c>
      <c r="AQ572">
        <f>IF(Table1820[[#This Row],[Organization Discount]]="Yes",'Rate Book'!$D$130,1)</f>
        <v>0.97</v>
      </c>
      <c r="AR572" cm="1">
        <f t="array" ref="AR572">IF(Table1820[[#This Row],[Effective Date]]&gt;=RateChangeTable[Effective Date],RateChangeTable[Rate Change Factor],1)</f>
        <v>1</v>
      </c>
      <c r="AS572" s="10">
        <f>PRODUCT(Table1820[[#This Row],[Base Rate]:[Rate Change Factor]])</f>
        <v>2669.2847814691354</v>
      </c>
      <c r="AT572" s="9">
        <f>Table1820[[#This Row],[System-Generated Premium]]-Table1820[[#This Row],[Expected Premium]]</f>
        <v>0</v>
      </c>
      <c r="AU572" t="str">
        <f>IF(Table1820[[#This Row],[Difference]]=0,"PASS","FAIL")</f>
        <v>PASS</v>
      </c>
      <c r="AV572" s="9">
        <f>ABS(Table1820[[#This Row],[Difference]])</f>
        <v>0</v>
      </c>
      <c r="AW572" s="9" t="s">
        <v>1136</v>
      </c>
    </row>
    <row r="573" spans="1:49" x14ac:dyDescent="0.3">
      <c r="A573" t="s">
        <v>664</v>
      </c>
      <c r="B573" s="7">
        <v>45859</v>
      </c>
      <c r="C573" t="s">
        <v>71</v>
      </c>
      <c r="D573" t="s">
        <v>1097</v>
      </c>
      <c r="E573" s="3">
        <v>4</v>
      </c>
      <c r="F573" s="3">
        <v>1</v>
      </c>
      <c r="G573" t="s">
        <v>10</v>
      </c>
      <c r="H573" t="s">
        <v>1107</v>
      </c>
      <c r="I573" t="s">
        <v>44</v>
      </c>
      <c r="J573" t="s">
        <v>50</v>
      </c>
      <c r="K573" t="s">
        <v>57</v>
      </c>
      <c r="L573" t="s">
        <v>10</v>
      </c>
      <c r="M573" t="s">
        <v>57</v>
      </c>
      <c r="N573" t="s">
        <v>57</v>
      </c>
      <c r="O573" t="str">
        <f>INDEX(CoverageTable[Deductible Applies],MATCH(Table1820[[#This Row],[Coverage]],CoverageTable[Coverage],0))</f>
        <v>Yes</v>
      </c>
      <c r="P573" t="str">
        <f>INDEX(CoverageTable[Coverage Limit Applies],MATCH(Table1820[[#This Row],[Coverage]],CoverageTable[Coverage],0))</f>
        <v>No</v>
      </c>
      <c r="Q573" t="s">
        <v>79</v>
      </c>
      <c r="R573" t="s">
        <v>10</v>
      </c>
      <c r="S573" t="s">
        <v>10</v>
      </c>
      <c r="T573" t="s">
        <v>10</v>
      </c>
      <c r="U573" t="s">
        <v>10</v>
      </c>
      <c r="V573" t="s">
        <v>10</v>
      </c>
      <c r="W573" t="s">
        <v>10</v>
      </c>
      <c r="X573" s="11">
        <v>1339.02</v>
      </c>
      <c r="Y573">
        <f>_xlfn.XLOOKUP(Table1820[[#This Row],[Coverage]],CoverageTable[Coverage],CoverageTable[Base Rate],,0)</f>
        <v>453</v>
      </c>
      <c r="Z573">
        <f>INDEX(Table16[Ageband Factor],MATCH(Table1820[[#This Row],[Ageband]],Table16[Ageband],0))</f>
        <v>1.32</v>
      </c>
      <c r="AA573">
        <f>VLOOKUP(Table1820[[#This Row],[Years Driving]],Table1[],2)</f>
        <v>1.1499999999999999</v>
      </c>
      <c r="AB573">
        <f>_xlfn.XLOOKUP(Table1820[[#This Row],[At Fault Accidents]],Table2[At Fault Accidents],Table2[At Fault Accident Factor],,0)</f>
        <v>1.34</v>
      </c>
      <c r="AC573">
        <f>_xlfn.XLOOKUP(Table1820[[#This Row],[Usage-Based Insurance]],Table3[Usage-Based Insurance],Table3[Usage-Based Insurance Discount],,0)</f>
        <v>1</v>
      </c>
      <c r="AD573">
        <f>_xlfn.XLOOKUP(Table1820[[#This Row],[Yearly Miles]],Table4[Yearly Miles],Table4[Yearly Miles Factor],,0)</f>
        <v>0.93</v>
      </c>
      <c r="AE573">
        <f>_xlfn.XLOOKUP(Table1820[[#This Row],[City/Zip Code]],Table5[City/Zip Code],Table5[City/Zip Code Factor],,0)</f>
        <v>1.1599999999999999</v>
      </c>
      <c r="AF573">
        <f>_xlfn.XLOOKUP(Table1820[[#This Row],[Vehicle Price]],Table6[Vehicle Price],Table6[Vehicle Price Factor])</f>
        <v>1.08</v>
      </c>
      <c r="AG573">
        <f>_xlfn.XLOOKUP(Table1820[[#This Row],[Exotic Car]],Table7[Exotic Car],Table7[Exotic Car Factor],,0)</f>
        <v>1.28</v>
      </c>
      <c r="AH573">
        <f>_xlfn.XLOOKUP(Table1820[[#This Row],[Difficult Parts]],Table8[Difficult Parts],Table8[Difficult Parts Factor],,0)</f>
        <v>1</v>
      </c>
      <c r="AI573">
        <f>_xlfn.XLOOKUP(Table1820[[#This Row],[High Theft Rate]],Table9[High Theft Rate],Table9[High Theft Rate Factor],,0)</f>
        <v>1.1599999999999999</v>
      </c>
      <c r="AJ573">
        <f>_xlfn.XLOOKUP(Table1820[[#This Row],[Advanced Safety Features]],Table10[Advanced Safety Features],Table10[Advanced Safety Features Factor],,0)</f>
        <v>0.88</v>
      </c>
      <c r="AK573">
        <f>_xlfn.XLOOKUP(Table1820[[#This Row],[Deductible]],Table12[Deductible],Table12[Deductible Factor],,0)</f>
        <v>0.84</v>
      </c>
      <c r="AL573">
        <f>_xlfn.XLOOKUP(Table1820[[#This Row],[Coverage Limit]],Table13[Coverage Limit],Table13[Coverage Limit Factor],,0)</f>
        <v>1</v>
      </c>
      <c r="AM573">
        <f>IF(Table1820[[#This Row],[Good Student Discount]]="Yes",'Rate Book'!$D$126,1)</f>
        <v>1</v>
      </c>
      <c r="AN573">
        <f>IF(Table1820[[#This Row],[Good Driver Discount]]="Yes",'Rate Book'!$D$127,1)</f>
        <v>1</v>
      </c>
      <c r="AO573">
        <f>IF(Table1820[[#This Row],[Multi Policy Discount]]="Yes",'Rate Book'!$D$128,1)</f>
        <v>1</v>
      </c>
      <c r="AP573">
        <f>IF(Table1820[[#This Row],[Loyal Customer Discount]]="Yes",'Rate Book'!$D$129,1)</f>
        <v>1</v>
      </c>
      <c r="AQ573">
        <f>IF(Table1820[[#This Row],[Organization Discount]]="Yes",'Rate Book'!$D$130,1)</f>
        <v>1</v>
      </c>
      <c r="AR573" cm="1">
        <f t="array" ref="AR573">IF(Table1820[[#This Row],[Effective Date]]&gt;=RateChangeTable[Effective Date],RateChangeTable[Rate Change Factor],1)</f>
        <v>1</v>
      </c>
      <c r="AS573" s="10">
        <f>PRODUCT(Table1820[[#This Row],[Base Rate]:[Rate Change Factor]])</f>
        <v>1178.3366404146441</v>
      </c>
      <c r="AT573" s="9">
        <f>Table1820[[#This Row],[System-Generated Premium]]-Table1820[[#This Row],[Expected Premium]]</f>
        <v>160.6833595853559</v>
      </c>
      <c r="AU573" t="str">
        <f>IF(Table1820[[#This Row],[Difference]]=0,"PASS","FAIL")</f>
        <v>FAIL</v>
      </c>
      <c r="AV573" s="9">
        <f>ABS(Table1820[[#This Row],[Difference]])</f>
        <v>160.6833595853559</v>
      </c>
      <c r="AW573" s="9" t="s">
        <v>1139</v>
      </c>
    </row>
    <row r="574" spans="1:49" x14ac:dyDescent="0.3">
      <c r="A574" t="s">
        <v>665</v>
      </c>
      <c r="B574" s="7">
        <v>45860</v>
      </c>
      <c r="C574" t="s">
        <v>70</v>
      </c>
      <c r="D574" t="s">
        <v>1099</v>
      </c>
      <c r="E574" s="3">
        <v>3</v>
      </c>
      <c r="F574" s="3">
        <v>0</v>
      </c>
      <c r="G574" t="s">
        <v>11</v>
      </c>
      <c r="H574" t="s">
        <v>1108</v>
      </c>
      <c r="I574" t="s">
        <v>33</v>
      </c>
      <c r="J574" t="s">
        <v>48</v>
      </c>
      <c r="K574" t="s">
        <v>10</v>
      </c>
      <c r="L574" t="s">
        <v>10</v>
      </c>
      <c r="M574" t="s">
        <v>10</v>
      </c>
      <c r="N574" t="s">
        <v>57</v>
      </c>
      <c r="O574" t="str">
        <f>INDEX(CoverageTable[Deductible Applies],MATCH(Table1820[[#This Row],[Coverage]],CoverageTable[Coverage],0))</f>
        <v>No</v>
      </c>
      <c r="P574" t="str">
        <f>INDEX(CoverageTable[Coverage Limit Applies],MATCH(Table1820[[#This Row],[Coverage]],CoverageTable[Coverage],0))</f>
        <v>Yes</v>
      </c>
      <c r="Q574" t="s">
        <v>10</v>
      </c>
      <c r="R574" t="s">
        <v>79</v>
      </c>
      <c r="S574" t="s">
        <v>10</v>
      </c>
      <c r="T574" t="s">
        <v>10</v>
      </c>
      <c r="U574" t="s">
        <v>57</v>
      </c>
      <c r="V574" t="s">
        <v>10</v>
      </c>
      <c r="W574" t="s">
        <v>10</v>
      </c>
      <c r="X574" s="11">
        <v>355.29243621442561</v>
      </c>
      <c r="Y574">
        <f>_xlfn.XLOOKUP(Table1820[[#This Row],[Coverage]],CoverageTable[Coverage],CoverageTable[Base Rate],,0)</f>
        <v>622</v>
      </c>
      <c r="Z574">
        <f>INDEX(Table16[Ageband Factor],MATCH(Table1820[[#This Row],[Ageband]],Table16[Ageband],0))</f>
        <v>1</v>
      </c>
      <c r="AA574">
        <f>VLOOKUP(Table1820[[#This Row],[Years Driving]],Table1[],2)</f>
        <v>1.22</v>
      </c>
      <c r="AB574">
        <f>_xlfn.XLOOKUP(Table1820[[#This Row],[At Fault Accidents]],Table2[At Fault Accidents],Table2[At Fault Accident Factor],,0)</f>
        <v>1</v>
      </c>
      <c r="AC574">
        <f>_xlfn.XLOOKUP(Table1820[[#This Row],[Usage-Based Insurance]],Table3[Usage-Based Insurance],Table3[Usage-Based Insurance Discount],,0)</f>
        <v>0.95</v>
      </c>
      <c r="AD574">
        <f>_xlfn.XLOOKUP(Table1820[[#This Row],[Yearly Miles]],Table4[Yearly Miles],Table4[Yearly Miles Factor],,0)</f>
        <v>1</v>
      </c>
      <c r="AE574">
        <f>_xlfn.XLOOKUP(Table1820[[#This Row],[City/Zip Code]],Table5[City/Zip Code],Table5[City/Zip Code Factor],,0)</f>
        <v>1.02</v>
      </c>
      <c r="AF574">
        <f>_xlfn.XLOOKUP(Table1820[[#This Row],[Vehicle Price]],Table6[Vehicle Price],Table6[Vehicle Price Factor])</f>
        <v>0.82</v>
      </c>
      <c r="AG574">
        <f>_xlfn.XLOOKUP(Table1820[[#This Row],[Exotic Car]],Table7[Exotic Car],Table7[Exotic Car Factor],,0)</f>
        <v>1</v>
      </c>
      <c r="AH574">
        <f>_xlfn.XLOOKUP(Table1820[[#This Row],[Difficult Parts]],Table8[Difficult Parts],Table8[Difficult Parts Factor],,0)</f>
        <v>1</v>
      </c>
      <c r="AI574">
        <f>_xlfn.XLOOKUP(Table1820[[#This Row],[High Theft Rate]],Table9[High Theft Rate],Table9[High Theft Rate Factor],,0)</f>
        <v>1</v>
      </c>
      <c r="AJ574">
        <f>_xlfn.XLOOKUP(Table1820[[#This Row],[Advanced Safety Features]],Table10[Advanced Safety Features],Table10[Advanced Safety Features Factor],,0)</f>
        <v>0.88</v>
      </c>
      <c r="AK574">
        <f>_xlfn.XLOOKUP(Table1820[[#This Row],[Deductible]],Table12[Deductible],Table12[Deductible Factor],,0)</f>
        <v>1</v>
      </c>
      <c r="AL574">
        <f>_xlfn.XLOOKUP(Table1820[[#This Row],[Coverage Limit]],Table13[Coverage Limit],Table13[Coverage Limit Factor],,0)</f>
        <v>0.72</v>
      </c>
      <c r="AM574">
        <f>IF(Table1820[[#This Row],[Good Student Discount]]="Yes",'Rate Book'!$D$126,1)</f>
        <v>1</v>
      </c>
      <c r="AN574">
        <f>IF(Table1820[[#This Row],[Good Driver Discount]]="Yes",'Rate Book'!$D$127,1)</f>
        <v>1</v>
      </c>
      <c r="AO574">
        <f>IF(Table1820[[#This Row],[Multi Policy Discount]]="Yes",'Rate Book'!$D$128,1)</f>
        <v>0.93</v>
      </c>
      <c r="AP574">
        <f>IF(Table1820[[#This Row],[Loyal Customer Discount]]="Yes",'Rate Book'!$D$129,1)</f>
        <v>1</v>
      </c>
      <c r="AQ574">
        <f>IF(Table1820[[#This Row],[Organization Discount]]="Yes",'Rate Book'!$D$130,1)</f>
        <v>1</v>
      </c>
      <c r="AR574" cm="1">
        <f t="array" ref="AR574">IF(Table1820[[#This Row],[Effective Date]]&gt;=RateChangeTable[Effective Date],RateChangeTable[Rate Change Factor],1)</f>
        <v>1</v>
      </c>
      <c r="AS574" s="10">
        <f>PRODUCT(Table1820[[#This Row],[Base Rate]:[Rate Change Factor]])</f>
        <v>355.29243621442561</v>
      </c>
      <c r="AT574" s="9">
        <f>Table1820[[#This Row],[System-Generated Premium]]-Table1820[[#This Row],[Expected Premium]]</f>
        <v>0</v>
      </c>
      <c r="AU574" t="str">
        <f>IF(Table1820[[#This Row],[Difference]]=0,"PASS","FAIL")</f>
        <v>PASS</v>
      </c>
      <c r="AV574" s="9">
        <f>ABS(Table1820[[#This Row],[Difference]])</f>
        <v>0</v>
      </c>
      <c r="AW574" s="9" t="s">
        <v>1136</v>
      </c>
    </row>
    <row r="575" spans="1:49" x14ac:dyDescent="0.3">
      <c r="A575" t="s">
        <v>666</v>
      </c>
      <c r="B575" s="7">
        <v>45786</v>
      </c>
      <c r="C575" t="s">
        <v>71</v>
      </c>
      <c r="D575" t="s">
        <v>1100</v>
      </c>
      <c r="E575" s="3">
        <v>2</v>
      </c>
      <c r="F575" s="3">
        <v>1</v>
      </c>
      <c r="G575" t="s">
        <v>10</v>
      </c>
      <c r="H575" t="s">
        <v>1109</v>
      </c>
      <c r="I575" t="s">
        <v>40</v>
      </c>
      <c r="J575" t="s">
        <v>52</v>
      </c>
      <c r="K575" t="s">
        <v>10</v>
      </c>
      <c r="L575" t="s">
        <v>10</v>
      </c>
      <c r="M575" t="s">
        <v>10</v>
      </c>
      <c r="N575" t="s">
        <v>10</v>
      </c>
      <c r="O575" t="str">
        <f>INDEX(CoverageTable[Deductible Applies],MATCH(Table1820[[#This Row],[Coverage]],CoverageTable[Coverage],0))</f>
        <v>Yes</v>
      </c>
      <c r="P575" t="str">
        <f>INDEX(CoverageTable[Coverage Limit Applies],MATCH(Table1820[[#This Row],[Coverage]],CoverageTable[Coverage],0))</f>
        <v>No</v>
      </c>
      <c r="Q575" t="s">
        <v>79</v>
      </c>
      <c r="R575" t="s">
        <v>10</v>
      </c>
      <c r="S575" t="s">
        <v>10</v>
      </c>
      <c r="T575" t="s">
        <v>57</v>
      </c>
      <c r="U575" t="s">
        <v>10</v>
      </c>
      <c r="V575" t="s">
        <v>10</v>
      </c>
      <c r="W575" t="s">
        <v>10</v>
      </c>
      <c r="X575" s="11">
        <v>1382.5579412242059</v>
      </c>
      <c r="Y575">
        <f>_xlfn.XLOOKUP(Table1820[[#This Row],[Coverage]],CoverageTable[Coverage],CoverageTable[Base Rate],,0)</f>
        <v>453</v>
      </c>
      <c r="Z575">
        <f>INDEX(Table16[Ageband Factor],MATCH(Table1820[[#This Row],[Ageband]],Table16[Ageband],0))</f>
        <v>1.07</v>
      </c>
      <c r="AA575">
        <f>VLOOKUP(Table1820[[#This Row],[Years Driving]],Table1[],2)</f>
        <v>1.41</v>
      </c>
      <c r="AB575">
        <f>_xlfn.XLOOKUP(Table1820[[#This Row],[At Fault Accidents]],Table2[At Fault Accidents],Table2[At Fault Accident Factor],,0)</f>
        <v>1.34</v>
      </c>
      <c r="AC575">
        <f>_xlfn.XLOOKUP(Table1820[[#This Row],[Usage-Based Insurance]],Table3[Usage-Based Insurance],Table3[Usage-Based Insurance Discount],,0)</f>
        <v>1</v>
      </c>
      <c r="AD575">
        <f>_xlfn.XLOOKUP(Table1820[[#This Row],[Yearly Miles]],Table4[Yearly Miles],Table4[Yearly Miles Factor],,0)</f>
        <v>1.18</v>
      </c>
      <c r="AE575">
        <f>_xlfn.XLOOKUP(Table1820[[#This Row],[City/Zip Code]],Table5[City/Zip Code],Table5[City/Zip Code Factor],,0)</f>
        <v>1.0900000000000001</v>
      </c>
      <c r="AF575">
        <f>_xlfn.XLOOKUP(Table1820[[#This Row],[Vehicle Price]],Table6[Vehicle Price],Table6[Vehicle Price Factor])</f>
        <v>1.57</v>
      </c>
      <c r="AG575">
        <f>_xlfn.XLOOKUP(Table1820[[#This Row],[Exotic Car]],Table7[Exotic Car],Table7[Exotic Car Factor],,0)</f>
        <v>1</v>
      </c>
      <c r="AH575">
        <f>_xlfn.XLOOKUP(Table1820[[#This Row],[Difficult Parts]],Table8[Difficult Parts],Table8[Difficult Parts Factor],,0)</f>
        <v>1</v>
      </c>
      <c r="AI575">
        <f>_xlfn.XLOOKUP(Table1820[[#This Row],[High Theft Rate]],Table9[High Theft Rate],Table9[High Theft Rate Factor],,0)</f>
        <v>1</v>
      </c>
      <c r="AJ575">
        <f>_xlfn.XLOOKUP(Table1820[[#This Row],[Advanced Safety Features]],Table10[Advanced Safety Features],Table10[Advanced Safety Features Factor],,0)</f>
        <v>1</v>
      </c>
      <c r="AK575">
        <f>_xlfn.XLOOKUP(Table1820[[#This Row],[Deductible]],Table12[Deductible],Table12[Deductible Factor],,0)</f>
        <v>0.84</v>
      </c>
      <c r="AL575">
        <f>_xlfn.XLOOKUP(Table1820[[#This Row],[Coverage Limit]],Table13[Coverage Limit],Table13[Coverage Limit Factor],,0)</f>
        <v>1</v>
      </c>
      <c r="AM575">
        <f>IF(Table1820[[#This Row],[Good Student Discount]]="Yes",'Rate Book'!$D$126,1)</f>
        <v>1</v>
      </c>
      <c r="AN575">
        <f>IF(Table1820[[#This Row],[Good Driver Discount]]="Yes",'Rate Book'!$D$127,1)</f>
        <v>0.89</v>
      </c>
      <c r="AO575">
        <f>IF(Table1820[[#This Row],[Multi Policy Discount]]="Yes",'Rate Book'!$D$128,1)</f>
        <v>1</v>
      </c>
      <c r="AP575">
        <f>IF(Table1820[[#This Row],[Loyal Customer Discount]]="Yes",'Rate Book'!$D$129,1)</f>
        <v>1</v>
      </c>
      <c r="AQ575">
        <f>IF(Table1820[[#This Row],[Organization Discount]]="Yes",'Rate Book'!$D$130,1)</f>
        <v>1</v>
      </c>
      <c r="AR575" cm="1">
        <f t="array" ref="AR575">IF(Table1820[[#This Row],[Effective Date]]&gt;=RateChangeTable[Effective Date],RateChangeTable[Rate Change Factor],1)</f>
        <v>1</v>
      </c>
      <c r="AS575" s="10">
        <f>PRODUCT(Table1820[[#This Row],[Base Rate]:[Rate Change Factor]])</f>
        <v>1382.5579412242059</v>
      </c>
      <c r="AT575" s="9">
        <f>Table1820[[#This Row],[System-Generated Premium]]-Table1820[[#This Row],[Expected Premium]]</f>
        <v>0</v>
      </c>
      <c r="AU575" t="str">
        <f>IF(Table1820[[#This Row],[Difference]]=0,"PASS","FAIL")</f>
        <v>PASS</v>
      </c>
      <c r="AV575" s="9">
        <f>ABS(Table1820[[#This Row],[Difference]])</f>
        <v>0</v>
      </c>
      <c r="AW575" s="9" t="s">
        <v>1136</v>
      </c>
    </row>
    <row r="576" spans="1:49" x14ac:dyDescent="0.3">
      <c r="A576" t="s">
        <v>667</v>
      </c>
      <c r="B576" s="7">
        <v>45860</v>
      </c>
      <c r="C576" t="s">
        <v>72</v>
      </c>
      <c r="D576" t="s">
        <v>1100</v>
      </c>
      <c r="E576" s="3">
        <v>1</v>
      </c>
      <c r="F576" s="3">
        <v>0</v>
      </c>
      <c r="G576" t="s">
        <v>10</v>
      </c>
      <c r="H576" t="s">
        <v>1107</v>
      </c>
      <c r="I576" t="s">
        <v>23</v>
      </c>
      <c r="J576" t="s">
        <v>49</v>
      </c>
      <c r="K576" t="s">
        <v>10</v>
      </c>
      <c r="L576" t="s">
        <v>10</v>
      </c>
      <c r="M576" t="s">
        <v>10</v>
      </c>
      <c r="N576" t="s">
        <v>57</v>
      </c>
      <c r="O576" t="str">
        <f>INDEX(CoverageTable[Deductible Applies],MATCH(Table1820[[#This Row],[Coverage]],CoverageTable[Coverage],0))</f>
        <v>Yes</v>
      </c>
      <c r="P576" t="str">
        <f>INDEX(CoverageTable[Coverage Limit Applies],MATCH(Table1820[[#This Row],[Coverage]],CoverageTable[Coverage],0))</f>
        <v>No</v>
      </c>
      <c r="Q576" t="s">
        <v>80</v>
      </c>
      <c r="R576" t="s">
        <v>10</v>
      </c>
      <c r="S576" t="s">
        <v>10</v>
      </c>
      <c r="T576" t="s">
        <v>10</v>
      </c>
      <c r="U576" t="s">
        <v>10</v>
      </c>
      <c r="V576" t="s">
        <v>10</v>
      </c>
      <c r="W576" t="s">
        <v>10</v>
      </c>
      <c r="X576" s="11">
        <v>111.65307152034815</v>
      </c>
      <c r="Y576">
        <f>_xlfn.XLOOKUP(Table1820[[#This Row],[Coverage]],CoverageTable[Coverage],CoverageTable[Base Rate],,0)</f>
        <v>121</v>
      </c>
      <c r="Z576">
        <f>INDEX(Table16[Ageband Factor],MATCH(Table1820[[#This Row],[Ageband]],Table16[Ageband],0))</f>
        <v>1.07</v>
      </c>
      <c r="AA576">
        <f>VLOOKUP(Table1820[[#This Row],[Years Driving]],Table1[],2)</f>
        <v>1.64</v>
      </c>
      <c r="AB576">
        <f>_xlfn.XLOOKUP(Table1820[[#This Row],[At Fault Accidents]],Table2[At Fault Accidents],Table2[At Fault Accident Factor],,0)</f>
        <v>1</v>
      </c>
      <c r="AC576">
        <f>_xlfn.XLOOKUP(Table1820[[#This Row],[Usage-Based Insurance]],Table3[Usage-Based Insurance],Table3[Usage-Based Insurance Discount],,0)</f>
        <v>1</v>
      </c>
      <c r="AD576">
        <f>_xlfn.XLOOKUP(Table1820[[#This Row],[Yearly Miles]],Table4[Yearly Miles],Table4[Yearly Miles Factor],,0)</f>
        <v>0.93</v>
      </c>
      <c r="AE576">
        <f>_xlfn.XLOOKUP(Table1820[[#This Row],[City/Zip Code]],Table5[City/Zip Code],Table5[City/Zip Code Factor],,0)</f>
        <v>0.92</v>
      </c>
      <c r="AF576">
        <f>_xlfn.XLOOKUP(Table1820[[#This Row],[Vehicle Price]],Table6[Vehicle Price],Table6[Vehicle Price Factor])</f>
        <v>0.97</v>
      </c>
      <c r="AG576">
        <f>_xlfn.XLOOKUP(Table1820[[#This Row],[Exotic Car]],Table7[Exotic Car],Table7[Exotic Car Factor],,0)</f>
        <v>1</v>
      </c>
      <c r="AH576">
        <f>_xlfn.XLOOKUP(Table1820[[#This Row],[Difficult Parts]],Table8[Difficult Parts],Table8[Difficult Parts Factor],,0)</f>
        <v>1</v>
      </c>
      <c r="AI576">
        <f>_xlfn.XLOOKUP(Table1820[[#This Row],[High Theft Rate]],Table9[High Theft Rate],Table9[High Theft Rate Factor],,0)</f>
        <v>1</v>
      </c>
      <c r="AJ576">
        <f>_xlfn.XLOOKUP(Table1820[[#This Row],[Advanced Safety Features]],Table10[Advanced Safety Features],Table10[Advanced Safety Features Factor],,0)</f>
        <v>0.88</v>
      </c>
      <c r="AK576">
        <f>_xlfn.XLOOKUP(Table1820[[#This Row],[Deductible]],Table12[Deductible],Table12[Deductible Factor],,0)</f>
        <v>0.72</v>
      </c>
      <c r="AL576">
        <f>_xlfn.XLOOKUP(Table1820[[#This Row],[Coverage Limit]],Table13[Coverage Limit],Table13[Coverage Limit Factor],,0)</f>
        <v>1</v>
      </c>
      <c r="AM576">
        <f>IF(Table1820[[#This Row],[Good Student Discount]]="Yes",'Rate Book'!$D$126,1)</f>
        <v>1</v>
      </c>
      <c r="AN576">
        <f>IF(Table1820[[#This Row],[Good Driver Discount]]="Yes",'Rate Book'!$D$127,1)</f>
        <v>1</v>
      </c>
      <c r="AO576">
        <f>IF(Table1820[[#This Row],[Multi Policy Discount]]="Yes",'Rate Book'!$D$128,1)</f>
        <v>1</v>
      </c>
      <c r="AP576">
        <f>IF(Table1820[[#This Row],[Loyal Customer Discount]]="Yes",'Rate Book'!$D$129,1)</f>
        <v>1</v>
      </c>
      <c r="AQ576">
        <f>IF(Table1820[[#This Row],[Organization Discount]]="Yes",'Rate Book'!$D$130,1)</f>
        <v>1</v>
      </c>
      <c r="AR576" cm="1">
        <f t="array" ref="AR576">IF(Table1820[[#This Row],[Effective Date]]&gt;=RateChangeTable[Effective Date],RateChangeTable[Rate Change Factor],1)</f>
        <v>1</v>
      </c>
      <c r="AS576" s="10">
        <f>PRODUCT(Table1820[[#This Row],[Base Rate]:[Rate Change Factor]])</f>
        <v>111.65307152034815</v>
      </c>
      <c r="AT576" s="9">
        <f>Table1820[[#This Row],[System-Generated Premium]]-Table1820[[#This Row],[Expected Premium]]</f>
        <v>0</v>
      </c>
      <c r="AU576" t="str">
        <f>IF(Table1820[[#This Row],[Difference]]=0,"PASS","FAIL")</f>
        <v>PASS</v>
      </c>
      <c r="AV576" s="9">
        <f>ABS(Table1820[[#This Row],[Difference]])</f>
        <v>0</v>
      </c>
      <c r="AW576" s="9" t="s">
        <v>1136</v>
      </c>
    </row>
    <row r="577" spans="1:49" x14ac:dyDescent="0.3">
      <c r="A577" t="s">
        <v>668</v>
      </c>
      <c r="B577" s="7">
        <v>45820</v>
      </c>
      <c r="C577" t="s">
        <v>71</v>
      </c>
      <c r="D577" t="s">
        <v>1098</v>
      </c>
      <c r="E577" s="3">
        <v>7</v>
      </c>
      <c r="F577" s="3">
        <v>3</v>
      </c>
      <c r="G577" t="s">
        <v>11</v>
      </c>
      <c r="H577" t="s">
        <v>1107</v>
      </c>
      <c r="I577" t="s">
        <v>34</v>
      </c>
      <c r="J577" t="s">
        <v>52</v>
      </c>
      <c r="K577" t="s">
        <v>10</v>
      </c>
      <c r="L577" t="s">
        <v>10</v>
      </c>
      <c r="M577" t="s">
        <v>10</v>
      </c>
      <c r="N577" t="s">
        <v>57</v>
      </c>
      <c r="O577" t="str">
        <f>INDEX(CoverageTable[Deductible Applies],MATCH(Table1820[[#This Row],[Coverage]],CoverageTable[Coverage],0))</f>
        <v>Yes</v>
      </c>
      <c r="P577" t="str">
        <f>INDEX(CoverageTable[Coverage Limit Applies],MATCH(Table1820[[#This Row],[Coverage]],CoverageTable[Coverage],0))</f>
        <v>No</v>
      </c>
      <c r="Q577" t="s">
        <v>79</v>
      </c>
      <c r="R577" t="s">
        <v>10</v>
      </c>
      <c r="S577" t="s">
        <v>10</v>
      </c>
      <c r="T577" t="s">
        <v>57</v>
      </c>
      <c r="U577" t="s">
        <v>10</v>
      </c>
      <c r="V577" t="s">
        <v>10</v>
      </c>
      <c r="W577" t="s">
        <v>57</v>
      </c>
      <c r="X577" s="11">
        <v>1330.309861394283</v>
      </c>
      <c r="Y577">
        <f>_xlfn.XLOOKUP(Table1820[[#This Row],[Coverage]],CoverageTable[Coverage],CoverageTable[Base Rate],,0)</f>
        <v>453</v>
      </c>
      <c r="Z577">
        <f>INDEX(Table16[Ageband Factor],MATCH(Table1820[[#This Row],[Ageband]],Table16[Ageband],0))</f>
        <v>1.23</v>
      </c>
      <c r="AA577">
        <f>VLOOKUP(Table1820[[#This Row],[Years Driving]],Table1[],2)</f>
        <v>0.95</v>
      </c>
      <c r="AB577">
        <f>_xlfn.XLOOKUP(Table1820[[#This Row],[At Fault Accidents]],Table2[At Fault Accidents],Table2[At Fault Accident Factor],,0)</f>
        <v>1.82</v>
      </c>
      <c r="AC577">
        <f>_xlfn.XLOOKUP(Table1820[[#This Row],[Usage-Based Insurance]],Table3[Usage-Based Insurance],Table3[Usage-Based Insurance Discount],,0)</f>
        <v>0.95</v>
      </c>
      <c r="AD577">
        <f>_xlfn.XLOOKUP(Table1820[[#This Row],[Yearly Miles]],Table4[Yearly Miles],Table4[Yearly Miles Factor],,0)</f>
        <v>0.93</v>
      </c>
      <c r="AE577">
        <f>_xlfn.XLOOKUP(Table1820[[#This Row],[City/Zip Code]],Table5[City/Zip Code],Table5[City/Zip Code Factor],,0)</f>
        <v>1.56</v>
      </c>
      <c r="AF577">
        <f>_xlfn.XLOOKUP(Table1820[[#This Row],[Vehicle Price]],Table6[Vehicle Price],Table6[Vehicle Price Factor])</f>
        <v>1.57</v>
      </c>
      <c r="AG577">
        <f>_xlfn.XLOOKUP(Table1820[[#This Row],[Exotic Car]],Table7[Exotic Car],Table7[Exotic Car Factor],,0)</f>
        <v>1</v>
      </c>
      <c r="AH577">
        <f>_xlfn.XLOOKUP(Table1820[[#This Row],[Difficult Parts]],Table8[Difficult Parts],Table8[Difficult Parts Factor],,0)</f>
        <v>1</v>
      </c>
      <c r="AI577">
        <f>_xlfn.XLOOKUP(Table1820[[#This Row],[High Theft Rate]],Table9[High Theft Rate],Table9[High Theft Rate Factor],,0)</f>
        <v>1</v>
      </c>
      <c r="AJ577">
        <f>_xlfn.XLOOKUP(Table1820[[#This Row],[Advanced Safety Features]],Table10[Advanced Safety Features],Table10[Advanced Safety Features Factor],,0)</f>
        <v>0.88</v>
      </c>
      <c r="AK577">
        <f>_xlfn.XLOOKUP(Table1820[[#This Row],[Deductible]],Table12[Deductible],Table12[Deductible Factor],,0)</f>
        <v>0.84</v>
      </c>
      <c r="AL577">
        <f>_xlfn.XLOOKUP(Table1820[[#This Row],[Coverage Limit]],Table13[Coverage Limit],Table13[Coverage Limit Factor],,0)</f>
        <v>1</v>
      </c>
      <c r="AM577">
        <f>IF(Table1820[[#This Row],[Good Student Discount]]="Yes",'Rate Book'!$D$126,1)</f>
        <v>1</v>
      </c>
      <c r="AN577">
        <f>IF(Table1820[[#This Row],[Good Driver Discount]]="Yes",'Rate Book'!$D$127,1)</f>
        <v>0.89</v>
      </c>
      <c r="AO577">
        <f>IF(Table1820[[#This Row],[Multi Policy Discount]]="Yes",'Rate Book'!$D$128,1)</f>
        <v>1</v>
      </c>
      <c r="AP577">
        <f>IF(Table1820[[#This Row],[Loyal Customer Discount]]="Yes",'Rate Book'!$D$129,1)</f>
        <v>1</v>
      </c>
      <c r="AQ577">
        <f>IF(Table1820[[#This Row],[Organization Discount]]="Yes",'Rate Book'!$D$130,1)</f>
        <v>0.97</v>
      </c>
      <c r="AR577" cm="1">
        <f t="array" ref="AR577">IF(Table1820[[#This Row],[Effective Date]]&gt;=RateChangeTable[Effective Date],RateChangeTable[Rate Change Factor],1)</f>
        <v>1</v>
      </c>
      <c r="AS577" s="10">
        <f>PRODUCT(Table1820[[#This Row],[Base Rate]:[Rate Change Factor]])</f>
        <v>1330.309861394283</v>
      </c>
      <c r="AT577" s="9">
        <f>Table1820[[#This Row],[System-Generated Premium]]-Table1820[[#This Row],[Expected Premium]]</f>
        <v>0</v>
      </c>
      <c r="AU577" t="str">
        <f>IF(Table1820[[#This Row],[Difference]]=0,"PASS","FAIL")</f>
        <v>PASS</v>
      </c>
      <c r="AV577" s="9">
        <f>ABS(Table1820[[#This Row],[Difference]])</f>
        <v>0</v>
      </c>
      <c r="AW577" s="9" t="s">
        <v>1136</v>
      </c>
    </row>
    <row r="578" spans="1:49" x14ac:dyDescent="0.3">
      <c r="A578" t="s">
        <v>669</v>
      </c>
      <c r="B578" s="7">
        <v>45910</v>
      </c>
      <c r="C578" t="s">
        <v>70</v>
      </c>
      <c r="D578" t="s">
        <v>1098</v>
      </c>
      <c r="E578" s="3">
        <v>3</v>
      </c>
      <c r="F578" s="3">
        <v>0</v>
      </c>
      <c r="G578" t="s">
        <v>10</v>
      </c>
      <c r="H578" t="s">
        <v>1107</v>
      </c>
      <c r="I578" t="s">
        <v>28</v>
      </c>
      <c r="J578" t="s">
        <v>53</v>
      </c>
      <c r="K578" t="s">
        <v>10</v>
      </c>
      <c r="L578" t="s">
        <v>10</v>
      </c>
      <c r="M578" t="s">
        <v>57</v>
      </c>
      <c r="N578" t="s">
        <v>10</v>
      </c>
      <c r="O578" t="str">
        <f>INDEX(CoverageTable[Deductible Applies],MATCH(Table1820[[#This Row],[Coverage]],CoverageTable[Coverage],0))</f>
        <v>No</v>
      </c>
      <c r="P578" t="str">
        <f>INDEX(CoverageTable[Coverage Limit Applies],MATCH(Table1820[[#This Row],[Coverage]],CoverageTable[Coverage],0))</f>
        <v>Yes</v>
      </c>
      <c r="Q578" t="s">
        <v>10</v>
      </c>
      <c r="R578" t="s">
        <v>79</v>
      </c>
      <c r="S578" t="s">
        <v>10</v>
      </c>
      <c r="T578" t="s">
        <v>57</v>
      </c>
      <c r="U578" t="s">
        <v>10</v>
      </c>
      <c r="V578" t="s">
        <v>10</v>
      </c>
      <c r="W578" t="s">
        <v>10</v>
      </c>
      <c r="X578" s="11">
        <v>1238.2083899039126</v>
      </c>
      <c r="Y578">
        <f>_xlfn.XLOOKUP(Table1820[[#This Row],[Coverage]],CoverageTable[Coverage],CoverageTable[Base Rate],,0)</f>
        <v>622</v>
      </c>
      <c r="Z578">
        <f>INDEX(Table16[Ageband Factor],MATCH(Table1820[[#This Row],[Ageband]],Table16[Ageband],0))</f>
        <v>1.23</v>
      </c>
      <c r="AA578">
        <f>VLOOKUP(Table1820[[#This Row],[Years Driving]],Table1[],2)</f>
        <v>1.22</v>
      </c>
      <c r="AB578">
        <f>_xlfn.XLOOKUP(Table1820[[#This Row],[At Fault Accidents]],Table2[At Fault Accidents],Table2[At Fault Accident Factor],,0)</f>
        <v>1</v>
      </c>
      <c r="AC578">
        <f>_xlfn.XLOOKUP(Table1820[[#This Row],[Usage-Based Insurance]],Table3[Usage-Based Insurance],Table3[Usage-Based Insurance Discount],,0)</f>
        <v>1</v>
      </c>
      <c r="AD578">
        <f>_xlfn.XLOOKUP(Table1820[[#This Row],[Yearly Miles]],Table4[Yearly Miles],Table4[Yearly Miles Factor],,0)</f>
        <v>0.93</v>
      </c>
      <c r="AE578">
        <f>_xlfn.XLOOKUP(Table1820[[#This Row],[City/Zip Code]],Table5[City/Zip Code],Table5[City/Zip Code Factor],,0)</f>
        <v>0.95</v>
      </c>
      <c r="AF578">
        <f>_xlfn.XLOOKUP(Table1820[[#This Row],[Vehicle Price]],Table6[Vehicle Price],Table6[Vehicle Price Factor])</f>
        <v>2.02</v>
      </c>
      <c r="AG578">
        <f>_xlfn.XLOOKUP(Table1820[[#This Row],[Exotic Car]],Table7[Exotic Car],Table7[Exotic Car Factor],,0)</f>
        <v>1</v>
      </c>
      <c r="AH578">
        <f>_xlfn.XLOOKUP(Table1820[[#This Row],[Difficult Parts]],Table8[Difficult Parts],Table8[Difficult Parts Factor],,0)</f>
        <v>1</v>
      </c>
      <c r="AI578">
        <f>_xlfn.XLOOKUP(Table1820[[#This Row],[High Theft Rate]],Table9[High Theft Rate],Table9[High Theft Rate Factor],,0)</f>
        <v>1.1599999999999999</v>
      </c>
      <c r="AJ578">
        <f>_xlfn.XLOOKUP(Table1820[[#This Row],[Advanced Safety Features]],Table10[Advanced Safety Features],Table10[Advanced Safety Features Factor],,0)</f>
        <v>1</v>
      </c>
      <c r="AK578">
        <f>_xlfn.XLOOKUP(Table1820[[#This Row],[Deductible]],Table12[Deductible],Table12[Deductible Factor],,0)</f>
        <v>1</v>
      </c>
      <c r="AL578">
        <f>_xlfn.XLOOKUP(Table1820[[#This Row],[Coverage Limit]],Table13[Coverage Limit],Table13[Coverage Limit Factor],,0)</f>
        <v>0.72</v>
      </c>
      <c r="AM578">
        <f>IF(Table1820[[#This Row],[Good Student Discount]]="Yes",'Rate Book'!$D$126,1)</f>
        <v>1</v>
      </c>
      <c r="AN578">
        <f>IF(Table1820[[#This Row],[Good Driver Discount]]="Yes",'Rate Book'!$D$127,1)</f>
        <v>0.89</v>
      </c>
      <c r="AO578">
        <f>IF(Table1820[[#This Row],[Multi Policy Discount]]="Yes",'Rate Book'!$D$128,1)</f>
        <v>1</v>
      </c>
      <c r="AP578">
        <f>IF(Table1820[[#This Row],[Loyal Customer Discount]]="Yes",'Rate Book'!$D$129,1)</f>
        <v>1</v>
      </c>
      <c r="AQ578">
        <f>IF(Table1820[[#This Row],[Organization Discount]]="Yes",'Rate Book'!$D$130,1)</f>
        <v>1</v>
      </c>
      <c r="AR578" cm="1">
        <f t="array" ref="AR578">IF(Table1820[[#This Row],[Effective Date]]&gt;=RateChangeTable[Effective Date],RateChangeTable[Rate Change Factor],1)</f>
        <v>1</v>
      </c>
      <c r="AS578" s="10">
        <f>PRODUCT(Table1820[[#This Row],[Base Rate]:[Rate Change Factor]])</f>
        <v>1238.2083899039126</v>
      </c>
      <c r="AT578" s="9">
        <f>Table1820[[#This Row],[System-Generated Premium]]-Table1820[[#This Row],[Expected Premium]]</f>
        <v>0</v>
      </c>
      <c r="AU578" t="str">
        <f>IF(Table1820[[#This Row],[Difference]]=0,"PASS","FAIL")</f>
        <v>PASS</v>
      </c>
      <c r="AV578" s="9">
        <f>ABS(Table1820[[#This Row],[Difference]])</f>
        <v>0</v>
      </c>
      <c r="AW578" s="9" t="s">
        <v>1136</v>
      </c>
    </row>
    <row r="579" spans="1:49" x14ac:dyDescent="0.3">
      <c r="A579" t="s">
        <v>670</v>
      </c>
      <c r="B579" s="7">
        <v>45809</v>
      </c>
      <c r="C579" t="s">
        <v>72</v>
      </c>
      <c r="D579" t="s">
        <v>1101</v>
      </c>
      <c r="E579" s="3">
        <v>3</v>
      </c>
      <c r="F579" s="3">
        <v>2</v>
      </c>
      <c r="G579" t="s">
        <v>10</v>
      </c>
      <c r="H579" t="s">
        <v>1108</v>
      </c>
      <c r="I579" t="s">
        <v>25</v>
      </c>
      <c r="J579" t="s">
        <v>54</v>
      </c>
      <c r="K579" t="s">
        <v>10</v>
      </c>
      <c r="L579" t="s">
        <v>57</v>
      </c>
      <c r="M579" t="s">
        <v>57</v>
      </c>
      <c r="N579" t="s">
        <v>57</v>
      </c>
      <c r="O579" t="str">
        <f>INDEX(CoverageTable[Deductible Applies],MATCH(Table1820[[#This Row],[Coverage]],CoverageTable[Coverage],0))</f>
        <v>Yes</v>
      </c>
      <c r="P579" t="str">
        <f>INDEX(CoverageTable[Coverage Limit Applies],MATCH(Table1820[[#This Row],[Coverage]],CoverageTable[Coverage],0))</f>
        <v>No</v>
      </c>
      <c r="Q579" t="s">
        <v>78</v>
      </c>
      <c r="R579" t="s">
        <v>10</v>
      </c>
      <c r="S579" t="s">
        <v>57</v>
      </c>
      <c r="T579" t="s">
        <v>57</v>
      </c>
      <c r="U579" t="s">
        <v>57</v>
      </c>
      <c r="V579" t="s">
        <v>10</v>
      </c>
      <c r="W579" t="s">
        <v>10</v>
      </c>
      <c r="X579" s="11">
        <v>762.33389053428789</v>
      </c>
      <c r="Y579">
        <f>_xlfn.XLOOKUP(Table1820[[#This Row],[Coverage]],CoverageTable[Coverage],CoverageTable[Base Rate],,0)</f>
        <v>121</v>
      </c>
      <c r="Z579">
        <f>INDEX(Table16[Ageband Factor],MATCH(Table1820[[#This Row],[Ageband]],Table16[Ageband],0))</f>
        <v>1.1200000000000001</v>
      </c>
      <c r="AA579">
        <f>VLOOKUP(Table1820[[#This Row],[Years Driving]],Table1[],2)</f>
        <v>1.22</v>
      </c>
      <c r="AB579">
        <f>_xlfn.XLOOKUP(Table1820[[#This Row],[At Fault Accidents]],Table2[At Fault Accidents],Table2[At Fault Accident Factor],,0)</f>
        <v>1.55</v>
      </c>
      <c r="AC579">
        <f>_xlfn.XLOOKUP(Table1820[[#This Row],[Usage-Based Insurance]],Table3[Usage-Based Insurance],Table3[Usage-Based Insurance Discount],,0)</f>
        <v>1</v>
      </c>
      <c r="AD579">
        <f>_xlfn.XLOOKUP(Table1820[[#This Row],[Yearly Miles]],Table4[Yearly Miles],Table4[Yearly Miles Factor],,0)</f>
        <v>1</v>
      </c>
      <c r="AE579">
        <f>_xlfn.XLOOKUP(Table1820[[#This Row],[City/Zip Code]],Table5[City/Zip Code],Table5[City/Zip Code Factor],,0)</f>
        <v>1.1599999999999999</v>
      </c>
      <c r="AF579">
        <f>_xlfn.XLOOKUP(Table1820[[#This Row],[Vehicle Price]],Table6[Vehicle Price],Table6[Vehicle Price Factor])</f>
        <v>2.87</v>
      </c>
      <c r="AG579">
        <f>_xlfn.XLOOKUP(Table1820[[#This Row],[Exotic Car]],Table7[Exotic Car],Table7[Exotic Car Factor],,0)</f>
        <v>1</v>
      </c>
      <c r="AH579">
        <f>_xlfn.XLOOKUP(Table1820[[#This Row],[Difficult Parts]],Table8[Difficult Parts],Table8[Difficult Parts Factor],,0)</f>
        <v>1.21</v>
      </c>
      <c r="AI579">
        <f>_xlfn.XLOOKUP(Table1820[[#This Row],[High Theft Rate]],Table9[High Theft Rate],Table9[High Theft Rate Factor],,0)</f>
        <v>1.1599999999999999</v>
      </c>
      <c r="AJ579">
        <f>_xlfn.XLOOKUP(Table1820[[#This Row],[Advanced Safety Features]],Table10[Advanced Safety Features],Table10[Advanced Safety Features Factor],,0)</f>
        <v>0.88</v>
      </c>
      <c r="AK579">
        <f>_xlfn.XLOOKUP(Table1820[[#This Row],[Deductible]],Table12[Deductible],Table12[Deductible Factor],,0)</f>
        <v>0.95</v>
      </c>
      <c r="AL579">
        <f>_xlfn.XLOOKUP(Table1820[[#This Row],[Coverage Limit]],Table13[Coverage Limit],Table13[Coverage Limit Factor],,0)</f>
        <v>1</v>
      </c>
      <c r="AM579">
        <f>IF(Table1820[[#This Row],[Good Student Discount]]="Yes",'Rate Book'!$D$126,1)</f>
        <v>0.92</v>
      </c>
      <c r="AN579">
        <f>IF(Table1820[[#This Row],[Good Driver Discount]]="Yes",'Rate Book'!$D$127,1)</f>
        <v>0.89</v>
      </c>
      <c r="AO579">
        <f>IF(Table1820[[#This Row],[Multi Policy Discount]]="Yes",'Rate Book'!$D$128,1)</f>
        <v>0.93</v>
      </c>
      <c r="AP579">
        <f>IF(Table1820[[#This Row],[Loyal Customer Discount]]="Yes",'Rate Book'!$D$129,1)</f>
        <v>1</v>
      </c>
      <c r="AQ579">
        <f>IF(Table1820[[#This Row],[Organization Discount]]="Yes",'Rate Book'!$D$130,1)</f>
        <v>1</v>
      </c>
      <c r="AR579" cm="1">
        <f t="array" ref="AR579">IF(Table1820[[#This Row],[Effective Date]]&gt;=RateChangeTable[Effective Date],RateChangeTable[Rate Change Factor],1)</f>
        <v>1</v>
      </c>
      <c r="AS579" s="10">
        <f>PRODUCT(Table1820[[#This Row],[Base Rate]:[Rate Change Factor]])</f>
        <v>762.33389053428789</v>
      </c>
      <c r="AT579" s="9">
        <f>Table1820[[#This Row],[System-Generated Premium]]-Table1820[[#This Row],[Expected Premium]]</f>
        <v>0</v>
      </c>
      <c r="AU579" t="str">
        <f>IF(Table1820[[#This Row],[Difference]]=0,"PASS","FAIL")</f>
        <v>PASS</v>
      </c>
      <c r="AV579" s="9">
        <f>ABS(Table1820[[#This Row],[Difference]])</f>
        <v>0</v>
      </c>
      <c r="AW579" s="9" t="s">
        <v>1136</v>
      </c>
    </row>
    <row r="580" spans="1:49" x14ac:dyDescent="0.3">
      <c r="A580" t="s">
        <v>671</v>
      </c>
      <c r="B580" s="7">
        <v>45997</v>
      </c>
      <c r="C580" t="s">
        <v>70</v>
      </c>
      <c r="D580" t="s">
        <v>1100</v>
      </c>
      <c r="E580" s="3">
        <v>2</v>
      </c>
      <c r="F580" s="3">
        <v>2</v>
      </c>
      <c r="G580" t="s">
        <v>11</v>
      </c>
      <c r="H580" t="s">
        <v>1107</v>
      </c>
      <c r="I580" t="s">
        <v>29</v>
      </c>
      <c r="J580" t="s">
        <v>50</v>
      </c>
      <c r="K580" t="s">
        <v>10</v>
      </c>
      <c r="L580" t="s">
        <v>10</v>
      </c>
      <c r="M580" t="s">
        <v>10</v>
      </c>
      <c r="N580" t="s">
        <v>57</v>
      </c>
      <c r="O580" t="str">
        <f>INDEX(CoverageTable[Deductible Applies],MATCH(Table1820[[#This Row],[Coverage]],CoverageTable[Coverage],0))</f>
        <v>No</v>
      </c>
      <c r="P580" t="str">
        <f>INDEX(CoverageTable[Coverage Limit Applies],MATCH(Table1820[[#This Row],[Coverage]],CoverageTable[Coverage],0))</f>
        <v>Yes</v>
      </c>
      <c r="Q580" t="s">
        <v>10</v>
      </c>
      <c r="R580" t="s">
        <v>78</v>
      </c>
      <c r="S580" t="s">
        <v>10</v>
      </c>
      <c r="T580" t="s">
        <v>10</v>
      </c>
      <c r="U580" t="s">
        <v>10</v>
      </c>
      <c r="V580" t="s">
        <v>10</v>
      </c>
      <c r="W580" t="s">
        <v>10</v>
      </c>
      <c r="X580" s="11">
        <v>812.07153483139496</v>
      </c>
      <c r="Y580">
        <f>_xlfn.XLOOKUP(Table1820[[#This Row],[Coverage]],CoverageTable[Coverage],CoverageTable[Base Rate],,0)</f>
        <v>622</v>
      </c>
      <c r="Z580">
        <f>INDEX(Table16[Ageband Factor],MATCH(Table1820[[#This Row],[Ageband]],Table16[Ageband],0))</f>
        <v>1.07</v>
      </c>
      <c r="AA580">
        <f>VLOOKUP(Table1820[[#This Row],[Years Driving]],Table1[],2)</f>
        <v>1.41</v>
      </c>
      <c r="AB580">
        <f>_xlfn.XLOOKUP(Table1820[[#This Row],[At Fault Accidents]],Table2[At Fault Accidents],Table2[At Fault Accident Factor],,0)</f>
        <v>1.55</v>
      </c>
      <c r="AC580">
        <f>_xlfn.XLOOKUP(Table1820[[#This Row],[Usage-Based Insurance]],Table3[Usage-Based Insurance],Table3[Usage-Based Insurance Discount],,0)</f>
        <v>0.95</v>
      </c>
      <c r="AD580">
        <f>_xlfn.XLOOKUP(Table1820[[#This Row],[Yearly Miles]],Table4[Yearly Miles],Table4[Yearly Miles Factor],,0)</f>
        <v>0.93</v>
      </c>
      <c r="AE580">
        <f>_xlfn.XLOOKUP(Table1820[[#This Row],[City/Zip Code]],Table5[City/Zip Code],Table5[City/Zip Code Factor],,0)</f>
        <v>1.0900000000000001</v>
      </c>
      <c r="AF580">
        <f>_xlfn.XLOOKUP(Table1820[[#This Row],[Vehicle Price]],Table6[Vehicle Price],Table6[Vehicle Price Factor])</f>
        <v>1.08</v>
      </c>
      <c r="AG580">
        <f>_xlfn.XLOOKUP(Table1820[[#This Row],[Exotic Car]],Table7[Exotic Car],Table7[Exotic Car Factor],,0)</f>
        <v>1</v>
      </c>
      <c r="AH580">
        <f>_xlfn.XLOOKUP(Table1820[[#This Row],[Difficult Parts]],Table8[Difficult Parts],Table8[Difficult Parts Factor],,0)</f>
        <v>1</v>
      </c>
      <c r="AI580">
        <f>_xlfn.XLOOKUP(Table1820[[#This Row],[High Theft Rate]],Table9[High Theft Rate],Table9[High Theft Rate Factor],,0)</f>
        <v>1</v>
      </c>
      <c r="AJ580">
        <f>_xlfn.XLOOKUP(Table1820[[#This Row],[Advanced Safety Features]],Table10[Advanced Safety Features],Table10[Advanced Safety Features Factor],,0)</f>
        <v>0.88</v>
      </c>
      <c r="AK580">
        <f>_xlfn.XLOOKUP(Table1820[[#This Row],[Deductible]],Table12[Deductible],Table12[Deductible Factor],,0)</f>
        <v>1</v>
      </c>
      <c r="AL580">
        <f>_xlfn.XLOOKUP(Table1820[[#This Row],[Coverage Limit]],Table13[Coverage Limit],Table13[Coverage Limit Factor],,0)</f>
        <v>0.61</v>
      </c>
      <c r="AM580">
        <f>IF(Table1820[[#This Row],[Good Student Discount]]="Yes",'Rate Book'!$D$126,1)</f>
        <v>1</v>
      </c>
      <c r="AN580">
        <f>IF(Table1820[[#This Row],[Good Driver Discount]]="Yes",'Rate Book'!$D$127,1)</f>
        <v>1</v>
      </c>
      <c r="AO580">
        <f>IF(Table1820[[#This Row],[Multi Policy Discount]]="Yes",'Rate Book'!$D$128,1)</f>
        <v>1</v>
      </c>
      <c r="AP580">
        <f>IF(Table1820[[#This Row],[Loyal Customer Discount]]="Yes",'Rate Book'!$D$129,1)</f>
        <v>1</v>
      </c>
      <c r="AQ580">
        <f>IF(Table1820[[#This Row],[Organization Discount]]="Yes",'Rate Book'!$D$130,1)</f>
        <v>1</v>
      </c>
      <c r="AR580" cm="1">
        <f t="array" ref="AR580">IF(Table1820[[#This Row],[Effective Date]]&gt;=RateChangeTable[Effective Date],RateChangeTable[Rate Change Factor],1)</f>
        <v>1</v>
      </c>
      <c r="AS580" s="10">
        <f>PRODUCT(Table1820[[#This Row],[Base Rate]:[Rate Change Factor]])</f>
        <v>812.07153483139496</v>
      </c>
      <c r="AT580" s="9">
        <f>Table1820[[#This Row],[System-Generated Premium]]-Table1820[[#This Row],[Expected Premium]]</f>
        <v>0</v>
      </c>
      <c r="AU580" t="str">
        <f>IF(Table1820[[#This Row],[Difference]]=0,"PASS","FAIL")</f>
        <v>PASS</v>
      </c>
      <c r="AV580" s="9">
        <f>ABS(Table1820[[#This Row],[Difference]])</f>
        <v>0</v>
      </c>
      <c r="AW580" s="9" t="s">
        <v>1136</v>
      </c>
    </row>
    <row r="581" spans="1:49" x14ac:dyDescent="0.3">
      <c r="A581" t="s">
        <v>672</v>
      </c>
      <c r="B581" s="7">
        <v>45807</v>
      </c>
      <c r="C581" t="s">
        <v>70</v>
      </c>
      <c r="D581" t="s">
        <v>1100</v>
      </c>
      <c r="E581" s="3" t="s">
        <v>1103</v>
      </c>
      <c r="F581" s="3">
        <v>1</v>
      </c>
      <c r="G581" t="s">
        <v>12</v>
      </c>
      <c r="H581" t="s">
        <v>1107</v>
      </c>
      <c r="I581" t="s">
        <v>26</v>
      </c>
      <c r="J581" t="s">
        <v>50</v>
      </c>
      <c r="K581" t="s">
        <v>10</v>
      </c>
      <c r="L581" t="s">
        <v>10</v>
      </c>
      <c r="M581" t="s">
        <v>10</v>
      </c>
      <c r="N581" t="s">
        <v>10</v>
      </c>
      <c r="O581" t="str">
        <f>INDEX(CoverageTable[Deductible Applies],MATCH(Table1820[[#This Row],[Coverage]],CoverageTable[Coverage],0))</f>
        <v>No</v>
      </c>
      <c r="P581" t="str">
        <f>INDEX(CoverageTable[Coverage Limit Applies],MATCH(Table1820[[#This Row],[Coverage]],CoverageTable[Coverage],0))</f>
        <v>Yes</v>
      </c>
      <c r="Q581" t="s">
        <v>10</v>
      </c>
      <c r="R581" t="s">
        <v>80</v>
      </c>
      <c r="S581" t="s">
        <v>57</v>
      </c>
      <c r="T581" t="s">
        <v>57</v>
      </c>
      <c r="U581" t="s">
        <v>10</v>
      </c>
      <c r="V581" t="s">
        <v>10</v>
      </c>
      <c r="W581" t="s">
        <v>57</v>
      </c>
      <c r="X581" s="11">
        <v>511.31118726043456</v>
      </c>
      <c r="Y581">
        <f>_xlfn.XLOOKUP(Table1820[[#This Row],[Coverage]],CoverageTable[Coverage],CoverageTable[Base Rate],,0)</f>
        <v>622</v>
      </c>
      <c r="Z581">
        <f>INDEX(Table16[Ageband Factor],MATCH(Table1820[[#This Row],[Ageband]],Table16[Ageband],0))</f>
        <v>1.07</v>
      </c>
      <c r="AA581">
        <f>VLOOKUP(Table1820[[#This Row],[Years Driving]],Table1[],2)</f>
        <v>0.93</v>
      </c>
      <c r="AB581">
        <f>_xlfn.XLOOKUP(Table1820[[#This Row],[At Fault Accidents]],Table2[At Fault Accidents],Table2[At Fault Accident Factor],,0)</f>
        <v>1.34</v>
      </c>
      <c r="AC581">
        <f>_xlfn.XLOOKUP(Table1820[[#This Row],[Usage-Based Insurance]],Table3[Usage-Based Insurance],Table3[Usage-Based Insurance Discount],,0)</f>
        <v>0.8</v>
      </c>
      <c r="AD581">
        <f>_xlfn.XLOOKUP(Table1820[[#This Row],[Yearly Miles]],Table4[Yearly Miles],Table4[Yearly Miles Factor],,0)</f>
        <v>0.93</v>
      </c>
      <c r="AE581">
        <f>_xlfn.XLOOKUP(Table1820[[#This Row],[City/Zip Code]],Table5[City/Zip Code],Table5[City/Zip Code Factor],,0)</f>
        <v>1.1499999999999999</v>
      </c>
      <c r="AF581">
        <f>_xlfn.XLOOKUP(Table1820[[#This Row],[Vehicle Price]],Table6[Vehicle Price],Table6[Vehicle Price Factor])</f>
        <v>1.08</v>
      </c>
      <c r="AG581">
        <f>_xlfn.XLOOKUP(Table1820[[#This Row],[Exotic Car]],Table7[Exotic Car],Table7[Exotic Car Factor],,0)</f>
        <v>1</v>
      </c>
      <c r="AH581">
        <f>_xlfn.XLOOKUP(Table1820[[#This Row],[Difficult Parts]],Table8[Difficult Parts],Table8[Difficult Parts Factor],,0)</f>
        <v>1</v>
      </c>
      <c r="AI581">
        <f>_xlfn.XLOOKUP(Table1820[[#This Row],[High Theft Rate]],Table9[High Theft Rate],Table9[High Theft Rate Factor],,0)</f>
        <v>1</v>
      </c>
      <c r="AJ581">
        <f>_xlfn.XLOOKUP(Table1820[[#This Row],[Advanced Safety Features]],Table10[Advanced Safety Features],Table10[Advanced Safety Features Factor],,0)</f>
        <v>1</v>
      </c>
      <c r="AK581">
        <f>_xlfn.XLOOKUP(Table1820[[#This Row],[Deductible]],Table12[Deductible],Table12[Deductible Factor],,0)</f>
        <v>1</v>
      </c>
      <c r="AL581">
        <f>_xlfn.XLOOKUP(Table1820[[#This Row],[Coverage Limit]],Table13[Coverage Limit],Table13[Coverage Limit Factor],,0)</f>
        <v>0.84</v>
      </c>
      <c r="AM581">
        <f>IF(Table1820[[#This Row],[Good Student Discount]]="Yes",'Rate Book'!$D$126,1)</f>
        <v>0.92</v>
      </c>
      <c r="AN581">
        <f>IF(Table1820[[#This Row],[Good Driver Discount]]="Yes",'Rate Book'!$D$127,1)</f>
        <v>0.89</v>
      </c>
      <c r="AO581">
        <f>IF(Table1820[[#This Row],[Multi Policy Discount]]="Yes",'Rate Book'!$D$128,1)</f>
        <v>1</v>
      </c>
      <c r="AP581">
        <f>IF(Table1820[[#This Row],[Loyal Customer Discount]]="Yes",'Rate Book'!$D$129,1)</f>
        <v>1</v>
      </c>
      <c r="AQ581">
        <f>IF(Table1820[[#This Row],[Organization Discount]]="Yes",'Rate Book'!$D$130,1)</f>
        <v>0.97</v>
      </c>
      <c r="AR581" cm="1">
        <f t="array" ref="AR581">IF(Table1820[[#This Row],[Effective Date]]&gt;=RateChangeTable[Effective Date],RateChangeTable[Rate Change Factor],1)</f>
        <v>1</v>
      </c>
      <c r="AS581" s="10">
        <f>PRODUCT(Table1820[[#This Row],[Base Rate]:[Rate Change Factor]])</f>
        <v>511.31118726043456</v>
      </c>
      <c r="AT581" s="9">
        <f>Table1820[[#This Row],[System-Generated Premium]]-Table1820[[#This Row],[Expected Premium]]</f>
        <v>0</v>
      </c>
      <c r="AU581" t="str">
        <f>IF(Table1820[[#This Row],[Difference]]=0,"PASS","FAIL")</f>
        <v>PASS</v>
      </c>
      <c r="AV581" s="9">
        <f>ABS(Table1820[[#This Row],[Difference]])</f>
        <v>0</v>
      </c>
      <c r="AW581" s="9" t="s">
        <v>1136</v>
      </c>
    </row>
    <row r="582" spans="1:49" x14ac:dyDescent="0.3">
      <c r="A582" t="s">
        <v>673</v>
      </c>
      <c r="B582" s="7">
        <v>46136</v>
      </c>
      <c r="C582" t="s">
        <v>70</v>
      </c>
      <c r="D582" t="s">
        <v>1100</v>
      </c>
      <c r="E582" s="3" t="s">
        <v>1103</v>
      </c>
      <c r="F582" s="3">
        <v>2</v>
      </c>
      <c r="G582" t="s">
        <v>12</v>
      </c>
      <c r="H582" t="s">
        <v>1108</v>
      </c>
      <c r="I582" t="s">
        <v>23</v>
      </c>
      <c r="J582" t="s">
        <v>52</v>
      </c>
      <c r="K582" t="s">
        <v>57</v>
      </c>
      <c r="L582" t="s">
        <v>10</v>
      </c>
      <c r="M582" t="s">
        <v>10</v>
      </c>
      <c r="N582" t="s">
        <v>57</v>
      </c>
      <c r="O582" t="str">
        <f>INDEX(CoverageTable[Deductible Applies],MATCH(Table1820[[#This Row],[Coverage]],CoverageTable[Coverage],0))</f>
        <v>No</v>
      </c>
      <c r="P582" t="str">
        <f>INDEX(CoverageTable[Coverage Limit Applies],MATCH(Table1820[[#This Row],[Coverage]],CoverageTable[Coverage],0))</f>
        <v>Yes</v>
      </c>
      <c r="Q582" t="s">
        <v>10</v>
      </c>
      <c r="R582" t="s">
        <v>79</v>
      </c>
      <c r="S582" t="s">
        <v>10</v>
      </c>
      <c r="T582" t="s">
        <v>10</v>
      </c>
      <c r="U582" t="s">
        <v>10</v>
      </c>
      <c r="V582" t="s">
        <v>10</v>
      </c>
      <c r="W582" t="s">
        <v>10</v>
      </c>
      <c r="X582" s="11">
        <v>953.00960851431137</v>
      </c>
      <c r="Y582">
        <f>_xlfn.XLOOKUP(Table1820[[#This Row],[Coverage]],CoverageTable[Coverage],CoverageTable[Base Rate],,0)</f>
        <v>622</v>
      </c>
      <c r="Z582">
        <f>INDEX(Table16[Ageband Factor],MATCH(Table1820[[#This Row],[Ageband]],Table16[Ageband],0))</f>
        <v>1.07</v>
      </c>
      <c r="AA582">
        <f>VLOOKUP(Table1820[[#This Row],[Years Driving]],Table1[],2)</f>
        <v>0.93</v>
      </c>
      <c r="AB582">
        <f>_xlfn.XLOOKUP(Table1820[[#This Row],[At Fault Accidents]],Table2[At Fault Accidents],Table2[At Fault Accident Factor],,0)</f>
        <v>1.55</v>
      </c>
      <c r="AC582">
        <f>_xlfn.XLOOKUP(Table1820[[#This Row],[Usage-Based Insurance]],Table3[Usage-Based Insurance],Table3[Usage-Based Insurance Discount],,0)</f>
        <v>0.8</v>
      </c>
      <c r="AD582">
        <f>_xlfn.XLOOKUP(Table1820[[#This Row],[Yearly Miles]],Table4[Yearly Miles],Table4[Yearly Miles Factor],,0)</f>
        <v>1</v>
      </c>
      <c r="AE582">
        <f>_xlfn.XLOOKUP(Table1820[[#This Row],[City/Zip Code]],Table5[City/Zip Code],Table5[City/Zip Code Factor],,0)</f>
        <v>0.92</v>
      </c>
      <c r="AF582">
        <f>_xlfn.XLOOKUP(Table1820[[#This Row],[Vehicle Price]],Table6[Vehicle Price],Table6[Vehicle Price Factor])</f>
        <v>1.57</v>
      </c>
      <c r="AG582">
        <f>_xlfn.XLOOKUP(Table1820[[#This Row],[Exotic Car]],Table7[Exotic Car],Table7[Exotic Car Factor],,0)</f>
        <v>1.28</v>
      </c>
      <c r="AH582">
        <f>_xlfn.XLOOKUP(Table1820[[#This Row],[Difficult Parts]],Table8[Difficult Parts],Table8[Difficult Parts Factor],,0)</f>
        <v>1</v>
      </c>
      <c r="AI582">
        <f>_xlfn.XLOOKUP(Table1820[[#This Row],[High Theft Rate]],Table9[High Theft Rate],Table9[High Theft Rate Factor],,0)</f>
        <v>1</v>
      </c>
      <c r="AJ582">
        <f>_xlfn.XLOOKUP(Table1820[[#This Row],[Advanced Safety Features]],Table10[Advanced Safety Features],Table10[Advanced Safety Features Factor],,0)</f>
        <v>0.88</v>
      </c>
      <c r="AK582">
        <f>_xlfn.XLOOKUP(Table1820[[#This Row],[Deductible]],Table12[Deductible],Table12[Deductible Factor],,0)</f>
        <v>1</v>
      </c>
      <c r="AL582">
        <f>_xlfn.XLOOKUP(Table1820[[#This Row],[Coverage Limit]],Table13[Coverage Limit],Table13[Coverage Limit Factor],,0)</f>
        <v>0.72</v>
      </c>
      <c r="AM582">
        <f>IF(Table1820[[#This Row],[Good Student Discount]]="Yes",'Rate Book'!$D$126,1)</f>
        <v>1</v>
      </c>
      <c r="AN582">
        <f>IF(Table1820[[#This Row],[Good Driver Discount]]="Yes",'Rate Book'!$D$127,1)</f>
        <v>1</v>
      </c>
      <c r="AO582">
        <f>IF(Table1820[[#This Row],[Multi Policy Discount]]="Yes",'Rate Book'!$D$128,1)</f>
        <v>1</v>
      </c>
      <c r="AP582">
        <f>IF(Table1820[[#This Row],[Loyal Customer Discount]]="Yes",'Rate Book'!$D$129,1)</f>
        <v>1</v>
      </c>
      <c r="AQ582">
        <f>IF(Table1820[[#This Row],[Organization Discount]]="Yes",'Rate Book'!$D$130,1)</f>
        <v>1</v>
      </c>
      <c r="AR582" cm="1">
        <f t="array" ref="AR582">IF(Table1820[[#This Row],[Effective Date]]&gt;=RateChangeTable[Effective Date],RateChangeTable[Rate Change Factor],1)</f>
        <v>1.06</v>
      </c>
      <c r="AS582" s="10">
        <f>PRODUCT(Table1820[[#This Row],[Base Rate]:[Rate Change Factor]])</f>
        <v>953.00960851431137</v>
      </c>
      <c r="AT582" s="9">
        <f>Table1820[[#This Row],[System-Generated Premium]]-Table1820[[#This Row],[Expected Premium]]</f>
        <v>0</v>
      </c>
      <c r="AU582" t="str">
        <f>IF(Table1820[[#This Row],[Difference]]=0,"PASS","FAIL")</f>
        <v>PASS</v>
      </c>
      <c r="AV582" s="9">
        <f>ABS(Table1820[[#This Row],[Difference]])</f>
        <v>0</v>
      </c>
      <c r="AW582" s="9" t="s">
        <v>1136</v>
      </c>
    </row>
    <row r="583" spans="1:49" x14ac:dyDescent="0.3">
      <c r="A583" t="s">
        <v>674</v>
      </c>
      <c r="B583" s="7">
        <v>45886</v>
      </c>
      <c r="C583" t="s">
        <v>70</v>
      </c>
      <c r="D583" t="s">
        <v>1100</v>
      </c>
      <c r="E583" s="3">
        <v>4</v>
      </c>
      <c r="F583" s="3">
        <v>4</v>
      </c>
      <c r="G583" t="s">
        <v>10</v>
      </c>
      <c r="H583" t="s">
        <v>1108</v>
      </c>
      <c r="I583" t="s">
        <v>38</v>
      </c>
      <c r="J583" t="s">
        <v>50</v>
      </c>
      <c r="K583" t="s">
        <v>57</v>
      </c>
      <c r="L583" t="s">
        <v>10</v>
      </c>
      <c r="M583" t="s">
        <v>10</v>
      </c>
      <c r="N583" t="s">
        <v>10</v>
      </c>
      <c r="O583" t="str">
        <f>INDEX(CoverageTable[Deductible Applies],MATCH(Table1820[[#This Row],[Coverage]],CoverageTable[Coverage],0))</f>
        <v>No</v>
      </c>
      <c r="P583" t="str">
        <f>INDEX(CoverageTable[Coverage Limit Applies],MATCH(Table1820[[#This Row],[Coverage]],CoverageTable[Coverage],0))</f>
        <v>Yes</v>
      </c>
      <c r="Q583" t="s">
        <v>10</v>
      </c>
      <c r="R583" t="s">
        <v>80</v>
      </c>
      <c r="S583" t="s">
        <v>57</v>
      </c>
      <c r="T583" t="s">
        <v>57</v>
      </c>
      <c r="U583" t="s">
        <v>57</v>
      </c>
      <c r="V583" t="s">
        <v>10</v>
      </c>
      <c r="W583" t="s">
        <v>10</v>
      </c>
      <c r="X583" s="11">
        <v>1606.9400692330512</v>
      </c>
      <c r="Y583">
        <f>_xlfn.XLOOKUP(Table1820[[#This Row],[Coverage]],CoverageTable[Coverage],CoverageTable[Base Rate],,0)</f>
        <v>622</v>
      </c>
      <c r="Z583">
        <f>INDEX(Table16[Ageband Factor],MATCH(Table1820[[#This Row],[Ageband]],Table16[Ageband],0))</f>
        <v>1.07</v>
      </c>
      <c r="AA583">
        <f>VLOOKUP(Table1820[[#This Row],[Years Driving]],Table1[],2)</f>
        <v>1.1499999999999999</v>
      </c>
      <c r="AB583">
        <f>_xlfn.XLOOKUP(Table1820[[#This Row],[At Fault Accidents]],Table2[At Fault Accidents],Table2[At Fault Accident Factor],,0)</f>
        <v>2.12</v>
      </c>
      <c r="AC583">
        <f>_xlfn.XLOOKUP(Table1820[[#This Row],[Usage-Based Insurance]],Table3[Usage-Based Insurance],Table3[Usage-Based Insurance Discount],,0)</f>
        <v>1</v>
      </c>
      <c r="AD583">
        <f>_xlfn.XLOOKUP(Table1820[[#This Row],[Yearly Miles]],Table4[Yearly Miles],Table4[Yearly Miles Factor],,0)</f>
        <v>1</v>
      </c>
      <c r="AE583">
        <f>_xlfn.XLOOKUP(Table1820[[#This Row],[City/Zip Code]],Table5[City/Zip Code],Table5[City/Zip Code Factor],,0)</f>
        <v>1.1200000000000001</v>
      </c>
      <c r="AF583">
        <f>_xlfn.XLOOKUP(Table1820[[#This Row],[Vehicle Price]],Table6[Vehicle Price],Table6[Vehicle Price Factor])</f>
        <v>1.08</v>
      </c>
      <c r="AG583">
        <f>_xlfn.XLOOKUP(Table1820[[#This Row],[Exotic Car]],Table7[Exotic Car],Table7[Exotic Car Factor],,0)</f>
        <v>1.28</v>
      </c>
      <c r="AH583">
        <f>_xlfn.XLOOKUP(Table1820[[#This Row],[Difficult Parts]],Table8[Difficult Parts],Table8[Difficult Parts Factor],,0)</f>
        <v>1</v>
      </c>
      <c r="AI583">
        <f>_xlfn.XLOOKUP(Table1820[[#This Row],[High Theft Rate]],Table9[High Theft Rate],Table9[High Theft Rate Factor],,0)</f>
        <v>1</v>
      </c>
      <c r="AJ583">
        <f>_xlfn.XLOOKUP(Table1820[[#This Row],[Advanced Safety Features]],Table10[Advanced Safety Features],Table10[Advanced Safety Features Factor],,0)</f>
        <v>1</v>
      </c>
      <c r="AK583">
        <f>_xlfn.XLOOKUP(Table1820[[#This Row],[Deductible]],Table12[Deductible],Table12[Deductible Factor],,0)</f>
        <v>1</v>
      </c>
      <c r="AL583">
        <f>_xlfn.XLOOKUP(Table1820[[#This Row],[Coverage Limit]],Table13[Coverage Limit],Table13[Coverage Limit Factor],,0)</f>
        <v>0.84</v>
      </c>
      <c r="AM583">
        <f>IF(Table1820[[#This Row],[Good Student Discount]]="Yes",'Rate Book'!$D$126,1)</f>
        <v>0.92</v>
      </c>
      <c r="AN583">
        <f>IF(Table1820[[#This Row],[Good Driver Discount]]="Yes",'Rate Book'!$D$127,1)</f>
        <v>0.89</v>
      </c>
      <c r="AO583">
        <f>IF(Table1820[[#This Row],[Multi Policy Discount]]="Yes",'Rate Book'!$D$128,1)</f>
        <v>0.93</v>
      </c>
      <c r="AP583">
        <f>IF(Table1820[[#This Row],[Loyal Customer Discount]]="Yes",'Rate Book'!$D$129,1)</f>
        <v>1</v>
      </c>
      <c r="AQ583">
        <f>IF(Table1820[[#This Row],[Organization Discount]]="Yes",'Rate Book'!$D$130,1)</f>
        <v>1</v>
      </c>
      <c r="AR583" cm="1">
        <f t="array" ref="AR583">IF(Table1820[[#This Row],[Effective Date]]&gt;=RateChangeTable[Effective Date],RateChangeTable[Rate Change Factor],1)</f>
        <v>1</v>
      </c>
      <c r="AS583" s="10">
        <f>PRODUCT(Table1820[[#This Row],[Base Rate]:[Rate Change Factor]])</f>
        <v>1606.9400692330512</v>
      </c>
      <c r="AT583" s="9">
        <f>Table1820[[#This Row],[System-Generated Premium]]-Table1820[[#This Row],[Expected Premium]]</f>
        <v>0</v>
      </c>
      <c r="AU583" t="str">
        <f>IF(Table1820[[#This Row],[Difference]]=0,"PASS","FAIL")</f>
        <v>PASS</v>
      </c>
      <c r="AV583" s="9">
        <f>ABS(Table1820[[#This Row],[Difference]])</f>
        <v>0</v>
      </c>
      <c r="AW583" s="9" t="s">
        <v>1136</v>
      </c>
    </row>
    <row r="584" spans="1:49" x14ac:dyDescent="0.3">
      <c r="A584" t="s">
        <v>675</v>
      </c>
      <c r="B584" s="7">
        <v>45849</v>
      </c>
      <c r="C584" t="s">
        <v>74</v>
      </c>
      <c r="D584" t="s">
        <v>1100</v>
      </c>
      <c r="E584" s="3">
        <v>1</v>
      </c>
      <c r="F584" s="3">
        <v>2</v>
      </c>
      <c r="G584" t="s">
        <v>11</v>
      </c>
      <c r="H584" t="s">
        <v>1106</v>
      </c>
      <c r="I584" t="s">
        <v>44</v>
      </c>
      <c r="J584" t="s">
        <v>49</v>
      </c>
      <c r="K584" t="s">
        <v>57</v>
      </c>
      <c r="L584" t="s">
        <v>10</v>
      </c>
      <c r="M584" t="s">
        <v>10</v>
      </c>
      <c r="N584" t="s">
        <v>10</v>
      </c>
      <c r="O584" t="str">
        <f>INDEX(CoverageTable[Deductible Applies],MATCH(Table1820[[#This Row],[Coverage]],CoverageTable[Coverage],0))</f>
        <v>No</v>
      </c>
      <c r="P584" t="str">
        <f>INDEX(CoverageTable[Coverage Limit Applies],MATCH(Table1820[[#This Row],[Coverage]],CoverageTable[Coverage],0))</f>
        <v>Yes</v>
      </c>
      <c r="Q584" t="s">
        <v>10</v>
      </c>
      <c r="R584" t="s">
        <v>78</v>
      </c>
      <c r="S584" t="s">
        <v>10</v>
      </c>
      <c r="T584" t="s">
        <v>10</v>
      </c>
      <c r="U584" t="s">
        <v>10</v>
      </c>
      <c r="V584" t="s">
        <v>57</v>
      </c>
      <c r="W584" t="s">
        <v>57</v>
      </c>
      <c r="X584" s="11">
        <v>69.590467543708073</v>
      </c>
      <c r="Y584">
        <f>_xlfn.XLOOKUP(Table1820[[#This Row],[Coverage]],CoverageTable[Coverage],CoverageTable[Base Rate],,0)</f>
        <v>41</v>
      </c>
      <c r="Z584">
        <f>INDEX(Table16[Ageband Factor],MATCH(Table1820[[#This Row],[Ageband]],Table16[Ageband],0))</f>
        <v>1.07</v>
      </c>
      <c r="AA584">
        <f>VLOOKUP(Table1820[[#This Row],[Years Driving]],Table1[],2)</f>
        <v>1.64</v>
      </c>
      <c r="AB584">
        <f>_xlfn.XLOOKUP(Table1820[[#This Row],[At Fault Accidents]],Table2[At Fault Accidents],Table2[At Fault Accident Factor],,0)</f>
        <v>1.55</v>
      </c>
      <c r="AC584">
        <f>_xlfn.XLOOKUP(Table1820[[#This Row],[Usage-Based Insurance]],Table3[Usage-Based Insurance],Table3[Usage-Based Insurance Discount],,0)</f>
        <v>0.95</v>
      </c>
      <c r="AD584">
        <f>_xlfn.XLOOKUP(Table1820[[#This Row],[Yearly Miles]],Table4[Yearly Miles],Table4[Yearly Miles Factor],,0)</f>
        <v>0.82</v>
      </c>
      <c r="AE584">
        <f>_xlfn.XLOOKUP(Table1820[[#This Row],[City/Zip Code]],Table5[City/Zip Code],Table5[City/Zip Code Factor],,0)</f>
        <v>1.1599999999999999</v>
      </c>
      <c r="AF584">
        <f>_xlfn.XLOOKUP(Table1820[[#This Row],[Vehicle Price]],Table6[Vehicle Price],Table6[Vehicle Price Factor])</f>
        <v>0.97</v>
      </c>
      <c r="AG584">
        <f>_xlfn.XLOOKUP(Table1820[[#This Row],[Exotic Car]],Table7[Exotic Car],Table7[Exotic Car Factor],,0)</f>
        <v>1.28</v>
      </c>
      <c r="AH584">
        <f>_xlfn.XLOOKUP(Table1820[[#This Row],[Difficult Parts]],Table8[Difficult Parts],Table8[Difficult Parts Factor],,0)</f>
        <v>1</v>
      </c>
      <c r="AI584">
        <f>_xlfn.XLOOKUP(Table1820[[#This Row],[High Theft Rate]],Table9[High Theft Rate],Table9[High Theft Rate Factor],,0)</f>
        <v>1</v>
      </c>
      <c r="AJ584">
        <f>_xlfn.XLOOKUP(Table1820[[#This Row],[Advanced Safety Features]],Table10[Advanced Safety Features],Table10[Advanced Safety Features Factor],,0)</f>
        <v>1</v>
      </c>
      <c r="AK584">
        <f>_xlfn.XLOOKUP(Table1820[[#This Row],[Deductible]],Table12[Deductible],Table12[Deductible Factor],,0)</f>
        <v>1</v>
      </c>
      <c r="AL584">
        <f>_xlfn.XLOOKUP(Table1820[[#This Row],[Coverage Limit]],Table13[Coverage Limit],Table13[Coverage Limit Factor],,0)</f>
        <v>0.61</v>
      </c>
      <c r="AM584">
        <f>IF(Table1820[[#This Row],[Good Student Discount]]="Yes",'Rate Book'!$D$126,1)</f>
        <v>1</v>
      </c>
      <c r="AN584">
        <f>IF(Table1820[[#This Row],[Good Driver Discount]]="Yes",'Rate Book'!$D$127,1)</f>
        <v>1</v>
      </c>
      <c r="AO584">
        <f>IF(Table1820[[#This Row],[Multi Policy Discount]]="Yes",'Rate Book'!$D$128,1)</f>
        <v>1</v>
      </c>
      <c r="AP584">
        <f>IF(Table1820[[#This Row],[Loyal Customer Discount]]="Yes",'Rate Book'!$D$129,1)</f>
        <v>0.94</v>
      </c>
      <c r="AQ584">
        <f>IF(Table1820[[#This Row],[Organization Discount]]="Yes",'Rate Book'!$D$130,1)</f>
        <v>0.97</v>
      </c>
      <c r="AR584" cm="1">
        <f t="array" ref="AR584">IF(Table1820[[#This Row],[Effective Date]]&gt;=RateChangeTable[Effective Date],RateChangeTable[Rate Change Factor],1)</f>
        <v>1</v>
      </c>
      <c r="AS584" s="10">
        <f>PRODUCT(Table1820[[#This Row],[Base Rate]:[Rate Change Factor]])</f>
        <v>69.590467543708073</v>
      </c>
      <c r="AT584" s="9">
        <f>Table1820[[#This Row],[System-Generated Premium]]-Table1820[[#This Row],[Expected Premium]]</f>
        <v>0</v>
      </c>
      <c r="AU584" t="str">
        <f>IF(Table1820[[#This Row],[Difference]]=0,"PASS","FAIL")</f>
        <v>PASS</v>
      </c>
      <c r="AV584" s="9">
        <f>ABS(Table1820[[#This Row],[Difference]])</f>
        <v>0</v>
      </c>
      <c r="AW584" s="9" t="s">
        <v>1136</v>
      </c>
    </row>
    <row r="585" spans="1:49" x14ac:dyDescent="0.3">
      <c r="A585" t="s">
        <v>676</v>
      </c>
      <c r="B585" s="7">
        <v>45852</v>
      </c>
      <c r="C585" t="s">
        <v>74</v>
      </c>
      <c r="D585" t="s">
        <v>1098</v>
      </c>
      <c r="E585" s="3">
        <v>6</v>
      </c>
      <c r="F585" s="3">
        <v>0</v>
      </c>
      <c r="G585" t="s">
        <v>13</v>
      </c>
      <c r="H585" t="s">
        <v>1108</v>
      </c>
      <c r="I585" t="s">
        <v>42</v>
      </c>
      <c r="J585" t="s">
        <v>49</v>
      </c>
      <c r="K585" t="s">
        <v>10</v>
      </c>
      <c r="L585" t="s">
        <v>10</v>
      </c>
      <c r="M585" t="s">
        <v>10</v>
      </c>
      <c r="N585" t="s">
        <v>10</v>
      </c>
      <c r="O585" t="str">
        <f>INDEX(CoverageTable[Deductible Applies],MATCH(Table1820[[#This Row],[Coverage]],CoverageTable[Coverage],0))</f>
        <v>No</v>
      </c>
      <c r="P585" t="str">
        <f>INDEX(CoverageTable[Coverage Limit Applies],MATCH(Table1820[[#This Row],[Coverage]],CoverageTable[Coverage],0))</f>
        <v>Yes</v>
      </c>
      <c r="Q585" t="s">
        <v>10</v>
      </c>
      <c r="R585" t="s">
        <v>79</v>
      </c>
      <c r="S585" t="s">
        <v>57</v>
      </c>
      <c r="T585" t="s">
        <v>10</v>
      </c>
      <c r="U585" t="s">
        <v>10</v>
      </c>
      <c r="V585" t="s">
        <v>10</v>
      </c>
      <c r="W585" t="s">
        <v>10</v>
      </c>
      <c r="X585" s="11">
        <v>25.484713356959997</v>
      </c>
      <c r="Y585">
        <f>_xlfn.XLOOKUP(Table1820[[#This Row],[Coverage]],CoverageTable[Coverage],CoverageTable[Base Rate],,0)</f>
        <v>41</v>
      </c>
      <c r="Z585">
        <f>INDEX(Table16[Ageband Factor],MATCH(Table1820[[#This Row],[Ageband]],Table16[Ageband],0))</f>
        <v>1.23</v>
      </c>
      <c r="AA585">
        <f>VLOOKUP(Table1820[[#This Row],[Years Driving]],Table1[],2)</f>
        <v>1</v>
      </c>
      <c r="AB585">
        <f>_xlfn.XLOOKUP(Table1820[[#This Row],[At Fault Accidents]],Table2[At Fault Accidents],Table2[At Fault Accident Factor],,0)</f>
        <v>1</v>
      </c>
      <c r="AC585">
        <f>_xlfn.XLOOKUP(Table1820[[#This Row],[Usage-Based Insurance]],Table3[Usage-Based Insurance],Table3[Usage-Based Insurance Discount],,0)</f>
        <v>0.65</v>
      </c>
      <c r="AD585">
        <f>_xlfn.XLOOKUP(Table1820[[#This Row],[Yearly Miles]],Table4[Yearly Miles],Table4[Yearly Miles Factor],,0)</f>
        <v>1</v>
      </c>
      <c r="AE585">
        <f>_xlfn.XLOOKUP(Table1820[[#This Row],[City/Zip Code]],Table5[City/Zip Code],Table5[City/Zip Code Factor],,0)</f>
        <v>1.21</v>
      </c>
      <c r="AF585">
        <f>_xlfn.XLOOKUP(Table1820[[#This Row],[Vehicle Price]],Table6[Vehicle Price],Table6[Vehicle Price Factor])</f>
        <v>0.97</v>
      </c>
      <c r="AG585">
        <f>_xlfn.XLOOKUP(Table1820[[#This Row],[Exotic Car]],Table7[Exotic Car],Table7[Exotic Car Factor],,0)</f>
        <v>1</v>
      </c>
      <c r="AH585">
        <f>_xlfn.XLOOKUP(Table1820[[#This Row],[Difficult Parts]],Table8[Difficult Parts],Table8[Difficult Parts Factor],,0)</f>
        <v>1</v>
      </c>
      <c r="AI585">
        <f>_xlfn.XLOOKUP(Table1820[[#This Row],[High Theft Rate]],Table9[High Theft Rate],Table9[High Theft Rate Factor],,0)</f>
        <v>1</v>
      </c>
      <c r="AJ585">
        <f>_xlfn.XLOOKUP(Table1820[[#This Row],[Advanced Safety Features]],Table10[Advanced Safety Features],Table10[Advanced Safety Features Factor],,0)</f>
        <v>1</v>
      </c>
      <c r="AK585">
        <f>_xlfn.XLOOKUP(Table1820[[#This Row],[Deductible]],Table12[Deductible],Table12[Deductible Factor],,0)</f>
        <v>1</v>
      </c>
      <c r="AL585">
        <f>_xlfn.XLOOKUP(Table1820[[#This Row],[Coverage Limit]],Table13[Coverage Limit],Table13[Coverage Limit Factor],,0)</f>
        <v>0.72</v>
      </c>
      <c r="AM585">
        <f>IF(Table1820[[#This Row],[Good Student Discount]]="Yes",'Rate Book'!$D$126,1)</f>
        <v>0.92</v>
      </c>
      <c r="AN585">
        <f>IF(Table1820[[#This Row],[Good Driver Discount]]="Yes",'Rate Book'!$D$127,1)</f>
        <v>1</v>
      </c>
      <c r="AO585">
        <f>IF(Table1820[[#This Row],[Multi Policy Discount]]="Yes",'Rate Book'!$D$128,1)</f>
        <v>1</v>
      </c>
      <c r="AP585">
        <f>IF(Table1820[[#This Row],[Loyal Customer Discount]]="Yes",'Rate Book'!$D$129,1)</f>
        <v>1</v>
      </c>
      <c r="AQ585">
        <f>IF(Table1820[[#This Row],[Organization Discount]]="Yes",'Rate Book'!$D$130,1)</f>
        <v>1</v>
      </c>
      <c r="AR585" cm="1">
        <f t="array" ref="AR585">IF(Table1820[[#This Row],[Effective Date]]&gt;=RateChangeTable[Effective Date],RateChangeTable[Rate Change Factor],1)</f>
        <v>1</v>
      </c>
      <c r="AS585" s="10">
        <f>PRODUCT(Table1820[[#This Row],[Base Rate]:[Rate Change Factor]])</f>
        <v>25.484713356959997</v>
      </c>
      <c r="AT585" s="9">
        <f>Table1820[[#This Row],[System-Generated Premium]]-Table1820[[#This Row],[Expected Premium]]</f>
        <v>0</v>
      </c>
      <c r="AU585" t="str">
        <f>IF(Table1820[[#This Row],[Difference]]=0,"PASS","FAIL")</f>
        <v>PASS</v>
      </c>
      <c r="AV585" s="9">
        <f>ABS(Table1820[[#This Row],[Difference]])</f>
        <v>0</v>
      </c>
      <c r="AW585" s="9" t="s">
        <v>1136</v>
      </c>
    </row>
    <row r="586" spans="1:49" x14ac:dyDescent="0.3">
      <c r="A586" t="s">
        <v>677</v>
      </c>
      <c r="B586" s="7">
        <v>45871</v>
      </c>
      <c r="C586" t="s">
        <v>70</v>
      </c>
      <c r="D586" t="s">
        <v>1100</v>
      </c>
      <c r="E586" s="3">
        <v>6</v>
      </c>
      <c r="F586" s="3">
        <v>0</v>
      </c>
      <c r="G586" t="s">
        <v>12</v>
      </c>
      <c r="H586" t="s">
        <v>1109</v>
      </c>
      <c r="I586" t="s">
        <v>32</v>
      </c>
      <c r="J586" t="s">
        <v>48</v>
      </c>
      <c r="K586" t="s">
        <v>10</v>
      </c>
      <c r="L586" t="s">
        <v>10</v>
      </c>
      <c r="M586" t="s">
        <v>10</v>
      </c>
      <c r="N586" t="s">
        <v>57</v>
      </c>
      <c r="O586" t="str">
        <f>INDEX(CoverageTable[Deductible Applies],MATCH(Table1820[[#This Row],[Coverage]],CoverageTable[Coverage],0))</f>
        <v>No</v>
      </c>
      <c r="P586" t="str">
        <f>INDEX(CoverageTable[Coverage Limit Applies],MATCH(Table1820[[#This Row],[Coverage]],CoverageTable[Coverage],0))</f>
        <v>Yes</v>
      </c>
      <c r="Q586" t="s">
        <v>10</v>
      </c>
      <c r="R586" t="s">
        <v>79</v>
      </c>
      <c r="S586" t="s">
        <v>10</v>
      </c>
      <c r="T586" t="s">
        <v>57</v>
      </c>
      <c r="U586" t="s">
        <v>57</v>
      </c>
      <c r="V586" t="s">
        <v>57</v>
      </c>
      <c r="W586" t="s">
        <v>10</v>
      </c>
      <c r="X586" s="11">
        <v>284.44218696898355</v>
      </c>
      <c r="Y586">
        <f>_xlfn.XLOOKUP(Table1820[[#This Row],[Coverage]],CoverageTable[Coverage],CoverageTable[Base Rate],,0)</f>
        <v>622</v>
      </c>
      <c r="Z586">
        <f>INDEX(Table16[Ageband Factor],MATCH(Table1820[[#This Row],[Ageband]],Table16[Ageband],0))</f>
        <v>1.07</v>
      </c>
      <c r="AA586">
        <f>VLOOKUP(Table1820[[#This Row],[Years Driving]],Table1[],2)</f>
        <v>1</v>
      </c>
      <c r="AB586">
        <f>_xlfn.XLOOKUP(Table1820[[#This Row],[At Fault Accidents]],Table2[At Fault Accidents],Table2[At Fault Accident Factor],,0)</f>
        <v>1</v>
      </c>
      <c r="AC586">
        <f>_xlfn.XLOOKUP(Table1820[[#This Row],[Usage-Based Insurance]],Table3[Usage-Based Insurance],Table3[Usage-Based Insurance Discount],,0)</f>
        <v>0.8</v>
      </c>
      <c r="AD586">
        <f>_xlfn.XLOOKUP(Table1820[[#This Row],[Yearly Miles]],Table4[Yearly Miles],Table4[Yearly Miles Factor],,0)</f>
        <v>1.18</v>
      </c>
      <c r="AE586">
        <f>_xlfn.XLOOKUP(Table1820[[#This Row],[City/Zip Code]],Table5[City/Zip Code],Table5[City/Zip Code Factor],,0)</f>
        <v>1.1200000000000001</v>
      </c>
      <c r="AF586">
        <f>_xlfn.XLOOKUP(Table1820[[#This Row],[Vehicle Price]],Table6[Vehicle Price],Table6[Vehicle Price Factor])</f>
        <v>0.82</v>
      </c>
      <c r="AG586">
        <f>_xlfn.XLOOKUP(Table1820[[#This Row],[Exotic Car]],Table7[Exotic Car],Table7[Exotic Car Factor],,0)</f>
        <v>1</v>
      </c>
      <c r="AH586">
        <f>_xlfn.XLOOKUP(Table1820[[#This Row],[Difficult Parts]],Table8[Difficult Parts],Table8[Difficult Parts Factor],,0)</f>
        <v>1</v>
      </c>
      <c r="AI586">
        <f>_xlfn.XLOOKUP(Table1820[[#This Row],[High Theft Rate]],Table9[High Theft Rate],Table9[High Theft Rate Factor],,0)</f>
        <v>1</v>
      </c>
      <c r="AJ586">
        <f>_xlfn.XLOOKUP(Table1820[[#This Row],[Advanced Safety Features]],Table10[Advanced Safety Features],Table10[Advanced Safety Features Factor],,0)</f>
        <v>0.88</v>
      </c>
      <c r="AK586">
        <f>_xlfn.XLOOKUP(Table1820[[#This Row],[Deductible]],Table12[Deductible],Table12[Deductible Factor],,0)</f>
        <v>1</v>
      </c>
      <c r="AL586">
        <f>_xlfn.XLOOKUP(Table1820[[#This Row],[Coverage Limit]],Table13[Coverage Limit],Table13[Coverage Limit Factor],,0)</f>
        <v>0.72</v>
      </c>
      <c r="AM586">
        <f>IF(Table1820[[#This Row],[Good Student Discount]]="Yes",'Rate Book'!$D$126,1)</f>
        <v>1</v>
      </c>
      <c r="AN586">
        <f>IF(Table1820[[#This Row],[Good Driver Discount]]="Yes",'Rate Book'!$D$127,1)</f>
        <v>0.89</v>
      </c>
      <c r="AO586">
        <f>IF(Table1820[[#This Row],[Multi Policy Discount]]="Yes",'Rate Book'!$D$128,1)</f>
        <v>0.93</v>
      </c>
      <c r="AP586">
        <f>IF(Table1820[[#This Row],[Loyal Customer Discount]]="Yes",'Rate Book'!$D$129,1)</f>
        <v>0.94</v>
      </c>
      <c r="AQ586">
        <f>IF(Table1820[[#This Row],[Organization Discount]]="Yes",'Rate Book'!$D$130,1)</f>
        <v>1</v>
      </c>
      <c r="AR586" cm="1">
        <f t="array" ref="AR586">IF(Table1820[[#This Row],[Effective Date]]&gt;=RateChangeTable[Effective Date],RateChangeTable[Rate Change Factor],1)</f>
        <v>1</v>
      </c>
      <c r="AS586" s="10">
        <f>PRODUCT(Table1820[[#This Row],[Base Rate]:[Rate Change Factor]])</f>
        <v>284.44218696898355</v>
      </c>
      <c r="AT586" s="9">
        <f>Table1820[[#This Row],[System-Generated Premium]]-Table1820[[#This Row],[Expected Premium]]</f>
        <v>0</v>
      </c>
      <c r="AU586" t="str">
        <f>IF(Table1820[[#This Row],[Difference]]=0,"PASS","FAIL")</f>
        <v>PASS</v>
      </c>
      <c r="AV586" s="9">
        <f>ABS(Table1820[[#This Row],[Difference]])</f>
        <v>0</v>
      </c>
      <c r="AW586" s="9" t="s">
        <v>1136</v>
      </c>
    </row>
    <row r="587" spans="1:49" x14ac:dyDescent="0.3">
      <c r="A587" t="s">
        <v>678</v>
      </c>
      <c r="B587" s="7">
        <v>45797</v>
      </c>
      <c r="C587" t="s">
        <v>70</v>
      </c>
      <c r="D587" t="s">
        <v>1100</v>
      </c>
      <c r="E587" s="3">
        <v>1</v>
      </c>
      <c r="F587" s="3">
        <v>1</v>
      </c>
      <c r="G587" t="s">
        <v>10</v>
      </c>
      <c r="H587" t="s">
        <v>1110</v>
      </c>
      <c r="I587" t="s">
        <v>27</v>
      </c>
      <c r="J587" t="s">
        <v>51</v>
      </c>
      <c r="K587" t="s">
        <v>10</v>
      </c>
      <c r="L587" t="s">
        <v>57</v>
      </c>
      <c r="M587" t="s">
        <v>10</v>
      </c>
      <c r="N587" t="s">
        <v>10</v>
      </c>
      <c r="O587" t="str">
        <f>INDEX(CoverageTable[Deductible Applies],MATCH(Table1820[[#This Row],[Coverage]],CoverageTable[Coverage],0))</f>
        <v>No</v>
      </c>
      <c r="P587" t="str">
        <f>INDEX(CoverageTable[Coverage Limit Applies],MATCH(Table1820[[#This Row],[Coverage]],CoverageTable[Coverage],0))</f>
        <v>Yes</v>
      </c>
      <c r="Q587" t="s">
        <v>10</v>
      </c>
      <c r="R587" t="s">
        <v>78</v>
      </c>
      <c r="S587" t="s">
        <v>10</v>
      </c>
      <c r="T587" t="s">
        <v>10</v>
      </c>
      <c r="U587" t="s">
        <v>10</v>
      </c>
      <c r="V587" t="s">
        <v>57</v>
      </c>
      <c r="W587" t="s">
        <v>57</v>
      </c>
      <c r="X587" s="11">
        <v>1551.4819269006177</v>
      </c>
      <c r="Y587">
        <f>_xlfn.XLOOKUP(Table1820[[#This Row],[Coverage]],CoverageTable[Coverage],CoverageTable[Base Rate],,0)</f>
        <v>622</v>
      </c>
      <c r="Z587">
        <f>INDEX(Table16[Ageband Factor],MATCH(Table1820[[#This Row],[Ageband]],Table16[Ageband],0))</f>
        <v>1.07</v>
      </c>
      <c r="AA587">
        <f>VLOOKUP(Table1820[[#This Row],[Years Driving]],Table1[],2)</f>
        <v>1.64</v>
      </c>
      <c r="AB587">
        <f>_xlfn.XLOOKUP(Table1820[[#This Row],[At Fault Accidents]],Table2[At Fault Accidents],Table2[At Fault Accident Factor],,0)</f>
        <v>1.34</v>
      </c>
      <c r="AC587">
        <f>_xlfn.XLOOKUP(Table1820[[#This Row],[Usage-Based Insurance]],Table3[Usage-Based Insurance],Table3[Usage-Based Insurance Discount],,0)</f>
        <v>1</v>
      </c>
      <c r="AD587">
        <f>_xlfn.XLOOKUP(Table1820[[#This Row],[Yearly Miles]],Table4[Yearly Miles],Table4[Yearly Miles Factor],,0)</f>
        <v>1.31</v>
      </c>
      <c r="AE587">
        <f>_xlfn.XLOOKUP(Table1820[[#This Row],[City/Zip Code]],Table5[City/Zip Code],Table5[City/Zip Code Factor],,0)</f>
        <v>0.94</v>
      </c>
      <c r="AF587">
        <f>_xlfn.XLOOKUP(Table1820[[#This Row],[Vehicle Price]],Table6[Vehicle Price],Table6[Vehicle Price Factor])</f>
        <v>1.28</v>
      </c>
      <c r="AG587">
        <f>_xlfn.XLOOKUP(Table1820[[#This Row],[Exotic Car]],Table7[Exotic Car],Table7[Exotic Car Factor],,0)</f>
        <v>1</v>
      </c>
      <c r="AH587">
        <f>_xlfn.XLOOKUP(Table1820[[#This Row],[Difficult Parts]],Table8[Difficult Parts],Table8[Difficult Parts Factor],,0)</f>
        <v>1.21</v>
      </c>
      <c r="AI587">
        <f>_xlfn.XLOOKUP(Table1820[[#This Row],[High Theft Rate]],Table9[High Theft Rate],Table9[High Theft Rate Factor],,0)</f>
        <v>1</v>
      </c>
      <c r="AJ587">
        <f>_xlfn.XLOOKUP(Table1820[[#This Row],[Advanced Safety Features]],Table10[Advanced Safety Features],Table10[Advanced Safety Features Factor],,0)</f>
        <v>1</v>
      </c>
      <c r="AK587">
        <f>_xlfn.XLOOKUP(Table1820[[#This Row],[Deductible]],Table12[Deductible],Table12[Deductible Factor],,0)</f>
        <v>1</v>
      </c>
      <c r="AL587">
        <f>_xlfn.XLOOKUP(Table1820[[#This Row],[Coverage Limit]],Table13[Coverage Limit],Table13[Coverage Limit Factor],,0)</f>
        <v>0.61</v>
      </c>
      <c r="AM587">
        <f>IF(Table1820[[#This Row],[Good Student Discount]]="Yes",'Rate Book'!$D$126,1)</f>
        <v>1</v>
      </c>
      <c r="AN587">
        <f>IF(Table1820[[#This Row],[Good Driver Discount]]="Yes",'Rate Book'!$D$127,1)</f>
        <v>1</v>
      </c>
      <c r="AO587">
        <f>IF(Table1820[[#This Row],[Multi Policy Discount]]="Yes",'Rate Book'!$D$128,1)</f>
        <v>1</v>
      </c>
      <c r="AP587">
        <f>IF(Table1820[[#This Row],[Loyal Customer Discount]]="Yes",'Rate Book'!$D$129,1)</f>
        <v>0.94</v>
      </c>
      <c r="AQ587">
        <f>IF(Table1820[[#This Row],[Organization Discount]]="Yes",'Rate Book'!$D$130,1)</f>
        <v>0.97</v>
      </c>
      <c r="AR587" cm="1">
        <f t="array" ref="AR587">IF(Table1820[[#This Row],[Effective Date]]&gt;=RateChangeTable[Effective Date],RateChangeTable[Rate Change Factor],1)</f>
        <v>1</v>
      </c>
      <c r="AS587" s="10">
        <f>PRODUCT(Table1820[[#This Row],[Base Rate]:[Rate Change Factor]])</f>
        <v>1551.4819269006177</v>
      </c>
      <c r="AT587" s="9">
        <f>Table1820[[#This Row],[System-Generated Premium]]-Table1820[[#This Row],[Expected Premium]]</f>
        <v>0</v>
      </c>
      <c r="AU587" t="str">
        <f>IF(Table1820[[#This Row],[Difference]]=0,"PASS","FAIL")</f>
        <v>PASS</v>
      </c>
      <c r="AV587" s="9">
        <f>ABS(Table1820[[#This Row],[Difference]])</f>
        <v>0</v>
      </c>
      <c r="AW587" s="9" t="s">
        <v>1136</v>
      </c>
    </row>
    <row r="588" spans="1:49" x14ac:dyDescent="0.3">
      <c r="A588" t="s">
        <v>679</v>
      </c>
      <c r="B588" s="7">
        <v>46047</v>
      </c>
      <c r="C588" t="s">
        <v>70</v>
      </c>
      <c r="D588" t="s">
        <v>1098</v>
      </c>
      <c r="E588" s="3">
        <v>3</v>
      </c>
      <c r="F588" s="3">
        <v>4</v>
      </c>
      <c r="G588" t="s">
        <v>10</v>
      </c>
      <c r="H588" t="s">
        <v>1108</v>
      </c>
      <c r="I588" t="s">
        <v>27</v>
      </c>
      <c r="J588" t="s">
        <v>48</v>
      </c>
      <c r="K588" t="s">
        <v>10</v>
      </c>
      <c r="L588" t="s">
        <v>10</v>
      </c>
      <c r="M588" t="s">
        <v>10</v>
      </c>
      <c r="N588" t="s">
        <v>10</v>
      </c>
      <c r="O588" t="str">
        <f>INDEX(CoverageTable[Deductible Applies],MATCH(Table1820[[#This Row],[Coverage]],CoverageTable[Coverage],0))</f>
        <v>No</v>
      </c>
      <c r="P588" t="str">
        <f>INDEX(CoverageTable[Coverage Limit Applies],MATCH(Table1820[[#This Row],[Coverage]],CoverageTable[Coverage],0))</f>
        <v>Yes</v>
      </c>
      <c r="Q588" t="s">
        <v>10</v>
      </c>
      <c r="R588" t="s">
        <v>79</v>
      </c>
      <c r="S588" t="s">
        <v>57</v>
      </c>
      <c r="T588" t="s">
        <v>57</v>
      </c>
      <c r="U588" t="s">
        <v>10</v>
      </c>
      <c r="V588" t="s">
        <v>10</v>
      </c>
      <c r="W588" t="s">
        <v>57</v>
      </c>
      <c r="X588" s="11">
        <v>872.2</v>
      </c>
      <c r="Y588">
        <f>_xlfn.XLOOKUP(Table1820[[#This Row],[Coverage]],CoverageTable[Coverage],CoverageTable[Base Rate],,0)</f>
        <v>622</v>
      </c>
      <c r="Z588">
        <f>INDEX(Table16[Ageband Factor],MATCH(Table1820[[#This Row],[Ageband]],Table16[Ageband],0))</f>
        <v>1.23</v>
      </c>
      <c r="AA588">
        <f>VLOOKUP(Table1820[[#This Row],[Years Driving]],Table1[],2)</f>
        <v>1.22</v>
      </c>
      <c r="AB588">
        <f>_xlfn.XLOOKUP(Table1820[[#This Row],[At Fault Accidents]],Table2[At Fault Accidents],Table2[At Fault Accident Factor],,0)</f>
        <v>2.12</v>
      </c>
      <c r="AC588">
        <f>_xlfn.XLOOKUP(Table1820[[#This Row],[Usage-Based Insurance]],Table3[Usage-Based Insurance],Table3[Usage-Based Insurance Discount],,0)</f>
        <v>1</v>
      </c>
      <c r="AD588">
        <f>_xlfn.XLOOKUP(Table1820[[#This Row],[Yearly Miles]],Table4[Yearly Miles],Table4[Yearly Miles Factor],,0)</f>
        <v>1</v>
      </c>
      <c r="AE588">
        <f>_xlfn.XLOOKUP(Table1820[[#This Row],[City/Zip Code]],Table5[City/Zip Code],Table5[City/Zip Code Factor],,0)</f>
        <v>0.94</v>
      </c>
      <c r="AF588">
        <f>_xlfn.XLOOKUP(Table1820[[#This Row],[Vehicle Price]],Table6[Vehicle Price],Table6[Vehicle Price Factor])</f>
        <v>0.82</v>
      </c>
      <c r="AG588">
        <f>_xlfn.XLOOKUP(Table1820[[#This Row],[Exotic Car]],Table7[Exotic Car],Table7[Exotic Car Factor],,0)</f>
        <v>1</v>
      </c>
      <c r="AH588">
        <f>_xlfn.XLOOKUP(Table1820[[#This Row],[Difficult Parts]],Table8[Difficult Parts],Table8[Difficult Parts Factor],,0)</f>
        <v>1</v>
      </c>
      <c r="AI588">
        <f>_xlfn.XLOOKUP(Table1820[[#This Row],[High Theft Rate]],Table9[High Theft Rate],Table9[High Theft Rate Factor],,0)</f>
        <v>1</v>
      </c>
      <c r="AJ588">
        <f>_xlfn.XLOOKUP(Table1820[[#This Row],[Advanced Safety Features]],Table10[Advanced Safety Features],Table10[Advanced Safety Features Factor],,0)</f>
        <v>1</v>
      </c>
      <c r="AK588">
        <f>_xlfn.XLOOKUP(Table1820[[#This Row],[Deductible]],Table12[Deductible],Table12[Deductible Factor],,0)</f>
        <v>1</v>
      </c>
      <c r="AL588">
        <f>_xlfn.XLOOKUP(Table1820[[#This Row],[Coverage Limit]],Table13[Coverage Limit],Table13[Coverage Limit Factor],,0)</f>
        <v>0.72</v>
      </c>
      <c r="AM588">
        <f>IF(Table1820[[#This Row],[Good Student Discount]]="Yes",'Rate Book'!$D$126,1)</f>
        <v>0.92</v>
      </c>
      <c r="AN588">
        <f>IF(Table1820[[#This Row],[Good Driver Discount]]="Yes",'Rate Book'!$D$127,1)</f>
        <v>0.89</v>
      </c>
      <c r="AO588">
        <f>IF(Table1820[[#This Row],[Multi Policy Discount]]="Yes",'Rate Book'!$D$128,1)</f>
        <v>1</v>
      </c>
      <c r="AP588">
        <f>IF(Table1820[[#This Row],[Loyal Customer Discount]]="Yes",'Rate Book'!$D$129,1)</f>
        <v>1</v>
      </c>
      <c r="AQ588">
        <f>IF(Table1820[[#This Row],[Organization Discount]]="Yes",'Rate Book'!$D$130,1)</f>
        <v>0.97</v>
      </c>
      <c r="AR588" cm="1">
        <f t="array" ref="AR588">IF(Table1820[[#This Row],[Effective Date]]&gt;=RateChangeTable[Effective Date],RateChangeTable[Rate Change Factor],1)</f>
        <v>1.06</v>
      </c>
      <c r="AS588" s="10">
        <f>PRODUCT(Table1820[[#This Row],[Base Rate]:[Rate Change Factor]])</f>
        <v>924.52960736074021</v>
      </c>
      <c r="AT588" s="9">
        <f>Table1820[[#This Row],[System-Generated Premium]]-Table1820[[#This Row],[Expected Premium]]</f>
        <v>-52.329607360740169</v>
      </c>
      <c r="AU588" t="str">
        <f>IF(Table1820[[#This Row],[Difference]]=0,"PASS","FAIL")</f>
        <v>FAIL</v>
      </c>
      <c r="AV588" s="9">
        <f>ABS(Table1820[[#This Row],[Difference]])</f>
        <v>52.329607360740169</v>
      </c>
      <c r="AW588" s="9" t="s">
        <v>1133</v>
      </c>
    </row>
    <row r="589" spans="1:49" x14ac:dyDescent="0.3">
      <c r="A589" t="s">
        <v>680</v>
      </c>
      <c r="B589" s="7">
        <v>46010</v>
      </c>
      <c r="C589" t="s">
        <v>73</v>
      </c>
      <c r="D589" t="s">
        <v>1097</v>
      </c>
      <c r="E589" s="3">
        <v>7</v>
      </c>
      <c r="F589" s="3">
        <v>2</v>
      </c>
      <c r="G589" t="s">
        <v>13</v>
      </c>
      <c r="H589" t="s">
        <v>1110</v>
      </c>
      <c r="I589" t="s">
        <v>31</v>
      </c>
      <c r="J589" t="s">
        <v>48</v>
      </c>
      <c r="K589" t="s">
        <v>10</v>
      </c>
      <c r="L589" t="s">
        <v>10</v>
      </c>
      <c r="M589" t="s">
        <v>57</v>
      </c>
      <c r="N589" t="s">
        <v>10</v>
      </c>
      <c r="O589" t="str">
        <f>INDEX(CoverageTable[Deductible Applies],MATCH(Table1820[[#This Row],[Coverage]],CoverageTable[Coverage],0))</f>
        <v>No</v>
      </c>
      <c r="P589" t="str">
        <f>INDEX(CoverageTable[Coverage Limit Applies],MATCH(Table1820[[#This Row],[Coverage]],CoverageTable[Coverage],0))</f>
        <v>Yes</v>
      </c>
      <c r="Q589" t="s">
        <v>10</v>
      </c>
      <c r="R589" t="s">
        <v>79</v>
      </c>
      <c r="S589" t="s">
        <v>10</v>
      </c>
      <c r="T589" t="s">
        <v>10</v>
      </c>
      <c r="U589" t="s">
        <v>57</v>
      </c>
      <c r="V589" t="s">
        <v>10</v>
      </c>
      <c r="W589" t="s">
        <v>10</v>
      </c>
      <c r="X589" s="11">
        <v>91.268046508410805</v>
      </c>
      <c r="Y589">
        <f>_xlfn.XLOOKUP(Table1820[[#This Row],[Coverage]],CoverageTable[Coverage],CoverageTable[Base Rate],,0)</f>
        <v>78</v>
      </c>
      <c r="Z589">
        <f>INDEX(Table16[Ageband Factor],MATCH(Table1820[[#This Row],[Ageband]],Table16[Ageband],0))</f>
        <v>1.32</v>
      </c>
      <c r="AA589">
        <f>VLOOKUP(Table1820[[#This Row],[Years Driving]],Table1[],2)</f>
        <v>0.95</v>
      </c>
      <c r="AB589">
        <f>_xlfn.XLOOKUP(Table1820[[#This Row],[At Fault Accidents]],Table2[At Fault Accidents],Table2[At Fault Accident Factor],,0)</f>
        <v>1.55</v>
      </c>
      <c r="AC589">
        <f>_xlfn.XLOOKUP(Table1820[[#This Row],[Usage-Based Insurance]],Table3[Usage-Based Insurance],Table3[Usage-Based Insurance Discount],,0)</f>
        <v>0.65</v>
      </c>
      <c r="AD589">
        <f>_xlfn.XLOOKUP(Table1820[[#This Row],[Yearly Miles]],Table4[Yearly Miles],Table4[Yearly Miles Factor],,0)</f>
        <v>1.31</v>
      </c>
      <c r="AE589">
        <f>_xlfn.XLOOKUP(Table1820[[#This Row],[City/Zip Code]],Table5[City/Zip Code],Table5[City/Zip Code Factor],,0)</f>
        <v>1.1100000000000001</v>
      </c>
      <c r="AF589">
        <f>_xlfn.XLOOKUP(Table1820[[#This Row],[Vehicle Price]],Table6[Vehicle Price],Table6[Vehicle Price Factor])</f>
        <v>0.82</v>
      </c>
      <c r="AG589">
        <f>_xlfn.XLOOKUP(Table1820[[#This Row],[Exotic Car]],Table7[Exotic Car],Table7[Exotic Car Factor],,0)</f>
        <v>1</v>
      </c>
      <c r="AH589">
        <f>_xlfn.XLOOKUP(Table1820[[#This Row],[Difficult Parts]],Table8[Difficult Parts],Table8[Difficult Parts Factor],,0)</f>
        <v>1</v>
      </c>
      <c r="AI589">
        <f>_xlfn.XLOOKUP(Table1820[[#This Row],[High Theft Rate]],Table9[High Theft Rate],Table9[High Theft Rate Factor],,0)</f>
        <v>1.1599999999999999</v>
      </c>
      <c r="AJ589">
        <f>_xlfn.XLOOKUP(Table1820[[#This Row],[Advanced Safety Features]],Table10[Advanced Safety Features],Table10[Advanced Safety Features Factor],,0)</f>
        <v>1</v>
      </c>
      <c r="AK589">
        <f>_xlfn.XLOOKUP(Table1820[[#This Row],[Deductible]],Table12[Deductible],Table12[Deductible Factor],,0)</f>
        <v>1</v>
      </c>
      <c r="AL589">
        <f>_xlfn.XLOOKUP(Table1820[[#This Row],[Coverage Limit]],Table13[Coverage Limit],Table13[Coverage Limit Factor],,0)</f>
        <v>0.72</v>
      </c>
      <c r="AM589">
        <f>IF(Table1820[[#This Row],[Good Student Discount]]="Yes",'Rate Book'!$D$126,1)</f>
        <v>1</v>
      </c>
      <c r="AN589">
        <f>IF(Table1820[[#This Row],[Good Driver Discount]]="Yes",'Rate Book'!$D$127,1)</f>
        <v>1</v>
      </c>
      <c r="AO589">
        <f>IF(Table1820[[#This Row],[Multi Policy Discount]]="Yes",'Rate Book'!$D$128,1)</f>
        <v>0.93</v>
      </c>
      <c r="AP589">
        <f>IF(Table1820[[#This Row],[Loyal Customer Discount]]="Yes",'Rate Book'!$D$129,1)</f>
        <v>1</v>
      </c>
      <c r="AQ589">
        <f>IF(Table1820[[#This Row],[Organization Discount]]="Yes",'Rate Book'!$D$130,1)</f>
        <v>1</v>
      </c>
      <c r="AR589" cm="1">
        <f t="array" ref="AR589">IF(Table1820[[#This Row],[Effective Date]]&gt;=RateChangeTable[Effective Date],RateChangeTable[Rate Change Factor],1)</f>
        <v>1</v>
      </c>
      <c r="AS589" s="10">
        <f>PRODUCT(Table1820[[#This Row],[Base Rate]:[Rate Change Factor]])</f>
        <v>91.268046508410805</v>
      </c>
      <c r="AT589" s="9">
        <f>Table1820[[#This Row],[System-Generated Premium]]-Table1820[[#This Row],[Expected Premium]]</f>
        <v>0</v>
      </c>
      <c r="AU589" t="str">
        <f>IF(Table1820[[#This Row],[Difference]]=0,"PASS","FAIL")</f>
        <v>PASS</v>
      </c>
      <c r="AV589" s="9">
        <f>ABS(Table1820[[#This Row],[Difference]])</f>
        <v>0</v>
      </c>
      <c r="AW589" s="9" t="s">
        <v>1136</v>
      </c>
    </row>
    <row r="590" spans="1:49" x14ac:dyDescent="0.3">
      <c r="A590" t="s">
        <v>681</v>
      </c>
      <c r="B590" s="7">
        <v>45932</v>
      </c>
      <c r="C590" t="s">
        <v>74</v>
      </c>
      <c r="D590" t="s">
        <v>1102</v>
      </c>
      <c r="E590" s="3">
        <v>1</v>
      </c>
      <c r="F590" s="3" t="s">
        <v>7</v>
      </c>
      <c r="G590" t="s">
        <v>12</v>
      </c>
      <c r="H590" t="s">
        <v>1107</v>
      </c>
      <c r="I590" t="s">
        <v>26</v>
      </c>
      <c r="J590" t="s">
        <v>52</v>
      </c>
      <c r="K590" t="s">
        <v>10</v>
      </c>
      <c r="L590" t="s">
        <v>10</v>
      </c>
      <c r="M590" t="s">
        <v>10</v>
      </c>
      <c r="N590" t="s">
        <v>10</v>
      </c>
      <c r="O590" t="str">
        <f>INDEX(CoverageTable[Deductible Applies],MATCH(Table1820[[#This Row],[Coverage]],CoverageTable[Coverage],0))</f>
        <v>No</v>
      </c>
      <c r="P590" t="str">
        <f>INDEX(CoverageTable[Coverage Limit Applies],MATCH(Table1820[[#This Row],[Coverage]],CoverageTable[Coverage],0))</f>
        <v>Yes</v>
      </c>
      <c r="Q590" t="s">
        <v>10</v>
      </c>
      <c r="R590" t="s">
        <v>80</v>
      </c>
      <c r="S590" t="s">
        <v>10</v>
      </c>
      <c r="T590" t="s">
        <v>57</v>
      </c>
      <c r="U590" t="s">
        <v>57</v>
      </c>
      <c r="V590" t="s">
        <v>57</v>
      </c>
      <c r="W590" t="s">
        <v>10</v>
      </c>
      <c r="X590" s="11">
        <v>185.17352849125226</v>
      </c>
      <c r="Y590">
        <f>_xlfn.XLOOKUP(Table1820[[#This Row],[Coverage]],CoverageTable[Coverage],CoverageTable[Base Rate],,0)</f>
        <v>41</v>
      </c>
      <c r="Z590">
        <f>INDEX(Table16[Ageband Factor],MATCH(Table1820[[#This Row],[Ageband]],Table16[Ageband],0))</f>
        <v>1.27</v>
      </c>
      <c r="AA590">
        <f>VLOOKUP(Table1820[[#This Row],[Years Driving]],Table1[],2)</f>
        <v>1.64</v>
      </c>
      <c r="AB590">
        <f>_xlfn.XLOOKUP(Table1820[[#This Row],[At Fault Accidents]],Table2[At Fault Accidents],Table2[At Fault Accident Factor],,0)</f>
        <v>2.4700000000000002</v>
      </c>
      <c r="AC590">
        <f>_xlfn.XLOOKUP(Table1820[[#This Row],[Usage-Based Insurance]],Table3[Usage-Based Insurance],Table3[Usage-Based Insurance Discount],,0)</f>
        <v>0.8</v>
      </c>
      <c r="AD590">
        <f>_xlfn.XLOOKUP(Table1820[[#This Row],[Yearly Miles]],Table4[Yearly Miles],Table4[Yearly Miles Factor],,0)</f>
        <v>0.93</v>
      </c>
      <c r="AE590">
        <f>_xlfn.XLOOKUP(Table1820[[#This Row],[City/Zip Code]],Table5[City/Zip Code],Table5[City/Zip Code Factor],,0)</f>
        <v>1.1499999999999999</v>
      </c>
      <c r="AF590">
        <f>_xlfn.XLOOKUP(Table1820[[#This Row],[Vehicle Price]],Table6[Vehicle Price],Table6[Vehicle Price Factor])</f>
        <v>1.57</v>
      </c>
      <c r="AG590">
        <f>_xlfn.XLOOKUP(Table1820[[#This Row],[Exotic Car]],Table7[Exotic Car],Table7[Exotic Car Factor],,0)</f>
        <v>1</v>
      </c>
      <c r="AH590">
        <f>_xlfn.XLOOKUP(Table1820[[#This Row],[Difficult Parts]],Table8[Difficult Parts],Table8[Difficult Parts Factor],,0)</f>
        <v>1</v>
      </c>
      <c r="AI590">
        <f>_xlfn.XLOOKUP(Table1820[[#This Row],[High Theft Rate]],Table9[High Theft Rate],Table9[High Theft Rate Factor],,0)</f>
        <v>1</v>
      </c>
      <c r="AJ590">
        <f>_xlfn.XLOOKUP(Table1820[[#This Row],[Advanced Safety Features]],Table10[Advanced Safety Features],Table10[Advanced Safety Features Factor],,0)</f>
        <v>1</v>
      </c>
      <c r="AK590">
        <f>_xlfn.XLOOKUP(Table1820[[#This Row],[Deductible]],Table12[Deductible],Table12[Deductible Factor],,0)</f>
        <v>1</v>
      </c>
      <c r="AL590">
        <f>_xlfn.XLOOKUP(Table1820[[#This Row],[Coverage Limit]],Table13[Coverage Limit],Table13[Coverage Limit Factor],,0)</f>
        <v>0.84</v>
      </c>
      <c r="AM590">
        <f>IF(Table1820[[#This Row],[Good Student Discount]]="Yes",'Rate Book'!$D$126,1)</f>
        <v>1</v>
      </c>
      <c r="AN590">
        <f>IF(Table1820[[#This Row],[Good Driver Discount]]="Yes",'Rate Book'!$D$127,1)</f>
        <v>0.89</v>
      </c>
      <c r="AO590">
        <f>IF(Table1820[[#This Row],[Multi Policy Discount]]="Yes",'Rate Book'!$D$128,1)</f>
        <v>0.93</v>
      </c>
      <c r="AP590">
        <f>IF(Table1820[[#This Row],[Loyal Customer Discount]]="Yes",'Rate Book'!$D$129,1)</f>
        <v>0.94</v>
      </c>
      <c r="AQ590">
        <f>IF(Table1820[[#This Row],[Organization Discount]]="Yes",'Rate Book'!$D$130,1)</f>
        <v>1</v>
      </c>
      <c r="AR590" cm="1">
        <f t="array" ref="AR590">IF(Table1820[[#This Row],[Effective Date]]&gt;=RateChangeTable[Effective Date],RateChangeTable[Rate Change Factor],1)</f>
        <v>1</v>
      </c>
      <c r="AS590" s="10">
        <f>PRODUCT(Table1820[[#This Row],[Base Rate]:[Rate Change Factor]])</f>
        <v>185.17352849125226</v>
      </c>
      <c r="AT590" s="9">
        <f>Table1820[[#This Row],[System-Generated Premium]]-Table1820[[#This Row],[Expected Premium]]</f>
        <v>0</v>
      </c>
      <c r="AU590" t="str">
        <f>IF(Table1820[[#This Row],[Difference]]=0,"PASS","FAIL")</f>
        <v>PASS</v>
      </c>
      <c r="AV590" s="9">
        <f>ABS(Table1820[[#This Row],[Difference]])</f>
        <v>0</v>
      </c>
      <c r="AW590" s="9" t="s">
        <v>1136</v>
      </c>
    </row>
    <row r="591" spans="1:49" x14ac:dyDescent="0.3">
      <c r="A591" t="s">
        <v>682</v>
      </c>
      <c r="B591" s="7">
        <v>45945</v>
      </c>
      <c r="C591" t="s">
        <v>74</v>
      </c>
      <c r="D591" t="s">
        <v>1097</v>
      </c>
      <c r="E591" s="3">
        <v>5</v>
      </c>
      <c r="F591" s="3">
        <v>2</v>
      </c>
      <c r="G591" t="s">
        <v>10</v>
      </c>
      <c r="H591" t="s">
        <v>1109</v>
      </c>
      <c r="I591" t="s">
        <v>26</v>
      </c>
      <c r="J591" t="s">
        <v>49</v>
      </c>
      <c r="K591" t="s">
        <v>10</v>
      </c>
      <c r="L591" t="s">
        <v>10</v>
      </c>
      <c r="M591" t="s">
        <v>10</v>
      </c>
      <c r="N591" t="s">
        <v>10</v>
      </c>
      <c r="O591" t="str">
        <f>INDEX(CoverageTable[Deductible Applies],MATCH(Table1820[[#This Row],[Coverage]],CoverageTable[Coverage],0))</f>
        <v>No</v>
      </c>
      <c r="P591" t="str">
        <f>INDEX(CoverageTable[Coverage Limit Applies],MATCH(Table1820[[#This Row],[Coverage]],CoverageTable[Coverage],0))</f>
        <v>Yes</v>
      </c>
      <c r="Q591" t="s">
        <v>10</v>
      </c>
      <c r="R591" t="s">
        <v>79</v>
      </c>
      <c r="S591" t="s">
        <v>10</v>
      </c>
      <c r="T591" t="s">
        <v>10</v>
      </c>
      <c r="U591" t="s">
        <v>10</v>
      </c>
      <c r="V591" t="s">
        <v>10</v>
      </c>
      <c r="W591" t="s">
        <v>10</v>
      </c>
      <c r="X591" s="11">
        <v>85.066260584976007</v>
      </c>
      <c r="Y591">
        <f>_xlfn.XLOOKUP(Table1820[[#This Row],[Coverage]],CoverageTable[Coverage],CoverageTable[Base Rate],,0)</f>
        <v>41</v>
      </c>
      <c r="Z591">
        <f>INDEX(Table16[Ageband Factor],MATCH(Table1820[[#This Row],[Ageband]],Table16[Ageband],0))</f>
        <v>1.32</v>
      </c>
      <c r="AA591">
        <f>VLOOKUP(Table1820[[#This Row],[Years Driving]],Table1[],2)</f>
        <v>1.07</v>
      </c>
      <c r="AB591">
        <f>_xlfn.XLOOKUP(Table1820[[#This Row],[At Fault Accidents]],Table2[At Fault Accidents],Table2[At Fault Accident Factor],,0)</f>
        <v>1.55</v>
      </c>
      <c r="AC591">
        <f>_xlfn.XLOOKUP(Table1820[[#This Row],[Usage-Based Insurance]],Table3[Usage-Based Insurance],Table3[Usage-Based Insurance Discount],,0)</f>
        <v>1</v>
      </c>
      <c r="AD591">
        <f>_xlfn.XLOOKUP(Table1820[[#This Row],[Yearly Miles]],Table4[Yearly Miles],Table4[Yearly Miles Factor],,0)</f>
        <v>1.18</v>
      </c>
      <c r="AE591">
        <f>_xlfn.XLOOKUP(Table1820[[#This Row],[City/Zip Code]],Table5[City/Zip Code],Table5[City/Zip Code Factor],,0)</f>
        <v>1.1499999999999999</v>
      </c>
      <c r="AF591">
        <f>_xlfn.XLOOKUP(Table1820[[#This Row],[Vehicle Price]],Table6[Vehicle Price],Table6[Vehicle Price Factor])</f>
        <v>0.97</v>
      </c>
      <c r="AG591">
        <f>_xlfn.XLOOKUP(Table1820[[#This Row],[Exotic Car]],Table7[Exotic Car],Table7[Exotic Car Factor],,0)</f>
        <v>1</v>
      </c>
      <c r="AH591">
        <f>_xlfn.XLOOKUP(Table1820[[#This Row],[Difficult Parts]],Table8[Difficult Parts],Table8[Difficult Parts Factor],,0)</f>
        <v>1</v>
      </c>
      <c r="AI591">
        <f>_xlfn.XLOOKUP(Table1820[[#This Row],[High Theft Rate]],Table9[High Theft Rate],Table9[High Theft Rate Factor],,0)</f>
        <v>1</v>
      </c>
      <c r="AJ591">
        <f>_xlfn.XLOOKUP(Table1820[[#This Row],[Advanced Safety Features]],Table10[Advanced Safety Features],Table10[Advanced Safety Features Factor],,0)</f>
        <v>1</v>
      </c>
      <c r="AK591">
        <f>_xlfn.XLOOKUP(Table1820[[#This Row],[Deductible]],Table12[Deductible],Table12[Deductible Factor],,0)</f>
        <v>1</v>
      </c>
      <c r="AL591">
        <f>_xlfn.XLOOKUP(Table1820[[#This Row],[Coverage Limit]],Table13[Coverage Limit],Table13[Coverage Limit Factor],,0)</f>
        <v>0.72</v>
      </c>
      <c r="AM591">
        <f>IF(Table1820[[#This Row],[Good Student Discount]]="Yes",'Rate Book'!$D$126,1)</f>
        <v>1</v>
      </c>
      <c r="AN591">
        <f>IF(Table1820[[#This Row],[Good Driver Discount]]="Yes",'Rate Book'!$D$127,1)</f>
        <v>1</v>
      </c>
      <c r="AO591">
        <f>IF(Table1820[[#This Row],[Multi Policy Discount]]="Yes",'Rate Book'!$D$128,1)</f>
        <v>1</v>
      </c>
      <c r="AP591">
        <f>IF(Table1820[[#This Row],[Loyal Customer Discount]]="Yes",'Rate Book'!$D$129,1)</f>
        <v>1</v>
      </c>
      <c r="AQ591">
        <f>IF(Table1820[[#This Row],[Organization Discount]]="Yes",'Rate Book'!$D$130,1)</f>
        <v>1</v>
      </c>
      <c r="AR591" cm="1">
        <f t="array" ref="AR591">IF(Table1820[[#This Row],[Effective Date]]&gt;=RateChangeTable[Effective Date],RateChangeTable[Rate Change Factor],1)</f>
        <v>1</v>
      </c>
      <c r="AS591" s="10">
        <f>PRODUCT(Table1820[[#This Row],[Base Rate]:[Rate Change Factor]])</f>
        <v>85.066260584976007</v>
      </c>
      <c r="AT591" s="9">
        <f>Table1820[[#This Row],[System-Generated Premium]]-Table1820[[#This Row],[Expected Premium]]</f>
        <v>0</v>
      </c>
      <c r="AU591" t="str">
        <f>IF(Table1820[[#This Row],[Difference]]=0,"PASS","FAIL")</f>
        <v>PASS</v>
      </c>
      <c r="AV591" s="9">
        <f>ABS(Table1820[[#This Row],[Difference]])</f>
        <v>0</v>
      </c>
      <c r="AW591" s="9" t="s">
        <v>1136</v>
      </c>
    </row>
    <row r="592" spans="1:49" x14ac:dyDescent="0.3">
      <c r="A592" t="s">
        <v>683</v>
      </c>
      <c r="B592" s="7">
        <v>45976</v>
      </c>
      <c r="C592" t="s">
        <v>70</v>
      </c>
      <c r="D592" t="s">
        <v>1100</v>
      </c>
      <c r="E592" s="3">
        <v>5</v>
      </c>
      <c r="F592" s="3">
        <v>0</v>
      </c>
      <c r="G592" t="s">
        <v>10</v>
      </c>
      <c r="H592" t="s">
        <v>1106</v>
      </c>
      <c r="I592" t="s">
        <v>40</v>
      </c>
      <c r="J592" t="s">
        <v>52</v>
      </c>
      <c r="K592" t="s">
        <v>10</v>
      </c>
      <c r="L592" t="s">
        <v>10</v>
      </c>
      <c r="M592" t="s">
        <v>10</v>
      </c>
      <c r="N592" t="s">
        <v>57</v>
      </c>
      <c r="O592" t="str">
        <f>INDEX(CoverageTable[Deductible Applies],MATCH(Table1820[[#This Row],[Coverage]],CoverageTable[Coverage],0))</f>
        <v>No</v>
      </c>
      <c r="P592" t="str">
        <f>INDEX(CoverageTable[Coverage Limit Applies],MATCH(Table1820[[#This Row],[Coverage]],CoverageTable[Coverage],0))</f>
        <v>Yes</v>
      </c>
      <c r="Q592" t="s">
        <v>10</v>
      </c>
      <c r="R592" t="s">
        <v>78</v>
      </c>
      <c r="S592" t="s">
        <v>57</v>
      </c>
      <c r="T592" t="s">
        <v>10</v>
      </c>
      <c r="U592" t="s">
        <v>10</v>
      </c>
      <c r="V592" t="s">
        <v>10</v>
      </c>
      <c r="W592" t="s">
        <v>57</v>
      </c>
      <c r="X592" s="11">
        <v>478.70725734679837</v>
      </c>
      <c r="Y592">
        <f>_xlfn.XLOOKUP(Table1820[[#This Row],[Coverage]],CoverageTable[Coverage],CoverageTable[Base Rate],,0)</f>
        <v>622</v>
      </c>
      <c r="Z592">
        <f>INDEX(Table16[Ageband Factor],MATCH(Table1820[[#This Row],[Ageband]],Table16[Ageband],0))</f>
        <v>1.07</v>
      </c>
      <c r="AA592">
        <f>VLOOKUP(Table1820[[#This Row],[Years Driving]],Table1[],2)</f>
        <v>1.07</v>
      </c>
      <c r="AB592">
        <f>_xlfn.XLOOKUP(Table1820[[#This Row],[At Fault Accidents]],Table2[At Fault Accidents],Table2[At Fault Accident Factor],,0)</f>
        <v>1</v>
      </c>
      <c r="AC592">
        <f>_xlfn.XLOOKUP(Table1820[[#This Row],[Usage-Based Insurance]],Table3[Usage-Based Insurance],Table3[Usage-Based Insurance Discount],,0)</f>
        <v>1</v>
      </c>
      <c r="AD592">
        <f>_xlfn.XLOOKUP(Table1820[[#This Row],[Yearly Miles]],Table4[Yearly Miles],Table4[Yearly Miles Factor],,0)</f>
        <v>0.82</v>
      </c>
      <c r="AE592">
        <f>_xlfn.XLOOKUP(Table1820[[#This Row],[City/Zip Code]],Table5[City/Zip Code],Table5[City/Zip Code Factor],,0)</f>
        <v>1.0900000000000001</v>
      </c>
      <c r="AF592">
        <f>_xlfn.XLOOKUP(Table1820[[#This Row],[Vehicle Price]],Table6[Vehicle Price],Table6[Vehicle Price Factor])</f>
        <v>1.57</v>
      </c>
      <c r="AG592">
        <f>_xlfn.XLOOKUP(Table1820[[#This Row],[Exotic Car]],Table7[Exotic Car],Table7[Exotic Car Factor],,0)</f>
        <v>1</v>
      </c>
      <c r="AH592">
        <f>_xlfn.XLOOKUP(Table1820[[#This Row],[Difficult Parts]],Table8[Difficult Parts],Table8[Difficult Parts Factor],,0)</f>
        <v>1</v>
      </c>
      <c r="AI592">
        <f>_xlfn.XLOOKUP(Table1820[[#This Row],[High Theft Rate]],Table9[High Theft Rate],Table9[High Theft Rate Factor],,0)</f>
        <v>1</v>
      </c>
      <c r="AJ592">
        <f>_xlfn.XLOOKUP(Table1820[[#This Row],[Advanced Safety Features]],Table10[Advanced Safety Features],Table10[Advanced Safety Features Factor],,0)</f>
        <v>0.88</v>
      </c>
      <c r="AK592">
        <f>_xlfn.XLOOKUP(Table1820[[#This Row],[Deductible]],Table12[Deductible],Table12[Deductible Factor],,0)</f>
        <v>1</v>
      </c>
      <c r="AL592">
        <f>_xlfn.XLOOKUP(Table1820[[#This Row],[Coverage Limit]],Table13[Coverage Limit],Table13[Coverage Limit Factor],,0)</f>
        <v>0.61</v>
      </c>
      <c r="AM592">
        <f>IF(Table1820[[#This Row],[Good Student Discount]]="Yes",'Rate Book'!$D$126,1)</f>
        <v>0.92</v>
      </c>
      <c r="AN592">
        <f>IF(Table1820[[#This Row],[Good Driver Discount]]="Yes",'Rate Book'!$D$127,1)</f>
        <v>1</v>
      </c>
      <c r="AO592">
        <f>IF(Table1820[[#This Row],[Multi Policy Discount]]="Yes",'Rate Book'!$D$128,1)</f>
        <v>1</v>
      </c>
      <c r="AP592">
        <f>IF(Table1820[[#This Row],[Loyal Customer Discount]]="Yes",'Rate Book'!$D$129,1)</f>
        <v>1</v>
      </c>
      <c r="AQ592">
        <f>IF(Table1820[[#This Row],[Organization Discount]]="Yes",'Rate Book'!$D$130,1)</f>
        <v>0.97</v>
      </c>
      <c r="AR592" cm="1">
        <f t="array" ref="AR592">IF(Table1820[[#This Row],[Effective Date]]&gt;=RateChangeTable[Effective Date],RateChangeTable[Rate Change Factor],1)</f>
        <v>1</v>
      </c>
      <c r="AS592" s="10">
        <f>PRODUCT(Table1820[[#This Row],[Base Rate]:[Rate Change Factor]])</f>
        <v>478.70725734679837</v>
      </c>
      <c r="AT592" s="9">
        <f>Table1820[[#This Row],[System-Generated Premium]]-Table1820[[#This Row],[Expected Premium]]</f>
        <v>0</v>
      </c>
      <c r="AU592" t="str">
        <f>IF(Table1820[[#This Row],[Difference]]=0,"PASS","FAIL")</f>
        <v>PASS</v>
      </c>
      <c r="AV592" s="9">
        <f>ABS(Table1820[[#This Row],[Difference]])</f>
        <v>0</v>
      </c>
      <c r="AW592" s="9" t="s">
        <v>1136</v>
      </c>
    </row>
    <row r="593" spans="1:49" x14ac:dyDescent="0.3">
      <c r="A593" t="s">
        <v>684</v>
      </c>
      <c r="B593" s="7">
        <v>45933</v>
      </c>
      <c r="C593" t="s">
        <v>71</v>
      </c>
      <c r="D593" t="s">
        <v>1097</v>
      </c>
      <c r="E593" s="3">
        <v>1</v>
      </c>
      <c r="F593" s="3">
        <v>1</v>
      </c>
      <c r="G593" t="s">
        <v>11</v>
      </c>
      <c r="H593" t="s">
        <v>1106</v>
      </c>
      <c r="I593" t="s">
        <v>37</v>
      </c>
      <c r="J593" t="s">
        <v>49</v>
      </c>
      <c r="K593" t="s">
        <v>10</v>
      </c>
      <c r="L593" t="s">
        <v>10</v>
      </c>
      <c r="M593" t="s">
        <v>10</v>
      </c>
      <c r="N593" t="s">
        <v>57</v>
      </c>
      <c r="O593" t="str">
        <f>INDEX(CoverageTable[Deductible Applies],MATCH(Table1820[[#This Row],[Coverage]],CoverageTable[Coverage],0))</f>
        <v>Yes</v>
      </c>
      <c r="P593" t="str">
        <f>INDEX(CoverageTable[Coverage Limit Applies],MATCH(Table1820[[#This Row],[Coverage]],CoverageTable[Coverage],0))</f>
        <v>No</v>
      </c>
      <c r="Q593" t="s">
        <v>80</v>
      </c>
      <c r="R593" t="s">
        <v>10</v>
      </c>
      <c r="S593" t="s">
        <v>10</v>
      </c>
      <c r="T593" t="s">
        <v>10</v>
      </c>
      <c r="U593" t="s">
        <v>57</v>
      </c>
      <c r="V593" t="s">
        <v>10</v>
      </c>
      <c r="W593" t="s">
        <v>10</v>
      </c>
      <c r="X593" s="11">
        <v>637.75604920639103</v>
      </c>
      <c r="Y593">
        <f>_xlfn.XLOOKUP(Table1820[[#This Row],[Coverage]],CoverageTable[Coverage],CoverageTable[Base Rate],,0)</f>
        <v>453</v>
      </c>
      <c r="Z593">
        <f>INDEX(Table16[Ageband Factor],MATCH(Table1820[[#This Row],[Ageband]],Table16[Ageband],0))</f>
        <v>1.32</v>
      </c>
      <c r="AA593">
        <f>VLOOKUP(Table1820[[#This Row],[Years Driving]],Table1[],2)</f>
        <v>1.64</v>
      </c>
      <c r="AB593">
        <f>_xlfn.XLOOKUP(Table1820[[#This Row],[At Fault Accidents]],Table2[At Fault Accidents],Table2[At Fault Accident Factor],,0)</f>
        <v>1.34</v>
      </c>
      <c r="AC593">
        <f>_xlfn.XLOOKUP(Table1820[[#This Row],[Usage-Based Insurance]],Table3[Usage-Based Insurance],Table3[Usage-Based Insurance Discount],,0)</f>
        <v>0.95</v>
      </c>
      <c r="AD593">
        <f>_xlfn.XLOOKUP(Table1820[[#This Row],[Yearly Miles]],Table4[Yearly Miles],Table4[Yearly Miles Factor],,0)</f>
        <v>0.82</v>
      </c>
      <c r="AE593">
        <f>_xlfn.XLOOKUP(Table1820[[#This Row],[City/Zip Code]],Table5[City/Zip Code],Table5[City/Zip Code Factor],,0)</f>
        <v>1.0900000000000001</v>
      </c>
      <c r="AF593">
        <f>_xlfn.XLOOKUP(Table1820[[#This Row],[Vehicle Price]],Table6[Vehicle Price],Table6[Vehicle Price Factor])</f>
        <v>0.97</v>
      </c>
      <c r="AG593">
        <f>_xlfn.XLOOKUP(Table1820[[#This Row],[Exotic Car]],Table7[Exotic Car],Table7[Exotic Car Factor],,0)</f>
        <v>1</v>
      </c>
      <c r="AH593">
        <f>_xlfn.XLOOKUP(Table1820[[#This Row],[Difficult Parts]],Table8[Difficult Parts],Table8[Difficult Parts Factor],,0)</f>
        <v>1</v>
      </c>
      <c r="AI593">
        <f>_xlfn.XLOOKUP(Table1820[[#This Row],[High Theft Rate]],Table9[High Theft Rate],Table9[High Theft Rate Factor],,0)</f>
        <v>1</v>
      </c>
      <c r="AJ593">
        <f>_xlfn.XLOOKUP(Table1820[[#This Row],[Advanced Safety Features]],Table10[Advanced Safety Features],Table10[Advanced Safety Features Factor],,0)</f>
        <v>0.88</v>
      </c>
      <c r="AK593">
        <f>_xlfn.XLOOKUP(Table1820[[#This Row],[Deductible]],Table12[Deductible],Table12[Deductible Factor],,0)</f>
        <v>0.72</v>
      </c>
      <c r="AL593">
        <f>_xlfn.XLOOKUP(Table1820[[#This Row],[Coverage Limit]],Table13[Coverage Limit],Table13[Coverage Limit Factor],,0)</f>
        <v>1</v>
      </c>
      <c r="AM593">
        <f>IF(Table1820[[#This Row],[Good Student Discount]]="Yes",'Rate Book'!$D$126,1)</f>
        <v>1</v>
      </c>
      <c r="AN593">
        <f>IF(Table1820[[#This Row],[Good Driver Discount]]="Yes",'Rate Book'!$D$127,1)</f>
        <v>1</v>
      </c>
      <c r="AO593">
        <f>IF(Table1820[[#This Row],[Multi Policy Discount]]="Yes",'Rate Book'!$D$128,1)</f>
        <v>0.93</v>
      </c>
      <c r="AP593">
        <f>IF(Table1820[[#This Row],[Loyal Customer Discount]]="Yes",'Rate Book'!$D$129,1)</f>
        <v>1</v>
      </c>
      <c r="AQ593">
        <f>IF(Table1820[[#This Row],[Organization Discount]]="Yes",'Rate Book'!$D$130,1)</f>
        <v>1</v>
      </c>
      <c r="AR593" cm="1">
        <f t="array" ref="AR593">IF(Table1820[[#This Row],[Effective Date]]&gt;=RateChangeTable[Effective Date],RateChangeTable[Rate Change Factor],1)</f>
        <v>1</v>
      </c>
      <c r="AS593" s="10">
        <f>PRODUCT(Table1820[[#This Row],[Base Rate]:[Rate Change Factor]])</f>
        <v>637.75604920639103</v>
      </c>
      <c r="AT593" s="9">
        <f>Table1820[[#This Row],[System-Generated Premium]]-Table1820[[#This Row],[Expected Premium]]</f>
        <v>0</v>
      </c>
      <c r="AU593" t="str">
        <f>IF(Table1820[[#This Row],[Difference]]=0,"PASS","FAIL")</f>
        <v>PASS</v>
      </c>
      <c r="AV593" s="9">
        <f>ABS(Table1820[[#This Row],[Difference]])</f>
        <v>0</v>
      </c>
      <c r="AW593" s="9" t="s">
        <v>1136</v>
      </c>
    </row>
    <row r="594" spans="1:49" x14ac:dyDescent="0.3">
      <c r="A594" t="s">
        <v>685</v>
      </c>
      <c r="B594" s="7">
        <v>45874</v>
      </c>
      <c r="C594" t="s">
        <v>70</v>
      </c>
      <c r="D594" t="s">
        <v>1102</v>
      </c>
      <c r="E594" s="3">
        <v>6</v>
      </c>
      <c r="F594" s="3">
        <v>0</v>
      </c>
      <c r="G594" t="s">
        <v>10</v>
      </c>
      <c r="H594" t="s">
        <v>1110</v>
      </c>
      <c r="I594" t="s">
        <v>40</v>
      </c>
      <c r="J594" t="s">
        <v>54</v>
      </c>
      <c r="K594" t="s">
        <v>10</v>
      </c>
      <c r="L594" t="s">
        <v>10</v>
      </c>
      <c r="M594" t="s">
        <v>57</v>
      </c>
      <c r="N594" t="s">
        <v>57</v>
      </c>
      <c r="O594" t="str">
        <f>INDEX(CoverageTable[Deductible Applies],MATCH(Table1820[[#This Row],[Coverage]],CoverageTable[Coverage],0))</f>
        <v>No</v>
      </c>
      <c r="P594" t="str">
        <f>INDEX(CoverageTable[Coverage Limit Applies],MATCH(Table1820[[#This Row],[Coverage]],CoverageTable[Coverage],0))</f>
        <v>Yes</v>
      </c>
      <c r="Q594" t="s">
        <v>10</v>
      </c>
      <c r="R594" t="s">
        <v>78</v>
      </c>
      <c r="S594" t="s">
        <v>10</v>
      </c>
      <c r="T594" t="s">
        <v>10</v>
      </c>
      <c r="U594" t="s">
        <v>10</v>
      </c>
      <c r="V594" t="s">
        <v>57</v>
      </c>
      <c r="W594" t="s">
        <v>10</v>
      </c>
      <c r="X594" s="11">
        <v>1894.8382629566977</v>
      </c>
      <c r="Y594">
        <f>_xlfn.XLOOKUP(Table1820[[#This Row],[Coverage]],CoverageTable[Coverage],CoverageTable[Base Rate],,0)</f>
        <v>622</v>
      </c>
      <c r="Z594">
        <f>INDEX(Table16[Ageband Factor],MATCH(Table1820[[#This Row],[Ageband]],Table16[Ageband],0))</f>
        <v>1.27</v>
      </c>
      <c r="AA594">
        <f>VLOOKUP(Table1820[[#This Row],[Years Driving]],Table1[],2)</f>
        <v>1</v>
      </c>
      <c r="AB594">
        <f>_xlfn.XLOOKUP(Table1820[[#This Row],[At Fault Accidents]],Table2[At Fault Accidents],Table2[At Fault Accident Factor],,0)</f>
        <v>1</v>
      </c>
      <c r="AC594">
        <f>_xlfn.XLOOKUP(Table1820[[#This Row],[Usage-Based Insurance]],Table3[Usage-Based Insurance],Table3[Usage-Based Insurance Discount],,0)</f>
        <v>1</v>
      </c>
      <c r="AD594">
        <f>_xlfn.XLOOKUP(Table1820[[#This Row],[Yearly Miles]],Table4[Yearly Miles],Table4[Yearly Miles Factor],,0)</f>
        <v>1.31</v>
      </c>
      <c r="AE594">
        <f>_xlfn.XLOOKUP(Table1820[[#This Row],[City/Zip Code]],Table5[City/Zip Code],Table5[City/Zip Code Factor],,0)</f>
        <v>1.0900000000000001</v>
      </c>
      <c r="AF594">
        <f>_xlfn.XLOOKUP(Table1820[[#This Row],[Vehicle Price]],Table6[Vehicle Price],Table6[Vehicle Price Factor])</f>
        <v>2.87</v>
      </c>
      <c r="AG594">
        <f>_xlfn.XLOOKUP(Table1820[[#This Row],[Exotic Car]],Table7[Exotic Car],Table7[Exotic Car Factor],,0)</f>
        <v>1</v>
      </c>
      <c r="AH594">
        <f>_xlfn.XLOOKUP(Table1820[[#This Row],[Difficult Parts]],Table8[Difficult Parts],Table8[Difficult Parts Factor],,0)</f>
        <v>1</v>
      </c>
      <c r="AI594">
        <f>_xlfn.XLOOKUP(Table1820[[#This Row],[High Theft Rate]],Table9[High Theft Rate],Table9[High Theft Rate Factor],,0)</f>
        <v>1.1599999999999999</v>
      </c>
      <c r="AJ594">
        <f>_xlfn.XLOOKUP(Table1820[[#This Row],[Advanced Safety Features]],Table10[Advanced Safety Features],Table10[Advanced Safety Features Factor],,0)</f>
        <v>0.88</v>
      </c>
      <c r="AK594">
        <f>_xlfn.XLOOKUP(Table1820[[#This Row],[Deductible]],Table12[Deductible],Table12[Deductible Factor],,0)</f>
        <v>1</v>
      </c>
      <c r="AL594">
        <f>_xlfn.XLOOKUP(Table1820[[#This Row],[Coverage Limit]],Table13[Coverage Limit],Table13[Coverage Limit Factor],,0)</f>
        <v>0.61</v>
      </c>
      <c r="AM594">
        <f>IF(Table1820[[#This Row],[Good Student Discount]]="Yes",'Rate Book'!$D$126,1)</f>
        <v>1</v>
      </c>
      <c r="AN594">
        <f>IF(Table1820[[#This Row],[Good Driver Discount]]="Yes",'Rate Book'!$D$127,1)</f>
        <v>1</v>
      </c>
      <c r="AO594">
        <f>IF(Table1820[[#This Row],[Multi Policy Discount]]="Yes",'Rate Book'!$D$128,1)</f>
        <v>1</v>
      </c>
      <c r="AP594">
        <f>IF(Table1820[[#This Row],[Loyal Customer Discount]]="Yes",'Rate Book'!$D$129,1)</f>
        <v>0.94</v>
      </c>
      <c r="AQ594">
        <f>IF(Table1820[[#This Row],[Organization Discount]]="Yes",'Rate Book'!$D$130,1)</f>
        <v>1</v>
      </c>
      <c r="AR594" cm="1">
        <f t="array" ref="AR594">IF(Table1820[[#This Row],[Effective Date]]&gt;=RateChangeTable[Effective Date],RateChangeTable[Rate Change Factor],1)</f>
        <v>1</v>
      </c>
      <c r="AS594" s="10">
        <f>PRODUCT(Table1820[[#This Row],[Base Rate]:[Rate Change Factor]])</f>
        <v>1894.8382629566977</v>
      </c>
      <c r="AT594" s="9">
        <f>Table1820[[#This Row],[System-Generated Premium]]-Table1820[[#This Row],[Expected Premium]]</f>
        <v>0</v>
      </c>
      <c r="AU594" t="str">
        <f>IF(Table1820[[#This Row],[Difference]]=0,"PASS","FAIL")</f>
        <v>PASS</v>
      </c>
      <c r="AV594" s="9">
        <f>ABS(Table1820[[#This Row],[Difference]])</f>
        <v>0</v>
      </c>
      <c r="AW594" s="9" t="s">
        <v>1136</v>
      </c>
    </row>
    <row r="595" spans="1:49" x14ac:dyDescent="0.3">
      <c r="A595" t="s">
        <v>686</v>
      </c>
      <c r="B595" s="7">
        <v>45828</v>
      </c>
      <c r="C595" t="s">
        <v>73</v>
      </c>
      <c r="D595" t="s">
        <v>1100</v>
      </c>
      <c r="E595" s="3">
        <v>3</v>
      </c>
      <c r="F595" s="3">
        <v>2</v>
      </c>
      <c r="G595" t="s">
        <v>10</v>
      </c>
      <c r="H595" t="s">
        <v>1107</v>
      </c>
      <c r="I595" t="s">
        <v>42</v>
      </c>
      <c r="J595" t="s">
        <v>51</v>
      </c>
      <c r="K595" t="s">
        <v>57</v>
      </c>
      <c r="L595" t="s">
        <v>10</v>
      </c>
      <c r="M595" t="s">
        <v>10</v>
      </c>
      <c r="N595" t="s">
        <v>57</v>
      </c>
      <c r="O595" t="str">
        <f>INDEX(CoverageTable[Deductible Applies],MATCH(Table1820[[#This Row],[Coverage]],CoverageTable[Coverage],0))</f>
        <v>No</v>
      </c>
      <c r="P595" t="str">
        <f>INDEX(CoverageTable[Coverage Limit Applies],MATCH(Table1820[[#This Row],[Coverage]],CoverageTable[Coverage],0))</f>
        <v>Yes</v>
      </c>
      <c r="Q595" t="s">
        <v>10</v>
      </c>
      <c r="R595" t="s">
        <v>80</v>
      </c>
      <c r="S595" t="s">
        <v>10</v>
      </c>
      <c r="T595" t="s">
        <v>10</v>
      </c>
      <c r="U595" t="s">
        <v>10</v>
      </c>
      <c r="V595" t="s">
        <v>10</v>
      </c>
      <c r="W595" t="s">
        <v>10</v>
      </c>
      <c r="X595" s="11">
        <v>215.08995346175365</v>
      </c>
      <c r="Y595">
        <f>_xlfn.XLOOKUP(Table1820[[#This Row],[Coverage]],CoverageTable[Coverage],CoverageTable[Base Rate],,0)</f>
        <v>78</v>
      </c>
      <c r="Z595">
        <f>INDEX(Table16[Ageband Factor],MATCH(Table1820[[#This Row],[Ageband]],Table16[Ageband],0))</f>
        <v>1.07</v>
      </c>
      <c r="AA595">
        <f>VLOOKUP(Table1820[[#This Row],[Years Driving]],Table1[],2)</f>
        <v>1.22</v>
      </c>
      <c r="AB595">
        <f>_xlfn.XLOOKUP(Table1820[[#This Row],[At Fault Accidents]],Table2[At Fault Accidents],Table2[At Fault Accident Factor],,0)</f>
        <v>1.55</v>
      </c>
      <c r="AC595">
        <f>_xlfn.XLOOKUP(Table1820[[#This Row],[Usage-Based Insurance]],Table3[Usage-Based Insurance],Table3[Usage-Based Insurance Discount],,0)</f>
        <v>1</v>
      </c>
      <c r="AD595">
        <f>_xlfn.XLOOKUP(Table1820[[#This Row],[Yearly Miles]],Table4[Yearly Miles],Table4[Yearly Miles Factor],,0)</f>
        <v>0.93</v>
      </c>
      <c r="AE595">
        <f>_xlfn.XLOOKUP(Table1820[[#This Row],[City/Zip Code]],Table5[City/Zip Code],Table5[City/Zip Code Factor],,0)</f>
        <v>1.21</v>
      </c>
      <c r="AF595">
        <f>_xlfn.XLOOKUP(Table1820[[#This Row],[Vehicle Price]],Table6[Vehicle Price],Table6[Vehicle Price Factor])</f>
        <v>1.28</v>
      </c>
      <c r="AG595">
        <f>_xlfn.XLOOKUP(Table1820[[#This Row],[Exotic Car]],Table7[Exotic Car],Table7[Exotic Car Factor],,0)</f>
        <v>1.28</v>
      </c>
      <c r="AH595">
        <f>_xlfn.XLOOKUP(Table1820[[#This Row],[Difficult Parts]],Table8[Difficult Parts],Table8[Difficult Parts Factor],,0)</f>
        <v>1</v>
      </c>
      <c r="AI595">
        <f>_xlfn.XLOOKUP(Table1820[[#This Row],[High Theft Rate]],Table9[High Theft Rate],Table9[High Theft Rate Factor],,0)</f>
        <v>1</v>
      </c>
      <c r="AJ595">
        <f>_xlfn.XLOOKUP(Table1820[[#This Row],[Advanced Safety Features]],Table10[Advanced Safety Features],Table10[Advanced Safety Features Factor],,0)</f>
        <v>0.88</v>
      </c>
      <c r="AK595">
        <f>_xlfn.XLOOKUP(Table1820[[#This Row],[Deductible]],Table12[Deductible],Table12[Deductible Factor],,0)</f>
        <v>1</v>
      </c>
      <c r="AL595">
        <f>_xlfn.XLOOKUP(Table1820[[#This Row],[Coverage Limit]],Table13[Coverage Limit],Table13[Coverage Limit Factor],,0)</f>
        <v>0.84</v>
      </c>
      <c r="AM595">
        <f>IF(Table1820[[#This Row],[Good Student Discount]]="Yes",'Rate Book'!$D$126,1)</f>
        <v>1</v>
      </c>
      <c r="AN595">
        <f>IF(Table1820[[#This Row],[Good Driver Discount]]="Yes",'Rate Book'!$D$127,1)</f>
        <v>1</v>
      </c>
      <c r="AO595">
        <f>IF(Table1820[[#This Row],[Multi Policy Discount]]="Yes",'Rate Book'!$D$128,1)</f>
        <v>1</v>
      </c>
      <c r="AP595">
        <f>IF(Table1820[[#This Row],[Loyal Customer Discount]]="Yes",'Rate Book'!$D$129,1)</f>
        <v>1</v>
      </c>
      <c r="AQ595">
        <f>IF(Table1820[[#This Row],[Organization Discount]]="Yes",'Rate Book'!$D$130,1)</f>
        <v>1</v>
      </c>
      <c r="AR595" cm="1">
        <f t="array" ref="AR595">IF(Table1820[[#This Row],[Effective Date]]&gt;=RateChangeTable[Effective Date],RateChangeTable[Rate Change Factor],1)</f>
        <v>1</v>
      </c>
      <c r="AS595" s="10">
        <f>PRODUCT(Table1820[[#This Row],[Base Rate]:[Rate Change Factor]])</f>
        <v>215.08995346175365</v>
      </c>
      <c r="AT595" s="9">
        <f>Table1820[[#This Row],[System-Generated Premium]]-Table1820[[#This Row],[Expected Premium]]</f>
        <v>0</v>
      </c>
      <c r="AU595" t="str">
        <f>IF(Table1820[[#This Row],[Difference]]=0,"PASS","FAIL")</f>
        <v>PASS</v>
      </c>
      <c r="AV595" s="9">
        <f>ABS(Table1820[[#This Row],[Difference]])</f>
        <v>0</v>
      </c>
      <c r="AW595" s="9" t="s">
        <v>1136</v>
      </c>
    </row>
    <row r="596" spans="1:49" x14ac:dyDescent="0.3">
      <c r="A596" t="s">
        <v>687</v>
      </c>
      <c r="B596" s="7">
        <v>46031</v>
      </c>
      <c r="C596" t="s">
        <v>74</v>
      </c>
      <c r="D596" t="s">
        <v>1097</v>
      </c>
      <c r="E596" s="3">
        <v>3</v>
      </c>
      <c r="F596" s="3">
        <v>1</v>
      </c>
      <c r="G596" t="s">
        <v>10</v>
      </c>
      <c r="H596" t="s">
        <v>1106</v>
      </c>
      <c r="I596" t="s">
        <v>23</v>
      </c>
      <c r="J596" t="s">
        <v>50</v>
      </c>
      <c r="K596" t="s">
        <v>10</v>
      </c>
      <c r="L596" t="s">
        <v>10</v>
      </c>
      <c r="M596" t="s">
        <v>10</v>
      </c>
      <c r="N596" t="s">
        <v>10</v>
      </c>
      <c r="O596" t="str">
        <f>INDEX(CoverageTable[Deductible Applies],MATCH(Table1820[[#This Row],[Coverage]],CoverageTable[Coverage],0))</f>
        <v>No</v>
      </c>
      <c r="P596" t="str">
        <f>INDEX(CoverageTable[Coverage Limit Applies],MATCH(Table1820[[#This Row],[Coverage]],CoverageTable[Coverage],0))</f>
        <v>Yes</v>
      </c>
      <c r="Q596" t="s">
        <v>10</v>
      </c>
      <c r="R596" t="s">
        <v>80</v>
      </c>
      <c r="S596" t="s">
        <v>10</v>
      </c>
      <c r="T596" t="s">
        <v>57</v>
      </c>
      <c r="U596" t="s">
        <v>57</v>
      </c>
      <c r="V596" t="s">
        <v>10</v>
      </c>
      <c r="W596" t="s">
        <v>10</v>
      </c>
      <c r="X596" s="11">
        <v>53.12585819496266</v>
      </c>
      <c r="Y596">
        <f>_xlfn.XLOOKUP(Table1820[[#This Row],[Coverage]],CoverageTable[Coverage],CoverageTable[Base Rate],,0)</f>
        <v>41</v>
      </c>
      <c r="Z596">
        <f>INDEX(Table16[Ageband Factor],MATCH(Table1820[[#This Row],[Ageband]],Table16[Ageband],0))</f>
        <v>1.32</v>
      </c>
      <c r="AA596">
        <f>VLOOKUP(Table1820[[#This Row],[Years Driving]],Table1[],2)</f>
        <v>1.22</v>
      </c>
      <c r="AB596">
        <f>_xlfn.XLOOKUP(Table1820[[#This Row],[At Fault Accidents]],Table2[At Fault Accidents],Table2[At Fault Accident Factor],,0)</f>
        <v>1.34</v>
      </c>
      <c r="AC596">
        <f>_xlfn.XLOOKUP(Table1820[[#This Row],[Usage-Based Insurance]],Table3[Usage-Based Insurance],Table3[Usage-Based Insurance Discount],,0)</f>
        <v>1</v>
      </c>
      <c r="AD596">
        <f>_xlfn.XLOOKUP(Table1820[[#This Row],[Yearly Miles]],Table4[Yearly Miles],Table4[Yearly Miles Factor],,0)</f>
        <v>0.82</v>
      </c>
      <c r="AE596">
        <f>_xlfn.XLOOKUP(Table1820[[#This Row],[City/Zip Code]],Table5[City/Zip Code],Table5[City/Zip Code Factor],,0)</f>
        <v>0.92</v>
      </c>
      <c r="AF596">
        <f>_xlfn.XLOOKUP(Table1820[[#This Row],[Vehicle Price]],Table6[Vehicle Price],Table6[Vehicle Price Factor])</f>
        <v>1.08</v>
      </c>
      <c r="AG596">
        <f>_xlfn.XLOOKUP(Table1820[[#This Row],[Exotic Car]],Table7[Exotic Car],Table7[Exotic Car Factor],,0)</f>
        <v>1</v>
      </c>
      <c r="AH596">
        <f>_xlfn.XLOOKUP(Table1820[[#This Row],[Difficult Parts]],Table8[Difficult Parts],Table8[Difficult Parts Factor],,0)</f>
        <v>1</v>
      </c>
      <c r="AI596">
        <f>_xlfn.XLOOKUP(Table1820[[#This Row],[High Theft Rate]],Table9[High Theft Rate],Table9[High Theft Rate Factor],,0)</f>
        <v>1</v>
      </c>
      <c r="AJ596">
        <f>_xlfn.XLOOKUP(Table1820[[#This Row],[Advanced Safety Features]],Table10[Advanced Safety Features],Table10[Advanced Safety Features Factor],,0)</f>
        <v>1</v>
      </c>
      <c r="AK596">
        <f>_xlfn.XLOOKUP(Table1820[[#This Row],[Deductible]],Table12[Deductible],Table12[Deductible Factor],,0)</f>
        <v>1</v>
      </c>
      <c r="AL596">
        <f>_xlfn.XLOOKUP(Table1820[[#This Row],[Coverage Limit]],Table13[Coverage Limit],Table13[Coverage Limit Factor],,0)</f>
        <v>0.84</v>
      </c>
      <c r="AM596">
        <f>IF(Table1820[[#This Row],[Good Student Discount]]="Yes",'Rate Book'!$D$126,1)</f>
        <v>1</v>
      </c>
      <c r="AN596">
        <f>IF(Table1820[[#This Row],[Good Driver Discount]]="Yes",'Rate Book'!$D$127,1)</f>
        <v>0.89</v>
      </c>
      <c r="AO596">
        <f>IF(Table1820[[#This Row],[Multi Policy Discount]]="Yes",'Rate Book'!$D$128,1)</f>
        <v>0.93</v>
      </c>
      <c r="AP596">
        <f>IF(Table1820[[#This Row],[Loyal Customer Discount]]="Yes",'Rate Book'!$D$129,1)</f>
        <v>1</v>
      </c>
      <c r="AQ596">
        <f>IF(Table1820[[#This Row],[Organization Discount]]="Yes",'Rate Book'!$D$130,1)</f>
        <v>1</v>
      </c>
      <c r="AR596" cm="1">
        <f t="array" ref="AR596">IF(Table1820[[#This Row],[Effective Date]]&gt;=RateChangeTable[Effective Date],RateChangeTable[Rate Change Factor],1)</f>
        <v>1.06</v>
      </c>
      <c r="AS596" s="10">
        <f>PRODUCT(Table1820[[#This Row],[Base Rate]:[Rate Change Factor]])</f>
        <v>53.12585819496266</v>
      </c>
      <c r="AT596" s="9">
        <f>Table1820[[#This Row],[System-Generated Premium]]-Table1820[[#This Row],[Expected Premium]]</f>
        <v>0</v>
      </c>
      <c r="AU596" t="str">
        <f>IF(Table1820[[#This Row],[Difference]]=0,"PASS","FAIL")</f>
        <v>PASS</v>
      </c>
      <c r="AV596" s="9">
        <f>ABS(Table1820[[#This Row],[Difference]])</f>
        <v>0</v>
      </c>
      <c r="AW596" s="9" t="s">
        <v>1136</v>
      </c>
    </row>
    <row r="597" spans="1:49" x14ac:dyDescent="0.3">
      <c r="A597" t="s">
        <v>688</v>
      </c>
      <c r="B597" s="7">
        <v>45779</v>
      </c>
      <c r="C597" t="s">
        <v>71</v>
      </c>
      <c r="D597" t="s">
        <v>1097</v>
      </c>
      <c r="E597" s="3">
        <v>1</v>
      </c>
      <c r="F597" s="3">
        <v>4</v>
      </c>
      <c r="G597" t="s">
        <v>10</v>
      </c>
      <c r="H597" t="s">
        <v>1107</v>
      </c>
      <c r="I597" t="s">
        <v>21</v>
      </c>
      <c r="J597" t="s">
        <v>50</v>
      </c>
      <c r="K597" t="s">
        <v>10</v>
      </c>
      <c r="L597" t="s">
        <v>10</v>
      </c>
      <c r="M597" t="s">
        <v>10</v>
      </c>
      <c r="N597" t="s">
        <v>57</v>
      </c>
      <c r="O597" t="str">
        <f>INDEX(CoverageTable[Deductible Applies],MATCH(Table1820[[#This Row],[Coverage]],CoverageTable[Coverage],0))</f>
        <v>Yes</v>
      </c>
      <c r="P597" t="str">
        <f>INDEX(CoverageTable[Coverage Limit Applies],MATCH(Table1820[[#This Row],[Coverage]],CoverageTable[Coverage],0))</f>
        <v>No</v>
      </c>
      <c r="Q597" t="s">
        <v>79</v>
      </c>
      <c r="R597" t="s">
        <v>10</v>
      </c>
      <c r="S597" t="s">
        <v>10</v>
      </c>
      <c r="T597" t="s">
        <v>10</v>
      </c>
      <c r="U597" t="s">
        <v>10</v>
      </c>
      <c r="V597" t="s">
        <v>57</v>
      </c>
      <c r="W597" t="s">
        <v>10</v>
      </c>
      <c r="X597" s="11">
        <v>1828.1797880326383</v>
      </c>
      <c r="Y597">
        <f>_xlfn.XLOOKUP(Table1820[[#This Row],[Coverage]],CoverageTable[Coverage],CoverageTable[Base Rate],,0)</f>
        <v>453</v>
      </c>
      <c r="Z597">
        <f>INDEX(Table16[Ageband Factor],MATCH(Table1820[[#This Row],[Ageband]],Table16[Ageband],0))</f>
        <v>1.32</v>
      </c>
      <c r="AA597">
        <f>VLOOKUP(Table1820[[#This Row],[Years Driving]],Table1[],2)</f>
        <v>1.64</v>
      </c>
      <c r="AB597">
        <f>_xlfn.XLOOKUP(Table1820[[#This Row],[At Fault Accidents]],Table2[At Fault Accidents],Table2[At Fault Accident Factor],,0)</f>
        <v>2.12</v>
      </c>
      <c r="AC597">
        <f>_xlfn.XLOOKUP(Table1820[[#This Row],[Usage-Based Insurance]],Table3[Usage-Based Insurance],Table3[Usage-Based Insurance Discount],,0)</f>
        <v>1</v>
      </c>
      <c r="AD597">
        <f>_xlfn.XLOOKUP(Table1820[[#This Row],[Yearly Miles]],Table4[Yearly Miles],Table4[Yearly Miles Factor],,0)</f>
        <v>0.93</v>
      </c>
      <c r="AE597">
        <f>_xlfn.XLOOKUP(Table1820[[#This Row],[City/Zip Code]],Table5[City/Zip Code],Table5[City/Zip Code Factor],,0)</f>
        <v>1.26</v>
      </c>
      <c r="AF597">
        <f>_xlfn.XLOOKUP(Table1820[[#This Row],[Vehicle Price]],Table6[Vehicle Price],Table6[Vehicle Price Factor])</f>
        <v>1.08</v>
      </c>
      <c r="AG597">
        <f>_xlfn.XLOOKUP(Table1820[[#This Row],[Exotic Car]],Table7[Exotic Car],Table7[Exotic Car Factor],,0)</f>
        <v>1</v>
      </c>
      <c r="AH597">
        <f>_xlfn.XLOOKUP(Table1820[[#This Row],[Difficult Parts]],Table8[Difficult Parts],Table8[Difficult Parts Factor],,0)</f>
        <v>1</v>
      </c>
      <c r="AI597">
        <f>_xlfn.XLOOKUP(Table1820[[#This Row],[High Theft Rate]],Table9[High Theft Rate],Table9[High Theft Rate Factor],,0)</f>
        <v>1</v>
      </c>
      <c r="AJ597">
        <f>_xlfn.XLOOKUP(Table1820[[#This Row],[Advanced Safety Features]],Table10[Advanced Safety Features],Table10[Advanced Safety Features Factor],,0)</f>
        <v>0.88</v>
      </c>
      <c r="AK597">
        <f>_xlfn.XLOOKUP(Table1820[[#This Row],[Deductible]],Table12[Deductible],Table12[Deductible Factor],,0)</f>
        <v>0.84</v>
      </c>
      <c r="AL597">
        <f>_xlfn.XLOOKUP(Table1820[[#This Row],[Coverage Limit]],Table13[Coverage Limit],Table13[Coverage Limit Factor],,0)</f>
        <v>1</v>
      </c>
      <c r="AM597">
        <f>IF(Table1820[[#This Row],[Good Student Discount]]="Yes",'Rate Book'!$D$126,1)</f>
        <v>1</v>
      </c>
      <c r="AN597">
        <f>IF(Table1820[[#This Row],[Good Driver Discount]]="Yes",'Rate Book'!$D$127,1)</f>
        <v>1</v>
      </c>
      <c r="AO597">
        <f>IF(Table1820[[#This Row],[Multi Policy Discount]]="Yes",'Rate Book'!$D$128,1)</f>
        <v>1</v>
      </c>
      <c r="AP597">
        <f>IF(Table1820[[#This Row],[Loyal Customer Discount]]="Yes",'Rate Book'!$D$129,1)</f>
        <v>0.94</v>
      </c>
      <c r="AQ597">
        <f>IF(Table1820[[#This Row],[Organization Discount]]="Yes",'Rate Book'!$D$130,1)</f>
        <v>1</v>
      </c>
      <c r="AR597" cm="1">
        <f t="array" ref="AR597">IF(Table1820[[#This Row],[Effective Date]]&gt;=RateChangeTable[Effective Date],RateChangeTable[Rate Change Factor],1)</f>
        <v>1</v>
      </c>
      <c r="AS597" s="10">
        <f>PRODUCT(Table1820[[#This Row],[Base Rate]:[Rate Change Factor]])</f>
        <v>1828.1797880326383</v>
      </c>
      <c r="AT597" s="9">
        <f>Table1820[[#This Row],[System-Generated Premium]]-Table1820[[#This Row],[Expected Premium]]</f>
        <v>0</v>
      </c>
      <c r="AU597" t="str">
        <f>IF(Table1820[[#This Row],[Difference]]=0,"PASS","FAIL")</f>
        <v>PASS</v>
      </c>
      <c r="AV597" s="9">
        <f>ABS(Table1820[[#This Row],[Difference]])</f>
        <v>0</v>
      </c>
      <c r="AW597" s="9" t="s">
        <v>1136</v>
      </c>
    </row>
    <row r="598" spans="1:49" x14ac:dyDescent="0.3">
      <c r="A598" t="s">
        <v>689</v>
      </c>
      <c r="B598" s="7">
        <v>45896</v>
      </c>
      <c r="C598" t="s">
        <v>74</v>
      </c>
      <c r="D598" t="s">
        <v>1100</v>
      </c>
      <c r="E598" s="3">
        <v>6</v>
      </c>
      <c r="F598" s="3">
        <v>1</v>
      </c>
      <c r="G598" t="s">
        <v>13</v>
      </c>
      <c r="H598" t="s">
        <v>1110</v>
      </c>
      <c r="I598" t="s">
        <v>22</v>
      </c>
      <c r="J598" t="s">
        <v>54</v>
      </c>
      <c r="K598" t="s">
        <v>10</v>
      </c>
      <c r="L598" t="s">
        <v>10</v>
      </c>
      <c r="M598" t="s">
        <v>10</v>
      </c>
      <c r="N598" t="s">
        <v>57</v>
      </c>
      <c r="O598" t="str">
        <f>INDEX(CoverageTable[Deductible Applies],MATCH(Table1820[[#This Row],[Coverage]],CoverageTable[Coverage],0))</f>
        <v>No</v>
      </c>
      <c r="P598" t="str">
        <f>INDEX(CoverageTable[Coverage Limit Applies],MATCH(Table1820[[#This Row],[Coverage]],CoverageTable[Coverage],0))</f>
        <v>Yes</v>
      </c>
      <c r="Q598" t="s">
        <v>10</v>
      </c>
      <c r="R598" t="s">
        <v>79</v>
      </c>
      <c r="S598" t="s">
        <v>10</v>
      </c>
      <c r="T598" t="s">
        <v>10</v>
      </c>
      <c r="U598" t="s">
        <v>57</v>
      </c>
      <c r="V598" t="s">
        <v>57</v>
      </c>
      <c r="W598" t="s">
        <v>10</v>
      </c>
      <c r="X598" s="11">
        <v>96.283157235872281</v>
      </c>
      <c r="Y598">
        <f>_xlfn.XLOOKUP(Table1820[[#This Row],[Coverage]],CoverageTable[Coverage],CoverageTable[Base Rate],,0)</f>
        <v>41</v>
      </c>
      <c r="Z598">
        <f>INDEX(Table16[Ageband Factor],MATCH(Table1820[[#This Row],[Ageband]],Table16[Ageband],0))</f>
        <v>1.07</v>
      </c>
      <c r="AA598">
        <f>VLOOKUP(Table1820[[#This Row],[Years Driving]],Table1[],2)</f>
        <v>1</v>
      </c>
      <c r="AB598">
        <f>_xlfn.XLOOKUP(Table1820[[#This Row],[At Fault Accidents]],Table2[At Fault Accidents],Table2[At Fault Accident Factor],,0)</f>
        <v>1.34</v>
      </c>
      <c r="AC598">
        <f>_xlfn.XLOOKUP(Table1820[[#This Row],[Usage-Based Insurance]],Table3[Usage-Based Insurance],Table3[Usage-Based Insurance Discount],,0)</f>
        <v>0.65</v>
      </c>
      <c r="AD598">
        <f>_xlfn.XLOOKUP(Table1820[[#This Row],[Yearly Miles]],Table4[Yearly Miles],Table4[Yearly Miles Factor],,0)</f>
        <v>1.31</v>
      </c>
      <c r="AE598">
        <f>_xlfn.XLOOKUP(Table1820[[#This Row],[City/Zip Code]],Table5[City/Zip Code],Table5[City/Zip Code Factor],,0)</f>
        <v>1.21</v>
      </c>
      <c r="AF598">
        <f>_xlfn.XLOOKUP(Table1820[[#This Row],[Vehicle Price]],Table6[Vehicle Price],Table6[Vehicle Price Factor])</f>
        <v>2.87</v>
      </c>
      <c r="AG598">
        <f>_xlfn.XLOOKUP(Table1820[[#This Row],[Exotic Car]],Table7[Exotic Car],Table7[Exotic Car Factor],,0)</f>
        <v>1</v>
      </c>
      <c r="AH598">
        <f>_xlfn.XLOOKUP(Table1820[[#This Row],[Difficult Parts]],Table8[Difficult Parts],Table8[Difficult Parts Factor],,0)</f>
        <v>1</v>
      </c>
      <c r="AI598">
        <f>_xlfn.XLOOKUP(Table1820[[#This Row],[High Theft Rate]],Table9[High Theft Rate],Table9[High Theft Rate Factor],,0)</f>
        <v>1</v>
      </c>
      <c r="AJ598">
        <f>_xlfn.XLOOKUP(Table1820[[#This Row],[Advanced Safety Features]],Table10[Advanced Safety Features],Table10[Advanced Safety Features Factor],,0)</f>
        <v>0.88</v>
      </c>
      <c r="AK598">
        <f>_xlfn.XLOOKUP(Table1820[[#This Row],[Deductible]],Table12[Deductible],Table12[Deductible Factor],,0)</f>
        <v>1</v>
      </c>
      <c r="AL598">
        <f>_xlfn.XLOOKUP(Table1820[[#This Row],[Coverage Limit]],Table13[Coverage Limit],Table13[Coverage Limit Factor],,0)</f>
        <v>0.72</v>
      </c>
      <c r="AM598">
        <f>IF(Table1820[[#This Row],[Good Student Discount]]="Yes",'Rate Book'!$D$126,1)</f>
        <v>1</v>
      </c>
      <c r="AN598">
        <f>IF(Table1820[[#This Row],[Good Driver Discount]]="Yes",'Rate Book'!$D$127,1)</f>
        <v>1</v>
      </c>
      <c r="AO598">
        <f>IF(Table1820[[#This Row],[Multi Policy Discount]]="Yes",'Rate Book'!$D$128,1)</f>
        <v>0.93</v>
      </c>
      <c r="AP598">
        <f>IF(Table1820[[#This Row],[Loyal Customer Discount]]="Yes",'Rate Book'!$D$129,1)</f>
        <v>0.94</v>
      </c>
      <c r="AQ598">
        <f>IF(Table1820[[#This Row],[Organization Discount]]="Yes",'Rate Book'!$D$130,1)</f>
        <v>1</v>
      </c>
      <c r="AR598" cm="1">
        <f t="array" ref="AR598">IF(Table1820[[#This Row],[Effective Date]]&gt;=RateChangeTable[Effective Date],RateChangeTable[Rate Change Factor],1)</f>
        <v>1</v>
      </c>
      <c r="AS598" s="10">
        <f>PRODUCT(Table1820[[#This Row],[Base Rate]:[Rate Change Factor]])</f>
        <v>96.283157235872281</v>
      </c>
      <c r="AT598" s="9">
        <f>Table1820[[#This Row],[System-Generated Premium]]-Table1820[[#This Row],[Expected Premium]]</f>
        <v>0</v>
      </c>
      <c r="AU598" t="str">
        <f>IF(Table1820[[#This Row],[Difference]]=0,"PASS","FAIL")</f>
        <v>PASS</v>
      </c>
      <c r="AV598" s="9">
        <f>ABS(Table1820[[#This Row],[Difference]])</f>
        <v>0</v>
      </c>
      <c r="AW598" s="9" t="s">
        <v>1136</v>
      </c>
    </row>
    <row r="599" spans="1:49" x14ac:dyDescent="0.3">
      <c r="A599" t="s">
        <v>690</v>
      </c>
      <c r="B599" s="7">
        <v>45906</v>
      </c>
      <c r="C599" t="s">
        <v>71</v>
      </c>
      <c r="D599" t="s">
        <v>1099</v>
      </c>
      <c r="E599" s="3">
        <v>3</v>
      </c>
      <c r="F599" s="3">
        <v>2</v>
      </c>
      <c r="G599" t="s">
        <v>10</v>
      </c>
      <c r="H599" t="s">
        <v>1110</v>
      </c>
      <c r="I599" t="s">
        <v>32</v>
      </c>
      <c r="J599" t="s">
        <v>51</v>
      </c>
      <c r="K599" t="s">
        <v>10</v>
      </c>
      <c r="L599" t="s">
        <v>10</v>
      </c>
      <c r="M599" t="s">
        <v>10</v>
      </c>
      <c r="N599" t="s">
        <v>10</v>
      </c>
      <c r="O599" t="str">
        <f>INDEX(CoverageTable[Deductible Applies],MATCH(Table1820[[#This Row],[Coverage]],CoverageTable[Coverage],0))</f>
        <v>Yes</v>
      </c>
      <c r="P599" t="str">
        <f>INDEX(CoverageTable[Coverage Limit Applies],MATCH(Table1820[[#This Row],[Coverage]],CoverageTable[Coverage],0))</f>
        <v>No</v>
      </c>
      <c r="Q599" t="s">
        <v>79</v>
      </c>
      <c r="R599" t="s">
        <v>10</v>
      </c>
      <c r="S599" t="s">
        <v>10</v>
      </c>
      <c r="T599" t="s">
        <v>10</v>
      </c>
      <c r="U599" t="s">
        <v>10</v>
      </c>
      <c r="V599" t="s">
        <v>10</v>
      </c>
      <c r="W599" t="s">
        <v>10</v>
      </c>
      <c r="X599" s="11">
        <v>1351.3514279731201</v>
      </c>
      <c r="Y599">
        <f>_xlfn.XLOOKUP(Table1820[[#This Row],[Coverage]],CoverageTable[Coverage],CoverageTable[Base Rate],,0)</f>
        <v>453</v>
      </c>
      <c r="Z599">
        <f>INDEX(Table16[Ageband Factor],MATCH(Table1820[[#This Row],[Ageband]],Table16[Ageband],0))</f>
        <v>1</v>
      </c>
      <c r="AA599">
        <f>VLOOKUP(Table1820[[#This Row],[Years Driving]],Table1[],2)</f>
        <v>1.22</v>
      </c>
      <c r="AB599">
        <f>_xlfn.XLOOKUP(Table1820[[#This Row],[At Fault Accidents]],Table2[At Fault Accidents],Table2[At Fault Accident Factor],,0)</f>
        <v>1.55</v>
      </c>
      <c r="AC599">
        <f>_xlfn.XLOOKUP(Table1820[[#This Row],[Usage-Based Insurance]],Table3[Usage-Based Insurance],Table3[Usage-Based Insurance Discount],,0)</f>
        <v>1</v>
      </c>
      <c r="AD599">
        <f>_xlfn.XLOOKUP(Table1820[[#This Row],[Yearly Miles]],Table4[Yearly Miles],Table4[Yearly Miles Factor],,0)</f>
        <v>1.31</v>
      </c>
      <c r="AE599">
        <f>_xlfn.XLOOKUP(Table1820[[#This Row],[City/Zip Code]],Table5[City/Zip Code],Table5[City/Zip Code Factor],,0)</f>
        <v>1.1200000000000001</v>
      </c>
      <c r="AF599">
        <f>_xlfn.XLOOKUP(Table1820[[#This Row],[Vehicle Price]],Table6[Vehicle Price],Table6[Vehicle Price Factor])</f>
        <v>1.28</v>
      </c>
      <c r="AG599">
        <f>_xlfn.XLOOKUP(Table1820[[#This Row],[Exotic Car]],Table7[Exotic Car],Table7[Exotic Car Factor],,0)</f>
        <v>1</v>
      </c>
      <c r="AH599">
        <f>_xlfn.XLOOKUP(Table1820[[#This Row],[Difficult Parts]],Table8[Difficult Parts],Table8[Difficult Parts Factor],,0)</f>
        <v>1</v>
      </c>
      <c r="AI599">
        <f>_xlfn.XLOOKUP(Table1820[[#This Row],[High Theft Rate]],Table9[High Theft Rate],Table9[High Theft Rate Factor],,0)</f>
        <v>1</v>
      </c>
      <c r="AJ599">
        <f>_xlfn.XLOOKUP(Table1820[[#This Row],[Advanced Safety Features]],Table10[Advanced Safety Features],Table10[Advanced Safety Features Factor],,0)</f>
        <v>1</v>
      </c>
      <c r="AK599">
        <f>_xlfn.XLOOKUP(Table1820[[#This Row],[Deductible]],Table12[Deductible],Table12[Deductible Factor],,0)</f>
        <v>0.84</v>
      </c>
      <c r="AL599">
        <f>_xlfn.XLOOKUP(Table1820[[#This Row],[Coverage Limit]],Table13[Coverage Limit],Table13[Coverage Limit Factor],,0)</f>
        <v>1</v>
      </c>
      <c r="AM599">
        <f>IF(Table1820[[#This Row],[Good Student Discount]]="Yes",'Rate Book'!$D$126,1)</f>
        <v>1</v>
      </c>
      <c r="AN599">
        <f>IF(Table1820[[#This Row],[Good Driver Discount]]="Yes",'Rate Book'!$D$127,1)</f>
        <v>1</v>
      </c>
      <c r="AO599">
        <f>IF(Table1820[[#This Row],[Multi Policy Discount]]="Yes",'Rate Book'!$D$128,1)</f>
        <v>1</v>
      </c>
      <c r="AP599">
        <f>IF(Table1820[[#This Row],[Loyal Customer Discount]]="Yes",'Rate Book'!$D$129,1)</f>
        <v>1</v>
      </c>
      <c r="AQ599">
        <f>IF(Table1820[[#This Row],[Organization Discount]]="Yes",'Rate Book'!$D$130,1)</f>
        <v>1</v>
      </c>
      <c r="AR599" cm="1">
        <f t="array" ref="AR599">IF(Table1820[[#This Row],[Effective Date]]&gt;=RateChangeTable[Effective Date],RateChangeTable[Rate Change Factor],1)</f>
        <v>1</v>
      </c>
      <c r="AS599" s="10">
        <f>PRODUCT(Table1820[[#This Row],[Base Rate]:[Rate Change Factor]])</f>
        <v>1351.3514279731201</v>
      </c>
      <c r="AT599" s="9">
        <f>Table1820[[#This Row],[System-Generated Premium]]-Table1820[[#This Row],[Expected Premium]]</f>
        <v>0</v>
      </c>
      <c r="AU599" t="str">
        <f>IF(Table1820[[#This Row],[Difference]]=0,"PASS","FAIL")</f>
        <v>PASS</v>
      </c>
      <c r="AV599" s="9">
        <f>ABS(Table1820[[#This Row],[Difference]])</f>
        <v>0</v>
      </c>
      <c r="AW599" s="9" t="s">
        <v>1136</v>
      </c>
    </row>
    <row r="600" spans="1:49" x14ac:dyDescent="0.3">
      <c r="A600" t="s">
        <v>691</v>
      </c>
      <c r="B600" s="7">
        <v>45794</v>
      </c>
      <c r="C600" t="s">
        <v>73</v>
      </c>
      <c r="D600" t="s">
        <v>1099</v>
      </c>
      <c r="E600" s="3">
        <v>4</v>
      </c>
      <c r="F600" s="3">
        <v>3</v>
      </c>
      <c r="G600" t="s">
        <v>12</v>
      </c>
      <c r="H600" t="s">
        <v>1108</v>
      </c>
      <c r="I600" t="s">
        <v>33</v>
      </c>
      <c r="J600" t="s">
        <v>52</v>
      </c>
      <c r="K600" t="s">
        <v>10</v>
      </c>
      <c r="L600" t="s">
        <v>57</v>
      </c>
      <c r="M600" t="s">
        <v>10</v>
      </c>
      <c r="N600" t="s">
        <v>57</v>
      </c>
      <c r="O600" t="str">
        <f>INDEX(CoverageTable[Deductible Applies],MATCH(Table1820[[#This Row],[Coverage]],CoverageTable[Coverage],0))</f>
        <v>No</v>
      </c>
      <c r="P600" t="str">
        <f>INDEX(CoverageTable[Coverage Limit Applies],MATCH(Table1820[[#This Row],[Coverage]],CoverageTable[Coverage],0))</f>
        <v>Yes</v>
      </c>
      <c r="Q600" t="s">
        <v>10</v>
      </c>
      <c r="R600" t="s">
        <v>80</v>
      </c>
      <c r="S600" t="s">
        <v>10</v>
      </c>
      <c r="T600" t="s">
        <v>10</v>
      </c>
      <c r="U600" t="s">
        <v>10</v>
      </c>
      <c r="V600" t="s">
        <v>10</v>
      </c>
      <c r="W600" t="s">
        <v>57</v>
      </c>
      <c r="X600" s="11">
        <v>181.45657320080207</v>
      </c>
      <c r="Y600">
        <f>_xlfn.XLOOKUP(Table1820[[#This Row],[Coverage]],CoverageTable[Coverage],CoverageTable[Base Rate],,0)</f>
        <v>78</v>
      </c>
      <c r="Z600">
        <f>INDEX(Table16[Ageband Factor],MATCH(Table1820[[#This Row],[Ageband]],Table16[Ageband],0))</f>
        <v>1</v>
      </c>
      <c r="AA600">
        <f>VLOOKUP(Table1820[[#This Row],[Years Driving]],Table1[],2)</f>
        <v>1.1499999999999999</v>
      </c>
      <c r="AB600">
        <f>_xlfn.XLOOKUP(Table1820[[#This Row],[At Fault Accidents]],Table2[At Fault Accidents],Table2[At Fault Accident Factor],,0)</f>
        <v>1.82</v>
      </c>
      <c r="AC600">
        <f>_xlfn.XLOOKUP(Table1820[[#This Row],[Usage-Based Insurance]],Table3[Usage-Based Insurance],Table3[Usage-Based Insurance Discount],,0)</f>
        <v>0.8</v>
      </c>
      <c r="AD600">
        <f>_xlfn.XLOOKUP(Table1820[[#This Row],[Yearly Miles]],Table4[Yearly Miles],Table4[Yearly Miles Factor],,0)</f>
        <v>1</v>
      </c>
      <c r="AE600">
        <f>_xlfn.XLOOKUP(Table1820[[#This Row],[City/Zip Code]],Table5[City/Zip Code],Table5[City/Zip Code Factor],,0)</f>
        <v>1.02</v>
      </c>
      <c r="AF600">
        <f>_xlfn.XLOOKUP(Table1820[[#This Row],[Vehicle Price]],Table6[Vehicle Price],Table6[Vehicle Price Factor])</f>
        <v>1.57</v>
      </c>
      <c r="AG600">
        <f>_xlfn.XLOOKUP(Table1820[[#This Row],[Exotic Car]],Table7[Exotic Car],Table7[Exotic Car Factor],,0)</f>
        <v>1</v>
      </c>
      <c r="AH600">
        <f>_xlfn.XLOOKUP(Table1820[[#This Row],[Difficult Parts]],Table8[Difficult Parts],Table8[Difficult Parts Factor],,0)</f>
        <v>1.21</v>
      </c>
      <c r="AI600">
        <f>_xlfn.XLOOKUP(Table1820[[#This Row],[High Theft Rate]],Table9[High Theft Rate],Table9[High Theft Rate Factor],,0)</f>
        <v>1</v>
      </c>
      <c r="AJ600">
        <f>_xlfn.XLOOKUP(Table1820[[#This Row],[Advanced Safety Features]],Table10[Advanced Safety Features],Table10[Advanced Safety Features Factor],,0)</f>
        <v>0.88</v>
      </c>
      <c r="AK600">
        <f>_xlfn.XLOOKUP(Table1820[[#This Row],[Deductible]],Table12[Deductible],Table12[Deductible Factor],,0)</f>
        <v>1</v>
      </c>
      <c r="AL600">
        <f>_xlfn.XLOOKUP(Table1820[[#This Row],[Coverage Limit]],Table13[Coverage Limit],Table13[Coverage Limit Factor],,0)</f>
        <v>0.84</v>
      </c>
      <c r="AM600">
        <f>IF(Table1820[[#This Row],[Good Student Discount]]="Yes",'Rate Book'!$D$126,1)</f>
        <v>1</v>
      </c>
      <c r="AN600">
        <f>IF(Table1820[[#This Row],[Good Driver Discount]]="Yes",'Rate Book'!$D$127,1)</f>
        <v>1</v>
      </c>
      <c r="AO600">
        <f>IF(Table1820[[#This Row],[Multi Policy Discount]]="Yes",'Rate Book'!$D$128,1)</f>
        <v>1</v>
      </c>
      <c r="AP600">
        <f>IF(Table1820[[#This Row],[Loyal Customer Discount]]="Yes",'Rate Book'!$D$129,1)</f>
        <v>1</v>
      </c>
      <c r="AQ600">
        <f>IF(Table1820[[#This Row],[Organization Discount]]="Yes",'Rate Book'!$D$130,1)</f>
        <v>0.97</v>
      </c>
      <c r="AR600" cm="1">
        <f t="array" ref="AR600">IF(Table1820[[#This Row],[Effective Date]]&gt;=RateChangeTable[Effective Date],RateChangeTable[Rate Change Factor],1)</f>
        <v>1</v>
      </c>
      <c r="AS600" s="10">
        <f>PRODUCT(Table1820[[#This Row],[Base Rate]:[Rate Change Factor]])</f>
        <v>181.45657320080207</v>
      </c>
      <c r="AT600" s="9">
        <f>Table1820[[#This Row],[System-Generated Premium]]-Table1820[[#This Row],[Expected Premium]]</f>
        <v>0</v>
      </c>
      <c r="AU600" t="str">
        <f>IF(Table1820[[#This Row],[Difference]]=0,"PASS","FAIL")</f>
        <v>PASS</v>
      </c>
      <c r="AV600" s="9">
        <f>ABS(Table1820[[#This Row],[Difference]])</f>
        <v>0</v>
      </c>
      <c r="AW600" s="9" t="s">
        <v>1136</v>
      </c>
    </row>
    <row r="601" spans="1:49" x14ac:dyDescent="0.3">
      <c r="A601" t="s">
        <v>692</v>
      </c>
      <c r="B601" s="7">
        <v>46065</v>
      </c>
      <c r="C601" t="s">
        <v>71</v>
      </c>
      <c r="D601" t="s">
        <v>1101</v>
      </c>
      <c r="E601" s="3">
        <v>2</v>
      </c>
      <c r="F601" s="3">
        <v>0</v>
      </c>
      <c r="G601" t="s">
        <v>10</v>
      </c>
      <c r="H601" t="s">
        <v>1109</v>
      </c>
      <c r="I601" t="s">
        <v>33</v>
      </c>
      <c r="J601" t="s">
        <v>49</v>
      </c>
      <c r="K601" t="s">
        <v>10</v>
      </c>
      <c r="L601" t="s">
        <v>10</v>
      </c>
      <c r="M601" t="s">
        <v>10</v>
      </c>
      <c r="N601" t="s">
        <v>10</v>
      </c>
      <c r="O601" t="str">
        <f>INDEX(CoverageTable[Deductible Applies],MATCH(Table1820[[#This Row],[Coverage]],CoverageTable[Coverage],0))</f>
        <v>Yes</v>
      </c>
      <c r="P601" t="str">
        <f>INDEX(CoverageTable[Coverage Limit Applies],MATCH(Table1820[[#This Row],[Coverage]],CoverageTable[Coverage],0))</f>
        <v>No</v>
      </c>
      <c r="Q601" t="s">
        <v>78</v>
      </c>
      <c r="R601" t="s">
        <v>10</v>
      </c>
      <c r="S601" t="s">
        <v>10</v>
      </c>
      <c r="T601" t="s">
        <v>10</v>
      </c>
      <c r="U601" t="s">
        <v>10</v>
      </c>
      <c r="V601" t="s">
        <v>10</v>
      </c>
      <c r="W601" t="s">
        <v>10</v>
      </c>
      <c r="X601" s="11">
        <v>841.04400835405443</v>
      </c>
      <c r="Y601">
        <f>_xlfn.XLOOKUP(Table1820[[#This Row],[Coverage]],CoverageTable[Coverage],CoverageTable[Base Rate],,0)</f>
        <v>453</v>
      </c>
      <c r="Z601">
        <f>INDEX(Table16[Ageband Factor],MATCH(Table1820[[#This Row],[Ageband]],Table16[Ageband],0))</f>
        <v>1.1200000000000001</v>
      </c>
      <c r="AA601">
        <f>VLOOKUP(Table1820[[#This Row],[Years Driving]],Table1[],2)</f>
        <v>1.41</v>
      </c>
      <c r="AB601">
        <f>_xlfn.XLOOKUP(Table1820[[#This Row],[At Fault Accidents]],Table2[At Fault Accidents],Table2[At Fault Accident Factor],,0)</f>
        <v>1</v>
      </c>
      <c r="AC601">
        <f>_xlfn.XLOOKUP(Table1820[[#This Row],[Usage-Based Insurance]],Table3[Usage-Based Insurance],Table3[Usage-Based Insurance Discount],,0)</f>
        <v>1</v>
      </c>
      <c r="AD601">
        <f>_xlfn.XLOOKUP(Table1820[[#This Row],[Yearly Miles]],Table4[Yearly Miles],Table4[Yearly Miles Factor],,0)</f>
        <v>1.18</v>
      </c>
      <c r="AE601">
        <f>_xlfn.XLOOKUP(Table1820[[#This Row],[City/Zip Code]],Table5[City/Zip Code],Table5[City/Zip Code Factor],,0)</f>
        <v>1.02</v>
      </c>
      <c r="AF601">
        <f>_xlfn.XLOOKUP(Table1820[[#This Row],[Vehicle Price]],Table6[Vehicle Price],Table6[Vehicle Price Factor])</f>
        <v>0.97</v>
      </c>
      <c r="AG601">
        <f>_xlfn.XLOOKUP(Table1820[[#This Row],[Exotic Car]],Table7[Exotic Car],Table7[Exotic Car Factor],,0)</f>
        <v>1</v>
      </c>
      <c r="AH601">
        <f>_xlfn.XLOOKUP(Table1820[[#This Row],[Difficult Parts]],Table8[Difficult Parts],Table8[Difficult Parts Factor],,0)</f>
        <v>1</v>
      </c>
      <c r="AI601">
        <f>_xlfn.XLOOKUP(Table1820[[#This Row],[High Theft Rate]],Table9[High Theft Rate],Table9[High Theft Rate Factor],,0)</f>
        <v>1</v>
      </c>
      <c r="AJ601">
        <f>_xlfn.XLOOKUP(Table1820[[#This Row],[Advanced Safety Features]],Table10[Advanced Safety Features],Table10[Advanced Safety Features Factor],,0)</f>
        <v>1</v>
      </c>
      <c r="AK601">
        <f>_xlfn.XLOOKUP(Table1820[[#This Row],[Deductible]],Table12[Deductible],Table12[Deductible Factor],,0)</f>
        <v>0.95</v>
      </c>
      <c r="AL601">
        <f>_xlfn.XLOOKUP(Table1820[[#This Row],[Coverage Limit]],Table13[Coverage Limit],Table13[Coverage Limit Factor],,0)</f>
        <v>1</v>
      </c>
      <c r="AM601">
        <f>IF(Table1820[[#This Row],[Good Student Discount]]="Yes",'Rate Book'!$D$126,1)</f>
        <v>1</v>
      </c>
      <c r="AN601">
        <f>IF(Table1820[[#This Row],[Good Driver Discount]]="Yes",'Rate Book'!$D$127,1)</f>
        <v>1</v>
      </c>
      <c r="AO601">
        <f>IF(Table1820[[#This Row],[Multi Policy Discount]]="Yes",'Rate Book'!$D$128,1)</f>
        <v>1</v>
      </c>
      <c r="AP601">
        <f>IF(Table1820[[#This Row],[Loyal Customer Discount]]="Yes",'Rate Book'!$D$129,1)</f>
        <v>1</v>
      </c>
      <c r="AQ601">
        <f>IF(Table1820[[#This Row],[Organization Discount]]="Yes",'Rate Book'!$D$130,1)</f>
        <v>1</v>
      </c>
      <c r="AR601" cm="1">
        <f t="array" ref="AR601">IF(Table1820[[#This Row],[Effective Date]]&gt;=RateChangeTable[Effective Date],RateChangeTable[Rate Change Factor],1)</f>
        <v>1.06</v>
      </c>
      <c r="AS601" s="10">
        <f>PRODUCT(Table1820[[#This Row],[Base Rate]:[Rate Change Factor]])</f>
        <v>841.04400835405443</v>
      </c>
      <c r="AT601" s="9">
        <f>Table1820[[#This Row],[System-Generated Premium]]-Table1820[[#This Row],[Expected Premium]]</f>
        <v>0</v>
      </c>
      <c r="AU601" t="str">
        <f>IF(Table1820[[#This Row],[Difference]]=0,"PASS","FAIL")</f>
        <v>PASS</v>
      </c>
      <c r="AV601" s="9">
        <f>ABS(Table1820[[#This Row],[Difference]])</f>
        <v>0</v>
      </c>
      <c r="AW601" s="9" t="s">
        <v>1136</v>
      </c>
    </row>
    <row r="602" spans="1:49" x14ac:dyDescent="0.3">
      <c r="A602" t="s">
        <v>693</v>
      </c>
      <c r="B602" s="7">
        <v>46026</v>
      </c>
      <c r="C602" t="s">
        <v>74</v>
      </c>
      <c r="D602" t="s">
        <v>1101</v>
      </c>
      <c r="E602" s="3">
        <v>6</v>
      </c>
      <c r="F602" s="3" t="s">
        <v>7</v>
      </c>
      <c r="G602" t="s">
        <v>12</v>
      </c>
      <c r="H602" t="s">
        <v>1108</v>
      </c>
      <c r="I602" t="s">
        <v>28</v>
      </c>
      <c r="J602" t="s">
        <v>51</v>
      </c>
      <c r="K602" t="s">
        <v>10</v>
      </c>
      <c r="L602" t="s">
        <v>10</v>
      </c>
      <c r="M602" t="s">
        <v>10</v>
      </c>
      <c r="N602" t="s">
        <v>57</v>
      </c>
      <c r="O602" t="str">
        <f>INDEX(CoverageTable[Deductible Applies],MATCH(Table1820[[#This Row],[Coverage]],CoverageTable[Coverage],0))</f>
        <v>No</v>
      </c>
      <c r="P602" t="str">
        <f>INDEX(CoverageTable[Coverage Limit Applies],MATCH(Table1820[[#This Row],[Coverage]],CoverageTable[Coverage],0))</f>
        <v>Yes</v>
      </c>
      <c r="Q602" t="s">
        <v>10</v>
      </c>
      <c r="R602" t="s">
        <v>79</v>
      </c>
      <c r="S602" t="s">
        <v>57</v>
      </c>
      <c r="T602" t="s">
        <v>10</v>
      </c>
      <c r="U602" t="s">
        <v>10</v>
      </c>
      <c r="V602" t="s">
        <v>10</v>
      </c>
      <c r="W602" t="s">
        <v>57</v>
      </c>
      <c r="X602" s="11">
        <v>66.130680243969593</v>
      </c>
      <c r="Y602">
        <f>_xlfn.XLOOKUP(Table1820[[#This Row],[Coverage]],CoverageTable[Coverage],CoverageTable[Base Rate],,0)</f>
        <v>41</v>
      </c>
      <c r="Z602">
        <f>INDEX(Table16[Ageband Factor],MATCH(Table1820[[#This Row],[Ageband]],Table16[Ageband],0))</f>
        <v>1.1200000000000001</v>
      </c>
      <c r="AA602">
        <f>VLOOKUP(Table1820[[#This Row],[Years Driving]],Table1[],2)</f>
        <v>1</v>
      </c>
      <c r="AB602">
        <f>_xlfn.XLOOKUP(Table1820[[#This Row],[At Fault Accidents]],Table2[At Fault Accidents],Table2[At Fault Accident Factor],,0)</f>
        <v>2.4700000000000002</v>
      </c>
      <c r="AC602">
        <f>_xlfn.XLOOKUP(Table1820[[#This Row],[Usage-Based Insurance]],Table3[Usage-Based Insurance],Table3[Usage-Based Insurance Discount],,0)</f>
        <v>0.8</v>
      </c>
      <c r="AD602">
        <f>_xlfn.XLOOKUP(Table1820[[#This Row],[Yearly Miles]],Table4[Yearly Miles],Table4[Yearly Miles Factor],,0)</f>
        <v>1</v>
      </c>
      <c r="AE602">
        <f>_xlfn.XLOOKUP(Table1820[[#This Row],[City/Zip Code]],Table5[City/Zip Code],Table5[City/Zip Code Factor],,0)</f>
        <v>0.95</v>
      </c>
      <c r="AF602">
        <f>_xlfn.XLOOKUP(Table1820[[#This Row],[Vehicle Price]],Table6[Vehicle Price],Table6[Vehicle Price Factor])</f>
        <v>1.28</v>
      </c>
      <c r="AG602">
        <f>_xlfn.XLOOKUP(Table1820[[#This Row],[Exotic Car]],Table7[Exotic Car],Table7[Exotic Car Factor],,0)</f>
        <v>1</v>
      </c>
      <c r="AH602">
        <f>_xlfn.XLOOKUP(Table1820[[#This Row],[Difficult Parts]],Table8[Difficult Parts],Table8[Difficult Parts Factor],,0)</f>
        <v>1</v>
      </c>
      <c r="AI602">
        <f>_xlfn.XLOOKUP(Table1820[[#This Row],[High Theft Rate]],Table9[High Theft Rate],Table9[High Theft Rate Factor],,0)</f>
        <v>1</v>
      </c>
      <c r="AJ602">
        <f>_xlfn.XLOOKUP(Table1820[[#This Row],[Advanced Safety Features]],Table10[Advanced Safety Features],Table10[Advanced Safety Features Factor],,0)</f>
        <v>0.88</v>
      </c>
      <c r="AK602">
        <f>_xlfn.XLOOKUP(Table1820[[#This Row],[Deductible]],Table12[Deductible],Table12[Deductible Factor],,0)</f>
        <v>1</v>
      </c>
      <c r="AL602">
        <f>_xlfn.XLOOKUP(Table1820[[#This Row],[Coverage Limit]],Table13[Coverage Limit],Table13[Coverage Limit Factor],,0)</f>
        <v>0.72</v>
      </c>
      <c r="AM602">
        <f>IF(Table1820[[#This Row],[Good Student Discount]]="Yes",'Rate Book'!$D$126,1)</f>
        <v>0.92</v>
      </c>
      <c r="AN602">
        <f>IF(Table1820[[#This Row],[Good Driver Discount]]="Yes",'Rate Book'!$D$127,1)</f>
        <v>1</v>
      </c>
      <c r="AO602">
        <f>IF(Table1820[[#This Row],[Multi Policy Discount]]="Yes",'Rate Book'!$D$128,1)</f>
        <v>1</v>
      </c>
      <c r="AP602">
        <f>IF(Table1820[[#This Row],[Loyal Customer Discount]]="Yes",'Rate Book'!$D$129,1)</f>
        <v>1</v>
      </c>
      <c r="AQ602">
        <f>IF(Table1820[[#This Row],[Organization Discount]]="Yes",'Rate Book'!$D$130,1)</f>
        <v>0.97</v>
      </c>
      <c r="AR602" cm="1">
        <f t="array" ref="AR602">IF(Table1820[[#This Row],[Effective Date]]&gt;=RateChangeTable[Effective Date],RateChangeTable[Rate Change Factor],1)</f>
        <v>1.06</v>
      </c>
      <c r="AS602" s="10">
        <f>PRODUCT(Table1820[[#This Row],[Base Rate]:[Rate Change Factor]])</f>
        <v>66.130680243969593</v>
      </c>
      <c r="AT602" s="9">
        <f>Table1820[[#This Row],[System-Generated Premium]]-Table1820[[#This Row],[Expected Premium]]</f>
        <v>0</v>
      </c>
      <c r="AU602" t="str">
        <f>IF(Table1820[[#This Row],[Difference]]=0,"PASS","FAIL")</f>
        <v>PASS</v>
      </c>
      <c r="AV602" s="9">
        <f>ABS(Table1820[[#This Row],[Difference]])</f>
        <v>0</v>
      </c>
      <c r="AW602" s="9" t="s">
        <v>1136</v>
      </c>
    </row>
    <row r="603" spans="1:49" x14ac:dyDescent="0.3">
      <c r="A603" t="s">
        <v>694</v>
      </c>
      <c r="B603" s="7">
        <v>46084</v>
      </c>
      <c r="C603" t="s">
        <v>71</v>
      </c>
      <c r="D603" t="s">
        <v>1097</v>
      </c>
      <c r="E603" s="3" t="s">
        <v>1103</v>
      </c>
      <c r="F603" s="3">
        <v>4</v>
      </c>
      <c r="G603" t="s">
        <v>10</v>
      </c>
      <c r="H603" t="s">
        <v>1108</v>
      </c>
      <c r="I603" t="s">
        <v>42</v>
      </c>
      <c r="J603" t="s">
        <v>54</v>
      </c>
      <c r="K603" t="s">
        <v>10</v>
      </c>
      <c r="L603" t="s">
        <v>10</v>
      </c>
      <c r="M603" t="s">
        <v>10</v>
      </c>
      <c r="N603" t="s">
        <v>10</v>
      </c>
      <c r="O603" t="str">
        <f>INDEX(CoverageTable[Deductible Applies],MATCH(Table1820[[#This Row],[Coverage]],CoverageTable[Coverage],0))</f>
        <v>Yes</v>
      </c>
      <c r="P603" t="str">
        <f>INDEX(CoverageTable[Coverage Limit Applies],MATCH(Table1820[[#This Row],[Coverage]],CoverageTable[Coverage],0))</f>
        <v>No</v>
      </c>
      <c r="Q603" t="s">
        <v>80</v>
      </c>
      <c r="R603" t="s">
        <v>10</v>
      </c>
      <c r="S603" t="s">
        <v>10</v>
      </c>
      <c r="T603" t="s">
        <v>10</v>
      </c>
      <c r="U603" t="s">
        <v>10</v>
      </c>
      <c r="V603" t="s">
        <v>10</v>
      </c>
      <c r="W603" t="s">
        <v>10</v>
      </c>
      <c r="X603" s="11">
        <v>3124.6154183289837</v>
      </c>
      <c r="Y603">
        <f>_xlfn.XLOOKUP(Table1820[[#This Row],[Coverage]],CoverageTable[Coverage],CoverageTable[Base Rate],,0)</f>
        <v>453</v>
      </c>
      <c r="Z603">
        <f>INDEX(Table16[Ageband Factor],MATCH(Table1820[[#This Row],[Ageband]],Table16[Ageband],0))</f>
        <v>1.32</v>
      </c>
      <c r="AA603">
        <f>VLOOKUP(Table1820[[#This Row],[Years Driving]],Table1[],2)</f>
        <v>0.93</v>
      </c>
      <c r="AB603">
        <f>_xlfn.XLOOKUP(Table1820[[#This Row],[At Fault Accidents]],Table2[At Fault Accidents],Table2[At Fault Accident Factor],,0)</f>
        <v>2.12</v>
      </c>
      <c r="AC603">
        <f>_xlfn.XLOOKUP(Table1820[[#This Row],[Usage-Based Insurance]],Table3[Usage-Based Insurance],Table3[Usage-Based Insurance Discount],,0)</f>
        <v>1</v>
      </c>
      <c r="AD603">
        <f>_xlfn.XLOOKUP(Table1820[[#This Row],[Yearly Miles]],Table4[Yearly Miles],Table4[Yearly Miles Factor],,0)</f>
        <v>1</v>
      </c>
      <c r="AE603">
        <f>_xlfn.XLOOKUP(Table1820[[#This Row],[City/Zip Code]],Table5[City/Zip Code],Table5[City/Zip Code Factor],,0)</f>
        <v>1.21</v>
      </c>
      <c r="AF603">
        <f>_xlfn.XLOOKUP(Table1820[[#This Row],[Vehicle Price]],Table6[Vehicle Price],Table6[Vehicle Price Factor])</f>
        <v>2.87</v>
      </c>
      <c r="AG603">
        <f>_xlfn.XLOOKUP(Table1820[[#This Row],[Exotic Car]],Table7[Exotic Car],Table7[Exotic Car Factor],,0)</f>
        <v>1</v>
      </c>
      <c r="AH603">
        <f>_xlfn.XLOOKUP(Table1820[[#This Row],[Difficult Parts]],Table8[Difficult Parts],Table8[Difficult Parts Factor],,0)</f>
        <v>1</v>
      </c>
      <c r="AI603">
        <f>_xlfn.XLOOKUP(Table1820[[#This Row],[High Theft Rate]],Table9[High Theft Rate],Table9[High Theft Rate Factor],,0)</f>
        <v>1</v>
      </c>
      <c r="AJ603">
        <f>_xlfn.XLOOKUP(Table1820[[#This Row],[Advanced Safety Features]],Table10[Advanced Safety Features],Table10[Advanced Safety Features Factor],,0)</f>
        <v>1</v>
      </c>
      <c r="AK603">
        <f>_xlfn.XLOOKUP(Table1820[[#This Row],[Deductible]],Table12[Deductible],Table12[Deductible Factor],,0)</f>
        <v>0.72</v>
      </c>
      <c r="AL603">
        <f>_xlfn.XLOOKUP(Table1820[[#This Row],[Coverage Limit]],Table13[Coverage Limit],Table13[Coverage Limit Factor],,0)</f>
        <v>1</v>
      </c>
      <c r="AM603">
        <f>IF(Table1820[[#This Row],[Good Student Discount]]="Yes",'Rate Book'!$D$126,1)</f>
        <v>1</v>
      </c>
      <c r="AN603">
        <f>IF(Table1820[[#This Row],[Good Driver Discount]]="Yes",'Rate Book'!$D$127,1)</f>
        <v>1</v>
      </c>
      <c r="AO603">
        <f>IF(Table1820[[#This Row],[Multi Policy Discount]]="Yes",'Rate Book'!$D$128,1)</f>
        <v>1</v>
      </c>
      <c r="AP603">
        <f>IF(Table1820[[#This Row],[Loyal Customer Discount]]="Yes",'Rate Book'!$D$129,1)</f>
        <v>1</v>
      </c>
      <c r="AQ603">
        <f>IF(Table1820[[#This Row],[Organization Discount]]="Yes",'Rate Book'!$D$130,1)</f>
        <v>1</v>
      </c>
      <c r="AR603" cm="1">
        <f t="array" ref="AR603">IF(Table1820[[#This Row],[Effective Date]]&gt;=RateChangeTable[Effective Date],RateChangeTable[Rate Change Factor],1)</f>
        <v>1.06</v>
      </c>
      <c r="AS603" s="10">
        <f>PRODUCT(Table1820[[#This Row],[Base Rate]:[Rate Change Factor]])</f>
        <v>3124.6154183289837</v>
      </c>
      <c r="AT603" s="9">
        <f>Table1820[[#This Row],[System-Generated Premium]]-Table1820[[#This Row],[Expected Premium]]</f>
        <v>0</v>
      </c>
      <c r="AU603" t="str">
        <f>IF(Table1820[[#This Row],[Difference]]=0,"PASS","FAIL")</f>
        <v>PASS</v>
      </c>
      <c r="AV603" s="9">
        <f>ABS(Table1820[[#This Row],[Difference]])</f>
        <v>0</v>
      </c>
      <c r="AW603" s="9" t="s">
        <v>1136</v>
      </c>
    </row>
    <row r="604" spans="1:49" x14ac:dyDescent="0.3">
      <c r="A604" t="s">
        <v>695</v>
      </c>
      <c r="B604" s="7">
        <v>45825</v>
      </c>
      <c r="C604" t="s">
        <v>73</v>
      </c>
      <c r="D604" t="s">
        <v>1099</v>
      </c>
      <c r="E604" s="3" t="s">
        <v>1103</v>
      </c>
      <c r="F604" s="3" t="s">
        <v>7</v>
      </c>
      <c r="G604" t="s">
        <v>11</v>
      </c>
      <c r="H604" t="s">
        <v>1107</v>
      </c>
      <c r="I604" t="s">
        <v>38</v>
      </c>
      <c r="J604" t="s">
        <v>52</v>
      </c>
      <c r="K604" t="s">
        <v>10</v>
      </c>
      <c r="L604" t="s">
        <v>10</v>
      </c>
      <c r="M604" t="s">
        <v>10</v>
      </c>
      <c r="N604" t="s">
        <v>10</v>
      </c>
      <c r="O604" t="str">
        <f>INDEX(CoverageTable[Deductible Applies],MATCH(Table1820[[#This Row],[Coverage]],CoverageTable[Coverage],0))</f>
        <v>No</v>
      </c>
      <c r="P604" t="str">
        <f>INDEX(CoverageTable[Coverage Limit Applies],MATCH(Table1820[[#This Row],[Coverage]],CoverageTable[Coverage],0))</f>
        <v>Yes</v>
      </c>
      <c r="Q604" t="s">
        <v>10</v>
      </c>
      <c r="R604" t="s">
        <v>79</v>
      </c>
      <c r="S604" t="s">
        <v>10</v>
      </c>
      <c r="T604" t="s">
        <v>10</v>
      </c>
      <c r="U604" t="s">
        <v>57</v>
      </c>
      <c r="V604" t="s">
        <v>10</v>
      </c>
      <c r="W604" t="s">
        <v>10</v>
      </c>
      <c r="X604" s="11">
        <v>186.38638209130869</v>
      </c>
      <c r="Y604">
        <f>_xlfn.XLOOKUP(Table1820[[#This Row],[Coverage]],CoverageTable[Coverage],CoverageTable[Base Rate],,0)</f>
        <v>78</v>
      </c>
      <c r="Z604">
        <f>INDEX(Table16[Ageband Factor],MATCH(Table1820[[#This Row],[Ageband]],Table16[Ageband],0))</f>
        <v>1</v>
      </c>
      <c r="AA604">
        <f>VLOOKUP(Table1820[[#This Row],[Years Driving]],Table1[],2)</f>
        <v>0.93</v>
      </c>
      <c r="AB604">
        <f>_xlfn.XLOOKUP(Table1820[[#This Row],[At Fault Accidents]],Table2[At Fault Accidents],Table2[At Fault Accident Factor],,0)</f>
        <v>2.4700000000000002</v>
      </c>
      <c r="AC604">
        <f>_xlfn.XLOOKUP(Table1820[[#This Row],[Usage-Based Insurance]],Table3[Usage-Based Insurance],Table3[Usage-Based Insurance Discount],,0)</f>
        <v>0.95</v>
      </c>
      <c r="AD604">
        <f>_xlfn.XLOOKUP(Table1820[[#This Row],[Yearly Miles]],Table4[Yearly Miles],Table4[Yearly Miles Factor],,0)</f>
        <v>0.93</v>
      </c>
      <c r="AE604">
        <f>_xlfn.XLOOKUP(Table1820[[#This Row],[City/Zip Code]],Table5[City/Zip Code],Table5[City/Zip Code Factor],,0)</f>
        <v>1.1200000000000001</v>
      </c>
      <c r="AF604">
        <f>_xlfn.XLOOKUP(Table1820[[#This Row],[Vehicle Price]],Table6[Vehicle Price],Table6[Vehicle Price Factor])</f>
        <v>1.57</v>
      </c>
      <c r="AG604">
        <f>_xlfn.XLOOKUP(Table1820[[#This Row],[Exotic Car]],Table7[Exotic Car],Table7[Exotic Car Factor],,0)</f>
        <v>1</v>
      </c>
      <c r="AH604">
        <f>_xlfn.XLOOKUP(Table1820[[#This Row],[Difficult Parts]],Table8[Difficult Parts],Table8[Difficult Parts Factor],,0)</f>
        <v>1</v>
      </c>
      <c r="AI604">
        <f>_xlfn.XLOOKUP(Table1820[[#This Row],[High Theft Rate]],Table9[High Theft Rate],Table9[High Theft Rate Factor],,0)</f>
        <v>1</v>
      </c>
      <c r="AJ604">
        <f>_xlfn.XLOOKUP(Table1820[[#This Row],[Advanced Safety Features]],Table10[Advanced Safety Features],Table10[Advanced Safety Features Factor],,0)</f>
        <v>1</v>
      </c>
      <c r="AK604">
        <f>_xlfn.XLOOKUP(Table1820[[#This Row],[Deductible]],Table12[Deductible],Table12[Deductible Factor],,0)</f>
        <v>1</v>
      </c>
      <c r="AL604">
        <f>_xlfn.XLOOKUP(Table1820[[#This Row],[Coverage Limit]],Table13[Coverage Limit],Table13[Coverage Limit Factor],,0)</f>
        <v>0.72</v>
      </c>
      <c r="AM604">
        <f>IF(Table1820[[#This Row],[Good Student Discount]]="Yes",'Rate Book'!$D$126,1)</f>
        <v>1</v>
      </c>
      <c r="AN604">
        <f>IF(Table1820[[#This Row],[Good Driver Discount]]="Yes",'Rate Book'!$D$127,1)</f>
        <v>1</v>
      </c>
      <c r="AO604">
        <f>IF(Table1820[[#This Row],[Multi Policy Discount]]="Yes",'Rate Book'!$D$128,1)</f>
        <v>0.93</v>
      </c>
      <c r="AP604">
        <f>IF(Table1820[[#This Row],[Loyal Customer Discount]]="Yes",'Rate Book'!$D$129,1)</f>
        <v>1</v>
      </c>
      <c r="AQ604">
        <f>IF(Table1820[[#This Row],[Organization Discount]]="Yes",'Rate Book'!$D$130,1)</f>
        <v>1</v>
      </c>
      <c r="AR604" cm="1">
        <f t="array" ref="AR604">IF(Table1820[[#This Row],[Effective Date]]&gt;=RateChangeTable[Effective Date],RateChangeTable[Rate Change Factor],1)</f>
        <v>1</v>
      </c>
      <c r="AS604" s="10">
        <f>PRODUCT(Table1820[[#This Row],[Base Rate]:[Rate Change Factor]])</f>
        <v>186.38638209130869</v>
      </c>
      <c r="AT604" s="9">
        <f>Table1820[[#This Row],[System-Generated Premium]]-Table1820[[#This Row],[Expected Premium]]</f>
        <v>0</v>
      </c>
      <c r="AU604" t="str">
        <f>IF(Table1820[[#This Row],[Difference]]=0,"PASS","FAIL")</f>
        <v>PASS</v>
      </c>
      <c r="AV604" s="9">
        <f>ABS(Table1820[[#This Row],[Difference]])</f>
        <v>0</v>
      </c>
      <c r="AW604" s="9" t="s">
        <v>1136</v>
      </c>
    </row>
    <row r="605" spans="1:49" x14ac:dyDescent="0.3">
      <c r="A605" t="s">
        <v>696</v>
      </c>
      <c r="B605" s="7">
        <v>45807</v>
      </c>
      <c r="C605" t="s">
        <v>70</v>
      </c>
      <c r="D605" t="s">
        <v>1098</v>
      </c>
      <c r="E605" s="3">
        <v>2</v>
      </c>
      <c r="F605" s="3">
        <v>0</v>
      </c>
      <c r="G605" t="s">
        <v>11</v>
      </c>
      <c r="H605" t="s">
        <v>1109</v>
      </c>
      <c r="I605" t="s">
        <v>44</v>
      </c>
      <c r="J605" t="s">
        <v>51</v>
      </c>
      <c r="K605" t="s">
        <v>10</v>
      </c>
      <c r="L605" t="s">
        <v>10</v>
      </c>
      <c r="M605" t="s">
        <v>10</v>
      </c>
      <c r="N605" t="s">
        <v>57</v>
      </c>
      <c r="O605" t="str">
        <f>INDEX(CoverageTable[Deductible Applies],MATCH(Table1820[[#This Row],[Coverage]],CoverageTable[Coverage],0))</f>
        <v>No</v>
      </c>
      <c r="P605" t="str">
        <f>INDEX(CoverageTable[Coverage Limit Applies],MATCH(Table1820[[#This Row],[Coverage]],CoverageTable[Coverage],0))</f>
        <v>Yes</v>
      </c>
      <c r="Q605" t="s">
        <v>10</v>
      </c>
      <c r="R605" t="s">
        <v>79</v>
      </c>
      <c r="S605" t="s">
        <v>10</v>
      </c>
      <c r="T605" t="s">
        <v>10</v>
      </c>
      <c r="U605" t="s">
        <v>10</v>
      </c>
      <c r="V605" t="s">
        <v>10</v>
      </c>
      <c r="W605" t="s">
        <v>10</v>
      </c>
      <c r="X605" s="11">
        <v>1137.6360580804112</v>
      </c>
      <c r="Y605">
        <f>_xlfn.XLOOKUP(Table1820[[#This Row],[Coverage]],CoverageTable[Coverage],CoverageTable[Base Rate],,0)</f>
        <v>622</v>
      </c>
      <c r="Z605">
        <f>INDEX(Table16[Ageband Factor],MATCH(Table1820[[#This Row],[Ageband]],Table16[Ageband],0))</f>
        <v>1.23</v>
      </c>
      <c r="AA605">
        <f>VLOOKUP(Table1820[[#This Row],[Years Driving]],Table1[],2)</f>
        <v>1.41</v>
      </c>
      <c r="AB605">
        <f>_xlfn.XLOOKUP(Table1820[[#This Row],[At Fault Accidents]],Table2[At Fault Accidents],Table2[At Fault Accident Factor],,0)</f>
        <v>1</v>
      </c>
      <c r="AC605">
        <f>_xlfn.XLOOKUP(Table1820[[#This Row],[Usage-Based Insurance]],Table3[Usage-Based Insurance],Table3[Usage-Based Insurance Discount],,0)</f>
        <v>0.95</v>
      </c>
      <c r="AD605">
        <f>_xlfn.XLOOKUP(Table1820[[#This Row],[Yearly Miles]],Table4[Yearly Miles],Table4[Yearly Miles Factor],,0)</f>
        <v>1.18</v>
      </c>
      <c r="AE605">
        <f>_xlfn.XLOOKUP(Table1820[[#This Row],[City/Zip Code]],Table5[City/Zip Code],Table5[City/Zip Code Factor],,0)</f>
        <v>1.1599999999999999</v>
      </c>
      <c r="AF605">
        <f>_xlfn.XLOOKUP(Table1820[[#This Row],[Vehicle Price]],Table6[Vehicle Price],Table6[Vehicle Price Factor])</f>
        <v>1.28</v>
      </c>
      <c r="AG605">
        <f>_xlfn.XLOOKUP(Table1820[[#This Row],[Exotic Car]],Table7[Exotic Car],Table7[Exotic Car Factor],,0)</f>
        <v>1</v>
      </c>
      <c r="AH605">
        <f>_xlfn.XLOOKUP(Table1820[[#This Row],[Difficult Parts]],Table8[Difficult Parts],Table8[Difficult Parts Factor],,0)</f>
        <v>1</v>
      </c>
      <c r="AI605">
        <f>_xlfn.XLOOKUP(Table1820[[#This Row],[High Theft Rate]],Table9[High Theft Rate],Table9[High Theft Rate Factor],,0)</f>
        <v>1</v>
      </c>
      <c r="AJ605">
        <f>_xlfn.XLOOKUP(Table1820[[#This Row],[Advanced Safety Features]],Table10[Advanced Safety Features],Table10[Advanced Safety Features Factor],,0)</f>
        <v>0.88</v>
      </c>
      <c r="AK605">
        <f>_xlfn.XLOOKUP(Table1820[[#This Row],[Deductible]],Table12[Deductible],Table12[Deductible Factor],,0)</f>
        <v>1</v>
      </c>
      <c r="AL605">
        <f>_xlfn.XLOOKUP(Table1820[[#This Row],[Coverage Limit]],Table13[Coverage Limit],Table13[Coverage Limit Factor],,0)</f>
        <v>0.72</v>
      </c>
      <c r="AM605">
        <f>IF(Table1820[[#This Row],[Good Student Discount]]="Yes",'Rate Book'!$D$126,1)</f>
        <v>1</v>
      </c>
      <c r="AN605">
        <f>IF(Table1820[[#This Row],[Good Driver Discount]]="Yes",'Rate Book'!$D$127,1)</f>
        <v>1</v>
      </c>
      <c r="AO605">
        <f>IF(Table1820[[#This Row],[Multi Policy Discount]]="Yes",'Rate Book'!$D$128,1)</f>
        <v>1</v>
      </c>
      <c r="AP605">
        <f>IF(Table1820[[#This Row],[Loyal Customer Discount]]="Yes",'Rate Book'!$D$129,1)</f>
        <v>1</v>
      </c>
      <c r="AQ605">
        <f>IF(Table1820[[#This Row],[Organization Discount]]="Yes",'Rate Book'!$D$130,1)</f>
        <v>1</v>
      </c>
      <c r="AR605" cm="1">
        <f t="array" ref="AR605">IF(Table1820[[#This Row],[Effective Date]]&gt;=RateChangeTable[Effective Date],RateChangeTable[Rate Change Factor],1)</f>
        <v>1</v>
      </c>
      <c r="AS605" s="10">
        <f>PRODUCT(Table1820[[#This Row],[Base Rate]:[Rate Change Factor]])</f>
        <v>1137.6360580804112</v>
      </c>
      <c r="AT605" s="9">
        <f>Table1820[[#This Row],[System-Generated Premium]]-Table1820[[#This Row],[Expected Premium]]</f>
        <v>0</v>
      </c>
      <c r="AU605" t="str">
        <f>IF(Table1820[[#This Row],[Difference]]=0,"PASS","FAIL")</f>
        <v>PASS</v>
      </c>
      <c r="AV605" s="9">
        <f>ABS(Table1820[[#This Row],[Difference]])</f>
        <v>0</v>
      </c>
      <c r="AW605" s="9" t="s">
        <v>1136</v>
      </c>
    </row>
    <row r="606" spans="1:49" x14ac:dyDescent="0.3">
      <c r="A606" t="s">
        <v>697</v>
      </c>
      <c r="B606" s="7">
        <v>45999</v>
      </c>
      <c r="C606" t="s">
        <v>72</v>
      </c>
      <c r="D606" t="s">
        <v>1097</v>
      </c>
      <c r="E606" s="3">
        <v>5</v>
      </c>
      <c r="F606" s="3">
        <v>3</v>
      </c>
      <c r="G606" t="s">
        <v>11</v>
      </c>
      <c r="H606" t="s">
        <v>1110</v>
      </c>
      <c r="I606" t="s">
        <v>41</v>
      </c>
      <c r="J606" t="s">
        <v>49</v>
      </c>
      <c r="K606" t="s">
        <v>10</v>
      </c>
      <c r="L606" t="s">
        <v>10</v>
      </c>
      <c r="M606" t="s">
        <v>57</v>
      </c>
      <c r="N606" t="s">
        <v>10</v>
      </c>
      <c r="O606" t="str">
        <f>INDEX(CoverageTable[Deductible Applies],MATCH(Table1820[[#This Row],[Coverage]],CoverageTable[Coverage],0))</f>
        <v>Yes</v>
      </c>
      <c r="P606" t="str">
        <f>INDEX(CoverageTable[Coverage Limit Applies],MATCH(Table1820[[#This Row],[Coverage]],CoverageTable[Coverage],0))</f>
        <v>No</v>
      </c>
      <c r="Q606" t="s">
        <v>80</v>
      </c>
      <c r="R606" t="s">
        <v>10</v>
      </c>
      <c r="S606" t="s">
        <v>57</v>
      </c>
      <c r="T606" t="s">
        <v>10</v>
      </c>
      <c r="U606" t="s">
        <v>10</v>
      </c>
      <c r="V606" t="s">
        <v>57</v>
      </c>
      <c r="W606" t="s">
        <v>10</v>
      </c>
      <c r="X606" s="11">
        <v>311.87826486705814</v>
      </c>
      <c r="Y606">
        <f>_xlfn.XLOOKUP(Table1820[[#This Row],[Coverage]],CoverageTable[Coverage],CoverageTable[Base Rate],,0)</f>
        <v>121</v>
      </c>
      <c r="Z606">
        <f>INDEX(Table16[Ageband Factor],MATCH(Table1820[[#This Row],[Ageband]],Table16[Ageband],0))</f>
        <v>1.32</v>
      </c>
      <c r="AA606">
        <f>VLOOKUP(Table1820[[#This Row],[Years Driving]],Table1[],2)</f>
        <v>1.07</v>
      </c>
      <c r="AB606">
        <f>_xlfn.XLOOKUP(Table1820[[#This Row],[At Fault Accidents]],Table2[At Fault Accidents],Table2[At Fault Accident Factor],,0)</f>
        <v>1.82</v>
      </c>
      <c r="AC606">
        <f>_xlfn.XLOOKUP(Table1820[[#This Row],[Usage-Based Insurance]],Table3[Usage-Based Insurance],Table3[Usage-Based Insurance Discount],,0)</f>
        <v>0.95</v>
      </c>
      <c r="AD606">
        <f>_xlfn.XLOOKUP(Table1820[[#This Row],[Yearly Miles]],Table4[Yearly Miles],Table4[Yearly Miles Factor],,0)</f>
        <v>1.31</v>
      </c>
      <c r="AE606">
        <f>_xlfn.XLOOKUP(Table1820[[#This Row],[City/Zip Code]],Table5[City/Zip Code],Table5[City/Zip Code Factor],,0)</f>
        <v>1.1499999999999999</v>
      </c>
      <c r="AF606">
        <f>_xlfn.XLOOKUP(Table1820[[#This Row],[Vehicle Price]],Table6[Vehicle Price],Table6[Vehicle Price Factor])</f>
        <v>0.97</v>
      </c>
      <c r="AG606">
        <f>_xlfn.XLOOKUP(Table1820[[#This Row],[Exotic Car]],Table7[Exotic Car],Table7[Exotic Car Factor],,0)</f>
        <v>1</v>
      </c>
      <c r="AH606">
        <f>_xlfn.XLOOKUP(Table1820[[#This Row],[Difficult Parts]],Table8[Difficult Parts],Table8[Difficult Parts Factor],,0)</f>
        <v>1</v>
      </c>
      <c r="AI606">
        <f>_xlfn.XLOOKUP(Table1820[[#This Row],[High Theft Rate]],Table9[High Theft Rate],Table9[High Theft Rate Factor],,0)</f>
        <v>1.1599999999999999</v>
      </c>
      <c r="AJ606">
        <f>_xlfn.XLOOKUP(Table1820[[#This Row],[Advanced Safety Features]],Table10[Advanced Safety Features],Table10[Advanced Safety Features Factor],,0)</f>
        <v>1</v>
      </c>
      <c r="AK606">
        <f>_xlfn.XLOOKUP(Table1820[[#This Row],[Deductible]],Table12[Deductible],Table12[Deductible Factor],,0)</f>
        <v>0.72</v>
      </c>
      <c r="AL606">
        <f>_xlfn.XLOOKUP(Table1820[[#This Row],[Coverage Limit]],Table13[Coverage Limit],Table13[Coverage Limit Factor],,0)</f>
        <v>1</v>
      </c>
      <c r="AM606">
        <f>IF(Table1820[[#This Row],[Good Student Discount]]="Yes",'Rate Book'!$D$126,1)</f>
        <v>0.92</v>
      </c>
      <c r="AN606">
        <f>IF(Table1820[[#This Row],[Good Driver Discount]]="Yes",'Rate Book'!$D$127,1)</f>
        <v>1</v>
      </c>
      <c r="AO606">
        <f>IF(Table1820[[#This Row],[Multi Policy Discount]]="Yes",'Rate Book'!$D$128,1)</f>
        <v>1</v>
      </c>
      <c r="AP606">
        <f>IF(Table1820[[#This Row],[Loyal Customer Discount]]="Yes",'Rate Book'!$D$129,1)</f>
        <v>0.94</v>
      </c>
      <c r="AQ606">
        <f>IF(Table1820[[#This Row],[Organization Discount]]="Yes",'Rate Book'!$D$130,1)</f>
        <v>1</v>
      </c>
      <c r="AR606" cm="1">
        <f t="array" ref="AR606">IF(Table1820[[#This Row],[Effective Date]]&gt;=RateChangeTable[Effective Date],RateChangeTable[Rate Change Factor],1)</f>
        <v>1</v>
      </c>
      <c r="AS606" s="10">
        <f>PRODUCT(Table1820[[#This Row],[Base Rate]:[Rate Change Factor]])</f>
        <v>311.87826486705814</v>
      </c>
      <c r="AT606" s="9">
        <f>Table1820[[#This Row],[System-Generated Premium]]-Table1820[[#This Row],[Expected Premium]]</f>
        <v>0</v>
      </c>
      <c r="AU606" t="str">
        <f>IF(Table1820[[#This Row],[Difference]]=0,"PASS","FAIL")</f>
        <v>PASS</v>
      </c>
      <c r="AV606" s="9">
        <f>ABS(Table1820[[#This Row],[Difference]])</f>
        <v>0</v>
      </c>
      <c r="AW606" s="9" t="s">
        <v>1136</v>
      </c>
    </row>
    <row r="607" spans="1:49" x14ac:dyDescent="0.3">
      <c r="A607" t="s">
        <v>698</v>
      </c>
      <c r="B607" s="7">
        <v>45791</v>
      </c>
      <c r="C607" t="s">
        <v>70</v>
      </c>
      <c r="D607" t="s">
        <v>1101</v>
      </c>
      <c r="E607" s="3">
        <v>4</v>
      </c>
      <c r="F607" s="3">
        <v>1</v>
      </c>
      <c r="G607" t="s">
        <v>13</v>
      </c>
      <c r="H607" t="s">
        <v>1108</v>
      </c>
      <c r="I607" t="s">
        <v>40</v>
      </c>
      <c r="J607" t="s">
        <v>49</v>
      </c>
      <c r="K607" t="s">
        <v>10</v>
      </c>
      <c r="L607" t="s">
        <v>10</v>
      </c>
      <c r="M607" t="s">
        <v>57</v>
      </c>
      <c r="N607" t="s">
        <v>57</v>
      </c>
      <c r="O607" t="str">
        <f>INDEX(CoverageTable[Deductible Applies],MATCH(Table1820[[#This Row],[Coverage]],CoverageTable[Coverage],0))</f>
        <v>No</v>
      </c>
      <c r="P607" t="str">
        <f>INDEX(CoverageTable[Coverage Limit Applies],MATCH(Table1820[[#This Row],[Coverage]],CoverageTable[Coverage],0))</f>
        <v>Yes</v>
      </c>
      <c r="Q607" t="s">
        <v>10</v>
      </c>
      <c r="R607" t="s">
        <v>80</v>
      </c>
      <c r="S607" t="s">
        <v>10</v>
      </c>
      <c r="T607" t="s">
        <v>57</v>
      </c>
      <c r="U607" t="s">
        <v>10</v>
      </c>
      <c r="V607" t="s">
        <v>10</v>
      </c>
      <c r="W607" t="s">
        <v>10</v>
      </c>
      <c r="X607" s="11">
        <v>563.0313651059721</v>
      </c>
      <c r="Y607">
        <f>_xlfn.XLOOKUP(Table1820[[#This Row],[Coverage]],CoverageTable[Coverage],CoverageTable[Base Rate],,0)</f>
        <v>622</v>
      </c>
      <c r="Z607">
        <f>INDEX(Table16[Ageband Factor],MATCH(Table1820[[#This Row],[Ageband]],Table16[Ageband],0))</f>
        <v>1.1200000000000001</v>
      </c>
      <c r="AA607">
        <f>VLOOKUP(Table1820[[#This Row],[Years Driving]],Table1[],2)</f>
        <v>1.1499999999999999</v>
      </c>
      <c r="AB607">
        <f>_xlfn.XLOOKUP(Table1820[[#This Row],[At Fault Accidents]],Table2[At Fault Accidents],Table2[At Fault Accident Factor],,0)</f>
        <v>1.34</v>
      </c>
      <c r="AC607">
        <f>_xlfn.XLOOKUP(Table1820[[#This Row],[Usage-Based Insurance]],Table3[Usage-Based Insurance],Table3[Usage-Based Insurance Discount],,0)</f>
        <v>0.65</v>
      </c>
      <c r="AD607">
        <f>_xlfn.XLOOKUP(Table1820[[#This Row],[Yearly Miles]],Table4[Yearly Miles],Table4[Yearly Miles Factor],,0)</f>
        <v>1</v>
      </c>
      <c r="AE607">
        <f>_xlfn.XLOOKUP(Table1820[[#This Row],[City/Zip Code]],Table5[City/Zip Code],Table5[City/Zip Code Factor],,0)</f>
        <v>1.0900000000000001</v>
      </c>
      <c r="AF607">
        <f>_xlfn.XLOOKUP(Table1820[[#This Row],[Vehicle Price]],Table6[Vehicle Price],Table6[Vehicle Price Factor])</f>
        <v>0.97</v>
      </c>
      <c r="AG607">
        <f>_xlfn.XLOOKUP(Table1820[[#This Row],[Exotic Car]],Table7[Exotic Car],Table7[Exotic Car Factor],,0)</f>
        <v>1</v>
      </c>
      <c r="AH607">
        <f>_xlfn.XLOOKUP(Table1820[[#This Row],[Difficult Parts]],Table8[Difficult Parts],Table8[Difficult Parts Factor],,0)</f>
        <v>1</v>
      </c>
      <c r="AI607">
        <f>_xlfn.XLOOKUP(Table1820[[#This Row],[High Theft Rate]],Table9[High Theft Rate],Table9[High Theft Rate Factor],,0)</f>
        <v>1.1599999999999999</v>
      </c>
      <c r="AJ607">
        <f>_xlfn.XLOOKUP(Table1820[[#This Row],[Advanced Safety Features]],Table10[Advanced Safety Features],Table10[Advanced Safety Features Factor],,0)</f>
        <v>0.88</v>
      </c>
      <c r="AK607">
        <f>_xlfn.XLOOKUP(Table1820[[#This Row],[Deductible]],Table12[Deductible],Table12[Deductible Factor],,0)</f>
        <v>1</v>
      </c>
      <c r="AL607">
        <f>_xlfn.XLOOKUP(Table1820[[#This Row],[Coverage Limit]],Table13[Coverage Limit],Table13[Coverage Limit Factor],,0)</f>
        <v>0.84</v>
      </c>
      <c r="AM607">
        <f>IF(Table1820[[#This Row],[Good Student Discount]]="Yes",'Rate Book'!$D$126,1)</f>
        <v>1</v>
      </c>
      <c r="AN607">
        <f>IF(Table1820[[#This Row],[Good Driver Discount]]="Yes",'Rate Book'!$D$127,1)</f>
        <v>0.89</v>
      </c>
      <c r="AO607">
        <f>IF(Table1820[[#This Row],[Multi Policy Discount]]="Yes",'Rate Book'!$D$128,1)</f>
        <v>1</v>
      </c>
      <c r="AP607">
        <f>IF(Table1820[[#This Row],[Loyal Customer Discount]]="Yes",'Rate Book'!$D$129,1)</f>
        <v>1</v>
      </c>
      <c r="AQ607">
        <f>IF(Table1820[[#This Row],[Organization Discount]]="Yes",'Rate Book'!$D$130,1)</f>
        <v>1</v>
      </c>
      <c r="AR607" cm="1">
        <f t="array" ref="AR607">IF(Table1820[[#This Row],[Effective Date]]&gt;=RateChangeTable[Effective Date],RateChangeTable[Rate Change Factor],1)</f>
        <v>1</v>
      </c>
      <c r="AS607" s="10">
        <f>PRODUCT(Table1820[[#This Row],[Base Rate]:[Rate Change Factor]])</f>
        <v>563.0313651059721</v>
      </c>
      <c r="AT607" s="9">
        <f>Table1820[[#This Row],[System-Generated Premium]]-Table1820[[#This Row],[Expected Premium]]</f>
        <v>0</v>
      </c>
      <c r="AU607" t="str">
        <f>IF(Table1820[[#This Row],[Difference]]=0,"PASS","FAIL")</f>
        <v>PASS</v>
      </c>
      <c r="AV607" s="9">
        <f>ABS(Table1820[[#This Row],[Difference]])</f>
        <v>0</v>
      </c>
      <c r="AW607" s="9" t="s">
        <v>1136</v>
      </c>
    </row>
    <row r="608" spans="1:49" x14ac:dyDescent="0.3">
      <c r="A608" t="s">
        <v>699</v>
      </c>
      <c r="B608" s="7">
        <v>45813</v>
      </c>
      <c r="C608" t="s">
        <v>70</v>
      </c>
      <c r="D608" t="s">
        <v>1098</v>
      </c>
      <c r="E608" s="3">
        <v>6</v>
      </c>
      <c r="F608" s="3" t="s">
        <v>7</v>
      </c>
      <c r="G608" t="s">
        <v>10</v>
      </c>
      <c r="H608" t="s">
        <v>1106</v>
      </c>
      <c r="I608" t="s">
        <v>27</v>
      </c>
      <c r="J608" t="s">
        <v>50</v>
      </c>
      <c r="K608" t="s">
        <v>10</v>
      </c>
      <c r="L608" t="s">
        <v>10</v>
      </c>
      <c r="M608" t="s">
        <v>10</v>
      </c>
      <c r="N608" t="s">
        <v>10</v>
      </c>
      <c r="O608" t="str">
        <f>INDEX(CoverageTable[Deductible Applies],MATCH(Table1820[[#This Row],[Coverage]],CoverageTable[Coverage],0))</f>
        <v>No</v>
      </c>
      <c r="P608" t="str">
        <f>INDEX(CoverageTable[Coverage Limit Applies],MATCH(Table1820[[#This Row],[Coverage]],CoverageTable[Coverage],0))</f>
        <v>Yes</v>
      </c>
      <c r="Q608" t="s">
        <v>10</v>
      </c>
      <c r="R608" t="s">
        <v>79</v>
      </c>
      <c r="S608" t="s">
        <v>57</v>
      </c>
      <c r="T608" t="s">
        <v>57</v>
      </c>
      <c r="U608" t="s">
        <v>10</v>
      </c>
      <c r="V608" t="s">
        <v>10</v>
      </c>
      <c r="W608" t="s">
        <v>10</v>
      </c>
      <c r="X608" s="11">
        <v>927.40245514005483</v>
      </c>
      <c r="Y608">
        <f>_xlfn.XLOOKUP(Table1820[[#This Row],[Coverage]],CoverageTable[Coverage],CoverageTable[Base Rate],,0)</f>
        <v>622</v>
      </c>
      <c r="Z608">
        <f>INDEX(Table16[Ageband Factor],MATCH(Table1820[[#This Row],[Ageband]],Table16[Ageband],0))</f>
        <v>1.23</v>
      </c>
      <c r="AA608">
        <f>VLOOKUP(Table1820[[#This Row],[Years Driving]],Table1[],2)</f>
        <v>1</v>
      </c>
      <c r="AB608">
        <f>_xlfn.XLOOKUP(Table1820[[#This Row],[At Fault Accidents]],Table2[At Fault Accidents],Table2[At Fault Accident Factor],,0)</f>
        <v>2.4700000000000002</v>
      </c>
      <c r="AC608">
        <f>_xlfn.XLOOKUP(Table1820[[#This Row],[Usage-Based Insurance]],Table3[Usage-Based Insurance],Table3[Usage-Based Insurance Discount],,0)</f>
        <v>1</v>
      </c>
      <c r="AD608">
        <f>_xlfn.XLOOKUP(Table1820[[#This Row],[Yearly Miles]],Table4[Yearly Miles],Table4[Yearly Miles Factor],,0)</f>
        <v>0.82</v>
      </c>
      <c r="AE608">
        <f>_xlfn.XLOOKUP(Table1820[[#This Row],[City/Zip Code]],Table5[City/Zip Code],Table5[City/Zip Code Factor],,0)</f>
        <v>0.94</v>
      </c>
      <c r="AF608">
        <f>_xlfn.XLOOKUP(Table1820[[#This Row],[Vehicle Price]],Table6[Vehicle Price],Table6[Vehicle Price Factor])</f>
        <v>1.08</v>
      </c>
      <c r="AG608">
        <f>_xlfn.XLOOKUP(Table1820[[#This Row],[Exotic Car]],Table7[Exotic Car],Table7[Exotic Car Factor],,0)</f>
        <v>1</v>
      </c>
      <c r="AH608">
        <f>_xlfn.XLOOKUP(Table1820[[#This Row],[Difficult Parts]],Table8[Difficult Parts],Table8[Difficult Parts Factor],,0)</f>
        <v>1</v>
      </c>
      <c r="AI608">
        <f>_xlfn.XLOOKUP(Table1820[[#This Row],[High Theft Rate]],Table9[High Theft Rate],Table9[High Theft Rate Factor],,0)</f>
        <v>1</v>
      </c>
      <c r="AJ608">
        <f>_xlfn.XLOOKUP(Table1820[[#This Row],[Advanced Safety Features]],Table10[Advanced Safety Features],Table10[Advanced Safety Features Factor],,0)</f>
        <v>1</v>
      </c>
      <c r="AK608">
        <f>_xlfn.XLOOKUP(Table1820[[#This Row],[Deductible]],Table12[Deductible],Table12[Deductible Factor],,0)</f>
        <v>1</v>
      </c>
      <c r="AL608">
        <f>_xlfn.XLOOKUP(Table1820[[#This Row],[Coverage Limit]],Table13[Coverage Limit],Table13[Coverage Limit Factor],,0)</f>
        <v>0.72</v>
      </c>
      <c r="AM608">
        <f>IF(Table1820[[#This Row],[Good Student Discount]]="Yes",'Rate Book'!$D$126,1)</f>
        <v>0.92</v>
      </c>
      <c r="AN608">
        <f>IF(Table1820[[#This Row],[Good Driver Discount]]="Yes",'Rate Book'!$D$127,1)</f>
        <v>0.89</v>
      </c>
      <c r="AO608">
        <f>IF(Table1820[[#This Row],[Multi Policy Discount]]="Yes",'Rate Book'!$D$128,1)</f>
        <v>1</v>
      </c>
      <c r="AP608">
        <f>IF(Table1820[[#This Row],[Loyal Customer Discount]]="Yes",'Rate Book'!$D$129,1)</f>
        <v>1</v>
      </c>
      <c r="AQ608">
        <f>IF(Table1820[[#This Row],[Organization Discount]]="Yes",'Rate Book'!$D$130,1)</f>
        <v>1</v>
      </c>
      <c r="AR608" cm="1">
        <f t="array" ref="AR608">IF(Table1820[[#This Row],[Effective Date]]&gt;=RateChangeTable[Effective Date],RateChangeTable[Rate Change Factor],1)</f>
        <v>1</v>
      </c>
      <c r="AS608" s="10">
        <f>PRODUCT(Table1820[[#This Row],[Base Rate]:[Rate Change Factor]])</f>
        <v>927.40245514005483</v>
      </c>
      <c r="AT608" s="9">
        <f>Table1820[[#This Row],[System-Generated Premium]]-Table1820[[#This Row],[Expected Premium]]</f>
        <v>0</v>
      </c>
      <c r="AU608" t="str">
        <f>IF(Table1820[[#This Row],[Difference]]=0,"PASS","FAIL")</f>
        <v>PASS</v>
      </c>
      <c r="AV608" s="9">
        <f>ABS(Table1820[[#This Row],[Difference]])</f>
        <v>0</v>
      </c>
      <c r="AW608" s="9" t="s">
        <v>1136</v>
      </c>
    </row>
    <row r="609" spans="1:49" x14ac:dyDescent="0.3">
      <c r="A609" t="s">
        <v>700</v>
      </c>
      <c r="B609" s="7">
        <v>45974</v>
      </c>
      <c r="C609" t="s">
        <v>70</v>
      </c>
      <c r="D609" t="s">
        <v>1098</v>
      </c>
      <c r="E609" s="3">
        <v>1</v>
      </c>
      <c r="F609" s="3">
        <v>1</v>
      </c>
      <c r="G609" t="s">
        <v>10</v>
      </c>
      <c r="H609" t="s">
        <v>1110</v>
      </c>
      <c r="I609" t="s">
        <v>30</v>
      </c>
      <c r="J609" t="s">
        <v>49</v>
      </c>
      <c r="K609" t="s">
        <v>10</v>
      </c>
      <c r="L609" t="s">
        <v>10</v>
      </c>
      <c r="M609" t="s">
        <v>10</v>
      </c>
      <c r="N609" t="s">
        <v>57</v>
      </c>
      <c r="O609" t="str">
        <f>INDEX(CoverageTable[Deductible Applies],MATCH(Table1820[[#This Row],[Coverage]],CoverageTable[Coverage],0))</f>
        <v>No</v>
      </c>
      <c r="P609" t="str">
        <f>INDEX(CoverageTable[Coverage Limit Applies],MATCH(Table1820[[#This Row],[Coverage]],CoverageTable[Coverage],0))</f>
        <v>Yes</v>
      </c>
      <c r="Q609" t="s">
        <v>10</v>
      </c>
      <c r="R609" t="s">
        <v>78</v>
      </c>
      <c r="S609" t="s">
        <v>10</v>
      </c>
      <c r="T609" t="s">
        <v>10</v>
      </c>
      <c r="U609" t="s">
        <v>57</v>
      </c>
      <c r="V609" t="s">
        <v>10</v>
      </c>
      <c r="W609" t="s">
        <v>10</v>
      </c>
      <c r="X609" s="11">
        <v>1087.8845273004395</v>
      </c>
      <c r="Y609">
        <f>_xlfn.XLOOKUP(Table1820[[#This Row],[Coverage]],CoverageTable[Coverage],CoverageTable[Base Rate],,0)</f>
        <v>622</v>
      </c>
      <c r="Z609">
        <f>INDEX(Table16[Ageband Factor],MATCH(Table1820[[#This Row],[Ageband]],Table16[Ageband],0))</f>
        <v>1.23</v>
      </c>
      <c r="AA609">
        <f>VLOOKUP(Table1820[[#This Row],[Years Driving]],Table1[],2)</f>
        <v>1.64</v>
      </c>
      <c r="AB609">
        <f>_xlfn.XLOOKUP(Table1820[[#This Row],[At Fault Accidents]],Table2[At Fault Accidents],Table2[At Fault Accident Factor],,0)</f>
        <v>1.34</v>
      </c>
      <c r="AC609">
        <f>_xlfn.XLOOKUP(Table1820[[#This Row],[Usage-Based Insurance]],Table3[Usage-Based Insurance],Table3[Usage-Based Insurance Discount],,0)</f>
        <v>1</v>
      </c>
      <c r="AD609">
        <f>_xlfn.XLOOKUP(Table1820[[#This Row],[Yearly Miles]],Table4[Yearly Miles],Table4[Yearly Miles Factor],,0)</f>
        <v>1.31</v>
      </c>
      <c r="AE609">
        <f>_xlfn.XLOOKUP(Table1820[[#This Row],[City/Zip Code]],Table5[City/Zip Code],Table5[City/Zip Code Factor],,0)</f>
        <v>1.02</v>
      </c>
      <c r="AF609">
        <f>_xlfn.XLOOKUP(Table1820[[#This Row],[Vehicle Price]],Table6[Vehicle Price],Table6[Vehicle Price Factor])</f>
        <v>0.97</v>
      </c>
      <c r="AG609">
        <f>_xlfn.XLOOKUP(Table1820[[#This Row],[Exotic Car]],Table7[Exotic Car],Table7[Exotic Car Factor],,0)</f>
        <v>1</v>
      </c>
      <c r="AH609">
        <f>_xlfn.XLOOKUP(Table1820[[#This Row],[Difficult Parts]],Table8[Difficult Parts],Table8[Difficult Parts Factor],,0)</f>
        <v>1</v>
      </c>
      <c r="AI609">
        <f>_xlfn.XLOOKUP(Table1820[[#This Row],[High Theft Rate]],Table9[High Theft Rate],Table9[High Theft Rate Factor],,0)</f>
        <v>1</v>
      </c>
      <c r="AJ609">
        <f>_xlfn.XLOOKUP(Table1820[[#This Row],[Advanced Safety Features]],Table10[Advanced Safety Features],Table10[Advanced Safety Features Factor],,0)</f>
        <v>0.88</v>
      </c>
      <c r="AK609">
        <f>_xlfn.XLOOKUP(Table1820[[#This Row],[Deductible]],Table12[Deductible],Table12[Deductible Factor],,0)</f>
        <v>1</v>
      </c>
      <c r="AL609">
        <f>_xlfn.XLOOKUP(Table1820[[#This Row],[Coverage Limit]],Table13[Coverage Limit],Table13[Coverage Limit Factor],,0)</f>
        <v>0.61</v>
      </c>
      <c r="AM609">
        <f>IF(Table1820[[#This Row],[Good Student Discount]]="Yes",'Rate Book'!$D$126,1)</f>
        <v>1</v>
      </c>
      <c r="AN609">
        <f>IF(Table1820[[#This Row],[Good Driver Discount]]="Yes",'Rate Book'!$D$127,1)</f>
        <v>1</v>
      </c>
      <c r="AO609">
        <f>IF(Table1820[[#This Row],[Multi Policy Discount]]="Yes",'Rate Book'!$D$128,1)</f>
        <v>0.93</v>
      </c>
      <c r="AP609">
        <f>IF(Table1820[[#This Row],[Loyal Customer Discount]]="Yes",'Rate Book'!$D$129,1)</f>
        <v>1</v>
      </c>
      <c r="AQ609">
        <f>IF(Table1820[[#This Row],[Organization Discount]]="Yes",'Rate Book'!$D$130,1)</f>
        <v>1</v>
      </c>
      <c r="AR609" cm="1">
        <f t="array" ref="AR609">IF(Table1820[[#This Row],[Effective Date]]&gt;=RateChangeTable[Effective Date],RateChangeTable[Rate Change Factor],1)</f>
        <v>1</v>
      </c>
      <c r="AS609" s="10">
        <f>PRODUCT(Table1820[[#This Row],[Base Rate]:[Rate Change Factor]])</f>
        <v>1087.8845273004395</v>
      </c>
      <c r="AT609" s="9">
        <f>Table1820[[#This Row],[System-Generated Premium]]-Table1820[[#This Row],[Expected Premium]]</f>
        <v>0</v>
      </c>
      <c r="AU609" t="str">
        <f>IF(Table1820[[#This Row],[Difference]]=0,"PASS","FAIL")</f>
        <v>PASS</v>
      </c>
      <c r="AV609" s="9">
        <f>ABS(Table1820[[#This Row],[Difference]])</f>
        <v>0</v>
      </c>
      <c r="AW609" s="9" t="s">
        <v>1136</v>
      </c>
    </row>
    <row r="610" spans="1:49" x14ac:dyDescent="0.3">
      <c r="A610" t="s">
        <v>701</v>
      </c>
      <c r="B610" s="7">
        <v>45992</v>
      </c>
      <c r="C610" t="s">
        <v>70</v>
      </c>
      <c r="D610" t="s">
        <v>1102</v>
      </c>
      <c r="E610" s="3">
        <v>2</v>
      </c>
      <c r="F610" s="3">
        <v>0</v>
      </c>
      <c r="G610" t="s">
        <v>10</v>
      </c>
      <c r="H610" t="s">
        <v>1106</v>
      </c>
      <c r="I610" t="s">
        <v>31</v>
      </c>
      <c r="J610" t="s">
        <v>54</v>
      </c>
      <c r="K610" t="s">
        <v>10</v>
      </c>
      <c r="L610" t="s">
        <v>10</v>
      </c>
      <c r="M610" t="s">
        <v>10</v>
      </c>
      <c r="N610" t="s">
        <v>10</v>
      </c>
      <c r="O610" t="str">
        <f>INDEX(CoverageTable[Deductible Applies],MATCH(Table1820[[#This Row],[Coverage]],CoverageTable[Coverage],0))</f>
        <v>No</v>
      </c>
      <c r="P610" t="str">
        <f>INDEX(CoverageTable[Coverage Limit Applies],MATCH(Table1820[[#This Row],[Coverage]],CoverageTable[Coverage],0))</f>
        <v>Yes</v>
      </c>
      <c r="Q610" t="s">
        <v>10</v>
      </c>
      <c r="R610" t="s">
        <v>78</v>
      </c>
      <c r="S610" t="s">
        <v>10</v>
      </c>
      <c r="T610" t="s">
        <v>57</v>
      </c>
      <c r="U610" t="s">
        <v>10</v>
      </c>
      <c r="V610" t="s">
        <v>10</v>
      </c>
      <c r="W610" t="s">
        <v>10</v>
      </c>
      <c r="X610" s="11">
        <v>1579.6169594482208</v>
      </c>
      <c r="Y610">
        <f>_xlfn.XLOOKUP(Table1820[[#This Row],[Coverage]],CoverageTable[Coverage],CoverageTable[Base Rate],,0)</f>
        <v>622</v>
      </c>
      <c r="Z610">
        <f>INDEX(Table16[Ageband Factor],MATCH(Table1820[[#This Row],[Ageband]],Table16[Ageband],0))</f>
        <v>1.27</v>
      </c>
      <c r="AA610">
        <f>VLOOKUP(Table1820[[#This Row],[Years Driving]],Table1[],2)</f>
        <v>1.41</v>
      </c>
      <c r="AB610">
        <f>_xlfn.XLOOKUP(Table1820[[#This Row],[At Fault Accidents]],Table2[At Fault Accidents],Table2[At Fault Accident Factor],,0)</f>
        <v>1</v>
      </c>
      <c r="AC610">
        <f>_xlfn.XLOOKUP(Table1820[[#This Row],[Usage-Based Insurance]],Table3[Usage-Based Insurance],Table3[Usage-Based Insurance Discount],,0)</f>
        <v>1</v>
      </c>
      <c r="AD610">
        <f>_xlfn.XLOOKUP(Table1820[[#This Row],[Yearly Miles]],Table4[Yearly Miles],Table4[Yearly Miles Factor],,0)</f>
        <v>0.82</v>
      </c>
      <c r="AE610">
        <f>_xlfn.XLOOKUP(Table1820[[#This Row],[City/Zip Code]],Table5[City/Zip Code],Table5[City/Zip Code Factor],,0)</f>
        <v>1.1100000000000001</v>
      </c>
      <c r="AF610">
        <f>_xlfn.XLOOKUP(Table1820[[#This Row],[Vehicle Price]],Table6[Vehicle Price],Table6[Vehicle Price Factor])</f>
        <v>2.87</v>
      </c>
      <c r="AG610">
        <f>_xlfn.XLOOKUP(Table1820[[#This Row],[Exotic Car]],Table7[Exotic Car],Table7[Exotic Car Factor],,0)</f>
        <v>1</v>
      </c>
      <c r="AH610">
        <f>_xlfn.XLOOKUP(Table1820[[#This Row],[Difficult Parts]],Table8[Difficult Parts],Table8[Difficult Parts Factor],,0)</f>
        <v>1</v>
      </c>
      <c r="AI610">
        <f>_xlfn.XLOOKUP(Table1820[[#This Row],[High Theft Rate]],Table9[High Theft Rate],Table9[High Theft Rate Factor],,0)</f>
        <v>1</v>
      </c>
      <c r="AJ610">
        <f>_xlfn.XLOOKUP(Table1820[[#This Row],[Advanced Safety Features]],Table10[Advanced Safety Features],Table10[Advanced Safety Features Factor],,0)</f>
        <v>1</v>
      </c>
      <c r="AK610">
        <f>_xlfn.XLOOKUP(Table1820[[#This Row],[Deductible]],Table12[Deductible],Table12[Deductible Factor],,0)</f>
        <v>1</v>
      </c>
      <c r="AL610">
        <f>_xlfn.XLOOKUP(Table1820[[#This Row],[Coverage Limit]],Table13[Coverage Limit],Table13[Coverage Limit Factor],,0)</f>
        <v>0.61</v>
      </c>
      <c r="AM610">
        <f>IF(Table1820[[#This Row],[Good Student Discount]]="Yes",'Rate Book'!$D$126,1)</f>
        <v>1</v>
      </c>
      <c r="AN610">
        <f>IF(Table1820[[#This Row],[Good Driver Discount]]="Yes",'Rate Book'!$D$127,1)</f>
        <v>0.89</v>
      </c>
      <c r="AO610">
        <f>IF(Table1820[[#This Row],[Multi Policy Discount]]="Yes",'Rate Book'!$D$128,1)</f>
        <v>1</v>
      </c>
      <c r="AP610">
        <f>IF(Table1820[[#This Row],[Loyal Customer Discount]]="Yes",'Rate Book'!$D$129,1)</f>
        <v>1</v>
      </c>
      <c r="AQ610">
        <f>IF(Table1820[[#This Row],[Organization Discount]]="Yes",'Rate Book'!$D$130,1)</f>
        <v>1</v>
      </c>
      <c r="AR610" cm="1">
        <f t="array" ref="AR610">IF(Table1820[[#This Row],[Effective Date]]&gt;=RateChangeTable[Effective Date],RateChangeTable[Rate Change Factor],1)</f>
        <v>1</v>
      </c>
      <c r="AS610" s="10">
        <f>PRODUCT(Table1820[[#This Row],[Base Rate]:[Rate Change Factor]])</f>
        <v>1579.6169594482208</v>
      </c>
      <c r="AT610" s="9">
        <f>Table1820[[#This Row],[System-Generated Premium]]-Table1820[[#This Row],[Expected Premium]]</f>
        <v>0</v>
      </c>
      <c r="AU610" t="str">
        <f>IF(Table1820[[#This Row],[Difference]]=0,"PASS","FAIL")</f>
        <v>PASS</v>
      </c>
      <c r="AV610" s="9">
        <f>ABS(Table1820[[#This Row],[Difference]])</f>
        <v>0</v>
      </c>
      <c r="AW610" s="9" t="s">
        <v>1136</v>
      </c>
    </row>
    <row r="611" spans="1:49" x14ac:dyDescent="0.3">
      <c r="A611" t="s">
        <v>702</v>
      </c>
      <c r="B611" s="7">
        <v>46096</v>
      </c>
      <c r="C611" t="s">
        <v>73</v>
      </c>
      <c r="D611" t="s">
        <v>1102</v>
      </c>
      <c r="E611" s="3">
        <v>5</v>
      </c>
      <c r="F611" s="3">
        <v>0</v>
      </c>
      <c r="G611" t="s">
        <v>12</v>
      </c>
      <c r="H611" t="s">
        <v>1108</v>
      </c>
      <c r="I611" t="s">
        <v>33</v>
      </c>
      <c r="J611" t="s">
        <v>52</v>
      </c>
      <c r="K611" t="s">
        <v>10</v>
      </c>
      <c r="L611" t="s">
        <v>10</v>
      </c>
      <c r="M611" t="s">
        <v>10</v>
      </c>
      <c r="N611" t="s">
        <v>57</v>
      </c>
      <c r="O611" t="str">
        <f>INDEX(CoverageTable[Deductible Applies],MATCH(Table1820[[#This Row],[Coverage]],CoverageTable[Coverage],0))</f>
        <v>No</v>
      </c>
      <c r="P611" t="str">
        <f>INDEX(CoverageTable[Coverage Limit Applies],MATCH(Table1820[[#This Row],[Coverage]],CoverageTable[Coverage],0))</f>
        <v>Yes</v>
      </c>
      <c r="Q611" t="s">
        <v>10</v>
      </c>
      <c r="R611" t="s">
        <v>80</v>
      </c>
      <c r="S611" t="s">
        <v>10</v>
      </c>
      <c r="T611" t="s">
        <v>57</v>
      </c>
      <c r="U611" t="s">
        <v>57</v>
      </c>
      <c r="V611" t="s">
        <v>10</v>
      </c>
      <c r="W611" t="s">
        <v>10</v>
      </c>
      <c r="X611" s="11">
        <v>88.06689633906484</v>
      </c>
      <c r="Y611">
        <f>_xlfn.XLOOKUP(Table1820[[#This Row],[Coverage]],CoverageTable[Coverage],CoverageTable[Base Rate],,0)</f>
        <v>78</v>
      </c>
      <c r="Z611">
        <f>INDEX(Table16[Ageband Factor],MATCH(Table1820[[#This Row],[Ageband]],Table16[Ageband],0))</f>
        <v>1.27</v>
      </c>
      <c r="AA611">
        <f>VLOOKUP(Table1820[[#This Row],[Years Driving]],Table1[],2)</f>
        <v>1.07</v>
      </c>
      <c r="AB611">
        <f>_xlfn.XLOOKUP(Table1820[[#This Row],[At Fault Accidents]],Table2[At Fault Accidents],Table2[At Fault Accident Factor],,0)</f>
        <v>1</v>
      </c>
      <c r="AC611">
        <f>_xlfn.XLOOKUP(Table1820[[#This Row],[Usage-Based Insurance]],Table3[Usage-Based Insurance],Table3[Usage-Based Insurance Discount],,0)</f>
        <v>0.8</v>
      </c>
      <c r="AD611">
        <f>_xlfn.XLOOKUP(Table1820[[#This Row],[Yearly Miles]],Table4[Yearly Miles],Table4[Yearly Miles Factor],,0)</f>
        <v>1</v>
      </c>
      <c r="AE611">
        <f>_xlfn.XLOOKUP(Table1820[[#This Row],[City/Zip Code]],Table5[City/Zip Code],Table5[City/Zip Code Factor],,0)</f>
        <v>1.02</v>
      </c>
      <c r="AF611">
        <f>_xlfn.XLOOKUP(Table1820[[#This Row],[Vehicle Price]],Table6[Vehicle Price],Table6[Vehicle Price Factor])</f>
        <v>1.57</v>
      </c>
      <c r="AG611">
        <f>_xlfn.XLOOKUP(Table1820[[#This Row],[Exotic Car]],Table7[Exotic Car],Table7[Exotic Car Factor],,0)</f>
        <v>1</v>
      </c>
      <c r="AH611">
        <f>_xlfn.XLOOKUP(Table1820[[#This Row],[Difficult Parts]],Table8[Difficult Parts],Table8[Difficult Parts Factor],,0)</f>
        <v>1</v>
      </c>
      <c r="AI611">
        <f>_xlfn.XLOOKUP(Table1820[[#This Row],[High Theft Rate]],Table9[High Theft Rate],Table9[High Theft Rate Factor],,0)</f>
        <v>1</v>
      </c>
      <c r="AJ611">
        <f>_xlfn.XLOOKUP(Table1820[[#This Row],[Advanced Safety Features]],Table10[Advanced Safety Features],Table10[Advanced Safety Features Factor],,0)</f>
        <v>0.88</v>
      </c>
      <c r="AK611">
        <f>_xlfn.XLOOKUP(Table1820[[#This Row],[Deductible]],Table12[Deductible],Table12[Deductible Factor],,0)</f>
        <v>1</v>
      </c>
      <c r="AL611">
        <f>_xlfn.XLOOKUP(Table1820[[#This Row],[Coverage Limit]],Table13[Coverage Limit],Table13[Coverage Limit Factor],,0)</f>
        <v>0.84</v>
      </c>
      <c r="AM611">
        <f>IF(Table1820[[#This Row],[Good Student Discount]]="Yes",'Rate Book'!$D$126,1)</f>
        <v>1</v>
      </c>
      <c r="AN611">
        <f>IF(Table1820[[#This Row],[Good Driver Discount]]="Yes",'Rate Book'!$D$127,1)</f>
        <v>0.89</v>
      </c>
      <c r="AO611">
        <f>IF(Table1820[[#This Row],[Multi Policy Discount]]="Yes",'Rate Book'!$D$128,1)</f>
        <v>0.93</v>
      </c>
      <c r="AP611">
        <f>IF(Table1820[[#This Row],[Loyal Customer Discount]]="Yes",'Rate Book'!$D$129,1)</f>
        <v>1</v>
      </c>
      <c r="AQ611">
        <f>IF(Table1820[[#This Row],[Organization Discount]]="Yes",'Rate Book'!$D$130,1)</f>
        <v>1</v>
      </c>
      <c r="AR611" cm="1">
        <f t="array" ref="AR611">IF(Table1820[[#This Row],[Effective Date]]&gt;=RateChangeTable[Effective Date],RateChangeTable[Rate Change Factor],1)</f>
        <v>1.06</v>
      </c>
      <c r="AS611" s="10">
        <f>PRODUCT(Table1820[[#This Row],[Base Rate]:[Rate Change Factor]])</f>
        <v>88.06689633906484</v>
      </c>
      <c r="AT611" s="9">
        <f>Table1820[[#This Row],[System-Generated Premium]]-Table1820[[#This Row],[Expected Premium]]</f>
        <v>0</v>
      </c>
      <c r="AU611" t="str">
        <f>IF(Table1820[[#This Row],[Difference]]=0,"PASS","FAIL")</f>
        <v>PASS</v>
      </c>
      <c r="AV611" s="9">
        <f>ABS(Table1820[[#This Row],[Difference]])</f>
        <v>0</v>
      </c>
      <c r="AW611" s="9" t="s">
        <v>1136</v>
      </c>
    </row>
    <row r="612" spans="1:49" x14ac:dyDescent="0.3">
      <c r="A612" t="s">
        <v>703</v>
      </c>
      <c r="B612" s="7">
        <v>46119</v>
      </c>
      <c r="C612" t="s">
        <v>70</v>
      </c>
      <c r="D612" t="s">
        <v>1098</v>
      </c>
      <c r="E612" s="3">
        <v>5</v>
      </c>
      <c r="F612" s="3">
        <v>1</v>
      </c>
      <c r="G612" t="s">
        <v>10</v>
      </c>
      <c r="H612" t="s">
        <v>1108</v>
      </c>
      <c r="I612" t="s">
        <v>34</v>
      </c>
      <c r="J612" t="s">
        <v>49</v>
      </c>
      <c r="K612" t="s">
        <v>10</v>
      </c>
      <c r="L612" t="s">
        <v>57</v>
      </c>
      <c r="M612" t="s">
        <v>57</v>
      </c>
      <c r="N612" t="s">
        <v>57</v>
      </c>
      <c r="O612" t="str">
        <f>INDEX(CoverageTable[Deductible Applies],MATCH(Table1820[[#This Row],[Coverage]],CoverageTable[Coverage],0))</f>
        <v>No</v>
      </c>
      <c r="P612" t="str">
        <f>INDEX(CoverageTable[Coverage Limit Applies],MATCH(Table1820[[#This Row],[Coverage]],CoverageTable[Coverage],0))</f>
        <v>Yes</v>
      </c>
      <c r="Q612" t="s">
        <v>10</v>
      </c>
      <c r="R612" t="s">
        <v>80</v>
      </c>
      <c r="S612" t="s">
        <v>57</v>
      </c>
      <c r="T612" t="s">
        <v>10</v>
      </c>
      <c r="U612" t="s">
        <v>57</v>
      </c>
      <c r="V612" t="s">
        <v>10</v>
      </c>
      <c r="W612" t="s">
        <v>10</v>
      </c>
      <c r="X612" s="11">
        <v>1561.9328672443703</v>
      </c>
      <c r="Y612">
        <f>_xlfn.XLOOKUP(Table1820[[#This Row],[Coverage]],CoverageTable[Coverage],CoverageTable[Base Rate],,0)</f>
        <v>622</v>
      </c>
      <c r="Z612">
        <f>INDEX(Table16[Ageband Factor],MATCH(Table1820[[#This Row],[Ageband]],Table16[Ageband],0))</f>
        <v>1.23</v>
      </c>
      <c r="AA612">
        <f>VLOOKUP(Table1820[[#This Row],[Years Driving]],Table1[],2)</f>
        <v>1.07</v>
      </c>
      <c r="AB612">
        <f>_xlfn.XLOOKUP(Table1820[[#This Row],[At Fault Accidents]],Table2[At Fault Accidents],Table2[At Fault Accident Factor],,0)</f>
        <v>1.34</v>
      </c>
      <c r="AC612">
        <f>_xlfn.XLOOKUP(Table1820[[#This Row],[Usage-Based Insurance]],Table3[Usage-Based Insurance],Table3[Usage-Based Insurance Discount],,0)</f>
        <v>1</v>
      </c>
      <c r="AD612">
        <f>_xlfn.XLOOKUP(Table1820[[#This Row],[Yearly Miles]],Table4[Yearly Miles],Table4[Yearly Miles Factor],,0)</f>
        <v>1</v>
      </c>
      <c r="AE612">
        <f>_xlfn.XLOOKUP(Table1820[[#This Row],[City/Zip Code]],Table5[City/Zip Code],Table5[City/Zip Code Factor],,0)</f>
        <v>1.56</v>
      </c>
      <c r="AF612">
        <f>_xlfn.XLOOKUP(Table1820[[#This Row],[Vehicle Price]],Table6[Vehicle Price],Table6[Vehicle Price Factor])</f>
        <v>0.97</v>
      </c>
      <c r="AG612">
        <f>_xlfn.XLOOKUP(Table1820[[#This Row],[Exotic Car]],Table7[Exotic Car],Table7[Exotic Car Factor],,0)</f>
        <v>1</v>
      </c>
      <c r="AH612">
        <f>_xlfn.XLOOKUP(Table1820[[#This Row],[Difficult Parts]],Table8[Difficult Parts],Table8[Difficult Parts Factor],,0)</f>
        <v>1.21</v>
      </c>
      <c r="AI612">
        <f>_xlfn.XLOOKUP(Table1820[[#This Row],[High Theft Rate]],Table9[High Theft Rate],Table9[High Theft Rate Factor],,0)</f>
        <v>1.1599999999999999</v>
      </c>
      <c r="AJ612">
        <f>_xlfn.XLOOKUP(Table1820[[#This Row],[Advanced Safety Features]],Table10[Advanced Safety Features],Table10[Advanced Safety Features Factor],,0)</f>
        <v>0.88</v>
      </c>
      <c r="AK612">
        <f>_xlfn.XLOOKUP(Table1820[[#This Row],[Deductible]],Table12[Deductible],Table12[Deductible Factor],,0)</f>
        <v>1</v>
      </c>
      <c r="AL612">
        <f>_xlfn.XLOOKUP(Table1820[[#This Row],[Coverage Limit]],Table13[Coverage Limit],Table13[Coverage Limit Factor],,0)</f>
        <v>0.84</v>
      </c>
      <c r="AM612">
        <f>IF(Table1820[[#This Row],[Good Student Discount]]="Yes",'Rate Book'!$D$126,1)</f>
        <v>0.92</v>
      </c>
      <c r="AN612">
        <f>IF(Table1820[[#This Row],[Good Driver Discount]]="Yes",'Rate Book'!$D$127,1)</f>
        <v>1</v>
      </c>
      <c r="AO612">
        <f>IF(Table1820[[#This Row],[Multi Policy Discount]]="Yes",'Rate Book'!$D$128,1)</f>
        <v>0.93</v>
      </c>
      <c r="AP612">
        <f>IF(Table1820[[#This Row],[Loyal Customer Discount]]="Yes",'Rate Book'!$D$129,1)</f>
        <v>1</v>
      </c>
      <c r="AQ612">
        <f>IF(Table1820[[#This Row],[Organization Discount]]="Yes",'Rate Book'!$D$130,1)</f>
        <v>1</v>
      </c>
      <c r="AR612" cm="1">
        <f t="array" ref="AR612">IF(Table1820[[#This Row],[Effective Date]]&gt;=RateChangeTable[Effective Date],RateChangeTable[Rate Change Factor],1)</f>
        <v>1.06</v>
      </c>
      <c r="AS612" s="10">
        <f>PRODUCT(Table1820[[#This Row],[Base Rate]:[Rate Change Factor]])</f>
        <v>1561.9328672443703</v>
      </c>
      <c r="AT612" s="9">
        <f>Table1820[[#This Row],[System-Generated Premium]]-Table1820[[#This Row],[Expected Premium]]</f>
        <v>0</v>
      </c>
      <c r="AU612" t="str">
        <f>IF(Table1820[[#This Row],[Difference]]=0,"PASS","FAIL")</f>
        <v>PASS</v>
      </c>
      <c r="AV612" s="9">
        <f>ABS(Table1820[[#This Row],[Difference]])</f>
        <v>0</v>
      </c>
      <c r="AW612" s="9" t="s">
        <v>1136</v>
      </c>
    </row>
    <row r="613" spans="1:49" x14ac:dyDescent="0.3">
      <c r="A613" t="s">
        <v>704</v>
      </c>
      <c r="B613" s="7">
        <v>46076</v>
      </c>
      <c r="C613" t="s">
        <v>74</v>
      </c>
      <c r="D613" t="s">
        <v>1100</v>
      </c>
      <c r="E613" s="3">
        <v>4</v>
      </c>
      <c r="F613" s="3">
        <v>4</v>
      </c>
      <c r="G613" t="s">
        <v>10</v>
      </c>
      <c r="H613" t="s">
        <v>1108</v>
      </c>
      <c r="I613" t="s">
        <v>44</v>
      </c>
      <c r="J613" t="s">
        <v>52</v>
      </c>
      <c r="K613" t="s">
        <v>10</v>
      </c>
      <c r="L613" t="s">
        <v>57</v>
      </c>
      <c r="M613" t="s">
        <v>10</v>
      </c>
      <c r="N613" t="s">
        <v>10</v>
      </c>
      <c r="O613" t="str">
        <f>INDEX(CoverageTable[Deductible Applies],MATCH(Table1820[[#This Row],[Coverage]],CoverageTable[Coverage],0))</f>
        <v>No</v>
      </c>
      <c r="P613" t="str">
        <f>INDEX(CoverageTable[Coverage Limit Applies],MATCH(Table1820[[#This Row],[Coverage]],CoverageTable[Coverage],0))</f>
        <v>Yes</v>
      </c>
      <c r="Q613" t="s">
        <v>10</v>
      </c>
      <c r="R613" t="s">
        <v>80</v>
      </c>
      <c r="S613" t="s">
        <v>10</v>
      </c>
      <c r="T613" t="s">
        <v>10</v>
      </c>
      <c r="U613" t="s">
        <v>10</v>
      </c>
      <c r="V613" t="s">
        <v>10</v>
      </c>
      <c r="W613" t="s">
        <v>10</v>
      </c>
      <c r="X613" s="11">
        <v>209.85991806516842</v>
      </c>
      <c r="Y613">
        <f>_xlfn.XLOOKUP(Table1820[[#This Row],[Coverage]],CoverageTable[Coverage],CoverageTable[Base Rate],,0)</f>
        <v>41</v>
      </c>
      <c r="Z613">
        <f>INDEX(Table16[Ageband Factor],MATCH(Table1820[[#This Row],[Ageband]],Table16[Ageband],0))</f>
        <v>1.07</v>
      </c>
      <c r="AA613">
        <f>VLOOKUP(Table1820[[#This Row],[Years Driving]],Table1[],2)</f>
        <v>1.1499999999999999</v>
      </c>
      <c r="AB613">
        <f>_xlfn.XLOOKUP(Table1820[[#This Row],[At Fault Accidents]],Table2[At Fault Accidents],Table2[At Fault Accident Factor],,0)</f>
        <v>2.12</v>
      </c>
      <c r="AC613">
        <f>_xlfn.XLOOKUP(Table1820[[#This Row],[Usage-Based Insurance]],Table3[Usage-Based Insurance],Table3[Usage-Based Insurance Discount],,0)</f>
        <v>1</v>
      </c>
      <c r="AD613">
        <f>_xlfn.XLOOKUP(Table1820[[#This Row],[Yearly Miles]],Table4[Yearly Miles],Table4[Yearly Miles Factor],,0)</f>
        <v>1</v>
      </c>
      <c r="AE613">
        <f>_xlfn.XLOOKUP(Table1820[[#This Row],[City/Zip Code]],Table5[City/Zip Code],Table5[City/Zip Code Factor],,0)</f>
        <v>1.1599999999999999</v>
      </c>
      <c r="AF613">
        <f>_xlfn.XLOOKUP(Table1820[[#This Row],[Vehicle Price]],Table6[Vehicle Price],Table6[Vehicle Price Factor])</f>
        <v>1.57</v>
      </c>
      <c r="AG613">
        <f>_xlfn.XLOOKUP(Table1820[[#This Row],[Exotic Car]],Table7[Exotic Car],Table7[Exotic Car Factor],,0)</f>
        <v>1</v>
      </c>
      <c r="AH613">
        <f>_xlfn.XLOOKUP(Table1820[[#This Row],[Difficult Parts]],Table8[Difficult Parts],Table8[Difficult Parts Factor],,0)</f>
        <v>1.21</v>
      </c>
      <c r="AI613">
        <f>_xlfn.XLOOKUP(Table1820[[#This Row],[High Theft Rate]],Table9[High Theft Rate],Table9[High Theft Rate Factor],,0)</f>
        <v>1</v>
      </c>
      <c r="AJ613">
        <f>_xlfn.XLOOKUP(Table1820[[#This Row],[Advanced Safety Features]],Table10[Advanced Safety Features],Table10[Advanced Safety Features Factor],,0)</f>
        <v>1</v>
      </c>
      <c r="AK613">
        <f>_xlfn.XLOOKUP(Table1820[[#This Row],[Deductible]],Table12[Deductible],Table12[Deductible Factor],,0)</f>
        <v>1</v>
      </c>
      <c r="AL613">
        <f>_xlfn.XLOOKUP(Table1820[[#This Row],[Coverage Limit]],Table13[Coverage Limit],Table13[Coverage Limit Factor],,0)</f>
        <v>0.84</v>
      </c>
      <c r="AM613">
        <f>IF(Table1820[[#This Row],[Good Student Discount]]="Yes",'Rate Book'!$D$126,1)</f>
        <v>1</v>
      </c>
      <c r="AN613">
        <f>IF(Table1820[[#This Row],[Good Driver Discount]]="Yes",'Rate Book'!$D$127,1)</f>
        <v>1</v>
      </c>
      <c r="AO613">
        <f>IF(Table1820[[#This Row],[Multi Policy Discount]]="Yes",'Rate Book'!$D$128,1)</f>
        <v>1</v>
      </c>
      <c r="AP613">
        <f>IF(Table1820[[#This Row],[Loyal Customer Discount]]="Yes",'Rate Book'!$D$129,1)</f>
        <v>1</v>
      </c>
      <c r="AQ613">
        <f>IF(Table1820[[#This Row],[Organization Discount]]="Yes",'Rate Book'!$D$130,1)</f>
        <v>1</v>
      </c>
      <c r="AR613" cm="1">
        <f t="array" ref="AR613">IF(Table1820[[#This Row],[Effective Date]]&gt;=RateChangeTable[Effective Date],RateChangeTable[Rate Change Factor],1)</f>
        <v>1.06</v>
      </c>
      <c r="AS613" s="10">
        <f>PRODUCT(Table1820[[#This Row],[Base Rate]:[Rate Change Factor]])</f>
        <v>209.85991806516842</v>
      </c>
      <c r="AT613" s="9">
        <f>Table1820[[#This Row],[System-Generated Premium]]-Table1820[[#This Row],[Expected Premium]]</f>
        <v>0</v>
      </c>
      <c r="AU613" t="str">
        <f>IF(Table1820[[#This Row],[Difference]]=0,"PASS","FAIL")</f>
        <v>PASS</v>
      </c>
      <c r="AV613" s="9">
        <f>ABS(Table1820[[#This Row],[Difference]])</f>
        <v>0</v>
      </c>
      <c r="AW613" s="9" t="s">
        <v>1136</v>
      </c>
    </row>
    <row r="614" spans="1:49" x14ac:dyDescent="0.3">
      <c r="A614" t="s">
        <v>705</v>
      </c>
      <c r="B614" s="7">
        <v>46035</v>
      </c>
      <c r="C614" t="s">
        <v>74</v>
      </c>
      <c r="D614" t="s">
        <v>1098</v>
      </c>
      <c r="E614" s="3">
        <v>7</v>
      </c>
      <c r="F614" s="3">
        <v>1</v>
      </c>
      <c r="G614" t="s">
        <v>10</v>
      </c>
      <c r="H614" t="s">
        <v>1106</v>
      </c>
      <c r="I614" t="s">
        <v>33</v>
      </c>
      <c r="J614" t="s">
        <v>52</v>
      </c>
      <c r="K614" t="s">
        <v>10</v>
      </c>
      <c r="L614" t="s">
        <v>10</v>
      </c>
      <c r="M614" t="s">
        <v>10</v>
      </c>
      <c r="N614" t="s">
        <v>10</v>
      </c>
      <c r="O614" t="str">
        <f>INDEX(CoverageTable[Deductible Applies],MATCH(Table1820[[#This Row],[Coverage]],CoverageTable[Coverage],0))</f>
        <v>No</v>
      </c>
      <c r="P614" t="str">
        <f>INDEX(CoverageTable[Coverage Limit Applies],MATCH(Table1820[[#This Row],[Coverage]],CoverageTable[Coverage],0))</f>
        <v>Yes</v>
      </c>
      <c r="Q614" t="s">
        <v>10</v>
      </c>
      <c r="R614" t="s">
        <v>78</v>
      </c>
      <c r="S614" t="s">
        <v>10</v>
      </c>
      <c r="T614" t="s">
        <v>10</v>
      </c>
      <c r="U614" t="s">
        <v>10</v>
      </c>
      <c r="V614" t="s">
        <v>10</v>
      </c>
      <c r="W614" t="s">
        <v>10</v>
      </c>
      <c r="X614" s="11">
        <v>54.508815991853346</v>
      </c>
      <c r="Y614">
        <f>_xlfn.XLOOKUP(Table1820[[#This Row],[Coverage]],CoverageTable[Coverage],CoverageTable[Base Rate],,0)</f>
        <v>41</v>
      </c>
      <c r="Z614">
        <f>INDEX(Table16[Ageband Factor],MATCH(Table1820[[#This Row],[Ageband]],Table16[Ageband],0))</f>
        <v>1.23</v>
      </c>
      <c r="AA614">
        <f>VLOOKUP(Table1820[[#This Row],[Years Driving]],Table1[],2)</f>
        <v>0.95</v>
      </c>
      <c r="AB614">
        <f>_xlfn.XLOOKUP(Table1820[[#This Row],[At Fault Accidents]],Table2[At Fault Accidents],Table2[At Fault Accident Factor],,0)</f>
        <v>1.34</v>
      </c>
      <c r="AC614">
        <f>_xlfn.XLOOKUP(Table1820[[#This Row],[Usage-Based Insurance]],Table3[Usage-Based Insurance],Table3[Usage-Based Insurance Discount],,0)</f>
        <v>1</v>
      </c>
      <c r="AD614">
        <f>_xlfn.XLOOKUP(Table1820[[#This Row],[Yearly Miles]],Table4[Yearly Miles],Table4[Yearly Miles Factor],,0)</f>
        <v>0.82</v>
      </c>
      <c r="AE614">
        <f>_xlfn.XLOOKUP(Table1820[[#This Row],[City/Zip Code]],Table5[City/Zip Code],Table5[City/Zip Code Factor],,0)</f>
        <v>1.02</v>
      </c>
      <c r="AF614">
        <f>_xlfn.XLOOKUP(Table1820[[#This Row],[Vehicle Price]],Table6[Vehicle Price],Table6[Vehicle Price Factor])</f>
        <v>1.57</v>
      </c>
      <c r="AG614">
        <f>_xlfn.XLOOKUP(Table1820[[#This Row],[Exotic Car]],Table7[Exotic Car],Table7[Exotic Car Factor],,0)</f>
        <v>1</v>
      </c>
      <c r="AH614">
        <f>_xlfn.XLOOKUP(Table1820[[#This Row],[Difficult Parts]],Table8[Difficult Parts],Table8[Difficult Parts Factor],,0)</f>
        <v>1</v>
      </c>
      <c r="AI614">
        <f>_xlfn.XLOOKUP(Table1820[[#This Row],[High Theft Rate]],Table9[High Theft Rate],Table9[High Theft Rate Factor],,0)</f>
        <v>1</v>
      </c>
      <c r="AJ614">
        <f>_xlfn.XLOOKUP(Table1820[[#This Row],[Advanced Safety Features]],Table10[Advanced Safety Features],Table10[Advanced Safety Features Factor],,0)</f>
        <v>1</v>
      </c>
      <c r="AK614">
        <f>_xlfn.XLOOKUP(Table1820[[#This Row],[Deductible]],Table12[Deductible],Table12[Deductible Factor],,0)</f>
        <v>1</v>
      </c>
      <c r="AL614">
        <f>_xlfn.XLOOKUP(Table1820[[#This Row],[Coverage Limit]],Table13[Coverage Limit],Table13[Coverage Limit Factor],,0)</f>
        <v>0.61</v>
      </c>
      <c r="AM614">
        <f>IF(Table1820[[#This Row],[Good Student Discount]]="Yes",'Rate Book'!$D$126,1)</f>
        <v>1</v>
      </c>
      <c r="AN614">
        <f>IF(Table1820[[#This Row],[Good Driver Discount]]="Yes",'Rate Book'!$D$127,1)</f>
        <v>1</v>
      </c>
      <c r="AO614">
        <f>IF(Table1820[[#This Row],[Multi Policy Discount]]="Yes",'Rate Book'!$D$128,1)</f>
        <v>1</v>
      </c>
      <c r="AP614">
        <f>IF(Table1820[[#This Row],[Loyal Customer Discount]]="Yes",'Rate Book'!$D$129,1)</f>
        <v>1</v>
      </c>
      <c r="AQ614">
        <f>IF(Table1820[[#This Row],[Organization Discount]]="Yes",'Rate Book'!$D$130,1)</f>
        <v>1</v>
      </c>
      <c r="AR614" cm="1">
        <f t="array" ref="AR614">IF(Table1820[[#This Row],[Effective Date]]&gt;=RateChangeTable[Effective Date],RateChangeTable[Rate Change Factor],1)</f>
        <v>1.06</v>
      </c>
      <c r="AS614" s="10">
        <f>PRODUCT(Table1820[[#This Row],[Base Rate]:[Rate Change Factor]])</f>
        <v>54.508815991853346</v>
      </c>
      <c r="AT614" s="9">
        <f>Table1820[[#This Row],[System-Generated Premium]]-Table1820[[#This Row],[Expected Premium]]</f>
        <v>0</v>
      </c>
      <c r="AU614" t="str">
        <f>IF(Table1820[[#This Row],[Difference]]=0,"PASS","FAIL")</f>
        <v>PASS</v>
      </c>
      <c r="AV614" s="9">
        <f>ABS(Table1820[[#This Row],[Difference]])</f>
        <v>0</v>
      </c>
      <c r="AW614" s="9" t="s">
        <v>1136</v>
      </c>
    </row>
    <row r="615" spans="1:49" x14ac:dyDescent="0.3">
      <c r="A615" t="s">
        <v>706</v>
      </c>
      <c r="B615" s="7">
        <v>46002</v>
      </c>
      <c r="C615" t="s">
        <v>70</v>
      </c>
      <c r="D615" t="s">
        <v>1098</v>
      </c>
      <c r="E615" s="3">
        <v>4</v>
      </c>
      <c r="F615" s="3">
        <v>1</v>
      </c>
      <c r="G615" t="s">
        <v>12</v>
      </c>
      <c r="H615" t="s">
        <v>1109</v>
      </c>
      <c r="I615" t="s">
        <v>33</v>
      </c>
      <c r="J615" t="s">
        <v>52</v>
      </c>
      <c r="K615" t="s">
        <v>57</v>
      </c>
      <c r="L615" t="s">
        <v>57</v>
      </c>
      <c r="M615" t="s">
        <v>10</v>
      </c>
      <c r="N615" t="s">
        <v>10</v>
      </c>
      <c r="O615" t="str">
        <f>INDEX(CoverageTable[Deductible Applies],MATCH(Table1820[[#This Row],[Coverage]],CoverageTable[Coverage],0))</f>
        <v>No</v>
      </c>
      <c r="P615" t="str">
        <f>INDEX(CoverageTable[Coverage Limit Applies],MATCH(Table1820[[#This Row],[Coverage]],CoverageTable[Coverage],0))</f>
        <v>Yes</v>
      </c>
      <c r="Q615" t="s">
        <v>10</v>
      </c>
      <c r="R615" t="s">
        <v>79</v>
      </c>
      <c r="S615" t="s">
        <v>10</v>
      </c>
      <c r="T615" t="s">
        <v>10</v>
      </c>
      <c r="U615" t="s">
        <v>10</v>
      </c>
      <c r="V615" t="s">
        <v>10</v>
      </c>
      <c r="W615" t="s">
        <v>10</v>
      </c>
      <c r="X615" s="11">
        <v>1987.4572221481524</v>
      </c>
      <c r="Y615">
        <f>_xlfn.XLOOKUP(Table1820[[#This Row],[Coverage]],CoverageTable[Coverage],CoverageTable[Base Rate],,0)</f>
        <v>622</v>
      </c>
      <c r="Z615">
        <f>INDEX(Table16[Ageband Factor],MATCH(Table1820[[#This Row],[Ageband]],Table16[Ageband],0))</f>
        <v>1.23</v>
      </c>
      <c r="AA615">
        <f>VLOOKUP(Table1820[[#This Row],[Years Driving]],Table1[],2)</f>
        <v>1.1499999999999999</v>
      </c>
      <c r="AB615">
        <f>_xlfn.XLOOKUP(Table1820[[#This Row],[At Fault Accidents]],Table2[At Fault Accidents],Table2[At Fault Accident Factor],,0)</f>
        <v>1.34</v>
      </c>
      <c r="AC615">
        <f>_xlfn.XLOOKUP(Table1820[[#This Row],[Usage-Based Insurance]],Table3[Usage-Based Insurance],Table3[Usage-Based Insurance Discount],,0)</f>
        <v>0.8</v>
      </c>
      <c r="AD615">
        <f>_xlfn.XLOOKUP(Table1820[[#This Row],[Yearly Miles]],Table4[Yearly Miles],Table4[Yearly Miles Factor],,0)</f>
        <v>1.18</v>
      </c>
      <c r="AE615">
        <f>_xlfn.XLOOKUP(Table1820[[#This Row],[City/Zip Code]],Table5[City/Zip Code],Table5[City/Zip Code Factor],,0)</f>
        <v>1.02</v>
      </c>
      <c r="AF615">
        <f>_xlfn.XLOOKUP(Table1820[[#This Row],[Vehicle Price]],Table6[Vehicle Price],Table6[Vehicle Price Factor])</f>
        <v>1.57</v>
      </c>
      <c r="AG615">
        <f>_xlfn.XLOOKUP(Table1820[[#This Row],[Exotic Car]],Table7[Exotic Car],Table7[Exotic Car Factor],,0)</f>
        <v>1.28</v>
      </c>
      <c r="AH615">
        <f>_xlfn.XLOOKUP(Table1820[[#This Row],[Difficult Parts]],Table8[Difficult Parts],Table8[Difficult Parts Factor],,0)</f>
        <v>1.21</v>
      </c>
      <c r="AI615">
        <f>_xlfn.XLOOKUP(Table1820[[#This Row],[High Theft Rate]],Table9[High Theft Rate],Table9[High Theft Rate Factor],,0)</f>
        <v>1</v>
      </c>
      <c r="AJ615">
        <f>_xlfn.XLOOKUP(Table1820[[#This Row],[Advanced Safety Features]],Table10[Advanced Safety Features],Table10[Advanced Safety Features Factor],,0)</f>
        <v>1</v>
      </c>
      <c r="AK615">
        <f>_xlfn.XLOOKUP(Table1820[[#This Row],[Deductible]],Table12[Deductible],Table12[Deductible Factor],,0)</f>
        <v>1</v>
      </c>
      <c r="AL615">
        <f>_xlfn.XLOOKUP(Table1820[[#This Row],[Coverage Limit]],Table13[Coverage Limit],Table13[Coverage Limit Factor],,0)</f>
        <v>0.72</v>
      </c>
      <c r="AM615">
        <f>IF(Table1820[[#This Row],[Good Student Discount]]="Yes",'Rate Book'!$D$126,1)</f>
        <v>1</v>
      </c>
      <c r="AN615">
        <f>IF(Table1820[[#This Row],[Good Driver Discount]]="Yes",'Rate Book'!$D$127,1)</f>
        <v>1</v>
      </c>
      <c r="AO615">
        <f>IF(Table1820[[#This Row],[Multi Policy Discount]]="Yes",'Rate Book'!$D$128,1)</f>
        <v>1</v>
      </c>
      <c r="AP615">
        <f>IF(Table1820[[#This Row],[Loyal Customer Discount]]="Yes",'Rate Book'!$D$129,1)</f>
        <v>1</v>
      </c>
      <c r="AQ615">
        <f>IF(Table1820[[#This Row],[Organization Discount]]="Yes",'Rate Book'!$D$130,1)</f>
        <v>1</v>
      </c>
      <c r="AR615" cm="1">
        <f t="array" ref="AR615">IF(Table1820[[#This Row],[Effective Date]]&gt;=RateChangeTable[Effective Date],RateChangeTable[Rate Change Factor],1)</f>
        <v>1</v>
      </c>
      <c r="AS615" s="10">
        <f>PRODUCT(Table1820[[#This Row],[Base Rate]:[Rate Change Factor]])</f>
        <v>1987.4572221481524</v>
      </c>
      <c r="AT615" s="9">
        <f>Table1820[[#This Row],[System-Generated Premium]]-Table1820[[#This Row],[Expected Premium]]</f>
        <v>0</v>
      </c>
      <c r="AU615" t="str">
        <f>IF(Table1820[[#This Row],[Difference]]=0,"PASS","FAIL")</f>
        <v>PASS</v>
      </c>
      <c r="AV615" s="9">
        <f>ABS(Table1820[[#This Row],[Difference]])</f>
        <v>0</v>
      </c>
      <c r="AW615" s="9" t="s">
        <v>1136</v>
      </c>
    </row>
    <row r="616" spans="1:49" x14ac:dyDescent="0.3">
      <c r="A616" t="s">
        <v>707</v>
      </c>
      <c r="B616" s="7">
        <v>46122</v>
      </c>
      <c r="C616" t="s">
        <v>71</v>
      </c>
      <c r="D616" t="s">
        <v>1100</v>
      </c>
      <c r="E616" s="3">
        <v>7</v>
      </c>
      <c r="F616" s="3">
        <v>1</v>
      </c>
      <c r="G616" t="s">
        <v>10</v>
      </c>
      <c r="H616" t="s">
        <v>1110</v>
      </c>
      <c r="I616" t="s">
        <v>27</v>
      </c>
      <c r="J616" t="s">
        <v>50</v>
      </c>
      <c r="K616" t="s">
        <v>10</v>
      </c>
      <c r="L616" t="s">
        <v>10</v>
      </c>
      <c r="M616" t="s">
        <v>10</v>
      </c>
      <c r="N616" t="s">
        <v>57</v>
      </c>
      <c r="O616" t="str">
        <f>INDEX(CoverageTable[Deductible Applies],MATCH(Table1820[[#This Row],[Coverage]],CoverageTable[Coverage],0))</f>
        <v>Yes</v>
      </c>
      <c r="P616" t="str">
        <f>INDEX(CoverageTable[Coverage Limit Applies],MATCH(Table1820[[#This Row],[Coverage]],CoverageTable[Coverage],0))</f>
        <v>No</v>
      </c>
      <c r="Q616" t="s">
        <v>80</v>
      </c>
      <c r="R616" t="s">
        <v>10</v>
      </c>
      <c r="S616" t="s">
        <v>10</v>
      </c>
      <c r="T616" t="s">
        <v>10</v>
      </c>
      <c r="U616" t="s">
        <v>10</v>
      </c>
      <c r="V616" t="s">
        <v>10</v>
      </c>
      <c r="W616" t="s">
        <v>10</v>
      </c>
      <c r="X616" s="11">
        <v>551.13034270173432</v>
      </c>
      <c r="Y616">
        <f>_xlfn.XLOOKUP(Table1820[[#This Row],[Coverage]],CoverageTable[Coverage],CoverageTable[Base Rate],,0)</f>
        <v>453</v>
      </c>
      <c r="Z616">
        <f>INDEX(Table16[Ageband Factor],MATCH(Table1820[[#This Row],[Ageband]],Table16[Ageband],0))</f>
        <v>1.07</v>
      </c>
      <c r="AA616">
        <f>VLOOKUP(Table1820[[#This Row],[Years Driving]],Table1[],2)</f>
        <v>0.95</v>
      </c>
      <c r="AB616">
        <f>_xlfn.XLOOKUP(Table1820[[#This Row],[At Fault Accidents]],Table2[At Fault Accidents],Table2[At Fault Accident Factor],,0)</f>
        <v>1.34</v>
      </c>
      <c r="AC616">
        <f>_xlfn.XLOOKUP(Table1820[[#This Row],[Usage-Based Insurance]],Table3[Usage-Based Insurance],Table3[Usage-Based Insurance Discount],,0)</f>
        <v>1</v>
      </c>
      <c r="AD616">
        <f>_xlfn.XLOOKUP(Table1820[[#This Row],[Yearly Miles]],Table4[Yearly Miles],Table4[Yearly Miles Factor],,0)</f>
        <v>1.31</v>
      </c>
      <c r="AE616">
        <f>_xlfn.XLOOKUP(Table1820[[#This Row],[City/Zip Code]],Table5[City/Zip Code],Table5[City/Zip Code Factor],,0)</f>
        <v>0.94</v>
      </c>
      <c r="AF616">
        <f>_xlfn.XLOOKUP(Table1820[[#This Row],[Vehicle Price]],Table6[Vehicle Price],Table6[Vehicle Price Factor])</f>
        <v>1.08</v>
      </c>
      <c r="AG616">
        <f>_xlfn.XLOOKUP(Table1820[[#This Row],[Exotic Car]],Table7[Exotic Car],Table7[Exotic Car Factor],,0)</f>
        <v>1</v>
      </c>
      <c r="AH616">
        <f>_xlfn.XLOOKUP(Table1820[[#This Row],[Difficult Parts]],Table8[Difficult Parts],Table8[Difficult Parts Factor],,0)</f>
        <v>1</v>
      </c>
      <c r="AI616">
        <f>_xlfn.XLOOKUP(Table1820[[#This Row],[High Theft Rate]],Table9[High Theft Rate],Table9[High Theft Rate Factor],,0)</f>
        <v>1</v>
      </c>
      <c r="AJ616">
        <f>_xlfn.XLOOKUP(Table1820[[#This Row],[Advanced Safety Features]],Table10[Advanced Safety Features],Table10[Advanced Safety Features Factor],,0)</f>
        <v>0.88</v>
      </c>
      <c r="AK616">
        <f>_xlfn.XLOOKUP(Table1820[[#This Row],[Deductible]],Table12[Deductible],Table12[Deductible Factor],,0)</f>
        <v>0.72</v>
      </c>
      <c r="AL616">
        <f>_xlfn.XLOOKUP(Table1820[[#This Row],[Coverage Limit]],Table13[Coverage Limit],Table13[Coverage Limit Factor],,0)</f>
        <v>1</v>
      </c>
      <c r="AM616">
        <f>IF(Table1820[[#This Row],[Good Student Discount]]="Yes",'Rate Book'!$D$126,1)</f>
        <v>1</v>
      </c>
      <c r="AN616">
        <f>IF(Table1820[[#This Row],[Good Driver Discount]]="Yes",'Rate Book'!$D$127,1)</f>
        <v>1</v>
      </c>
      <c r="AO616">
        <f>IF(Table1820[[#This Row],[Multi Policy Discount]]="Yes",'Rate Book'!$D$128,1)</f>
        <v>1</v>
      </c>
      <c r="AP616">
        <f>IF(Table1820[[#This Row],[Loyal Customer Discount]]="Yes",'Rate Book'!$D$129,1)</f>
        <v>1</v>
      </c>
      <c r="AQ616">
        <f>IF(Table1820[[#This Row],[Organization Discount]]="Yes",'Rate Book'!$D$130,1)</f>
        <v>1</v>
      </c>
      <c r="AR616" cm="1">
        <f t="array" ref="AR616">IF(Table1820[[#This Row],[Effective Date]]&gt;=RateChangeTable[Effective Date],RateChangeTable[Rate Change Factor],1)</f>
        <v>1.06</v>
      </c>
      <c r="AS616" s="10">
        <f>PRODUCT(Table1820[[#This Row],[Base Rate]:[Rate Change Factor]])</f>
        <v>551.13034270173432</v>
      </c>
      <c r="AT616" s="9">
        <f>Table1820[[#This Row],[System-Generated Premium]]-Table1820[[#This Row],[Expected Premium]]</f>
        <v>0</v>
      </c>
      <c r="AU616" t="str">
        <f>IF(Table1820[[#This Row],[Difference]]=0,"PASS","FAIL")</f>
        <v>PASS</v>
      </c>
      <c r="AV616" s="9">
        <f>ABS(Table1820[[#This Row],[Difference]])</f>
        <v>0</v>
      </c>
      <c r="AW616" s="9" t="s">
        <v>1136</v>
      </c>
    </row>
    <row r="617" spans="1:49" x14ac:dyDescent="0.3">
      <c r="A617" t="s">
        <v>708</v>
      </c>
      <c r="B617" s="7">
        <v>46020</v>
      </c>
      <c r="C617" t="s">
        <v>71</v>
      </c>
      <c r="D617" t="s">
        <v>1098</v>
      </c>
      <c r="E617" s="3" t="s">
        <v>1103</v>
      </c>
      <c r="F617" s="3">
        <v>0</v>
      </c>
      <c r="G617" t="s">
        <v>13</v>
      </c>
      <c r="H617" t="s">
        <v>1108</v>
      </c>
      <c r="I617" t="s">
        <v>42</v>
      </c>
      <c r="J617" t="s">
        <v>53</v>
      </c>
      <c r="K617" t="s">
        <v>57</v>
      </c>
      <c r="L617" t="s">
        <v>57</v>
      </c>
      <c r="M617" t="s">
        <v>57</v>
      </c>
      <c r="N617" t="s">
        <v>57</v>
      </c>
      <c r="O617" t="str">
        <f>INDEX(CoverageTable[Deductible Applies],MATCH(Table1820[[#This Row],[Coverage]],CoverageTable[Coverage],0))</f>
        <v>Yes</v>
      </c>
      <c r="P617" t="str">
        <f>INDEX(CoverageTable[Coverage Limit Applies],MATCH(Table1820[[#This Row],[Coverage]],CoverageTable[Coverage],0))</f>
        <v>No</v>
      </c>
      <c r="Q617" t="s">
        <v>78</v>
      </c>
      <c r="R617" t="s">
        <v>10</v>
      </c>
      <c r="S617" t="s">
        <v>10</v>
      </c>
      <c r="T617" t="s">
        <v>10</v>
      </c>
      <c r="U617" t="s">
        <v>10</v>
      </c>
      <c r="V617" t="s">
        <v>10</v>
      </c>
      <c r="W617" t="s">
        <v>10</v>
      </c>
      <c r="X617" s="11">
        <v>1236.5052511315912</v>
      </c>
      <c r="Y617">
        <f>_xlfn.XLOOKUP(Table1820[[#This Row],[Coverage]],CoverageTable[Coverage],CoverageTable[Base Rate],,0)</f>
        <v>453</v>
      </c>
      <c r="Z617">
        <f>INDEX(Table16[Ageband Factor],MATCH(Table1820[[#This Row],[Ageband]],Table16[Ageband],0))</f>
        <v>1.23</v>
      </c>
      <c r="AA617">
        <f>VLOOKUP(Table1820[[#This Row],[Years Driving]],Table1[],2)</f>
        <v>0.93</v>
      </c>
      <c r="AB617">
        <f>_xlfn.XLOOKUP(Table1820[[#This Row],[At Fault Accidents]],Table2[At Fault Accidents],Table2[At Fault Accident Factor],,0)</f>
        <v>1</v>
      </c>
      <c r="AC617">
        <f>_xlfn.XLOOKUP(Table1820[[#This Row],[Usage-Based Insurance]],Table3[Usage-Based Insurance],Table3[Usage-Based Insurance Discount],,0)</f>
        <v>0.65</v>
      </c>
      <c r="AD617">
        <f>_xlfn.XLOOKUP(Table1820[[#This Row],[Yearly Miles]],Table4[Yearly Miles],Table4[Yearly Miles Factor],,0)</f>
        <v>1</v>
      </c>
      <c r="AE617">
        <f>_xlfn.XLOOKUP(Table1820[[#This Row],[City/Zip Code]],Table5[City/Zip Code],Table5[City/Zip Code Factor],,0)</f>
        <v>1.21</v>
      </c>
      <c r="AF617">
        <f>_xlfn.XLOOKUP(Table1820[[#This Row],[Vehicle Price]],Table6[Vehicle Price],Table6[Vehicle Price Factor])</f>
        <v>2.02</v>
      </c>
      <c r="AG617">
        <f>_xlfn.XLOOKUP(Table1820[[#This Row],[Exotic Car]],Table7[Exotic Car],Table7[Exotic Car Factor],,0)</f>
        <v>1.28</v>
      </c>
      <c r="AH617">
        <f>_xlfn.XLOOKUP(Table1820[[#This Row],[Difficult Parts]],Table8[Difficult Parts],Table8[Difficult Parts Factor],,0)</f>
        <v>1.21</v>
      </c>
      <c r="AI617">
        <f>_xlfn.XLOOKUP(Table1820[[#This Row],[High Theft Rate]],Table9[High Theft Rate],Table9[High Theft Rate Factor],,0)</f>
        <v>1.1599999999999999</v>
      </c>
      <c r="AJ617">
        <f>_xlfn.XLOOKUP(Table1820[[#This Row],[Advanced Safety Features]],Table10[Advanced Safety Features],Table10[Advanced Safety Features Factor],,0)</f>
        <v>0.88</v>
      </c>
      <c r="AK617">
        <f>_xlfn.XLOOKUP(Table1820[[#This Row],[Deductible]],Table12[Deductible],Table12[Deductible Factor],,0)</f>
        <v>0.95</v>
      </c>
      <c r="AL617">
        <f>_xlfn.XLOOKUP(Table1820[[#This Row],[Coverage Limit]],Table13[Coverage Limit],Table13[Coverage Limit Factor],,0)</f>
        <v>1</v>
      </c>
      <c r="AM617">
        <f>IF(Table1820[[#This Row],[Good Student Discount]]="Yes",'Rate Book'!$D$126,1)</f>
        <v>1</v>
      </c>
      <c r="AN617">
        <f>IF(Table1820[[#This Row],[Good Driver Discount]]="Yes",'Rate Book'!$D$127,1)</f>
        <v>1</v>
      </c>
      <c r="AO617">
        <f>IF(Table1820[[#This Row],[Multi Policy Discount]]="Yes",'Rate Book'!$D$128,1)</f>
        <v>1</v>
      </c>
      <c r="AP617">
        <f>IF(Table1820[[#This Row],[Loyal Customer Discount]]="Yes",'Rate Book'!$D$129,1)</f>
        <v>1</v>
      </c>
      <c r="AQ617">
        <f>IF(Table1820[[#This Row],[Organization Discount]]="Yes",'Rate Book'!$D$130,1)</f>
        <v>1</v>
      </c>
      <c r="AR617" cm="1">
        <f t="array" ref="AR617">IF(Table1820[[#This Row],[Effective Date]]&gt;=RateChangeTable[Effective Date],RateChangeTable[Rate Change Factor],1)</f>
        <v>1</v>
      </c>
      <c r="AS617" s="10">
        <f>PRODUCT(Table1820[[#This Row],[Base Rate]:[Rate Change Factor]])</f>
        <v>1236.5052511315912</v>
      </c>
      <c r="AT617" s="9">
        <f>Table1820[[#This Row],[System-Generated Premium]]-Table1820[[#This Row],[Expected Premium]]</f>
        <v>0</v>
      </c>
      <c r="AU617" t="str">
        <f>IF(Table1820[[#This Row],[Difference]]=0,"PASS","FAIL")</f>
        <v>PASS</v>
      </c>
      <c r="AV617" s="9">
        <f>ABS(Table1820[[#This Row],[Difference]])</f>
        <v>0</v>
      </c>
      <c r="AW617" s="9" t="s">
        <v>1136</v>
      </c>
    </row>
    <row r="618" spans="1:49" x14ac:dyDescent="0.3">
      <c r="A618" t="s">
        <v>709</v>
      </c>
      <c r="B618" s="7">
        <v>45866</v>
      </c>
      <c r="C618" t="s">
        <v>72</v>
      </c>
      <c r="D618" t="s">
        <v>1097</v>
      </c>
      <c r="E618" s="3">
        <v>1</v>
      </c>
      <c r="F618" s="3">
        <v>3</v>
      </c>
      <c r="G618" t="s">
        <v>10</v>
      </c>
      <c r="H618" t="s">
        <v>1106</v>
      </c>
      <c r="I618" t="s">
        <v>41</v>
      </c>
      <c r="J618" t="s">
        <v>53</v>
      </c>
      <c r="K618" t="s">
        <v>10</v>
      </c>
      <c r="L618" t="s">
        <v>10</v>
      </c>
      <c r="M618" t="s">
        <v>10</v>
      </c>
      <c r="N618" t="s">
        <v>10</v>
      </c>
      <c r="O618" t="str">
        <f>INDEX(CoverageTable[Deductible Applies],MATCH(Table1820[[#This Row],[Coverage]],CoverageTable[Coverage],0))</f>
        <v>Yes</v>
      </c>
      <c r="P618" t="str">
        <f>INDEX(CoverageTable[Coverage Limit Applies],MATCH(Table1820[[#This Row],[Coverage]],CoverageTable[Coverage],0))</f>
        <v>No</v>
      </c>
      <c r="Q618" t="s">
        <v>79</v>
      </c>
      <c r="R618" t="s">
        <v>10</v>
      </c>
      <c r="S618" t="s">
        <v>10</v>
      </c>
      <c r="T618" t="s">
        <v>57</v>
      </c>
      <c r="U618" t="s">
        <v>10</v>
      </c>
      <c r="V618" t="s">
        <v>10</v>
      </c>
      <c r="W618" t="s">
        <v>10</v>
      </c>
      <c r="X618" s="11">
        <v>678.90169418072583</v>
      </c>
      <c r="Y618">
        <f>_xlfn.XLOOKUP(Table1820[[#This Row],[Coverage]],CoverageTable[Coverage],CoverageTable[Base Rate],,0)</f>
        <v>121</v>
      </c>
      <c r="Z618">
        <f>INDEX(Table16[Ageband Factor],MATCH(Table1820[[#This Row],[Ageband]],Table16[Ageband],0))</f>
        <v>1.32</v>
      </c>
      <c r="AA618">
        <f>VLOOKUP(Table1820[[#This Row],[Years Driving]],Table1[],2)</f>
        <v>1.64</v>
      </c>
      <c r="AB618">
        <f>_xlfn.XLOOKUP(Table1820[[#This Row],[At Fault Accidents]],Table2[At Fault Accidents],Table2[At Fault Accident Factor],,0)</f>
        <v>1.82</v>
      </c>
      <c r="AC618">
        <f>_xlfn.XLOOKUP(Table1820[[#This Row],[Usage-Based Insurance]],Table3[Usage-Based Insurance],Table3[Usage-Based Insurance Discount],,0)</f>
        <v>1</v>
      </c>
      <c r="AD618">
        <f>_xlfn.XLOOKUP(Table1820[[#This Row],[Yearly Miles]],Table4[Yearly Miles],Table4[Yearly Miles Factor],,0)</f>
        <v>0.82</v>
      </c>
      <c r="AE618">
        <f>_xlfn.XLOOKUP(Table1820[[#This Row],[City/Zip Code]],Table5[City/Zip Code],Table5[City/Zip Code Factor],,0)</f>
        <v>1.1499999999999999</v>
      </c>
      <c r="AF618">
        <f>_xlfn.XLOOKUP(Table1820[[#This Row],[Vehicle Price]],Table6[Vehicle Price],Table6[Vehicle Price Factor])</f>
        <v>2.02</v>
      </c>
      <c r="AG618">
        <f>_xlfn.XLOOKUP(Table1820[[#This Row],[Exotic Car]],Table7[Exotic Car],Table7[Exotic Car Factor],,0)</f>
        <v>1</v>
      </c>
      <c r="AH618">
        <f>_xlfn.XLOOKUP(Table1820[[#This Row],[Difficult Parts]],Table8[Difficult Parts],Table8[Difficult Parts Factor],,0)</f>
        <v>1</v>
      </c>
      <c r="AI618">
        <f>_xlfn.XLOOKUP(Table1820[[#This Row],[High Theft Rate]],Table9[High Theft Rate],Table9[High Theft Rate Factor],,0)</f>
        <v>1</v>
      </c>
      <c r="AJ618">
        <f>_xlfn.XLOOKUP(Table1820[[#This Row],[Advanced Safety Features]],Table10[Advanced Safety Features],Table10[Advanced Safety Features Factor],,0)</f>
        <v>1</v>
      </c>
      <c r="AK618">
        <f>_xlfn.XLOOKUP(Table1820[[#This Row],[Deductible]],Table12[Deductible],Table12[Deductible Factor],,0)</f>
        <v>0.84</v>
      </c>
      <c r="AL618">
        <f>_xlfn.XLOOKUP(Table1820[[#This Row],[Coverage Limit]],Table13[Coverage Limit],Table13[Coverage Limit Factor],,0)</f>
        <v>1</v>
      </c>
      <c r="AM618">
        <f>IF(Table1820[[#This Row],[Good Student Discount]]="Yes",'Rate Book'!$D$126,1)</f>
        <v>1</v>
      </c>
      <c r="AN618">
        <f>IF(Table1820[[#This Row],[Good Driver Discount]]="Yes",'Rate Book'!$D$127,1)</f>
        <v>0.89</v>
      </c>
      <c r="AO618">
        <f>IF(Table1820[[#This Row],[Multi Policy Discount]]="Yes",'Rate Book'!$D$128,1)</f>
        <v>1</v>
      </c>
      <c r="AP618">
        <f>IF(Table1820[[#This Row],[Loyal Customer Discount]]="Yes",'Rate Book'!$D$129,1)</f>
        <v>1</v>
      </c>
      <c r="AQ618">
        <f>IF(Table1820[[#This Row],[Organization Discount]]="Yes",'Rate Book'!$D$130,1)</f>
        <v>1</v>
      </c>
      <c r="AR618" cm="1">
        <f t="array" ref="AR618">IF(Table1820[[#This Row],[Effective Date]]&gt;=RateChangeTable[Effective Date],RateChangeTable[Rate Change Factor],1)</f>
        <v>1</v>
      </c>
      <c r="AS618" s="10">
        <f>PRODUCT(Table1820[[#This Row],[Base Rate]:[Rate Change Factor]])</f>
        <v>678.90169418072583</v>
      </c>
      <c r="AT618" s="9">
        <f>Table1820[[#This Row],[System-Generated Premium]]-Table1820[[#This Row],[Expected Premium]]</f>
        <v>0</v>
      </c>
      <c r="AU618" t="str">
        <f>IF(Table1820[[#This Row],[Difference]]=0,"PASS","FAIL")</f>
        <v>PASS</v>
      </c>
      <c r="AV618" s="9">
        <f>ABS(Table1820[[#This Row],[Difference]])</f>
        <v>0</v>
      </c>
      <c r="AW618" s="9" t="s">
        <v>1136</v>
      </c>
    </row>
    <row r="619" spans="1:49" x14ac:dyDescent="0.3">
      <c r="A619" t="s">
        <v>710</v>
      </c>
      <c r="B619" s="7">
        <v>45820</v>
      </c>
      <c r="C619" t="s">
        <v>71</v>
      </c>
      <c r="D619" t="s">
        <v>1101</v>
      </c>
      <c r="E619" s="3">
        <v>5</v>
      </c>
      <c r="F619" s="3">
        <v>4</v>
      </c>
      <c r="G619" t="s">
        <v>10</v>
      </c>
      <c r="H619" t="s">
        <v>1108</v>
      </c>
      <c r="I619" t="s">
        <v>34</v>
      </c>
      <c r="J619" t="s">
        <v>51</v>
      </c>
      <c r="K619" t="s">
        <v>10</v>
      </c>
      <c r="L619" t="s">
        <v>10</v>
      </c>
      <c r="M619" t="s">
        <v>10</v>
      </c>
      <c r="N619" t="s">
        <v>10</v>
      </c>
      <c r="O619" t="str">
        <f>INDEX(CoverageTable[Deductible Applies],MATCH(Table1820[[#This Row],[Coverage]],CoverageTable[Coverage],0))</f>
        <v>Yes</v>
      </c>
      <c r="P619" t="str">
        <f>INDEX(CoverageTable[Coverage Limit Applies],MATCH(Table1820[[#This Row],[Coverage]],CoverageTable[Coverage],0))</f>
        <v>No</v>
      </c>
      <c r="Q619" t="s">
        <v>80</v>
      </c>
      <c r="R619" t="s">
        <v>10</v>
      </c>
      <c r="S619" t="s">
        <v>10</v>
      </c>
      <c r="T619" t="s">
        <v>10</v>
      </c>
      <c r="U619" t="s">
        <v>57</v>
      </c>
      <c r="V619" t="s">
        <v>10</v>
      </c>
      <c r="W619" t="s">
        <v>10</v>
      </c>
      <c r="X619" s="11">
        <v>1538.8131051778871</v>
      </c>
      <c r="Y619">
        <f>_xlfn.XLOOKUP(Table1820[[#This Row],[Coverage]],CoverageTable[Coverage],CoverageTable[Base Rate],,0)</f>
        <v>453</v>
      </c>
      <c r="Z619">
        <f>INDEX(Table16[Ageband Factor],MATCH(Table1820[[#This Row],[Ageband]],Table16[Ageband],0))</f>
        <v>1.1200000000000001</v>
      </c>
      <c r="AA619">
        <f>VLOOKUP(Table1820[[#This Row],[Years Driving]],Table1[],2)</f>
        <v>1.07</v>
      </c>
      <c r="AB619">
        <f>_xlfn.XLOOKUP(Table1820[[#This Row],[At Fault Accidents]],Table2[At Fault Accidents],Table2[At Fault Accident Factor],,0)</f>
        <v>2.12</v>
      </c>
      <c r="AC619">
        <f>_xlfn.XLOOKUP(Table1820[[#This Row],[Usage-Based Insurance]],Table3[Usage-Based Insurance],Table3[Usage-Based Insurance Discount],,0)</f>
        <v>1</v>
      </c>
      <c r="AD619">
        <f>_xlfn.XLOOKUP(Table1820[[#This Row],[Yearly Miles]],Table4[Yearly Miles],Table4[Yearly Miles Factor],,0)</f>
        <v>1</v>
      </c>
      <c r="AE619">
        <f>_xlfn.XLOOKUP(Table1820[[#This Row],[City/Zip Code]],Table5[City/Zip Code],Table5[City/Zip Code Factor],,0)</f>
        <v>1.56</v>
      </c>
      <c r="AF619">
        <f>_xlfn.XLOOKUP(Table1820[[#This Row],[Vehicle Price]],Table6[Vehicle Price],Table6[Vehicle Price Factor])</f>
        <v>1.28</v>
      </c>
      <c r="AG619">
        <f>_xlfn.XLOOKUP(Table1820[[#This Row],[Exotic Car]],Table7[Exotic Car],Table7[Exotic Car Factor],,0)</f>
        <v>1</v>
      </c>
      <c r="AH619">
        <f>_xlfn.XLOOKUP(Table1820[[#This Row],[Difficult Parts]],Table8[Difficult Parts],Table8[Difficult Parts Factor],,0)</f>
        <v>1</v>
      </c>
      <c r="AI619">
        <f>_xlfn.XLOOKUP(Table1820[[#This Row],[High Theft Rate]],Table9[High Theft Rate],Table9[High Theft Rate Factor],,0)</f>
        <v>1</v>
      </c>
      <c r="AJ619">
        <f>_xlfn.XLOOKUP(Table1820[[#This Row],[Advanced Safety Features]],Table10[Advanced Safety Features],Table10[Advanced Safety Features Factor],,0)</f>
        <v>1</v>
      </c>
      <c r="AK619">
        <f>_xlfn.XLOOKUP(Table1820[[#This Row],[Deductible]],Table12[Deductible],Table12[Deductible Factor],,0)</f>
        <v>0.72</v>
      </c>
      <c r="AL619">
        <f>_xlfn.XLOOKUP(Table1820[[#This Row],[Coverage Limit]],Table13[Coverage Limit],Table13[Coverage Limit Factor],,0)</f>
        <v>1</v>
      </c>
      <c r="AM619">
        <f>IF(Table1820[[#This Row],[Good Student Discount]]="Yes",'Rate Book'!$D$126,1)</f>
        <v>1</v>
      </c>
      <c r="AN619">
        <f>IF(Table1820[[#This Row],[Good Driver Discount]]="Yes",'Rate Book'!$D$127,1)</f>
        <v>1</v>
      </c>
      <c r="AO619">
        <f>IF(Table1820[[#This Row],[Multi Policy Discount]]="Yes",'Rate Book'!$D$128,1)</f>
        <v>0.93</v>
      </c>
      <c r="AP619">
        <f>IF(Table1820[[#This Row],[Loyal Customer Discount]]="Yes",'Rate Book'!$D$129,1)</f>
        <v>1</v>
      </c>
      <c r="AQ619">
        <f>IF(Table1820[[#This Row],[Organization Discount]]="Yes",'Rate Book'!$D$130,1)</f>
        <v>1</v>
      </c>
      <c r="AR619" cm="1">
        <f t="array" ref="AR619">IF(Table1820[[#This Row],[Effective Date]]&gt;=RateChangeTable[Effective Date],RateChangeTable[Rate Change Factor],1)</f>
        <v>1</v>
      </c>
      <c r="AS619" s="10">
        <f>PRODUCT(Table1820[[#This Row],[Base Rate]:[Rate Change Factor]])</f>
        <v>1538.8131051778871</v>
      </c>
      <c r="AT619" s="9">
        <f>Table1820[[#This Row],[System-Generated Premium]]-Table1820[[#This Row],[Expected Premium]]</f>
        <v>0</v>
      </c>
      <c r="AU619" t="str">
        <f>IF(Table1820[[#This Row],[Difference]]=0,"PASS","FAIL")</f>
        <v>PASS</v>
      </c>
      <c r="AV619" s="9">
        <f>ABS(Table1820[[#This Row],[Difference]])</f>
        <v>0</v>
      </c>
      <c r="AW619" s="9" t="s">
        <v>1136</v>
      </c>
    </row>
    <row r="620" spans="1:49" x14ac:dyDescent="0.3">
      <c r="A620" t="s">
        <v>711</v>
      </c>
      <c r="B620" s="7">
        <v>46067</v>
      </c>
      <c r="C620" t="s">
        <v>71</v>
      </c>
      <c r="D620" t="s">
        <v>1100</v>
      </c>
      <c r="E620" s="3">
        <v>2</v>
      </c>
      <c r="F620" s="3">
        <v>0</v>
      </c>
      <c r="G620" t="s">
        <v>11</v>
      </c>
      <c r="H620" t="s">
        <v>1106</v>
      </c>
      <c r="I620" t="s">
        <v>32</v>
      </c>
      <c r="J620" t="s">
        <v>53</v>
      </c>
      <c r="K620" t="s">
        <v>10</v>
      </c>
      <c r="L620" t="s">
        <v>10</v>
      </c>
      <c r="M620" t="s">
        <v>10</v>
      </c>
      <c r="N620" t="s">
        <v>57</v>
      </c>
      <c r="O620" t="str">
        <f>INDEX(CoverageTable[Deductible Applies],MATCH(Table1820[[#This Row],[Coverage]],CoverageTable[Coverage],0))</f>
        <v>Yes</v>
      </c>
      <c r="P620" t="str">
        <f>INDEX(CoverageTable[Coverage Limit Applies],MATCH(Table1820[[#This Row],[Coverage]],CoverageTable[Coverage],0))</f>
        <v>No</v>
      </c>
      <c r="Q620" t="s">
        <v>79</v>
      </c>
      <c r="R620" t="s">
        <v>10</v>
      </c>
      <c r="S620" t="s">
        <v>10</v>
      </c>
      <c r="T620" t="s">
        <v>10</v>
      </c>
      <c r="U620" t="s">
        <v>57</v>
      </c>
      <c r="V620" t="s">
        <v>10</v>
      </c>
      <c r="W620" t="s">
        <v>10</v>
      </c>
      <c r="X620" s="11">
        <v>923.93</v>
      </c>
      <c r="Y620">
        <f>_xlfn.XLOOKUP(Table1820[[#This Row],[Coverage]],CoverageTable[Coverage],CoverageTable[Base Rate],,0)</f>
        <v>453</v>
      </c>
      <c r="Z620">
        <f>INDEX(Table16[Ageband Factor],MATCH(Table1820[[#This Row],[Ageband]],Table16[Ageband],0))</f>
        <v>1.07</v>
      </c>
      <c r="AA620">
        <f>VLOOKUP(Table1820[[#This Row],[Years Driving]],Table1[],2)</f>
        <v>1.41</v>
      </c>
      <c r="AB620">
        <f>_xlfn.XLOOKUP(Table1820[[#This Row],[At Fault Accidents]],Table2[At Fault Accidents],Table2[At Fault Accident Factor],,0)</f>
        <v>1</v>
      </c>
      <c r="AC620">
        <f>_xlfn.XLOOKUP(Table1820[[#This Row],[Usage-Based Insurance]],Table3[Usage-Based Insurance],Table3[Usage-Based Insurance Discount],,0)</f>
        <v>0.95</v>
      </c>
      <c r="AD620">
        <f>_xlfn.XLOOKUP(Table1820[[#This Row],[Yearly Miles]],Table4[Yearly Miles],Table4[Yearly Miles Factor],,0)</f>
        <v>0.82</v>
      </c>
      <c r="AE620">
        <f>_xlfn.XLOOKUP(Table1820[[#This Row],[City/Zip Code]],Table5[City/Zip Code],Table5[City/Zip Code Factor],,0)</f>
        <v>1.1200000000000001</v>
      </c>
      <c r="AF620">
        <f>_xlfn.XLOOKUP(Table1820[[#This Row],[Vehicle Price]],Table6[Vehicle Price],Table6[Vehicle Price Factor])</f>
        <v>2.02</v>
      </c>
      <c r="AG620">
        <f>_xlfn.XLOOKUP(Table1820[[#This Row],[Exotic Car]],Table7[Exotic Car],Table7[Exotic Car Factor],,0)</f>
        <v>1</v>
      </c>
      <c r="AH620">
        <f>_xlfn.XLOOKUP(Table1820[[#This Row],[Difficult Parts]],Table8[Difficult Parts],Table8[Difficult Parts Factor],,0)</f>
        <v>1</v>
      </c>
      <c r="AI620">
        <f>_xlfn.XLOOKUP(Table1820[[#This Row],[High Theft Rate]],Table9[High Theft Rate],Table9[High Theft Rate Factor],,0)</f>
        <v>1</v>
      </c>
      <c r="AJ620">
        <f>_xlfn.XLOOKUP(Table1820[[#This Row],[Advanced Safety Features]],Table10[Advanced Safety Features],Table10[Advanced Safety Features Factor],,0)</f>
        <v>0.88</v>
      </c>
      <c r="AK620">
        <f>_xlfn.XLOOKUP(Table1820[[#This Row],[Deductible]],Table12[Deductible],Table12[Deductible Factor],,0)</f>
        <v>0.84</v>
      </c>
      <c r="AL620">
        <f>_xlfn.XLOOKUP(Table1820[[#This Row],[Coverage Limit]],Table13[Coverage Limit],Table13[Coverage Limit Factor],,0)</f>
        <v>1</v>
      </c>
      <c r="AM620">
        <f>IF(Table1820[[#This Row],[Good Student Discount]]="Yes",'Rate Book'!$D$126,1)</f>
        <v>1</v>
      </c>
      <c r="AN620">
        <f>IF(Table1820[[#This Row],[Good Driver Discount]]="Yes",'Rate Book'!$D$127,1)</f>
        <v>1</v>
      </c>
      <c r="AO620">
        <f>IF(Table1820[[#This Row],[Multi Policy Discount]]="Yes",'Rate Book'!$D$128,1)</f>
        <v>0.93</v>
      </c>
      <c r="AP620">
        <f>IF(Table1820[[#This Row],[Loyal Customer Discount]]="Yes",'Rate Book'!$D$129,1)</f>
        <v>1</v>
      </c>
      <c r="AQ620">
        <f>IF(Table1820[[#This Row],[Organization Discount]]="Yes",'Rate Book'!$D$130,1)</f>
        <v>1</v>
      </c>
      <c r="AR620" cm="1">
        <f t="array" ref="AR620">IF(Table1820[[#This Row],[Effective Date]]&gt;=RateChangeTable[Effective Date],RateChangeTable[Rate Change Factor],1)</f>
        <v>1.06</v>
      </c>
      <c r="AS620" s="10">
        <f>PRODUCT(Table1820[[#This Row],[Base Rate]:[Rate Change Factor]])</f>
        <v>877.72549667065482</v>
      </c>
      <c r="AT620" s="9">
        <f>Table1820[[#This Row],[System-Generated Premium]]-Table1820[[#This Row],[Expected Premium]]</f>
        <v>46.20450332934513</v>
      </c>
      <c r="AU620" t="str">
        <f>IF(Table1820[[#This Row],[Difference]]=0,"PASS","FAIL")</f>
        <v>FAIL</v>
      </c>
      <c r="AV620" s="9">
        <f>ABS(Table1820[[#This Row],[Difference]])</f>
        <v>46.20450332934513</v>
      </c>
      <c r="AW620" s="9" t="s">
        <v>1145</v>
      </c>
    </row>
    <row r="621" spans="1:49" x14ac:dyDescent="0.3">
      <c r="A621" t="s">
        <v>712</v>
      </c>
      <c r="B621" s="7">
        <v>45912</v>
      </c>
      <c r="C621" t="s">
        <v>73</v>
      </c>
      <c r="D621" t="s">
        <v>1100</v>
      </c>
      <c r="E621" s="3">
        <v>1</v>
      </c>
      <c r="F621" s="3">
        <v>1</v>
      </c>
      <c r="G621" t="s">
        <v>13</v>
      </c>
      <c r="H621" t="s">
        <v>1106</v>
      </c>
      <c r="I621" t="s">
        <v>25</v>
      </c>
      <c r="J621" t="s">
        <v>48</v>
      </c>
      <c r="K621" t="s">
        <v>10</v>
      </c>
      <c r="L621" t="s">
        <v>57</v>
      </c>
      <c r="M621" t="s">
        <v>10</v>
      </c>
      <c r="N621" t="s">
        <v>57</v>
      </c>
      <c r="O621" t="str">
        <f>INDEX(CoverageTable[Deductible Applies],MATCH(Table1820[[#This Row],[Coverage]],CoverageTable[Coverage],0))</f>
        <v>No</v>
      </c>
      <c r="P621" t="str">
        <f>INDEX(CoverageTable[Coverage Limit Applies],MATCH(Table1820[[#This Row],[Coverage]],CoverageTable[Coverage],0))</f>
        <v>Yes</v>
      </c>
      <c r="Q621" t="s">
        <v>10</v>
      </c>
      <c r="R621" t="s">
        <v>79</v>
      </c>
      <c r="S621" t="s">
        <v>10</v>
      </c>
      <c r="T621" t="s">
        <v>10</v>
      </c>
      <c r="U621" t="s">
        <v>57</v>
      </c>
      <c r="V621" t="s">
        <v>10</v>
      </c>
      <c r="W621" t="s">
        <v>10</v>
      </c>
      <c r="X621" s="11">
        <v>66.299394925129718</v>
      </c>
      <c r="Y621">
        <f>_xlfn.XLOOKUP(Table1820[[#This Row],[Coverage]],CoverageTable[Coverage],CoverageTable[Base Rate],,0)</f>
        <v>78</v>
      </c>
      <c r="Z621">
        <f>INDEX(Table16[Ageband Factor],MATCH(Table1820[[#This Row],[Ageband]],Table16[Ageband],0))</f>
        <v>1.07</v>
      </c>
      <c r="AA621">
        <f>VLOOKUP(Table1820[[#This Row],[Years Driving]],Table1[],2)</f>
        <v>1.64</v>
      </c>
      <c r="AB621">
        <f>_xlfn.XLOOKUP(Table1820[[#This Row],[At Fault Accidents]],Table2[At Fault Accidents],Table2[At Fault Accident Factor],,0)</f>
        <v>1.34</v>
      </c>
      <c r="AC621">
        <f>_xlfn.XLOOKUP(Table1820[[#This Row],[Usage-Based Insurance]],Table3[Usage-Based Insurance],Table3[Usage-Based Insurance Discount],,0)</f>
        <v>0.65</v>
      </c>
      <c r="AD621">
        <f>_xlfn.XLOOKUP(Table1820[[#This Row],[Yearly Miles]],Table4[Yearly Miles],Table4[Yearly Miles Factor],,0)</f>
        <v>0.82</v>
      </c>
      <c r="AE621">
        <f>_xlfn.XLOOKUP(Table1820[[#This Row],[City/Zip Code]],Table5[City/Zip Code],Table5[City/Zip Code Factor],,0)</f>
        <v>1.1599999999999999</v>
      </c>
      <c r="AF621">
        <f>_xlfn.XLOOKUP(Table1820[[#This Row],[Vehicle Price]],Table6[Vehicle Price],Table6[Vehicle Price Factor])</f>
        <v>0.82</v>
      </c>
      <c r="AG621">
        <f>_xlfn.XLOOKUP(Table1820[[#This Row],[Exotic Car]],Table7[Exotic Car],Table7[Exotic Car Factor],,0)</f>
        <v>1</v>
      </c>
      <c r="AH621">
        <f>_xlfn.XLOOKUP(Table1820[[#This Row],[Difficult Parts]],Table8[Difficult Parts],Table8[Difficult Parts Factor],,0)</f>
        <v>1.21</v>
      </c>
      <c r="AI621">
        <f>_xlfn.XLOOKUP(Table1820[[#This Row],[High Theft Rate]],Table9[High Theft Rate],Table9[High Theft Rate Factor],,0)</f>
        <v>1</v>
      </c>
      <c r="AJ621">
        <f>_xlfn.XLOOKUP(Table1820[[#This Row],[Advanced Safety Features]],Table10[Advanced Safety Features],Table10[Advanced Safety Features Factor],,0)</f>
        <v>0.88</v>
      </c>
      <c r="AK621">
        <f>_xlfn.XLOOKUP(Table1820[[#This Row],[Deductible]],Table12[Deductible],Table12[Deductible Factor],,0)</f>
        <v>1</v>
      </c>
      <c r="AL621">
        <f>_xlfn.XLOOKUP(Table1820[[#This Row],[Coverage Limit]],Table13[Coverage Limit],Table13[Coverage Limit Factor],,0)</f>
        <v>0.72</v>
      </c>
      <c r="AM621">
        <f>IF(Table1820[[#This Row],[Good Student Discount]]="Yes",'Rate Book'!$D$126,1)</f>
        <v>1</v>
      </c>
      <c r="AN621">
        <f>IF(Table1820[[#This Row],[Good Driver Discount]]="Yes",'Rate Book'!$D$127,1)</f>
        <v>1</v>
      </c>
      <c r="AO621">
        <f>IF(Table1820[[#This Row],[Multi Policy Discount]]="Yes",'Rate Book'!$D$128,1)</f>
        <v>0.93</v>
      </c>
      <c r="AP621">
        <f>IF(Table1820[[#This Row],[Loyal Customer Discount]]="Yes",'Rate Book'!$D$129,1)</f>
        <v>1</v>
      </c>
      <c r="AQ621">
        <f>IF(Table1820[[#This Row],[Organization Discount]]="Yes",'Rate Book'!$D$130,1)</f>
        <v>1</v>
      </c>
      <c r="AR621" cm="1">
        <f t="array" ref="AR621">IF(Table1820[[#This Row],[Effective Date]]&gt;=RateChangeTable[Effective Date],RateChangeTable[Rate Change Factor],1)</f>
        <v>1</v>
      </c>
      <c r="AS621" s="10">
        <f>PRODUCT(Table1820[[#This Row],[Base Rate]:[Rate Change Factor]])</f>
        <v>66.299394925129718</v>
      </c>
      <c r="AT621" s="9">
        <f>Table1820[[#This Row],[System-Generated Premium]]-Table1820[[#This Row],[Expected Premium]]</f>
        <v>0</v>
      </c>
      <c r="AU621" t="str">
        <f>IF(Table1820[[#This Row],[Difference]]=0,"PASS","FAIL")</f>
        <v>PASS</v>
      </c>
      <c r="AV621" s="9">
        <f>ABS(Table1820[[#This Row],[Difference]])</f>
        <v>0</v>
      </c>
      <c r="AW621" s="9" t="s">
        <v>1136</v>
      </c>
    </row>
    <row r="622" spans="1:49" x14ac:dyDescent="0.3">
      <c r="A622" t="s">
        <v>713</v>
      </c>
      <c r="B622" s="7">
        <v>45914</v>
      </c>
      <c r="C622" t="s">
        <v>72</v>
      </c>
      <c r="D622" t="s">
        <v>1097</v>
      </c>
      <c r="E622" s="3">
        <v>4</v>
      </c>
      <c r="F622" s="3" t="s">
        <v>7</v>
      </c>
      <c r="G622" t="s">
        <v>13</v>
      </c>
      <c r="H622" t="s">
        <v>1110</v>
      </c>
      <c r="I622" t="s">
        <v>28</v>
      </c>
      <c r="J622" t="s">
        <v>51</v>
      </c>
      <c r="K622" t="s">
        <v>10</v>
      </c>
      <c r="L622" t="s">
        <v>57</v>
      </c>
      <c r="M622" t="s">
        <v>10</v>
      </c>
      <c r="N622" t="s">
        <v>10</v>
      </c>
      <c r="O622" t="str">
        <f>INDEX(CoverageTable[Deductible Applies],MATCH(Table1820[[#This Row],[Coverage]],CoverageTable[Coverage],0))</f>
        <v>Yes</v>
      </c>
      <c r="P622" t="str">
        <f>INDEX(CoverageTable[Coverage Limit Applies],MATCH(Table1820[[#This Row],[Coverage]],CoverageTable[Coverage],0))</f>
        <v>No</v>
      </c>
      <c r="Q622" t="s">
        <v>78</v>
      </c>
      <c r="R622" t="s">
        <v>10</v>
      </c>
      <c r="S622" t="s">
        <v>10</v>
      </c>
      <c r="T622" t="s">
        <v>10</v>
      </c>
      <c r="U622" t="s">
        <v>57</v>
      </c>
      <c r="V622" t="s">
        <v>10</v>
      </c>
      <c r="W622" t="s">
        <v>10</v>
      </c>
      <c r="X622" s="11">
        <v>502.18558984764189</v>
      </c>
      <c r="Y622">
        <f>_xlfn.XLOOKUP(Table1820[[#This Row],[Coverage]],CoverageTable[Coverage],CoverageTable[Base Rate],,0)</f>
        <v>121</v>
      </c>
      <c r="Z622">
        <f>INDEX(Table16[Ageband Factor],MATCH(Table1820[[#This Row],[Ageband]],Table16[Ageband],0))</f>
        <v>1.32</v>
      </c>
      <c r="AA622">
        <f>VLOOKUP(Table1820[[#This Row],[Years Driving]],Table1[],2)</f>
        <v>1.1499999999999999</v>
      </c>
      <c r="AB622">
        <f>_xlfn.XLOOKUP(Table1820[[#This Row],[At Fault Accidents]],Table2[At Fault Accidents],Table2[At Fault Accident Factor],,0)</f>
        <v>2.4700000000000002</v>
      </c>
      <c r="AC622">
        <f>_xlfn.XLOOKUP(Table1820[[#This Row],[Usage-Based Insurance]],Table3[Usage-Based Insurance],Table3[Usage-Based Insurance Discount],,0)</f>
        <v>0.65</v>
      </c>
      <c r="AD622">
        <f>_xlfn.XLOOKUP(Table1820[[#This Row],[Yearly Miles]],Table4[Yearly Miles],Table4[Yearly Miles Factor],,0)</f>
        <v>1.31</v>
      </c>
      <c r="AE622">
        <f>_xlfn.XLOOKUP(Table1820[[#This Row],[City/Zip Code]],Table5[City/Zip Code],Table5[City/Zip Code Factor],,0)</f>
        <v>0.95</v>
      </c>
      <c r="AF622">
        <f>_xlfn.XLOOKUP(Table1820[[#This Row],[Vehicle Price]],Table6[Vehicle Price],Table6[Vehicle Price Factor])</f>
        <v>1.28</v>
      </c>
      <c r="AG622">
        <f>_xlfn.XLOOKUP(Table1820[[#This Row],[Exotic Car]],Table7[Exotic Car],Table7[Exotic Car Factor],,0)</f>
        <v>1</v>
      </c>
      <c r="AH622">
        <f>_xlfn.XLOOKUP(Table1820[[#This Row],[Difficult Parts]],Table8[Difficult Parts],Table8[Difficult Parts Factor],,0)</f>
        <v>1.21</v>
      </c>
      <c r="AI622">
        <f>_xlfn.XLOOKUP(Table1820[[#This Row],[High Theft Rate]],Table9[High Theft Rate],Table9[High Theft Rate Factor],,0)</f>
        <v>1</v>
      </c>
      <c r="AJ622">
        <f>_xlfn.XLOOKUP(Table1820[[#This Row],[Advanced Safety Features]],Table10[Advanced Safety Features],Table10[Advanced Safety Features Factor],,0)</f>
        <v>1</v>
      </c>
      <c r="AK622">
        <f>_xlfn.XLOOKUP(Table1820[[#This Row],[Deductible]],Table12[Deductible],Table12[Deductible Factor],,0)</f>
        <v>0.95</v>
      </c>
      <c r="AL622">
        <f>_xlfn.XLOOKUP(Table1820[[#This Row],[Coverage Limit]],Table13[Coverage Limit],Table13[Coverage Limit Factor],,0)</f>
        <v>1</v>
      </c>
      <c r="AM622">
        <f>IF(Table1820[[#This Row],[Good Student Discount]]="Yes",'Rate Book'!$D$126,1)</f>
        <v>1</v>
      </c>
      <c r="AN622">
        <f>IF(Table1820[[#This Row],[Good Driver Discount]]="Yes",'Rate Book'!$D$127,1)</f>
        <v>1</v>
      </c>
      <c r="AO622">
        <f>IF(Table1820[[#This Row],[Multi Policy Discount]]="Yes",'Rate Book'!$D$128,1)</f>
        <v>0.93</v>
      </c>
      <c r="AP622">
        <f>IF(Table1820[[#This Row],[Loyal Customer Discount]]="Yes",'Rate Book'!$D$129,1)</f>
        <v>1</v>
      </c>
      <c r="AQ622">
        <f>IF(Table1820[[#This Row],[Organization Discount]]="Yes",'Rate Book'!$D$130,1)</f>
        <v>1</v>
      </c>
      <c r="AR622" cm="1">
        <f t="array" ref="AR622">IF(Table1820[[#This Row],[Effective Date]]&gt;=RateChangeTable[Effective Date],RateChangeTable[Rate Change Factor],1)</f>
        <v>1</v>
      </c>
      <c r="AS622" s="10">
        <f>PRODUCT(Table1820[[#This Row],[Base Rate]:[Rate Change Factor]])</f>
        <v>502.18558984764189</v>
      </c>
      <c r="AT622" s="9">
        <f>Table1820[[#This Row],[System-Generated Premium]]-Table1820[[#This Row],[Expected Premium]]</f>
        <v>0</v>
      </c>
      <c r="AU622" t="str">
        <f>IF(Table1820[[#This Row],[Difference]]=0,"PASS","FAIL")</f>
        <v>PASS</v>
      </c>
      <c r="AV622" s="9">
        <f>ABS(Table1820[[#This Row],[Difference]])</f>
        <v>0</v>
      </c>
      <c r="AW622" s="9" t="s">
        <v>1136</v>
      </c>
    </row>
    <row r="623" spans="1:49" x14ac:dyDescent="0.3">
      <c r="A623" t="s">
        <v>714</v>
      </c>
      <c r="B623" s="7">
        <v>45993</v>
      </c>
      <c r="C623" t="s">
        <v>70</v>
      </c>
      <c r="D623" t="s">
        <v>1102</v>
      </c>
      <c r="E623" s="3">
        <v>1</v>
      </c>
      <c r="F623" s="3">
        <v>0</v>
      </c>
      <c r="G623" t="s">
        <v>11</v>
      </c>
      <c r="H623" t="s">
        <v>1110</v>
      </c>
      <c r="I623" t="s">
        <v>27</v>
      </c>
      <c r="J623" t="s">
        <v>49</v>
      </c>
      <c r="K623" t="s">
        <v>10</v>
      </c>
      <c r="L623" t="s">
        <v>10</v>
      </c>
      <c r="M623" t="s">
        <v>10</v>
      </c>
      <c r="N623" t="s">
        <v>10</v>
      </c>
      <c r="O623" t="str">
        <f>INDEX(CoverageTable[Deductible Applies],MATCH(Table1820[[#This Row],[Coverage]],CoverageTable[Coverage],0))</f>
        <v>No</v>
      </c>
      <c r="P623" t="str">
        <f>INDEX(CoverageTable[Coverage Limit Applies],MATCH(Table1820[[#This Row],[Coverage]],CoverageTable[Coverage],0))</f>
        <v>Yes</v>
      </c>
      <c r="Q623" t="s">
        <v>10</v>
      </c>
      <c r="R623" t="s">
        <v>79</v>
      </c>
      <c r="S623" t="s">
        <v>10</v>
      </c>
      <c r="T623" t="s">
        <v>10</v>
      </c>
      <c r="U623" t="s">
        <v>10</v>
      </c>
      <c r="V623" t="s">
        <v>10</v>
      </c>
      <c r="W623" t="s">
        <v>10</v>
      </c>
      <c r="X623" s="11">
        <v>1058.4368190908349</v>
      </c>
      <c r="Y623">
        <f>_xlfn.XLOOKUP(Table1820[[#This Row],[Coverage]],CoverageTable[Coverage],CoverageTable[Base Rate],,0)</f>
        <v>622</v>
      </c>
      <c r="Z623">
        <f>INDEX(Table16[Ageband Factor],MATCH(Table1820[[#This Row],[Ageband]],Table16[Ageband],0))</f>
        <v>1.27</v>
      </c>
      <c r="AA623">
        <f>VLOOKUP(Table1820[[#This Row],[Years Driving]],Table1[],2)</f>
        <v>1.64</v>
      </c>
      <c r="AB623">
        <f>_xlfn.XLOOKUP(Table1820[[#This Row],[At Fault Accidents]],Table2[At Fault Accidents],Table2[At Fault Accident Factor],,0)</f>
        <v>1</v>
      </c>
      <c r="AC623">
        <f>_xlfn.XLOOKUP(Table1820[[#This Row],[Usage-Based Insurance]],Table3[Usage-Based Insurance],Table3[Usage-Based Insurance Discount],,0)</f>
        <v>0.95</v>
      </c>
      <c r="AD623">
        <f>_xlfn.XLOOKUP(Table1820[[#This Row],[Yearly Miles]],Table4[Yearly Miles],Table4[Yearly Miles Factor],,0)</f>
        <v>1.31</v>
      </c>
      <c r="AE623">
        <f>_xlfn.XLOOKUP(Table1820[[#This Row],[City/Zip Code]],Table5[City/Zip Code],Table5[City/Zip Code Factor],,0)</f>
        <v>0.94</v>
      </c>
      <c r="AF623">
        <f>_xlfn.XLOOKUP(Table1820[[#This Row],[Vehicle Price]],Table6[Vehicle Price],Table6[Vehicle Price Factor])</f>
        <v>0.97</v>
      </c>
      <c r="AG623">
        <f>_xlfn.XLOOKUP(Table1820[[#This Row],[Exotic Car]],Table7[Exotic Car],Table7[Exotic Car Factor],,0)</f>
        <v>1</v>
      </c>
      <c r="AH623">
        <f>_xlfn.XLOOKUP(Table1820[[#This Row],[Difficult Parts]],Table8[Difficult Parts],Table8[Difficult Parts Factor],,0)</f>
        <v>1</v>
      </c>
      <c r="AI623">
        <f>_xlfn.XLOOKUP(Table1820[[#This Row],[High Theft Rate]],Table9[High Theft Rate],Table9[High Theft Rate Factor],,0)</f>
        <v>1</v>
      </c>
      <c r="AJ623">
        <f>_xlfn.XLOOKUP(Table1820[[#This Row],[Advanced Safety Features]],Table10[Advanced Safety Features],Table10[Advanced Safety Features Factor],,0)</f>
        <v>1</v>
      </c>
      <c r="AK623">
        <f>_xlfn.XLOOKUP(Table1820[[#This Row],[Deductible]],Table12[Deductible],Table12[Deductible Factor],,0)</f>
        <v>1</v>
      </c>
      <c r="AL623">
        <f>_xlfn.XLOOKUP(Table1820[[#This Row],[Coverage Limit]],Table13[Coverage Limit],Table13[Coverage Limit Factor],,0)</f>
        <v>0.72</v>
      </c>
      <c r="AM623">
        <f>IF(Table1820[[#This Row],[Good Student Discount]]="Yes",'Rate Book'!$D$126,1)</f>
        <v>1</v>
      </c>
      <c r="AN623">
        <f>IF(Table1820[[#This Row],[Good Driver Discount]]="Yes",'Rate Book'!$D$127,1)</f>
        <v>1</v>
      </c>
      <c r="AO623">
        <f>IF(Table1820[[#This Row],[Multi Policy Discount]]="Yes",'Rate Book'!$D$128,1)</f>
        <v>1</v>
      </c>
      <c r="AP623">
        <f>IF(Table1820[[#This Row],[Loyal Customer Discount]]="Yes",'Rate Book'!$D$129,1)</f>
        <v>1</v>
      </c>
      <c r="AQ623">
        <f>IF(Table1820[[#This Row],[Organization Discount]]="Yes",'Rate Book'!$D$130,1)</f>
        <v>1</v>
      </c>
      <c r="AR623" cm="1">
        <f t="array" ref="AR623">IF(Table1820[[#This Row],[Effective Date]]&gt;=RateChangeTable[Effective Date],RateChangeTable[Rate Change Factor],1)</f>
        <v>1</v>
      </c>
      <c r="AS623" s="10">
        <f>PRODUCT(Table1820[[#This Row],[Base Rate]:[Rate Change Factor]])</f>
        <v>1058.4368190908349</v>
      </c>
      <c r="AT623" s="9">
        <f>Table1820[[#This Row],[System-Generated Premium]]-Table1820[[#This Row],[Expected Premium]]</f>
        <v>0</v>
      </c>
      <c r="AU623" t="str">
        <f>IF(Table1820[[#This Row],[Difference]]=0,"PASS","FAIL")</f>
        <v>PASS</v>
      </c>
      <c r="AV623" s="9">
        <f>ABS(Table1820[[#This Row],[Difference]])</f>
        <v>0</v>
      </c>
      <c r="AW623" s="9" t="s">
        <v>1136</v>
      </c>
    </row>
    <row r="624" spans="1:49" x14ac:dyDescent="0.3">
      <c r="A624" t="s">
        <v>715</v>
      </c>
      <c r="B624" s="7">
        <v>45791</v>
      </c>
      <c r="C624" t="s">
        <v>72</v>
      </c>
      <c r="D624" t="s">
        <v>1098</v>
      </c>
      <c r="E624" s="3">
        <v>6</v>
      </c>
      <c r="F624" s="3">
        <v>0</v>
      </c>
      <c r="G624" t="s">
        <v>10</v>
      </c>
      <c r="H624" t="s">
        <v>1109</v>
      </c>
      <c r="I624" t="s">
        <v>35</v>
      </c>
      <c r="J624" t="s">
        <v>53</v>
      </c>
      <c r="K624" t="s">
        <v>10</v>
      </c>
      <c r="L624" t="s">
        <v>10</v>
      </c>
      <c r="M624" t="s">
        <v>10</v>
      </c>
      <c r="N624" t="s">
        <v>10</v>
      </c>
      <c r="O624" t="str">
        <f>INDEX(CoverageTable[Deductible Applies],MATCH(Table1820[[#This Row],[Coverage]],CoverageTable[Coverage],0))</f>
        <v>Yes</v>
      </c>
      <c r="P624" t="str">
        <f>INDEX(CoverageTable[Coverage Limit Applies],MATCH(Table1820[[#This Row],[Coverage]],CoverageTable[Coverage],0))</f>
        <v>No</v>
      </c>
      <c r="Q624" t="s">
        <v>79</v>
      </c>
      <c r="R624" t="s">
        <v>10</v>
      </c>
      <c r="S624" t="s">
        <v>57</v>
      </c>
      <c r="T624" t="s">
        <v>10</v>
      </c>
      <c r="U624" t="s">
        <v>10</v>
      </c>
      <c r="V624" t="s">
        <v>57</v>
      </c>
      <c r="W624" t="s">
        <v>57</v>
      </c>
      <c r="X624" s="11">
        <v>279.96812093732103</v>
      </c>
      <c r="Y624">
        <f>_xlfn.XLOOKUP(Table1820[[#This Row],[Coverage]],CoverageTable[Coverage],CoverageTable[Base Rate],,0)</f>
        <v>121</v>
      </c>
      <c r="Z624">
        <f>INDEX(Table16[Ageband Factor],MATCH(Table1820[[#This Row],[Ageband]],Table16[Ageband],0))</f>
        <v>1.23</v>
      </c>
      <c r="AA624">
        <f>VLOOKUP(Table1820[[#This Row],[Years Driving]],Table1[],2)</f>
        <v>1</v>
      </c>
      <c r="AB624">
        <f>_xlfn.XLOOKUP(Table1820[[#This Row],[At Fault Accidents]],Table2[At Fault Accidents],Table2[At Fault Accident Factor],,0)</f>
        <v>1</v>
      </c>
      <c r="AC624">
        <f>_xlfn.XLOOKUP(Table1820[[#This Row],[Usage-Based Insurance]],Table3[Usage-Based Insurance],Table3[Usage-Based Insurance Discount],,0)</f>
        <v>1</v>
      </c>
      <c r="AD624">
        <f>_xlfn.XLOOKUP(Table1820[[#This Row],[Yearly Miles]],Table4[Yearly Miles],Table4[Yearly Miles Factor],,0)</f>
        <v>1.18</v>
      </c>
      <c r="AE624">
        <f>_xlfn.XLOOKUP(Table1820[[#This Row],[City/Zip Code]],Table5[City/Zip Code],Table5[City/Zip Code Factor],,0)</f>
        <v>1.1200000000000001</v>
      </c>
      <c r="AF624">
        <f>_xlfn.XLOOKUP(Table1820[[#This Row],[Vehicle Price]],Table6[Vehicle Price],Table6[Vehicle Price Factor])</f>
        <v>2.02</v>
      </c>
      <c r="AG624">
        <f>_xlfn.XLOOKUP(Table1820[[#This Row],[Exotic Car]],Table7[Exotic Car],Table7[Exotic Car Factor],,0)</f>
        <v>1</v>
      </c>
      <c r="AH624">
        <f>_xlfn.XLOOKUP(Table1820[[#This Row],[Difficult Parts]],Table8[Difficult Parts],Table8[Difficult Parts Factor],,0)</f>
        <v>1</v>
      </c>
      <c r="AI624">
        <f>_xlfn.XLOOKUP(Table1820[[#This Row],[High Theft Rate]],Table9[High Theft Rate],Table9[High Theft Rate Factor],,0)</f>
        <v>1</v>
      </c>
      <c r="AJ624">
        <f>_xlfn.XLOOKUP(Table1820[[#This Row],[Advanced Safety Features]],Table10[Advanced Safety Features],Table10[Advanced Safety Features Factor],,0)</f>
        <v>1</v>
      </c>
      <c r="AK624">
        <f>_xlfn.XLOOKUP(Table1820[[#This Row],[Deductible]],Table12[Deductible],Table12[Deductible Factor],,0)</f>
        <v>0.84</v>
      </c>
      <c r="AL624">
        <f>_xlfn.XLOOKUP(Table1820[[#This Row],[Coverage Limit]],Table13[Coverage Limit],Table13[Coverage Limit Factor],,0)</f>
        <v>1</v>
      </c>
      <c r="AM624">
        <f>IF(Table1820[[#This Row],[Good Student Discount]]="Yes",'Rate Book'!$D$126,1)</f>
        <v>0.92</v>
      </c>
      <c r="AN624">
        <f>IF(Table1820[[#This Row],[Good Driver Discount]]="Yes",'Rate Book'!$D$127,1)</f>
        <v>1</v>
      </c>
      <c r="AO624">
        <f>IF(Table1820[[#This Row],[Multi Policy Discount]]="Yes",'Rate Book'!$D$128,1)</f>
        <v>1</v>
      </c>
      <c r="AP624">
        <f>IF(Table1820[[#This Row],[Loyal Customer Discount]]="Yes",'Rate Book'!$D$129,1)</f>
        <v>0.94</v>
      </c>
      <c r="AQ624">
        <f>IF(Table1820[[#This Row],[Organization Discount]]="Yes",'Rate Book'!$D$130,1)</f>
        <v>0.97</v>
      </c>
      <c r="AR624" cm="1">
        <f t="array" ref="AR624">IF(Table1820[[#This Row],[Effective Date]]&gt;=RateChangeTable[Effective Date],RateChangeTable[Rate Change Factor],1)</f>
        <v>1</v>
      </c>
      <c r="AS624" s="10">
        <f>PRODUCT(Table1820[[#This Row],[Base Rate]:[Rate Change Factor]])</f>
        <v>279.96812093732103</v>
      </c>
      <c r="AT624" s="9">
        <f>Table1820[[#This Row],[System-Generated Premium]]-Table1820[[#This Row],[Expected Premium]]</f>
        <v>0</v>
      </c>
      <c r="AU624" t="str">
        <f>IF(Table1820[[#This Row],[Difference]]=0,"PASS","FAIL")</f>
        <v>PASS</v>
      </c>
      <c r="AV624" s="9">
        <f>ABS(Table1820[[#This Row],[Difference]])</f>
        <v>0</v>
      </c>
      <c r="AW624" s="9" t="s">
        <v>1136</v>
      </c>
    </row>
    <row r="625" spans="1:49" x14ac:dyDescent="0.3">
      <c r="A625" t="s">
        <v>716</v>
      </c>
      <c r="B625" s="7">
        <v>46069</v>
      </c>
      <c r="C625" t="s">
        <v>73</v>
      </c>
      <c r="D625" t="s">
        <v>1101</v>
      </c>
      <c r="E625" s="3">
        <v>6</v>
      </c>
      <c r="F625" s="3" t="s">
        <v>7</v>
      </c>
      <c r="G625" t="s">
        <v>11</v>
      </c>
      <c r="H625" t="s">
        <v>1109</v>
      </c>
      <c r="I625" t="s">
        <v>23</v>
      </c>
      <c r="J625" t="s">
        <v>51</v>
      </c>
      <c r="K625" t="s">
        <v>10</v>
      </c>
      <c r="L625" t="s">
        <v>10</v>
      </c>
      <c r="M625" t="s">
        <v>10</v>
      </c>
      <c r="N625" t="s">
        <v>57</v>
      </c>
      <c r="O625" t="str">
        <f>INDEX(CoverageTable[Deductible Applies],MATCH(Table1820[[#This Row],[Coverage]],CoverageTable[Coverage],0))</f>
        <v>No</v>
      </c>
      <c r="P625" t="str">
        <f>INDEX(CoverageTable[Coverage Limit Applies],MATCH(Table1820[[#This Row],[Coverage]],CoverageTable[Coverage],0))</f>
        <v>Yes</v>
      </c>
      <c r="Q625" t="s">
        <v>10</v>
      </c>
      <c r="R625" t="s">
        <v>80</v>
      </c>
      <c r="S625" t="s">
        <v>10</v>
      </c>
      <c r="T625" t="s">
        <v>10</v>
      </c>
      <c r="U625" t="s">
        <v>57</v>
      </c>
      <c r="V625" t="s">
        <v>10</v>
      </c>
      <c r="W625" t="s">
        <v>10</v>
      </c>
      <c r="X625" s="11">
        <v>207.56960565362192</v>
      </c>
      <c r="Y625">
        <f>_xlfn.XLOOKUP(Table1820[[#This Row],[Coverage]],CoverageTable[Coverage],CoverageTable[Base Rate],,0)</f>
        <v>78</v>
      </c>
      <c r="Z625">
        <f>INDEX(Table16[Ageband Factor],MATCH(Table1820[[#This Row],[Ageband]],Table16[Ageband],0))</f>
        <v>1.1200000000000001</v>
      </c>
      <c r="AA625">
        <f>VLOOKUP(Table1820[[#This Row],[Years Driving]],Table1[],2)</f>
        <v>1</v>
      </c>
      <c r="AB625">
        <f>_xlfn.XLOOKUP(Table1820[[#This Row],[At Fault Accidents]],Table2[At Fault Accidents],Table2[At Fault Accident Factor],,0)</f>
        <v>2.4700000000000002</v>
      </c>
      <c r="AC625">
        <f>_xlfn.XLOOKUP(Table1820[[#This Row],[Usage-Based Insurance]],Table3[Usage-Based Insurance],Table3[Usage-Based Insurance Discount],,0)</f>
        <v>0.95</v>
      </c>
      <c r="AD625">
        <f>_xlfn.XLOOKUP(Table1820[[#This Row],[Yearly Miles]],Table4[Yearly Miles],Table4[Yearly Miles Factor],,0)</f>
        <v>1.18</v>
      </c>
      <c r="AE625">
        <f>_xlfn.XLOOKUP(Table1820[[#This Row],[City/Zip Code]],Table5[City/Zip Code],Table5[City/Zip Code Factor],,0)</f>
        <v>0.92</v>
      </c>
      <c r="AF625">
        <f>_xlfn.XLOOKUP(Table1820[[#This Row],[Vehicle Price]],Table6[Vehicle Price],Table6[Vehicle Price Factor])</f>
        <v>1.28</v>
      </c>
      <c r="AG625">
        <f>_xlfn.XLOOKUP(Table1820[[#This Row],[Exotic Car]],Table7[Exotic Car],Table7[Exotic Car Factor],,0)</f>
        <v>1</v>
      </c>
      <c r="AH625">
        <f>_xlfn.XLOOKUP(Table1820[[#This Row],[Difficult Parts]],Table8[Difficult Parts],Table8[Difficult Parts Factor],,0)</f>
        <v>1</v>
      </c>
      <c r="AI625">
        <f>_xlfn.XLOOKUP(Table1820[[#This Row],[High Theft Rate]],Table9[High Theft Rate],Table9[High Theft Rate Factor],,0)</f>
        <v>1</v>
      </c>
      <c r="AJ625">
        <f>_xlfn.XLOOKUP(Table1820[[#This Row],[Advanced Safety Features]],Table10[Advanced Safety Features],Table10[Advanced Safety Features Factor],,0)</f>
        <v>0.88</v>
      </c>
      <c r="AK625">
        <f>_xlfn.XLOOKUP(Table1820[[#This Row],[Deductible]],Table12[Deductible],Table12[Deductible Factor],,0)</f>
        <v>1</v>
      </c>
      <c r="AL625">
        <f>_xlfn.XLOOKUP(Table1820[[#This Row],[Coverage Limit]],Table13[Coverage Limit],Table13[Coverage Limit Factor],,0)</f>
        <v>0.84</v>
      </c>
      <c r="AM625">
        <f>IF(Table1820[[#This Row],[Good Student Discount]]="Yes",'Rate Book'!$D$126,1)</f>
        <v>1</v>
      </c>
      <c r="AN625">
        <f>IF(Table1820[[#This Row],[Good Driver Discount]]="Yes",'Rate Book'!$D$127,1)</f>
        <v>1</v>
      </c>
      <c r="AO625">
        <f>IF(Table1820[[#This Row],[Multi Policy Discount]]="Yes",'Rate Book'!$D$128,1)</f>
        <v>0.93</v>
      </c>
      <c r="AP625">
        <f>IF(Table1820[[#This Row],[Loyal Customer Discount]]="Yes",'Rate Book'!$D$129,1)</f>
        <v>1</v>
      </c>
      <c r="AQ625">
        <f>IF(Table1820[[#This Row],[Organization Discount]]="Yes",'Rate Book'!$D$130,1)</f>
        <v>1</v>
      </c>
      <c r="AR625" cm="1">
        <f t="array" ref="AR625">IF(Table1820[[#This Row],[Effective Date]]&gt;=RateChangeTable[Effective Date],RateChangeTable[Rate Change Factor],1)</f>
        <v>1.06</v>
      </c>
      <c r="AS625" s="10">
        <f>PRODUCT(Table1820[[#This Row],[Base Rate]:[Rate Change Factor]])</f>
        <v>207.56960565362192</v>
      </c>
      <c r="AT625" s="9">
        <f>Table1820[[#This Row],[System-Generated Premium]]-Table1820[[#This Row],[Expected Premium]]</f>
        <v>0</v>
      </c>
      <c r="AU625" t="str">
        <f>IF(Table1820[[#This Row],[Difference]]=0,"PASS","FAIL")</f>
        <v>PASS</v>
      </c>
      <c r="AV625" s="9">
        <f>ABS(Table1820[[#This Row],[Difference]])</f>
        <v>0</v>
      </c>
      <c r="AW625" s="9" t="s">
        <v>1136</v>
      </c>
    </row>
    <row r="626" spans="1:49" x14ac:dyDescent="0.3">
      <c r="A626" t="s">
        <v>717</v>
      </c>
      <c r="B626" s="7">
        <v>45830</v>
      </c>
      <c r="C626" t="s">
        <v>71</v>
      </c>
      <c r="D626" t="s">
        <v>1100</v>
      </c>
      <c r="E626" s="3">
        <v>6</v>
      </c>
      <c r="F626" s="3">
        <v>0</v>
      </c>
      <c r="G626" t="s">
        <v>10</v>
      </c>
      <c r="H626" t="s">
        <v>1110</v>
      </c>
      <c r="I626" t="s">
        <v>22</v>
      </c>
      <c r="J626" t="s">
        <v>50</v>
      </c>
      <c r="K626" t="s">
        <v>57</v>
      </c>
      <c r="L626" t="s">
        <v>57</v>
      </c>
      <c r="M626" t="s">
        <v>10</v>
      </c>
      <c r="N626" t="s">
        <v>10</v>
      </c>
      <c r="O626" t="str">
        <f>INDEX(CoverageTable[Deductible Applies],MATCH(Table1820[[#This Row],[Coverage]],CoverageTable[Coverage],0))</f>
        <v>Yes</v>
      </c>
      <c r="P626" t="str">
        <f>INDEX(CoverageTable[Coverage Limit Applies],MATCH(Table1820[[#This Row],[Coverage]],CoverageTable[Coverage],0))</f>
        <v>No</v>
      </c>
      <c r="Q626" t="s">
        <v>78</v>
      </c>
      <c r="R626" t="s">
        <v>10</v>
      </c>
      <c r="S626" t="s">
        <v>10</v>
      </c>
      <c r="T626" t="s">
        <v>10</v>
      </c>
      <c r="U626" t="s">
        <v>10</v>
      </c>
      <c r="V626" t="s">
        <v>10</v>
      </c>
      <c r="W626" t="s">
        <v>10</v>
      </c>
      <c r="X626" s="11">
        <v>1220.9035215598851</v>
      </c>
      <c r="Y626">
        <f>_xlfn.XLOOKUP(Table1820[[#This Row],[Coverage]],CoverageTable[Coverage],CoverageTable[Base Rate],,0)</f>
        <v>453</v>
      </c>
      <c r="Z626">
        <f>INDEX(Table16[Ageband Factor],MATCH(Table1820[[#This Row],[Ageband]],Table16[Ageband],0))</f>
        <v>1.07</v>
      </c>
      <c r="AA626">
        <f>VLOOKUP(Table1820[[#This Row],[Years Driving]],Table1[],2)</f>
        <v>1</v>
      </c>
      <c r="AB626">
        <f>_xlfn.XLOOKUP(Table1820[[#This Row],[At Fault Accidents]],Table2[At Fault Accidents],Table2[At Fault Accident Factor],,0)</f>
        <v>1</v>
      </c>
      <c r="AC626">
        <f>_xlfn.XLOOKUP(Table1820[[#This Row],[Usage-Based Insurance]],Table3[Usage-Based Insurance],Table3[Usage-Based Insurance Discount],,0)</f>
        <v>1</v>
      </c>
      <c r="AD626">
        <f>_xlfn.XLOOKUP(Table1820[[#This Row],[Yearly Miles]],Table4[Yearly Miles],Table4[Yearly Miles Factor],,0)</f>
        <v>1.31</v>
      </c>
      <c r="AE626">
        <f>_xlfn.XLOOKUP(Table1820[[#This Row],[City/Zip Code]],Table5[City/Zip Code],Table5[City/Zip Code Factor],,0)</f>
        <v>1.21</v>
      </c>
      <c r="AF626">
        <f>_xlfn.XLOOKUP(Table1820[[#This Row],[Vehicle Price]],Table6[Vehicle Price],Table6[Vehicle Price Factor])</f>
        <v>1.08</v>
      </c>
      <c r="AG626">
        <f>_xlfn.XLOOKUP(Table1820[[#This Row],[Exotic Car]],Table7[Exotic Car],Table7[Exotic Car Factor],,0)</f>
        <v>1.28</v>
      </c>
      <c r="AH626">
        <f>_xlfn.XLOOKUP(Table1820[[#This Row],[Difficult Parts]],Table8[Difficult Parts],Table8[Difficult Parts Factor],,0)</f>
        <v>1.21</v>
      </c>
      <c r="AI626">
        <f>_xlfn.XLOOKUP(Table1820[[#This Row],[High Theft Rate]],Table9[High Theft Rate],Table9[High Theft Rate Factor],,0)</f>
        <v>1</v>
      </c>
      <c r="AJ626">
        <f>_xlfn.XLOOKUP(Table1820[[#This Row],[Advanced Safety Features]],Table10[Advanced Safety Features],Table10[Advanced Safety Features Factor],,0)</f>
        <v>1</v>
      </c>
      <c r="AK626">
        <f>_xlfn.XLOOKUP(Table1820[[#This Row],[Deductible]],Table12[Deductible],Table12[Deductible Factor],,0)</f>
        <v>0.95</v>
      </c>
      <c r="AL626">
        <f>_xlfn.XLOOKUP(Table1820[[#This Row],[Coverage Limit]],Table13[Coverage Limit],Table13[Coverage Limit Factor],,0)</f>
        <v>1</v>
      </c>
      <c r="AM626">
        <f>IF(Table1820[[#This Row],[Good Student Discount]]="Yes",'Rate Book'!$D$126,1)</f>
        <v>1</v>
      </c>
      <c r="AN626">
        <f>IF(Table1820[[#This Row],[Good Driver Discount]]="Yes",'Rate Book'!$D$127,1)</f>
        <v>1</v>
      </c>
      <c r="AO626">
        <f>IF(Table1820[[#This Row],[Multi Policy Discount]]="Yes",'Rate Book'!$D$128,1)</f>
        <v>1</v>
      </c>
      <c r="AP626">
        <f>IF(Table1820[[#This Row],[Loyal Customer Discount]]="Yes",'Rate Book'!$D$129,1)</f>
        <v>1</v>
      </c>
      <c r="AQ626">
        <f>IF(Table1820[[#This Row],[Organization Discount]]="Yes",'Rate Book'!$D$130,1)</f>
        <v>1</v>
      </c>
      <c r="AR626" cm="1">
        <f t="array" ref="AR626">IF(Table1820[[#This Row],[Effective Date]]&gt;=RateChangeTable[Effective Date],RateChangeTable[Rate Change Factor],1)</f>
        <v>1</v>
      </c>
      <c r="AS626" s="10">
        <f>PRODUCT(Table1820[[#This Row],[Base Rate]:[Rate Change Factor]])</f>
        <v>1220.9035215598851</v>
      </c>
      <c r="AT626" s="9">
        <f>Table1820[[#This Row],[System-Generated Premium]]-Table1820[[#This Row],[Expected Premium]]</f>
        <v>0</v>
      </c>
      <c r="AU626" t="str">
        <f>IF(Table1820[[#This Row],[Difference]]=0,"PASS","FAIL")</f>
        <v>PASS</v>
      </c>
      <c r="AV626" s="9">
        <f>ABS(Table1820[[#This Row],[Difference]])</f>
        <v>0</v>
      </c>
      <c r="AW626" s="9" t="s">
        <v>1136</v>
      </c>
    </row>
    <row r="627" spans="1:49" x14ac:dyDescent="0.3">
      <c r="A627" t="s">
        <v>718</v>
      </c>
      <c r="B627" s="7">
        <v>45996</v>
      </c>
      <c r="C627" t="s">
        <v>71</v>
      </c>
      <c r="D627" t="s">
        <v>1102</v>
      </c>
      <c r="E627" s="3">
        <v>3</v>
      </c>
      <c r="F627" s="3">
        <v>1</v>
      </c>
      <c r="G627" t="s">
        <v>11</v>
      </c>
      <c r="H627" t="s">
        <v>1109</v>
      </c>
      <c r="I627" t="s">
        <v>24</v>
      </c>
      <c r="J627" t="s">
        <v>51</v>
      </c>
      <c r="K627" t="s">
        <v>10</v>
      </c>
      <c r="L627" t="s">
        <v>57</v>
      </c>
      <c r="M627" t="s">
        <v>10</v>
      </c>
      <c r="N627" t="s">
        <v>10</v>
      </c>
      <c r="O627" t="str">
        <f>INDEX(CoverageTable[Deductible Applies],MATCH(Table1820[[#This Row],[Coverage]],CoverageTable[Coverage],0))</f>
        <v>Yes</v>
      </c>
      <c r="P627" t="str">
        <f>INDEX(CoverageTable[Coverage Limit Applies],MATCH(Table1820[[#This Row],[Coverage]],CoverageTable[Coverage],0))</f>
        <v>No</v>
      </c>
      <c r="Q627" t="s">
        <v>79</v>
      </c>
      <c r="R627" t="s">
        <v>10</v>
      </c>
      <c r="S627" t="s">
        <v>10</v>
      </c>
      <c r="T627" t="s">
        <v>10</v>
      </c>
      <c r="U627" t="s">
        <v>57</v>
      </c>
      <c r="V627" t="s">
        <v>10</v>
      </c>
      <c r="W627" t="s">
        <v>10</v>
      </c>
      <c r="X627" s="11">
        <v>1518.017228608358</v>
      </c>
      <c r="Y627">
        <f>_xlfn.XLOOKUP(Table1820[[#This Row],[Coverage]],CoverageTable[Coverage],CoverageTable[Base Rate],,0)</f>
        <v>453</v>
      </c>
      <c r="Z627">
        <f>INDEX(Table16[Ageband Factor],MATCH(Table1820[[#This Row],[Ageband]],Table16[Ageband],0))</f>
        <v>1.27</v>
      </c>
      <c r="AA627">
        <f>VLOOKUP(Table1820[[#This Row],[Years Driving]],Table1[],2)</f>
        <v>1.22</v>
      </c>
      <c r="AB627">
        <f>_xlfn.XLOOKUP(Table1820[[#This Row],[At Fault Accidents]],Table2[At Fault Accidents],Table2[At Fault Accident Factor],,0)</f>
        <v>1.34</v>
      </c>
      <c r="AC627">
        <f>_xlfn.XLOOKUP(Table1820[[#This Row],[Usage-Based Insurance]],Table3[Usage-Based Insurance],Table3[Usage-Based Insurance Discount],,0)</f>
        <v>0.95</v>
      </c>
      <c r="AD627">
        <f>_xlfn.XLOOKUP(Table1820[[#This Row],[Yearly Miles]],Table4[Yearly Miles],Table4[Yearly Miles Factor],,0)</f>
        <v>1.18</v>
      </c>
      <c r="AE627">
        <f>_xlfn.XLOOKUP(Table1820[[#This Row],[City/Zip Code]],Table5[City/Zip Code],Table5[City/Zip Code Factor],,0)</f>
        <v>1.19</v>
      </c>
      <c r="AF627">
        <f>_xlfn.XLOOKUP(Table1820[[#This Row],[Vehicle Price]],Table6[Vehicle Price],Table6[Vehicle Price Factor])</f>
        <v>1.28</v>
      </c>
      <c r="AG627">
        <f>_xlfn.XLOOKUP(Table1820[[#This Row],[Exotic Car]],Table7[Exotic Car],Table7[Exotic Car Factor],,0)</f>
        <v>1</v>
      </c>
      <c r="AH627">
        <f>_xlfn.XLOOKUP(Table1820[[#This Row],[Difficult Parts]],Table8[Difficult Parts],Table8[Difficult Parts Factor],,0)</f>
        <v>1.21</v>
      </c>
      <c r="AI627">
        <f>_xlfn.XLOOKUP(Table1820[[#This Row],[High Theft Rate]],Table9[High Theft Rate],Table9[High Theft Rate Factor],,0)</f>
        <v>1</v>
      </c>
      <c r="AJ627">
        <f>_xlfn.XLOOKUP(Table1820[[#This Row],[Advanced Safety Features]],Table10[Advanced Safety Features],Table10[Advanced Safety Features Factor],,0)</f>
        <v>1</v>
      </c>
      <c r="AK627">
        <f>_xlfn.XLOOKUP(Table1820[[#This Row],[Deductible]],Table12[Deductible],Table12[Deductible Factor],,0)</f>
        <v>0.84</v>
      </c>
      <c r="AL627">
        <f>_xlfn.XLOOKUP(Table1820[[#This Row],[Coverage Limit]],Table13[Coverage Limit],Table13[Coverage Limit Factor],,0)</f>
        <v>1</v>
      </c>
      <c r="AM627">
        <f>IF(Table1820[[#This Row],[Good Student Discount]]="Yes",'Rate Book'!$D$126,1)</f>
        <v>1</v>
      </c>
      <c r="AN627">
        <f>IF(Table1820[[#This Row],[Good Driver Discount]]="Yes",'Rate Book'!$D$127,1)</f>
        <v>1</v>
      </c>
      <c r="AO627">
        <f>IF(Table1820[[#This Row],[Multi Policy Discount]]="Yes",'Rate Book'!$D$128,1)</f>
        <v>0.93</v>
      </c>
      <c r="AP627">
        <f>IF(Table1820[[#This Row],[Loyal Customer Discount]]="Yes",'Rate Book'!$D$129,1)</f>
        <v>1</v>
      </c>
      <c r="AQ627">
        <f>IF(Table1820[[#This Row],[Organization Discount]]="Yes",'Rate Book'!$D$130,1)</f>
        <v>1</v>
      </c>
      <c r="AR627" cm="1">
        <f t="array" ref="AR627">IF(Table1820[[#This Row],[Effective Date]]&gt;=RateChangeTable[Effective Date],RateChangeTable[Rate Change Factor],1)</f>
        <v>1</v>
      </c>
      <c r="AS627" s="10">
        <f>PRODUCT(Table1820[[#This Row],[Base Rate]:[Rate Change Factor]])</f>
        <v>1518.017228608358</v>
      </c>
      <c r="AT627" s="9">
        <f>Table1820[[#This Row],[System-Generated Premium]]-Table1820[[#This Row],[Expected Premium]]</f>
        <v>0</v>
      </c>
      <c r="AU627" t="str">
        <f>IF(Table1820[[#This Row],[Difference]]=0,"PASS","FAIL")</f>
        <v>PASS</v>
      </c>
      <c r="AV627" s="9">
        <f>ABS(Table1820[[#This Row],[Difference]])</f>
        <v>0</v>
      </c>
      <c r="AW627" s="9" t="s">
        <v>1136</v>
      </c>
    </row>
    <row r="628" spans="1:49" x14ac:dyDescent="0.3">
      <c r="A628" t="s">
        <v>719</v>
      </c>
      <c r="B628" s="7">
        <v>45860</v>
      </c>
      <c r="C628" t="s">
        <v>71</v>
      </c>
      <c r="D628" t="s">
        <v>1102</v>
      </c>
      <c r="E628" s="3">
        <v>6</v>
      </c>
      <c r="F628" s="3" t="s">
        <v>7</v>
      </c>
      <c r="G628" t="s">
        <v>10</v>
      </c>
      <c r="H628" t="s">
        <v>1109</v>
      </c>
      <c r="I628" t="s">
        <v>24</v>
      </c>
      <c r="J628" t="s">
        <v>50</v>
      </c>
      <c r="K628" t="s">
        <v>10</v>
      </c>
      <c r="L628" t="s">
        <v>10</v>
      </c>
      <c r="M628" t="s">
        <v>10</v>
      </c>
      <c r="N628" t="s">
        <v>10</v>
      </c>
      <c r="O628" t="str">
        <f>INDEX(CoverageTable[Deductible Applies],MATCH(Table1820[[#This Row],[Coverage]],CoverageTable[Coverage],0))</f>
        <v>Yes</v>
      </c>
      <c r="P628" t="str">
        <f>INDEX(CoverageTable[Coverage Limit Applies],MATCH(Table1820[[#This Row],[Coverage]],CoverageTable[Coverage],0))</f>
        <v>No</v>
      </c>
      <c r="Q628" t="s">
        <v>80</v>
      </c>
      <c r="R628" t="s">
        <v>10</v>
      </c>
      <c r="S628" t="s">
        <v>10</v>
      </c>
      <c r="T628" t="s">
        <v>10</v>
      </c>
      <c r="U628" t="s">
        <v>10</v>
      </c>
      <c r="V628" t="s">
        <v>10</v>
      </c>
      <c r="W628" t="s">
        <v>10</v>
      </c>
      <c r="X628" s="11">
        <v>1551.6154552429441</v>
      </c>
      <c r="Y628">
        <f>_xlfn.XLOOKUP(Table1820[[#This Row],[Coverage]],CoverageTable[Coverage],CoverageTable[Base Rate],,0)</f>
        <v>453</v>
      </c>
      <c r="Z628">
        <f>INDEX(Table16[Ageband Factor],MATCH(Table1820[[#This Row],[Ageband]],Table16[Ageband],0))</f>
        <v>1.27</v>
      </c>
      <c r="AA628">
        <f>VLOOKUP(Table1820[[#This Row],[Years Driving]],Table1[],2)</f>
        <v>1</v>
      </c>
      <c r="AB628">
        <f>_xlfn.XLOOKUP(Table1820[[#This Row],[At Fault Accidents]],Table2[At Fault Accidents],Table2[At Fault Accident Factor],,0)</f>
        <v>2.4700000000000002</v>
      </c>
      <c r="AC628">
        <f>_xlfn.XLOOKUP(Table1820[[#This Row],[Usage-Based Insurance]],Table3[Usage-Based Insurance],Table3[Usage-Based Insurance Discount],,0)</f>
        <v>1</v>
      </c>
      <c r="AD628">
        <f>_xlfn.XLOOKUP(Table1820[[#This Row],[Yearly Miles]],Table4[Yearly Miles],Table4[Yearly Miles Factor],,0)</f>
        <v>1.18</v>
      </c>
      <c r="AE628">
        <f>_xlfn.XLOOKUP(Table1820[[#This Row],[City/Zip Code]],Table5[City/Zip Code],Table5[City/Zip Code Factor],,0)</f>
        <v>1.19</v>
      </c>
      <c r="AF628">
        <f>_xlfn.XLOOKUP(Table1820[[#This Row],[Vehicle Price]],Table6[Vehicle Price],Table6[Vehicle Price Factor])</f>
        <v>1.08</v>
      </c>
      <c r="AG628">
        <f>_xlfn.XLOOKUP(Table1820[[#This Row],[Exotic Car]],Table7[Exotic Car],Table7[Exotic Car Factor],,0)</f>
        <v>1</v>
      </c>
      <c r="AH628">
        <f>_xlfn.XLOOKUP(Table1820[[#This Row],[Difficult Parts]],Table8[Difficult Parts],Table8[Difficult Parts Factor],,0)</f>
        <v>1</v>
      </c>
      <c r="AI628">
        <f>_xlfn.XLOOKUP(Table1820[[#This Row],[High Theft Rate]],Table9[High Theft Rate],Table9[High Theft Rate Factor],,0)</f>
        <v>1</v>
      </c>
      <c r="AJ628">
        <f>_xlfn.XLOOKUP(Table1820[[#This Row],[Advanced Safety Features]],Table10[Advanced Safety Features],Table10[Advanced Safety Features Factor],,0)</f>
        <v>1</v>
      </c>
      <c r="AK628">
        <f>_xlfn.XLOOKUP(Table1820[[#This Row],[Deductible]],Table12[Deductible],Table12[Deductible Factor],,0)</f>
        <v>0.72</v>
      </c>
      <c r="AL628">
        <f>_xlfn.XLOOKUP(Table1820[[#This Row],[Coverage Limit]],Table13[Coverage Limit],Table13[Coverage Limit Factor],,0)</f>
        <v>1</v>
      </c>
      <c r="AM628">
        <f>IF(Table1820[[#This Row],[Good Student Discount]]="Yes",'Rate Book'!$D$126,1)</f>
        <v>1</v>
      </c>
      <c r="AN628">
        <f>IF(Table1820[[#This Row],[Good Driver Discount]]="Yes",'Rate Book'!$D$127,1)</f>
        <v>1</v>
      </c>
      <c r="AO628">
        <f>IF(Table1820[[#This Row],[Multi Policy Discount]]="Yes",'Rate Book'!$D$128,1)</f>
        <v>1</v>
      </c>
      <c r="AP628">
        <f>IF(Table1820[[#This Row],[Loyal Customer Discount]]="Yes",'Rate Book'!$D$129,1)</f>
        <v>1</v>
      </c>
      <c r="AQ628">
        <f>IF(Table1820[[#This Row],[Organization Discount]]="Yes",'Rate Book'!$D$130,1)</f>
        <v>1</v>
      </c>
      <c r="AR628" cm="1">
        <f t="array" ref="AR628">IF(Table1820[[#This Row],[Effective Date]]&gt;=RateChangeTable[Effective Date],RateChangeTable[Rate Change Factor],1)</f>
        <v>1</v>
      </c>
      <c r="AS628" s="10">
        <f>PRODUCT(Table1820[[#This Row],[Base Rate]:[Rate Change Factor]])</f>
        <v>1551.6154552429441</v>
      </c>
      <c r="AT628" s="9">
        <f>Table1820[[#This Row],[System-Generated Premium]]-Table1820[[#This Row],[Expected Premium]]</f>
        <v>0</v>
      </c>
      <c r="AU628" t="str">
        <f>IF(Table1820[[#This Row],[Difference]]=0,"PASS","FAIL")</f>
        <v>PASS</v>
      </c>
      <c r="AV628" s="9">
        <f>ABS(Table1820[[#This Row],[Difference]])</f>
        <v>0</v>
      </c>
      <c r="AW628" s="9" t="s">
        <v>1136</v>
      </c>
    </row>
    <row r="629" spans="1:49" x14ac:dyDescent="0.3">
      <c r="A629" t="s">
        <v>720</v>
      </c>
      <c r="B629" s="7">
        <v>46047</v>
      </c>
      <c r="C629" t="s">
        <v>74</v>
      </c>
      <c r="D629" t="s">
        <v>1102</v>
      </c>
      <c r="E629" s="3">
        <v>7</v>
      </c>
      <c r="F629" s="3" t="s">
        <v>7</v>
      </c>
      <c r="G629" t="s">
        <v>12</v>
      </c>
      <c r="H629" t="s">
        <v>1110</v>
      </c>
      <c r="I629" t="s">
        <v>35</v>
      </c>
      <c r="J629" t="s">
        <v>48</v>
      </c>
      <c r="K629" t="s">
        <v>10</v>
      </c>
      <c r="L629" t="s">
        <v>10</v>
      </c>
      <c r="M629" t="s">
        <v>57</v>
      </c>
      <c r="N629" t="s">
        <v>10</v>
      </c>
      <c r="O629" t="str">
        <f>INDEX(CoverageTable[Deductible Applies],MATCH(Table1820[[#This Row],[Coverage]],CoverageTable[Coverage],0))</f>
        <v>No</v>
      </c>
      <c r="P629" t="str">
        <f>INDEX(CoverageTable[Coverage Limit Applies],MATCH(Table1820[[#This Row],[Coverage]],CoverageTable[Coverage],0))</f>
        <v>Yes</v>
      </c>
      <c r="Q629" t="s">
        <v>10</v>
      </c>
      <c r="R629" t="s">
        <v>78</v>
      </c>
      <c r="S629" t="s">
        <v>10</v>
      </c>
      <c r="T629" t="s">
        <v>57</v>
      </c>
      <c r="U629" t="s">
        <v>10</v>
      </c>
      <c r="V629" t="s">
        <v>10</v>
      </c>
      <c r="W629" t="s">
        <v>10</v>
      </c>
      <c r="X629" s="11">
        <v>78.502771592873628</v>
      </c>
      <c r="Y629">
        <f>_xlfn.XLOOKUP(Table1820[[#This Row],[Coverage]],CoverageTable[Coverage],CoverageTable[Base Rate],,0)</f>
        <v>41</v>
      </c>
      <c r="Z629">
        <f>INDEX(Table16[Ageband Factor],MATCH(Table1820[[#This Row],[Ageband]],Table16[Ageband],0))</f>
        <v>1.27</v>
      </c>
      <c r="AA629">
        <f>VLOOKUP(Table1820[[#This Row],[Years Driving]],Table1[],2)</f>
        <v>0.95</v>
      </c>
      <c r="AB629">
        <f>_xlfn.XLOOKUP(Table1820[[#This Row],[At Fault Accidents]],Table2[At Fault Accidents],Table2[At Fault Accident Factor],,0)</f>
        <v>2.4700000000000002</v>
      </c>
      <c r="AC629">
        <f>_xlfn.XLOOKUP(Table1820[[#This Row],[Usage-Based Insurance]],Table3[Usage-Based Insurance],Table3[Usage-Based Insurance Discount],,0)</f>
        <v>0.8</v>
      </c>
      <c r="AD629">
        <f>_xlfn.XLOOKUP(Table1820[[#This Row],[Yearly Miles]],Table4[Yearly Miles],Table4[Yearly Miles Factor],,0)</f>
        <v>1.31</v>
      </c>
      <c r="AE629">
        <f>_xlfn.XLOOKUP(Table1820[[#This Row],[City/Zip Code]],Table5[City/Zip Code],Table5[City/Zip Code Factor],,0)</f>
        <v>1.1200000000000001</v>
      </c>
      <c r="AF629">
        <f>_xlfn.XLOOKUP(Table1820[[#This Row],[Vehicle Price]],Table6[Vehicle Price],Table6[Vehicle Price Factor])</f>
        <v>0.82</v>
      </c>
      <c r="AG629">
        <f>_xlfn.XLOOKUP(Table1820[[#This Row],[Exotic Car]],Table7[Exotic Car],Table7[Exotic Car Factor],,0)</f>
        <v>1</v>
      </c>
      <c r="AH629">
        <f>_xlfn.XLOOKUP(Table1820[[#This Row],[Difficult Parts]],Table8[Difficult Parts],Table8[Difficult Parts Factor],,0)</f>
        <v>1</v>
      </c>
      <c r="AI629">
        <f>_xlfn.XLOOKUP(Table1820[[#This Row],[High Theft Rate]],Table9[High Theft Rate],Table9[High Theft Rate Factor],,0)</f>
        <v>1.1599999999999999</v>
      </c>
      <c r="AJ629">
        <f>_xlfn.XLOOKUP(Table1820[[#This Row],[Advanced Safety Features]],Table10[Advanced Safety Features],Table10[Advanced Safety Features Factor],,0)</f>
        <v>1</v>
      </c>
      <c r="AK629">
        <f>_xlfn.XLOOKUP(Table1820[[#This Row],[Deductible]],Table12[Deductible],Table12[Deductible Factor],,0)</f>
        <v>1</v>
      </c>
      <c r="AL629">
        <f>_xlfn.XLOOKUP(Table1820[[#This Row],[Coverage Limit]],Table13[Coverage Limit],Table13[Coverage Limit Factor],,0)</f>
        <v>0.61</v>
      </c>
      <c r="AM629">
        <f>IF(Table1820[[#This Row],[Good Student Discount]]="Yes",'Rate Book'!$D$126,1)</f>
        <v>1</v>
      </c>
      <c r="AN629">
        <f>IF(Table1820[[#This Row],[Good Driver Discount]]="Yes",'Rate Book'!$D$127,1)</f>
        <v>0.89</v>
      </c>
      <c r="AO629">
        <f>IF(Table1820[[#This Row],[Multi Policy Discount]]="Yes",'Rate Book'!$D$128,1)</f>
        <v>1</v>
      </c>
      <c r="AP629">
        <f>IF(Table1820[[#This Row],[Loyal Customer Discount]]="Yes",'Rate Book'!$D$129,1)</f>
        <v>1</v>
      </c>
      <c r="AQ629">
        <f>IF(Table1820[[#This Row],[Organization Discount]]="Yes",'Rate Book'!$D$130,1)</f>
        <v>1</v>
      </c>
      <c r="AR629" cm="1">
        <f t="array" ref="AR629">IF(Table1820[[#This Row],[Effective Date]]&gt;=RateChangeTable[Effective Date],RateChangeTable[Rate Change Factor],1)</f>
        <v>1.06</v>
      </c>
      <c r="AS629" s="10">
        <f>PRODUCT(Table1820[[#This Row],[Base Rate]:[Rate Change Factor]])</f>
        <v>78.502771592873628</v>
      </c>
      <c r="AT629" s="9">
        <f>Table1820[[#This Row],[System-Generated Premium]]-Table1820[[#This Row],[Expected Premium]]</f>
        <v>0</v>
      </c>
      <c r="AU629" t="str">
        <f>IF(Table1820[[#This Row],[Difference]]=0,"PASS","FAIL")</f>
        <v>PASS</v>
      </c>
      <c r="AV629" s="9">
        <f>ABS(Table1820[[#This Row],[Difference]])</f>
        <v>0</v>
      </c>
      <c r="AW629" s="9" t="s">
        <v>1136</v>
      </c>
    </row>
    <row r="630" spans="1:49" x14ac:dyDescent="0.3">
      <c r="A630" t="s">
        <v>721</v>
      </c>
      <c r="B630" s="7">
        <v>45994</v>
      </c>
      <c r="C630" t="s">
        <v>70</v>
      </c>
      <c r="D630" t="s">
        <v>1101</v>
      </c>
      <c r="E630" s="3">
        <v>5</v>
      </c>
      <c r="F630" s="3">
        <v>1</v>
      </c>
      <c r="G630" t="s">
        <v>11</v>
      </c>
      <c r="H630" t="s">
        <v>1108</v>
      </c>
      <c r="I630" t="s">
        <v>32</v>
      </c>
      <c r="J630" t="s">
        <v>49</v>
      </c>
      <c r="K630" t="s">
        <v>10</v>
      </c>
      <c r="L630" t="s">
        <v>57</v>
      </c>
      <c r="M630" t="s">
        <v>10</v>
      </c>
      <c r="N630" t="s">
        <v>57</v>
      </c>
      <c r="O630" t="str">
        <f>INDEX(CoverageTable[Deductible Applies],MATCH(Table1820[[#This Row],[Coverage]],CoverageTable[Coverage],0))</f>
        <v>No</v>
      </c>
      <c r="P630" t="str">
        <f>INDEX(CoverageTable[Coverage Limit Applies],MATCH(Table1820[[#This Row],[Coverage]],CoverageTable[Coverage],0))</f>
        <v>Yes</v>
      </c>
      <c r="Q630" t="s">
        <v>10</v>
      </c>
      <c r="R630" t="s">
        <v>80</v>
      </c>
      <c r="S630" t="s">
        <v>10</v>
      </c>
      <c r="T630" t="s">
        <v>10</v>
      </c>
      <c r="U630" t="s">
        <v>10</v>
      </c>
      <c r="V630" t="s">
        <v>10</v>
      </c>
      <c r="W630" t="s">
        <v>10</v>
      </c>
      <c r="X630" s="11">
        <v>922.05679816179133</v>
      </c>
      <c r="Y630">
        <f>_xlfn.XLOOKUP(Table1820[[#This Row],[Coverage]],CoverageTable[Coverage],CoverageTable[Base Rate],,0)</f>
        <v>622</v>
      </c>
      <c r="Z630">
        <f>INDEX(Table16[Ageband Factor],MATCH(Table1820[[#This Row],[Ageband]],Table16[Ageband],0))</f>
        <v>1.1200000000000001</v>
      </c>
      <c r="AA630">
        <f>VLOOKUP(Table1820[[#This Row],[Years Driving]],Table1[],2)</f>
        <v>1.07</v>
      </c>
      <c r="AB630">
        <f>_xlfn.XLOOKUP(Table1820[[#This Row],[At Fault Accidents]],Table2[At Fault Accidents],Table2[At Fault Accident Factor],,0)</f>
        <v>1.34</v>
      </c>
      <c r="AC630">
        <f>_xlfn.XLOOKUP(Table1820[[#This Row],[Usage-Based Insurance]],Table3[Usage-Based Insurance],Table3[Usage-Based Insurance Discount],,0)</f>
        <v>0.95</v>
      </c>
      <c r="AD630">
        <f>_xlfn.XLOOKUP(Table1820[[#This Row],[Yearly Miles]],Table4[Yearly Miles],Table4[Yearly Miles Factor],,0)</f>
        <v>1</v>
      </c>
      <c r="AE630">
        <f>_xlfn.XLOOKUP(Table1820[[#This Row],[City/Zip Code]],Table5[City/Zip Code],Table5[City/Zip Code Factor],,0)</f>
        <v>1.1200000000000001</v>
      </c>
      <c r="AF630">
        <f>_xlfn.XLOOKUP(Table1820[[#This Row],[Vehicle Price]],Table6[Vehicle Price],Table6[Vehicle Price Factor])</f>
        <v>0.97</v>
      </c>
      <c r="AG630">
        <f>_xlfn.XLOOKUP(Table1820[[#This Row],[Exotic Car]],Table7[Exotic Car],Table7[Exotic Car Factor],,0)</f>
        <v>1</v>
      </c>
      <c r="AH630">
        <f>_xlfn.XLOOKUP(Table1820[[#This Row],[Difficult Parts]],Table8[Difficult Parts],Table8[Difficult Parts Factor],,0)</f>
        <v>1.21</v>
      </c>
      <c r="AI630">
        <f>_xlfn.XLOOKUP(Table1820[[#This Row],[High Theft Rate]],Table9[High Theft Rate],Table9[High Theft Rate Factor],,0)</f>
        <v>1</v>
      </c>
      <c r="AJ630">
        <f>_xlfn.XLOOKUP(Table1820[[#This Row],[Advanced Safety Features]],Table10[Advanced Safety Features],Table10[Advanced Safety Features Factor],,0)</f>
        <v>0.88</v>
      </c>
      <c r="AK630">
        <f>_xlfn.XLOOKUP(Table1820[[#This Row],[Deductible]],Table12[Deductible],Table12[Deductible Factor],,0)</f>
        <v>1</v>
      </c>
      <c r="AL630">
        <f>_xlfn.XLOOKUP(Table1820[[#This Row],[Coverage Limit]],Table13[Coverage Limit],Table13[Coverage Limit Factor],,0)</f>
        <v>0.84</v>
      </c>
      <c r="AM630">
        <f>IF(Table1820[[#This Row],[Good Student Discount]]="Yes",'Rate Book'!$D$126,1)</f>
        <v>1</v>
      </c>
      <c r="AN630">
        <f>IF(Table1820[[#This Row],[Good Driver Discount]]="Yes",'Rate Book'!$D$127,1)</f>
        <v>1</v>
      </c>
      <c r="AO630">
        <f>IF(Table1820[[#This Row],[Multi Policy Discount]]="Yes",'Rate Book'!$D$128,1)</f>
        <v>1</v>
      </c>
      <c r="AP630">
        <f>IF(Table1820[[#This Row],[Loyal Customer Discount]]="Yes",'Rate Book'!$D$129,1)</f>
        <v>1</v>
      </c>
      <c r="AQ630">
        <f>IF(Table1820[[#This Row],[Organization Discount]]="Yes",'Rate Book'!$D$130,1)</f>
        <v>1</v>
      </c>
      <c r="AR630" cm="1">
        <f t="array" ref="AR630">IF(Table1820[[#This Row],[Effective Date]]&gt;=RateChangeTable[Effective Date],RateChangeTable[Rate Change Factor],1)</f>
        <v>1</v>
      </c>
      <c r="AS630" s="10">
        <f>PRODUCT(Table1820[[#This Row],[Base Rate]:[Rate Change Factor]])</f>
        <v>922.05679816179133</v>
      </c>
      <c r="AT630" s="9">
        <f>Table1820[[#This Row],[System-Generated Premium]]-Table1820[[#This Row],[Expected Premium]]</f>
        <v>0</v>
      </c>
      <c r="AU630" t="str">
        <f>IF(Table1820[[#This Row],[Difference]]=0,"PASS","FAIL")</f>
        <v>PASS</v>
      </c>
      <c r="AV630" s="9">
        <f>ABS(Table1820[[#This Row],[Difference]])</f>
        <v>0</v>
      </c>
      <c r="AW630" s="9" t="s">
        <v>1136</v>
      </c>
    </row>
    <row r="631" spans="1:49" x14ac:dyDescent="0.3">
      <c r="A631" t="s">
        <v>722</v>
      </c>
      <c r="B631" s="7">
        <v>46067</v>
      </c>
      <c r="C631" t="s">
        <v>71</v>
      </c>
      <c r="D631" t="s">
        <v>1097</v>
      </c>
      <c r="E631" s="3">
        <v>6</v>
      </c>
      <c r="F631" s="3">
        <v>1</v>
      </c>
      <c r="G631" t="s">
        <v>10</v>
      </c>
      <c r="H631" t="s">
        <v>1110</v>
      </c>
      <c r="I631" t="s">
        <v>24</v>
      </c>
      <c r="J631" t="s">
        <v>53</v>
      </c>
      <c r="K631" t="s">
        <v>10</v>
      </c>
      <c r="L631" t="s">
        <v>10</v>
      </c>
      <c r="M631" t="s">
        <v>10</v>
      </c>
      <c r="N631" t="s">
        <v>10</v>
      </c>
      <c r="O631" t="str">
        <f>INDEX(CoverageTable[Deductible Applies],MATCH(Table1820[[#This Row],[Coverage]],CoverageTable[Coverage],0))</f>
        <v>Yes</v>
      </c>
      <c r="P631" t="str">
        <f>INDEX(CoverageTable[Coverage Limit Applies],MATCH(Table1820[[#This Row],[Coverage]],CoverageTable[Coverage],0))</f>
        <v>No</v>
      </c>
      <c r="Q631" t="s">
        <v>78</v>
      </c>
      <c r="R631" t="s">
        <v>10</v>
      </c>
      <c r="S631" t="s">
        <v>10</v>
      </c>
      <c r="T631" t="s">
        <v>10</v>
      </c>
      <c r="U631" t="s">
        <v>10</v>
      </c>
      <c r="V631" t="s">
        <v>10</v>
      </c>
      <c r="W631" t="s">
        <v>10</v>
      </c>
      <c r="X631" s="11">
        <v>2540.8324575993747</v>
      </c>
      <c r="Y631">
        <f>_xlfn.XLOOKUP(Table1820[[#This Row],[Coverage]],CoverageTable[Coverage],CoverageTable[Base Rate],,0)</f>
        <v>453</v>
      </c>
      <c r="Z631">
        <f>INDEX(Table16[Ageband Factor],MATCH(Table1820[[#This Row],[Ageband]],Table16[Ageband],0))</f>
        <v>1.32</v>
      </c>
      <c r="AA631">
        <f>VLOOKUP(Table1820[[#This Row],[Years Driving]],Table1[],2)</f>
        <v>1</v>
      </c>
      <c r="AB631">
        <f>_xlfn.XLOOKUP(Table1820[[#This Row],[At Fault Accidents]],Table2[At Fault Accidents],Table2[At Fault Accident Factor],,0)</f>
        <v>1.34</v>
      </c>
      <c r="AC631">
        <f>_xlfn.XLOOKUP(Table1820[[#This Row],[Usage-Based Insurance]],Table3[Usage-Based Insurance],Table3[Usage-Based Insurance Discount],,0)</f>
        <v>1</v>
      </c>
      <c r="AD631">
        <f>_xlfn.XLOOKUP(Table1820[[#This Row],[Yearly Miles]],Table4[Yearly Miles],Table4[Yearly Miles Factor],,0)</f>
        <v>1.31</v>
      </c>
      <c r="AE631">
        <f>_xlfn.XLOOKUP(Table1820[[#This Row],[City/Zip Code]],Table5[City/Zip Code],Table5[City/Zip Code Factor],,0)</f>
        <v>1.19</v>
      </c>
      <c r="AF631">
        <f>_xlfn.XLOOKUP(Table1820[[#This Row],[Vehicle Price]],Table6[Vehicle Price],Table6[Vehicle Price Factor])</f>
        <v>2.02</v>
      </c>
      <c r="AG631">
        <f>_xlfn.XLOOKUP(Table1820[[#This Row],[Exotic Car]],Table7[Exotic Car],Table7[Exotic Car Factor],,0)</f>
        <v>1</v>
      </c>
      <c r="AH631">
        <f>_xlfn.XLOOKUP(Table1820[[#This Row],[Difficult Parts]],Table8[Difficult Parts],Table8[Difficult Parts Factor],,0)</f>
        <v>1</v>
      </c>
      <c r="AI631">
        <f>_xlfn.XLOOKUP(Table1820[[#This Row],[High Theft Rate]],Table9[High Theft Rate],Table9[High Theft Rate Factor],,0)</f>
        <v>1</v>
      </c>
      <c r="AJ631">
        <f>_xlfn.XLOOKUP(Table1820[[#This Row],[Advanced Safety Features]],Table10[Advanced Safety Features],Table10[Advanced Safety Features Factor],,0)</f>
        <v>1</v>
      </c>
      <c r="AK631">
        <f>_xlfn.XLOOKUP(Table1820[[#This Row],[Deductible]],Table12[Deductible],Table12[Deductible Factor],,0)</f>
        <v>0.95</v>
      </c>
      <c r="AL631">
        <f>_xlfn.XLOOKUP(Table1820[[#This Row],[Coverage Limit]],Table13[Coverage Limit],Table13[Coverage Limit Factor],,0)</f>
        <v>1</v>
      </c>
      <c r="AM631">
        <f>IF(Table1820[[#This Row],[Good Student Discount]]="Yes",'Rate Book'!$D$126,1)</f>
        <v>1</v>
      </c>
      <c r="AN631">
        <f>IF(Table1820[[#This Row],[Good Driver Discount]]="Yes",'Rate Book'!$D$127,1)</f>
        <v>1</v>
      </c>
      <c r="AO631">
        <f>IF(Table1820[[#This Row],[Multi Policy Discount]]="Yes",'Rate Book'!$D$128,1)</f>
        <v>1</v>
      </c>
      <c r="AP631">
        <f>IF(Table1820[[#This Row],[Loyal Customer Discount]]="Yes",'Rate Book'!$D$129,1)</f>
        <v>1</v>
      </c>
      <c r="AQ631">
        <f>IF(Table1820[[#This Row],[Organization Discount]]="Yes",'Rate Book'!$D$130,1)</f>
        <v>1</v>
      </c>
      <c r="AR631" cm="1">
        <f t="array" ref="AR631">IF(Table1820[[#This Row],[Effective Date]]&gt;=RateChangeTable[Effective Date],RateChangeTable[Rate Change Factor],1)</f>
        <v>1.06</v>
      </c>
      <c r="AS631" s="10">
        <f>PRODUCT(Table1820[[#This Row],[Base Rate]:[Rate Change Factor]])</f>
        <v>2540.8324575993747</v>
      </c>
      <c r="AT631" s="9">
        <f>Table1820[[#This Row],[System-Generated Premium]]-Table1820[[#This Row],[Expected Premium]]</f>
        <v>0</v>
      </c>
      <c r="AU631" t="str">
        <f>IF(Table1820[[#This Row],[Difference]]=0,"PASS","FAIL")</f>
        <v>PASS</v>
      </c>
      <c r="AV631" s="9">
        <f>ABS(Table1820[[#This Row],[Difference]])</f>
        <v>0</v>
      </c>
      <c r="AW631" s="9" t="s">
        <v>1136</v>
      </c>
    </row>
    <row r="632" spans="1:49" x14ac:dyDescent="0.3">
      <c r="A632" t="s">
        <v>723</v>
      </c>
      <c r="B632" s="7">
        <v>46020</v>
      </c>
      <c r="C632" t="s">
        <v>70</v>
      </c>
      <c r="D632" t="s">
        <v>1099</v>
      </c>
      <c r="E632" s="3">
        <v>6</v>
      </c>
      <c r="F632" s="3" t="s">
        <v>7</v>
      </c>
      <c r="G632" t="s">
        <v>12</v>
      </c>
      <c r="H632" t="s">
        <v>1109</v>
      </c>
      <c r="I632" t="s">
        <v>26</v>
      </c>
      <c r="J632" t="s">
        <v>52</v>
      </c>
      <c r="K632" t="s">
        <v>10</v>
      </c>
      <c r="L632" t="s">
        <v>10</v>
      </c>
      <c r="M632" t="s">
        <v>10</v>
      </c>
      <c r="N632" t="s">
        <v>57</v>
      </c>
      <c r="O632" t="str">
        <f>INDEX(CoverageTable[Deductible Applies],MATCH(Table1820[[#This Row],[Coverage]],CoverageTable[Coverage],0))</f>
        <v>No</v>
      </c>
      <c r="P632" t="str">
        <f>INDEX(CoverageTable[Coverage Limit Applies],MATCH(Table1820[[#This Row],[Coverage]],CoverageTable[Coverage],0))</f>
        <v>Yes</v>
      </c>
      <c r="Q632" t="s">
        <v>10</v>
      </c>
      <c r="R632" t="s">
        <v>78</v>
      </c>
      <c r="S632" t="s">
        <v>10</v>
      </c>
      <c r="T632" t="s">
        <v>57</v>
      </c>
      <c r="U632" t="s">
        <v>10</v>
      </c>
      <c r="V632" t="s">
        <v>10</v>
      </c>
      <c r="W632" t="s">
        <v>10</v>
      </c>
      <c r="X632" s="11">
        <v>1251.0058449737305</v>
      </c>
      <c r="Y632">
        <f>_xlfn.XLOOKUP(Table1820[[#This Row],[Coverage]],CoverageTable[Coverage],CoverageTable[Base Rate],,0)</f>
        <v>622</v>
      </c>
      <c r="Z632">
        <f>INDEX(Table16[Ageband Factor],MATCH(Table1820[[#This Row],[Ageband]],Table16[Ageband],0))</f>
        <v>1</v>
      </c>
      <c r="AA632">
        <f>VLOOKUP(Table1820[[#This Row],[Years Driving]],Table1[],2)</f>
        <v>1</v>
      </c>
      <c r="AB632">
        <f>_xlfn.XLOOKUP(Table1820[[#This Row],[At Fault Accidents]],Table2[At Fault Accidents],Table2[At Fault Accident Factor],,0)</f>
        <v>2.4700000000000002</v>
      </c>
      <c r="AC632">
        <f>_xlfn.XLOOKUP(Table1820[[#This Row],[Usage-Based Insurance]],Table3[Usage-Based Insurance],Table3[Usage-Based Insurance Discount],,0)</f>
        <v>0.8</v>
      </c>
      <c r="AD632">
        <f>_xlfn.XLOOKUP(Table1820[[#This Row],[Yearly Miles]],Table4[Yearly Miles],Table4[Yearly Miles Factor],,0)</f>
        <v>1.18</v>
      </c>
      <c r="AE632">
        <f>_xlfn.XLOOKUP(Table1820[[#This Row],[City/Zip Code]],Table5[City/Zip Code],Table5[City/Zip Code Factor],,0)</f>
        <v>1.1499999999999999</v>
      </c>
      <c r="AF632">
        <f>_xlfn.XLOOKUP(Table1820[[#This Row],[Vehicle Price]],Table6[Vehicle Price],Table6[Vehicle Price Factor])</f>
        <v>1.57</v>
      </c>
      <c r="AG632">
        <f>_xlfn.XLOOKUP(Table1820[[#This Row],[Exotic Car]],Table7[Exotic Car],Table7[Exotic Car Factor],,0)</f>
        <v>1</v>
      </c>
      <c r="AH632">
        <f>_xlfn.XLOOKUP(Table1820[[#This Row],[Difficult Parts]],Table8[Difficult Parts],Table8[Difficult Parts Factor],,0)</f>
        <v>1</v>
      </c>
      <c r="AI632">
        <f>_xlfn.XLOOKUP(Table1820[[#This Row],[High Theft Rate]],Table9[High Theft Rate],Table9[High Theft Rate Factor],,0)</f>
        <v>1</v>
      </c>
      <c r="AJ632">
        <f>_xlfn.XLOOKUP(Table1820[[#This Row],[Advanced Safety Features]],Table10[Advanced Safety Features],Table10[Advanced Safety Features Factor],,0)</f>
        <v>0.88</v>
      </c>
      <c r="AK632">
        <f>_xlfn.XLOOKUP(Table1820[[#This Row],[Deductible]],Table12[Deductible],Table12[Deductible Factor],,0)</f>
        <v>1</v>
      </c>
      <c r="AL632">
        <f>_xlfn.XLOOKUP(Table1820[[#This Row],[Coverage Limit]],Table13[Coverage Limit],Table13[Coverage Limit Factor],,0)</f>
        <v>0.61</v>
      </c>
      <c r="AM632">
        <f>IF(Table1820[[#This Row],[Good Student Discount]]="Yes",'Rate Book'!$D$126,1)</f>
        <v>1</v>
      </c>
      <c r="AN632">
        <f>IF(Table1820[[#This Row],[Good Driver Discount]]="Yes",'Rate Book'!$D$127,1)</f>
        <v>0.89</v>
      </c>
      <c r="AO632">
        <f>IF(Table1820[[#This Row],[Multi Policy Discount]]="Yes",'Rate Book'!$D$128,1)</f>
        <v>1</v>
      </c>
      <c r="AP632">
        <f>IF(Table1820[[#This Row],[Loyal Customer Discount]]="Yes",'Rate Book'!$D$129,1)</f>
        <v>1</v>
      </c>
      <c r="AQ632">
        <f>IF(Table1820[[#This Row],[Organization Discount]]="Yes",'Rate Book'!$D$130,1)</f>
        <v>1</v>
      </c>
      <c r="AR632" cm="1">
        <f t="array" ref="AR632">IF(Table1820[[#This Row],[Effective Date]]&gt;=RateChangeTable[Effective Date],RateChangeTable[Rate Change Factor],1)</f>
        <v>1</v>
      </c>
      <c r="AS632" s="10">
        <f>PRODUCT(Table1820[[#This Row],[Base Rate]:[Rate Change Factor]])</f>
        <v>1251.0058449737305</v>
      </c>
      <c r="AT632" s="9">
        <f>Table1820[[#This Row],[System-Generated Premium]]-Table1820[[#This Row],[Expected Premium]]</f>
        <v>0</v>
      </c>
      <c r="AU632" t="str">
        <f>IF(Table1820[[#This Row],[Difference]]=0,"PASS","FAIL")</f>
        <v>PASS</v>
      </c>
      <c r="AV632" s="9">
        <f>ABS(Table1820[[#This Row],[Difference]])</f>
        <v>0</v>
      </c>
      <c r="AW632" s="9" t="s">
        <v>1136</v>
      </c>
    </row>
    <row r="633" spans="1:49" x14ac:dyDescent="0.3">
      <c r="A633" t="s">
        <v>724</v>
      </c>
      <c r="B633" s="7">
        <v>45809</v>
      </c>
      <c r="C633" t="s">
        <v>74</v>
      </c>
      <c r="D633" t="s">
        <v>1099</v>
      </c>
      <c r="E633" s="3">
        <v>3</v>
      </c>
      <c r="F633" s="3">
        <v>3</v>
      </c>
      <c r="G633" t="s">
        <v>10</v>
      </c>
      <c r="H633" t="s">
        <v>1109</v>
      </c>
      <c r="I633" t="s">
        <v>42</v>
      </c>
      <c r="J633" t="s">
        <v>50</v>
      </c>
      <c r="K633" t="s">
        <v>10</v>
      </c>
      <c r="L633" t="s">
        <v>10</v>
      </c>
      <c r="M633" t="s">
        <v>10</v>
      </c>
      <c r="N633" t="s">
        <v>10</v>
      </c>
      <c r="O633" t="str">
        <f>INDEX(CoverageTable[Deductible Applies],MATCH(Table1820[[#This Row],[Coverage]],CoverageTable[Coverage],0))</f>
        <v>No</v>
      </c>
      <c r="P633" t="str">
        <f>INDEX(CoverageTable[Coverage Limit Applies],MATCH(Table1820[[#This Row],[Coverage]],CoverageTable[Coverage],0))</f>
        <v>Yes</v>
      </c>
      <c r="Q633" t="s">
        <v>10</v>
      </c>
      <c r="R633" t="s">
        <v>78</v>
      </c>
      <c r="S633" t="s">
        <v>10</v>
      </c>
      <c r="T633" t="s">
        <v>57</v>
      </c>
      <c r="U633" t="s">
        <v>10</v>
      </c>
      <c r="V633" t="s">
        <v>57</v>
      </c>
      <c r="W633" t="s">
        <v>10</v>
      </c>
      <c r="X633" s="11">
        <v>71.639723955793585</v>
      </c>
      <c r="Y633">
        <f>_xlfn.XLOOKUP(Table1820[[#This Row],[Coverage]],CoverageTable[Coverage],CoverageTable[Base Rate],,0)</f>
        <v>41</v>
      </c>
      <c r="Z633">
        <f>INDEX(Table16[Ageband Factor],MATCH(Table1820[[#This Row],[Ageband]],Table16[Ageband],0))</f>
        <v>1</v>
      </c>
      <c r="AA633">
        <f>VLOOKUP(Table1820[[#This Row],[Years Driving]],Table1[],2)</f>
        <v>1.22</v>
      </c>
      <c r="AB633">
        <f>_xlfn.XLOOKUP(Table1820[[#This Row],[At Fault Accidents]],Table2[At Fault Accidents],Table2[At Fault Accident Factor],,0)</f>
        <v>1.82</v>
      </c>
      <c r="AC633">
        <f>_xlfn.XLOOKUP(Table1820[[#This Row],[Usage-Based Insurance]],Table3[Usage-Based Insurance],Table3[Usage-Based Insurance Discount],,0)</f>
        <v>1</v>
      </c>
      <c r="AD633">
        <f>_xlfn.XLOOKUP(Table1820[[#This Row],[Yearly Miles]],Table4[Yearly Miles],Table4[Yearly Miles Factor],,0)</f>
        <v>1.18</v>
      </c>
      <c r="AE633">
        <f>_xlfn.XLOOKUP(Table1820[[#This Row],[City/Zip Code]],Table5[City/Zip Code],Table5[City/Zip Code Factor],,0)</f>
        <v>1.21</v>
      </c>
      <c r="AF633">
        <f>_xlfn.XLOOKUP(Table1820[[#This Row],[Vehicle Price]],Table6[Vehicle Price],Table6[Vehicle Price Factor])</f>
        <v>1.08</v>
      </c>
      <c r="AG633">
        <f>_xlfn.XLOOKUP(Table1820[[#This Row],[Exotic Car]],Table7[Exotic Car],Table7[Exotic Car Factor],,0)</f>
        <v>1</v>
      </c>
      <c r="AH633">
        <f>_xlfn.XLOOKUP(Table1820[[#This Row],[Difficult Parts]],Table8[Difficult Parts],Table8[Difficult Parts Factor],,0)</f>
        <v>1</v>
      </c>
      <c r="AI633">
        <f>_xlfn.XLOOKUP(Table1820[[#This Row],[High Theft Rate]],Table9[High Theft Rate],Table9[High Theft Rate Factor],,0)</f>
        <v>1</v>
      </c>
      <c r="AJ633">
        <f>_xlfn.XLOOKUP(Table1820[[#This Row],[Advanced Safety Features]],Table10[Advanced Safety Features],Table10[Advanced Safety Features Factor],,0)</f>
        <v>1</v>
      </c>
      <c r="AK633">
        <f>_xlfn.XLOOKUP(Table1820[[#This Row],[Deductible]],Table12[Deductible],Table12[Deductible Factor],,0)</f>
        <v>1</v>
      </c>
      <c r="AL633">
        <f>_xlfn.XLOOKUP(Table1820[[#This Row],[Coverage Limit]],Table13[Coverage Limit],Table13[Coverage Limit Factor],,0)</f>
        <v>0.61</v>
      </c>
      <c r="AM633">
        <f>IF(Table1820[[#This Row],[Good Student Discount]]="Yes",'Rate Book'!$D$126,1)</f>
        <v>1</v>
      </c>
      <c r="AN633">
        <f>IF(Table1820[[#This Row],[Good Driver Discount]]="Yes",'Rate Book'!$D$127,1)</f>
        <v>0.89</v>
      </c>
      <c r="AO633">
        <f>IF(Table1820[[#This Row],[Multi Policy Discount]]="Yes",'Rate Book'!$D$128,1)</f>
        <v>1</v>
      </c>
      <c r="AP633">
        <f>IF(Table1820[[#This Row],[Loyal Customer Discount]]="Yes",'Rate Book'!$D$129,1)</f>
        <v>0.94</v>
      </c>
      <c r="AQ633">
        <f>IF(Table1820[[#This Row],[Organization Discount]]="Yes",'Rate Book'!$D$130,1)</f>
        <v>1</v>
      </c>
      <c r="AR633" cm="1">
        <f t="array" ref="AR633">IF(Table1820[[#This Row],[Effective Date]]&gt;=RateChangeTable[Effective Date],RateChangeTable[Rate Change Factor],1)</f>
        <v>1</v>
      </c>
      <c r="AS633" s="10">
        <f>PRODUCT(Table1820[[#This Row],[Base Rate]:[Rate Change Factor]])</f>
        <v>71.639723955793585</v>
      </c>
      <c r="AT633" s="9">
        <f>Table1820[[#This Row],[System-Generated Premium]]-Table1820[[#This Row],[Expected Premium]]</f>
        <v>0</v>
      </c>
      <c r="AU633" t="str">
        <f>IF(Table1820[[#This Row],[Difference]]=0,"PASS","FAIL")</f>
        <v>PASS</v>
      </c>
      <c r="AV633" s="9">
        <f>ABS(Table1820[[#This Row],[Difference]])</f>
        <v>0</v>
      </c>
      <c r="AW633" s="9" t="s">
        <v>1136</v>
      </c>
    </row>
    <row r="634" spans="1:49" x14ac:dyDescent="0.3">
      <c r="A634" t="s">
        <v>725</v>
      </c>
      <c r="B634" s="7">
        <v>45790</v>
      </c>
      <c r="C634" t="s">
        <v>72</v>
      </c>
      <c r="D634" t="s">
        <v>1102</v>
      </c>
      <c r="E634" s="3">
        <v>1</v>
      </c>
      <c r="F634" s="3">
        <v>0</v>
      </c>
      <c r="G634" t="s">
        <v>13</v>
      </c>
      <c r="H634" t="s">
        <v>1108</v>
      </c>
      <c r="I634" t="s">
        <v>26</v>
      </c>
      <c r="J634" t="s">
        <v>49</v>
      </c>
      <c r="K634" t="s">
        <v>10</v>
      </c>
      <c r="L634" t="s">
        <v>10</v>
      </c>
      <c r="M634" t="s">
        <v>10</v>
      </c>
      <c r="N634" t="s">
        <v>10</v>
      </c>
      <c r="O634" t="str">
        <f>INDEX(CoverageTable[Deductible Applies],MATCH(Table1820[[#This Row],[Coverage]],CoverageTable[Coverage],0))</f>
        <v>Yes</v>
      </c>
      <c r="P634" t="str">
        <f>INDEX(CoverageTable[Coverage Limit Applies],MATCH(Table1820[[#This Row],[Coverage]],CoverageTable[Coverage],0))</f>
        <v>No</v>
      </c>
      <c r="Q634" t="s">
        <v>79</v>
      </c>
      <c r="R634" t="s">
        <v>10</v>
      </c>
      <c r="S634" t="s">
        <v>57</v>
      </c>
      <c r="T634" t="s">
        <v>10</v>
      </c>
      <c r="U634" t="s">
        <v>10</v>
      </c>
      <c r="V634" t="s">
        <v>10</v>
      </c>
      <c r="W634" t="s">
        <v>57</v>
      </c>
      <c r="X634" s="11">
        <v>136.97922926543856</v>
      </c>
      <c r="Y634">
        <f>_xlfn.XLOOKUP(Table1820[[#This Row],[Coverage]],CoverageTable[Coverage],CoverageTable[Base Rate],,0)</f>
        <v>121</v>
      </c>
      <c r="Z634">
        <f>INDEX(Table16[Ageband Factor],MATCH(Table1820[[#This Row],[Ageband]],Table16[Ageband],0))</f>
        <v>1.27</v>
      </c>
      <c r="AA634">
        <f>VLOOKUP(Table1820[[#This Row],[Years Driving]],Table1[],2)</f>
        <v>1.64</v>
      </c>
      <c r="AB634">
        <f>_xlfn.XLOOKUP(Table1820[[#This Row],[At Fault Accidents]],Table2[At Fault Accidents],Table2[At Fault Accident Factor],,0)</f>
        <v>1</v>
      </c>
      <c r="AC634">
        <f>_xlfn.XLOOKUP(Table1820[[#This Row],[Usage-Based Insurance]],Table3[Usage-Based Insurance],Table3[Usage-Based Insurance Discount],,0)</f>
        <v>0.65</v>
      </c>
      <c r="AD634">
        <f>_xlfn.XLOOKUP(Table1820[[#This Row],[Yearly Miles]],Table4[Yearly Miles],Table4[Yearly Miles Factor],,0)</f>
        <v>1</v>
      </c>
      <c r="AE634">
        <f>_xlfn.XLOOKUP(Table1820[[#This Row],[City/Zip Code]],Table5[City/Zip Code],Table5[City/Zip Code Factor],,0)</f>
        <v>1.1499999999999999</v>
      </c>
      <c r="AF634">
        <f>_xlfn.XLOOKUP(Table1820[[#This Row],[Vehicle Price]],Table6[Vehicle Price],Table6[Vehicle Price Factor])</f>
        <v>0.97</v>
      </c>
      <c r="AG634">
        <f>_xlfn.XLOOKUP(Table1820[[#This Row],[Exotic Car]],Table7[Exotic Car],Table7[Exotic Car Factor],,0)</f>
        <v>1</v>
      </c>
      <c r="AH634">
        <f>_xlfn.XLOOKUP(Table1820[[#This Row],[Difficult Parts]],Table8[Difficult Parts],Table8[Difficult Parts Factor],,0)</f>
        <v>1</v>
      </c>
      <c r="AI634">
        <f>_xlfn.XLOOKUP(Table1820[[#This Row],[High Theft Rate]],Table9[High Theft Rate],Table9[High Theft Rate Factor],,0)</f>
        <v>1</v>
      </c>
      <c r="AJ634">
        <f>_xlfn.XLOOKUP(Table1820[[#This Row],[Advanced Safety Features]],Table10[Advanced Safety Features],Table10[Advanced Safety Features Factor],,0)</f>
        <v>1</v>
      </c>
      <c r="AK634">
        <f>_xlfn.XLOOKUP(Table1820[[#This Row],[Deductible]],Table12[Deductible],Table12[Deductible Factor],,0)</f>
        <v>0.84</v>
      </c>
      <c r="AL634">
        <f>_xlfn.XLOOKUP(Table1820[[#This Row],[Coverage Limit]],Table13[Coverage Limit],Table13[Coverage Limit Factor],,0)</f>
        <v>1</v>
      </c>
      <c r="AM634">
        <f>IF(Table1820[[#This Row],[Good Student Discount]]="Yes",'Rate Book'!$D$126,1)</f>
        <v>0.92</v>
      </c>
      <c r="AN634">
        <f>IF(Table1820[[#This Row],[Good Driver Discount]]="Yes",'Rate Book'!$D$127,1)</f>
        <v>1</v>
      </c>
      <c r="AO634">
        <f>IF(Table1820[[#This Row],[Multi Policy Discount]]="Yes",'Rate Book'!$D$128,1)</f>
        <v>1</v>
      </c>
      <c r="AP634">
        <f>IF(Table1820[[#This Row],[Loyal Customer Discount]]="Yes",'Rate Book'!$D$129,1)</f>
        <v>1</v>
      </c>
      <c r="AQ634">
        <f>IF(Table1820[[#This Row],[Organization Discount]]="Yes",'Rate Book'!$D$130,1)</f>
        <v>0.97</v>
      </c>
      <c r="AR634" cm="1">
        <f t="array" ref="AR634">IF(Table1820[[#This Row],[Effective Date]]&gt;=RateChangeTable[Effective Date],RateChangeTable[Rate Change Factor],1)</f>
        <v>1</v>
      </c>
      <c r="AS634" s="10">
        <f>PRODUCT(Table1820[[#This Row],[Base Rate]:[Rate Change Factor]])</f>
        <v>136.97922926543856</v>
      </c>
      <c r="AT634" s="9">
        <f>Table1820[[#This Row],[System-Generated Premium]]-Table1820[[#This Row],[Expected Premium]]</f>
        <v>0</v>
      </c>
      <c r="AU634" t="str">
        <f>IF(Table1820[[#This Row],[Difference]]=0,"PASS","FAIL")</f>
        <v>PASS</v>
      </c>
      <c r="AV634" s="9">
        <f>ABS(Table1820[[#This Row],[Difference]])</f>
        <v>0</v>
      </c>
      <c r="AW634" s="9" t="s">
        <v>1136</v>
      </c>
    </row>
    <row r="635" spans="1:49" x14ac:dyDescent="0.3">
      <c r="A635" t="s">
        <v>726</v>
      </c>
      <c r="B635" s="7">
        <v>45913</v>
      </c>
      <c r="C635" t="s">
        <v>72</v>
      </c>
      <c r="D635" t="s">
        <v>1099</v>
      </c>
      <c r="E635" s="3">
        <v>6</v>
      </c>
      <c r="F635" s="3">
        <v>0</v>
      </c>
      <c r="G635" t="s">
        <v>10</v>
      </c>
      <c r="H635" t="s">
        <v>1106</v>
      </c>
      <c r="I635" t="s">
        <v>39</v>
      </c>
      <c r="J635" t="s">
        <v>54</v>
      </c>
      <c r="K635" t="s">
        <v>57</v>
      </c>
      <c r="L635" t="s">
        <v>10</v>
      </c>
      <c r="M635" t="s">
        <v>57</v>
      </c>
      <c r="N635" t="s">
        <v>10</v>
      </c>
      <c r="O635" t="str">
        <f>INDEX(CoverageTable[Deductible Applies],MATCH(Table1820[[#This Row],[Coverage]],CoverageTable[Coverage],0))</f>
        <v>Yes</v>
      </c>
      <c r="P635" t="str">
        <f>INDEX(CoverageTable[Coverage Limit Applies],MATCH(Table1820[[#This Row],[Coverage]],CoverageTable[Coverage],0))</f>
        <v>No</v>
      </c>
      <c r="Q635" t="s">
        <v>78</v>
      </c>
      <c r="R635" t="s">
        <v>10</v>
      </c>
      <c r="S635" t="s">
        <v>10</v>
      </c>
      <c r="T635" t="s">
        <v>10</v>
      </c>
      <c r="U635" t="s">
        <v>10</v>
      </c>
      <c r="V635" t="s">
        <v>10</v>
      </c>
      <c r="W635" t="s">
        <v>10</v>
      </c>
      <c r="X635" s="11">
        <v>433.80688361471999</v>
      </c>
      <c r="Y635">
        <f>_xlfn.XLOOKUP(Table1820[[#This Row],[Coverage]],CoverageTable[Coverage],CoverageTable[Base Rate],,0)</f>
        <v>121</v>
      </c>
      <c r="Z635">
        <f>INDEX(Table16[Ageband Factor],MATCH(Table1820[[#This Row],[Ageband]],Table16[Ageband],0))</f>
        <v>1</v>
      </c>
      <c r="AA635">
        <f>VLOOKUP(Table1820[[#This Row],[Years Driving]],Table1[],2)</f>
        <v>1</v>
      </c>
      <c r="AB635">
        <f>_xlfn.XLOOKUP(Table1820[[#This Row],[At Fault Accidents]],Table2[At Fault Accidents],Table2[At Fault Accident Factor],,0)</f>
        <v>1</v>
      </c>
      <c r="AC635">
        <f>_xlfn.XLOOKUP(Table1820[[#This Row],[Usage-Based Insurance]],Table3[Usage-Based Insurance],Table3[Usage-Based Insurance Discount],,0)</f>
        <v>1</v>
      </c>
      <c r="AD635">
        <f>_xlfn.XLOOKUP(Table1820[[#This Row],[Yearly Miles]],Table4[Yearly Miles],Table4[Yearly Miles Factor],,0)</f>
        <v>0.82</v>
      </c>
      <c r="AE635">
        <f>_xlfn.XLOOKUP(Table1820[[#This Row],[City/Zip Code]],Table5[City/Zip Code],Table5[City/Zip Code Factor],,0)</f>
        <v>1.08</v>
      </c>
      <c r="AF635">
        <f>_xlfn.XLOOKUP(Table1820[[#This Row],[Vehicle Price]],Table6[Vehicle Price],Table6[Vehicle Price Factor])</f>
        <v>2.87</v>
      </c>
      <c r="AG635">
        <f>_xlfn.XLOOKUP(Table1820[[#This Row],[Exotic Car]],Table7[Exotic Car],Table7[Exotic Car Factor],,0)</f>
        <v>1.28</v>
      </c>
      <c r="AH635">
        <f>_xlfn.XLOOKUP(Table1820[[#This Row],[Difficult Parts]],Table8[Difficult Parts],Table8[Difficult Parts Factor],,0)</f>
        <v>1</v>
      </c>
      <c r="AI635">
        <f>_xlfn.XLOOKUP(Table1820[[#This Row],[High Theft Rate]],Table9[High Theft Rate],Table9[High Theft Rate Factor],,0)</f>
        <v>1.1599999999999999</v>
      </c>
      <c r="AJ635">
        <f>_xlfn.XLOOKUP(Table1820[[#This Row],[Advanced Safety Features]],Table10[Advanced Safety Features],Table10[Advanced Safety Features Factor],,0)</f>
        <v>1</v>
      </c>
      <c r="AK635">
        <f>_xlfn.XLOOKUP(Table1820[[#This Row],[Deductible]],Table12[Deductible],Table12[Deductible Factor],,0)</f>
        <v>0.95</v>
      </c>
      <c r="AL635">
        <f>_xlfn.XLOOKUP(Table1820[[#This Row],[Coverage Limit]],Table13[Coverage Limit],Table13[Coverage Limit Factor],,0)</f>
        <v>1</v>
      </c>
      <c r="AM635">
        <f>IF(Table1820[[#This Row],[Good Student Discount]]="Yes",'Rate Book'!$D$126,1)</f>
        <v>1</v>
      </c>
      <c r="AN635">
        <f>IF(Table1820[[#This Row],[Good Driver Discount]]="Yes",'Rate Book'!$D$127,1)</f>
        <v>1</v>
      </c>
      <c r="AO635">
        <f>IF(Table1820[[#This Row],[Multi Policy Discount]]="Yes",'Rate Book'!$D$128,1)</f>
        <v>1</v>
      </c>
      <c r="AP635">
        <f>IF(Table1820[[#This Row],[Loyal Customer Discount]]="Yes",'Rate Book'!$D$129,1)</f>
        <v>1</v>
      </c>
      <c r="AQ635">
        <f>IF(Table1820[[#This Row],[Organization Discount]]="Yes",'Rate Book'!$D$130,1)</f>
        <v>1</v>
      </c>
      <c r="AR635" cm="1">
        <f t="array" ref="AR635">IF(Table1820[[#This Row],[Effective Date]]&gt;=RateChangeTable[Effective Date],RateChangeTable[Rate Change Factor],1)</f>
        <v>1</v>
      </c>
      <c r="AS635" s="10">
        <f>PRODUCT(Table1820[[#This Row],[Base Rate]:[Rate Change Factor]])</f>
        <v>433.80688361471999</v>
      </c>
      <c r="AT635" s="9">
        <f>Table1820[[#This Row],[System-Generated Premium]]-Table1820[[#This Row],[Expected Premium]]</f>
        <v>0</v>
      </c>
      <c r="AU635" t="str">
        <f>IF(Table1820[[#This Row],[Difference]]=0,"PASS","FAIL")</f>
        <v>PASS</v>
      </c>
      <c r="AV635" s="9">
        <f>ABS(Table1820[[#This Row],[Difference]])</f>
        <v>0</v>
      </c>
      <c r="AW635" s="9" t="s">
        <v>1136</v>
      </c>
    </row>
    <row r="636" spans="1:49" x14ac:dyDescent="0.3">
      <c r="A636" t="s">
        <v>727</v>
      </c>
      <c r="B636" s="7">
        <v>46126</v>
      </c>
      <c r="C636" t="s">
        <v>70</v>
      </c>
      <c r="D636" t="s">
        <v>1099</v>
      </c>
      <c r="E636" s="3" t="s">
        <v>1103</v>
      </c>
      <c r="F636" s="3">
        <v>2</v>
      </c>
      <c r="G636" t="s">
        <v>12</v>
      </c>
      <c r="H636" t="s">
        <v>1110</v>
      </c>
      <c r="I636" t="s">
        <v>34</v>
      </c>
      <c r="J636" t="s">
        <v>53</v>
      </c>
      <c r="K636" t="s">
        <v>10</v>
      </c>
      <c r="L636" t="s">
        <v>10</v>
      </c>
      <c r="M636" t="s">
        <v>10</v>
      </c>
      <c r="N636" t="s">
        <v>57</v>
      </c>
      <c r="O636" t="str">
        <f>INDEX(CoverageTable[Deductible Applies],MATCH(Table1820[[#This Row],[Coverage]],CoverageTable[Coverage],0))</f>
        <v>No</v>
      </c>
      <c r="P636" t="str">
        <f>INDEX(CoverageTable[Coverage Limit Applies],MATCH(Table1820[[#This Row],[Coverage]],CoverageTable[Coverage],0))</f>
        <v>Yes</v>
      </c>
      <c r="Q636" t="s">
        <v>10</v>
      </c>
      <c r="R636" t="s">
        <v>80</v>
      </c>
      <c r="S636" t="s">
        <v>10</v>
      </c>
      <c r="T636" t="s">
        <v>10</v>
      </c>
      <c r="U636" t="s">
        <v>57</v>
      </c>
      <c r="V636" t="s">
        <v>10</v>
      </c>
      <c r="W636" t="s">
        <v>10</v>
      </c>
      <c r="X636" s="11">
        <v>2157.7098984672411</v>
      </c>
      <c r="Y636">
        <f>_xlfn.XLOOKUP(Table1820[[#This Row],[Coverage]],CoverageTable[Coverage],CoverageTable[Base Rate],,0)</f>
        <v>622</v>
      </c>
      <c r="Z636">
        <f>INDEX(Table16[Ageband Factor],MATCH(Table1820[[#This Row],[Ageband]],Table16[Ageband],0))</f>
        <v>1</v>
      </c>
      <c r="AA636">
        <f>VLOOKUP(Table1820[[#This Row],[Years Driving]],Table1[],2)</f>
        <v>0.93</v>
      </c>
      <c r="AB636">
        <f>_xlfn.XLOOKUP(Table1820[[#This Row],[At Fault Accidents]],Table2[At Fault Accidents],Table2[At Fault Accident Factor],,0)</f>
        <v>1.55</v>
      </c>
      <c r="AC636">
        <f>_xlfn.XLOOKUP(Table1820[[#This Row],[Usage-Based Insurance]],Table3[Usage-Based Insurance],Table3[Usage-Based Insurance Discount],,0)</f>
        <v>0.8</v>
      </c>
      <c r="AD636">
        <f>_xlfn.XLOOKUP(Table1820[[#This Row],[Yearly Miles]],Table4[Yearly Miles],Table4[Yearly Miles Factor],,0)</f>
        <v>1.31</v>
      </c>
      <c r="AE636">
        <f>_xlfn.XLOOKUP(Table1820[[#This Row],[City/Zip Code]],Table5[City/Zip Code],Table5[City/Zip Code Factor],,0)</f>
        <v>1.56</v>
      </c>
      <c r="AF636">
        <f>_xlfn.XLOOKUP(Table1820[[#This Row],[Vehicle Price]],Table6[Vehicle Price],Table6[Vehicle Price Factor])</f>
        <v>2.02</v>
      </c>
      <c r="AG636">
        <f>_xlfn.XLOOKUP(Table1820[[#This Row],[Exotic Car]],Table7[Exotic Car],Table7[Exotic Car Factor],,0)</f>
        <v>1</v>
      </c>
      <c r="AH636">
        <f>_xlfn.XLOOKUP(Table1820[[#This Row],[Difficult Parts]],Table8[Difficult Parts],Table8[Difficult Parts Factor],,0)</f>
        <v>1</v>
      </c>
      <c r="AI636">
        <f>_xlfn.XLOOKUP(Table1820[[#This Row],[High Theft Rate]],Table9[High Theft Rate],Table9[High Theft Rate Factor],,0)</f>
        <v>1</v>
      </c>
      <c r="AJ636">
        <f>_xlfn.XLOOKUP(Table1820[[#This Row],[Advanced Safety Features]],Table10[Advanced Safety Features],Table10[Advanced Safety Features Factor],,0)</f>
        <v>0.88</v>
      </c>
      <c r="AK636">
        <f>_xlfn.XLOOKUP(Table1820[[#This Row],[Deductible]],Table12[Deductible],Table12[Deductible Factor],,0)</f>
        <v>1</v>
      </c>
      <c r="AL636">
        <f>_xlfn.XLOOKUP(Table1820[[#This Row],[Coverage Limit]],Table13[Coverage Limit],Table13[Coverage Limit Factor],,0)</f>
        <v>0.84</v>
      </c>
      <c r="AM636">
        <f>IF(Table1820[[#This Row],[Good Student Discount]]="Yes",'Rate Book'!$D$126,1)</f>
        <v>1</v>
      </c>
      <c r="AN636">
        <f>IF(Table1820[[#This Row],[Good Driver Discount]]="Yes",'Rate Book'!$D$127,1)</f>
        <v>1</v>
      </c>
      <c r="AO636">
        <f>IF(Table1820[[#This Row],[Multi Policy Discount]]="Yes",'Rate Book'!$D$128,1)</f>
        <v>0.93</v>
      </c>
      <c r="AP636">
        <f>IF(Table1820[[#This Row],[Loyal Customer Discount]]="Yes",'Rate Book'!$D$129,1)</f>
        <v>1</v>
      </c>
      <c r="AQ636">
        <f>IF(Table1820[[#This Row],[Organization Discount]]="Yes",'Rate Book'!$D$130,1)</f>
        <v>1</v>
      </c>
      <c r="AR636" cm="1">
        <f t="array" ref="AR636">IF(Table1820[[#This Row],[Effective Date]]&gt;=RateChangeTable[Effective Date],RateChangeTable[Rate Change Factor],1)</f>
        <v>1.06</v>
      </c>
      <c r="AS636" s="10">
        <f>PRODUCT(Table1820[[#This Row],[Base Rate]:[Rate Change Factor]])</f>
        <v>2157.7098984672411</v>
      </c>
      <c r="AT636" s="9">
        <f>Table1820[[#This Row],[System-Generated Premium]]-Table1820[[#This Row],[Expected Premium]]</f>
        <v>0</v>
      </c>
      <c r="AU636" t="str">
        <f>IF(Table1820[[#This Row],[Difference]]=0,"PASS","FAIL")</f>
        <v>PASS</v>
      </c>
      <c r="AV636" s="9">
        <f>ABS(Table1820[[#This Row],[Difference]])</f>
        <v>0</v>
      </c>
      <c r="AW636" s="9" t="s">
        <v>1136</v>
      </c>
    </row>
    <row r="637" spans="1:49" x14ac:dyDescent="0.3">
      <c r="A637" t="s">
        <v>728</v>
      </c>
      <c r="B637" s="7">
        <v>46124</v>
      </c>
      <c r="C637" t="s">
        <v>71</v>
      </c>
      <c r="D637" t="s">
        <v>1098</v>
      </c>
      <c r="E637" s="3">
        <v>5</v>
      </c>
      <c r="F637" s="3">
        <v>3</v>
      </c>
      <c r="G637" t="s">
        <v>10</v>
      </c>
      <c r="H637" t="s">
        <v>1110</v>
      </c>
      <c r="I637" t="s">
        <v>41</v>
      </c>
      <c r="J637" t="s">
        <v>54</v>
      </c>
      <c r="K637" t="s">
        <v>10</v>
      </c>
      <c r="L637" t="s">
        <v>10</v>
      </c>
      <c r="M637" t="s">
        <v>10</v>
      </c>
      <c r="N637" t="s">
        <v>57</v>
      </c>
      <c r="O637" t="str">
        <f>INDEX(CoverageTable[Deductible Applies],MATCH(Table1820[[#This Row],[Coverage]],CoverageTable[Coverage],0))</f>
        <v>Yes</v>
      </c>
      <c r="P637" t="str">
        <f>INDEX(CoverageTable[Coverage Limit Applies],MATCH(Table1820[[#This Row],[Coverage]],CoverageTable[Coverage],0))</f>
        <v>No</v>
      </c>
      <c r="Q637" t="s">
        <v>79</v>
      </c>
      <c r="R637" t="s">
        <v>10</v>
      </c>
      <c r="S637" t="s">
        <v>10</v>
      </c>
      <c r="T637" t="s">
        <v>10</v>
      </c>
      <c r="U637" t="s">
        <v>10</v>
      </c>
      <c r="V637" t="s">
        <v>10</v>
      </c>
      <c r="W637" t="s">
        <v>10</v>
      </c>
      <c r="X637" s="11">
        <v>3676.0155119563715</v>
      </c>
      <c r="Y637">
        <f>_xlfn.XLOOKUP(Table1820[[#This Row],[Coverage]],CoverageTable[Coverage],CoverageTable[Base Rate],,0)</f>
        <v>453</v>
      </c>
      <c r="Z637">
        <f>INDEX(Table16[Ageband Factor],MATCH(Table1820[[#This Row],[Ageband]],Table16[Ageband],0))</f>
        <v>1.23</v>
      </c>
      <c r="AA637">
        <f>VLOOKUP(Table1820[[#This Row],[Years Driving]],Table1[],2)</f>
        <v>1.07</v>
      </c>
      <c r="AB637">
        <f>_xlfn.XLOOKUP(Table1820[[#This Row],[At Fault Accidents]],Table2[At Fault Accidents],Table2[At Fault Accident Factor],,0)</f>
        <v>1.82</v>
      </c>
      <c r="AC637">
        <f>_xlfn.XLOOKUP(Table1820[[#This Row],[Usage-Based Insurance]],Table3[Usage-Based Insurance],Table3[Usage-Based Insurance Discount],,0)</f>
        <v>1</v>
      </c>
      <c r="AD637">
        <f>_xlfn.XLOOKUP(Table1820[[#This Row],[Yearly Miles]],Table4[Yearly Miles],Table4[Yearly Miles Factor],,0)</f>
        <v>1.31</v>
      </c>
      <c r="AE637">
        <f>_xlfn.XLOOKUP(Table1820[[#This Row],[City/Zip Code]],Table5[City/Zip Code],Table5[City/Zip Code Factor],,0)</f>
        <v>1.1499999999999999</v>
      </c>
      <c r="AF637">
        <f>_xlfn.XLOOKUP(Table1820[[#This Row],[Vehicle Price]],Table6[Vehicle Price],Table6[Vehicle Price Factor])</f>
        <v>2.87</v>
      </c>
      <c r="AG637">
        <f>_xlfn.XLOOKUP(Table1820[[#This Row],[Exotic Car]],Table7[Exotic Car],Table7[Exotic Car Factor],,0)</f>
        <v>1</v>
      </c>
      <c r="AH637">
        <f>_xlfn.XLOOKUP(Table1820[[#This Row],[Difficult Parts]],Table8[Difficult Parts],Table8[Difficult Parts Factor],,0)</f>
        <v>1</v>
      </c>
      <c r="AI637">
        <f>_xlfn.XLOOKUP(Table1820[[#This Row],[High Theft Rate]],Table9[High Theft Rate],Table9[High Theft Rate Factor],,0)</f>
        <v>1</v>
      </c>
      <c r="AJ637">
        <f>_xlfn.XLOOKUP(Table1820[[#This Row],[Advanced Safety Features]],Table10[Advanced Safety Features],Table10[Advanced Safety Features Factor],,0)</f>
        <v>0.88</v>
      </c>
      <c r="AK637">
        <f>_xlfn.XLOOKUP(Table1820[[#This Row],[Deductible]],Table12[Deductible],Table12[Deductible Factor],,0)</f>
        <v>0.84</v>
      </c>
      <c r="AL637">
        <f>_xlfn.XLOOKUP(Table1820[[#This Row],[Coverage Limit]],Table13[Coverage Limit],Table13[Coverage Limit Factor],,0)</f>
        <v>1</v>
      </c>
      <c r="AM637">
        <f>IF(Table1820[[#This Row],[Good Student Discount]]="Yes",'Rate Book'!$D$126,1)</f>
        <v>1</v>
      </c>
      <c r="AN637">
        <f>IF(Table1820[[#This Row],[Good Driver Discount]]="Yes",'Rate Book'!$D$127,1)</f>
        <v>1</v>
      </c>
      <c r="AO637">
        <f>IF(Table1820[[#This Row],[Multi Policy Discount]]="Yes",'Rate Book'!$D$128,1)</f>
        <v>1</v>
      </c>
      <c r="AP637">
        <f>IF(Table1820[[#This Row],[Loyal Customer Discount]]="Yes",'Rate Book'!$D$129,1)</f>
        <v>1</v>
      </c>
      <c r="AQ637">
        <f>IF(Table1820[[#This Row],[Organization Discount]]="Yes",'Rate Book'!$D$130,1)</f>
        <v>1</v>
      </c>
      <c r="AR637" cm="1">
        <f t="array" ref="AR637">IF(Table1820[[#This Row],[Effective Date]]&gt;=RateChangeTable[Effective Date],RateChangeTable[Rate Change Factor],1)</f>
        <v>1.06</v>
      </c>
      <c r="AS637" s="10">
        <f>PRODUCT(Table1820[[#This Row],[Base Rate]:[Rate Change Factor]])</f>
        <v>3676.0155119563715</v>
      </c>
      <c r="AT637" s="9">
        <f>Table1820[[#This Row],[System-Generated Premium]]-Table1820[[#This Row],[Expected Premium]]</f>
        <v>0</v>
      </c>
      <c r="AU637" t="str">
        <f>IF(Table1820[[#This Row],[Difference]]=0,"PASS","FAIL")</f>
        <v>PASS</v>
      </c>
      <c r="AV637" s="9">
        <f>ABS(Table1820[[#This Row],[Difference]])</f>
        <v>0</v>
      </c>
      <c r="AW637" s="9" t="s">
        <v>1136</v>
      </c>
    </row>
    <row r="638" spans="1:49" x14ac:dyDescent="0.3">
      <c r="A638" t="s">
        <v>729</v>
      </c>
      <c r="B638" s="7">
        <v>45812</v>
      </c>
      <c r="C638" t="s">
        <v>73</v>
      </c>
      <c r="D638" t="s">
        <v>1101</v>
      </c>
      <c r="E638" s="3">
        <v>1</v>
      </c>
      <c r="F638" s="3">
        <v>4</v>
      </c>
      <c r="G638" t="s">
        <v>10</v>
      </c>
      <c r="H638" t="s">
        <v>1107</v>
      </c>
      <c r="I638" t="s">
        <v>44</v>
      </c>
      <c r="J638" t="s">
        <v>52</v>
      </c>
      <c r="K638" t="s">
        <v>10</v>
      </c>
      <c r="L638" t="s">
        <v>10</v>
      </c>
      <c r="M638" t="s">
        <v>10</v>
      </c>
      <c r="N638" t="s">
        <v>57</v>
      </c>
      <c r="O638" t="str">
        <f>INDEX(CoverageTable[Deductible Applies],MATCH(Table1820[[#This Row],[Coverage]],CoverageTable[Coverage],0))</f>
        <v>No</v>
      </c>
      <c r="P638" t="str">
        <f>INDEX(CoverageTable[Coverage Limit Applies],MATCH(Table1820[[#This Row],[Coverage]],CoverageTable[Coverage],0))</f>
        <v>Yes</v>
      </c>
      <c r="Q638" t="s">
        <v>10</v>
      </c>
      <c r="R638" t="s">
        <v>79</v>
      </c>
      <c r="S638" t="s">
        <v>10</v>
      </c>
      <c r="T638" t="s">
        <v>10</v>
      </c>
      <c r="U638" t="s">
        <v>10</v>
      </c>
      <c r="V638" t="s">
        <v>57</v>
      </c>
      <c r="W638" t="s">
        <v>10</v>
      </c>
      <c r="X638" s="11">
        <v>306.3909595237248</v>
      </c>
      <c r="Y638">
        <f>_xlfn.XLOOKUP(Table1820[[#This Row],[Coverage]],CoverageTable[Coverage],CoverageTable[Base Rate],,0)</f>
        <v>78</v>
      </c>
      <c r="Z638">
        <f>INDEX(Table16[Ageband Factor],MATCH(Table1820[[#This Row],[Ageband]],Table16[Ageband],0))</f>
        <v>1.1200000000000001</v>
      </c>
      <c r="AA638">
        <f>VLOOKUP(Table1820[[#This Row],[Years Driving]],Table1[],2)</f>
        <v>1.64</v>
      </c>
      <c r="AB638">
        <f>_xlfn.XLOOKUP(Table1820[[#This Row],[At Fault Accidents]],Table2[At Fault Accidents],Table2[At Fault Accident Factor],,0)</f>
        <v>2.12</v>
      </c>
      <c r="AC638">
        <f>_xlfn.XLOOKUP(Table1820[[#This Row],[Usage-Based Insurance]],Table3[Usage-Based Insurance],Table3[Usage-Based Insurance Discount],,0)</f>
        <v>1</v>
      </c>
      <c r="AD638">
        <f>_xlfn.XLOOKUP(Table1820[[#This Row],[Yearly Miles]],Table4[Yearly Miles],Table4[Yearly Miles Factor],,0)</f>
        <v>0.93</v>
      </c>
      <c r="AE638">
        <f>_xlfn.XLOOKUP(Table1820[[#This Row],[City/Zip Code]],Table5[City/Zip Code],Table5[City/Zip Code Factor],,0)</f>
        <v>1.1599999999999999</v>
      </c>
      <c r="AF638">
        <f>_xlfn.XLOOKUP(Table1820[[#This Row],[Vehicle Price]],Table6[Vehicle Price],Table6[Vehicle Price Factor])</f>
        <v>1.57</v>
      </c>
      <c r="AG638">
        <f>_xlfn.XLOOKUP(Table1820[[#This Row],[Exotic Car]],Table7[Exotic Car],Table7[Exotic Car Factor],,0)</f>
        <v>1</v>
      </c>
      <c r="AH638">
        <f>_xlfn.XLOOKUP(Table1820[[#This Row],[Difficult Parts]],Table8[Difficult Parts],Table8[Difficult Parts Factor],,0)</f>
        <v>1</v>
      </c>
      <c r="AI638">
        <f>_xlfn.XLOOKUP(Table1820[[#This Row],[High Theft Rate]],Table9[High Theft Rate],Table9[High Theft Rate Factor],,0)</f>
        <v>1</v>
      </c>
      <c r="AJ638">
        <f>_xlfn.XLOOKUP(Table1820[[#This Row],[Advanced Safety Features]],Table10[Advanced Safety Features],Table10[Advanced Safety Features Factor],,0)</f>
        <v>0.88</v>
      </c>
      <c r="AK638">
        <f>_xlfn.XLOOKUP(Table1820[[#This Row],[Deductible]],Table12[Deductible],Table12[Deductible Factor],,0)</f>
        <v>1</v>
      </c>
      <c r="AL638">
        <f>_xlfn.XLOOKUP(Table1820[[#This Row],[Coverage Limit]],Table13[Coverage Limit],Table13[Coverage Limit Factor],,0)</f>
        <v>0.72</v>
      </c>
      <c r="AM638">
        <f>IF(Table1820[[#This Row],[Good Student Discount]]="Yes",'Rate Book'!$D$126,1)</f>
        <v>1</v>
      </c>
      <c r="AN638">
        <f>IF(Table1820[[#This Row],[Good Driver Discount]]="Yes",'Rate Book'!$D$127,1)</f>
        <v>1</v>
      </c>
      <c r="AO638">
        <f>IF(Table1820[[#This Row],[Multi Policy Discount]]="Yes",'Rate Book'!$D$128,1)</f>
        <v>1</v>
      </c>
      <c r="AP638">
        <f>IF(Table1820[[#This Row],[Loyal Customer Discount]]="Yes",'Rate Book'!$D$129,1)</f>
        <v>0.94</v>
      </c>
      <c r="AQ638">
        <f>IF(Table1820[[#This Row],[Organization Discount]]="Yes",'Rate Book'!$D$130,1)</f>
        <v>1</v>
      </c>
      <c r="AR638" cm="1">
        <f t="array" ref="AR638">IF(Table1820[[#This Row],[Effective Date]]&gt;=RateChangeTable[Effective Date],RateChangeTable[Rate Change Factor],1)</f>
        <v>1</v>
      </c>
      <c r="AS638" s="10">
        <f>PRODUCT(Table1820[[#This Row],[Base Rate]:[Rate Change Factor]])</f>
        <v>306.3909595237248</v>
      </c>
      <c r="AT638" s="9">
        <f>Table1820[[#This Row],[System-Generated Premium]]-Table1820[[#This Row],[Expected Premium]]</f>
        <v>0</v>
      </c>
      <c r="AU638" t="str">
        <f>IF(Table1820[[#This Row],[Difference]]=0,"PASS","FAIL")</f>
        <v>PASS</v>
      </c>
      <c r="AV638" s="9">
        <f>ABS(Table1820[[#This Row],[Difference]])</f>
        <v>0</v>
      </c>
      <c r="AW638" s="9" t="s">
        <v>1136</v>
      </c>
    </row>
    <row r="639" spans="1:49" x14ac:dyDescent="0.3">
      <c r="A639" t="s">
        <v>730</v>
      </c>
      <c r="B639" s="7">
        <v>46091</v>
      </c>
      <c r="C639" t="s">
        <v>71</v>
      </c>
      <c r="D639" t="s">
        <v>1099</v>
      </c>
      <c r="E639" s="3">
        <v>6</v>
      </c>
      <c r="F639" s="3">
        <v>2</v>
      </c>
      <c r="G639" t="s">
        <v>13</v>
      </c>
      <c r="H639" t="s">
        <v>1108</v>
      </c>
      <c r="I639" t="s">
        <v>22</v>
      </c>
      <c r="J639" t="s">
        <v>54</v>
      </c>
      <c r="K639" t="s">
        <v>10</v>
      </c>
      <c r="L639" t="s">
        <v>57</v>
      </c>
      <c r="M639" t="s">
        <v>10</v>
      </c>
      <c r="N639" t="s">
        <v>57</v>
      </c>
      <c r="O639" t="str">
        <f>INDEX(CoverageTable[Deductible Applies],MATCH(Table1820[[#This Row],[Coverage]],CoverageTable[Coverage],0))</f>
        <v>Yes</v>
      </c>
      <c r="P639" t="str">
        <f>INDEX(CoverageTable[Coverage Limit Applies],MATCH(Table1820[[#This Row],[Coverage]],CoverageTable[Coverage],0))</f>
        <v>No</v>
      </c>
      <c r="Q639" t="s">
        <v>79</v>
      </c>
      <c r="R639" t="s">
        <v>10</v>
      </c>
      <c r="S639" t="s">
        <v>10</v>
      </c>
      <c r="T639" t="s">
        <v>10</v>
      </c>
      <c r="U639" t="s">
        <v>57</v>
      </c>
      <c r="V639" t="s">
        <v>10</v>
      </c>
      <c r="W639" t="s">
        <v>10</v>
      </c>
      <c r="X639" s="11">
        <v>1318.38</v>
      </c>
      <c r="Y639">
        <f>_xlfn.XLOOKUP(Table1820[[#This Row],[Coverage]],CoverageTable[Coverage],CoverageTable[Base Rate],,0)</f>
        <v>453</v>
      </c>
      <c r="Z639">
        <f>INDEX(Table16[Ageband Factor],MATCH(Table1820[[#This Row],[Ageband]],Table16[Ageband],0))</f>
        <v>1</v>
      </c>
      <c r="AA639">
        <f>VLOOKUP(Table1820[[#This Row],[Years Driving]],Table1[],2)</f>
        <v>1</v>
      </c>
      <c r="AB639">
        <f>_xlfn.XLOOKUP(Table1820[[#This Row],[At Fault Accidents]],Table2[At Fault Accidents],Table2[At Fault Accident Factor],,0)</f>
        <v>1.55</v>
      </c>
      <c r="AC639">
        <f>_xlfn.XLOOKUP(Table1820[[#This Row],[Usage-Based Insurance]],Table3[Usage-Based Insurance],Table3[Usage-Based Insurance Discount],,0)</f>
        <v>0.65</v>
      </c>
      <c r="AD639">
        <f>_xlfn.XLOOKUP(Table1820[[#This Row],[Yearly Miles]],Table4[Yearly Miles],Table4[Yearly Miles Factor],,0)</f>
        <v>1</v>
      </c>
      <c r="AE639">
        <f>_xlfn.XLOOKUP(Table1820[[#This Row],[City/Zip Code]],Table5[City/Zip Code],Table5[City/Zip Code Factor],,0)</f>
        <v>1.21</v>
      </c>
      <c r="AF639">
        <f>_xlfn.XLOOKUP(Table1820[[#This Row],[Vehicle Price]],Table6[Vehicle Price],Table6[Vehicle Price Factor])</f>
        <v>2.87</v>
      </c>
      <c r="AG639">
        <f>_xlfn.XLOOKUP(Table1820[[#This Row],[Exotic Car]],Table7[Exotic Car],Table7[Exotic Car Factor],,0)</f>
        <v>1</v>
      </c>
      <c r="AH639">
        <f>_xlfn.XLOOKUP(Table1820[[#This Row],[Difficult Parts]],Table8[Difficult Parts],Table8[Difficult Parts Factor],,0)</f>
        <v>1.21</v>
      </c>
      <c r="AI639">
        <f>_xlfn.XLOOKUP(Table1820[[#This Row],[High Theft Rate]],Table9[High Theft Rate],Table9[High Theft Rate Factor],,0)</f>
        <v>1</v>
      </c>
      <c r="AJ639">
        <f>_xlfn.XLOOKUP(Table1820[[#This Row],[Advanced Safety Features]],Table10[Advanced Safety Features],Table10[Advanced Safety Features Factor],,0)</f>
        <v>0.88</v>
      </c>
      <c r="AK639">
        <f>_xlfn.XLOOKUP(Table1820[[#This Row],[Deductible]],Table12[Deductible],Table12[Deductible Factor],,0)</f>
        <v>0.84</v>
      </c>
      <c r="AL639">
        <f>_xlfn.XLOOKUP(Table1820[[#This Row],[Coverage Limit]],Table13[Coverage Limit],Table13[Coverage Limit Factor],,0)</f>
        <v>1</v>
      </c>
      <c r="AM639">
        <f>IF(Table1820[[#This Row],[Good Student Discount]]="Yes",'Rate Book'!$D$126,1)</f>
        <v>1</v>
      </c>
      <c r="AN639">
        <f>IF(Table1820[[#This Row],[Good Driver Discount]]="Yes",'Rate Book'!$D$127,1)</f>
        <v>1</v>
      </c>
      <c r="AO639">
        <f>IF(Table1820[[#This Row],[Multi Policy Discount]]="Yes",'Rate Book'!$D$128,1)</f>
        <v>0.93</v>
      </c>
      <c r="AP639">
        <f>IF(Table1820[[#This Row],[Loyal Customer Discount]]="Yes",'Rate Book'!$D$129,1)</f>
        <v>1</v>
      </c>
      <c r="AQ639">
        <f>IF(Table1820[[#This Row],[Organization Discount]]="Yes",'Rate Book'!$D$130,1)</f>
        <v>1</v>
      </c>
      <c r="AR639" cm="1">
        <f t="array" ref="AR639">IF(Table1820[[#This Row],[Effective Date]]&gt;=RateChangeTable[Effective Date],RateChangeTable[Rate Change Factor],1)</f>
        <v>1.06</v>
      </c>
      <c r="AS639" s="10">
        <f>PRODUCT(Table1820[[#This Row],[Base Rate]:[Rate Change Factor]])</f>
        <v>1397.4834270280837</v>
      </c>
      <c r="AT639" s="9">
        <f>Table1820[[#This Row],[System-Generated Premium]]-Table1820[[#This Row],[Expected Premium]]</f>
        <v>-79.103427028083615</v>
      </c>
      <c r="AU639" t="str">
        <f>IF(Table1820[[#This Row],[Difference]]=0,"PASS","FAIL")</f>
        <v>FAIL</v>
      </c>
      <c r="AV639" s="9">
        <f>ABS(Table1820[[#This Row],[Difference]])</f>
        <v>79.103427028083615</v>
      </c>
      <c r="AW639" s="9" t="s">
        <v>1133</v>
      </c>
    </row>
    <row r="640" spans="1:49" x14ac:dyDescent="0.3">
      <c r="A640" t="s">
        <v>731</v>
      </c>
      <c r="B640" s="7">
        <v>45795</v>
      </c>
      <c r="C640" t="s">
        <v>70</v>
      </c>
      <c r="D640" t="s">
        <v>1099</v>
      </c>
      <c r="E640" s="3" t="s">
        <v>1103</v>
      </c>
      <c r="F640" s="3">
        <v>0</v>
      </c>
      <c r="G640" t="s">
        <v>12</v>
      </c>
      <c r="H640" t="s">
        <v>1110</v>
      </c>
      <c r="I640" t="s">
        <v>22</v>
      </c>
      <c r="J640" t="s">
        <v>52</v>
      </c>
      <c r="K640" t="s">
        <v>57</v>
      </c>
      <c r="L640" t="s">
        <v>57</v>
      </c>
      <c r="M640" t="s">
        <v>10</v>
      </c>
      <c r="N640" t="s">
        <v>10</v>
      </c>
      <c r="O640" t="str">
        <f>INDEX(CoverageTable[Deductible Applies],MATCH(Table1820[[#This Row],[Coverage]],CoverageTable[Coverage],0))</f>
        <v>No</v>
      </c>
      <c r="P640" t="str">
        <f>INDEX(CoverageTable[Coverage Limit Applies],MATCH(Table1820[[#This Row],[Coverage]],CoverageTable[Coverage],0))</f>
        <v>Yes</v>
      </c>
      <c r="Q640" t="s">
        <v>10</v>
      </c>
      <c r="R640" t="s">
        <v>78</v>
      </c>
      <c r="S640" t="s">
        <v>10</v>
      </c>
      <c r="T640" t="s">
        <v>57</v>
      </c>
      <c r="U640" t="s">
        <v>57</v>
      </c>
      <c r="V640" t="s">
        <v>10</v>
      </c>
      <c r="W640" t="s">
        <v>10</v>
      </c>
      <c r="X640" s="11">
        <v>900.57060808302856</v>
      </c>
      <c r="Y640">
        <f>_xlfn.XLOOKUP(Table1820[[#This Row],[Coverage]],CoverageTable[Coverage],CoverageTable[Base Rate],,0)</f>
        <v>622</v>
      </c>
      <c r="Z640">
        <f>INDEX(Table16[Ageband Factor],MATCH(Table1820[[#This Row],[Ageband]],Table16[Ageband],0))</f>
        <v>1</v>
      </c>
      <c r="AA640">
        <f>VLOOKUP(Table1820[[#This Row],[Years Driving]],Table1[],2)</f>
        <v>0.93</v>
      </c>
      <c r="AB640">
        <f>_xlfn.XLOOKUP(Table1820[[#This Row],[At Fault Accidents]],Table2[At Fault Accidents],Table2[At Fault Accident Factor],,0)</f>
        <v>1</v>
      </c>
      <c r="AC640">
        <f>_xlfn.XLOOKUP(Table1820[[#This Row],[Usage-Based Insurance]],Table3[Usage-Based Insurance],Table3[Usage-Based Insurance Discount],,0)</f>
        <v>0.8</v>
      </c>
      <c r="AD640">
        <f>_xlfn.XLOOKUP(Table1820[[#This Row],[Yearly Miles]],Table4[Yearly Miles],Table4[Yearly Miles Factor],,0)</f>
        <v>1.31</v>
      </c>
      <c r="AE640">
        <f>_xlfn.XLOOKUP(Table1820[[#This Row],[City/Zip Code]],Table5[City/Zip Code],Table5[City/Zip Code Factor],,0)</f>
        <v>1.21</v>
      </c>
      <c r="AF640">
        <f>_xlfn.XLOOKUP(Table1820[[#This Row],[Vehicle Price]],Table6[Vehicle Price],Table6[Vehicle Price Factor])</f>
        <v>1.57</v>
      </c>
      <c r="AG640">
        <f>_xlfn.XLOOKUP(Table1820[[#This Row],[Exotic Car]],Table7[Exotic Car],Table7[Exotic Car Factor],,0)</f>
        <v>1.28</v>
      </c>
      <c r="AH640">
        <f>_xlfn.XLOOKUP(Table1820[[#This Row],[Difficult Parts]],Table8[Difficult Parts],Table8[Difficult Parts Factor],,0)</f>
        <v>1.21</v>
      </c>
      <c r="AI640">
        <f>_xlfn.XLOOKUP(Table1820[[#This Row],[High Theft Rate]],Table9[High Theft Rate],Table9[High Theft Rate Factor],,0)</f>
        <v>1</v>
      </c>
      <c r="AJ640">
        <f>_xlfn.XLOOKUP(Table1820[[#This Row],[Advanced Safety Features]],Table10[Advanced Safety Features],Table10[Advanced Safety Features Factor],,0)</f>
        <v>1</v>
      </c>
      <c r="AK640">
        <f>_xlfn.XLOOKUP(Table1820[[#This Row],[Deductible]],Table12[Deductible],Table12[Deductible Factor],,0)</f>
        <v>1</v>
      </c>
      <c r="AL640">
        <f>_xlfn.XLOOKUP(Table1820[[#This Row],[Coverage Limit]],Table13[Coverage Limit],Table13[Coverage Limit Factor],,0)</f>
        <v>0.61</v>
      </c>
      <c r="AM640">
        <f>IF(Table1820[[#This Row],[Good Student Discount]]="Yes",'Rate Book'!$D$126,1)</f>
        <v>1</v>
      </c>
      <c r="AN640">
        <f>IF(Table1820[[#This Row],[Good Driver Discount]]="Yes",'Rate Book'!$D$127,1)</f>
        <v>0.89</v>
      </c>
      <c r="AO640">
        <f>IF(Table1820[[#This Row],[Multi Policy Discount]]="Yes",'Rate Book'!$D$128,1)</f>
        <v>0.93</v>
      </c>
      <c r="AP640">
        <f>IF(Table1820[[#This Row],[Loyal Customer Discount]]="Yes",'Rate Book'!$D$129,1)</f>
        <v>1</v>
      </c>
      <c r="AQ640">
        <f>IF(Table1820[[#This Row],[Organization Discount]]="Yes",'Rate Book'!$D$130,1)</f>
        <v>1</v>
      </c>
      <c r="AR640" cm="1">
        <f t="array" ref="AR640">IF(Table1820[[#This Row],[Effective Date]]&gt;=RateChangeTable[Effective Date],RateChangeTable[Rate Change Factor],1)</f>
        <v>1</v>
      </c>
      <c r="AS640" s="10">
        <f>PRODUCT(Table1820[[#This Row],[Base Rate]:[Rate Change Factor]])</f>
        <v>900.57060808302856</v>
      </c>
      <c r="AT640" s="9">
        <f>Table1820[[#This Row],[System-Generated Premium]]-Table1820[[#This Row],[Expected Premium]]</f>
        <v>0</v>
      </c>
      <c r="AU640" t="str">
        <f>IF(Table1820[[#This Row],[Difference]]=0,"PASS","FAIL")</f>
        <v>PASS</v>
      </c>
      <c r="AV640" s="9">
        <f>ABS(Table1820[[#This Row],[Difference]])</f>
        <v>0</v>
      </c>
      <c r="AW640" s="9" t="s">
        <v>1136</v>
      </c>
    </row>
    <row r="641" spans="1:49" x14ac:dyDescent="0.3">
      <c r="A641" t="s">
        <v>732</v>
      </c>
      <c r="B641" s="7">
        <v>46092</v>
      </c>
      <c r="C641" t="s">
        <v>72</v>
      </c>
      <c r="D641" t="s">
        <v>1102</v>
      </c>
      <c r="E641" s="3" t="s">
        <v>1103</v>
      </c>
      <c r="F641" s="3">
        <v>1</v>
      </c>
      <c r="G641" t="s">
        <v>13</v>
      </c>
      <c r="H641" t="s">
        <v>1107</v>
      </c>
      <c r="I641" t="s">
        <v>31</v>
      </c>
      <c r="J641" t="s">
        <v>50</v>
      </c>
      <c r="K641" t="s">
        <v>10</v>
      </c>
      <c r="L641" t="s">
        <v>10</v>
      </c>
      <c r="M641" t="s">
        <v>10</v>
      </c>
      <c r="N641" t="s">
        <v>10</v>
      </c>
      <c r="O641" t="str">
        <f>INDEX(CoverageTable[Deductible Applies],MATCH(Table1820[[#This Row],[Coverage]],CoverageTable[Coverage],0))</f>
        <v>Yes</v>
      </c>
      <c r="P641" t="str">
        <f>INDEX(CoverageTable[Coverage Limit Applies],MATCH(Table1820[[#This Row],[Coverage]],CoverageTable[Coverage],0))</f>
        <v>No</v>
      </c>
      <c r="Q641" t="s">
        <v>78</v>
      </c>
      <c r="R641" t="s">
        <v>10</v>
      </c>
      <c r="S641" t="s">
        <v>10</v>
      </c>
      <c r="T641" t="s">
        <v>10</v>
      </c>
      <c r="U641" t="s">
        <v>10</v>
      </c>
      <c r="V641" t="s">
        <v>57</v>
      </c>
      <c r="W641" t="s">
        <v>57</v>
      </c>
      <c r="X641" s="11">
        <v>127.42332577848958</v>
      </c>
      <c r="Y641">
        <f>_xlfn.XLOOKUP(Table1820[[#This Row],[Coverage]],CoverageTable[Coverage],CoverageTable[Base Rate],,0)</f>
        <v>121</v>
      </c>
      <c r="Z641">
        <f>INDEX(Table16[Ageband Factor],MATCH(Table1820[[#This Row],[Ageband]],Table16[Ageband],0))</f>
        <v>1.27</v>
      </c>
      <c r="AA641">
        <f>VLOOKUP(Table1820[[#This Row],[Years Driving]],Table1[],2)</f>
        <v>0.93</v>
      </c>
      <c r="AB641">
        <f>_xlfn.XLOOKUP(Table1820[[#This Row],[At Fault Accidents]],Table2[At Fault Accidents],Table2[At Fault Accident Factor],,0)</f>
        <v>1.34</v>
      </c>
      <c r="AC641">
        <f>_xlfn.XLOOKUP(Table1820[[#This Row],[Usage-Based Insurance]],Table3[Usage-Based Insurance],Table3[Usage-Based Insurance Discount],,0)</f>
        <v>0.65</v>
      </c>
      <c r="AD641">
        <f>_xlfn.XLOOKUP(Table1820[[#This Row],[Yearly Miles]],Table4[Yearly Miles],Table4[Yearly Miles Factor],,0)</f>
        <v>0.93</v>
      </c>
      <c r="AE641">
        <f>_xlfn.XLOOKUP(Table1820[[#This Row],[City/Zip Code]],Table5[City/Zip Code],Table5[City/Zip Code Factor],,0)</f>
        <v>1.1100000000000001</v>
      </c>
      <c r="AF641">
        <f>_xlfn.XLOOKUP(Table1820[[#This Row],[Vehicle Price]],Table6[Vehicle Price],Table6[Vehicle Price Factor])</f>
        <v>1.08</v>
      </c>
      <c r="AG641">
        <f>_xlfn.XLOOKUP(Table1820[[#This Row],[Exotic Car]],Table7[Exotic Car],Table7[Exotic Car Factor],,0)</f>
        <v>1</v>
      </c>
      <c r="AH641">
        <f>_xlfn.XLOOKUP(Table1820[[#This Row],[Difficult Parts]],Table8[Difficult Parts],Table8[Difficult Parts Factor],,0)</f>
        <v>1</v>
      </c>
      <c r="AI641">
        <f>_xlfn.XLOOKUP(Table1820[[#This Row],[High Theft Rate]],Table9[High Theft Rate],Table9[High Theft Rate Factor],,0)</f>
        <v>1</v>
      </c>
      <c r="AJ641">
        <f>_xlfn.XLOOKUP(Table1820[[#This Row],[Advanced Safety Features]],Table10[Advanced Safety Features],Table10[Advanced Safety Features Factor],,0)</f>
        <v>1</v>
      </c>
      <c r="AK641">
        <f>_xlfn.XLOOKUP(Table1820[[#This Row],[Deductible]],Table12[Deductible],Table12[Deductible Factor],,0)</f>
        <v>0.95</v>
      </c>
      <c r="AL641">
        <f>_xlfn.XLOOKUP(Table1820[[#This Row],[Coverage Limit]],Table13[Coverage Limit],Table13[Coverage Limit Factor],,0)</f>
        <v>1</v>
      </c>
      <c r="AM641">
        <f>IF(Table1820[[#This Row],[Good Student Discount]]="Yes",'Rate Book'!$D$126,1)</f>
        <v>1</v>
      </c>
      <c r="AN641">
        <f>IF(Table1820[[#This Row],[Good Driver Discount]]="Yes",'Rate Book'!$D$127,1)</f>
        <v>1</v>
      </c>
      <c r="AO641">
        <f>IF(Table1820[[#This Row],[Multi Policy Discount]]="Yes",'Rate Book'!$D$128,1)</f>
        <v>1</v>
      </c>
      <c r="AP641">
        <f>IF(Table1820[[#This Row],[Loyal Customer Discount]]="Yes",'Rate Book'!$D$129,1)</f>
        <v>0.94</v>
      </c>
      <c r="AQ641">
        <f>IF(Table1820[[#This Row],[Organization Discount]]="Yes",'Rate Book'!$D$130,1)</f>
        <v>0.97</v>
      </c>
      <c r="AR641" cm="1">
        <f t="array" ref="AR641">IF(Table1820[[#This Row],[Effective Date]]&gt;=RateChangeTable[Effective Date],RateChangeTable[Rate Change Factor],1)</f>
        <v>1.06</v>
      </c>
      <c r="AS641" s="10">
        <f>PRODUCT(Table1820[[#This Row],[Base Rate]:[Rate Change Factor]])</f>
        <v>127.42332577848958</v>
      </c>
      <c r="AT641" s="9">
        <f>Table1820[[#This Row],[System-Generated Premium]]-Table1820[[#This Row],[Expected Premium]]</f>
        <v>0</v>
      </c>
      <c r="AU641" t="str">
        <f>IF(Table1820[[#This Row],[Difference]]=0,"PASS","FAIL")</f>
        <v>PASS</v>
      </c>
      <c r="AV641" s="9">
        <f>ABS(Table1820[[#This Row],[Difference]])</f>
        <v>0</v>
      </c>
      <c r="AW641" s="9" t="s">
        <v>1136</v>
      </c>
    </row>
    <row r="642" spans="1:49" x14ac:dyDescent="0.3">
      <c r="A642" t="s">
        <v>733</v>
      </c>
      <c r="B642" s="7">
        <v>46005</v>
      </c>
      <c r="C642" t="s">
        <v>70</v>
      </c>
      <c r="D642" t="s">
        <v>1102</v>
      </c>
      <c r="E642" s="3">
        <v>7</v>
      </c>
      <c r="F642" s="3">
        <v>0</v>
      </c>
      <c r="G642" t="s">
        <v>12</v>
      </c>
      <c r="H642" t="s">
        <v>1107</v>
      </c>
      <c r="I642" t="s">
        <v>37</v>
      </c>
      <c r="J642" t="s">
        <v>50</v>
      </c>
      <c r="K642" t="s">
        <v>10</v>
      </c>
      <c r="L642" t="s">
        <v>10</v>
      </c>
      <c r="M642" t="s">
        <v>10</v>
      </c>
      <c r="N642" t="s">
        <v>10</v>
      </c>
      <c r="O642" t="str">
        <f>INDEX(CoverageTable[Deductible Applies],MATCH(Table1820[[#This Row],[Coverage]],CoverageTable[Coverage],0))</f>
        <v>No</v>
      </c>
      <c r="P642" t="str">
        <f>INDEX(CoverageTable[Coverage Limit Applies],MATCH(Table1820[[#This Row],[Coverage]],CoverageTable[Coverage],0))</f>
        <v>Yes</v>
      </c>
      <c r="Q642" t="s">
        <v>10</v>
      </c>
      <c r="R642" t="s">
        <v>79</v>
      </c>
      <c r="S642" t="s">
        <v>10</v>
      </c>
      <c r="T642" t="s">
        <v>10</v>
      </c>
      <c r="U642" t="s">
        <v>10</v>
      </c>
      <c r="V642" t="s">
        <v>10</v>
      </c>
      <c r="W642" t="s">
        <v>10</v>
      </c>
      <c r="X642" s="11">
        <v>473.23122890572807</v>
      </c>
      <c r="Y642">
        <f>_xlfn.XLOOKUP(Table1820[[#This Row],[Coverage]],CoverageTable[Coverage],CoverageTable[Base Rate],,0)</f>
        <v>622</v>
      </c>
      <c r="Z642">
        <f>INDEX(Table16[Ageband Factor],MATCH(Table1820[[#This Row],[Ageband]],Table16[Ageband],0))</f>
        <v>1.27</v>
      </c>
      <c r="AA642">
        <f>VLOOKUP(Table1820[[#This Row],[Years Driving]],Table1[],2)</f>
        <v>0.95</v>
      </c>
      <c r="AB642">
        <f>_xlfn.XLOOKUP(Table1820[[#This Row],[At Fault Accidents]],Table2[At Fault Accidents],Table2[At Fault Accident Factor],,0)</f>
        <v>1</v>
      </c>
      <c r="AC642">
        <f>_xlfn.XLOOKUP(Table1820[[#This Row],[Usage-Based Insurance]],Table3[Usage-Based Insurance],Table3[Usage-Based Insurance Discount],,0)</f>
        <v>0.8</v>
      </c>
      <c r="AD642">
        <f>_xlfn.XLOOKUP(Table1820[[#This Row],[Yearly Miles]],Table4[Yearly Miles],Table4[Yearly Miles Factor],,0)</f>
        <v>0.93</v>
      </c>
      <c r="AE642">
        <f>_xlfn.XLOOKUP(Table1820[[#This Row],[City/Zip Code]],Table5[City/Zip Code],Table5[City/Zip Code Factor],,0)</f>
        <v>1.0900000000000001</v>
      </c>
      <c r="AF642">
        <f>_xlfn.XLOOKUP(Table1820[[#This Row],[Vehicle Price]],Table6[Vehicle Price],Table6[Vehicle Price Factor])</f>
        <v>1.08</v>
      </c>
      <c r="AG642">
        <f>_xlfn.XLOOKUP(Table1820[[#This Row],[Exotic Car]],Table7[Exotic Car],Table7[Exotic Car Factor],,0)</f>
        <v>1</v>
      </c>
      <c r="AH642">
        <f>_xlfn.XLOOKUP(Table1820[[#This Row],[Difficult Parts]],Table8[Difficult Parts],Table8[Difficult Parts Factor],,0)</f>
        <v>1</v>
      </c>
      <c r="AI642">
        <f>_xlfn.XLOOKUP(Table1820[[#This Row],[High Theft Rate]],Table9[High Theft Rate],Table9[High Theft Rate Factor],,0)</f>
        <v>1</v>
      </c>
      <c r="AJ642">
        <f>_xlfn.XLOOKUP(Table1820[[#This Row],[Advanced Safety Features]],Table10[Advanced Safety Features],Table10[Advanced Safety Features Factor],,0)</f>
        <v>1</v>
      </c>
      <c r="AK642">
        <f>_xlfn.XLOOKUP(Table1820[[#This Row],[Deductible]],Table12[Deductible],Table12[Deductible Factor],,0)</f>
        <v>1</v>
      </c>
      <c r="AL642">
        <f>_xlfn.XLOOKUP(Table1820[[#This Row],[Coverage Limit]],Table13[Coverage Limit],Table13[Coverage Limit Factor],,0)</f>
        <v>0.72</v>
      </c>
      <c r="AM642">
        <f>IF(Table1820[[#This Row],[Good Student Discount]]="Yes",'Rate Book'!$D$126,1)</f>
        <v>1</v>
      </c>
      <c r="AN642">
        <f>IF(Table1820[[#This Row],[Good Driver Discount]]="Yes",'Rate Book'!$D$127,1)</f>
        <v>1</v>
      </c>
      <c r="AO642">
        <f>IF(Table1820[[#This Row],[Multi Policy Discount]]="Yes",'Rate Book'!$D$128,1)</f>
        <v>1</v>
      </c>
      <c r="AP642">
        <f>IF(Table1820[[#This Row],[Loyal Customer Discount]]="Yes",'Rate Book'!$D$129,1)</f>
        <v>1</v>
      </c>
      <c r="AQ642">
        <f>IF(Table1820[[#This Row],[Organization Discount]]="Yes",'Rate Book'!$D$130,1)</f>
        <v>1</v>
      </c>
      <c r="AR642" cm="1">
        <f t="array" ref="AR642">IF(Table1820[[#This Row],[Effective Date]]&gt;=RateChangeTable[Effective Date],RateChangeTable[Rate Change Factor],1)</f>
        <v>1</v>
      </c>
      <c r="AS642" s="10">
        <f>PRODUCT(Table1820[[#This Row],[Base Rate]:[Rate Change Factor]])</f>
        <v>473.23122890572807</v>
      </c>
      <c r="AT642" s="9">
        <f>Table1820[[#This Row],[System-Generated Premium]]-Table1820[[#This Row],[Expected Premium]]</f>
        <v>0</v>
      </c>
      <c r="AU642" t="str">
        <f>IF(Table1820[[#This Row],[Difference]]=0,"PASS","FAIL")</f>
        <v>PASS</v>
      </c>
      <c r="AV642" s="9">
        <f>ABS(Table1820[[#This Row],[Difference]])</f>
        <v>0</v>
      </c>
      <c r="AW642" s="9" t="s">
        <v>1136</v>
      </c>
    </row>
    <row r="643" spans="1:49" x14ac:dyDescent="0.3">
      <c r="A643" t="s">
        <v>734</v>
      </c>
      <c r="B643" s="7">
        <v>46092</v>
      </c>
      <c r="C643" t="s">
        <v>70</v>
      </c>
      <c r="D643" t="s">
        <v>1097</v>
      </c>
      <c r="E643" s="3" t="s">
        <v>1103</v>
      </c>
      <c r="F643" s="3">
        <v>1</v>
      </c>
      <c r="G643" t="s">
        <v>10</v>
      </c>
      <c r="H643" t="s">
        <v>1108</v>
      </c>
      <c r="I643" t="s">
        <v>32</v>
      </c>
      <c r="J643" t="s">
        <v>50</v>
      </c>
      <c r="K643" t="s">
        <v>10</v>
      </c>
      <c r="L643" t="s">
        <v>10</v>
      </c>
      <c r="M643" t="s">
        <v>10</v>
      </c>
      <c r="N643" t="s">
        <v>57</v>
      </c>
      <c r="O643" t="str">
        <f>INDEX(CoverageTable[Deductible Applies],MATCH(Table1820[[#This Row],[Coverage]],CoverageTable[Coverage],0))</f>
        <v>No</v>
      </c>
      <c r="P643" t="str">
        <f>INDEX(CoverageTable[Coverage Limit Applies],MATCH(Table1820[[#This Row],[Coverage]],CoverageTable[Coverage],0))</f>
        <v>Yes</v>
      </c>
      <c r="Q643" t="s">
        <v>10</v>
      </c>
      <c r="R643" t="s">
        <v>80</v>
      </c>
      <c r="S643" t="s">
        <v>10</v>
      </c>
      <c r="T643" t="s">
        <v>57</v>
      </c>
      <c r="U643" t="s">
        <v>10</v>
      </c>
      <c r="V643" t="s">
        <v>10</v>
      </c>
      <c r="W643" t="s">
        <v>10</v>
      </c>
      <c r="X643" s="11">
        <v>863.08122855274974</v>
      </c>
      <c r="Y643">
        <f>_xlfn.XLOOKUP(Table1820[[#This Row],[Coverage]],CoverageTable[Coverage],CoverageTable[Base Rate],,0)</f>
        <v>622</v>
      </c>
      <c r="Z643">
        <f>INDEX(Table16[Ageband Factor],MATCH(Table1820[[#This Row],[Ageband]],Table16[Ageband],0))</f>
        <v>1.32</v>
      </c>
      <c r="AA643">
        <f>VLOOKUP(Table1820[[#This Row],[Years Driving]],Table1[],2)</f>
        <v>0.93</v>
      </c>
      <c r="AB643">
        <f>_xlfn.XLOOKUP(Table1820[[#This Row],[At Fault Accidents]],Table2[At Fault Accidents],Table2[At Fault Accident Factor],,0)</f>
        <v>1.34</v>
      </c>
      <c r="AC643">
        <f>_xlfn.XLOOKUP(Table1820[[#This Row],[Usage-Based Insurance]],Table3[Usage-Based Insurance],Table3[Usage-Based Insurance Discount],,0)</f>
        <v>1</v>
      </c>
      <c r="AD643">
        <f>_xlfn.XLOOKUP(Table1820[[#This Row],[Yearly Miles]],Table4[Yearly Miles],Table4[Yearly Miles Factor],,0)</f>
        <v>1</v>
      </c>
      <c r="AE643">
        <f>_xlfn.XLOOKUP(Table1820[[#This Row],[City/Zip Code]],Table5[City/Zip Code],Table5[City/Zip Code Factor],,0)</f>
        <v>1.1200000000000001</v>
      </c>
      <c r="AF643">
        <f>_xlfn.XLOOKUP(Table1820[[#This Row],[Vehicle Price]],Table6[Vehicle Price],Table6[Vehicle Price Factor])</f>
        <v>1.08</v>
      </c>
      <c r="AG643">
        <f>_xlfn.XLOOKUP(Table1820[[#This Row],[Exotic Car]],Table7[Exotic Car],Table7[Exotic Car Factor],,0)</f>
        <v>1</v>
      </c>
      <c r="AH643">
        <f>_xlfn.XLOOKUP(Table1820[[#This Row],[Difficult Parts]],Table8[Difficult Parts],Table8[Difficult Parts Factor],,0)</f>
        <v>1</v>
      </c>
      <c r="AI643">
        <f>_xlfn.XLOOKUP(Table1820[[#This Row],[High Theft Rate]],Table9[High Theft Rate],Table9[High Theft Rate Factor],,0)</f>
        <v>1</v>
      </c>
      <c r="AJ643">
        <f>_xlfn.XLOOKUP(Table1820[[#This Row],[Advanced Safety Features]],Table10[Advanced Safety Features],Table10[Advanced Safety Features Factor],,0)</f>
        <v>0.88</v>
      </c>
      <c r="AK643">
        <f>_xlfn.XLOOKUP(Table1820[[#This Row],[Deductible]],Table12[Deductible],Table12[Deductible Factor],,0)</f>
        <v>1</v>
      </c>
      <c r="AL643">
        <f>_xlfn.XLOOKUP(Table1820[[#This Row],[Coverage Limit]],Table13[Coverage Limit],Table13[Coverage Limit Factor],,0)</f>
        <v>0.84</v>
      </c>
      <c r="AM643">
        <f>IF(Table1820[[#This Row],[Good Student Discount]]="Yes",'Rate Book'!$D$126,1)</f>
        <v>1</v>
      </c>
      <c r="AN643">
        <f>IF(Table1820[[#This Row],[Good Driver Discount]]="Yes",'Rate Book'!$D$127,1)</f>
        <v>0.89</v>
      </c>
      <c r="AO643">
        <f>IF(Table1820[[#This Row],[Multi Policy Discount]]="Yes",'Rate Book'!$D$128,1)</f>
        <v>1</v>
      </c>
      <c r="AP643">
        <f>IF(Table1820[[#This Row],[Loyal Customer Discount]]="Yes",'Rate Book'!$D$129,1)</f>
        <v>1</v>
      </c>
      <c r="AQ643">
        <f>IF(Table1820[[#This Row],[Organization Discount]]="Yes",'Rate Book'!$D$130,1)</f>
        <v>1</v>
      </c>
      <c r="AR643" cm="1">
        <f t="array" ref="AR643">IF(Table1820[[#This Row],[Effective Date]]&gt;=RateChangeTable[Effective Date],RateChangeTable[Rate Change Factor],1)</f>
        <v>1.06</v>
      </c>
      <c r="AS643" s="10">
        <f>PRODUCT(Table1820[[#This Row],[Base Rate]:[Rate Change Factor]])</f>
        <v>863.08122855274974</v>
      </c>
      <c r="AT643" s="9">
        <f>Table1820[[#This Row],[System-Generated Premium]]-Table1820[[#This Row],[Expected Premium]]</f>
        <v>0</v>
      </c>
      <c r="AU643" t="str">
        <f>IF(Table1820[[#This Row],[Difference]]=0,"PASS","FAIL")</f>
        <v>PASS</v>
      </c>
      <c r="AV643" s="9">
        <f>ABS(Table1820[[#This Row],[Difference]])</f>
        <v>0</v>
      </c>
      <c r="AW643" s="9" t="s">
        <v>1136</v>
      </c>
    </row>
    <row r="644" spans="1:49" x14ac:dyDescent="0.3">
      <c r="A644" t="s">
        <v>735</v>
      </c>
      <c r="B644" s="7">
        <v>46098</v>
      </c>
      <c r="C644" t="s">
        <v>70</v>
      </c>
      <c r="D644" t="s">
        <v>1102</v>
      </c>
      <c r="E644" s="3">
        <v>1</v>
      </c>
      <c r="F644" s="3">
        <v>4</v>
      </c>
      <c r="G644" t="s">
        <v>10</v>
      </c>
      <c r="H644" t="s">
        <v>1107</v>
      </c>
      <c r="I644" t="s">
        <v>38</v>
      </c>
      <c r="J644" t="s">
        <v>49</v>
      </c>
      <c r="K644" t="s">
        <v>10</v>
      </c>
      <c r="L644" t="s">
        <v>10</v>
      </c>
      <c r="M644" t="s">
        <v>10</v>
      </c>
      <c r="N644" t="s">
        <v>10</v>
      </c>
      <c r="O644" t="str">
        <f>INDEX(CoverageTable[Deductible Applies],MATCH(Table1820[[#This Row],[Coverage]],CoverageTable[Coverage],0))</f>
        <v>No</v>
      </c>
      <c r="P644" t="str">
        <f>INDEX(CoverageTable[Coverage Limit Applies],MATCH(Table1820[[#This Row],[Coverage]],CoverageTable[Coverage],0))</f>
        <v>Yes</v>
      </c>
      <c r="Q644" t="s">
        <v>10</v>
      </c>
      <c r="R644" t="s">
        <v>79</v>
      </c>
      <c r="S644" t="s">
        <v>10</v>
      </c>
      <c r="T644" t="s">
        <v>57</v>
      </c>
      <c r="U644" t="s">
        <v>10</v>
      </c>
      <c r="V644" t="s">
        <v>10</v>
      </c>
      <c r="W644" t="s">
        <v>10</v>
      </c>
      <c r="X644" s="11">
        <v>1884.8417302277717</v>
      </c>
      <c r="Y644">
        <f>_xlfn.XLOOKUP(Table1820[[#This Row],[Coverage]],CoverageTable[Coverage],CoverageTable[Base Rate],,0)</f>
        <v>622</v>
      </c>
      <c r="Z644">
        <f>INDEX(Table16[Ageband Factor],MATCH(Table1820[[#This Row],[Ageband]],Table16[Ageband],0))</f>
        <v>1.27</v>
      </c>
      <c r="AA644">
        <f>VLOOKUP(Table1820[[#This Row],[Years Driving]],Table1[],2)</f>
        <v>1.64</v>
      </c>
      <c r="AB644">
        <f>_xlfn.XLOOKUP(Table1820[[#This Row],[At Fault Accidents]],Table2[At Fault Accidents],Table2[At Fault Accident Factor],,0)</f>
        <v>2.12</v>
      </c>
      <c r="AC644">
        <f>_xlfn.XLOOKUP(Table1820[[#This Row],[Usage-Based Insurance]],Table3[Usage-Based Insurance],Table3[Usage-Based Insurance Discount],,0)</f>
        <v>1</v>
      </c>
      <c r="AD644">
        <f>_xlfn.XLOOKUP(Table1820[[#This Row],[Yearly Miles]],Table4[Yearly Miles],Table4[Yearly Miles Factor],,0)</f>
        <v>0.93</v>
      </c>
      <c r="AE644">
        <f>_xlfn.XLOOKUP(Table1820[[#This Row],[City/Zip Code]],Table5[City/Zip Code],Table5[City/Zip Code Factor],,0)</f>
        <v>1.1200000000000001</v>
      </c>
      <c r="AF644">
        <f>_xlfn.XLOOKUP(Table1820[[#This Row],[Vehicle Price]],Table6[Vehicle Price],Table6[Vehicle Price Factor])</f>
        <v>0.97</v>
      </c>
      <c r="AG644">
        <f>_xlfn.XLOOKUP(Table1820[[#This Row],[Exotic Car]],Table7[Exotic Car],Table7[Exotic Car Factor],,0)</f>
        <v>1</v>
      </c>
      <c r="AH644">
        <f>_xlfn.XLOOKUP(Table1820[[#This Row],[Difficult Parts]],Table8[Difficult Parts],Table8[Difficult Parts Factor],,0)</f>
        <v>1</v>
      </c>
      <c r="AI644">
        <f>_xlfn.XLOOKUP(Table1820[[#This Row],[High Theft Rate]],Table9[High Theft Rate],Table9[High Theft Rate Factor],,0)</f>
        <v>1</v>
      </c>
      <c r="AJ644">
        <f>_xlfn.XLOOKUP(Table1820[[#This Row],[Advanced Safety Features]],Table10[Advanced Safety Features],Table10[Advanced Safety Features Factor],,0)</f>
        <v>1</v>
      </c>
      <c r="AK644">
        <f>_xlfn.XLOOKUP(Table1820[[#This Row],[Deductible]],Table12[Deductible],Table12[Deductible Factor],,0)</f>
        <v>1</v>
      </c>
      <c r="AL644">
        <f>_xlfn.XLOOKUP(Table1820[[#This Row],[Coverage Limit]],Table13[Coverage Limit],Table13[Coverage Limit Factor],,0)</f>
        <v>0.72</v>
      </c>
      <c r="AM644">
        <f>IF(Table1820[[#This Row],[Good Student Discount]]="Yes",'Rate Book'!$D$126,1)</f>
        <v>1</v>
      </c>
      <c r="AN644">
        <f>IF(Table1820[[#This Row],[Good Driver Discount]]="Yes",'Rate Book'!$D$127,1)</f>
        <v>0.89</v>
      </c>
      <c r="AO644">
        <f>IF(Table1820[[#This Row],[Multi Policy Discount]]="Yes",'Rate Book'!$D$128,1)</f>
        <v>1</v>
      </c>
      <c r="AP644">
        <f>IF(Table1820[[#This Row],[Loyal Customer Discount]]="Yes",'Rate Book'!$D$129,1)</f>
        <v>1</v>
      </c>
      <c r="AQ644">
        <f>IF(Table1820[[#This Row],[Organization Discount]]="Yes",'Rate Book'!$D$130,1)</f>
        <v>1</v>
      </c>
      <c r="AR644" cm="1">
        <f t="array" ref="AR644">IF(Table1820[[#This Row],[Effective Date]]&gt;=RateChangeTable[Effective Date],RateChangeTable[Rate Change Factor],1)</f>
        <v>1.06</v>
      </c>
      <c r="AS644" s="10">
        <f>PRODUCT(Table1820[[#This Row],[Base Rate]:[Rate Change Factor]])</f>
        <v>1884.8417302277717</v>
      </c>
      <c r="AT644" s="9">
        <f>Table1820[[#This Row],[System-Generated Premium]]-Table1820[[#This Row],[Expected Premium]]</f>
        <v>0</v>
      </c>
      <c r="AU644" t="str">
        <f>IF(Table1820[[#This Row],[Difference]]=0,"PASS","FAIL")</f>
        <v>PASS</v>
      </c>
      <c r="AV644" s="9">
        <f>ABS(Table1820[[#This Row],[Difference]])</f>
        <v>0</v>
      </c>
      <c r="AW644" s="9" t="s">
        <v>1136</v>
      </c>
    </row>
    <row r="645" spans="1:49" x14ac:dyDescent="0.3">
      <c r="A645" t="s">
        <v>736</v>
      </c>
      <c r="B645" s="7">
        <v>45822</v>
      </c>
      <c r="C645" t="s">
        <v>70</v>
      </c>
      <c r="D645" t="s">
        <v>1101</v>
      </c>
      <c r="E645" s="3" t="s">
        <v>1103</v>
      </c>
      <c r="F645" s="3">
        <v>0</v>
      </c>
      <c r="G645" t="s">
        <v>10</v>
      </c>
      <c r="H645" t="s">
        <v>1110</v>
      </c>
      <c r="I645" t="s">
        <v>29</v>
      </c>
      <c r="J645" t="s">
        <v>51</v>
      </c>
      <c r="K645" t="s">
        <v>10</v>
      </c>
      <c r="L645" t="s">
        <v>10</v>
      </c>
      <c r="M645" t="s">
        <v>10</v>
      </c>
      <c r="N645" t="s">
        <v>57</v>
      </c>
      <c r="O645" t="str">
        <f>INDEX(CoverageTable[Deductible Applies],MATCH(Table1820[[#This Row],[Coverage]],CoverageTable[Coverage],0))</f>
        <v>No</v>
      </c>
      <c r="P645" t="str">
        <f>INDEX(CoverageTable[Coverage Limit Applies],MATCH(Table1820[[#This Row],[Coverage]],CoverageTable[Coverage],0))</f>
        <v>Yes</v>
      </c>
      <c r="Q645" t="s">
        <v>10</v>
      </c>
      <c r="R645" t="s">
        <v>78</v>
      </c>
      <c r="S645" t="s">
        <v>10</v>
      </c>
      <c r="T645" t="s">
        <v>57</v>
      </c>
      <c r="U645" t="s">
        <v>57</v>
      </c>
      <c r="V645" t="s">
        <v>10</v>
      </c>
      <c r="W645" t="s">
        <v>57</v>
      </c>
      <c r="X645" s="11">
        <v>510.33612981826252</v>
      </c>
      <c r="Y645">
        <f>_xlfn.XLOOKUP(Table1820[[#This Row],[Coverage]],CoverageTable[Coverage],CoverageTable[Base Rate],,0)</f>
        <v>622</v>
      </c>
      <c r="Z645">
        <f>INDEX(Table16[Ageband Factor],MATCH(Table1820[[#This Row],[Ageband]],Table16[Ageband],0))</f>
        <v>1.1200000000000001</v>
      </c>
      <c r="AA645">
        <f>VLOOKUP(Table1820[[#This Row],[Years Driving]],Table1[],2)</f>
        <v>0.93</v>
      </c>
      <c r="AB645">
        <f>_xlfn.XLOOKUP(Table1820[[#This Row],[At Fault Accidents]],Table2[At Fault Accidents],Table2[At Fault Accident Factor],,0)</f>
        <v>1</v>
      </c>
      <c r="AC645">
        <f>_xlfn.XLOOKUP(Table1820[[#This Row],[Usage-Based Insurance]],Table3[Usage-Based Insurance],Table3[Usage-Based Insurance Discount],,0)</f>
        <v>1</v>
      </c>
      <c r="AD645">
        <f>_xlfn.XLOOKUP(Table1820[[#This Row],[Yearly Miles]],Table4[Yearly Miles],Table4[Yearly Miles Factor],,0)</f>
        <v>1.31</v>
      </c>
      <c r="AE645">
        <f>_xlfn.XLOOKUP(Table1820[[#This Row],[City/Zip Code]],Table5[City/Zip Code],Table5[City/Zip Code Factor],,0)</f>
        <v>1.0900000000000001</v>
      </c>
      <c r="AF645">
        <f>_xlfn.XLOOKUP(Table1820[[#This Row],[Vehicle Price]],Table6[Vehicle Price],Table6[Vehicle Price Factor])</f>
        <v>1.28</v>
      </c>
      <c r="AG645">
        <f>_xlfn.XLOOKUP(Table1820[[#This Row],[Exotic Car]],Table7[Exotic Car],Table7[Exotic Car Factor],,0)</f>
        <v>1</v>
      </c>
      <c r="AH645">
        <f>_xlfn.XLOOKUP(Table1820[[#This Row],[Difficult Parts]],Table8[Difficult Parts],Table8[Difficult Parts Factor],,0)</f>
        <v>1</v>
      </c>
      <c r="AI645">
        <f>_xlfn.XLOOKUP(Table1820[[#This Row],[High Theft Rate]],Table9[High Theft Rate],Table9[High Theft Rate Factor],,0)</f>
        <v>1</v>
      </c>
      <c r="AJ645">
        <f>_xlfn.XLOOKUP(Table1820[[#This Row],[Advanced Safety Features]],Table10[Advanced Safety Features],Table10[Advanced Safety Features Factor],,0)</f>
        <v>0.88</v>
      </c>
      <c r="AK645">
        <f>_xlfn.XLOOKUP(Table1820[[#This Row],[Deductible]],Table12[Deductible],Table12[Deductible Factor],,0)</f>
        <v>1</v>
      </c>
      <c r="AL645">
        <f>_xlfn.XLOOKUP(Table1820[[#This Row],[Coverage Limit]],Table13[Coverage Limit],Table13[Coverage Limit Factor],,0)</f>
        <v>0.61</v>
      </c>
      <c r="AM645">
        <f>IF(Table1820[[#This Row],[Good Student Discount]]="Yes",'Rate Book'!$D$126,1)</f>
        <v>1</v>
      </c>
      <c r="AN645">
        <f>IF(Table1820[[#This Row],[Good Driver Discount]]="Yes",'Rate Book'!$D$127,1)</f>
        <v>0.89</v>
      </c>
      <c r="AO645">
        <f>IF(Table1820[[#This Row],[Multi Policy Discount]]="Yes",'Rate Book'!$D$128,1)</f>
        <v>0.93</v>
      </c>
      <c r="AP645">
        <f>IF(Table1820[[#This Row],[Loyal Customer Discount]]="Yes",'Rate Book'!$D$129,1)</f>
        <v>1</v>
      </c>
      <c r="AQ645">
        <f>IF(Table1820[[#This Row],[Organization Discount]]="Yes",'Rate Book'!$D$130,1)</f>
        <v>0.97</v>
      </c>
      <c r="AR645" cm="1">
        <f t="array" ref="AR645">IF(Table1820[[#This Row],[Effective Date]]&gt;=RateChangeTable[Effective Date],RateChangeTable[Rate Change Factor],1)</f>
        <v>1</v>
      </c>
      <c r="AS645" s="10">
        <f>PRODUCT(Table1820[[#This Row],[Base Rate]:[Rate Change Factor]])</f>
        <v>510.33612981826252</v>
      </c>
      <c r="AT645" s="9">
        <f>Table1820[[#This Row],[System-Generated Premium]]-Table1820[[#This Row],[Expected Premium]]</f>
        <v>0</v>
      </c>
      <c r="AU645" t="str">
        <f>IF(Table1820[[#This Row],[Difference]]=0,"PASS","FAIL")</f>
        <v>PASS</v>
      </c>
      <c r="AV645" s="9">
        <f>ABS(Table1820[[#This Row],[Difference]])</f>
        <v>0</v>
      </c>
      <c r="AW645" s="9" t="s">
        <v>1136</v>
      </c>
    </row>
    <row r="646" spans="1:49" x14ac:dyDescent="0.3">
      <c r="A646" t="s">
        <v>737</v>
      </c>
      <c r="B646" s="7">
        <v>46124</v>
      </c>
      <c r="C646" t="s">
        <v>71</v>
      </c>
      <c r="D646" t="s">
        <v>1099</v>
      </c>
      <c r="E646" s="3" t="s">
        <v>1103</v>
      </c>
      <c r="F646" s="3">
        <v>4</v>
      </c>
      <c r="G646" t="s">
        <v>11</v>
      </c>
      <c r="H646" t="s">
        <v>1106</v>
      </c>
      <c r="I646" t="s">
        <v>39</v>
      </c>
      <c r="J646" t="s">
        <v>53</v>
      </c>
      <c r="K646" t="s">
        <v>10</v>
      </c>
      <c r="L646" t="s">
        <v>10</v>
      </c>
      <c r="M646" t="s">
        <v>10</v>
      </c>
      <c r="N646" t="s">
        <v>10</v>
      </c>
      <c r="O646" t="str">
        <f>INDEX(CoverageTable[Deductible Applies],MATCH(Table1820[[#This Row],[Coverage]],CoverageTable[Coverage],0))</f>
        <v>Yes</v>
      </c>
      <c r="P646" t="str">
        <f>INDEX(CoverageTable[Coverage Limit Applies],MATCH(Table1820[[#This Row],[Coverage]],CoverageTable[Coverage],0))</f>
        <v>No</v>
      </c>
      <c r="Q646" t="s">
        <v>78</v>
      </c>
      <c r="R646" t="s">
        <v>10</v>
      </c>
      <c r="S646" t="s">
        <v>10</v>
      </c>
      <c r="T646" t="s">
        <v>57</v>
      </c>
      <c r="U646" t="s">
        <v>57</v>
      </c>
      <c r="V646" t="s">
        <v>10</v>
      </c>
      <c r="W646" t="s">
        <v>10</v>
      </c>
      <c r="X646" s="11">
        <v>1265.1208692553876</v>
      </c>
      <c r="Y646">
        <f>_xlfn.XLOOKUP(Table1820[[#This Row],[Coverage]],CoverageTable[Coverage],CoverageTable[Base Rate],,0)</f>
        <v>453</v>
      </c>
      <c r="Z646">
        <f>INDEX(Table16[Ageband Factor],MATCH(Table1820[[#This Row],[Ageband]],Table16[Ageband],0))</f>
        <v>1</v>
      </c>
      <c r="AA646">
        <f>VLOOKUP(Table1820[[#This Row],[Years Driving]],Table1[],2)</f>
        <v>0.93</v>
      </c>
      <c r="AB646">
        <f>_xlfn.XLOOKUP(Table1820[[#This Row],[At Fault Accidents]],Table2[At Fault Accidents],Table2[At Fault Accident Factor],,0)</f>
        <v>2.12</v>
      </c>
      <c r="AC646">
        <f>_xlfn.XLOOKUP(Table1820[[#This Row],[Usage-Based Insurance]],Table3[Usage-Based Insurance],Table3[Usage-Based Insurance Discount],,0)</f>
        <v>0.95</v>
      </c>
      <c r="AD646">
        <f>_xlfn.XLOOKUP(Table1820[[#This Row],[Yearly Miles]],Table4[Yearly Miles],Table4[Yearly Miles Factor],,0)</f>
        <v>0.82</v>
      </c>
      <c r="AE646">
        <f>_xlfn.XLOOKUP(Table1820[[#This Row],[City/Zip Code]],Table5[City/Zip Code],Table5[City/Zip Code Factor],,0)</f>
        <v>1.08</v>
      </c>
      <c r="AF646">
        <f>_xlfn.XLOOKUP(Table1820[[#This Row],[Vehicle Price]],Table6[Vehicle Price],Table6[Vehicle Price Factor])</f>
        <v>2.02</v>
      </c>
      <c r="AG646">
        <f>_xlfn.XLOOKUP(Table1820[[#This Row],[Exotic Car]],Table7[Exotic Car],Table7[Exotic Car Factor],,0)</f>
        <v>1</v>
      </c>
      <c r="AH646">
        <f>_xlfn.XLOOKUP(Table1820[[#This Row],[Difficult Parts]],Table8[Difficult Parts],Table8[Difficult Parts Factor],,0)</f>
        <v>1</v>
      </c>
      <c r="AI646">
        <f>_xlfn.XLOOKUP(Table1820[[#This Row],[High Theft Rate]],Table9[High Theft Rate],Table9[High Theft Rate Factor],,0)</f>
        <v>1</v>
      </c>
      <c r="AJ646">
        <f>_xlfn.XLOOKUP(Table1820[[#This Row],[Advanced Safety Features]],Table10[Advanced Safety Features],Table10[Advanced Safety Features Factor],,0)</f>
        <v>1</v>
      </c>
      <c r="AK646">
        <f>_xlfn.XLOOKUP(Table1820[[#This Row],[Deductible]],Table12[Deductible],Table12[Deductible Factor],,0)</f>
        <v>0.95</v>
      </c>
      <c r="AL646">
        <f>_xlfn.XLOOKUP(Table1820[[#This Row],[Coverage Limit]],Table13[Coverage Limit],Table13[Coverage Limit Factor],,0)</f>
        <v>1</v>
      </c>
      <c r="AM646">
        <f>IF(Table1820[[#This Row],[Good Student Discount]]="Yes",'Rate Book'!$D$126,1)</f>
        <v>1</v>
      </c>
      <c r="AN646">
        <f>IF(Table1820[[#This Row],[Good Driver Discount]]="Yes",'Rate Book'!$D$127,1)</f>
        <v>0.89</v>
      </c>
      <c r="AO646">
        <f>IF(Table1820[[#This Row],[Multi Policy Discount]]="Yes",'Rate Book'!$D$128,1)</f>
        <v>0.93</v>
      </c>
      <c r="AP646">
        <f>IF(Table1820[[#This Row],[Loyal Customer Discount]]="Yes",'Rate Book'!$D$129,1)</f>
        <v>1</v>
      </c>
      <c r="AQ646">
        <f>IF(Table1820[[#This Row],[Organization Discount]]="Yes",'Rate Book'!$D$130,1)</f>
        <v>1</v>
      </c>
      <c r="AR646" cm="1">
        <f t="array" ref="AR646">IF(Table1820[[#This Row],[Effective Date]]&gt;=RateChangeTable[Effective Date],RateChangeTable[Rate Change Factor],1)</f>
        <v>1.06</v>
      </c>
      <c r="AS646" s="10">
        <f>PRODUCT(Table1820[[#This Row],[Base Rate]:[Rate Change Factor]])</f>
        <v>1265.1208692553876</v>
      </c>
      <c r="AT646" s="9">
        <f>Table1820[[#This Row],[System-Generated Premium]]-Table1820[[#This Row],[Expected Premium]]</f>
        <v>0</v>
      </c>
      <c r="AU646" t="str">
        <f>IF(Table1820[[#This Row],[Difference]]=0,"PASS","FAIL")</f>
        <v>PASS</v>
      </c>
      <c r="AV646" s="9">
        <f>ABS(Table1820[[#This Row],[Difference]])</f>
        <v>0</v>
      </c>
      <c r="AW646" s="9" t="s">
        <v>1136</v>
      </c>
    </row>
    <row r="647" spans="1:49" x14ac:dyDescent="0.3">
      <c r="A647" t="s">
        <v>738</v>
      </c>
      <c r="B647" s="7">
        <v>45912</v>
      </c>
      <c r="C647" t="s">
        <v>70</v>
      </c>
      <c r="D647" t="s">
        <v>1102</v>
      </c>
      <c r="E647" s="3" t="s">
        <v>1103</v>
      </c>
      <c r="F647" s="3">
        <v>0</v>
      </c>
      <c r="G647" t="s">
        <v>12</v>
      </c>
      <c r="H647" t="s">
        <v>1110</v>
      </c>
      <c r="I647" t="s">
        <v>26</v>
      </c>
      <c r="J647" t="s">
        <v>50</v>
      </c>
      <c r="K647" t="s">
        <v>10</v>
      </c>
      <c r="L647" t="s">
        <v>10</v>
      </c>
      <c r="M647" t="s">
        <v>10</v>
      </c>
      <c r="N647" t="s">
        <v>10</v>
      </c>
      <c r="O647" t="str">
        <f>INDEX(CoverageTable[Deductible Applies],MATCH(Table1820[[#This Row],[Coverage]],CoverageTable[Coverage],0))</f>
        <v>No</v>
      </c>
      <c r="P647" t="str">
        <f>INDEX(CoverageTable[Coverage Limit Applies],MATCH(Table1820[[#This Row],[Coverage]],CoverageTable[Coverage],0))</f>
        <v>Yes</v>
      </c>
      <c r="Q647" t="s">
        <v>10</v>
      </c>
      <c r="R647" t="s">
        <v>80</v>
      </c>
      <c r="S647" t="s">
        <v>57</v>
      </c>
      <c r="T647" t="s">
        <v>57</v>
      </c>
      <c r="U647" t="s">
        <v>10</v>
      </c>
      <c r="V647" t="s">
        <v>10</v>
      </c>
      <c r="W647" t="s">
        <v>57</v>
      </c>
      <c r="X647" s="11">
        <v>637.95315122097156</v>
      </c>
      <c r="Y647">
        <f>_xlfn.XLOOKUP(Table1820[[#This Row],[Coverage]],CoverageTable[Coverage],CoverageTable[Base Rate],,0)</f>
        <v>622</v>
      </c>
      <c r="Z647">
        <f>INDEX(Table16[Ageband Factor],MATCH(Table1820[[#This Row],[Ageband]],Table16[Ageband],0))</f>
        <v>1.27</v>
      </c>
      <c r="AA647">
        <f>VLOOKUP(Table1820[[#This Row],[Years Driving]],Table1[],2)</f>
        <v>0.93</v>
      </c>
      <c r="AB647">
        <f>_xlfn.XLOOKUP(Table1820[[#This Row],[At Fault Accidents]],Table2[At Fault Accidents],Table2[At Fault Accident Factor],,0)</f>
        <v>1</v>
      </c>
      <c r="AC647">
        <f>_xlfn.XLOOKUP(Table1820[[#This Row],[Usage-Based Insurance]],Table3[Usage-Based Insurance],Table3[Usage-Based Insurance Discount],,0)</f>
        <v>0.8</v>
      </c>
      <c r="AD647">
        <f>_xlfn.XLOOKUP(Table1820[[#This Row],[Yearly Miles]],Table4[Yearly Miles],Table4[Yearly Miles Factor],,0)</f>
        <v>1.31</v>
      </c>
      <c r="AE647">
        <f>_xlfn.XLOOKUP(Table1820[[#This Row],[City/Zip Code]],Table5[City/Zip Code],Table5[City/Zip Code Factor],,0)</f>
        <v>1.1499999999999999</v>
      </c>
      <c r="AF647">
        <f>_xlfn.XLOOKUP(Table1820[[#This Row],[Vehicle Price]],Table6[Vehicle Price],Table6[Vehicle Price Factor])</f>
        <v>1.08</v>
      </c>
      <c r="AG647">
        <f>_xlfn.XLOOKUP(Table1820[[#This Row],[Exotic Car]],Table7[Exotic Car],Table7[Exotic Car Factor],,0)</f>
        <v>1</v>
      </c>
      <c r="AH647">
        <f>_xlfn.XLOOKUP(Table1820[[#This Row],[Difficult Parts]],Table8[Difficult Parts],Table8[Difficult Parts Factor],,0)</f>
        <v>1</v>
      </c>
      <c r="AI647">
        <f>_xlfn.XLOOKUP(Table1820[[#This Row],[High Theft Rate]],Table9[High Theft Rate],Table9[High Theft Rate Factor],,0)</f>
        <v>1</v>
      </c>
      <c r="AJ647">
        <f>_xlfn.XLOOKUP(Table1820[[#This Row],[Advanced Safety Features]],Table10[Advanced Safety Features],Table10[Advanced Safety Features Factor],,0)</f>
        <v>1</v>
      </c>
      <c r="AK647">
        <f>_xlfn.XLOOKUP(Table1820[[#This Row],[Deductible]],Table12[Deductible],Table12[Deductible Factor],,0)</f>
        <v>1</v>
      </c>
      <c r="AL647">
        <f>_xlfn.XLOOKUP(Table1820[[#This Row],[Coverage Limit]],Table13[Coverage Limit],Table13[Coverage Limit Factor],,0)</f>
        <v>0.84</v>
      </c>
      <c r="AM647">
        <f>IF(Table1820[[#This Row],[Good Student Discount]]="Yes",'Rate Book'!$D$126,1)</f>
        <v>0.92</v>
      </c>
      <c r="AN647">
        <f>IF(Table1820[[#This Row],[Good Driver Discount]]="Yes",'Rate Book'!$D$127,1)</f>
        <v>0.89</v>
      </c>
      <c r="AO647">
        <f>IF(Table1820[[#This Row],[Multi Policy Discount]]="Yes",'Rate Book'!$D$128,1)</f>
        <v>1</v>
      </c>
      <c r="AP647">
        <f>IF(Table1820[[#This Row],[Loyal Customer Discount]]="Yes",'Rate Book'!$D$129,1)</f>
        <v>1</v>
      </c>
      <c r="AQ647">
        <f>IF(Table1820[[#This Row],[Organization Discount]]="Yes",'Rate Book'!$D$130,1)</f>
        <v>0.97</v>
      </c>
      <c r="AR647" cm="1">
        <f t="array" ref="AR647">IF(Table1820[[#This Row],[Effective Date]]&gt;=RateChangeTable[Effective Date],RateChangeTable[Rate Change Factor],1)</f>
        <v>1</v>
      </c>
      <c r="AS647" s="10">
        <f>PRODUCT(Table1820[[#This Row],[Base Rate]:[Rate Change Factor]])</f>
        <v>637.95315122097156</v>
      </c>
      <c r="AT647" s="9">
        <f>Table1820[[#This Row],[System-Generated Premium]]-Table1820[[#This Row],[Expected Premium]]</f>
        <v>0</v>
      </c>
      <c r="AU647" t="str">
        <f>IF(Table1820[[#This Row],[Difference]]=0,"PASS","FAIL")</f>
        <v>PASS</v>
      </c>
      <c r="AV647" s="9">
        <f>ABS(Table1820[[#This Row],[Difference]])</f>
        <v>0</v>
      </c>
      <c r="AW647" s="9" t="s">
        <v>1136</v>
      </c>
    </row>
    <row r="648" spans="1:49" x14ac:dyDescent="0.3">
      <c r="A648" t="s">
        <v>739</v>
      </c>
      <c r="B648" s="7">
        <v>46041</v>
      </c>
      <c r="C648" t="s">
        <v>71</v>
      </c>
      <c r="D648" t="s">
        <v>1100</v>
      </c>
      <c r="E648" s="3">
        <v>2</v>
      </c>
      <c r="F648" s="3">
        <v>2</v>
      </c>
      <c r="G648" t="s">
        <v>10</v>
      </c>
      <c r="H648" t="s">
        <v>1107</v>
      </c>
      <c r="I648" t="s">
        <v>34</v>
      </c>
      <c r="J648" t="s">
        <v>48</v>
      </c>
      <c r="K648" t="s">
        <v>57</v>
      </c>
      <c r="L648" t="s">
        <v>10</v>
      </c>
      <c r="M648" t="s">
        <v>57</v>
      </c>
      <c r="N648" t="s">
        <v>57</v>
      </c>
      <c r="O648" t="str">
        <f>INDEX(CoverageTable[Deductible Applies],MATCH(Table1820[[#This Row],[Coverage]],CoverageTable[Coverage],0))</f>
        <v>Yes</v>
      </c>
      <c r="P648" t="str">
        <f>INDEX(CoverageTable[Coverage Limit Applies],MATCH(Table1820[[#This Row],[Coverage]],CoverageTable[Coverage],0))</f>
        <v>No</v>
      </c>
      <c r="Q648" t="s">
        <v>78</v>
      </c>
      <c r="R648" t="s">
        <v>10</v>
      </c>
      <c r="S648" t="s">
        <v>10</v>
      </c>
      <c r="T648" t="s">
        <v>57</v>
      </c>
      <c r="U648" t="s">
        <v>10</v>
      </c>
      <c r="V648" t="s">
        <v>10</v>
      </c>
      <c r="W648" t="s">
        <v>10</v>
      </c>
      <c r="X648" s="11">
        <v>1475.7890988620002</v>
      </c>
      <c r="Y648">
        <f>_xlfn.XLOOKUP(Table1820[[#This Row],[Coverage]],CoverageTable[Coverage],CoverageTable[Base Rate],,0)</f>
        <v>453</v>
      </c>
      <c r="Z648">
        <f>INDEX(Table16[Ageband Factor],MATCH(Table1820[[#This Row],[Ageband]],Table16[Ageband],0))</f>
        <v>1.07</v>
      </c>
      <c r="AA648">
        <f>VLOOKUP(Table1820[[#This Row],[Years Driving]],Table1[],2)</f>
        <v>1.41</v>
      </c>
      <c r="AB648">
        <f>_xlfn.XLOOKUP(Table1820[[#This Row],[At Fault Accidents]],Table2[At Fault Accidents],Table2[At Fault Accident Factor],,0)</f>
        <v>1.55</v>
      </c>
      <c r="AC648">
        <f>_xlfn.XLOOKUP(Table1820[[#This Row],[Usage-Based Insurance]],Table3[Usage-Based Insurance],Table3[Usage-Based Insurance Discount],,0)</f>
        <v>1</v>
      </c>
      <c r="AD648">
        <f>_xlfn.XLOOKUP(Table1820[[#This Row],[Yearly Miles]],Table4[Yearly Miles],Table4[Yearly Miles Factor],,0)</f>
        <v>0.93</v>
      </c>
      <c r="AE648">
        <f>_xlfn.XLOOKUP(Table1820[[#This Row],[City/Zip Code]],Table5[City/Zip Code],Table5[City/Zip Code Factor],,0)</f>
        <v>1.56</v>
      </c>
      <c r="AF648">
        <f>_xlfn.XLOOKUP(Table1820[[#This Row],[Vehicle Price]],Table6[Vehicle Price],Table6[Vehicle Price Factor])</f>
        <v>0.82</v>
      </c>
      <c r="AG648">
        <f>_xlfn.XLOOKUP(Table1820[[#This Row],[Exotic Car]],Table7[Exotic Car],Table7[Exotic Car Factor],,0)</f>
        <v>1.28</v>
      </c>
      <c r="AH648">
        <f>_xlfn.XLOOKUP(Table1820[[#This Row],[Difficult Parts]],Table8[Difficult Parts],Table8[Difficult Parts Factor],,0)</f>
        <v>1</v>
      </c>
      <c r="AI648">
        <f>_xlfn.XLOOKUP(Table1820[[#This Row],[High Theft Rate]],Table9[High Theft Rate],Table9[High Theft Rate Factor],,0)</f>
        <v>1.1599999999999999</v>
      </c>
      <c r="AJ648">
        <f>_xlfn.XLOOKUP(Table1820[[#This Row],[Advanced Safety Features]],Table10[Advanced Safety Features],Table10[Advanced Safety Features Factor],,0)</f>
        <v>0.88</v>
      </c>
      <c r="AK648">
        <f>_xlfn.XLOOKUP(Table1820[[#This Row],[Deductible]],Table12[Deductible],Table12[Deductible Factor],,0)</f>
        <v>0.95</v>
      </c>
      <c r="AL648">
        <f>_xlfn.XLOOKUP(Table1820[[#This Row],[Coverage Limit]],Table13[Coverage Limit],Table13[Coverage Limit Factor],,0)</f>
        <v>1</v>
      </c>
      <c r="AM648">
        <f>IF(Table1820[[#This Row],[Good Student Discount]]="Yes",'Rate Book'!$D$126,1)</f>
        <v>1</v>
      </c>
      <c r="AN648">
        <f>IF(Table1820[[#This Row],[Good Driver Discount]]="Yes",'Rate Book'!$D$127,1)</f>
        <v>0.89</v>
      </c>
      <c r="AO648">
        <f>IF(Table1820[[#This Row],[Multi Policy Discount]]="Yes",'Rate Book'!$D$128,1)</f>
        <v>1</v>
      </c>
      <c r="AP648">
        <f>IF(Table1820[[#This Row],[Loyal Customer Discount]]="Yes",'Rate Book'!$D$129,1)</f>
        <v>1</v>
      </c>
      <c r="AQ648">
        <f>IF(Table1820[[#This Row],[Organization Discount]]="Yes",'Rate Book'!$D$130,1)</f>
        <v>1</v>
      </c>
      <c r="AR648" cm="1">
        <f t="array" ref="AR648">IF(Table1820[[#This Row],[Effective Date]]&gt;=RateChangeTable[Effective Date],RateChangeTable[Rate Change Factor],1)</f>
        <v>1.06</v>
      </c>
      <c r="AS648" s="10">
        <f>PRODUCT(Table1820[[#This Row],[Base Rate]:[Rate Change Factor]])</f>
        <v>1475.7890988620002</v>
      </c>
      <c r="AT648" s="9">
        <f>Table1820[[#This Row],[System-Generated Premium]]-Table1820[[#This Row],[Expected Premium]]</f>
        <v>0</v>
      </c>
      <c r="AU648" t="str">
        <f>IF(Table1820[[#This Row],[Difference]]=0,"PASS","FAIL")</f>
        <v>PASS</v>
      </c>
      <c r="AV648" s="9">
        <f>ABS(Table1820[[#This Row],[Difference]])</f>
        <v>0</v>
      </c>
      <c r="AW648" s="9" t="s">
        <v>1136</v>
      </c>
    </row>
    <row r="649" spans="1:49" x14ac:dyDescent="0.3">
      <c r="A649" t="s">
        <v>740</v>
      </c>
      <c r="B649" s="7">
        <v>46065</v>
      </c>
      <c r="C649" t="s">
        <v>73</v>
      </c>
      <c r="D649" t="s">
        <v>1102</v>
      </c>
      <c r="E649" s="3" t="s">
        <v>1103</v>
      </c>
      <c r="F649" s="3">
        <v>4</v>
      </c>
      <c r="G649" t="s">
        <v>11</v>
      </c>
      <c r="H649" t="s">
        <v>1106</v>
      </c>
      <c r="I649" t="s">
        <v>38</v>
      </c>
      <c r="J649" t="s">
        <v>48</v>
      </c>
      <c r="K649" t="s">
        <v>10</v>
      </c>
      <c r="L649" t="s">
        <v>10</v>
      </c>
      <c r="M649" t="s">
        <v>10</v>
      </c>
      <c r="N649" t="s">
        <v>10</v>
      </c>
      <c r="O649" t="str">
        <f>INDEX(CoverageTable[Deductible Applies],MATCH(Table1820[[#This Row],[Coverage]],CoverageTable[Coverage],0))</f>
        <v>No</v>
      </c>
      <c r="P649" t="str">
        <f>INDEX(CoverageTable[Coverage Limit Applies],MATCH(Table1820[[#This Row],[Coverage]],CoverageTable[Coverage],0))</f>
        <v>Yes</v>
      </c>
      <c r="Q649" t="s">
        <v>10</v>
      </c>
      <c r="R649" t="s">
        <v>79</v>
      </c>
      <c r="S649" t="s">
        <v>10</v>
      </c>
      <c r="T649" t="s">
        <v>10</v>
      </c>
      <c r="U649" t="s">
        <v>10</v>
      </c>
      <c r="V649" t="s">
        <v>57</v>
      </c>
      <c r="W649" t="s">
        <v>57</v>
      </c>
      <c r="X649" s="11">
        <v>97.235402308043902</v>
      </c>
      <c r="Y649">
        <f>_xlfn.XLOOKUP(Table1820[[#This Row],[Coverage]],CoverageTable[Coverage],CoverageTable[Base Rate],,0)</f>
        <v>78</v>
      </c>
      <c r="Z649">
        <f>INDEX(Table16[Ageband Factor],MATCH(Table1820[[#This Row],[Ageband]],Table16[Ageband],0))</f>
        <v>1.27</v>
      </c>
      <c r="AA649">
        <f>VLOOKUP(Table1820[[#This Row],[Years Driving]],Table1[],2)</f>
        <v>0.93</v>
      </c>
      <c r="AB649">
        <f>_xlfn.XLOOKUP(Table1820[[#This Row],[At Fault Accidents]],Table2[At Fault Accidents],Table2[At Fault Accident Factor],,0)</f>
        <v>2.12</v>
      </c>
      <c r="AC649">
        <f>_xlfn.XLOOKUP(Table1820[[#This Row],[Usage-Based Insurance]],Table3[Usage-Based Insurance],Table3[Usage-Based Insurance Discount],,0)</f>
        <v>0.95</v>
      </c>
      <c r="AD649">
        <f>_xlfn.XLOOKUP(Table1820[[#This Row],[Yearly Miles]],Table4[Yearly Miles],Table4[Yearly Miles Factor],,0)</f>
        <v>0.82</v>
      </c>
      <c r="AE649">
        <f>_xlfn.XLOOKUP(Table1820[[#This Row],[City/Zip Code]],Table5[City/Zip Code],Table5[City/Zip Code Factor],,0)</f>
        <v>1.1200000000000001</v>
      </c>
      <c r="AF649">
        <f>_xlfn.XLOOKUP(Table1820[[#This Row],[Vehicle Price]],Table6[Vehicle Price],Table6[Vehicle Price Factor])</f>
        <v>0.82</v>
      </c>
      <c r="AG649">
        <f>_xlfn.XLOOKUP(Table1820[[#This Row],[Exotic Car]],Table7[Exotic Car],Table7[Exotic Car Factor],,0)</f>
        <v>1</v>
      </c>
      <c r="AH649">
        <f>_xlfn.XLOOKUP(Table1820[[#This Row],[Difficult Parts]],Table8[Difficult Parts],Table8[Difficult Parts Factor],,0)</f>
        <v>1</v>
      </c>
      <c r="AI649">
        <f>_xlfn.XLOOKUP(Table1820[[#This Row],[High Theft Rate]],Table9[High Theft Rate],Table9[High Theft Rate Factor],,0)</f>
        <v>1</v>
      </c>
      <c r="AJ649">
        <f>_xlfn.XLOOKUP(Table1820[[#This Row],[Advanced Safety Features]],Table10[Advanced Safety Features],Table10[Advanced Safety Features Factor],,0)</f>
        <v>1</v>
      </c>
      <c r="AK649">
        <f>_xlfn.XLOOKUP(Table1820[[#This Row],[Deductible]],Table12[Deductible],Table12[Deductible Factor],,0)</f>
        <v>1</v>
      </c>
      <c r="AL649">
        <f>_xlfn.XLOOKUP(Table1820[[#This Row],[Coverage Limit]],Table13[Coverage Limit],Table13[Coverage Limit Factor],,0)</f>
        <v>0.72</v>
      </c>
      <c r="AM649">
        <f>IF(Table1820[[#This Row],[Good Student Discount]]="Yes",'Rate Book'!$D$126,1)</f>
        <v>1</v>
      </c>
      <c r="AN649">
        <f>IF(Table1820[[#This Row],[Good Driver Discount]]="Yes",'Rate Book'!$D$127,1)</f>
        <v>1</v>
      </c>
      <c r="AO649">
        <f>IF(Table1820[[#This Row],[Multi Policy Discount]]="Yes",'Rate Book'!$D$128,1)</f>
        <v>1</v>
      </c>
      <c r="AP649">
        <f>IF(Table1820[[#This Row],[Loyal Customer Discount]]="Yes",'Rate Book'!$D$129,1)</f>
        <v>0.94</v>
      </c>
      <c r="AQ649">
        <f>IF(Table1820[[#This Row],[Organization Discount]]="Yes",'Rate Book'!$D$130,1)</f>
        <v>0.97</v>
      </c>
      <c r="AR649" cm="1">
        <f t="array" ref="AR649">IF(Table1820[[#This Row],[Effective Date]]&gt;=RateChangeTable[Effective Date],RateChangeTable[Rate Change Factor],1)</f>
        <v>1.06</v>
      </c>
      <c r="AS649" s="10">
        <f>PRODUCT(Table1820[[#This Row],[Base Rate]:[Rate Change Factor]])</f>
        <v>97.235402308043902</v>
      </c>
      <c r="AT649" s="9">
        <f>Table1820[[#This Row],[System-Generated Premium]]-Table1820[[#This Row],[Expected Premium]]</f>
        <v>0</v>
      </c>
      <c r="AU649" t="str">
        <f>IF(Table1820[[#This Row],[Difference]]=0,"PASS","FAIL")</f>
        <v>PASS</v>
      </c>
      <c r="AV649" s="9">
        <f>ABS(Table1820[[#This Row],[Difference]])</f>
        <v>0</v>
      </c>
      <c r="AW649" s="9" t="s">
        <v>1136</v>
      </c>
    </row>
    <row r="650" spans="1:49" x14ac:dyDescent="0.3">
      <c r="A650" t="s">
        <v>741</v>
      </c>
      <c r="B650" s="7">
        <v>45921</v>
      </c>
      <c r="C650" t="s">
        <v>71</v>
      </c>
      <c r="D650" t="s">
        <v>1099</v>
      </c>
      <c r="E650" s="3">
        <v>5</v>
      </c>
      <c r="F650" s="3">
        <v>1</v>
      </c>
      <c r="G650" t="s">
        <v>10</v>
      </c>
      <c r="H650" t="s">
        <v>1110</v>
      </c>
      <c r="I650" t="s">
        <v>41</v>
      </c>
      <c r="J650" t="s">
        <v>52</v>
      </c>
      <c r="K650" t="s">
        <v>10</v>
      </c>
      <c r="L650" t="s">
        <v>10</v>
      </c>
      <c r="M650" t="s">
        <v>10</v>
      </c>
      <c r="N650" t="s">
        <v>10</v>
      </c>
      <c r="O650" t="str">
        <f>INDEX(CoverageTable[Deductible Applies],MATCH(Table1820[[#This Row],[Coverage]],CoverageTable[Coverage],0))</f>
        <v>Yes</v>
      </c>
      <c r="P650" t="str">
        <f>INDEX(CoverageTable[Coverage Limit Applies],MATCH(Table1820[[#This Row],[Coverage]],CoverageTable[Coverage],0))</f>
        <v>No</v>
      </c>
      <c r="Q650" t="s">
        <v>80</v>
      </c>
      <c r="R650" t="s">
        <v>10</v>
      </c>
      <c r="S650" t="s">
        <v>10</v>
      </c>
      <c r="T650" t="s">
        <v>10</v>
      </c>
      <c r="U650" t="s">
        <v>57</v>
      </c>
      <c r="V650" t="s">
        <v>57</v>
      </c>
      <c r="W650" t="s">
        <v>10</v>
      </c>
      <c r="X650" s="11">
        <v>966.93852772346793</v>
      </c>
      <c r="Y650">
        <f>_xlfn.XLOOKUP(Table1820[[#This Row],[Coverage]],CoverageTable[Coverage],CoverageTable[Base Rate],,0)</f>
        <v>453</v>
      </c>
      <c r="Z650">
        <f>INDEX(Table16[Ageband Factor],MATCH(Table1820[[#This Row],[Ageband]],Table16[Ageband],0))</f>
        <v>1</v>
      </c>
      <c r="AA650">
        <f>VLOOKUP(Table1820[[#This Row],[Years Driving]],Table1[],2)</f>
        <v>1.07</v>
      </c>
      <c r="AB650">
        <f>_xlfn.XLOOKUP(Table1820[[#This Row],[At Fault Accidents]],Table2[At Fault Accidents],Table2[At Fault Accident Factor],,0)</f>
        <v>1.34</v>
      </c>
      <c r="AC650">
        <f>_xlfn.XLOOKUP(Table1820[[#This Row],[Usage-Based Insurance]],Table3[Usage-Based Insurance],Table3[Usage-Based Insurance Discount],,0)</f>
        <v>1</v>
      </c>
      <c r="AD650">
        <f>_xlfn.XLOOKUP(Table1820[[#This Row],[Yearly Miles]],Table4[Yearly Miles],Table4[Yearly Miles Factor],,0)</f>
        <v>1.31</v>
      </c>
      <c r="AE650">
        <f>_xlfn.XLOOKUP(Table1820[[#This Row],[City/Zip Code]],Table5[City/Zip Code],Table5[City/Zip Code Factor],,0)</f>
        <v>1.1499999999999999</v>
      </c>
      <c r="AF650">
        <f>_xlfn.XLOOKUP(Table1820[[#This Row],[Vehicle Price]],Table6[Vehicle Price],Table6[Vehicle Price Factor])</f>
        <v>1.57</v>
      </c>
      <c r="AG650">
        <f>_xlfn.XLOOKUP(Table1820[[#This Row],[Exotic Car]],Table7[Exotic Car],Table7[Exotic Car Factor],,0)</f>
        <v>1</v>
      </c>
      <c r="AH650">
        <f>_xlfn.XLOOKUP(Table1820[[#This Row],[Difficult Parts]],Table8[Difficult Parts],Table8[Difficult Parts Factor],,0)</f>
        <v>1</v>
      </c>
      <c r="AI650">
        <f>_xlfn.XLOOKUP(Table1820[[#This Row],[High Theft Rate]],Table9[High Theft Rate],Table9[High Theft Rate Factor],,0)</f>
        <v>1</v>
      </c>
      <c r="AJ650">
        <f>_xlfn.XLOOKUP(Table1820[[#This Row],[Advanced Safety Features]],Table10[Advanced Safety Features],Table10[Advanced Safety Features Factor],,0)</f>
        <v>1</v>
      </c>
      <c r="AK650">
        <f>_xlfn.XLOOKUP(Table1820[[#This Row],[Deductible]],Table12[Deductible],Table12[Deductible Factor],,0)</f>
        <v>0.72</v>
      </c>
      <c r="AL650">
        <f>_xlfn.XLOOKUP(Table1820[[#This Row],[Coverage Limit]],Table13[Coverage Limit],Table13[Coverage Limit Factor],,0)</f>
        <v>1</v>
      </c>
      <c r="AM650">
        <f>IF(Table1820[[#This Row],[Good Student Discount]]="Yes",'Rate Book'!$D$126,1)</f>
        <v>1</v>
      </c>
      <c r="AN650">
        <f>IF(Table1820[[#This Row],[Good Driver Discount]]="Yes",'Rate Book'!$D$127,1)</f>
        <v>1</v>
      </c>
      <c r="AO650">
        <f>IF(Table1820[[#This Row],[Multi Policy Discount]]="Yes",'Rate Book'!$D$128,1)</f>
        <v>0.93</v>
      </c>
      <c r="AP650">
        <f>IF(Table1820[[#This Row],[Loyal Customer Discount]]="Yes",'Rate Book'!$D$129,1)</f>
        <v>0.94</v>
      </c>
      <c r="AQ650">
        <f>IF(Table1820[[#This Row],[Organization Discount]]="Yes",'Rate Book'!$D$130,1)</f>
        <v>1</v>
      </c>
      <c r="AR650" cm="1">
        <f t="array" ref="AR650">IF(Table1820[[#This Row],[Effective Date]]&gt;=RateChangeTable[Effective Date],RateChangeTable[Rate Change Factor],1)</f>
        <v>1</v>
      </c>
      <c r="AS650" s="10">
        <f>PRODUCT(Table1820[[#This Row],[Base Rate]:[Rate Change Factor]])</f>
        <v>966.93852772346793</v>
      </c>
      <c r="AT650" s="9">
        <f>Table1820[[#This Row],[System-Generated Premium]]-Table1820[[#This Row],[Expected Premium]]</f>
        <v>0</v>
      </c>
      <c r="AU650" t="str">
        <f>IF(Table1820[[#This Row],[Difference]]=0,"PASS","FAIL")</f>
        <v>PASS</v>
      </c>
      <c r="AV650" s="9">
        <f>ABS(Table1820[[#This Row],[Difference]])</f>
        <v>0</v>
      </c>
      <c r="AW650" s="9" t="s">
        <v>1136</v>
      </c>
    </row>
    <row r="651" spans="1:49" x14ac:dyDescent="0.3">
      <c r="A651" t="s">
        <v>742</v>
      </c>
      <c r="B651" s="7">
        <v>46135</v>
      </c>
      <c r="C651" t="s">
        <v>71</v>
      </c>
      <c r="D651" t="s">
        <v>1101</v>
      </c>
      <c r="E651" s="3">
        <v>1</v>
      </c>
      <c r="F651" s="3">
        <v>4</v>
      </c>
      <c r="G651" t="s">
        <v>10</v>
      </c>
      <c r="H651" t="s">
        <v>1110</v>
      </c>
      <c r="I651" t="s">
        <v>27</v>
      </c>
      <c r="J651" t="s">
        <v>51</v>
      </c>
      <c r="K651" t="s">
        <v>10</v>
      </c>
      <c r="L651" t="s">
        <v>57</v>
      </c>
      <c r="M651" t="s">
        <v>10</v>
      </c>
      <c r="N651" t="s">
        <v>57</v>
      </c>
      <c r="O651" t="str">
        <f>INDEX(CoverageTable[Deductible Applies],MATCH(Table1820[[#This Row],[Coverage]],CoverageTable[Coverage],0))</f>
        <v>Yes</v>
      </c>
      <c r="P651" t="str">
        <f>INDEX(CoverageTable[Coverage Limit Applies],MATCH(Table1820[[#This Row],[Coverage]],CoverageTable[Coverage],0))</f>
        <v>No</v>
      </c>
      <c r="Q651" t="s">
        <v>78</v>
      </c>
      <c r="R651" t="s">
        <v>10</v>
      </c>
      <c r="S651" t="s">
        <v>10</v>
      </c>
      <c r="T651" t="s">
        <v>57</v>
      </c>
      <c r="U651" t="s">
        <v>10</v>
      </c>
      <c r="V651" t="s">
        <v>10</v>
      </c>
      <c r="W651" t="s">
        <v>10</v>
      </c>
      <c r="X651" s="11">
        <v>2653.3379717500707</v>
      </c>
      <c r="Y651">
        <f>_xlfn.XLOOKUP(Table1820[[#This Row],[Coverage]],CoverageTable[Coverage],CoverageTable[Base Rate],,0)</f>
        <v>453</v>
      </c>
      <c r="Z651">
        <f>INDEX(Table16[Ageband Factor],MATCH(Table1820[[#This Row],[Ageband]],Table16[Ageband],0))</f>
        <v>1.1200000000000001</v>
      </c>
      <c r="AA651">
        <f>VLOOKUP(Table1820[[#This Row],[Years Driving]],Table1[],2)</f>
        <v>1.64</v>
      </c>
      <c r="AB651">
        <f>_xlfn.XLOOKUP(Table1820[[#This Row],[At Fault Accidents]],Table2[At Fault Accidents],Table2[At Fault Accident Factor],,0)</f>
        <v>2.12</v>
      </c>
      <c r="AC651">
        <f>_xlfn.XLOOKUP(Table1820[[#This Row],[Usage-Based Insurance]],Table3[Usage-Based Insurance],Table3[Usage-Based Insurance Discount],,0)</f>
        <v>1</v>
      </c>
      <c r="AD651">
        <f>_xlfn.XLOOKUP(Table1820[[#This Row],[Yearly Miles]],Table4[Yearly Miles],Table4[Yearly Miles Factor],,0)</f>
        <v>1.31</v>
      </c>
      <c r="AE651">
        <f>_xlfn.XLOOKUP(Table1820[[#This Row],[City/Zip Code]],Table5[City/Zip Code],Table5[City/Zip Code Factor],,0)</f>
        <v>0.94</v>
      </c>
      <c r="AF651">
        <f>_xlfn.XLOOKUP(Table1820[[#This Row],[Vehicle Price]],Table6[Vehicle Price],Table6[Vehicle Price Factor])</f>
        <v>1.28</v>
      </c>
      <c r="AG651">
        <f>_xlfn.XLOOKUP(Table1820[[#This Row],[Exotic Car]],Table7[Exotic Car],Table7[Exotic Car Factor],,0)</f>
        <v>1</v>
      </c>
      <c r="AH651">
        <f>_xlfn.XLOOKUP(Table1820[[#This Row],[Difficult Parts]],Table8[Difficult Parts],Table8[Difficult Parts Factor],,0)</f>
        <v>1.21</v>
      </c>
      <c r="AI651">
        <f>_xlfn.XLOOKUP(Table1820[[#This Row],[High Theft Rate]],Table9[High Theft Rate],Table9[High Theft Rate Factor],,0)</f>
        <v>1</v>
      </c>
      <c r="AJ651">
        <f>_xlfn.XLOOKUP(Table1820[[#This Row],[Advanced Safety Features]],Table10[Advanced Safety Features],Table10[Advanced Safety Features Factor],,0)</f>
        <v>0.88</v>
      </c>
      <c r="AK651">
        <f>_xlfn.XLOOKUP(Table1820[[#This Row],[Deductible]],Table12[Deductible],Table12[Deductible Factor],,0)</f>
        <v>0.95</v>
      </c>
      <c r="AL651">
        <f>_xlfn.XLOOKUP(Table1820[[#This Row],[Coverage Limit]],Table13[Coverage Limit],Table13[Coverage Limit Factor],,0)</f>
        <v>1</v>
      </c>
      <c r="AM651">
        <f>IF(Table1820[[#This Row],[Good Student Discount]]="Yes",'Rate Book'!$D$126,1)</f>
        <v>1</v>
      </c>
      <c r="AN651">
        <f>IF(Table1820[[#This Row],[Good Driver Discount]]="Yes",'Rate Book'!$D$127,1)</f>
        <v>0.89</v>
      </c>
      <c r="AO651">
        <f>IF(Table1820[[#This Row],[Multi Policy Discount]]="Yes",'Rate Book'!$D$128,1)</f>
        <v>1</v>
      </c>
      <c r="AP651">
        <f>IF(Table1820[[#This Row],[Loyal Customer Discount]]="Yes",'Rate Book'!$D$129,1)</f>
        <v>1</v>
      </c>
      <c r="AQ651">
        <f>IF(Table1820[[#This Row],[Organization Discount]]="Yes",'Rate Book'!$D$130,1)</f>
        <v>1</v>
      </c>
      <c r="AR651" cm="1">
        <f t="array" ref="AR651">IF(Table1820[[#This Row],[Effective Date]]&gt;=RateChangeTable[Effective Date],RateChangeTable[Rate Change Factor],1)</f>
        <v>1.06</v>
      </c>
      <c r="AS651" s="10">
        <f>PRODUCT(Table1820[[#This Row],[Base Rate]:[Rate Change Factor]])</f>
        <v>2653.3379717500707</v>
      </c>
      <c r="AT651" s="9">
        <f>Table1820[[#This Row],[System-Generated Premium]]-Table1820[[#This Row],[Expected Premium]]</f>
        <v>0</v>
      </c>
      <c r="AU651" t="str">
        <f>IF(Table1820[[#This Row],[Difference]]=0,"PASS","FAIL")</f>
        <v>PASS</v>
      </c>
      <c r="AV651" s="9">
        <f>ABS(Table1820[[#This Row],[Difference]])</f>
        <v>0</v>
      </c>
      <c r="AW651" s="9" t="s">
        <v>1136</v>
      </c>
    </row>
    <row r="652" spans="1:49" x14ac:dyDescent="0.3">
      <c r="A652" t="s">
        <v>743</v>
      </c>
      <c r="B652" s="7">
        <v>45971</v>
      </c>
      <c r="C652" t="s">
        <v>70</v>
      </c>
      <c r="D652" t="s">
        <v>1101</v>
      </c>
      <c r="E652" s="3">
        <v>6</v>
      </c>
      <c r="F652" s="3">
        <v>1</v>
      </c>
      <c r="G652" t="s">
        <v>12</v>
      </c>
      <c r="H652" t="s">
        <v>1107</v>
      </c>
      <c r="I652" t="s">
        <v>29</v>
      </c>
      <c r="J652" t="s">
        <v>52</v>
      </c>
      <c r="K652" t="s">
        <v>10</v>
      </c>
      <c r="L652" t="s">
        <v>10</v>
      </c>
      <c r="M652" t="s">
        <v>10</v>
      </c>
      <c r="N652" t="s">
        <v>10</v>
      </c>
      <c r="O652" t="str">
        <f>INDEX(CoverageTable[Deductible Applies],MATCH(Table1820[[#This Row],[Coverage]],CoverageTable[Coverage],0))</f>
        <v>No</v>
      </c>
      <c r="P652" t="str">
        <f>INDEX(CoverageTable[Coverage Limit Applies],MATCH(Table1820[[#This Row],[Coverage]],CoverageTable[Coverage],0))</f>
        <v>Yes</v>
      </c>
      <c r="Q652" t="s">
        <v>10</v>
      </c>
      <c r="R652" t="s">
        <v>79</v>
      </c>
      <c r="S652" t="s">
        <v>10</v>
      </c>
      <c r="T652" t="s">
        <v>10</v>
      </c>
      <c r="U652" t="s">
        <v>57</v>
      </c>
      <c r="V652" t="s">
        <v>10</v>
      </c>
      <c r="W652" t="s">
        <v>10</v>
      </c>
      <c r="X652" s="11">
        <v>795.84361554062161</v>
      </c>
      <c r="Y652">
        <f>_xlfn.XLOOKUP(Table1820[[#This Row],[Coverage]],CoverageTable[Coverage],CoverageTable[Base Rate],,0)</f>
        <v>622</v>
      </c>
      <c r="Z652">
        <f>INDEX(Table16[Ageband Factor],MATCH(Table1820[[#This Row],[Ageband]],Table16[Ageband],0))</f>
        <v>1.1200000000000001</v>
      </c>
      <c r="AA652">
        <f>VLOOKUP(Table1820[[#This Row],[Years Driving]],Table1[],2)</f>
        <v>1</v>
      </c>
      <c r="AB652">
        <f>_xlfn.XLOOKUP(Table1820[[#This Row],[At Fault Accidents]],Table2[At Fault Accidents],Table2[At Fault Accident Factor],,0)</f>
        <v>1.34</v>
      </c>
      <c r="AC652">
        <f>_xlfn.XLOOKUP(Table1820[[#This Row],[Usage-Based Insurance]],Table3[Usage-Based Insurance],Table3[Usage-Based Insurance Discount],,0)</f>
        <v>0.8</v>
      </c>
      <c r="AD652">
        <f>_xlfn.XLOOKUP(Table1820[[#This Row],[Yearly Miles]],Table4[Yearly Miles],Table4[Yearly Miles Factor],,0)</f>
        <v>0.93</v>
      </c>
      <c r="AE652">
        <f>_xlfn.XLOOKUP(Table1820[[#This Row],[City/Zip Code]],Table5[City/Zip Code],Table5[City/Zip Code Factor],,0)</f>
        <v>1.0900000000000001</v>
      </c>
      <c r="AF652">
        <f>_xlfn.XLOOKUP(Table1820[[#This Row],[Vehicle Price]],Table6[Vehicle Price],Table6[Vehicle Price Factor])</f>
        <v>1.57</v>
      </c>
      <c r="AG652">
        <f>_xlfn.XLOOKUP(Table1820[[#This Row],[Exotic Car]],Table7[Exotic Car],Table7[Exotic Car Factor],,0)</f>
        <v>1</v>
      </c>
      <c r="AH652">
        <f>_xlfn.XLOOKUP(Table1820[[#This Row],[Difficult Parts]],Table8[Difficult Parts],Table8[Difficult Parts Factor],,0)</f>
        <v>1</v>
      </c>
      <c r="AI652">
        <f>_xlfn.XLOOKUP(Table1820[[#This Row],[High Theft Rate]],Table9[High Theft Rate],Table9[High Theft Rate Factor],,0)</f>
        <v>1</v>
      </c>
      <c r="AJ652">
        <f>_xlfn.XLOOKUP(Table1820[[#This Row],[Advanced Safety Features]],Table10[Advanced Safety Features],Table10[Advanced Safety Features Factor],,0)</f>
        <v>1</v>
      </c>
      <c r="AK652">
        <f>_xlfn.XLOOKUP(Table1820[[#This Row],[Deductible]],Table12[Deductible],Table12[Deductible Factor],,0)</f>
        <v>1</v>
      </c>
      <c r="AL652">
        <f>_xlfn.XLOOKUP(Table1820[[#This Row],[Coverage Limit]],Table13[Coverage Limit],Table13[Coverage Limit Factor],,0)</f>
        <v>0.72</v>
      </c>
      <c r="AM652">
        <f>IF(Table1820[[#This Row],[Good Student Discount]]="Yes",'Rate Book'!$D$126,1)</f>
        <v>1</v>
      </c>
      <c r="AN652">
        <f>IF(Table1820[[#This Row],[Good Driver Discount]]="Yes",'Rate Book'!$D$127,1)</f>
        <v>1</v>
      </c>
      <c r="AO652">
        <f>IF(Table1820[[#This Row],[Multi Policy Discount]]="Yes",'Rate Book'!$D$128,1)</f>
        <v>0.93</v>
      </c>
      <c r="AP652">
        <f>IF(Table1820[[#This Row],[Loyal Customer Discount]]="Yes",'Rate Book'!$D$129,1)</f>
        <v>1</v>
      </c>
      <c r="AQ652">
        <f>IF(Table1820[[#This Row],[Organization Discount]]="Yes",'Rate Book'!$D$130,1)</f>
        <v>1</v>
      </c>
      <c r="AR652" cm="1">
        <f t="array" ref="AR652">IF(Table1820[[#This Row],[Effective Date]]&gt;=RateChangeTable[Effective Date],RateChangeTable[Rate Change Factor],1)</f>
        <v>1</v>
      </c>
      <c r="AS652" s="10">
        <f>PRODUCT(Table1820[[#This Row],[Base Rate]:[Rate Change Factor]])</f>
        <v>795.84361554062161</v>
      </c>
      <c r="AT652" s="9">
        <f>Table1820[[#This Row],[System-Generated Premium]]-Table1820[[#This Row],[Expected Premium]]</f>
        <v>0</v>
      </c>
      <c r="AU652" t="str">
        <f>IF(Table1820[[#This Row],[Difference]]=0,"PASS","FAIL")</f>
        <v>PASS</v>
      </c>
      <c r="AV652" s="9">
        <f>ABS(Table1820[[#This Row],[Difference]])</f>
        <v>0</v>
      </c>
      <c r="AW652" s="9" t="s">
        <v>1136</v>
      </c>
    </row>
    <row r="653" spans="1:49" x14ac:dyDescent="0.3">
      <c r="A653" t="s">
        <v>744</v>
      </c>
      <c r="B653" s="7">
        <v>45897</v>
      </c>
      <c r="C653" t="s">
        <v>73</v>
      </c>
      <c r="D653" t="s">
        <v>1100</v>
      </c>
      <c r="E653" s="3">
        <v>2</v>
      </c>
      <c r="F653" s="3">
        <v>2</v>
      </c>
      <c r="G653" t="s">
        <v>10</v>
      </c>
      <c r="H653" t="s">
        <v>1108</v>
      </c>
      <c r="I653" t="s">
        <v>43</v>
      </c>
      <c r="J653" t="s">
        <v>49</v>
      </c>
      <c r="K653" t="s">
        <v>10</v>
      </c>
      <c r="L653" t="s">
        <v>10</v>
      </c>
      <c r="M653" t="s">
        <v>10</v>
      </c>
      <c r="N653" t="s">
        <v>57</v>
      </c>
      <c r="O653" t="str">
        <f>INDEX(CoverageTable[Deductible Applies],MATCH(Table1820[[#This Row],[Coverage]],CoverageTable[Coverage],0))</f>
        <v>No</v>
      </c>
      <c r="P653" t="str">
        <f>INDEX(CoverageTable[Coverage Limit Applies],MATCH(Table1820[[#This Row],[Coverage]],CoverageTable[Coverage],0))</f>
        <v>Yes</v>
      </c>
      <c r="Q653" t="s">
        <v>10</v>
      </c>
      <c r="R653" t="s">
        <v>79</v>
      </c>
      <c r="S653" t="s">
        <v>10</v>
      </c>
      <c r="T653" t="s">
        <v>57</v>
      </c>
      <c r="U653" t="s">
        <v>10</v>
      </c>
      <c r="V653" t="s">
        <v>10</v>
      </c>
      <c r="W653" t="s">
        <v>10</v>
      </c>
      <c r="X653" s="11">
        <v>117.73026131962867</v>
      </c>
      <c r="Y653">
        <f>_xlfn.XLOOKUP(Table1820[[#This Row],[Coverage]],CoverageTable[Coverage],CoverageTable[Base Rate],,0)</f>
        <v>78</v>
      </c>
      <c r="Z653">
        <f>INDEX(Table16[Ageband Factor],MATCH(Table1820[[#This Row],[Ageband]],Table16[Ageband],0))</f>
        <v>1.07</v>
      </c>
      <c r="AA653">
        <f>VLOOKUP(Table1820[[#This Row],[Years Driving]],Table1[],2)</f>
        <v>1.41</v>
      </c>
      <c r="AB653">
        <f>_xlfn.XLOOKUP(Table1820[[#This Row],[At Fault Accidents]],Table2[At Fault Accidents],Table2[At Fault Accident Factor],,0)</f>
        <v>1.55</v>
      </c>
      <c r="AC653">
        <f>_xlfn.XLOOKUP(Table1820[[#This Row],[Usage-Based Insurance]],Table3[Usage-Based Insurance],Table3[Usage-Based Insurance Discount],,0)</f>
        <v>1</v>
      </c>
      <c r="AD653">
        <f>_xlfn.XLOOKUP(Table1820[[#This Row],[Yearly Miles]],Table4[Yearly Miles],Table4[Yearly Miles Factor],,0)</f>
        <v>1</v>
      </c>
      <c r="AE653">
        <f>_xlfn.XLOOKUP(Table1820[[#This Row],[City/Zip Code]],Table5[City/Zip Code],Table5[City/Zip Code Factor],,0)</f>
        <v>1.18</v>
      </c>
      <c r="AF653">
        <f>_xlfn.XLOOKUP(Table1820[[#This Row],[Vehicle Price]],Table6[Vehicle Price],Table6[Vehicle Price Factor])</f>
        <v>0.97</v>
      </c>
      <c r="AG653">
        <f>_xlfn.XLOOKUP(Table1820[[#This Row],[Exotic Car]],Table7[Exotic Car],Table7[Exotic Car Factor],,0)</f>
        <v>1</v>
      </c>
      <c r="AH653">
        <f>_xlfn.XLOOKUP(Table1820[[#This Row],[Difficult Parts]],Table8[Difficult Parts],Table8[Difficult Parts Factor],,0)</f>
        <v>1</v>
      </c>
      <c r="AI653">
        <f>_xlfn.XLOOKUP(Table1820[[#This Row],[High Theft Rate]],Table9[High Theft Rate],Table9[High Theft Rate Factor],,0)</f>
        <v>1</v>
      </c>
      <c r="AJ653">
        <f>_xlfn.XLOOKUP(Table1820[[#This Row],[Advanced Safety Features]],Table10[Advanced Safety Features],Table10[Advanced Safety Features Factor],,0)</f>
        <v>0.88</v>
      </c>
      <c r="AK653">
        <f>_xlfn.XLOOKUP(Table1820[[#This Row],[Deductible]],Table12[Deductible],Table12[Deductible Factor],,0)</f>
        <v>1</v>
      </c>
      <c r="AL653">
        <f>_xlfn.XLOOKUP(Table1820[[#This Row],[Coverage Limit]],Table13[Coverage Limit],Table13[Coverage Limit Factor],,0)</f>
        <v>0.72</v>
      </c>
      <c r="AM653">
        <f>IF(Table1820[[#This Row],[Good Student Discount]]="Yes",'Rate Book'!$D$126,1)</f>
        <v>1</v>
      </c>
      <c r="AN653">
        <f>IF(Table1820[[#This Row],[Good Driver Discount]]="Yes",'Rate Book'!$D$127,1)</f>
        <v>0.89</v>
      </c>
      <c r="AO653">
        <f>IF(Table1820[[#This Row],[Multi Policy Discount]]="Yes",'Rate Book'!$D$128,1)</f>
        <v>1</v>
      </c>
      <c r="AP653">
        <f>IF(Table1820[[#This Row],[Loyal Customer Discount]]="Yes",'Rate Book'!$D$129,1)</f>
        <v>1</v>
      </c>
      <c r="AQ653">
        <f>IF(Table1820[[#This Row],[Organization Discount]]="Yes",'Rate Book'!$D$130,1)</f>
        <v>1</v>
      </c>
      <c r="AR653" cm="1">
        <f t="array" ref="AR653">IF(Table1820[[#This Row],[Effective Date]]&gt;=RateChangeTable[Effective Date],RateChangeTable[Rate Change Factor],1)</f>
        <v>1</v>
      </c>
      <c r="AS653" s="10">
        <f>PRODUCT(Table1820[[#This Row],[Base Rate]:[Rate Change Factor]])</f>
        <v>117.73026131962867</v>
      </c>
      <c r="AT653" s="9">
        <f>Table1820[[#This Row],[System-Generated Premium]]-Table1820[[#This Row],[Expected Premium]]</f>
        <v>0</v>
      </c>
      <c r="AU653" t="str">
        <f>IF(Table1820[[#This Row],[Difference]]=0,"PASS","FAIL")</f>
        <v>PASS</v>
      </c>
      <c r="AV653" s="9">
        <f>ABS(Table1820[[#This Row],[Difference]])</f>
        <v>0</v>
      </c>
      <c r="AW653" s="9" t="s">
        <v>1136</v>
      </c>
    </row>
    <row r="654" spans="1:49" x14ac:dyDescent="0.3">
      <c r="A654" t="s">
        <v>745</v>
      </c>
      <c r="B654" s="7">
        <v>45781</v>
      </c>
      <c r="C654" t="s">
        <v>70</v>
      </c>
      <c r="D654" t="s">
        <v>1098</v>
      </c>
      <c r="E654" s="3">
        <v>2</v>
      </c>
      <c r="F654" s="3">
        <v>1</v>
      </c>
      <c r="G654" t="s">
        <v>12</v>
      </c>
      <c r="H654" t="s">
        <v>1109</v>
      </c>
      <c r="I654" t="s">
        <v>31</v>
      </c>
      <c r="J654" t="s">
        <v>51</v>
      </c>
      <c r="K654" t="s">
        <v>10</v>
      </c>
      <c r="L654" t="s">
        <v>10</v>
      </c>
      <c r="M654" t="s">
        <v>10</v>
      </c>
      <c r="N654" t="s">
        <v>57</v>
      </c>
      <c r="O654" t="str">
        <f>INDEX(CoverageTable[Deductible Applies],MATCH(Table1820[[#This Row],[Coverage]],CoverageTable[Coverage],0))</f>
        <v>No</v>
      </c>
      <c r="P654" t="str">
        <f>INDEX(CoverageTable[Coverage Limit Applies],MATCH(Table1820[[#This Row],[Coverage]],CoverageTable[Coverage],0))</f>
        <v>Yes</v>
      </c>
      <c r="Q654" t="s">
        <v>10</v>
      </c>
      <c r="R654" t="s">
        <v>79</v>
      </c>
      <c r="S654" t="s">
        <v>10</v>
      </c>
      <c r="T654" t="s">
        <v>10</v>
      </c>
      <c r="U654" t="s">
        <v>10</v>
      </c>
      <c r="V654" t="s">
        <v>10</v>
      </c>
      <c r="W654" t="s">
        <v>10</v>
      </c>
      <c r="X654" s="11">
        <v>1228.3991816978614</v>
      </c>
      <c r="Y654">
        <f>_xlfn.XLOOKUP(Table1820[[#This Row],[Coverage]],CoverageTable[Coverage],CoverageTable[Base Rate],,0)</f>
        <v>622</v>
      </c>
      <c r="Z654">
        <f>INDEX(Table16[Ageband Factor],MATCH(Table1820[[#This Row],[Ageband]],Table16[Ageband],0))</f>
        <v>1.23</v>
      </c>
      <c r="AA654">
        <f>VLOOKUP(Table1820[[#This Row],[Years Driving]],Table1[],2)</f>
        <v>1.41</v>
      </c>
      <c r="AB654">
        <f>_xlfn.XLOOKUP(Table1820[[#This Row],[At Fault Accidents]],Table2[At Fault Accidents],Table2[At Fault Accident Factor],,0)</f>
        <v>1.34</v>
      </c>
      <c r="AC654">
        <f>_xlfn.XLOOKUP(Table1820[[#This Row],[Usage-Based Insurance]],Table3[Usage-Based Insurance],Table3[Usage-Based Insurance Discount],,0)</f>
        <v>0.8</v>
      </c>
      <c r="AD654">
        <f>_xlfn.XLOOKUP(Table1820[[#This Row],[Yearly Miles]],Table4[Yearly Miles],Table4[Yearly Miles Factor],,0)</f>
        <v>1.18</v>
      </c>
      <c r="AE654">
        <f>_xlfn.XLOOKUP(Table1820[[#This Row],[City/Zip Code]],Table5[City/Zip Code],Table5[City/Zip Code Factor],,0)</f>
        <v>1.1100000000000001</v>
      </c>
      <c r="AF654">
        <f>_xlfn.XLOOKUP(Table1820[[#This Row],[Vehicle Price]],Table6[Vehicle Price],Table6[Vehicle Price Factor])</f>
        <v>1.28</v>
      </c>
      <c r="AG654">
        <f>_xlfn.XLOOKUP(Table1820[[#This Row],[Exotic Car]],Table7[Exotic Car],Table7[Exotic Car Factor],,0)</f>
        <v>1</v>
      </c>
      <c r="AH654">
        <f>_xlfn.XLOOKUP(Table1820[[#This Row],[Difficult Parts]],Table8[Difficult Parts],Table8[Difficult Parts Factor],,0)</f>
        <v>1</v>
      </c>
      <c r="AI654">
        <f>_xlfn.XLOOKUP(Table1820[[#This Row],[High Theft Rate]],Table9[High Theft Rate],Table9[High Theft Rate Factor],,0)</f>
        <v>1</v>
      </c>
      <c r="AJ654">
        <f>_xlfn.XLOOKUP(Table1820[[#This Row],[Advanced Safety Features]],Table10[Advanced Safety Features],Table10[Advanced Safety Features Factor],,0)</f>
        <v>0.88</v>
      </c>
      <c r="AK654">
        <f>_xlfn.XLOOKUP(Table1820[[#This Row],[Deductible]],Table12[Deductible],Table12[Deductible Factor],,0)</f>
        <v>1</v>
      </c>
      <c r="AL654">
        <f>_xlfn.XLOOKUP(Table1820[[#This Row],[Coverage Limit]],Table13[Coverage Limit],Table13[Coverage Limit Factor],,0)</f>
        <v>0.72</v>
      </c>
      <c r="AM654">
        <f>IF(Table1820[[#This Row],[Good Student Discount]]="Yes",'Rate Book'!$D$126,1)</f>
        <v>1</v>
      </c>
      <c r="AN654">
        <f>IF(Table1820[[#This Row],[Good Driver Discount]]="Yes",'Rate Book'!$D$127,1)</f>
        <v>1</v>
      </c>
      <c r="AO654">
        <f>IF(Table1820[[#This Row],[Multi Policy Discount]]="Yes",'Rate Book'!$D$128,1)</f>
        <v>1</v>
      </c>
      <c r="AP654">
        <f>IF(Table1820[[#This Row],[Loyal Customer Discount]]="Yes",'Rate Book'!$D$129,1)</f>
        <v>1</v>
      </c>
      <c r="AQ654">
        <f>IF(Table1820[[#This Row],[Organization Discount]]="Yes",'Rate Book'!$D$130,1)</f>
        <v>1</v>
      </c>
      <c r="AR654" cm="1">
        <f t="array" ref="AR654">IF(Table1820[[#This Row],[Effective Date]]&gt;=RateChangeTable[Effective Date],RateChangeTable[Rate Change Factor],1)</f>
        <v>1</v>
      </c>
      <c r="AS654" s="10">
        <f>PRODUCT(Table1820[[#This Row],[Base Rate]:[Rate Change Factor]])</f>
        <v>1228.3991816978614</v>
      </c>
      <c r="AT654" s="9">
        <f>Table1820[[#This Row],[System-Generated Premium]]-Table1820[[#This Row],[Expected Premium]]</f>
        <v>0</v>
      </c>
      <c r="AU654" t="str">
        <f>IF(Table1820[[#This Row],[Difference]]=0,"PASS","FAIL")</f>
        <v>PASS</v>
      </c>
      <c r="AV654" s="9">
        <f>ABS(Table1820[[#This Row],[Difference]])</f>
        <v>0</v>
      </c>
      <c r="AW654" s="9" t="s">
        <v>1136</v>
      </c>
    </row>
    <row r="655" spans="1:49" x14ac:dyDescent="0.3">
      <c r="A655" t="s">
        <v>746</v>
      </c>
      <c r="B655" s="7">
        <v>45863</v>
      </c>
      <c r="C655" t="s">
        <v>71</v>
      </c>
      <c r="D655" t="s">
        <v>1098</v>
      </c>
      <c r="E655" s="3">
        <v>1</v>
      </c>
      <c r="F655" s="3">
        <v>0</v>
      </c>
      <c r="G655" t="s">
        <v>11</v>
      </c>
      <c r="H655" t="s">
        <v>1107</v>
      </c>
      <c r="I655" t="s">
        <v>42</v>
      </c>
      <c r="J655" t="s">
        <v>54</v>
      </c>
      <c r="K655" t="s">
        <v>10</v>
      </c>
      <c r="L655" t="s">
        <v>10</v>
      </c>
      <c r="M655" t="s">
        <v>10</v>
      </c>
      <c r="N655" t="s">
        <v>10</v>
      </c>
      <c r="O655" t="str">
        <f>INDEX(CoverageTable[Deductible Applies],MATCH(Table1820[[#This Row],[Coverage]],CoverageTable[Coverage],0))</f>
        <v>Yes</v>
      </c>
      <c r="P655" t="str">
        <f>INDEX(CoverageTable[Coverage Limit Applies],MATCH(Table1820[[#This Row],[Coverage]],CoverageTable[Coverage],0))</f>
        <v>No</v>
      </c>
      <c r="Q655" t="s">
        <v>78</v>
      </c>
      <c r="R655" t="s">
        <v>10</v>
      </c>
      <c r="S655" t="s">
        <v>10</v>
      </c>
      <c r="T655" t="s">
        <v>57</v>
      </c>
      <c r="U655" t="s">
        <v>57</v>
      </c>
      <c r="V655" t="s">
        <v>10</v>
      </c>
      <c r="W655" t="s">
        <v>10</v>
      </c>
      <c r="X655" s="11">
        <v>2204.5377646979446</v>
      </c>
      <c r="Y655">
        <f>_xlfn.XLOOKUP(Table1820[[#This Row],[Coverage]],CoverageTable[Coverage],CoverageTable[Base Rate],,0)</f>
        <v>453</v>
      </c>
      <c r="Z655">
        <f>INDEX(Table16[Ageband Factor],MATCH(Table1820[[#This Row],[Ageband]],Table16[Ageband],0))</f>
        <v>1.23</v>
      </c>
      <c r="AA655">
        <f>VLOOKUP(Table1820[[#This Row],[Years Driving]],Table1[],2)</f>
        <v>1.64</v>
      </c>
      <c r="AB655">
        <f>_xlfn.XLOOKUP(Table1820[[#This Row],[At Fault Accidents]],Table2[At Fault Accidents],Table2[At Fault Accident Factor],,0)</f>
        <v>1</v>
      </c>
      <c r="AC655">
        <f>_xlfn.XLOOKUP(Table1820[[#This Row],[Usage-Based Insurance]],Table3[Usage-Based Insurance],Table3[Usage-Based Insurance Discount],,0)</f>
        <v>0.95</v>
      </c>
      <c r="AD655">
        <f>_xlfn.XLOOKUP(Table1820[[#This Row],[Yearly Miles]],Table4[Yearly Miles],Table4[Yearly Miles Factor],,0)</f>
        <v>0.93</v>
      </c>
      <c r="AE655">
        <f>_xlfn.XLOOKUP(Table1820[[#This Row],[City/Zip Code]],Table5[City/Zip Code],Table5[City/Zip Code Factor],,0)</f>
        <v>1.21</v>
      </c>
      <c r="AF655">
        <f>_xlfn.XLOOKUP(Table1820[[#This Row],[Vehicle Price]],Table6[Vehicle Price],Table6[Vehicle Price Factor])</f>
        <v>2.87</v>
      </c>
      <c r="AG655">
        <f>_xlfn.XLOOKUP(Table1820[[#This Row],[Exotic Car]],Table7[Exotic Car],Table7[Exotic Car Factor],,0)</f>
        <v>1</v>
      </c>
      <c r="AH655">
        <f>_xlfn.XLOOKUP(Table1820[[#This Row],[Difficult Parts]],Table8[Difficult Parts],Table8[Difficult Parts Factor],,0)</f>
        <v>1</v>
      </c>
      <c r="AI655">
        <f>_xlfn.XLOOKUP(Table1820[[#This Row],[High Theft Rate]],Table9[High Theft Rate],Table9[High Theft Rate Factor],,0)</f>
        <v>1</v>
      </c>
      <c r="AJ655">
        <f>_xlfn.XLOOKUP(Table1820[[#This Row],[Advanced Safety Features]],Table10[Advanced Safety Features],Table10[Advanced Safety Features Factor],,0)</f>
        <v>1</v>
      </c>
      <c r="AK655">
        <f>_xlfn.XLOOKUP(Table1820[[#This Row],[Deductible]],Table12[Deductible],Table12[Deductible Factor],,0)</f>
        <v>0.95</v>
      </c>
      <c r="AL655">
        <f>_xlfn.XLOOKUP(Table1820[[#This Row],[Coverage Limit]],Table13[Coverage Limit],Table13[Coverage Limit Factor],,0)</f>
        <v>1</v>
      </c>
      <c r="AM655">
        <f>IF(Table1820[[#This Row],[Good Student Discount]]="Yes",'Rate Book'!$D$126,1)</f>
        <v>1</v>
      </c>
      <c r="AN655">
        <f>IF(Table1820[[#This Row],[Good Driver Discount]]="Yes",'Rate Book'!$D$127,1)</f>
        <v>0.89</v>
      </c>
      <c r="AO655">
        <f>IF(Table1820[[#This Row],[Multi Policy Discount]]="Yes",'Rate Book'!$D$128,1)</f>
        <v>0.93</v>
      </c>
      <c r="AP655">
        <f>IF(Table1820[[#This Row],[Loyal Customer Discount]]="Yes",'Rate Book'!$D$129,1)</f>
        <v>1</v>
      </c>
      <c r="AQ655">
        <f>IF(Table1820[[#This Row],[Organization Discount]]="Yes",'Rate Book'!$D$130,1)</f>
        <v>1</v>
      </c>
      <c r="AR655" cm="1">
        <f t="array" ref="AR655">IF(Table1820[[#This Row],[Effective Date]]&gt;=RateChangeTable[Effective Date],RateChangeTable[Rate Change Factor],1)</f>
        <v>1</v>
      </c>
      <c r="AS655" s="10">
        <f>PRODUCT(Table1820[[#This Row],[Base Rate]:[Rate Change Factor]])</f>
        <v>2204.5377646979446</v>
      </c>
      <c r="AT655" s="9">
        <f>Table1820[[#This Row],[System-Generated Premium]]-Table1820[[#This Row],[Expected Premium]]</f>
        <v>0</v>
      </c>
      <c r="AU655" t="str">
        <f>IF(Table1820[[#This Row],[Difference]]=0,"PASS","FAIL")</f>
        <v>PASS</v>
      </c>
      <c r="AV655" s="9">
        <f>ABS(Table1820[[#This Row],[Difference]])</f>
        <v>0</v>
      </c>
      <c r="AW655" s="9" t="s">
        <v>1136</v>
      </c>
    </row>
    <row r="656" spans="1:49" x14ac:dyDescent="0.3">
      <c r="A656" t="s">
        <v>747</v>
      </c>
      <c r="B656" s="7">
        <v>46060</v>
      </c>
      <c r="C656" t="s">
        <v>70</v>
      </c>
      <c r="D656" t="s">
        <v>1101</v>
      </c>
      <c r="E656" s="3" t="s">
        <v>1103</v>
      </c>
      <c r="F656" s="3">
        <v>3</v>
      </c>
      <c r="G656" t="s">
        <v>10</v>
      </c>
      <c r="H656" t="s">
        <v>1108</v>
      </c>
      <c r="I656" t="s">
        <v>37</v>
      </c>
      <c r="J656" t="s">
        <v>54</v>
      </c>
      <c r="K656" t="s">
        <v>10</v>
      </c>
      <c r="L656" t="s">
        <v>10</v>
      </c>
      <c r="M656" t="s">
        <v>57</v>
      </c>
      <c r="N656" t="s">
        <v>10</v>
      </c>
      <c r="O656" t="str">
        <f>INDEX(CoverageTable[Deductible Applies],MATCH(Table1820[[#This Row],[Coverage]],CoverageTable[Coverage],0))</f>
        <v>No</v>
      </c>
      <c r="P656" t="str">
        <f>INDEX(CoverageTable[Coverage Limit Applies],MATCH(Table1820[[#This Row],[Coverage]],CoverageTable[Coverage],0))</f>
        <v>Yes</v>
      </c>
      <c r="Q656" t="s">
        <v>10</v>
      </c>
      <c r="R656" t="s">
        <v>80</v>
      </c>
      <c r="S656" t="s">
        <v>10</v>
      </c>
      <c r="T656" t="s">
        <v>10</v>
      </c>
      <c r="U656" t="s">
        <v>10</v>
      </c>
      <c r="V656" t="s">
        <v>57</v>
      </c>
      <c r="W656" t="s">
        <v>10</v>
      </c>
      <c r="X656" s="11">
        <v>3581.3117922405781</v>
      </c>
      <c r="Y656">
        <f>_xlfn.XLOOKUP(Table1820[[#This Row],[Coverage]],CoverageTable[Coverage],CoverageTable[Base Rate],,0)</f>
        <v>622</v>
      </c>
      <c r="Z656">
        <f>INDEX(Table16[Ageband Factor],MATCH(Table1820[[#This Row],[Ageband]],Table16[Ageband],0))</f>
        <v>1.1200000000000001</v>
      </c>
      <c r="AA656">
        <f>VLOOKUP(Table1820[[#This Row],[Years Driving]],Table1[],2)</f>
        <v>0.93</v>
      </c>
      <c r="AB656">
        <f>_xlfn.XLOOKUP(Table1820[[#This Row],[At Fault Accidents]],Table2[At Fault Accidents],Table2[At Fault Accident Factor],,0)</f>
        <v>1.82</v>
      </c>
      <c r="AC656">
        <f>_xlfn.XLOOKUP(Table1820[[#This Row],[Usage-Based Insurance]],Table3[Usage-Based Insurance],Table3[Usage-Based Insurance Discount],,0)</f>
        <v>1</v>
      </c>
      <c r="AD656">
        <f>_xlfn.XLOOKUP(Table1820[[#This Row],[Yearly Miles]],Table4[Yearly Miles],Table4[Yearly Miles Factor],,0)</f>
        <v>1</v>
      </c>
      <c r="AE656">
        <f>_xlfn.XLOOKUP(Table1820[[#This Row],[City/Zip Code]],Table5[City/Zip Code],Table5[City/Zip Code Factor],,0)</f>
        <v>1.0900000000000001</v>
      </c>
      <c r="AF656">
        <f>_xlfn.XLOOKUP(Table1820[[#This Row],[Vehicle Price]],Table6[Vehicle Price],Table6[Vehicle Price Factor])</f>
        <v>2.87</v>
      </c>
      <c r="AG656">
        <f>_xlfn.XLOOKUP(Table1820[[#This Row],[Exotic Car]],Table7[Exotic Car],Table7[Exotic Car Factor],,0)</f>
        <v>1</v>
      </c>
      <c r="AH656">
        <f>_xlfn.XLOOKUP(Table1820[[#This Row],[Difficult Parts]],Table8[Difficult Parts],Table8[Difficult Parts Factor],,0)</f>
        <v>1</v>
      </c>
      <c r="AI656">
        <f>_xlfn.XLOOKUP(Table1820[[#This Row],[High Theft Rate]],Table9[High Theft Rate],Table9[High Theft Rate Factor],,0)</f>
        <v>1.1599999999999999</v>
      </c>
      <c r="AJ656">
        <f>_xlfn.XLOOKUP(Table1820[[#This Row],[Advanced Safety Features]],Table10[Advanced Safety Features],Table10[Advanced Safety Features Factor],,0)</f>
        <v>1</v>
      </c>
      <c r="AK656">
        <f>_xlfn.XLOOKUP(Table1820[[#This Row],[Deductible]],Table12[Deductible],Table12[Deductible Factor],,0)</f>
        <v>1</v>
      </c>
      <c r="AL656">
        <f>_xlfn.XLOOKUP(Table1820[[#This Row],[Coverage Limit]],Table13[Coverage Limit],Table13[Coverage Limit Factor],,0)</f>
        <v>0.84</v>
      </c>
      <c r="AM656">
        <f>IF(Table1820[[#This Row],[Good Student Discount]]="Yes",'Rate Book'!$D$126,1)</f>
        <v>1</v>
      </c>
      <c r="AN656">
        <f>IF(Table1820[[#This Row],[Good Driver Discount]]="Yes",'Rate Book'!$D$127,1)</f>
        <v>1</v>
      </c>
      <c r="AO656">
        <f>IF(Table1820[[#This Row],[Multi Policy Discount]]="Yes",'Rate Book'!$D$128,1)</f>
        <v>1</v>
      </c>
      <c r="AP656">
        <f>IF(Table1820[[#This Row],[Loyal Customer Discount]]="Yes",'Rate Book'!$D$129,1)</f>
        <v>0.94</v>
      </c>
      <c r="AQ656">
        <f>IF(Table1820[[#This Row],[Organization Discount]]="Yes",'Rate Book'!$D$130,1)</f>
        <v>1</v>
      </c>
      <c r="AR656" cm="1">
        <f t="array" ref="AR656">IF(Table1820[[#This Row],[Effective Date]]&gt;=RateChangeTable[Effective Date],RateChangeTable[Rate Change Factor],1)</f>
        <v>1.06</v>
      </c>
      <c r="AS656" s="10">
        <f>PRODUCT(Table1820[[#This Row],[Base Rate]:[Rate Change Factor]])</f>
        <v>3581.3117922405781</v>
      </c>
      <c r="AT656" s="9">
        <f>Table1820[[#This Row],[System-Generated Premium]]-Table1820[[#This Row],[Expected Premium]]</f>
        <v>0</v>
      </c>
      <c r="AU656" t="str">
        <f>IF(Table1820[[#This Row],[Difference]]=0,"PASS","FAIL")</f>
        <v>PASS</v>
      </c>
      <c r="AV656" s="9">
        <f>ABS(Table1820[[#This Row],[Difference]])</f>
        <v>0</v>
      </c>
      <c r="AW656" s="9" t="s">
        <v>1136</v>
      </c>
    </row>
    <row r="657" spans="1:49" x14ac:dyDescent="0.3">
      <c r="A657" t="s">
        <v>748</v>
      </c>
      <c r="B657" s="7">
        <v>46096</v>
      </c>
      <c r="C657" t="s">
        <v>71</v>
      </c>
      <c r="D657" t="s">
        <v>1100</v>
      </c>
      <c r="E657" s="3">
        <v>3</v>
      </c>
      <c r="F657" s="3">
        <v>2</v>
      </c>
      <c r="G657" t="s">
        <v>10</v>
      </c>
      <c r="H657" t="s">
        <v>1110</v>
      </c>
      <c r="I657" t="s">
        <v>35</v>
      </c>
      <c r="J657" t="s">
        <v>51</v>
      </c>
      <c r="K657" t="s">
        <v>10</v>
      </c>
      <c r="L657" t="s">
        <v>10</v>
      </c>
      <c r="M657" t="s">
        <v>10</v>
      </c>
      <c r="N657" t="s">
        <v>57</v>
      </c>
      <c r="O657" t="str">
        <f>INDEX(CoverageTable[Deductible Applies],MATCH(Table1820[[#This Row],[Coverage]],CoverageTable[Coverage],0))</f>
        <v>Yes</v>
      </c>
      <c r="P657" t="str">
        <f>INDEX(CoverageTable[Coverage Limit Applies],MATCH(Table1820[[#This Row],[Coverage]],CoverageTable[Coverage],0))</f>
        <v>No</v>
      </c>
      <c r="Q657" t="s">
        <v>79</v>
      </c>
      <c r="R657" t="s">
        <v>10</v>
      </c>
      <c r="S657" t="s">
        <v>10</v>
      </c>
      <c r="T657" t="s">
        <v>10</v>
      </c>
      <c r="U657" t="s">
        <v>10</v>
      </c>
      <c r="V657" t="s">
        <v>10</v>
      </c>
      <c r="W657" t="s">
        <v>10</v>
      </c>
      <c r="X657" s="11">
        <v>1348.7784548542595</v>
      </c>
      <c r="Y657">
        <f>_xlfn.XLOOKUP(Table1820[[#This Row],[Coverage]],CoverageTable[Coverage],CoverageTable[Base Rate],,0)</f>
        <v>453</v>
      </c>
      <c r="Z657">
        <f>INDEX(Table16[Ageband Factor],MATCH(Table1820[[#This Row],[Ageband]],Table16[Ageband],0))</f>
        <v>1.07</v>
      </c>
      <c r="AA657">
        <f>VLOOKUP(Table1820[[#This Row],[Years Driving]],Table1[],2)</f>
        <v>1.22</v>
      </c>
      <c r="AB657">
        <f>_xlfn.XLOOKUP(Table1820[[#This Row],[At Fault Accidents]],Table2[At Fault Accidents],Table2[At Fault Accident Factor],,0)</f>
        <v>1.55</v>
      </c>
      <c r="AC657">
        <f>_xlfn.XLOOKUP(Table1820[[#This Row],[Usage-Based Insurance]],Table3[Usage-Based Insurance],Table3[Usage-Based Insurance Discount],,0)</f>
        <v>1</v>
      </c>
      <c r="AD657">
        <f>_xlfn.XLOOKUP(Table1820[[#This Row],[Yearly Miles]],Table4[Yearly Miles],Table4[Yearly Miles Factor],,0)</f>
        <v>1.31</v>
      </c>
      <c r="AE657">
        <f>_xlfn.XLOOKUP(Table1820[[#This Row],[City/Zip Code]],Table5[City/Zip Code],Table5[City/Zip Code Factor],,0)</f>
        <v>1.1200000000000001</v>
      </c>
      <c r="AF657">
        <f>_xlfn.XLOOKUP(Table1820[[#This Row],[Vehicle Price]],Table6[Vehicle Price],Table6[Vehicle Price Factor])</f>
        <v>1.28</v>
      </c>
      <c r="AG657">
        <f>_xlfn.XLOOKUP(Table1820[[#This Row],[Exotic Car]],Table7[Exotic Car],Table7[Exotic Car Factor],,0)</f>
        <v>1</v>
      </c>
      <c r="AH657">
        <f>_xlfn.XLOOKUP(Table1820[[#This Row],[Difficult Parts]],Table8[Difficult Parts],Table8[Difficult Parts Factor],,0)</f>
        <v>1</v>
      </c>
      <c r="AI657">
        <f>_xlfn.XLOOKUP(Table1820[[#This Row],[High Theft Rate]],Table9[High Theft Rate],Table9[High Theft Rate Factor],,0)</f>
        <v>1</v>
      </c>
      <c r="AJ657">
        <f>_xlfn.XLOOKUP(Table1820[[#This Row],[Advanced Safety Features]],Table10[Advanced Safety Features],Table10[Advanced Safety Features Factor],,0)</f>
        <v>0.88</v>
      </c>
      <c r="AK657">
        <f>_xlfn.XLOOKUP(Table1820[[#This Row],[Deductible]],Table12[Deductible],Table12[Deductible Factor],,0)</f>
        <v>0.84</v>
      </c>
      <c r="AL657">
        <f>_xlfn.XLOOKUP(Table1820[[#This Row],[Coverage Limit]],Table13[Coverage Limit],Table13[Coverage Limit Factor],,0)</f>
        <v>1</v>
      </c>
      <c r="AM657">
        <f>IF(Table1820[[#This Row],[Good Student Discount]]="Yes",'Rate Book'!$D$126,1)</f>
        <v>1</v>
      </c>
      <c r="AN657">
        <f>IF(Table1820[[#This Row],[Good Driver Discount]]="Yes",'Rate Book'!$D$127,1)</f>
        <v>1</v>
      </c>
      <c r="AO657">
        <f>IF(Table1820[[#This Row],[Multi Policy Discount]]="Yes",'Rate Book'!$D$128,1)</f>
        <v>1</v>
      </c>
      <c r="AP657">
        <f>IF(Table1820[[#This Row],[Loyal Customer Discount]]="Yes",'Rate Book'!$D$129,1)</f>
        <v>1</v>
      </c>
      <c r="AQ657">
        <f>IF(Table1820[[#This Row],[Organization Discount]]="Yes",'Rate Book'!$D$130,1)</f>
        <v>1</v>
      </c>
      <c r="AR657" cm="1">
        <f t="array" ref="AR657">IF(Table1820[[#This Row],[Effective Date]]&gt;=RateChangeTable[Effective Date],RateChangeTable[Rate Change Factor],1)</f>
        <v>1.06</v>
      </c>
      <c r="AS657" s="10">
        <f>PRODUCT(Table1820[[#This Row],[Base Rate]:[Rate Change Factor]])</f>
        <v>1348.7784548542595</v>
      </c>
      <c r="AT657" s="9">
        <f>Table1820[[#This Row],[System-Generated Premium]]-Table1820[[#This Row],[Expected Premium]]</f>
        <v>0</v>
      </c>
      <c r="AU657" t="str">
        <f>IF(Table1820[[#This Row],[Difference]]=0,"PASS","FAIL")</f>
        <v>PASS</v>
      </c>
      <c r="AV657" s="9">
        <f>ABS(Table1820[[#This Row],[Difference]])</f>
        <v>0</v>
      </c>
      <c r="AW657" s="9" t="s">
        <v>1136</v>
      </c>
    </row>
    <row r="658" spans="1:49" x14ac:dyDescent="0.3">
      <c r="A658" t="s">
        <v>749</v>
      </c>
      <c r="B658" s="7">
        <v>45907</v>
      </c>
      <c r="C658" t="s">
        <v>72</v>
      </c>
      <c r="D658" t="s">
        <v>1100</v>
      </c>
      <c r="E658" s="3">
        <v>6</v>
      </c>
      <c r="F658" s="3">
        <v>3</v>
      </c>
      <c r="G658" t="s">
        <v>13</v>
      </c>
      <c r="H658" t="s">
        <v>1106</v>
      </c>
      <c r="I658" t="s">
        <v>35</v>
      </c>
      <c r="J658" t="s">
        <v>49</v>
      </c>
      <c r="K658" t="s">
        <v>10</v>
      </c>
      <c r="L658" t="s">
        <v>57</v>
      </c>
      <c r="M658" t="s">
        <v>10</v>
      </c>
      <c r="N658" t="s">
        <v>57</v>
      </c>
      <c r="O658" t="str">
        <f>INDEX(CoverageTable[Deductible Applies],MATCH(Table1820[[#This Row],[Coverage]],CoverageTable[Coverage],0))</f>
        <v>Yes</v>
      </c>
      <c r="P658" t="str">
        <f>INDEX(CoverageTable[Coverage Limit Applies],MATCH(Table1820[[#This Row],[Coverage]],CoverageTable[Coverage],0))</f>
        <v>No</v>
      </c>
      <c r="Q658" t="s">
        <v>80</v>
      </c>
      <c r="R658" t="s">
        <v>10</v>
      </c>
      <c r="S658" t="s">
        <v>10</v>
      </c>
      <c r="T658" t="s">
        <v>57</v>
      </c>
      <c r="U658" t="s">
        <v>10</v>
      </c>
      <c r="V658" t="s">
        <v>57</v>
      </c>
      <c r="W658" t="s">
        <v>10</v>
      </c>
      <c r="X658" s="11">
        <v>87.513670838850629</v>
      </c>
      <c r="Y658">
        <f>_xlfn.XLOOKUP(Table1820[[#This Row],[Coverage]],CoverageTable[Coverage],CoverageTable[Base Rate],,0)</f>
        <v>121</v>
      </c>
      <c r="Z658">
        <f>INDEX(Table16[Ageband Factor],MATCH(Table1820[[#This Row],[Ageband]],Table16[Ageband],0))</f>
        <v>1.07</v>
      </c>
      <c r="AA658">
        <f>VLOOKUP(Table1820[[#This Row],[Years Driving]],Table1[],2)</f>
        <v>1</v>
      </c>
      <c r="AB658">
        <f>_xlfn.XLOOKUP(Table1820[[#This Row],[At Fault Accidents]],Table2[At Fault Accidents],Table2[At Fault Accident Factor],,0)</f>
        <v>1.82</v>
      </c>
      <c r="AC658">
        <f>_xlfn.XLOOKUP(Table1820[[#This Row],[Usage-Based Insurance]],Table3[Usage-Based Insurance],Table3[Usage-Based Insurance Discount],,0)</f>
        <v>0.65</v>
      </c>
      <c r="AD658">
        <f>_xlfn.XLOOKUP(Table1820[[#This Row],[Yearly Miles]],Table4[Yearly Miles],Table4[Yearly Miles Factor],,0)</f>
        <v>0.82</v>
      </c>
      <c r="AE658">
        <f>_xlfn.XLOOKUP(Table1820[[#This Row],[City/Zip Code]],Table5[City/Zip Code],Table5[City/Zip Code Factor],,0)</f>
        <v>1.1200000000000001</v>
      </c>
      <c r="AF658">
        <f>_xlfn.XLOOKUP(Table1820[[#This Row],[Vehicle Price]],Table6[Vehicle Price],Table6[Vehicle Price Factor])</f>
        <v>0.97</v>
      </c>
      <c r="AG658">
        <f>_xlfn.XLOOKUP(Table1820[[#This Row],[Exotic Car]],Table7[Exotic Car],Table7[Exotic Car Factor],,0)</f>
        <v>1</v>
      </c>
      <c r="AH658">
        <f>_xlfn.XLOOKUP(Table1820[[#This Row],[Difficult Parts]],Table8[Difficult Parts],Table8[Difficult Parts Factor],,0)</f>
        <v>1.21</v>
      </c>
      <c r="AI658">
        <f>_xlfn.XLOOKUP(Table1820[[#This Row],[High Theft Rate]],Table9[High Theft Rate],Table9[High Theft Rate Factor],,0)</f>
        <v>1</v>
      </c>
      <c r="AJ658">
        <f>_xlfn.XLOOKUP(Table1820[[#This Row],[Advanced Safety Features]],Table10[Advanced Safety Features],Table10[Advanced Safety Features Factor],,0)</f>
        <v>0.88</v>
      </c>
      <c r="AK658">
        <f>_xlfn.XLOOKUP(Table1820[[#This Row],[Deductible]],Table12[Deductible],Table12[Deductible Factor],,0)</f>
        <v>0.72</v>
      </c>
      <c r="AL658">
        <f>_xlfn.XLOOKUP(Table1820[[#This Row],[Coverage Limit]],Table13[Coverage Limit],Table13[Coverage Limit Factor],,0)</f>
        <v>1</v>
      </c>
      <c r="AM658">
        <f>IF(Table1820[[#This Row],[Good Student Discount]]="Yes",'Rate Book'!$D$126,1)</f>
        <v>1</v>
      </c>
      <c r="AN658">
        <f>IF(Table1820[[#This Row],[Good Driver Discount]]="Yes",'Rate Book'!$D$127,1)</f>
        <v>0.89</v>
      </c>
      <c r="AO658">
        <f>IF(Table1820[[#This Row],[Multi Policy Discount]]="Yes",'Rate Book'!$D$128,1)</f>
        <v>1</v>
      </c>
      <c r="AP658">
        <f>IF(Table1820[[#This Row],[Loyal Customer Discount]]="Yes",'Rate Book'!$D$129,1)</f>
        <v>0.94</v>
      </c>
      <c r="AQ658">
        <f>IF(Table1820[[#This Row],[Organization Discount]]="Yes",'Rate Book'!$D$130,1)</f>
        <v>1</v>
      </c>
      <c r="AR658" cm="1">
        <f t="array" ref="AR658">IF(Table1820[[#This Row],[Effective Date]]&gt;=RateChangeTable[Effective Date],RateChangeTable[Rate Change Factor],1)</f>
        <v>1</v>
      </c>
      <c r="AS658" s="10">
        <f>PRODUCT(Table1820[[#This Row],[Base Rate]:[Rate Change Factor]])</f>
        <v>87.513670838850629</v>
      </c>
      <c r="AT658" s="9">
        <f>Table1820[[#This Row],[System-Generated Premium]]-Table1820[[#This Row],[Expected Premium]]</f>
        <v>0</v>
      </c>
      <c r="AU658" t="str">
        <f>IF(Table1820[[#This Row],[Difference]]=0,"PASS","FAIL")</f>
        <v>PASS</v>
      </c>
      <c r="AV658" s="9">
        <f>ABS(Table1820[[#This Row],[Difference]])</f>
        <v>0</v>
      </c>
      <c r="AW658" s="9" t="s">
        <v>1136</v>
      </c>
    </row>
    <row r="659" spans="1:49" x14ac:dyDescent="0.3">
      <c r="A659" t="s">
        <v>750</v>
      </c>
      <c r="B659" s="7">
        <v>45876</v>
      </c>
      <c r="C659" t="s">
        <v>71</v>
      </c>
      <c r="D659" t="s">
        <v>1100</v>
      </c>
      <c r="E659" s="3">
        <v>3</v>
      </c>
      <c r="F659" s="3">
        <v>0</v>
      </c>
      <c r="G659" t="s">
        <v>13</v>
      </c>
      <c r="H659" t="s">
        <v>1110</v>
      </c>
      <c r="I659" t="s">
        <v>37</v>
      </c>
      <c r="J659" t="s">
        <v>54</v>
      </c>
      <c r="K659" t="s">
        <v>10</v>
      </c>
      <c r="L659" t="s">
        <v>10</v>
      </c>
      <c r="M659" t="s">
        <v>57</v>
      </c>
      <c r="N659" t="s">
        <v>57</v>
      </c>
      <c r="O659" t="str">
        <f>INDEX(CoverageTable[Deductible Applies],MATCH(Table1820[[#This Row],[Coverage]],CoverageTable[Coverage],0))</f>
        <v>Yes</v>
      </c>
      <c r="P659" t="str">
        <f>INDEX(CoverageTable[Coverage Limit Applies],MATCH(Table1820[[#This Row],[Coverage]],CoverageTable[Coverage],0))</f>
        <v>No</v>
      </c>
      <c r="Q659" t="s">
        <v>80</v>
      </c>
      <c r="R659" t="s">
        <v>10</v>
      </c>
      <c r="S659" t="s">
        <v>10</v>
      </c>
      <c r="T659" t="s">
        <v>10</v>
      </c>
      <c r="U659" t="s">
        <v>10</v>
      </c>
      <c r="V659" t="s">
        <v>10</v>
      </c>
      <c r="W659" t="s">
        <v>10</v>
      </c>
      <c r="X659" s="11">
        <v>1157.731940526759</v>
      </c>
      <c r="Y659">
        <f>_xlfn.XLOOKUP(Table1820[[#This Row],[Coverage]],CoverageTable[Coverage],CoverageTable[Base Rate],,0)</f>
        <v>453</v>
      </c>
      <c r="Z659">
        <f>INDEX(Table16[Ageband Factor],MATCH(Table1820[[#This Row],[Ageband]],Table16[Ageband],0))</f>
        <v>1.07</v>
      </c>
      <c r="AA659">
        <f>VLOOKUP(Table1820[[#This Row],[Years Driving]],Table1[],2)</f>
        <v>1.22</v>
      </c>
      <c r="AB659">
        <f>_xlfn.XLOOKUP(Table1820[[#This Row],[At Fault Accidents]],Table2[At Fault Accidents],Table2[At Fault Accident Factor],,0)</f>
        <v>1</v>
      </c>
      <c r="AC659">
        <f>_xlfn.XLOOKUP(Table1820[[#This Row],[Usage-Based Insurance]],Table3[Usage-Based Insurance],Table3[Usage-Based Insurance Discount],,0)</f>
        <v>0.65</v>
      </c>
      <c r="AD659">
        <f>_xlfn.XLOOKUP(Table1820[[#This Row],[Yearly Miles]],Table4[Yearly Miles],Table4[Yearly Miles Factor],,0)</f>
        <v>1.31</v>
      </c>
      <c r="AE659">
        <f>_xlfn.XLOOKUP(Table1820[[#This Row],[City/Zip Code]],Table5[City/Zip Code],Table5[City/Zip Code Factor],,0)</f>
        <v>1.0900000000000001</v>
      </c>
      <c r="AF659">
        <f>_xlfn.XLOOKUP(Table1820[[#This Row],[Vehicle Price]],Table6[Vehicle Price],Table6[Vehicle Price Factor])</f>
        <v>2.87</v>
      </c>
      <c r="AG659">
        <f>_xlfn.XLOOKUP(Table1820[[#This Row],[Exotic Car]],Table7[Exotic Car],Table7[Exotic Car Factor],,0)</f>
        <v>1</v>
      </c>
      <c r="AH659">
        <f>_xlfn.XLOOKUP(Table1820[[#This Row],[Difficult Parts]],Table8[Difficult Parts],Table8[Difficult Parts Factor],,0)</f>
        <v>1</v>
      </c>
      <c r="AI659">
        <f>_xlfn.XLOOKUP(Table1820[[#This Row],[High Theft Rate]],Table9[High Theft Rate],Table9[High Theft Rate Factor],,0)</f>
        <v>1.1599999999999999</v>
      </c>
      <c r="AJ659">
        <f>_xlfn.XLOOKUP(Table1820[[#This Row],[Advanced Safety Features]],Table10[Advanced Safety Features],Table10[Advanced Safety Features Factor],,0)</f>
        <v>0.88</v>
      </c>
      <c r="AK659">
        <f>_xlfn.XLOOKUP(Table1820[[#This Row],[Deductible]],Table12[Deductible],Table12[Deductible Factor],,0)</f>
        <v>0.72</v>
      </c>
      <c r="AL659">
        <f>_xlfn.XLOOKUP(Table1820[[#This Row],[Coverage Limit]],Table13[Coverage Limit],Table13[Coverage Limit Factor],,0)</f>
        <v>1</v>
      </c>
      <c r="AM659">
        <f>IF(Table1820[[#This Row],[Good Student Discount]]="Yes",'Rate Book'!$D$126,1)</f>
        <v>1</v>
      </c>
      <c r="AN659">
        <f>IF(Table1820[[#This Row],[Good Driver Discount]]="Yes",'Rate Book'!$D$127,1)</f>
        <v>1</v>
      </c>
      <c r="AO659">
        <f>IF(Table1820[[#This Row],[Multi Policy Discount]]="Yes",'Rate Book'!$D$128,1)</f>
        <v>1</v>
      </c>
      <c r="AP659">
        <f>IF(Table1820[[#This Row],[Loyal Customer Discount]]="Yes",'Rate Book'!$D$129,1)</f>
        <v>1</v>
      </c>
      <c r="AQ659">
        <f>IF(Table1820[[#This Row],[Organization Discount]]="Yes",'Rate Book'!$D$130,1)</f>
        <v>1</v>
      </c>
      <c r="AR659" cm="1">
        <f t="array" ref="AR659">IF(Table1820[[#This Row],[Effective Date]]&gt;=RateChangeTable[Effective Date],RateChangeTable[Rate Change Factor],1)</f>
        <v>1</v>
      </c>
      <c r="AS659" s="10">
        <f>PRODUCT(Table1820[[#This Row],[Base Rate]:[Rate Change Factor]])</f>
        <v>1157.731940526759</v>
      </c>
      <c r="AT659" s="9">
        <f>Table1820[[#This Row],[System-Generated Premium]]-Table1820[[#This Row],[Expected Premium]]</f>
        <v>0</v>
      </c>
      <c r="AU659" t="str">
        <f>IF(Table1820[[#This Row],[Difference]]=0,"PASS","FAIL")</f>
        <v>PASS</v>
      </c>
      <c r="AV659" s="9">
        <f>ABS(Table1820[[#This Row],[Difference]])</f>
        <v>0</v>
      </c>
      <c r="AW659" s="9" t="s">
        <v>1136</v>
      </c>
    </row>
    <row r="660" spans="1:49" x14ac:dyDescent="0.3">
      <c r="A660" t="s">
        <v>751</v>
      </c>
      <c r="B660" s="7">
        <v>45983</v>
      </c>
      <c r="C660" t="s">
        <v>72</v>
      </c>
      <c r="D660" t="s">
        <v>1101</v>
      </c>
      <c r="E660" s="3">
        <v>7</v>
      </c>
      <c r="F660" s="3">
        <v>3</v>
      </c>
      <c r="G660" t="s">
        <v>10</v>
      </c>
      <c r="H660" t="s">
        <v>1106</v>
      </c>
      <c r="I660" t="s">
        <v>27</v>
      </c>
      <c r="J660" t="s">
        <v>48</v>
      </c>
      <c r="K660" t="s">
        <v>10</v>
      </c>
      <c r="L660" t="s">
        <v>10</v>
      </c>
      <c r="M660" t="s">
        <v>10</v>
      </c>
      <c r="N660" t="s">
        <v>57</v>
      </c>
      <c r="O660" t="str">
        <f>INDEX(CoverageTable[Deductible Applies],MATCH(Table1820[[#This Row],[Coverage]],CoverageTable[Coverage],0))</f>
        <v>Yes</v>
      </c>
      <c r="P660" t="str">
        <f>INDEX(CoverageTable[Coverage Limit Applies],MATCH(Table1820[[#This Row],[Coverage]],CoverageTable[Coverage],0))</f>
        <v>No</v>
      </c>
      <c r="Q660" t="s">
        <v>78</v>
      </c>
      <c r="R660" t="s">
        <v>10</v>
      </c>
      <c r="S660" t="s">
        <v>10</v>
      </c>
      <c r="T660" t="s">
        <v>57</v>
      </c>
      <c r="U660" t="s">
        <v>10</v>
      </c>
      <c r="V660" t="s">
        <v>10</v>
      </c>
      <c r="W660" t="s">
        <v>57</v>
      </c>
      <c r="X660" s="11">
        <v>106.8862801340168</v>
      </c>
      <c r="Y660">
        <f>_xlfn.XLOOKUP(Table1820[[#This Row],[Coverage]],CoverageTable[Coverage],CoverageTable[Base Rate],,0)</f>
        <v>121</v>
      </c>
      <c r="Z660">
        <f>INDEX(Table16[Ageband Factor],MATCH(Table1820[[#This Row],[Ageband]],Table16[Ageband],0))</f>
        <v>1.1200000000000001</v>
      </c>
      <c r="AA660">
        <f>VLOOKUP(Table1820[[#This Row],[Years Driving]],Table1[],2)</f>
        <v>0.95</v>
      </c>
      <c r="AB660">
        <f>_xlfn.XLOOKUP(Table1820[[#This Row],[At Fault Accidents]],Table2[At Fault Accidents],Table2[At Fault Accident Factor],,0)</f>
        <v>1.82</v>
      </c>
      <c r="AC660">
        <f>_xlfn.XLOOKUP(Table1820[[#This Row],[Usage-Based Insurance]],Table3[Usage-Based Insurance],Table3[Usage-Based Insurance Discount],,0)</f>
        <v>1</v>
      </c>
      <c r="AD660">
        <f>_xlfn.XLOOKUP(Table1820[[#This Row],[Yearly Miles]],Table4[Yearly Miles],Table4[Yearly Miles Factor],,0)</f>
        <v>0.82</v>
      </c>
      <c r="AE660">
        <f>_xlfn.XLOOKUP(Table1820[[#This Row],[City/Zip Code]],Table5[City/Zip Code],Table5[City/Zip Code Factor],,0)</f>
        <v>0.94</v>
      </c>
      <c r="AF660">
        <f>_xlfn.XLOOKUP(Table1820[[#This Row],[Vehicle Price]],Table6[Vehicle Price],Table6[Vehicle Price Factor])</f>
        <v>0.82</v>
      </c>
      <c r="AG660">
        <f>_xlfn.XLOOKUP(Table1820[[#This Row],[Exotic Car]],Table7[Exotic Car],Table7[Exotic Car Factor],,0)</f>
        <v>1</v>
      </c>
      <c r="AH660">
        <f>_xlfn.XLOOKUP(Table1820[[#This Row],[Difficult Parts]],Table8[Difficult Parts],Table8[Difficult Parts Factor],,0)</f>
        <v>1</v>
      </c>
      <c r="AI660">
        <f>_xlfn.XLOOKUP(Table1820[[#This Row],[High Theft Rate]],Table9[High Theft Rate],Table9[High Theft Rate Factor],,0)</f>
        <v>1</v>
      </c>
      <c r="AJ660">
        <f>_xlfn.XLOOKUP(Table1820[[#This Row],[Advanced Safety Features]],Table10[Advanced Safety Features],Table10[Advanced Safety Features Factor],,0)</f>
        <v>0.88</v>
      </c>
      <c r="AK660">
        <f>_xlfn.XLOOKUP(Table1820[[#This Row],[Deductible]],Table12[Deductible],Table12[Deductible Factor],,0)</f>
        <v>0.95</v>
      </c>
      <c r="AL660">
        <f>_xlfn.XLOOKUP(Table1820[[#This Row],[Coverage Limit]],Table13[Coverage Limit],Table13[Coverage Limit Factor],,0)</f>
        <v>1</v>
      </c>
      <c r="AM660">
        <f>IF(Table1820[[#This Row],[Good Student Discount]]="Yes",'Rate Book'!$D$126,1)</f>
        <v>1</v>
      </c>
      <c r="AN660">
        <f>IF(Table1820[[#This Row],[Good Driver Discount]]="Yes",'Rate Book'!$D$127,1)</f>
        <v>0.89</v>
      </c>
      <c r="AO660">
        <f>IF(Table1820[[#This Row],[Multi Policy Discount]]="Yes",'Rate Book'!$D$128,1)</f>
        <v>1</v>
      </c>
      <c r="AP660">
        <f>IF(Table1820[[#This Row],[Loyal Customer Discount]]="Yes",'Rate Book'!$D$129,1)</f>
        <v>1</v>
      </c>
      <c r="AQ660">
        <f>IF(Table1820[[#This Row],[Organization Discount]]="Yes",'Rate Book'!$D$130,1)</f>
        <v>0.97</v>
      </c>
      <c r="AR660" cm="1">
        <f t="array" ref="AR660">IF(Table1820[[#This Row],[Effective Date]]&gt;=RateChangeTable[Effective Date],RateChangeTable[Rate Change Factor],1)</f>
        <v>1</v>
      </c>
      <c r="AS660" s="10">
        <f>PRODUCT(Table1820[[#This Row],[Base Rate]:[Rate Change Factor]])</f>
        <v>106.8862801340168</v>
      </c>
      <c r="AT660" s="9">
        <f>Table1820[[#This Row],[System-Generated Premium]]-Table1820[[#This Row],[Expected Premium]]</f>
        <v>0</v>
      </c>
      <c r="AU660" t="str">
        <f>IF(Table1820[[#This Row],[Difference]]=0,"PASS","FAIL")</f>
        <v>PASS</v>
      </c>
      <c r="AV660" s="9">
        <f>ABS(Table1820[[#This Row],[Difference]])</f>
        <v>0</v>
      </c>
      <c r="AW660" s="9" t="s">
        <v>1136</v>
      </c>
    </row>
    <row r="661" spans="1:49" x14ac:dyDescent="0.3">
      <c r="A661" t="s">
        <v>752</v>
      </c>
      <c r="B661" s="7">
        <v>45959</v>
      </c>
      <c r="C661" t="s">
        <v>71</v>
      </c>
      <c r="D661" t="s">
        <v>1100</v>
      </c>
      <c r="E661" s="3">
        <v>4</v>
      </c>
      <c r="F661" s="3">
        <v>3</v>
      </c>
      <c r="G661" t="s">
        <v>12</v>
      </c>
      <c r="H661" t="s">
        <v>1109</v>
      </c>
      <c r="I661" t="s">
        <v>36</v>
      </c>
      <c r="J661" t="s">
        <v>48</v>
      </c>
      <c r="K661" t="s">
        <v>10</v>
      </c>
      <c r="L661" t="s">
        <v>10</v>
      </c>
      <c r="M661" t="s">
        <v>10</v>
      </c>
      <c r="N661" t="s">
        <v>57</v>
      </c>
      <c r="O661" t="str">
        <f>INDEX(CoverageTable[Deductible Applies],MATCH(Table1820[[#This Row],[Coverage]],CoverageTable[Coverage],0))</f>
        <v>Yes</v>
      </c>
      <c r="P661" t="str">
        <f>INDEX(CoverageTable[Coverage Limit Applies],MATCH(Table1820[[#This Row],[Coverage]],CoverageTable[Coverage],0))</f>
        <v>No</v>
      </c>
      <c r="Q661" t="s">
        <v>79</v>
      </c>
      <c r="R661" t="s">
        <v>10</v>
      </c>
      <c r="S661" t="s">
        <v>10</v>
      </c>
      <c r="T661" t="s">
        <v>57</v>
      </c>
      <c r="U661" t="s">
        <v>57</v>
      </c>
      <c r="V661" t="s">
        <v>10</v>
      </c>
      <c r="W661" t="s">
        <v>10</v>
      </c>
      <c r="X661" s="11">
        <v>470.86677143006472</v>
      </c>
      <c r="Y661">
        <f>_xlfn.XLOOKUP(Table1820[[#This Row],[Coverage]],CoverageTable[Coverage],CoverageTable[Base Rate],,0)</f>
        <v>453</v>
      </c>
      <c r="Z661">
        <f>INDEX(Table16[Ageband Factor],MATCH(Table1820[[#This Row],[Ageband]],Table16[Ageband],0))</f>
        <v>1.07</v>
      </c>
      <c r="AA661">
        <f>VLOOKUP(Table1820[[#This Row],[Years Driving]],Table1[],2)</f>
        <v>1.1499999999999999</v>
      </c>
      <c r="AB661">
        <f>_xlfn.XLOOKUP(Table1820[[#This Row],[At Fault Accidents]],Table2[At Fault Accidents],Table2[At Fault Accident Factor],,0)</f>
        <v>1.82</v>
      </c>
      <c r="AC661">
        <f>_xlfn.XLOOKUP(Table1820[[#This Row],[Usage-Based Insurance]],Table3[Usage-Based Insurance],Table3[Usage-Based Insurance Discount],,0)</f>
        <v>0.8</v>
      </c>
      <c r="AD661">
        <f>_xlfn.XLOOKUP(Table1820[[#This Row],[Yearly Miles]],Table4[Yearly Miles],Table4[Yearly Miles Factor],,0)</f>
        <v>1.18</v>
      </c>
      <c r="AE661">
        <f>_xlfn.XLOOKUP(Table1820[[#This Row],[City/Zip Code]],Table5[City/Zip Code],Table5[City/Zip Code Factor],,0)</f>
        <v>0.98</v>
      </c>
      <c r="AF661">
        <f>_xlfn.XLOOKUP(Table1820[[#This Row],[Vehicle Price]],Table6[Vehicle Price],Table6[Vehicle Price Factor])</f>
        <v>0.82</v>
      </c>
      <c r="AG661">
        <f>_xlfn.XLOOKUP(Table1820[[#This Row],[Exotic Car]],Table7[Exotic Car],Table7[Exotic Car Factor],,0)</f>
        <v>1</v>
      </c>
      <c r="AH661">
        <f>_xlfn.XLOOKUP(Table1820[[#This Row],[Difficult Parts]],Table8[Difficult Parts],Table8[Difficult Parts Factor],,0)</f>
        <v>1</v>
      </c>
      <c r="AI661">
        <f>_xlfn.XLOOKUP(Table1820[[#This Row],[High Theft Rate]],Table9[High Theft Rate],Table9[High Theft Rate Factor],,0)</f>
        <v>1</v>
      </c>
      <c r="AJ661">
        <f>_xlfn.XLOOKUP(Table1820[[#This Row],[Advanced Safety Features]],Table10[Advanced Safety Features],Table10[Advanced Safety Features Factor],,0)</f>
        <v>0.88</v>
      </c>
      <c r="AK661">
        <f>_xlfn.XLOOKUP(Table1820[[#This Row],[Deductible]],Table12[Deductible],Table12[Deductible Factor],,0)</f>
        <v>0.84</v>
      </c>
      <c r="AL661">
        <f>_xlfn.XLOOKUP(Table1820[[#This Row],[Coverage Limit]],Table13[Coverage Limit],Table13[Coverage Limit Factor],,0)</f>
        <v>1</v>
      </c>
      <c r="AM661">
        <f>IF(Table1820[[#This Row],[Good Student Discount]]="Yes",'Rate Book'!$D$126,1)</f>
        <v>1</v>
      </c>
      <c r="AN661">
        <f>IF(Table1820[[#This Row],[Good Driver Discount]]="Yes",'Rate Book'!$D$127,1)</f>
        <v>0.89</v>
      </c>
      <c r="AO661">
        <f>IF(Table1820[[#This Row],[Multi Policy Discount]]="Yes",'Rate Book'!$D$128,1)</f>
        <v>0.93</v>
      </c>
      <c r="AP661">
        <f>IF(Table1820[[#This Row],[Loyal Customer Discount]]="Yes",'Rate Book'!$D$129,1)</f>
        <v>1</v>
      </c>
      <c r="AQ661">
        <f>IF(Table1820[[#This Row],[Organization Discount]]="Yes",'Rate Book'!$D$130,1)</f>
        <v>1</v>
      </c>
      <c r="AR661" cm="1">
        <f t="array" ref="AR661">IF(Table1820[[#This Row],[Effective Date]]&gt;=RateChangeTable[Effective Date],RateChangeTable[Rate Change Factor],1)</f>
        <v>1</v>
      </c>
      <c r="AS661" s="10">
        <f>PRODUCT(Table1820[[#This Row],[Base Rate]:[Rate Change Factor]])</f>
        <v>470.86677143006472</v>
      </c>
      <c r="AT661" s="9">
        <f>Table1820[[#This Row],[System-Generated Premium]]-Table1820[[#This Row],[Expected Premium]]</f>
        <v>0</v>
      </c>
      <c r="AU661" t="str">
        <f>IF(Table1820[[#This Row],[Difference]]=0,"PASS","FAIL")</f>
        <v>PASS</v>
      </c>
      <c r="AV661" s="9">
        <f>ABS(Table1820[[#This Row],[Difference]])</f>
        <v>0</v>
      </c>
      <c r="AW661" s="9" t="s">
        <v>1136</v>
      </c>
    </row>
    <row r="662" spans="1:49" x14ac:dyDescent="0.3">
      <c r="A662" t="s">
        <v>753</v>
      </c>
      <c r="B662" s="7">
        <v>45932</v>
      </c>
      <c r="C662" t="s">
        <v>71</v>
      </c>
      <c r="D662" t="s">
        <v>1097</v>
      </c>
      <c r="E662" s="3">
        <v>5</v>
      </c>
      <c r="F662" s="3" t="s">
        <v>7</v>
      </c>
      <c r="G662" t="s">
        <v>12</v>
      </c>
      <c r="H662" t="s">
        <v>1109</v>
      </c>
      <c r="I662" t="s">
        <v>39</v>
      </c>
      <c r="J662" t="s">
        <v>52</v>
      </c>
      <c r="K662" t="s">
        <v>10</v>
      </c>
      <c r="L662" t="s">
        <v>10</v>
      </c>
      <c r="M662" t="s">
        <v>10</v>
      </c>
      <c r="N662" t="s">
        <v>10</v>
      </c>
      <c r="O662" t="str">
        <f>INDEX(CoverageTable[Deductible Applies],MATCH(Table1820[[#This Row],[Coverage]],CoverageTable[Coverage],0))</f>
        <v>Yes</v>
      </c>
      <c r="P662" t="str">
        <f>INDEX(CoverageTable[Coverage Limit Applies],MATCH(Table1820[[#This Row],[Coverage]],CoverageTable[Coverage],0))</f>
        <v>No</v>
      </c>
      <c r="Q662" t="s">
        <v>79</v>
      </c>
      <c r="R662" t="s">
        <v>10</v>
      </c>
      <c r="S662" t="s">
        <v>10</v>
      </c>
      <c r="T662" t="s">
        <v>10</v>
      </c>
      <c r="U662" t="s">
        <v>10</v>
      </c>
      <c r="V662" t="s">
        <v>57</v>
      </c>
      <c r="W662" t="s">
        <v>10</v>
      </c>
      <c r="X662" s="11">
        <v>1997.355666566782</v>
      </c>
      <c r="Y662">
        <f>_xlfn.XLOOKUP(Table1820[[#This Row],[Coverage]],CoverageTable[Coverage],CoverageTable[Base Rate],,0)</f>
        <v>453</v>
      </c>
      <c r="Z662">
        <f>INDEX(Table16[Ageband Factor],MATCH(Table1820[[#This Row],[Ageband]],Table16[Ageband],0))</f>
        <v>1.32</v>
      </c>
      <c r="AA662">
        <f>VLOOKUP(Table1820[[#This Row],[Years Driving]],Table1[],2)</f>
        <v>1.07</v>
      </c>
      <c r="AB662">
        <f>_xlfn.XLOOKUP(Table1820[[#This Row],[At Fault Accidents]],Table2[At Fault Accidents],Table2[At Fault Accident Factor],,0)</f>
        <v>2.4700000000000002</v>
      </c>
      <c r="AC662">
        <f>_xlfn.XLOOKUP(Table1820[[#This Row],[Usage-Based Insurance]],Table3[Usage-Based Insurance],Table3[Usage-Based Insurance Discount],,0)</f>
        <v>0.8</v>
      </c>
      <c r="AD662">
        <f>_xlfn.XLOOKUP(Table1820[[#This Row],[Yearly Miles]],Table4[Yearly Miles],Table4[Yearly Miles Factor],,0)</f>
        <v>1.18</v>
      </c>
      <c r="AE662">
        <f>_xlfn.XLOOKUP(Table1820[[#This Row],[City/Zip Code]],Table5[City/Zip Code],Table5[City/Zip Code Factor],,0)</f>
        <v>1.08</v>
      </c>
      <c r="AF662">
        <f>_xlfn.XLOOKUP(Table1820[[#This Row],[Vehicle Price]],Table6[Vehicle Price],Table6[Vehicle Price Factor])</f>
        <v>1.57</v>
      </c>
      <c r="AG662">
        <f>_xlfn.XLOOKUP(Table1820[[#This Row],[Exotic Car]],Table7[Exotic Car],Table7[Exotic Car Factor],,0)</f>
        <v>1</v>
      </c>
      <c r="AH662">
        <f>_xlfn.XLOOKUP(Table1820[[#This Row],[Difficult Parts]],Table8[Difficult Parts],Table8[Difficult Parts Factor],,0)</f>
        <v>1</v>
      </c>
      <c r="AI662">
        <f>_xlfn.XLOOKUP(Table1820[[#This Row],[High Theft Rate]],Table9[High Theft Rate],Table9[High Theft Rate Factor],,0)</f>
        <v>1</v>
      </c>
      <c r="AJ662">
        <f>_xlfn.XLOOKUP(Table1820[[#This Row],[Advanced Safety Features]],Table10[Advanced Safety Features],Table10[Advanced Safety Features Factor],,0)</f>
        <v>1</v>
      </c>
      <c r="AK662">
        <f>_xlfn.XLOOKUP(Table1820[[#This Row],[Deductible]],Table12[Deductible],Table12[Deductible Factor],,0)</f>
        <v>0.84</v>
      </c>
      <c r="AL662">
        <f>_xlfn.XLOOKUP(Table1820[[#This Row],[Coverage Limit]],Table13[Coverage Limit],Table13[Coverage Limit Factor],,0)</f>
        <v>1</v>
      </c>
      <c r="AM662">
        <f>IF(Table1820[[#This Row],[Good Student Discount]]="Yes",'Rate Book'!$D$126,1)</f>
        <v>1</v>
      </c>
      <c r="AN662">
        <f>IF(Table1820[[#This Row],[Good Driver Discount]]="Yes",'Rate Book'!$D$127,1)</f>
        <v>1</v>
      </c>
      <c r="AO662">
        <f>IF(Table1820[[#This Row],[Multi Policy Discount]]="Yes",'Rate Book'!$D$128,1)</f>
        <v>1</v>
      </c>
      <c r="AP662">
        <f>IF(Table1820[[#This Row],[Loyal Customer Discount]]="Yes",'Rate Book'!$D$129,1)</f>
        <v>0.94</v>
      </c>
      <c r="AQ662">
        <f>IF(Table1820[[#This Row],[Organization Discount]]="Yes",'Rate Book'!$D$130,1)</f>
        <v>1</v>
      </c>
      <c r="AR662" cm="1">
        <f t="array" ref="AR662">IF(Table1820[[#This Row],[Effective Date]]&gt;=RateChangeTable[Effective Date],RateChangeTable[Rate Change Factor],1)</f>
        <v>1</v>
      </c>
      <c r="AS662" s="10">
        <f>PRODUCT(Table1820[[#This Row],[Base Rate]:[Rate Change Factor]])</f>
        <v>1997.355666566782</v>
      </c>
      <c r="AT662" s="9">
        <f>Table1820[[#This Row],[System-Generated Premium]]-Table1820[[#This Row],[Expected Premium]]</f>
        <v>0</v>
      </c>
      <c r="AU662" t="str">
        <f>IF(Table1820[[#This Row],[Difference]]=0,"PASS","FAIL")</f>
        <v>PASS</v>
      </c>
      <c r="AV662" s="9">
        <f>ABS(Table1820[[#This Row],[Difference]])</f>
        <v>0</v>
      </c>
      <c r="AW662" s="9" t="s">
        <v>1136</v>
      </c>
    </row>
    <row r="663" spans="1:49" x14ac:dyDescent="0.3">
      <c r="A663" t="s">
        <v>754</v>
      </c>
      <c r="B663" s="7">
        <v>46073</v>
      </c>
      <c r="C663" t="s">
        <v>71</v>
      </c>
      <c r="D663" t="s">
        <v>1099</v>
      </c>
      <c r="E663" s="3" t="s">
        <v>1103</v>
      </c>
      <c r="F663" s="3">
        <v>1</v>
      </c>
      <c r="G663" t="s">
        <v>10</v>
      </c>
      <c r="H663" t="s">
        <v>1109</v>
      </c>
      <c r="I663" t="s">
        <v>25</v>
      </c>
      <c r="J663" t="s">
        <v>52</v>
      </c>
      <c r="K663" t="s">
        <v>10</v>
      </c>
      <c r="L663" t="s">
        <v>10</v>
      </c>
      <c r="M663" t="s">
        <v>10</v>
      </c>
      <c r="N663" t="s">
        <v>10</v>
      </c>
      <c r="O663" t="str">
        <f>INDEX(CoverageTable[Deductible Applies],MATCH(Table1820[[#This Row],[Coverage]],CoverageTable[Coverage],0))</f>
        <v>Yes</v>
      </c>
      <c r="P663" t="str">
        <f>INDEX(CoverageTable[Coverage Limit Applies],MATCH(Table1820[[#This Row],[Coverage]],CoverageTable[Coverage],0))</f>
        <v>No</v>
      </c>
      <c r="Q663" t="s">
        <v>78</v>
      </c>
      <c r="R663" t="s">
        <v>10</v>
      </c>
      <c r="S663" t="s">
        <v>57</v>
      </c>
      <c r="T663" t="s">
        <v>10</v>
      </c>
      <c r="U663" t="s">
        <v>10</v>
      </c>
      <c r="V663" t="s">
        <v>10</v>
      </c>
      <c r="W663" t="s">
        <v>10</v>
      </c>
      <c r="X663" s="11">
        <v>1123.9393999494353</v>
      </c>
      <c r="Y663">
        <f>_xlfn.XLOOKUP(Table1820[[#This Row],[Coverage]],CoverageTable[Coverage],CoverageTable[Base Rate],,0)</f>
        <v>453</v>
      </c>
      <c r="Z663">
        <f>INDEX(Table16[Ageband Factor],MATCH(Table1820[[#This Row],[Ageband]],Table16[Ageband],0))</f>
        <v>1</v>
      </c>
      <c r="AA663">
        <f>VLOOKUP(Table1820[[#This Row],[Years Driving]],Table1[],2)</f>
        <v>0.93</v>
      </c>
      <c r="AB663">
        <f>_xlfn.XLOOKUP(Table1820[[#This Row],[At Fault Accidents]],Table2[At Fault Accidents],Table2[At Fault Accident Factor],,0)</f>
        <v>1.34</v>
      </c>
      <c r="AC663">
        <f>_xlfn.XLOOKUP(Table1820[[#This Row],[Usage-Based Insurance]],Table3[Usage-Based Insurance],Table3[Usage-Based Insurance Discount],,0)</f>
        <v>1</v>
      </c>
      <c r="AD663">
        <f>_xlfn.XLOOKUP(Table1820[[#This Row],[Yearly Miles]],Table4[Yearly Miles],Table4[Yearly Miles Factor],,0)</f>
        <v>1.18</v>
      </c>
      <c r="AE663">
        <f>_xlfn.XLOOKUP(Table1820[[#This Row],[City/Zip Code]],Table5[City/Zip Code],Table5[City/Zip Code Factor],,0)</f>
        <v>1.1599999999999999</v>
      </c>
      <c r="AF663">
        <f>_xlfn.XLOOKUP(Table1820[[#This Row],[Vehicle Price]],Table6[Vehicle Price],Table6[Vehicle Price Factor])</f>
        <v>1.57</v>
      </c>
      <c r="AG663">
        <f>_xlfn.XLOOKUP(Table1820[[#This Row],[Exotic Car]],Table7[Exotic Car],Table7[Exotic Car Factor],,0)</f>
        <v>1</v>
      </c>
      <c r="AH663">
        <f>_xlfn.XLOOKUP(Table1820[[#This Row],[Difficult Parts]],Table8[Difficult Parts],Table8[Difficult Parts Factor],,0)</f>
        <v>1</v>
      </c>
      <c r="AI663">
        <f>_xlfn.XLOOKUP(Table1820[[#This Row],[High Theft Rate]],Table9[High Theft Rate],Table9[High Theft Rate Factor],,0)</f>
        <v>1</v>
      </c>
      <c r="AJ663">
        <f>_xlfn.XLOOKUP(Table1820[[#This Row],[Advanced Safety Features]],Table10[Advanced Safety Features],Table10[Advanced Safety Features Factor],,0)</f>
        <v>1</v>
      </c>
      <c r="AK663">
        <f>_xlfn.XLOOKUP(Table1820[[#This Row],[Deductible]],Table12[Deductible],Table12[Deductible Factor],,0)</f>
        <v>0.95</v>
      </c>
      <c r="AL663">
        <f>_xlfn.XLOOKUP(Table1820[[#This Row],[Coverage Limit]],Table13[Coverage Limit],Table13[Coverage Limit Factor],,0)</f>
        <v>1</v>
      </c>
      <c r="AM663">
        <f>IF(Table1820[[#This Row],[Good Student Discount]]="Yes",'Rate Book'!$D$126,1)</f>
        <v>0.92</v>
      </c>
      <c r="AN663">
        <f>IF(Table1820[[#This Row],[Good Driver Discount]]="Yes",'Rate Book'!$D$127,1)</f>
        <v>1</v>
      </c>
      <c r="AO663">
        <f>IF(Table1820[[#This Row],[Multi Policy Discount]]="Yes",'Rate Book'!$D$128,1)</f>
        <v>1</v>
      </c>
      <c r="AP663">
        <f>IF(Table1820[[#This Row],[Loyal Customer Discount]]="Yes",'Rate Book'!$D$129,1)</f>
        <v>1</v>
      </c>
      <c r="AQ663">
        <f>IF(Table1820[[#This Row],[Organization Discount]]="Yes",'Rate Book'!$D$130,1)</f>
        <v>1</v>
      </c>
      <c r="AR663" cm="1">
        <f t="array" ref="AR663">IF(Table1820[[#This Row],[Effective Date]]&gt;=RateChangeTable[Effective Date],RateChangeTable[Rate Change Factor],1)</f>
        <v>1.06</v>
      </c>
      <c r="AS663" s="10">
        <f>PRODUCT(Table1820[[#This Row],[Base Rate]:[Rate Change Factor]])</f>
        <v>1123.9393999494353</v>
      </c>
      <c r="AT663" s="9">
        <f>Table1820[[#This Row],[System-Generated Premium]]-Table1820[[#This Row],[Expected Premium]]</f>
        <v>0</v>
      </c>
      <c r="AU663" t="str">
        <f>IF(Table1820[[#This Row],[Difference]]=0,"PASS","FAIL")</f>
        <v>PASS</v>
      </c>
      <c r="AV663" s="9">
        <f>ABS(Table1820[[#This Row],[Difference]])</f>
        <v>0</v>
      </c>
      <c r="AW663" s="9" t="s">
        <v>1136</v>
      </c>
    </row>
    <row r="664" spans="1:49" x14ac:dyDescent="0.3">
      <c r="A664" t="s">
        <v>755</v>
      </c>
      <c r="B664" s="7">
        <v>46073</v>
      </c>
      <c r="C664" t="s">
        <v>73</v>
      </c>
      <c r="D664" t="s">
        <v>1101</v>
      </c>
      <c r="E664" s="3">
        <v>3</v>
      </c>
      <c r="F664" s="3">
        <v>0</v>
      </c>
      <c r="G664" t="s">
        <v>10</v>
      </c>
      <c r="H664" t="s">
        <v>1107</v>
      </c>
      <c r="I664" t="s">
        <v>30</v>
      </c>
      <c r="J664" t="s">
        <v>54</v>
      </c>
      <c r="K664" t="s">
        <v>10</v>
      </c>
      <c r="L664" t="s">
        <v>10</v>
      </c>
      <c r="M664" t="s">
        <v>10</v>
      </c>
      <c r="N664" t="s">
        <v>57</v>
      </c>
      <c r="O664" t="str">
        <f>INDEX(CoverageTable[Deductible Applies],MATCH(Table1820[[#This Row],[Coverage]],CoverageTable[Coverage],0))</f>
        <v>No</v>
      </c>
      <c r="P664" t="str">
        <f>INDEX(CoverageTable[Coverage Limit Applies],MATCH(Table1820[[#This Row],[Coverage]],CoverageTable[Coverage],0))</f>
        <v>Yes</v>
      </c>
      <c r="Q664" t="s">
        <v>10</v>
      </c>
      <c r="R664" t="s">
        <v>80</v>
      </c>
      <c r="S664" t="s">
        <v>10</v>
      </c>
      <c r="T664" t="s">
        <v>57</v>
      </c>
      <c r="U664" t="s">
        <v>57</v>
      </c>
      <c r="V664" t="s">
        <v>10</v>
      </c>
      <c r="W664" t="s">
        <v>10</v>
      </c>
      <c r="X664" s="11">
        <v>188.18207446532728</v>
      </c>
      <c r="Y664">
        <f>_xlfn.XLOOKUP(Table1820[[#This Row],[Coverage]],CoverageTable[Coverage],CoverageTable[Base Rate],,0)</f>
        <v>78</v>
      </c>
      <c r="Z664">
        <f>INDEX(Table16[Ageband Factor],MATCH(Table1820[[#This Row],[Ageband]],Table16[Ageband],0))</f>
        <v>1.1200000000000001</v>
      </c>
      <c r="AA664">
        <f>VLOOKUP(Table1820[[#This Row],[Years Driving]],Table1[],2)</f>
        <v>1.22</v>
      </c>
      <c r="AB664">
        <f>_xlfn.XLOOKUP(Table1820[[#This Row],[At Fault Accidents]],Table2[At Fault Accidents],Table2[At Fault Accident Factor],,0)</f>
        <v>1</v>
      </c>
      <c r="AC664">
        <f>_xlfn.XLOOKUP(Table1820[[#This Row],[Usage-Based Insurance]],Table3[Usage-Based Insurance],Table3[Usage-Based Insurance Discount],,0)</f>
        <v>1</v>
      </c>
      <c r="AD664">
        <f>_xlfn.XLOOKUP(Table1820[[#This Row],[Yearly Miles]],Table4[Yearly Miles],Table4[Yearly Miles Factor],,0)</f>
        <v>0.93</v>
      </c>
      <c r="AE664">
        <f>_xlfn.XLOOKUP(Table1820[[#This Row],[City/Zip Code]],Table5[City/Zip Code],Table5[City/Zip Code Factor],,0)</f>
        <v>1.02</v>
      </c>
      <c r="AF664">
        <f>_xlfn.XLOOKUP(Table1820[[#This Row],[Vehicle Price]],Table6[Vehicle Price],Table6[Vehicle Price Factor])</f>
        <v>2.87</v>
      </c>
      <c r="AG664">
        <f>_xlfn.XLOOKUP(Table1820[[#This Row],[Exotic Car]],Table7[Exotic Car],Table7[Exotic Car Factor],,0)</f>
        <v>1</v>
      </c>
      <c r="AH664">
        <f>_xlfn.XLOOKUP(Table1820[[#This Row],[Difficult Parts]],Table8[Difficult Parts],Table8[Difficult Parts Factor],,0)</f>
        <v>1</v>
      </c>
      <c r="AI664">
        <f>_xlfn.XLOOKUP(Table1820[[#This Row],[High Theft Rate]],Table9[High Theft Rate],Table9[High Theft Rate Factor],,0)</f>
        <v>1</v>
      </c>
      <c r="AJ664">
        <f>_xlfn.XLOOKUP(Table1820[[#This Row],[Advanced Safety Features]],Table10[Advanced Safety Features],Table10[Advanced Safety Features Factor],,0)</f>
        <v>0.88</v>
      </c>
      <c r="AK664">
        <f>_xlfn.XLOOKUP(Table1820[[#This Row],[Deductible]],Table12[Deductible],Table12[Deductible Factor],,0)</f>
        <v>1</v>
      </c>
      <c r="AL664">
        <f>_xlfn.XLOOKUP(Table1820[[#This Row],[Coverage Limit]],Table13[Coverage Limit],Table13[Coverage Limit Factor],,0)</f>
        <v>0.84</v>
      </c>
      <c r="AM664">
        <f>IF(Table1820[[#This Row],[Good Student Discount]]="Yes",'Rate Book'!$D$126,1)</f>
        <v>1</v>
      </c>
      <c r="AN664">
        <f>IF(Table1820[[#This Row],[Good Driver Discount]]="Yes",'Rate Book'!$D$127,1)</f>
        <v>0.89</v>
      </c>
      <c r="AO664">
        <f>IF(Table1820[[#This Row],[Multi Policy Discount]]="Yes",'Rate Book'!$D$128,1)</f>
        <v>0.93</v>
      </c>
      <c r="AP664">
        <f>IF(Table1820[[#This Row],[Loyal Customer Discount]]="Yes",'Rate Book'!$D$129,1)</f>
        <v>1</v>
      </c>
      <c r="AQ664">
        <f>IF(Table1820[[#This Row],[Organization Discount]]="Yes",'Rate Book'!$D$130,1)</f>
        <v>1</v>
      </c>
      <c r="AR664" cm="1">
        <f t="array" ref="AR664">IF(Table1820[[#This Row],[Effective Date]]&gt;=RateChangeTable[Effective Date],RateChangeTable[Rate Change Factor],1)</f>
        <v>1.06</v>
      </c>
      <c r="AS664" s="10">
        <f>PRODUCT(Table1820[[#This Row],[Base Rate]:[Rate Change Factor]])</f>
        <v>188.18207446532728</v>
      </c>
      <c r="AT664" s="9">
        <f>Table1820[[#This Row],[System-Generated Premium]]-Table1820[[#This Row],[Expected Premium]]</f>
        <v>0</v>
      </c>
      <c r="AU664" t="str">
        <f>IF(Table1820[[#This Row],[Difference]]=0,"PASS","FAIL")</f>
        <v>PASS</v>
      </c>
      <c r="AV664" s="9">
        <f>ABS(Table1820[[#This Row],[Difference]])</f>
        <v>0</v>
      </c>
      <c r="AW664" s="9" t="s">
        <v>1136</v>
      </c>
    </row>
    <row r="665" spans="1:49" x14ac:dyDescent="0.3">
      <c r="A665" t="s">
        <v>756</v>
      </c>
      <c r="B665" s="7">
        <v>45846</v>
      </c>
      <c r="C665" t="s">
        <v>74</v>
      </c>
      <c r="D665" t="s">
        <v>1102</v>
      </c>
      <c r="E665" s="3">
        <v>6</v>
      </c>
      <c r="F665" s="3">
        <v>0</v>
      </c>
      <c r="G665" t="s">
        <v>12</v>
      </c>
      <c r="H665" t="s">
        <v>1107</v>
      </c>
      <c r="I665" t="s">
        <v>42</v>
      </c>
      <c r="J665" t="s">
        <v>50</v>
      </c>
      <c r="K665" t="s">
        <v>10</v>
      </c>
      <c r="L665" t="s">
        <v>10</v>
      </c>
      <c r="M665" t="s">
        <v>10</v>
      </c>
      <c r="N665" t="s">
        <v>57</v>
      </c>
      <c r="O665" t="str">
        <f>INDEX(CoverageTable[Deductible Applies],MATCH(Table1820[[#This Row],[Coverage]],CoverageTable[Coverage],0))</f>
        <v>No</v>
      </c>
      <c r="P665" t="str">
        <f>INDEX(CoverageTable[Coverage Limit Applies],MATCH(Table1820[[#This Row],[Coverage]],CoverageTable[Coverage],0))</f>
        <v>Yes</v>
      </c>
      <c r="Q665" t="s">
        <v>10</v>
      </c>
      <c r="R665" t="s">
        <v>80</v>
      </c>
      <c r="S665" t="s">
        <v>57</v>
      </c>
      <c r="T665" t="s">
        <v>10</v>
      </c>
      <c r="U665" t="s">
        <v>57</v>
      </c>
      <c r="V665" t="s">
        <v>10</v>
      </c>
      <c r="W665" t="s">
        <v>10</v>
      </c>
      <c r="X665" s="11">
        <v>32.018602542360711</v>
      </c>
      <c r="Y665">
        <f>_xlfn.XLOOKUP(Table1820[[#This Row],[Coverage]],CoverageTable[Coverage],CoverageTable[Base Rate],,0)</f>
        <v>41</v>
      </c>
      <c r="Z665">
        <f>INDEX(Table16[Ageband Factor],MATCH(Table1820[[#This Row],[Ageband]],Table16[Ageband],0))</f>
        <v>1.27</v>
      </c>
      <c r="AA665">
        <f>VLOOKUP(Table1820[[#This Row],[Years Driving]],Table1[],2)</f>
        <v>1</v>
      </c>
      <c r="AB665">
        <f>_xlfn.XLOOKUP(Table1820[[#This Row],[At Fault Accidents]],Table2[At Fault Accidents],Table2[At Fault Accident Factor],,0)</f>
        <v>1</v>
      </c>
      <c r="AC665">
        <f>_xlfn.XLOOKUP(Table1820[[#This Row],[Usage-Based Insurance]],Table3[Usage-Based Insurance],Table3[Usage-Based Insurance Discount],,0)</f>
        <v>0.8</v>
      </c>
      <c r="AD665">
        <f>_xlfn.XLOOKUP(Table1820[[#This Row],[Yearly Miles]],Table4[Yearly Miles],Table4[Yearly Miles Factor],,0)</f>
        <v>0.93</v>
      </c>
      <c r="AE665">
        <f>_xlfn.XLOOKUP(Table1820[[#This Row],[City/Zip Code]],Table5[City/Zip Code],Table5[City/Zip Code Factor],,0)</f>
        <v>1.21</v>
      </c>
      <c r="AF665">
        <f>_xlfn.XLOOKUP(Table1820[[#This Row],[Vehicle Price]],Table6[Vehicle Price],Table6[Vehicle Price Factor])</f>
        <v>1.08</v>
      </c>
      <c r="AG665">
        <f>_xlfn.XLOOKUP(Table1820[[#This Row],[Exotic Car]],Table7[Exotic Car],Table7[Exotic Car Factor],,0)</f>
        <v>1</v>
      </c>
      <c r="AH665">
        <f>_xlfn.XLOOKUP(Table1820[[#This Row],[Difficult Parts]],Table8[Difficult Parts],Table8[Difficult Parts Factor],,0)</f>
        <v>1</v>
      </c>
      <c r="AI665">
        <f>_xlfn.XLOOKUP(Table1820[[#This Row],[High Theft Rate]],Table9[High Theft Rate],Table9[High Theft Rate Factor],,0)</f>
        <v>1</v>
      </c>
      <c r="AJ665">
        <f>_xlfn.XLOOKUP(Table1820[[#This Row],[Advanced Safety Features]],Table10[Advanced Safety Features],Table10[Advanced Safety Features Factor],,0)</f>
        <v>0.88</v>
      </c>
      <c r="AK665">
        <f>_xlfn.XLOOKUP(Table1820[[#This Row],[Deductible]],Table12[Deductible],Table12[Deductible Factor],,0)</f>
        <v>1</v>
      </c>
      <c r="AL665">
        <f>_xlfn.XLOOKUP(Table1820[[#This Row],[Coverage Limit]],Table13[Coverage Limit],Table13[Coverage Limit Factor],,0)</f>
        <v>0.84</v>
      </c>
      <c r="AM665">
        <f>IF(Table1820[[#This Row],[Good Student Discount]]="Yes",'Rate Book'!$D$126,1)</f>
        <v>0.92</v>
      </c>
      <c r="AN665">
        <f>IF(Table1820[[#This Row],[Good Driver Discount]]="Yes",'Rate Book'!$D$127,1)</f>
        <v>1</v>
      </c>
      <c r="AO665">
        <f>IF(Table1820[[#This Row],[Multi Policy Discount]]="Yes",'Rate Book'!$D$128,1)</f>
        <v>0.93</v>
      </c>
      <c r="AP665">
        <f>IF(Table1820[[#This Row],[Loyal Customer Discount]]="Yes",'Rate Book'!$D$129,1)</f>
        <v>1</v>
      </c>
      <c r="AQ665">
        <f>IF(Table1820[[#This Row],[Organization Discount]]="Yes",'Rate Book'!$D$130,1)</f>
        <v>1</v>
      </c>
      <c r="AR665" cm="1">
        <f t="array" ref="AR665">IF(Table1820[[#This Row],[Effective Date]]&gt;=RateChangeTable[Effective Date],RateChangeTable[Rate Change Factor],1)</f>
        <v>1</v>
      </c>
      <c r="AS665" s="10">
        <f>PRODUCT(Table1820[[#This Row],[Base Rate]:[Rate Change Factor]])</f>
        <v>32.018602542360711</v>
      </c>
      <c r="AT665" s="9">
        <f>Table1820[[#This Row],[System-Generated Premium]]-Table1820[[#This Row],[Expected Premium]]</f>
        <v>0</v>
      </c>
      <c r="AU665" t="str">
        <f>IF(Table1820[[#This Row],[Difference]]=0,"PASS","FAIL")</f>
        <v>PASS</v>
      </c>
      <c r="AV665" s="9">
        <f>ABS(Table1820[[#This Row],[Difference]])</f>
        <v>0</v>
      </c>
      <c r="AW665" s="9" t="s">
        <v>1136</v>
      </c>
    </row>
    <row r="666" spans="1:49" x14ac:dyDescent="0.3">
      <c r="A666" t="s">
        <v>757</v>
      </c>
      <c r="B666" s="7">
        <v>46119</v>
      </c>
      <c r="C666" t="s">
        <v>72</v>
      </c>
      <c r="D666" t="s">
        <v>1101</v>
      </c>
      <c r="E666" s="3">
        <v>2</v>
      </c>
      <c r="F666" s="3">
        <v>0</v>
      </c>
      <c r="G666" t="s">
        <v>12</v>
      </c>
      <c r="H666" t="s">
        <v>1106</v>
      </c>
      <c r="I666" t="s">
        <v>43</v>
      </c>
      <c r="J666" t="s">
        <v>51</v>
      </c>
      <c r="K666" t="s">
        <v>10</v>
      </c>
      <c r="L666" t="s">
        <v>10</v>
      </c>
      <c r="M666" t="s">
        <v>57</v>
      </c>
      <c r="N666" t="s">
        <v>10</v>
      </c>
      <c r="O666" t="str">
        <f>INDEX(CoverageTable[Deductible Applies],MATCH(Table1820[[#This Row],[Coverage]],CoverageTable[Coverage],0))</f>
        <v>Yes</v>
      </c>
      <c r="P666" t="str">
        <f>INDEX(CoverageTable[Coverage Limit Applies],MATCH(Table1820[[#This Row],[Coverage]],CoverageTable[Coverage],0))</f>
        <v>No</v>
      </c>
      <c r="Q666" t="s">
        <v>78</v>
      </c>
      <c r="R666" t="s">
        <v>10</v>
      </c>
      <c r="S666" t="s">
        <v>57</v>
      </c>
      <c r="T666" t="s">
        <v>10</v>
      </c>
      <c r="U666" t="s">
        <v>10</v>
      </c>
      <c r="V666" t="s">
        <v>57</v>
      </c>
      <c r="W666" t="s">
        <v>10</v>
      </c>
      <c r="X666" s="11">
        <v>191.25881590172787</v>
      </c>
      <c r="Y666">
        <f>_xlfn.XLOOKUP(Table1820[[#This Row],[Coverage]],CoverageTable[Coverage],CoverageTable[Base Rate],,0)</f>
        <v>121</v>
      </c>
      <c r="Z666">
        <f>INDEX(Table16[Ageband Factor],MATCH(Table1820[[#This Row],[Ageband]],Table16[Ageband],0))</f>
        <v>1.1200000000000001</v>
      </c>
      <c r="AA666">
        <f>VLOOKUP(Table1820[[#This Row],[Years Driving]],Table1[],2)</f>
        <v>1.41</v>
      </c>
      <c r="AB666">
        <f>_xlfn.XLOOKUP(Table1820[[#This Row],[At Fault Accidents]],Table2[At Fault Accidents],Table2[At Fault Accident Factor],,0)</f>
        <v>1</v>
      </c>
      <c r="AC666">
        <f>_xlfn.XLOOKUP(Table1820[[#This Row],[Usage-Based Insurance]],Table3[Usage-Based Insurance],Table3[Usage-Based Insurance Discount],,0)</f>
        <v>0.8</v>
      </c>
      <c r="AD666">
        <f>_xlfn.XLOOKUP(Table1820[[#This Row],[Yearly Miles]],Table4[Yearly Miles],Table4[Yearly Miles Factor],,0)</f>
        <v>0.82</v>
      </c>
      <c r="AE666">
        <f>_xlfn.XLOOKUP(Table1820[[#This Row],[City/Zip Code]],Table5[City/Zip Code],Table5[City/Zip Code Factor],,0)</f>
        <v>1.18</v>
      </c>
      <c r="AF666">
        <f>_xlfn.XLOOKUP(Table1820[[#This Row],[Vehicle Price]],Table6[Vehicle Price],Table6[Vehicle Price Factor])</f>
        <v>1.28</v>
      </c>
      <c r="AG666">
        <f>_xlfn.XLOOKUP(Table1820[[#This Row],[Exotic Car]],Table7[Exotic Car],Table7[Exotic Car Factor],,0)</f>
        <v>1</v>
      </c>
      <c r="AH666">
        <f>_xlfn.XLOOKUP(Table1820[[#This Row],[Difficult Parts]],Table8[Difficult Parts],Table8[Difficult Parts Factor],,0)</f>
        <v>1</v>
      </c>
      <c r="AI666">
        <f>_xlfn.XLOOKUP(Table1820[[#This Row],[High Theft Rate]],Table9[High Theft Rate],Table9[High Theft Rate Factor],,0)</f>
        <v>1.1599999999999999</v>
      </c>
      <c r="AJ666">
        <f>_xlfn.XLOOKUP(Table1820[[#This Row],[Advanced Safety Features]],Table10[Advanced Safety Features],Table10[Advanced Safety Features Factor],,0)</f>
        <v>1</v>
      </c>
      <c r="AK666">
        <f>_xlfn.XLOOKUP(Table1820[[#This Row],[Deductible]],Table12[Deductible],Table12[Deductible Factor],,0)</f>
        <v>0.95</v>
      </c>
      <c r="AL666">
        <f>_xlfn.XLOOKUP(Table1820[[#This Row],[Coverage Limit]],Table13[Coverage Limit],Table13[Coverage Limit Factor],,0)</f>
        <v>1</v>
      </c>
      <c r="AM666">
        <f>IF(Table1820[[#This Row],[Good Student Discount]]="Yes",'Rate Book'!$D$126,1)</f>
        <v>0.92</v>
      </c>
      <c r="AN666">
        <f>IF(Table1820[[#This Row],[Good Driver Discount]]="Yes",'Rate Book'!$D$127,1)</f>
        <v>1</v>
      </c>
      <c r="AO666">
        <f>IF(Table1820[[#This Row],[Multi Policy Discount]]="Yes",'Rate Book'!$D$128,1)</f>
        <v>1</v>
      </c>
      <c r="AP666">
        <f>IF(Table1820[[#This Row],[Loyal Customer Discount]]="Yes",'Rate Book'!$D$129,1)</f>
        <v>0.94</v>
      </c>
      <c r="AQ666">
        <f>IF(Table1820[[#This Row],[Organization Discount]]="Yes",'Rate Book'!$D$130,1)</f>
        <v>1</v>
      </c>
      <c r="AR666" cm="1">
        <f t="array" ref="AR666">IF(Table1820[[#This Row],[Effective Date]]&gt;=RateChangeTable[Effective Date],RateChangeTable[Rate Change Factor],1)</f>
        <v>1.06</v>
      </c>
      <c r="AS666" s="10">
        <f>PRODUCT(Table1820[[#This Row],[Base Rate]:[Rate Change Factor]])</f>
        <v>191.25881590172787</v>
      </c>
      <c r="AT666" s="9">
        <f>Table1820[[#This Row],[System-Generated Premium]]-Table1820[[#This Row],[Expected Premium]]</f>
        <v>0</v>
      </c>
      <c r="AU666" t="str">
        <f>IF(Table1820[[#This Row],[Difference]]=0,"PASS","FAIL")</f>
        <v>PASS</v>
      </c>
      <c r="AV666" s="9">
        <f>ABS(Table1820[[#This Row],[Difference]])</f>
        <v>0</v>
      </c>
      <c r="AW666" s="9" t="s">
        <v>1136</v>
      </c>
    </row>
    <row r="667" spans="1:49" x14ac:dyDescent="0.3">
      <c r="A667" t="s">
        <v>758</v>
      </c>
      <c r="B667" s="7">
        <v>45821</v>
      </c>
      <c r="C667" t="s">
        <v>71</v>
      </c>
      <c r="D667" t="s">
        <v>1099</v>
      </c>
      <c r="E667" s="3">
        <v>7</v>
      </c>
      <c r="F667" s="3">
        <v>0</v>
      </c>
      <c r="G667" t="s">
        <v>10</v>
      </c>
      <c r="H667" t="s">
        <v>1108</v>
      </c>
      <c r="I667" t="s">
        <v>43</v>
      </c>
      <c r="J667" t="s">
        <v>52</v>
      </c>
      <c r="K667" t="s">
        <v>10</v>
      </c>
      <c r="L667" t="s">
        <v>10</v>
      </c>
      <c r="M667" t="s">
        <v>10</v>
      </c>
      <c r="N667" t="s">
        <v>57</v>
      </c>
      <c r="O667" t="str">
        <f>INDEX(CoverageTable[Deductible Applies],MATCH(Table1820[[#This Row],[Coverage]],CoverageTable[Coverage],0))</f>
        <v>Yes</v>
      </c>
      <c r="P667" t="str">
        <f>INDEX(CoverageTable[Coverage Limit Applies],MATCH(Table1820[[#This Row],[Coverage]],CoverageTable[Coverage],0))</f>
        <v>No</v>
      </c>
      <c r="Q667" t="s">
        <v>78</v>
      </c>
      <c r="R667" t="s">
        <v>10</v>
      </c>
      <c r="S667" t="s">
        <v>10</v>
      </c>
      <c r="T667" t="s">
        <v>10</v>
      </c>
      <c r="U667" t="s">
        <v>10</v>
      </c>
      <c r="V667" t="s">
        <v>10</v>
      </c>
      <c r="W667" t="s">
        <v>10</v>
      </c>
      <c r="X667" s="11">
        <v>666.51471875999994</v>
      </c>
      <c r="Y667">
        <f>_xlfn.XLOOKUP(Table1820[[#This Row],[Coverage]],CoverageTable[Coverage],CoverageTable[Base Rate],,0)</f>
        <v>453</v>
      </c>
      <c r="Z667">
        <f>INDEX(Table16[Ageband Factor],MATCH(Table1820[[#This Row],[Ageband]],Table16[Ageband],0))</f>
        <v>1</v>
      </c>
      <c r="AA667">
        <f>VLOOKUP(Table1820[[#This Row],[Years Driving]],Table1[],2)</f>
        <v>0.95</v>
      </c>
      <c r="AB667">
        <f>_xlfn.XLOOKUP(Table1820[[#This Row],[At Fault Accidents]],Table2[At Fault Accidents],Table2[At Fault Accident Factor],,0)</f>
        <v>1</v>
      </c>
      <c r="AC667">
        <f>_xlfn.XLOOKUP(Table1820[[#This Row],[Usage-Based Insurance]],Table3[Usage-Based Insurance],Table3[Usage-Based Insurance Discount],,0)</f>
        <v>1</v>
      </c>
      <c r="AD667">
        <f>_xlfn.XLOOKUP(Table1820[[#This Row],[Yearly Miles]],Table4[Yearly Miles],Table4[Yearly Miles Factor],,0)</f>
        <v>1</v>
      </c>
      <c r="AE667">
        <f>_xlfn.XLOOKUP(Table1820[[#This Row],[City/Zip Code]],Table5[City/Zip Code],Table5[City/Zip Code Factor],,0)</f>
        <v>1.18</v>
      </c>
      <c r="AF667">
        <f>_xlfn.XLOOKUP(Table1820[[#This Row],[Vehicle Price]],Table6[Vehicle Price],Table6[Vehicle Price Factor])</f>
        <v>1.57</v>
      </c>
      <c r="AG667">
        <f>_xlfn.XLOOKUP(Table1820[[#This Row],[Exotic Car]],Table7[Exotic Car],Table7[Exotic Car Factor],,0)</f>
        <v>1</v>
      </c>
      <c r="AH667">
        <f>_xlfn.XLOOKUP(Table1820[[#This Row],[Difficult Parts]],Table8[Difficult Parts],Table8[Difficult Parts Factor],,0)</f>
        <v>1</v>
      </c>
      <c r="AI667">
        <f>_xlfn.XLOOKUP(Table1820[[#This Row],[High Theft Rate]],Table9[High Theft Rate],Table9[High Theft Rate Factor],,0)</f>
        <v>1</v>
      </c>
      <c r="AJ667">
        <f>_xlfn.XLOOKUP(Table1820[[#This Row],[Advanced Safety Features]],Table10[Advanced Safety Features],Table10[Advanced Safety Features Factor],,0)</f>
        <v>0.88</v>
      </c>
      <c r="AK667">
        <f>_xlfn.XLOOKUP(Table1820[[#This Row],[Deductible]],Table12[Deductible],Table12[Deductible Factor],,0)</f>
        <v>0.95</v>
      </c>
      <c r="AL667">
        <f>_xlfn.XLOOKUP(Table1820[[#This Row],[Coverage Limit]],Table13[Coverage Limit],Table13[Coverage Limit Factor],,0)</f>
        <v>1</v>
      </c>
      <c r="AM667">
        <f>IF(Table1820[[#This Row],[Good Student Discount]]="Yes",'Rate Book'!$D$126,1)</f>
        <v>1</v>
      </c>
      <c r="AN667">
        <f>IF(Table1820[[#This Row],[Good Driver Discount]]="Yes",'Rate Book'!$D$127,1)</f>
        <v>1</v>
      </c>
      <c r="AO667">
        <f>IF(Table1820[[#This Row],[Multi Policy Discount]]="Yes",'Rate Book'!$D$128,1)</f>
        <v>1</v>
      </c>
      <c r="AP667">
        <f>IF(Table1820[[#This Row],[Loyal Customer Discount]]="Yes",'Rate Book'!$D$129,1)</f>
        <v>1</v>
      </c>
      <c r="AQ667">
        <f>IF(Table1820[[#This Row],[Organization Discount]]="Yes",'Rate Book'!$D$130,1)</f>
        <v>1</v>
      </c>
      <c r="AR667" cm="1">
        <f t="array" ref="AR667">IF(Table1820[[#This Row],[Effective Date]]&gt;=RateChangeTable[Effective Date],RateChangeTable[Rate Change Factor],1)</f>
        <v>1</v>
      </c>
      <c r="AS667" s="10">
        <f>PRODUCT(Table1820[[#This Row],[Base Rate]:[Rate Change Factor]])</f>
        <v>666.51471875999994</v>
      </c>
      <c r="AT667" s="9">
        <f>Table1820[[#This Row],[System-Generated Premium]]-Table1820[[#This Row],[Expected Premium]]</f>
        <v>0</v>
      </c>
      <c r="AU667" t="str">
        <f>IF(Table1820[[#This Row],[Difference]]=0,"PASS","FAIL")</f>
        <v>PASS</v>
      </c>
      <c r="AV667" s="9">
        <f>ABS(Table1820[[#This Row],[Difference]])</f>
        <v>0</v>
      </c>
      <c r="AW667" s="9" t="s">
        <v>1136</v>
      </c>
    </row>
    <row r="668" spans="1:49" x14ac:dyDescent="0.3">
      <c r="A668" t="s">
        <v>759</v>
      </c>
      <c r="B668" s="7">
        <v>45966</v>
      </c>
      <c r="C668" t="s">
        <v>71</v>
      </c>
      <c r="D668" t="s">
        <v>1098</v>
      </c>
      <c r="E668" s="3">
        <v>6</v>
      </c>
      <c r="F668" s="3">
        <v>1</v>
      </c>
      <c r="G668" t="s">
        <v>11</v>
      </c>
      <c r="H668" t="s">
        <v>1108</v>
      </c>
      <c r="I668" t="s">
        <v>23</v>
      </c>
      <c r="J668" t="s">
        <v>50</v>
      </c>
      <c r="K668" t="s">
        <v>10</v>
      </c>
      <c r="L668" t="s">
        <v>10</v>
      </c>
      <c r="M668" t="s">
        <v>57</v>
      </c>
      <c r="N668" t="s">
        <v>10</v>
      </c>
      <c r="O668" t="str">
        <f>INDEX(CoverageTable[Deductible Applies],MATCH(Table1820[[#This Row],[Coverage]],CoverageTable[Coverage],0))</f>
        <v>Yes</v>
      </c>
      <c r="P668" t="str">
        <f>INDEX(CoverageTable[Coverage Limit Applies],MATCH(Table1820[[#This Row],[Coverage]],CoverageTable[Coverage],0))</f>
        <v>No</v>
      </c>
      <c r="Q668" t="s">
        <v>80</v>
      </c>
      <c r="R668" t="s">
        <v>10</v>
      </c>
      <c r="S668" t="s">
        <v>10</v>
      </c>
      <c r="T668" t="s">
        <v>10</v>
      </c>
      <c r="U668" t="s">
        <v>10</v>
      </c>
      <c r="V668" t="s">
        <v>10</v>
      </c>
      <c r="W668" t="s">
        <v>57</v>
      </c>
      <c r="X668" s="11">
        <v>570.95978454167505</v>
      </c>
      <c r="Y668">
        <f>_xlfn.XLOOKUP(Table1820[[#This Row],[Coverage]],CoverageTable[Coverage],CoverageTable[Base Rate],,0)</f>
        <v>453</v>
      </c>
      <c r="Z668">
        <f>INDEX(Table16[Ageband Factor],MATCH(Table1820[[#This Row],[Ageband]],Table16[Ageband],0))</f>
        <v>1.23</v>
      </c>
      <c r="AA668">
        <f>VLOOKUP(Table1820[[#This Row],[Years Driving]],Table1[],2)</f>
        <v>1</v>
      </c>
      <c r="AB668">
        <f>_xlfn.XLOOKUP(Table1820[[#This Row],[At Fault Accidents]],Table2[At Fault Accidents],Table2[At Fault Accident Factor],,0)</f>
        <v>1.34</v>
      </c>
      <c r="AC668">
        <f>_xlfn.XLOOKUP(Table1820[[#This Row],[Usage-Based Insurance]],Table3[Usage-Based Insurance],Table3[Usage-Based Insurance Discount],,0)</f>
        <v>0.95</v>
      </c>
      <c r="AD668">
        <f>_xlfn.XLOOKUP(Table1820[[#This Row],[Yearly Miles]],Table4[Yearly Miles],Table4[Yearly Miles Factor],,0)</f>
        <v>1</v>
      </c>
      <c r="AE668">
        <f>_xlfn.XLOOKUP(Table1820[[#This Row],[City/Zip Code]],Table5[City/Zip Code],Table5[City/Zip Code Factor],,0)</f>
        <v>0.92</v>
      </c>
      <c r="AF668">
        <f>_xlfn.XLOOKUP(Table1820[[#This Row],[Vehicle Price]],Table6[Vehicle Price],Table6[Vehicle Price Factor])</f>
        <v>1.08</v>
      </c>
      <c r="AG668">
        <f>_xlfn.XLOOKUP(Table1820[[#This Row],[Exotic Car]],Table7[Exotic Car],Table7[Exotic Car Factor],,0)</f>
        <v>1</v>
      </c>
      <c r="AH668">
        <f>_xlfn.XLOOKUP(Table1820[[#This Row],[Difficult Parts]],Table8[Difficult Parts],Table8[Difficult Parts Factor],,0)</f>
        <v>1</v>
      </c>
      <c r="AI668">
        <f>_xlfn.XLOOKUP(Table1820[[#This Row],[High Theft Rate]],Table9[High Theft Rate],Table9[High Theft Rate Factor],,0)</f>
        <v>1.1599999999999999</v>
      </c>
      <c r="AJ668">
        <f>_xlfn.XLOOKUP(Table1820[[#This Row],[Advanced Safety Features]],Table10[Advanced Safety Features],Table10[Advanced Safety Features Factor],,0)</f>
        <v>1</v>
      </c>
      <c r="AK668">
        <f>_xlfn.XLOOKUP(Table1820[[#This Row],[Deductible]],Table12[Deductible],Table12[Deductible Factor],,0)</f>
        <v>0.72</v>
      </c>
      <c r="AL668">
        <f>_xlfn.XLOOKUP(Table1820[[#This Row],[Coverage Limit]],Table13[Coverage Limit],Table13[Coverage Limit Factor],,0)</f>
        <v>1</v>
      </c>
      <c r="AM668">
        <f>IF(Table1820[[#This Row],[Good Student Discount]]="Yes",'Rate Book'!$D$126,1)</f>
        <v>1</v>
      </c>
      <c r="AN668">
        <f>IF(Table1820[[#This Row],[Good Driver Discount]]="Yes",'Rate Book'!$D$127,1)</f>
        <v>1</v>
      </c>
      <c r="AO668">
        <f>IF(Table1820[[#This Row],[Multi Policy Discount]]="Yes",'Rate Book'!$D$128,1)</f>
        <v>1</v>
      </c>
      <c r="AP668">
        <f>IF(Table1820[[#This Row],[Loyal Customer Discount]]="Yes",'Rate Book'!$D$129,1)</f>
        <v>1</v>
      </c>
      <c r="AQ668">
        <f>IF(Table1820[[#This Row],[Organization Discount]]="Yes",'Rate Book'!$D$130,1)</f>
        <v>0.97</v>
      </c>
      <c r="AR668" cm="1">
        <f t="array" ref="AR668">IF(Table1820[[#This Row],[Effective Date]]&gt;=RateChangeTable[Effective Date],RateChangeTable[Rate Change Factor],1)</f>
        <v>1</v>
      </c>
      <c r="AS668" s="10">
        <f>PRODUCT(Table1820[[#This Row],[Base Rate]:[Rate Change Factor]])</f>
        <v>570.95978454167505</v>
      </c>
      <c r="AT668" s="9">
        <f>Table1820[[#This Row],[System-Generated Premium]]-Table1820[[#This Row],[Expected Premium]]</f>
        <v>0</v>
      </c>
      <c r="AU668" t="str">
        <f>IF(Table1820[[#This Row],[Difference]]=0,"PASS","FAIL")</f>
        <v>PASS</v>
      </c>
      <c r="AV668" s="9">
        <f>ABS(Table1820[[#This Row],[Difference]])</f>
        <v>0</v>
      </c>
      <c r="AW668" s="9" t="s">
        <v>1136</v>
      </c>
    </row>
    <row r="669" spans="1:49" x14ac:dyDescent="0.3">
      <c r="A669" t="s">
        <v>760</v>
      </c>
      <c r="B669" s="7">
        <v>45869</v>
      </c>
      <c r="C669" t="s">
        <v>71</v>
      </c>
      <c r="D669" t="s">
        <v>1098</v>
      </c>
      <c r="E669" s="3">
        <v>2</v>
      </c>
      <c r="F669" s="3">
        <v>4</v>
      </c>
      <c r="G669" t="s">
        <v>12</v>
      </c>
      <c r="H669" t="s">
        <v>1108</v>
      </c>
      <c r="I669" t="s">
        <v>30</v>
      </c>
      <c r="J669" t="s">
        <v>50</v>
      </c>
      <c r="K669" t="s">
        <v>10</v>
      </c>
      <c r="L669" t="s">
        <v>10</v>
      </c>
      <c r="M669" t="s">
        <v>10</v>
      </c>
      <c r="N669" t="s">
        <v>57</v>
      </c>
      <c r="O669" t="str">
        <f>INDEX(CoverageTable[Deductible Applies],MATCH(Table1820[[#This Row],[Coverage]],CoverageTable[Coverage],0))</f>
        <v>Yes</v>
      </c>
      <c r="P669" t="str">
        <f>INDEX(CoverageTable[Coverage Limit Applies],MATCH(Table1820[[#This Row],[Coverage]],CoverageTable[Coverage],0))</f>
        <v>No</v>
      </c>
      <c r="Q669" t="s">
        <v>79</v>
      </c>
      <c r="R669" t="s">
        <v>10</v>
      </c>
      <c r="S669" t="s">
        <v>10</v>
      </c>
      <c r="T669" t="s">
        <v>10</v>
      </c>
      <c r="U669" t="s">
        <v>10</v>
      </c>
      <c r="V669" t="s">
        <v>10</v>
      </c>
      <c r="W669" t="s">
        <v>10</v>
      </c>
      <c r="X669" s="11">
        <v>1085.0110458230292</v>
      </c>
      <c r="Y669">
        <f>_xlfn.XLOOKUP(Table1820[[#This Row],[Coverage]],CoverageTable[Coverage],CoverageTable[Base Rate],,0)</f>
        <v>453</v>
      </c>
      <c r="Z669">
        <f>INDEX(Table16[Ageband Factor],MATCH(Table1820[[#This Row],[Ageband]],Table16[Ageband],0))</f>
        <v>1.23</v>
      </c>
      <c r="AA669">
        <f>VLOOKUP(Table1820[[#This Row],[Years Driving]],Table1[],2)</f>
        <v>1.41</v>
      </c>
      <c r="AB669">
        <f>_xlfn.XLOOKUP(Table1820[[#This Row],[At Fault Accidents]],Table2[At Fault Accidents],Table2[At Fault Accident Factor],,0)</f>
        <v>2.12</v>
      </c>
      <c r="AC669">
        <f>_xlfn.XLOOKUP(Table1820[[#This Row],[Usage-Based Insurance]],Table3[Usage-Based Insurance],Table3[Usage-Based Insurance Discount],,0)</f>
        <v>0.8</v>
      </c>
      <c r="AD669">
        <f>_xlfn.XLOOKUP(Table1820[[#This Row],[Yearly Miles]],Table4[Yearly Miles],Table4[Yearly Miles Factor],,0)</f>
        <v>1</v>
      </c>
      <c r="AE669">
        <f>_xlfn.XLOOKUP(Table1820[[#This Row],[City/Zip Code]],Table5[City/Zip Code],Table5[City/Zip Code Factor],,0)</f>
        <v>1.02</v>
      </c>
      <c r="AF669">
        <f>_xlfn.XLOOKUP(Table1820[[#This Row],[Vehicle Price]],Table6[Vehicle Price],Table6[Vehicle Price Factor])</f>
        <v>1.08</v>
      </c>
      <c r="AG669">
        <f>_xlfn.XLOOKUP(Table1820[[#This Row],[Exotic Car]],Table7[Exotic Car],Table7[Exotic Car Factor],,0)</f>
        <v>1</v>
      </c>
      <c r="AH669">
        <f>_xlfn.XLOOKUP(Table1820[[#This Row],[Difficult Parts]],Table8[Difficult Parts],Table8[Difficult Parts Factor],,0)</f>
        <v>1</v>
      </c>
      <c r="AI669">
        <f>_xlfn.XLOOKUP(Table1820[[#This Row],[High Theft Rate]],Table9[High Theft Rate],Table9[High Theft Rate Factor],,0)</f>
        <v>1</v>
      </c>
      <c r="AJ669">
        <f>_xlfn.XLOOKUP(Table1820[[#This Row],[Advanced Safety Features]],Table10[Advanced Safety Features],Table10[Advanced Safety Features Factor],,0)</f>
        <v>0.88</v>
      </c>
      <c r="AK669">
        <f>_xlfn.XLOOKUP(Table1820[[#This Row],[Deductible]],Table12[Deductible],Table12[Deductible Factor],,0)</f>
        <v>0.84</v>
      </c>
      <c r="AL669">
        <f>_xlfn.XLOOKUP(Table1820[[#This Row],[Coverage Limit]],Table13[Coverage Limit],Table13[Coverage Limit Factor],,0)</f>
        <v>1</v>
      </c>
      <c r="AM669">
        <f>IF(Table1820[[#This Row],[Good Student Discount]]="Yes",'Rate Book'!$D$126,1)</f>
        <v>1</v>
      </c>
      <c r="AN669">
        <f>IF(Table1820[[#This Row],[Good Driver Discount]]="Yes",'Rate Book'!$D$127,1)</f>
        <v>1</v>
      </c>
      <c r="AO669">
        <f>IF(Table1820[[#This Row],[Multi Policy Discount]]="Yes",'Rate Book'!$D$128,1)</f>
        <v>1</v>
      </c>
      <c r="AP669">
        <f>IF(Table1820[[#This Row],[Loyal Customer Discount]]="Yes",'Rate Book'!$D$129,1)</f>
        <v>1</v>
      </c>
      <c r="AQ669">
        <f>IF(Table1820[[#This Row],[Organization Discount]]="Yes",'Rate Book'!$D$130,1)</f>
        <v>1</v>
      </c>
      <c r="AR669" cm="1">
        <f t="array" ref="AR669">IF(Table1820[[#This Row],[Effective Date]]&gt;=RateChangeTable[Effective Date],RateChangeTable[Rate Change Factor],1)</f>
        <v>1</v>
      </c>
      <c r="AS669" s="10">
        <f>PRODUCT(Table1820[[#This Row],[Base Rate]:[Rate Change Factor]])</f>
        <v>1085.0110458230292</v>
      </c>
      <c r="AT669" s="9">
        <f>Table1820[[#This Row],[System-Generated Premium]]-Table1820[[#This Row],[Expected Premium]]</f>
        <v>0</v>
      </c>
      <c r="AU669" t="str">
        <f>IF(Table1820[[#This Row],[Difference]]=0,"PASS","FAIL")</f>
        <v>PASS</v>
      </c>
      <c r="AV669" s="9">
        <f>ABS(Table1820[[#This Row],[Difference]])</f>
        <v>0</v>
      </c>
      <c r="AW669" s="9" t="s">
        <v>1136</v>
      </c>
    </row>
    <row r="670" spans="1:49" x14ac:dyDescent="0.3">
      <c r="A670" t="s">
        <v>761</v>
      </c>
      <c r="B670" s="7">
        <v>45935</v>
      </c>
      <c r="C670" t="s">
        <v>70</v>
      </c>
      <c r="D670" t="s">
        <v>1102</v>
      </c>
      <c r="E670" s="3" t="s">
        <v>1103</v>
      </c>
      <c r="F670" s="3" t="s">
        <v>7</v>
      </c>
      <c r="G670" t="s">
        <v>12</v>
      </c>
      <c r="H670" t="s">
        <v>1109</v>
      </c>
      <c r="I670" t="s">
        <v>35</v>
      </c>
      <c r="J670" t="s">
        <v>52</v>
      </c>
      <c r="K670" t="s">
        <v>10</v>
      </c>
      <c r="L670" t="s">
        <v>10</v>
      </c>
      <c r="M670" t="s">
        <v>10</v>
      </c>
      <c r="N670" t="s">
        <v>57</v>
      </c>
      <c r="O670" t="str">
        <f>INDEX(CoverageTable[Deductible Applies],MATCH(Table1820[[#This Row],[Coverage]],CoverageTable[Coverage],0))</f>
        <v>No</v>
      </c>
      <c r="P670" t="str">
        <f>INDEX(CoverageTable[Coverage Limit Applies],MATCH(Table1820[[#This Row],[Coverage]],CoverageTable[Coverage],0))</f>
        <v>Yes</v>
      </c>
      <c r="Q670" t="s">
        <v>10</v>
      </c>
      <c r="R670" t="s">
        <v>79</v>
      </c>
      <c r="S670" t="s">
        <v>10</v>
      </c>
      <c r="T670" t="s">
        <v>57</v>
      </c>
      <c r="U670" t="s">
        <v>10</v>
      </c>
      <c r="V670" t="s">
        <v>10</v>
      </c>
      <c r="W670" t="s">
        <v>10</v>
      </c>
      <c r="X670" s="11">
        <v>1698.5129095098634</v>
      </c>
      <c r="Y670">
        <f>_xlfn.XLOOKUP(Table1820[[#This Row],[Coverage]],CoverageTable[Coverage],CoverageTable[Base Rate],,0)</f>
        <v>622</v>
      </c>
      <c r="Z670">
        <f>INDEX(Table16[Ageband Factor],MATCH(Table1820[[#This Row],[Ageband]],Table16[Ageband],0))</f>
        <v>1.27</v>
      </c>
      <c r="AA670">
        <f>VLOOKUP(Table1820[[#This Row],[Years Driving]],Table1[],2)</f>
        <v>0.93</v>
      </c>
      <c r="AB670">
        <f>_xlfn.XLOOKUP(Table1820[[#This Row],[At Fault Accidents]],Table2[At Fault Accidents],Table2[At Fault Accident Factor],,0)</f>
        <v>2.4700000000000002</v>
      </c>
      <c r="AC670">
        <f>_xlfn.XLOOKUP(Table1820[[#This Row],[Usage-Based Insurance]],Table3[Usage-Based Insurance],Table3[Usage-Based Insurance Discount],,0)</f>
        <v>0.8</v>
      </c>
      <c r="AD670">
        <f>_xlfn.XLOOKUP(Table1820[[#This Row],[Yearly Miles]],Table4[Yearly Miles],Table4[Yearly Miles Factor],,0)</f>
        <v>1.18</v>
      </c>
      <c r="AE670">
        <f>_xlfn.XLOOKUP(Table1820[[#This Row],[City/Zip Code]],Table5[City/Zip Code],Table5[City/Zip Code Factor],,0)</f>
        <v>1.1200000000000001</v>
      </c>
      <c r="AF670">
        <f>_xlfn.XLOOKUP(Table1820[[#This Row],[Vehicle Price]],Table6[Vehicle Price],Table6[Vehicle Price Factor])</f>
        <v>1.57</v>
      </c>
      <c r="AG670">
        <f>_xlfn.XLOOKUP(Table1820[[#This Row],[Exotic Car]],Table7[Exotic Car],Table7[Exotic Car Factor],,0)</f>
        <v>1</v>
      </c>
      <c r="AH670">
        <f>_xlfn.XLOOKUP(Table1820[[#This Row],[Difficult Parts]],Table8[Difficult Parts],Table8[Difficult Parts Factor],,0)</f>
        <v>1</v>
      </c>
      <c r="AI670">
        <f>_xlfn.XLOOKUP(Table1820[[#This Row],[High Theft Rate]],Table9[High Theft Rate],Table9[High Theft Rate Factor],,0)</f>
        <v>1</v>
      </c>
      <c r="AJ670">
        <f>_xlfn.XLOOKUP(Table1820[[#This Row],[Advanced Safety Features]],Table10[Advanced Safety Features],Table10[Advanced Safety Features Factor],,0)</f>
        <v>0.88</v>
      </c>
      <c r="AK670">
        <f>_xlfn.XLOOKUP(Table1820[[#This Row],[Deductible]],Table12[Deductible],Table12[Deductible Factor],,0)</f>
        <v>1</v>
      </c>
      <c r="AL670">
        <f>_xlfn.XLOOKUP(Table1820[[#This Row],[Coverage Limit]],Table13[Coverage Limit],Table13[Coverage Limit Factor],,0)</f>
        <v>0.72</v>
      </c>
      <c r="AM670">
        <f>IF(Table1820[[#This Row],[Good Student Discount]]="Yes",'Rate Book'!$D$126,1)</f>
        <v>1</v>
      </c>
      <c r="AN670">
        <f>IF(Table1820[[#This Row],[Good Driver Discount]]="Yes",'Rate Book'!$D$127,1)</f>
        <v>0.89</v>
      </c>
      <c r="AO670">
        <f>IF(Table1820[[#This Row],[Multi Policy Discount]]="Yes",'Rate Book'!$D$128,1)</f>
        <v>1</v>
      </c>
      <c r="AP670">
        <f>IF(Table1820[[#This Row],[Loyal Customer Discount]]="Yes",'Rate Book'!$D$129,1)</f>
        <v>1</v>
      </c>
      <c r="AQ670">
        <f>IF(Table1820[[#This Row],[Organization Discount]]="Yes",'Rate Book'!$D$130,1)</f>
        <v>1</v>
      </c>
      <c r="AR670" cm="1">
        <f t="array" ref="AR670">IF(Table1820[[#This Row],[Effective Date]]&gt;=RateChangeTable[Effective Date],RateChangeTable[Rate Change Factor],1)</f>
        <v>1</v>
      </c>
      <c r="AS670" s="10">
        <f>PRODUCT(Table1820[[#This Row],[Base Rate]:[Rate Change Factor]])</f>
        <v>1698.5129095098634</v>
      </c>
      <c r="AT670" s="9">
        <f>Table1820[[#This Row],[System-Generated Premium]]-Table1820[[#This Row],[Expected Premium]]</f>
        <v>0</v>
      </c>
      <c r="AU670" t="str">
        <f>IF(Table1820[[#This Row],[Difference]]=0,"PASS","FAIL")</f>
        <v>PASS</v>
      </c>
      <c r="AV670" s="9">
        <f>ABS(Table1820[[#This Row],[Difference]])</f>
        <v>0</v>
      </c>
      <c r="AW670" s="9" t="s">
        <v>1136</v>
      </c>
    </row>
    <row r="671" spans="1:49" x14ac:dyDescent="0.3">
      <c r="A671" t="s">
        <v>762</v>
      </c>
      <c r="B671" s="7">
        <v>46074</v>
      </c>
      <c r="C671" t="s">
        <v>71</v>
      </c>
      <c r="D671" t="s">
        <v>1102</v>
      </c>
      <c r="E671" s="3">
        <v>3</v>
      </c>
      <c r="F671" s="3">
        <v>2</v>
      </c>
      <c r="G671" t="s">
        <v>10</v>
      </c>
      <c r="H671" t="s">
        <v>1108</v>
      </c>
      <c r="I671" t="s">
        <v>25</v>
      </c>
      <c r="J671" t="s">
        <v>49</v>
      </c>
      <c r="K671" t="s">
        <v>10</v>
      </c>
      <c r="L671" t="s">
        <v>10</v>
      </c>
      <c r="M671" t="s">
        <v>10</v>
      </c>
      <c r="N671" t="s">
        <v>57</v>
      </c>
      <c r="O671" t="str">
        <f>INDEX(CoverageTable[Deductible Applies],MATCH(Table1820[[#This Row],[Coverage]],CoverageTable[Coverage],0))</f>
        <v>Yes</v>
      </c>
      <c r="P671" t="str">
        <f>INDEX(CoverageTable[Coverage Limit Applies],MATCH(Table1820[[#This Row],[Coverage]],CoverageTable[Coverage],0))</f>
        <v>No</v>
      </c>
      <c r="Q671" t="s">
        <v>80</v>
      </c>
      <c r="R671" t="s">
        <v>10</v>
      </c>
      <c r="S671" t="s">
        <v>10</v>
      </c>
      <c r="T671" t="s">
        <v>10</v>
      </c>
      <c r="U671" t="s">
        <v>10</v>
      </c>
      <c r="V671" t="s">
        <v>10</v>
      </c>
      <c r="W671" t="s">
        <v>10</v>
      </c>
      <c r="X671" s="11">
        <v>822.13702883232315</v>
      </c>
      <c r="Y671">
        <f>_xlfn.XLOOKUP(Table1820[[#This Row],[Coverage]],CoverageTable[Coverage],CoverageTable[Base Rate],,0)</f>
        <v>453</v>
      </c>
      <c r="Z671">
        <f>INDEX(Table16[Ageband Factor],MATCH(Table1820[[#This Row],[Ageband]],Table16[Ageband],0))</f>
        <v>1.27</v>
      </c>
      <c r="AA671">
        <f>VLOOKUP(Table1820[[#This Row],[Years Driving]],Table1[],2)</f>
        <v>1.22</v>
      </c>
      <c r="AB671">
        <f>_xlfn.XLOOKUP(Table1820[[#This Row],[At Fault Accidents]],Table2[At Fault Accidents],Table2[At Fault Accident Factor],,0)</f>
        <v>1.55</v>
      </c>
      <c r="AC671">
        <f>_xlfn.XLOOKUP(Table1820[[#This Row],[Usage-Based Insurance]],Table3[Usage-Based Insurance],Table3[Usage-Based Insurance Discount],,0)</f>
        <v>1</v>
      </c>
      <c r="AD671">
        <f>_xlfn.XLOOKUP(Table1820[[#This Row],[Yearly Miles]],Table4[Yearly Miles],Table4[Yearly Miles Factor],,0)</f>
        <v>1</v>
      </c>
      <c r="AE671">
        <f>_xlfn.XLOOKUP(Table1820[[#This Row],[City/Zip Code]],Table5[City/Zip Code],Table5[City/Zip Code Factor],,0)</f>
        <v>1.1599999999999999</v>
      </c>
      <c r="AF671">
        <f>_xlfn.XLOOKUP(Table1820[[#This Row],[Vehicle Price]],Table6[Vehicle Price],Table6[Vehicle Price Factor])</f>
        <v>0.97</v>
      </c>
      <c r="AG671">
        <f>_xlfn.XLOOKUP(Table1820[[#This Row],[Exotic Car]],Table7[Exotic Car],Table7[Exotic Car Factor],,0)</f>
        <v>1</v>
      </c>
      <c r="AH671">
        <f>_xlfn.XLOOKUP(Table1820[[#This Row],[Difficult Parts]],Table8[Difficult Parts],Table8[Difficult Parts Factor],,0)</f>
        <v>1</v>
      </c>
      <c r="AI671">
        <f>_xlfn.XLOOKUP(Table1820[[#This Row],[High Theft Rate]],Table9[High Theft Rate],Table9[High Theft Rate Factor],,0)</f>
        <v>1</v>
      </c>
      <c r="AJ671">
        <f>_xlfn.XLOOKUP(Table1820[[#This Row],[Advanced Safety Features]],Table10[Advanced Safety Features],Table10[Advanced Safety Features Factor],,0)</f>
        <v>0.88</v>
      </c>
      <c r="AK671">
        <f>_xlfn.XLOOKUP(Table1820[[#This Row],[Deductible]],Table12[Deductible],Table12[Deductible Factor],,0)</f>
        <v>0.72</v>
      </c>
      <c r="AL671">
        <f>_xlfn.XLOOKUP(Table1820[[#This Row],[Coverage Limit]],Table13[Coverage Limit],Table13[Coverage Limit Factor],,0)</f>
        <v>1</v>
      </c>
      <c r="AM671">
        <f>IF(Table1820[[#This Row],[Good Student Discount]]="Yes",'Rate Book'!$D$126,1)</f>
        <v>1</v>
      </c>
      <c r="AN671">
        <f>IF(Table1820[[#This Row],[Good Driver Discount]]="Yes",'Rate Book'!$D$127,1)</f>
        <v>1</v>
      </c>
      <c r="AO671">
        <f>IF(Table1820[[#This Row],[Multi Policy Discount]]="Yes",'Rate Book'!$D$128,1)</f>
        <v>1</v>
      </c>
      <c r="AP671">
        <f>IF(Table1820[[#This Row],[Loyal Customer Discount]]="Yes",'Rate Book'!$D$129,1)</f>
        <v>1</v>
      </c>
      <c r="AQ671">
        <f>IF(Table1820[[#This Row],[Organization Discount]]="Yes",'Rate Book'!$D$130,1)</f>
        <v>1</v>
      </c>
      <c r="AR671" cm="1">
        <f t="array" ref="AR671">IF(Table1820[[#This Row],[Effective Date]]&gt;=RateChangeTable[Effective Date],RateChangeTable[Rate Change Factor],1)</f>
        <v>1.06</v>
      </c>
      <c r="AS671" s="10">
        <f>PRODUCT(Table1820[[#This Row],[Base Rate]:[Rate Change Factor]])</f>
        <v>822.13702883232315</v>
      </c>
      <c r="AT671" s="9">
        <f>Table1820[[#This Row],[System-Generated Premium]]-Table1820[[#This Row],[Expected Premium]]</f>
        <v>0</v>
      </c>
      <c r="AU671" t="str">
        <f>IF(Table1820[[#This Row],[Difference]]=0,"PASS","FAIL")</f>
        <v>PASS</v>
      </c>
      <c r="AV671" s="9">
        <f>ABS(Table1820[[#This Row],[Difference]])</f>
        <v>0</v>
      </c>
      <c r="AW671" s="9" t="s">
        <v>1136</v>
      </c>
    </row>
    <row r="672" spans="1:49" x14ac:dyDescent="0.3">
      <c r="A672" t="s">
        <v>763</v>
      </c>
      <c r="B672" s="7">
        <v>45895</v>
      </c>
      <c r="C672" t="s">
        <v>74</v>
      </c>
      <c r="D672" t="s">
        <v>1098</v>
      </c>
      <c r="E672" s="3">
        <v>5</v>
      </c>
      <c r="F672" s="3">
        <v>0</v>
      </c>
      <c r="G672" t="s">
        <v>11</v>
      </c>
      <c r="H672" t="s">
        <v>1106</v>
      </c>
      <c r="I672" t="s">
        <v>27</v>
      </c>
      <c r="J672" t="s">
        <v>49</v>
      </c>
      <c r="K672" t="s">
        <v>10</v>
      </c>
      <c r="L672" t="s">
        <v>10</v>
      </c>
      <c r="M672" t="s">
        <v>10</v>
      </c>
      <c r="N672" t="s">
        <v>57</v>
      </c>
      <c r="O672" t="str">
        <f>INDEX(CoverageTable[Deductible Applies],MATCH(Table1820[[#This Row],[Coverage]],CoverageTable[Coverage],0))</f>
        <v>No</v>
      </c>
      <c r="P672" t="str">
        <f>INDEX(CoverageTable[Coverage Limit Applies],MATCH(Table1820[[#This Row],[Coverage]],CoverageTable[Coverage],0))</f>
        <v>Yes</v>
      </c>
      <c r="Q672" t="s">
        <v>10</v>
      </c>
      <c r="R672" t="s">
        <v>78</v>
      </c>
      <c r="S672" t="s">
        <v>10</v>
      </c>
      <c r="T672" t="s">
        <v>10</v>
      </c>
      <c r="U672" t="s">
        <v>10</v>
      </c>
      <c r="V672" t="s">
        <v>10</v>
      </c>
      <c r="W672" t="s">
        <v>10</v>
      </c>
      <c r="X672" s="11">
        <v>20.574168794206894</v>
      </c>
      <c r="Y672">
        <f>_xlfn.XLOOKUP(Table1820[[#This Row],[Coverage]],CoverageTable[Coverage],CoverageTable[Base Rate],,0)</f>
        <v>41</v>
      </c>
      <c r="Z672">
        <f>INDEX(Table16[Ageband Factor],MATCH(Table1820[[#This Row],[Ageband]],Table16[Ageband],0))</f>
        <v>1.23</v>
      </c>
      <c r="AA672">
        <f>VLOOKUP(Table1820[[#This Row],[Years Driving]],Table1[],2)</f>
        <v>1.07</v>
      </c>
      <c r="AB672">
        <f>_xlfn.XLOOKUP(Table1820[[#This Row],[At Fault Accidents]],Table2[At Fault Accidents],Table2[At Fault Accident Factor],,0)</f>
        <v>1</v>
      </c>
      <c r="AC672">
        <f>_xlfn.XLOOKUP(Table1820[[#This Row],[Usage-Based Insurance]],Table3[Usage-Based Insurance],Table3[Usage-Based Insurance Discount],,0)</f>
        <v>0.95</v>
      </c>
      <c r="AD672">
        <f>_xlfn.XLOOKUP(Table1820[[#This Row],[Yearly Miles]],Table4[Yearly Miles],Table4[Yearly Miles Factor],,0)</f>
        <v>0.82</v>
      </c>
      <c r="AE672">
        <f>_xlfn.XLOOKUP(Table1820[[#This Row],[City/Zip Code]],Table5[City/Zip Code],Table5[City/Zip Code Factor],,0)</f>
        <v>0.94</v>
      </c>
      <c r="AF672">
        <f>_xlfn.XLOOKUP(Table1820[[#This Row],[Vehicle Price]],Table6[Vehicle Price],Table6[Vehicle Price Factor])</f>
        <v>0.97</v>
      </c>
      <c r="AG672">
        <f>_xlfn.XLOOKUP(Table1820[[#This Row],[Exotic Car]],Table7[Exotic Car],Table7[Exotic Car Factor],,0)</f>
        <v>1</v>
      </c>
      <c r="AH672">
        <f>_xlfn.XLOOKUP(Table1820[[#This Row],[Difficult Parts]],Table8[Difficult Parts],Table8[Difficult Parts Factor],,0)</f>
        <v>1</v>
      </c>
      <c r="AI672">
        <f>_xlfn.XLOOKUP(Table1820[[#This Row],[High Theft Rate]],Table9[High Theft Rate],Table9[High Theft Rate Factor],,0)</f>
        <v>1</v>
      </c>
      <c r="AJ672">
        <f>_xlfn.XLOOKUP(Table1820[[#This Row],[Advanced Safety Features]],Table10[Advanced Safety Features],Table10[Advanced Safety Features Factor],,0)</f>
        <v>0.88</v>
      </c>
      <c r="AK672">
        <f>_xlfn.XLOOKUP(Table1820[[#This Row],[Deductible]],Table12[Deductible],Table12[Deductible Factor],,0)</f>
        <v>1</v>
      </c>
      <c r="AL672">
        <f>_xlfn.XLOOKUP(Table1820[[#This Row],[Coverage Limit]],Table13[Coverage Limit],Table13[Coverage Limit Factor],,0)</f>
        <v>0.61</v>
      </c>
      <c r="AM672">
        <f>IF(Table1820[[#This Row],[Good Student Discount]]="Yes",'Rate Book'!$D$126,1)</f>
        <v>1</v>
      </c>
      <c r="AN672">
        <f>IF(Table1820[[#This Row],[Good Driver Discount]]="Yes",'Rate Book'!$D$127,1)</f>
        <v>1</v>
      </c>
      <c r="AO672">
        <f>IF(Table1820[[#This Row],[Multi Policy Discount]]="Yes",'Rate Book'!$D$128,1)</f>
        <v>1</v>
      </c>
      <c r="AP672">
        <f>IF(Table1820[[#This Row],[Loyal Customer Discount]]="Yes",'Rate Book'!$D$129,1)</f>
        <v>1</v>
      </c>
      <c r="AQ672">
        <f>IF(Table1820[[#This Row],[Organization Discount]]="Yes",'Rate Book'!$D$130,1)</f>
        <v>1</v>
      </c>
      <c r="AR672" cm="1">
        <f t="array" ref="AR672">IF(Table1820[[#This Row],[Effective Date]]&gt;=RateChangeTable[Effective Date],RateChangeTable[Rate Change Factor],1)</f>
        <v>1</v>
      </c>
      <c r="AS672" s="10">
        <f>PRODUCT(Table1820[[#This Row],[Base Rate]:[Rate Change Factor]])</f>
        <v>20.574168794206894</v>
      </c>
      <c r="AT672" s="9">
        <f>Table1820[[#This Row],[System-Generated Premium]]-Table1820[[#This Row],[Expected Premium]]</f>
        <v>0</v>
      </c>
      <c r="AU672" t="str">
        <f>IF(Table1820[[#This Row],[Difference]]=0,"PASS","FAIL")</f>
        <v>PASS</v>
      </c>
      <c r="AV672" s="9">
        <f>ABS(Table1820[[#This Row],[Difference]])</f>
        <v>0</v>
      </c>
      <c r="AW672" s="9" t="s">
        <v>1136</v>
      </c>
    </row>
    <row r="673" spans="1:49" x14ac:dyDescent="0.3">
      <c r="A673" t="s">
        <v>764</v>
      </c>
      <c r="B673" s="7">
        <v>46080</v>
      </c>
      <c r="C673" t="s">
        <v>70</v>
      </c>
      <c r="D673" t="s">
        <v>1099</v>
      </c>
      <c r="E673" s="3">
        <v>6</v>
      </c>
      <c r="F673" s="3">
        <v>4</v>
      </c>
      <c r="G673" t="s">
        <v>11</v>
      </c>
      <c r="H673" t="s">
        <v>1106</v>
      </c>
      <c r="I673" t="s">
        <v>29</v>
      </c>
      <c r="J673" t="s">
        <v>49</v>
      </c>
      <c r="K673" t="s">
        <v>10</v>
      </c>
      <c r="L673" t="s">
        <v>57</v>
      </c>
      <c r="M673" t="s">
        <v>10</v>
      </c>
      <c r="N673" t="s">
        <v>10</v>
      </c>
      <c r="O673" t="str">
        <f>INDEX(CoverageTable[Deductible Applies],MATCH(Table1820[[#This Row],[Coverage]],CoverageTable[Coverage],0))</f>
        <v>No</v>
      </c>
      <c r="P673" t="str">
        <f>INDEX(CoverageTable[Coverage Limit Applies],MATCH(Table1820[[#This Row],[Coverage]],CoverageTable[Coverage],0))</f>
        <v>Yes</v>
      </c>
      <c r="Q673" t="s">
        <v>10</v>
      </c>
      <c r="R673" t="s">
        <v>78</v>
      </c>
      <c r="S673" t="s">
        <v>10</v>
      </c>
      <c r="T673" t="s">
        <v>10</v>
      </c>
      <c r="U673" t="s">
        <v>10</v>
      </c>
      <c r="V673" t="s">
        <v>10</v>
      </c>
      <c r="W673" t="s">
        <v>10</v>
      </c>
      <c r="X673" s="11">
        <v>849.73402009987797</v>
      </c>
      <c r="Y673">
        <f>_xlfn.XLOOKUP(Table1820[[#This Row],[Coverage]],CoverageTable[Coverage],CoverageTable[Base Rate],,0)</f>
        <v>622</v>
      </c>
      <c r="Z673">
        <f>INDEX(Table16[Ageband Factor],MATCH(Table1820[[#This Row],[Ageband]],Table16[Ageband],0))</f>
        <v>1</v>
      </c>
      <c r="AA673">
        <f>VLOOKUP(Table1820[[#This Row],[Years Driving]],Table1[],2)</f>
        <v>1</v>
      </c>
      <c r="AB673">
        <f>_xlfn.XLOOKUP(Table1820[[#This Row],[At Fault Accidents]],Table2[At Fault Accidents],Table2[At Fault Accident Factor],,0)</f>
        <v>2.12</v>
      </c>
      <c r="AC673">
        <f>_xlfn.XLOOKUP(Table1820[[#This Row],[Usage-Based Insurance]],Table3[Usage-Based Insurance],Table3[Usage-Based Insurance Discount],,0)</f>
        <v>0.95</v>
      </c>
      <c r="AD673">
        <f>_xlfn.XLOOKUP(Table1820[[#This Row],[Yearly Miles]],Table4[Yearly Miles],Table4[Yearly Miles Factor],,0)</f>
        <v>0.82</v>
      </c>
      <c r="AE673">
        <f>_xlfn.XLOOKUP(Table1820[[#This Row],[City/Zip Code]],Table5[City/Zip Code],Table5[City/Zip Code Factor],,0)</f>
        <v>1.0900000000000001</v>
      </c>
      <c r="AF673">
        <f>_xlfn.XLOOKUP(Table1820[[#This Row],[Vehicle Price]],Table6[Vehicle Price],Table6[Vehicle Price Factor])</f>
        <v>0.97</v>
      </c>
      <c r="AG673">
        <f>_xlfn.XLOOKUP(Table1820[[#This Row],[Exotic Car]],Table7[Exotic Car],Table7[Exotic Car Factor],,0)</f>
        <v>1</v>
      </c>
      <c r="AH673">
        <f>_xlfn.XLOOKUP(Table1820[[#This Row],[Difficult Parts]],Table8[Difficult Parts],Table8[Difficult Parts Factor],,0)</f>
        <v>1.21</v>
      </c>
      <c r="AI673">
        <f>_xlfn.XLOOKUP(Table1820[[#This Row],[High Theft Rate]],Table9[High Theft Rate],Table9[High Theft Rate Factor],,0)</f>
        <v>1</v>
      </c>
      <c r="AJ673">
        <f>_xlfn.XLOOKUP(Table1820[[#This Row],[Advanced Safety Features]],Table10[Advanced Safety Features],Table10[Advanced Safety Features Factor],,0)</f>
        <v>1</v>
      </c>
      <c r="AK673">
        <f>_xlfn.XLOOKUP(Table1820[[#This Row],[Deductible]],Table12[Deductible],Table12[Deductible Factor],,0)</f>
        <v>1</v>
      </c>
      <c r="AL673">
        <f>_xlfn.XLOOKUP(Table1820[[#This Row],[Coverage Limit]],Table13[Coverage Limit],Table13[Coverage Limit Factor],,0)</f>
        <v>0.61</v>
      </c>
      <c r="AM673">
        <f>IF(Table1820[[#This Row],[Good Student Discount]]="Yes",'Rate Book'!$D$126,1)</f>
        <v>1</v>
      </c>
      <c r="AN673">
        <f>IF(Table1820[[#This Row],[Good Driver Discount]]="Yes",'Rate Book'!$D$127,1)</f>
        <v>1</v>
      </c>
      <c r="AO673">
        <f>IF(Table1820[[#This Row],[Multi Policy Discount]]="Yes",'Rate Book'!$D$128,1)</f>
        <v>1</v>
      </c>
      <c r="AP673">
        <f>IF(Table1820[[#This Row],[Loyal Customer Discount]]="Yes",'Rate Book'!$D$129,1)</f>
        <v>1</v>
      </c>
      <c r="AQ673">
        <f>IF(Table1820[[#This Row],[Organization Discount]]="Yes",'Rate Book'!$D$130,1)</f>
        <v>1</v>
      </c>
      <c r="AR673" cm="1">
        <f t="array" ref="AR673">IF(Table1820[[#This Row],[Effective Date]]&gt;=RateChangeTable[Effective Date],RateChangeTable[Rate Change Factor],1)</f>
        <v>1.06</v>
      </c>
      <c r="AS673" s="10">
        <f>PRODUCT(Table1820[[#This Row],[Base Rate]:[Rate Change Factor]])</f>
        <v>849.73402009987797</v>
      </c>
      <c r="AT673" s="9">
        <f>Table1820[[#This Row],[System-Generated Premium]]-Table1820[[#This Row],[Expected Premium]]</f>
        <v>0</v>
      </c>
      <c r="AU673" t="str">
        <f>IF(Table1820[[#This Row],[Difference]]=0,"PASS","FAIL")</f>
        <v>PASS</v>
      </c>
      <c r="AV673" s="9">
        <f>ABS(Table1820[[#This Row],[Difference]])</f>
        <v>0</v>
      </c>
      <c r="AW673" s="9" t="s">
        <v>1136</v>
      </c>
    </row>
    <row r="674" spans="1:49" x14ac:dyDescent="0.3">
      <c r="A674" t="s">
        <v>765</v>
      </c>
      <c r="B674" s="7">
        <v>46028</v>
      </c>
      <c r="C674" t="s">
        <v>71</v>
      </c>
      <c r="D674" t="s">
        <v>1098</v>
      </c>
      <c r="E674" s="3" t="s">
        <v>1103</v>
      </c>
      <c r="F674" s="3">
        <v>0</v>
      </c>
      <c r="G674" t="s">
        <v>10</v>
      </c>
      <c r="H674" t="s">
        <v>1109</v>
      </c>
      <c r="I674" t="s">
        <v>39</v>
      </c>
      <c r="J674" t="s">
        <v>53</v>
      </c>
      <c r="K674" t="s">
        <v>57</v>
      </c>
      <c r="L674" t="s">
        <v>10</v>
      </c>
      <c r="M674" t="s">
        <v>10</v>
      </c>
      <c r="N674" t="s">
        <v>57</v>
      </c>
      <c r="O674" t="str">
        <f>INDEX(CoverageTable[Deductible Applies],MATCH(Table1820[[#This Row],[Coverage]],CoverageTable[Coverage],0))</f>
        <v>Yes</v>
      </c>
      <c r="P674" t="str">
        <f>INDEX(CoverageTable[Coverage Limit Applies],MATCH(Table1820[[#This Row],[Coverage]],CoverageTable[Coverage],0))</f>
        <v>No</v>
      </c>
      <c r="Q674" t="s">
        <v>79</v>
      </c>
      <c r="R674" t="s">
        <v>10</v>
      </c>
      <c r="S674" t="s">
        <v>10</v>
      </c>
      <c r="T674" t="s">
        <v>10</v>
      </c>
      <c r="U674" t="s">
        <v>57</v>
      </c>
      <c r="V674" t="s">
        <v>10</v>
      </c>
      <c r="W674" t="s">
        <v>10</v>
      </c>
      <c r="X674" s="11">
        <v>1244.2399339172193</v>
      </c>
      <c r="Y674">
        <f>_xlfn.XLOOKUP(Table1820[[#This Row],[Coverage]],CoverageTable[Coverage],CoverageTable[Base Rate],,0)</f>
        <v>453</v>
      </c>
      <c r="Z674">
        <f>INDEX(Table16[Ageband Factor],MATCH(Table1820[[#This Row],[Ageband]],Table16[Ageband],0))</f>
        <v>1.23</v>
      </c>
      <c r="AA674">
        <f>VLOOKUP(Table1820[[#This Row],[Years Driving]],Table1[],2)</f>
        <v>0.93</v>
      </c>
      <c r="AB674">
        <f>_xlfn.XLOOKUP(Table1820[[#This Row],[At Fault Accidents]],Table2[At Fault Accidents],Table2[At Fault Accident Factor],,0)</f>
        <v>1</v>
      </c>
      <c r="AC674">
        <f>_xlfn.XLOOKUP(Table1820[[#This Row],[Usage-Based Insurance]],Table3[Usage-Based Insurance],Table3[Usage-Based Insurance Discount],,0)</f>
        <v>1</v>
      </c>
      <c r="AD674">
        <f>_xlfn.XLOOKUP(Table1820[[#This Row],[Yearly Miles]],Table4[Yearly Miles],Table4[Yearly Miles Factor],,0)</f>
        <v>1.18</v>
      </c>
      <c r="AE674">
        <f>_xlfn.XLOOKUP(Table1820[[#This Row],[City/Zip Code]],Table5[City/Zip Code],Table5[City/Zip Code Factor],,0)</f>
        <v>1.08</v>
      </c>
      <c r="AF674">
        <f>_xlfn.XLOOKUP(Table1820[[#This Row],[Vehicle Price]],Table6[Vehicle Price],Table6[Vehicle Price Factor])</f>
        <v>2.02</v>
      </c>
      <c r="AG674">
        <f>_xlfn.XLOOKUP(Table1820[[#This Row],[Exotic Car]],Table7[Exotic Car],Table7[Exotic Car Factor],,0)</f>
        <v>1.28</v>
      </c>
      <c r="AH674">
        <f>_xlfn.XLOOKUP(Table1820[[#This Row],[Difficult Parts]],Table8[Difficult Parts],Table8[Difficult Parts Factor],,0)</f>
        <v>1</v>
      </c>
      <c r="AI674">
        <f>_xlfn.XLOOKUP(Table1820[[#This Row],[High Theft Rate]],Table9[High Theft Rate],Table9[High Theft Rate Factor],,0)</f>
        <v>1</v>
      </c>
      <c r="AJ674">
        <f>_xlfn.XLOOKUP(Table1820[[#This Row],[Advanced Safety Features]],Table10[Advanced Safety Features],Table10[Advanced Safety Features Factor],,0)</f>
        <v>0.88</v>
      </c>
      <c r="AK674">
        <f>_xlfn.XLOOKUP(Table1820[[#This Row],[Deductible]],Table12[Deductible],Table12[Deductible Factor],,0)</f>
        <v>0.84</v>
      </c>
      <c r="AL674">
        <f>_xlfn.XLOOKUP(Table1820[[#This Row],[Coverage Limit]],Table13[Coverage Limit],Table13[Coverage Limit Factor],,0)</f>
        <v>1</v>
      </c>
      <c r="AM674">
        <f>IF(Table1820[[#This Row],[Good Student Discount]]="Yes",'Rate Book'!$D$126,1)</f>
        <v>1</v>
      </c>
      <c r="AN674">
        <f>IF(Table1820[[#This Row],[Good Driver Discount]]="Yes",'Rate Book'!$D$127,1)</f>
        <v>1</v>
      </c>
      <c r="AO674">
        <f>IF(Table1820[[#This Row],[Multi Policy Discount]]="Yes",'Rate Book'!$D$128,1)</f>
        <v>0.93</v>
      </c>
      <c r="AP674">
        <f>IF(Table1820[[#This Row],[Loyal Customer Discount]]="Yes",'Rate Book'!$D$129,1)</f>
        <v>1</v>
      </c>
      <c r="AQ674">
        <f>IF(Table1820[[#This Row],[Organization Discount]]="Yes",'Rate Book'!$D$130,1)</f>
        <v>1</v>
      </c>
      <c r="AR674" cm="1">
        <f t="array" ref="AR674">IF(Table1820[[#This Row],[Effective Date]]&gt;=RateChangeTable[Effective Date],RateChangeTable[Rate Change Factor],1)</f>
        <v>1.06</v>
      </c>
      <c r="AS674" s="10">
        <f>PRODUCT(Table1820[[#This Row],[Base Rate]:[Rate Change Factor]])</f>
        <v>1244.2399339172193</v>
      </c>
      <c r="AT674" s="9">
        <f>Table1820[[#This Row],[System-Generated Premium]]-Table1820[[#This Row],[Expected Premium]]</f>
        <v>0</v>
      </c>
      <c r="AU674" t="str">
        <f>IF(Table1820[[#This Row],[Difference]]=0,"PASS","FAIL")</f>
        <v>PASS</v>
      </c>
      <c r="AV674" s="9">
        <f>ABS(Table1820[[#This Row],[Difference]])</f>
        <v>0</v>
      </c>
      <c r="AW674" s="9" t="s">
        <v>1136</v>
      </c>
    </row>
    <row r="675" spans="1:49" x14ac:dyDescent="0.3">
      <c r="A675" t="s">
        <v>766</v>
      </c>
      <c r="B675" s="7">
        <v>45790</v>
      </c>
      <c r="C675" t="s">
        <v>70</v>
      </c>
      <c r="D675" t="s">
        <v>1100</v>
      </c>
      <c r="E675" s="3">
        <v>6</v>
      </c>
      <c r="F675" s="3">
        <v>1</v>
      </c>
      <c r="G675" t="s">
        <v>12</v>
      </c>
      <c r="H675" t="s">
        <v>1108</v>
      </c>
      <c r="I675" t="s">
        <v>41</v>
      </c>
      <c r="J675" t="s">
        <v>53</v>
      </c>
      <c r="K675" t="s">
        <v>10</v>
      </c>
      <c r="L675" t="s">
        <v>10</v>
      </c>
      <c r="M675" t="s">
        <v>10</v>
      </c>
      <c r="N675" t="s">
        <v>57</v>
      </c>
      <c r="O675" t="str">
        <f>INDEX(CoverageTable[Deductible Applies],MATCH(Table1820[[#This Row],[Coverage]],CoverageTable[Coverage],0))</f>
        <v>No</v>
      </c>
      <c r="P675" t="str">
        <f>INDEX(CoverageTable[Coverage Limit Applies],MATCH(Table1820[[#This Row],[Coverage]],CoverageTable[Coverage],0))</f>
        <v>Yes</v>
      </c>
      <c r="Q675" t="s">
        <v>10</v>
      </c>
      <c r="R675" t="s">
        <v>80</v>
      </c>
      <c r="S675" t="s">
        <v>10</v>
      </c>
      <c r="T675" t="s">
        <v>10</v>
      </c>
      <c r="U675" t="s">
        <v>10</v>
      </c>
      <c r="V675" t="s">
        <v>10</v>
      </c>
      <c r="W675" t="s">
        <v>10</v>
      </c>
      <c r="X675" s="11">
        <v>1225.1241919150082</v>
      </c>
      <c r="Y675">
        <f>_xlfn.XLOOKUP(Table1820[[#This Row],[Coverage]],CoverageTable[Coverage],CoverageTable[Base Rate],,0)</f>
        <v>622</v>
      </c>
      <c r="Z675">
        <f>INDEX(Table16[Ageband Factor],MATCH(Table1820[[#This Row],[Ageband]],Table16[Ageband],0))</f>
        <v>1.07</v>
      </c>
      <c r="AA675">
        <f>VLOOKUP(Table1820[[#This Row],[Years Driving]],Table1[],2)</f>
        <v>1</v>
      </c>
      <c r="AB675">
        <f>_xlfn.XLOOKUP(Table1820[[#This Row],[At Fault Accidents]],Table2[At Fault Accidents],Table2[At Fault Accident Factor],,0)</f>
        <v>1.34</v>
      </c>
      <c r="AC675">
        <f>_xlfn.XLOOKUP(Table1820[[#This Row],[Usage-Based Insurance]],Table3[Usage-Based Insurance],Table3[Usage-Based Insurance Discount],,0)</f>
        <v>0.8</v>
      </c>
      <c r="AD675">
        <f>_xlfn.XLOOKUP(Table1820[[#This Row],[Yearly Miles]],Table4[Yearly Miles],Table4[Yearly Miles Factor],,0)</f>
        <v>1</v>
      </c>
      <c r="AE675">
        <f>_xlfn.XLOOKUP(Table1820[[#This Row],[City/Zip Code]],Table5[City/Zip Code],Table5[City/Zip Code Factor],,0)</f>
        <v>1.1499999999999999</v>
      </c>
      <c r="AF675">
        <f>_xlfn.XLOOKUP(Table1820[[#This Row],[Vehicle Price]],Table6[Vehicle Price],Table6[Vehicle Price Factor])</f>
        <v>2.02</v>
      </c>
      <c r="AG675">
        <f>_xlfn.XLOOKUP(Table1820[[#This Row],[Exotic Car]],Table7[Exotic Car],Table7[Exotic Car Factor],,0)</f>
        <v>1</v>
      </c>
      <c r="AH675">
        <f>_xlfn.XLOOKUP(Table1820[[#This Row],[Difficult Parts]],Table8[Difficult Parts],Table8[Difficult Parts Factor],,0)</f>
        <v>1</v>
      </c>
      <c r="AI675">
        <f>_xlfn.XLOOKUP(Table1820[[#This Row],[High Theft Rate]],Table9[High Theft Rate],Table9[High Theft Rate Factor],,0)</f>
        <v>1</v>
      </c>
      <c r="AJ675">
        <f>_xlfn.XLOOKUP(Table1820[[#This Row],[Advanced Safety Features]],Table10[Advanced Safety Features],Table10[Advanced Safety Features Factor],,0)</f>
        <v>0.88</v>
      </c>
      <c r="AK675">
        <f>_xlfn.XLOOKUP(Table1820[[#This Row],[Deductible]],Table12[Deductible],Table12[Deductible Factor],,0)</f>
        <v>1</v>
      </c>
      <c r="AL675">
        <f>_xlfn.XLOOKUP(Table1820[[#This Row],[Coverage Limit]],Table13[Coverage Limit],Table13[Coverage Limit Factor],,0)</f>
        <v>0.84</v>
      </c>
      <c r="AM675">
        <f>IF(Table1820[[#This Row],[Good Student Discount]]="Yes",'Rate Book'!$D$126,1)</f>
        <v>1</v>
      </c>
      <c r="AN675">
        <f>IF(Table1820[[#This Row],[Good Driver Discount]]="Yes",'Rate Book'!$D$127,1)</f>
        <v>1</v>
      </c>
      <c r="AO675">
        <f>IF(Table1820[[#This Row],[Multi Policy Discount]]="Yes",'Rate Book'!$D$128,1)</f>
        <v>1</v>
      </c>
      <c r="AP675">
        <f>IF(Table1820[[#This Row],[Loyal Customer Discount]]="Yes",'Rate Book'!$D$129,1)</f>
        <v>1</v>
      </c>
      <c r="AQ675">
        <f>IF(Table1820[[#This Row],[Organization Discount]]="Yes",'Rate Book'!$D$130,1)</f>
        <v>1</v>
      </c>
      <c r="AR675" cm="1">
        <f t="array" ref="AR675">IF(Table1820[[#This Row],[Effective Date]]&gt;=RateChangeTable[Effective Date],RateChangeTable[Rate Change Factor],1)</f>
        <v>1</v>
      </c>
      <c r="AS675" s="10">
        <f>PRODUCT(Table1820[[#This Row],[Base Rate]:[Rate Change Factor]])</f>
        <v>1225.1241919150082</v>
      </c>
      <c r="AT675" s="9">
        <f>Table1820[[#This Row],[System-Generated Premium]]-Table1820[[#This Row],[Expected Premium]]</f>
        <v>0</v>
      </c>
      <c r="AU675" t="str">
        <f>IF(Table1820[[#This Row],[Difference]]=0,"PASS","FAIL")</f>
        <v>PASS</v>
      </c>
      <c r="AV675" s="9">
        <f>ABS(Table1820[[#This Row],[Difference]])</f>
        <v>0</v>
      </c>
      <c r="AW675" s="9" t="s">
        <v>1136</v>
      </c>
    </row>
    <row r="676" spans="1:49" x14ac:dyDescent="0.3">
      <c r="A676" t="s">
        <v>767</v>
      </c>
      <c r="B676" s="7">
        <v>45913</v>
      </c>
      <c r="C676" t="s">
        <v>71</v>
      </c>
      <c r="D676" t="s">
        <v>1102</v>
      </c>
      <c r="E676" s="3" t="s">
        <v>1103</v>
      </c>
      <c r="F676" s="3" t="s">
        <v>7</v>
      </c>
      <c r="G676" t="s">
        <v>12</v>
      </c>
      <c r="H676" t="s">
        <v>1109</v>
      </c>
      <c r="I676" t="s">
        <v>34</v>
      </c>
      <c r="J676" t="s">
        <v>53</v>
      </c>
      <c r="K676" t="s">
        <v>10</v>
      </c>
      <c r="L676" t="s">
        <v>10</v>
      </c>
      <c r="M676" t="s">
        <v>10</v>
      </c>
      <c r="N676" t="s">
        <v>10</v>
      </c>
      <c r="O676" t="str">
        <f>INDEX(CoverageTable[Deductible Applies],MATCH(Table1820[[#This Row],[Coverage]],CoverageTable[Coverage],0))</f>
        <v>Yes</v>
      </c>
      <c r="P676" t="str">
        <f>INDEX(CoverageTable[Coverage Limit Applies],MATCH(Table1820[[#This Row],[Coverage]],CoverageTable[Coverage],0))</f>
        <v>No</v>
      </c>
      <c r="Q676" t="s">
        <v>79</v>
      </c>
      <c r="R676" t="s">
        <v>10</v>
      </c>
      <c r="S676" t="s">
        <v>10</v>
      </c>
      <c r="T676" t="s">
        <v>10</v>
      </c>
      <c r="U676" t="s">
        <v>10</v>
      </c>
      <c r="V676" t="s">
        <v>10</v>
      </c>
      <c r="W676" t="s">
        <v>10</v>
      </c>
      <c r="X676" s="11">
        <v>3302.2433398563953</v>
      </c>
      <c r="Y676">
        <f>_xlfn.XLOOKUP(Table1820[[#This Row],[Coverage]],CoverageTable[Coverage],CoverageTable[Base Rate],,0)</f>
        <v>453</v>
      </c>
      <c r="Z676">
        <f>INDEX(Table16[Ageband Factor],MATCH(Table1820[[#This Row],[Ageband]],Table16[Ageband],0))</f>
        <v>1.27</v>
      </c>
      <c r="AA676">
        <f>VLOOKUP(Table1820[[#This Row],[Years Driving]],Table1[],2)</f>
        <v>0.93</v>
      </c>
      <c r="AB676">
        <f>_xlfn.XLOOKUP(Table1820[[#This Row],[At Fault Accidents]],Table2[At Fault Accidents],Table2[At Fault Accident Factor],,0)</f>
        <v>2.4700000000000002</v>
      </c>
      <c r="AC676">
        <f>_xlfn.XLOOKUP(Table1820[[#This Row],[Usage-Based Insurance]],Table3[Usage-Based Insurance],Table3[Usage-Based Insurance Discount],,0)</f>
        <v>0.8</v>
      </c>
      <c r="AD676">
        <f>_xlfn.XLOOKUP(Table1820[[#This Row],[Yearly Miles]],Table4[Yearly Miles],Table4[Yearly Miles Factor],,0)</f>
        <v>1.18</v>
      </c>
      <c r="AE676">
        <f>_xlfn.XLOOKUP(Table1820[[#This Row],[City/Zip Code]],Table5[City/Zip Code],Table5[City/Zip Code Factor],,0)</f>
        <v>1.56</v>
      </c>
      <c r="AF676">
        <f>_xlfn.XLOOKUP(Table1820[[#This Row],[Vehicle Price]],Table6[Vehicle Price],Table6[Vehicle Price Factor])</f>
        <v>2.02</v>
      </c>
      <c r="AG676">
        <f>_xlfn.XLOOKUP(Table1820[[#This Row],[Exotic Car]],Table7[Exotic Car],Table7[Exotic Car Factor],,0)</f>
        <v>1</v>
      </c>
      <c r="AH676">
        <f>_xlfn.XLOOKUP(Table1820[[#This Row],[Difficult Parts]],Table8[Difficult Parts],Table8[Difficult Parts Factor],,0)</f>
        <v>1</v>
      </c>
      <c r="AI676">
        <f>_xlfn.XLOOKUP(Table1820[[#This Row],[High Theft Rate]],Table9[High Theft Rate],Table9[High Theft Rate Factor],,0)</f>
        <v>1</v>
      </c>
      <c r="AJ676">
        <f>_xlfn.XLOOKUP(Table1820[[#This Row],[Advanced Safety Features]],Table10[Advanced Safety Features],Table10[Advanced Safety Features Factor],,0)</f>
        <v>1</v>
      </c>
      <c r="AK676">
        <f>_xlfn.XLOOKUP(Table1820[[#This Row],[Deductible]],Table12[Deductible],Table12[Deductible Factor],,0)</f>
        <v>0.84</v>
      </c>
      <c r="AL676">
        <f>_xlfn.XLOOKUP(Table1820[[#This Row],[Coverage Limit]],Table13[Coverage Limit],Table13[Coverage Limit Factor],,0)</f>
        <v>1</v>
      </c>
      <c r="AM676">
        <f>IF(Table1820[[#This Row],[Good Student Discount]]="Yes",'Rate Book'!$D$126,1)</f>
        <v>1</v>
      </c>
      <c r="AN676">
        <f>IF(Table1820[[#This Row],[Good Driver Discount]]="Yes",'Rate Book'!$D$127,1)</f>
        <v>1</v>
      </c>
      <c r="AO676">
        <f>IF(Table1820[[#This Row],[Multi Policy Discount]]="Yes",'Rate Book'!$D$128,1)</f>
        <v>1</v>
      </c>
      <c r="AP676">
        <f>IF(Table1820[[#This Row],[Loyal Customer Discount]]="Yes",'Rate Book'!$D$129,1)</f>
        <v>1</v>
      </c>
      <c r="AQ676">
        <f>IF(Table1820[[#This Row],[Organization Discount]]="Yes",'Rate Book'!$D$130,1)</f>
        <v>1</v>
      </c>
      <c r="AR676" cm="1">
        <f t="array" ref="AR676">IF(Table1820[[#This Row],[Effective Date]]&gt;=RateChangeTable[Effective Date],RateChangeTable[Rate Change Factor],1)</f>
        <v>1</v>
      </c>
      <c r="AS676" s="10">
        <f>PRODUCT(Table1820[[#This Row],[Base Rate]:[Rate Change Factor]])</f>
        <v>3302.2433398563953</v>
      </c>
      <c r="AT676" s="9">
        <f>Table1820[[#This Row],[System-Generated Premium]]-Table1820[[#This Row],[Expected Premium]]</f>
        <v>0</v>
      </c>
      <c r="AU676" t="str">
        <f>IF(Table1820[[#This Row],[Difference]]=0,"PASS","FAIL")</f>
        <v>PASS</v>
      </c>
      <c r="AV676" s="9">
        <f>ABS(Table1820[[#This Row],[Difference]])</f>
        <v>0</v>
      </c>
      <c r="AW676" s="9" t="s">
        <v>1136</v>
      </c>
    </row>
    <row r="677" spans="1:49" x14ac:dyDescent="0.3">
      <c r="A677" t="s">
        <v>768</v>
      </c>
      <c r="B677" s="7">
        <v>45892</v>
      </c>
      <c r="C677" t="s">
        <v>73</v>
      </c>
      <c r="D677" t="s">
        <v>1097</v>
      </c>
      <c r="E677" s="3">
        <v>1</v>
      </c>
      <c r="F677" s="3">
        <v>3</v>
      </c>
      <c r="G677" t="s">
        <v>13</v>
      </c>
      <c r="H677" t="s">
        <v>1107</v>
      </c>
      <c r="I677" t="s">
        <v>22</v>
      </c>
      <c r="J677" t="s">
        <v>51</v>
      </c>
      <c r="K677" t="s">
        <v>10</v>
      </c>
      <c r="L677" t="s">
        <v>10</v>
      </c>
      <c r="M677" t="s">
        <v>10</v>
      </c>
      <c r="N677" t="s">
        <v>10</v>
      </c>
      <c r="O677" t="str">
        <f>INDEX(CoverageTable[Deductible Applies],MATCH(Table1820[[#This Row],[Coverage]],CoverageTable[Coverage],0))</f>
        <v>No</v>
      </c>
      <c r="P677" t="str">
        <f>INDEX(CoverageTable[Coverage Limit Applies],MATCH(Table1820[[#This Row],[Coverage]],CoverageTable[Coverage],0))</f>
        <v>Yes</v>
      </c>
      <c r="Q677" t="s">
        <v>10</v>
      </c>
      <c r="R677" t="s">
        <v>78</v>
      </c>
      <c r="S677" t="s">
        <v>10</v>
      </c>
      <c r="T677" t="s">
        <v>10</v>
      </c>
      <c r="U677" t="s">
        <v>10</v>
      </c>
      <c r="V677" t="s">
        <v>10</v>
      </c>
      <c r="W677" t="s">
        <v>10</v>
      </c>
      <c r="X677" s="11">
        <v>175.51136752153809</v>
      </c>
      <c r="Y677">
        <f>_xlfn.XLOOKUP(Table1820[[#This Row],[Coverage]],CoverageTable[Coverage],CoverageTable[Base Rate],,0)</f>
        <v>78</v>
      </c>
      <c r="Z677">
        <f>INDEX(Table16[Ageband Factor],MATCH(Table1820[[#This Row],[Ageband]],Table16[Ageband],0))</f>
        <v>1.32</v>
      </c>
      <c r="AA677">
        <f>VLOOKUP(Table1820[[#This Row],[Years Driving]],Table1[],2)</f>
        <v>1.64</v>
      </c>
      <c r="AB677">
        <f>_xlfn.XLOOKUP(Table1820[[#This Row],[At Fault Accidents]],Table2[At Fault Accidents],Table2[At Fault Accident Factor],,0)</f>
        <v>1.82</v>
      </c>
      <c r="AC677">
        <f>_xlfn.XLOOKUP(Table1820[[#This Row],[Usage-Based Insurance]],Table3[Usage-Based Insurance],Table3[Usage-Based Insurance Discount],,0)</f>
        <v>0.65</v>
      </c>
      <c r="AD677">
        <f>_xlfn.XLOOKUP(Table1820[[#This Row],[Yearly Miles]],Table4[Yearly Miles],Table4[Yearly Miles Factor],,0)</f>
        <v>0.93</v>
      </c>
      <c r="AE677">
        <f>_xlfn.XLOOKUP(Table1820[[#This Row],[City/Zip Code]],Table5[City/Zip Code],Table5[City/Zip Code Factor],,0)</f>
        <v>1.21</v>
      </c>
      <c r="AF677">
        <f>_xlfn.XLOOKUP(Table1820[[#This Row],[Vehicle Price]],Table6[Vehicle Price],Table6[Vehicle Price Factor])</f>
        <v>1.28</v>
      </c>
      <c r="AG677">
        <f>_xlfn.XLOOKUP(Table1820[[#This Row],[Exotic Car]],Table7[Exotic Car],Table7[Exotic Car Factor],,0)</f>
        <v>1</v>
      </c>
      <c r="AH677">
        <f>_xlfn.XLOOKUP(Table1820[[#This Row],[Difficult Parts]],Table8[Difficult Parts],Table8[Difficult Parts Factor],,0)</f>
        <v>1</v>
      </c>
      <c r="AI677">
        <f>_xlfn.XLOOKUP(Table1820[[#This Row],[High Theft Rate]],Table9[High Theft Rate],Table9[High Theft Rate Factor],,0)</f>
        <v>1</v>
      </c>
      <c r="AJ677">
        <f>_xlfn.XLOOKUP(Table1820[[#This Row],[Advanced Safety Features]],Table10[Advanced Safety Features],Table10[Advanced Safety Features Factor],,0)</f>
        <v>1</v>
      </c>
      <c r="AK677">
        <f>_xlfn.XLOOKUP(Table1820[[#This Row],[Deductible]],Table12[Deductible],Table12[Deductible Factor],,0)</f>
        <v>1</v>
      </c>
      <c r="AL677">
        <f>_xlfn.XLOOKUP(Table1820[[#This Row],[Coverage Limit]],Table13[Coverage Limit],Table13[Coverage Limit Factor],,0)</f>
        <v>0.61</v>
      </c>
      <c r="AM677">
        <f>IF(Table1820[[#This Row],[Good Student Discount]]="Yes",'Rate Book'!$D$126,1)</f>
        <v>1</v>
      </c>
      <c r="AN677">
        <f>IF(Table1820[[#This Row],[Good Driver Discount]]="Yes",'Rate Book'!$D$127,1)</f>
        <v>1</v>
      </c>
      <c r="AO677">
        <f>IF(Table1820[[#This Row],[Multi Policy Discount]]="Yes",'Rate Book'!$D$128,1)</f>
        <v>1</v>
      </c>
      <c r="AP677">
        <f>IF(Table1820[[#This Row],[Loyal Customer Discount]]="Yes",'Rate Book'!$D$129,1)</f>
        <v>1</v>
      </c>
      <c r="AQ677">
        <f>IF(Table1820[[#This Row],[Organization Discount]]="Yes",'Rate Book'!$D$130,1)</f>
        <v>1</v>
      </c>
      <c r="AR677" cm="1">
        <f t="array" ref="AR677">IF(Table1820[[#This Row],[Effective Date]]&gt;=RateChangeTable[Effective Date],RateChangeTable[Rate Change Factor],1)</f>
        <v>1</v>
      </c>
      <c r="AS677" s="10">
        <f>PRODUCT(Table1820[[#This Row],[Base Rate]:[Rate Change Factor]])</f>
        <v>175.51136752153809</v>
      </c>
      <c r="AT677" s="9">
        <f>Table1820[[#This Row],[System-Generated Premium]]-Table1820[[#This Row],[Expected Premium]]</f>
        <v>0</v>
      </c>
      <c r="AU677" t="str">
        <f>IF(Table1820[[#This Row],[Difference]]=0,"PASS","FAIL")</f>
        <v>PASS</v>
      </c>
      <c r="AV677" s="9">
        <f>ABS(Table1820[[#This Row],[Difference]])</f>
        <v>0</v>
      </c>
      <c r="AW677" s="9" t="s">
        <v>1136</v>
      </c>
    </row>
    <row r="678" spans="1:49" x14ac:dyDescent="0.3">
      <c r="A678" t="s">
        <v>769</v>
      </c>
      <c r="B678" s="7">
        <v>45809</v>
      </c>
      <c r="C678" t="s">
        <v>74</v>
      </c>
      <c r="D678" t="s">
        <v>1099</v>
      </c>
      <c r="E678" s="3">
        <v>6</v>
      </c>
      <c r="F678" s="3">
        <v>3</v>
      </c>
      <c r="G678" t="s">
        <v>10</v>
      </c>
      <c r="H678" t="s">
        <v>1106</v>
      </c>
      <c r="I678" t="s">
        <v>40</v>
      </c>
      <c r="J678" t="s">
        <v>54</v>
      </c>
      <c r="K678" t="s">
        <v>10</v>
      </c>
      <c r="L678" t="s">
        <v>10</v>
      </c>
      <c r="M678" t="s">
        <v>10</v>
      </c>
      <c r="N678" t="s">
        <v>57</v>
      </c>
      <c r="O678" t="str">
        <f>INDEX(CoverageTable[Deductible Applies],MATCH(Table1820[[#This Row],[Coverage]],CoverageTable[Coverage],0))</f>
        <v>No</v>
      </c>
      <c r="P678" t="str">
        <f>INDEX(CoverageTable[Coverage Limit Applies],MATCH(Table1820[[#This Row],[Coverage]],CoverageTable[Coverage],0))</f>
        <v>Yes</v>
      </c>
      <c r="Q678" t="s">
        <v>10</v>
      </c>
      <c r="R678" t="s">
        <v>80</v>
      </c>
      <c r="S678" t="s">
        <v>10</v>
      </c>
      <c r="T678" t="s">
        <v>57</v>
      </c>
      <c r="U678" t="s">
        <v>10</v>
      </c>
      <c r="V678" t="s">
        <v>10</v>
      </c>
      <c r="W678" t="s">
        <v>10</v>
      </c>
      <c r="X678" s="11">
        <v>125.93007343652735</v>
      </c>
      <c r="Y678">
        <f>_xlfn.XLOOKUP(Table1820[[#This Row],[Coverage]],CoverageTable[Coverage],CoverageTable[Base Rate],,0)</f>
        <v>41</v>
      </c>
      <c r="Z678">
        <f>INDEX(Table16[Ageband Factor],MATCH(Table1820[[#This Row],[Ageband]],Table16[Ageband],0))</f>
        <v>1</v>
      </c>
      <c r="AA678">
        <f>VLOOKUP(Table1820[[#This Row],[Years Driving]],Table1[],2)</f>
        <v>1</v>
      </c>
      <c r="AB678">
        <f>_xlfn.XLOOKUP(Table1820[[#This Row],[At Fault Accidents]],Table2[At Fault Accidents],Table2[At Fault Accident Factor],,0)</f>
        <v>1.82</v>
      </c>
      <c r="AC678">
        <f>_xlfn.XLOOKUP(Table1820[[#This Row],[Usage-Based Insurance]],Table3[Usage-Based Insurance],Table3[Usage-Based Insurance Discount],,0)</f>
        <v>1</v>
      </c>
      <c r="AD678">
        <f>_xlfn.XLOOKUP(Table1820[[#This Row],[Yearly Miles]],Table4[Yearly Miles],Table4[Yearly Miles Factor],,0)</f>
        <v>0.82</v>
      </c>
      <c r="AE678">
        <f>_xlfn.XLOOKUP(Table1820[[#This Row],[City/Zip Code]],Table5[City/Zip Code],Table5[City/Zip Code Factor],,0)</f>
        <v>1.0900000000000001</v>
      </c>
      <c r="AF678">
        <f>_xlfn.XLOOKUP(Table1820[[#This Row],[Vehicle Price]],Table6[Vehicle Price],Table6[Vehicle Price Factor])</f>
        <v>2.87</v>
      </c>
      <c r="AG678">
        <f>_xlfn.XLOOKUP(Table1820[[#This Row],[Exotic Car]],Table7[Exotic Car],Table7[Exotic Car Factor],,0)</f>
        <v>1</v>
      </c>
      <c r="AH678">
        <f>_xlfn.XLOOKUP(Table1820[[#This Row],[Difficult Parts]],Table8[Difficult Parts],Table8[Difficult Parts Factor],,0)</f>
        <v>1</v>
      </c>
      <c r="AI678">
        <f>_xlfn.XLOOKUP(Table1820[[#This Row],[High Theft Rate]],Table9[High Theft Rate],Table9[High Theft Rate Factor],,0)</f>
        <v>1</v>
      </c>
      <c r="AJ678">
        <f>_xlfn.XLOOKUP(Table1820[[#This Row],[Advanced Safety Features]],Table10[Advanced Safety Features],Table10[Advanced Safety Features Factor],,0)</f>
        <v>0.88</v>
      </c>
      <c r="AK678">
        <f>_xlfn.XLOOKUP(Table1820[[#This Row],[Deductible]],Table12[Deductible],Table12[Deductible Factor],,0)</f>
        <v>1</v>
      </c>
      <c r="AL678">
        <f>_xlfn.XLOOKUP(Table1820[[#This Row],[Coverage Limit]],Table13[Coverage Limit],Table13[Coverage Limit Factor],,0)</f>
        <v>0.84</v>
      </c>
      <c r="AM678">
        <f>IF(Table1820[[#This Row],[Good Student Discount]]="Yes",'Rate Book'!$D$126,1)</f>
        <v>1</v>
      </c>
      <c r="AN678">
        <f>IF(Table1820[[#This Row],[Good Driver Discount]]="Yes",'Rate Book'!$D$127,1)</f>
        <v>0.89</v>
      </c>
      <c r="AO678">
        <f>IF(Table1820[[#This Row],[Multi Policy Discount]]="Yes",'Rate Book'!$D$128,1)</f>
        <v>1</v>
      </c>
      <c r="AP678">
        <f>IF(Table1820[[#This Row],[Loyal Customer Discount]]="Yes",'Rate Book'!$D$129,1)</f>
        <v>1</v>
      </c>
      <c r="AQ678">
        <f>IF(Table1820[[#This Row],[Organization Discount]]="Yes",'Rate Book'!$D$130,1)</f>
        <v>1</v>
      </c>
      <c r="AR678" cm="1">
        <f t="array" ref="AR678">IF(Table1820[[#This Row],[Effective Date]]&gt;=RateChangeTable[Effective Date],RateChangeTable[Rate Change Factor],1)</f>
        <v>1</v>
      </c>
      <c r="AS678" s="10">
        <f>PRODUCT(Table1820[[#This Row],[Base Rate]:[Rate Change Factor]])</f>
        <v>125.93007343652735</v>
      </c>
      <c r="AT678" s="9">
        <f>Table1820[[#This Row],[System-Generated Premium]]-Table1820[[#This Row],[Expected Premium]]</f>
        <v>0</v>
      </c>
      <c r="AU678" t="str">
        <f>IF(Table1820[[#This Row],[Difference]]=0,"PASS","FAIL")</f>
        <v>PASS</v>
      </c>
      <c r="AV678" s="9">
        <f>ABS(Table1820[[#This Row],[Difference]])</f>
        <v>0</v>
      </c>
      <c r="AW678" s="9" t="s">
        <v>1136</v>
      </c>
    </row>
    <row r="679" spans="1:49" x14ac:dyDescent="0.3">
      <c r="A679" t="s">
        <v>770</v>
      </c>
      <c r="B679" s="7">
        <v>45970</v>
      </c>
      <c r="C679" t="s">
        <v>70</v>
      </c>
      <c r="D679" t="s">
        <v>1097</v>
      </c>
      <c r="E679" s="3">
        <v>6</v>
      </c>
      <c r="F679" s="3">
        <v>0</v>
      </c>
      <c r="G679" t="s">
        <v>13</v>
      </c>
      <c r="H679" t="s">
        <v>1106</v>
      </c>
      <c r="I679" t="s">
        <v>34</v>
      </c>
      <c r="J679" t="s">
        <v>49</v>
      </c>
      <c r="K679" t="s">
        <v>10</v>
      </c>
      <c r="L679" t="s">
        <v>10</v>
      </c>
      <c r="M679" t="s">
        <v>10</v>
      </c>
      <c r="N679" t="s">
        <v>57</v>
      </c>
      <c r="O679" t="str">
        <f>INDEX(CoverageTable[Deductible Applies],MATCH(Table1820[[#This Row],[Coverage]],CoverageTable[Coverage],0))</f>
        <v>No</v>
      </c>
      <c r="P679" t="str">
        <f>INDEX(CoverageTable[Coverage Limit Applies],MATCH(Table1820[[#This Row],[Coverage]],CoverageTable[Coverage],0))</f>
        <v>Yes</v>
      </c>
      <c r="Q679" t="s">
        <v>10</v>
      </c>
      <c r="R679" t="s">
        <v>78</v>
      </c>
      <c r="S679" t="s">
        <v>10</v>
      </c>
      <c r="T679" t="s">
        <v>10</v>
      </c>
      <c r="U679" t="s">
        <v>10</v>
      </c>
      <c r="V679" t="s">
        <v>10</v>
      </c>
      <c r="W679" t="s">
        <v>10</v>
      </c>
      <c r="X679" s="11">
        <v>403.94</v>
      </c>
      <c r="Y679">
        <f>_xlfn.XLOOKUP(Table1820[[#This Row],[Coverage]],CoverageTable[Coverage],CoverageTable[Base Rate],,0)</f>
        <v>622</v>
      </c>
      <c r="Z679">
        <f>INDEX(Table16[Ageband Factor],MATCH(Table1820[[#This Row],[Ageband]],Table16[Ageband],0))</f>
        <v>1.32</v>
      </c>
      <c r="AA679">
        <f>VLOOKUP(Table1820[[#This Row],[Years Driving]],Table1[],2)</f>
        <v>1</v>
      </c>
      <c r="AB679">
        <f>_xlfn.XLOOKUP(Table1820[[#This Row],[At Fault Accidents]],Table2[At Fault Accidents],Table2[At Fault Accident Factor],,0)</f>
        <v>1</v>
      </c>
      <c r="AC679">
        <f>_xlfn.XLOOKUP(Table1820[[#This Row],[Usage-Based Insurance]],Table3[Usage-Based Insurance],Table3[Usage-Based Insurance Discount],,0)</f>
        <v>0.65</v>
      </c>
      <c r="AD679">
        <f>_xlfn.XLOOKUP(Table1820[[#This Row],[Yearly Miles]],Table4[Yearly Miles],Table4[Yearly Miles Factor],,0)</f>
        <v>0.82</v>
      </c>
      <c r="AE679">
        <f>_xlfn.XLOOKUP(Table1820[[#This Row],[City/Zip Code]],Table5[City/Zip Code],Table5[City/Zip Code Factor],,0)</f>
        <v>1.56</v>
      </c>
      <c r="AF679">
        <f>_xlfn.XLOOKUP(Table1820[[#This Row],[Vehicle Price]],Table6[Vehicle Price],Table6[Vehicle Price Factor])</f>
        <v>0.97</v>
      </c>
      <c r="AG679">
        <f>_xlfn.XLOOKUP(Table1820[[#This Row],[Exotic Car]],Table7[Exotic Car],Table7[Exotic Car Factor],,0)</f>
        <v>1</v>
      </c>
      <c r="AH679">
        <f>_xlfn.XLOOKUP(Table1820[[#This Row],[Difficult Parts]],Table8[Difficult Parts],Table8[Difficult Parts Factor],,0)</f>
        <v>1</v>
      </c>
      <c r="AI679">
        <f>_xlfn.XLOOKUP(Table1820[[#This Row],[High Theft Rate]],Table9[High Theft Rate],Table9[High Theft Rate Factor],,0)</f>
        <v>1</v>
      </c>
      <c r="AJ679">
        <f>_xlfn.XLOOKUP(Table1820[[#This Row],[Advanced Safety Features]],Table10[Advanced Safety Features],Table10[Advanced Safety Features Factor],,0)</f>
        <v>0.88</v>
      </c>
      <c r="AK679">
        <f>_xlfn.XLOOKUP(Table1820[[#This Row],[Deductible]],Table12[Deductible],Table12[Deductible Factor],,0)</f>
        <v>1</v>
      </c>
      <c r="AL679">
        <f>_xlfn.XLOOKUP(Table1820[[#This Row],[Coverage Limit]],Table13[Coverage Limit],Table13[Coverage Limit Factor],,0)</f>
        <v>0.61</v>
      </c>
      <c r="AM679">
        <f>IF(Table1820[[#This Row],[Good Student Discount]]="Yes",'Rate Book'!$D$126,1)</f>
        <v>1</v>
      </c>
      <c r="AN679">
        <f>IF(Table1820[[#This Row],[Good Driver Discount]]="Yes",'Rate Book'!$D$127,1)</f>
        <v>1</v>
      </c>
      <c r="AO679">
        <f>IF(Table1820[[#This Row],[Multi Policy Discount]]="Yes",'Rate Book'!$D$128,1)</f>
        <v>1</v>
      </c>
      <c r="AP679">
        <f>IF(Table1820[[#This Row],[Loyal Customer Discount]]="Yes",'Rate Book'!$D$129,1)</f>
        <v>1</v>
      </c>
      <c r="AQ679">
        <f>IF(Table1820[[#This Row],[Organization Discount]]="Yes",'Rate Book'!$D$130,1)</f>
        <v>1</v>
      </c>
      <c r="AR679" cm="1">
        <f t="array" ref="AR679">IF(Table1820[[#This Row],[Effective Date]]&gt;=RateChangeTable[Effective Date],RateChangeTable[Rate Change Factor],1)</f>
        <v>1</v>
      </c>
      <c r="AS679" s="10">
        <f>PRODUCT(Table1820[[#This Row],[Base Rate]:[Rate Change Factor]])</f>
        <v>355.46788050808328</v>
      </c>
      <c r="AT679" s="9">
        <f>Table1820[[#This Row],[System-Generated Premium]]-Table1820[[#This Row],[Expected Premium]]</f>
        <v>48.472119491916715</v>
      </c>
      <c r="AU679" t="str">
        <f>IF(Table1820[[#This Row],[Difference]]=0,"PASS","FAIL")</f>
        <v>FAIL</v>
      </c>
      <c r="AV679" s="9">
        <f>ABS(Table1820[[#This Row],[Difference]])</f>
        <v>48.472119491916715</v>
      </c>
      <c r="AW679" s="9" t="s">
        <v>1139</v>
      </c>
    </row>
    <row r="680" spans="1:49" x14ac:dyDescent="0.3">
      <c r="A680" t="s">
        <v>771</v>
      </c>
      <c r="B680" s="7">
        <v>45882</v>
      </c>
      <c r="C680" t="s">
        <v>72</v>
      </c>
      <c r="D680" t="s">
        <v>1098</v>
      </c>
      <c r="E680" s="3" t="s">
        <v>1103</v>
      </c>
      <c r="F680" s="3" t="s">
        <v>7</v>
      </c>
      <c r="G680" t="s">
        <v>10</v>
      </c>
      <c r="H680" t="s">
        <v>1109</v>
      </c>
      <c r="I680" t="s">
        <v>21</v>
      </c>
      <c r="J680" t="s">
        <v>53</v>
      </c>
      <c r="K680" t="s">
        <v>10</v>
      </c>
      <c r="L680" t="s">
        <v>10</v>
      </c>
      <c r="M680" t="s">
        <v>10</v>
      </c>
      <c r="N680" t="s">
        <v>10</v>
      </c>
      <c r="O680" t="str">
        <f>INDEX(CoverageTable[Deductible Applies],MATCH(Table1820[[#This Row],[Coverage]],CoverageTable[Coverage],0))</f>
        <v>Yes</v>
      </c>
      <c r="P680" t="str">
        <f>INDEX(CoverageTable[Coverage Limit Applies],MATCH(Table1820[[#This Row],[Coverage]],CoverageTable[Coverage],0))</f>
        <v>No</v>
      </c>
      <c r="Q680" t="s">
        <v>80</v>
      </c>
      <c r="R680" t="s">
        <v>10</v>
      </c>
      <c r="S680" t="s">
        <v>10</v>
      </c>
      <c r="T680" t="s">
        <v>57</v>
      </c>
      <c r="U680" t="s">
        <v>10</v>
      </c>
      <c r="V680" t="s">
        <v>10</v>
      </c>
      <c r="W680" t="s">
        <v>10</v>
      </c>
      <c r="X680" s="11">
        <v>657.9559346147372</v>
      </c>
      <c r="Y680">
        <f>_xlfn.XLOOKUP(Table1820[[#This Row],[Coverage]],CoverageTable[Coverage],CoverageTable[Base Rate],,0)</f>
        <v>121</v>
      </c>
      <c r="Z680">
        <f>INDEX(Table16[Ageband Factor],MATCH(Table1820[[#This Row],[Ageband]],Table16[Ageband],0))</f>
        <v>1.23</v>
      </c>
      <c r="AA680">
        <f>VLOOKUP(Table1820[[#This Row],[Years Driving]],Table1[],2)</f>
        <v>0.93</v>
      </c>
      <c r="AB680">
        <f>_xlfn.XLOOKUP(Table1820[[#This Row],[At Fault Accidents]],Table2[At Fault Accidents],Table2[At Fault Accident Factor],,0)</f>
        <v>2.4700000000000002</v>
      </c>
      <c r="AC680">
        <f>_xlfn.XLOOKUP(Table1820[[#This Row],[Usage-Based Insurance]],Table3[Usage-Based Insurance],Table3[Usage-Based Insurance Discount],,0)</f>
        <v>1</v>
      </c>
      <c r="AD680">
        <f>_xlfn.XLOOKUP(Table1820[[#This Row],[Yearly Miles]],Table4[Yearly Miles],Table4[Yearly Miles Factor],,0)</f>
        <v>1.18</v>
      </c>
      <c r="AE680">
        <f>_xlfn.XLOOKUP(Table1820[[#This Row],[City/Zip Code]],Table5[City/Zip Code],Table5[City/Zip Code Factor],,0)</f>
        <v>1.26</v>
      </c>
      <c r="AF680">
        <f>_xlfn.XLOOKUP(Table1820[[#This Row],[Vehicle Price]],Table6[Vehicle Price],Table6[Vehicle Price Factor])</f>
        <v>2.02</v>
      </c>
      <c r="AG680">
        <f>_xlfn.XLOOKUP(Table1820[[#This Row],[Exotic Car]],Table7[Exotic Car],Table7[Exotic Car Factor],,0)</f>
        <v>1</v>
      </c>
      <c r="AH680">
        <f>_xlfn.XLOOKUP(Table1820[[#This Row],[Difficult Parts]],Table8[Difficult Parts],Table8[Difficult Parts Factor],,0)</f>
        <v>1</v>
      </c>
      <c r="AI680">
        <f>_xlfn.XLOOKUP(Table1820[[#This Row],[High Theft Rate]],Table9[High Theft Rate],Table9[High Theft Rate Factor],,0)</f>
        <v>1</v>
      </c>
      <c r="AJ680">
        <f>_xlfn.XLOOKUP(Table1820[[#This Row],[Advanced Safety Features]],Table10[Advanced Safety Features],Table10[Advanced Safety Features Factor],,0)</f>
        <v>1</v>
      </c>
      <c r="AK680">
        <f>_xlfn.XLOOKUP(Table1820[[#This Row],[Deductible]],Table12[Deductible],Table12[Deductible Factor],,0)</f>
        <v>0.72</v>
      </c>
      <c r="AL680">
        <f>_xlfn.XLOOKUP(Table1820[[#This Row],[Coverage Limit]],Table13[Coverage Limit],Table13[Coverage Limit Factor],,0)</f>
        <v>1</v>
      </c>
      <c r="AM680">
        <f>IF(Table1820[[#This Row],[Good Student Discount]]="Yes",'Rate Book'!$D$126,1)</f>
        <v>1</v>
      </c>
      <c r="AN680">
        <f>IF(Table1820[[#This Row],[Good Driver Discount]]="Yes",'Rate Book'!$D$127,1)</f>
        <v>0.89</v>
      </c>
      <c r="AO680">
        <f>IF(Table1820[[#This Row],[Multi Policy Discount]]="Yes",'Rate Book'!$D$128,1)</f>
        <v>1</v>
      </c>
      <c r="AP680">
        <f>IF(Table1820[[#This Row],[Loyal Customer Discount]]="Yes",'Rate Book'!$D$129,1)</f>
        <v>1</v>
      </c>
      <c r="AQ680">
        <f>IF(Table1820[[#This Row],[Organization Discount]]="Yes",'Rate Book'!$D$130,1)</f>
        <v>1</v>
      </c>
      <c r="AR680" cm="1">
        <f t="array" ref="AR680">IF(Table1820[[#This Row],[Effective Date]]&gt;=RateChangeTable[Effective Date],RateChangeTable[Rate Change Factor],1)</f>
        <v>1</v>
      </c>
      <c r="AS680" s="10">
        <f>PRODUCT(Table1820[[#This Row],[Base Rate]:[Rate Change Factor]])</f>
        <v>657.9559346147372</v>
      </c>
      <c r="AT680" s="9">
        <f>Table1820[[#This Row],[System-Generated Premium]]-Table1820[[#This Row],[Expected Premium]]</f>
        <v>0</v>
      </c>
      <c r="AU680" t="str">
        <f>IF(Table1820[[#This Row],[Difference]]=0,"PASS","FAIL")</f>
        <v>PASS</v>
      </c>
      <c r="AV680" s="9">
        <f>ABS(Table1820[[#This Row],[Difference]])</f>
        <v>0</v>
      </c>
      <c r="AW680" s="9" t="s">
        <v>1136</v>
      </c>
    </row>
    <row r="681" spans="1:49" x14ac:dyDescent="0.3">
      <c r="A681" t="s">
        <v>772</v>
      </c>
      <c r="B681" s="7">
        <v>45865</v>
      </c>
      <c r="C681" t="s">
        <v>70</v>
      </c>
      <c r="D681" t="s">
        <v>1102</v>
      </c>
      <c r="E681" s="3">
        <v>5</v>
      </c>
      <c r="F681" s="3" t="s">
        <v>7</v>
      </c>
      <c r="G681" t="s">
        <v>10</v>
      </c>
      <c r="H681" t="s">
        <v>1106</v>
      </c>
      <c r="I681" t="s">
        <v>29</v>
      </c>
      <c r="J681" t="s">
        <v>48</v>
      </c>
      <c r="K681" t="s">
        <v>57</v>
      </c>
      <c r="L681" t="s">
        <v>10</v>
      </c>
      <c r="M681" t="s">
        <v>10</v>
      </c>
      <c r="N681" t="s">
        <v>57</v>
      </c>
      <c r="O681" t="str">
        <f>INDEX(CoverageTable[Deductible Applies],MATCH(Table1820[[#This Row],[Coverage]],CoverageTable[Coverage],0))</f>
        <v>No</v>
      </c>
      <c r="P681" t="str">
        <f>INDEX(CoverageTable[Coverage Limit Applies],MATCH(Table1820[[#This Row],[Coverage]],CoverageTable[Coverage],0))</f>
        <v>Yes</v>
      </c>
      <c r="Q681" t="s">
        <v>10</v>
      </c>
      <c r="R681" t="s">
        <v>80</v>
      </c>
      <c r="S681" t="s">
        <v>10</v>
      </c>
      <c r="T681" t="s">
        <v>10</v>
      </c>
      <c r="U681" t="s">
        <v>10</v>
      </c>
      <c r="V681" t="s">
        <v>10</v>
      </c>
      <c r="W681" t="s">
        <v>57</v>
      </c>
      <c r="X681" s="11">
        <v>1404.3414077086752</v>
      </c>
      <c r="Y681">
        <f>_xlfn.XLOOKUP(Table1820[[#This Row],[Coverage]],CoverageTable[Coverage],CoverageTable[Base Rate],,0)</f>
        <v>622</v>
      </c>
      <c r="Z681">
        <f>INDEX(Table16[Ageband Factor],MATCH(Table1820[[#This Row],[Ageband]],Table16[Ageband],0))</f>
        <v>1.27</v>
      </c>
      <c r="AA681">
        <f>VLOOKUP(Table1820[[#This Row],[Years Driving]],Table1[],2)</f>
        <v>1.07</v>
      </c>
      <c r="AB681">
        <f>_xlfn.XLOOKUP(Table1820[[#This Row],[At Fault Accidents]],Table2[At Fault Accidents],Table2[At Fault Accident Factor],,0)</f>
        <v>2.4700000000000002</v>
      </c>
      <c r="AC681">
        <f>_xlfn.XLOOKUP(Table1820[[#This Row],[Usage-Based Insurance]],Table3[Usage-Based Insurance],Table3[Usage-Based Insurance Discount],,0)</f>
        <v>1</v>
      </c>
      <c r="AD681">
        <f>_xlfn.XLOOKUP(Table1820[[#This Row],[Yearly Miles]],Table4[Yearly Miles],Table4[Yearly Miles Factor],,0)</f>
        <v>0.82</v>
      </c>
      <c r="AE681">
        <f>_xlfn.XLOOKUP(Table1820[[#This Row],[City/Zip Code]],Table5[City/Zip Code],Table5[City/Zip Code Factor],,0)</f>
        <v>1.0900000000000001</v>
      </c>
      <c r="AF681">
        <f>_xlfn.XLOOKUP(Table1820[[#This Row],[Vehicle Price]],Table6[Vehicle Price],Table6[Vehicle Price Factor])</f>
        <v>0.82</v>
      </c>
      <c r="AG681">
        <f>_xlfn.XLOOKUP(Table1820[[#This Row],[Exotic Car]],Table7[Exotic Car],Table7[Exotic Car Factor],,0)</f>
        <v>1.28</v>
      </c>
      <c r="AH681">
        <f>_xlfn.XLOOKUP(Table1820[[#This Row],[Difficult Parts]],Table8[Difficult Parts],Table8[Difficult Parts Factor],,0)</f>
        <v>1</v>
      </c>
      <c r="AI681">
        <f>_xlfn.XLOOKUP(Table1820[[#This Row],[High Theft Rate]],Table9[High Theft Rate],Table9[High Theft Rate Factor],,0)</f>
        <v>1</v>
      </c>
      <c r="AJ681">
        <f>_xlfn.XLOOKUP(Table1820[[#This Row],[Advanced Safety Features]],Table10[Advanced Safety Features],Table10[Advanced Safety Features Factor],,0)</f>
        <v>0.88</v>
      </c>
      <c r="AK681">
        <f>_xlfn.XLOOKUP(Table1820[[#This Row],[Deductible]],Table12[Deductible],Table12[Deductible Factor],,0)</f>
        <v>1</v>
      </c>
      <c r="AL681">
        <f>_xlfn.XLOOKUP(Table1820[[#This Row],[Coverage Limit]],Table13[Coverage Limit],Table13[Coverage Limit Factor],,0)</f>
        <v>0.84</v>
      </c>
      <c r="AM681">
        <f>IF(Table1820[[#This Row],[Good Student Discount]]="Yes",'Rate Book'!$D$126,1)</f>
        <v>1</v>
      </c>
      <c r="AN681">
        <f>IF(Table1820[[#This Row],[Good Driver Discount]]="Yes",'Rate Book'!$D$127,1)</f>
        <v>1</v>
      </c>
      <c r="AO681">
        <f>IF(Table1820[[#This Row],[Multi Policy Discount]]="Yes",'Rate Book'!$D$128,1)</f>
        <v>1</v>
      </c>
      <c r="AP681">
        <f>IF(Table1820[[#This Row],[Loyal Customer Discount]]="Yes",'Rate Book'!$D$129,1)</f>
        <v>1</v>
      </c>
      <c r="AQ681">
        <f>IF(Table1820[[#This Row],[Organization Discount]]="Yes",'Rate Book'!$D$130,1)</f>
        <v>0.97</v>
      </c>
      <c r="AR681" cm="1">
        <f t="array" ref="AR681">IF(Table1820[[#This Row],[Effective Date]]&gt;=RateChangeTable[Effective Date],RateChangeTable[Rate Change Factor],1)</f>
        <v>1</v>
      </c>
      <c r="AS681" s="10">
        <f>PRODUCT(Table1820[[#This Row],[Base Rate]:[Rate Change Factor]])</f>
        <v>1404.3414077086752</v>
      </c>
      <c r="AT681" s="9">
        <f>Table1820[[#This Row],[System-Generated Premium]]-Table1820[[#This Row],[Expected Premium]]</f>
        <v>0</v>
      </c>
      <c r="AU681" t="str">
        <f>IF(Table1820[[#This Row],[Difference]]=0,"PASS","FAIL")</f>
        <v>PASS</v>
      </c>
      <c r="AV681" s="9">
        <f>ABS(Table1820[[#This Row],[Difference]])</f>
        <v>0</v>
      </c>
      <c r="AW681" s="9" t="s">
        <v>1136</v>
      </c>
    </row>
    <row r="682" spans="1:49" x14ac:dyDescent="0.3">
      <c r="A682" t="s">
        <v>773</v>
      </c>
      <c r="B682" s="7">
        <v>46056</v>
      </c>
      <c r="C682" t="s">
        <v>70</v>
      </c>
      <c r="D682" t="s">
        <v>1101</v>
      </c>
      <c r="E682" s="3" t="s">
        <v>1103</v>
      </c>
      <c r="F682" s="3">
        <v>4</v>
      </c>
      <c r="G682" t="s">
        <v>10</v>
      </c>
      <c r="H682" t="s">
        <v>1107</v>
      </c>
      <c r="I682" t="s">
        <v>39</v>
      </c>
      <c r="J682" t="s">
        <v>48</v>
      </c>
      <c r="K682" t="s">
        <v>10</v>
      </c>
      <c r="L682" t="s">
        <v>57</v>
      </c>
      <c r="M682" t="s">
        <v>10</v>
      </c>
      <c r="N682" t="s">
        <v>57</v>
      </c>
      <c r="O682" t="str">
        <f>INDEX(CoverageTable[Deductible Applies],MATCH(Table1820[[#This Row],[Coverage]],CoverageTable[Coverage],0))</f>
        <v>No</v>
      </c>
      <c r="P682" t="str">
        <f>INDEX(CoverageTable[Coverage Limit Applies],MATCH(Table1820[[#This Row],[Coverage]],CoverageTable[Coverage],0))</f>
        <v>Yes</v>
      </c>
      <c r="Q682" t="s">
        <v>10</v>
      </c>
      <c r="R682" t="s">
        <v>78</v>
      </c>
      <c r="S682" t="s">
        <v>10</v>
      </c>
      <c r="T682" t="s">
        <v>57</v>
      </c>
      <c r="U682" t="s">
        <v>10</v>
      </c>
      <c r="V682" t="s">
        <v>10</v>
      </c>
      <c r="W682" t="s">
        <v>10</v>
      </c>
      <c r="X682" s="11">
        <v>693.17281585160379</v>
      </c>
      <c r="Y682">
        <f>_xlfn.XLOOKUP(Table1820[[#This Row],[Coverage]],CoverageTable[Coverage],CoverageTable[Base Rate],,0)</f>
        <v>622</v>
      </c>
      <c r="Z682">
        <f>INDEX(Table16[Ageband Factor],MATCH(Table1820[[#This Row],[Ageband]],Table16[Ageband],0))</f>
        <v>1.1200000000000001</v>
      </c>
      <c r="AA682">
        <f>VLOOKUP(Table1820[[#This Row],[Years Driving]],Table1[],2)</f>
        <v>0.93</v>
      </c>
      <c r="AB682">
        <f>_xlfn.XLOOKUP(Table1820[[#This Row],[At Fault Accidents]],Table2[At Fault Accidents],Table2[At Fault Accident Factor],,0)</f>
        <v>2.12</v>
      </c>
      <c r="AC682">
        <f>_xlfn.XLOOKUP(Table1820[[#This Row],[Usage-Based Insurance]],Table3[Usage-Based Insurance],Table3[Usage-Based Insurance Discount],,0)</f>
        <v>1</v>
      </c>
      <c r="AD682">
        <f>_xlfn.XLOOKUP(Table1820[[#This Row],[Yearly Miles]],Table4[Yearly Miles],Table4[Yearly Miles Factor],,0)</f>
        <v>0.93</v>
      </c>
      <c r="AE682">
        <f>_xlfn.XLOOKUP(Table1820[[#This Row],[City/Zip Code]],Table5[City/Zip Code],Table5[City/Zip Code Factor],,0)</f>
        <v>1.08</v>
      </c>
      <c r="AF682">
        <f>_xlfn.XLOOKUP(Table1820[[#This Row],[Vehicle Price]],Table6[Vehicle Price],Table6[Vehicle Price Factor])</f>
        <v>0.82</v>
      </c>
      <c r="AG682">
        <f>_xlfn.XLOOKUP(Table1820[[#This Row],[Exotic Car]],Table7[Exotic Car],Table7[Exotic Car Factor],,0)</f>
        <v>1</v>
      </c>
      <c r="AH682">
        <f>_xlfn.XLOOKUP(Table1820[[#This Row],[Difficult Parts]],Table8[Difficult Parts],Table8[Difficult Parts Factor],,0)</f>
        <v>1.21</v>
      </c>
      <c r="AI682">
        <f>_xlfn.XLOOKUP(Table1820[[#This Row],[High Theft Rate]],Table9[High Theft Rate],Table9[High Theft Rate Factor],,0)</f>
        <v>1</v>
      </c>
      <c r="AJ682">
        <f>_xlfn.XLOOKUP(Table1820[[#This Row],[Advanced Safety Features]],Table10[Advanced Safety Features],Table10[Advanced Safety Features Factor],,0)</f>
        <v>0.88</v>
      </c>
      <c r="AK682">
        <f>_xlfn.XLOOKUP(Table1820[[#This Row],[Deductible]],Table12[Deductible],Table12[Deductible Factor],,0)</f>
        <v>1</v>
      </c>
      <c r="AL682">
        <f>_xlfn.XLOOKUP(Table1820[[#This Row],[Coverage Limit]],Table13[Coverage Limit],Table13[Coverage Limit Factor],,0)</f>
        <v>0.61</v>
      </c>
      <c r="AM682">
        <f>IF(Table1820[[#This Row],[Good Student Discount]]="Yes",'Rate Book'!$D$126,1)</f>
        <v>1</v>
      </c>
      <c r="AN682">
        <f>IF(Table1820[[#This Row],[Good Driver Discount]]="Yes",'Rate Book'!$D$127,1)</f>
        <v>0.89</v>
      </c>
      <c r="AO682">
        <f>IF(Table1820[[#This Row],[Multi Policy Discount]]="Yes",'Rate Book'!$D$128,1)</f>
        <v>1</v>
      </c>
      <c r="AP682">
        <f>IF(Table1820[[#This Row],[Loyal Customer Discount]]="Yes",'Rate Book'!$D$129,1)</f>
        <v>1</v>
      </c>
      <c r="AQ682">
        <f>IF(Table1820[[#This Row],[Organization Discount]]="Yes",'Rate Book'!$D$130,1)</f>
        <v>1</v>
      </c>
      <c r="AR682" cm="1">
        <f t="array" ref="AR682">IF(Table1820[[#This Row],[Effective Date]]&gt;=RateChangeTable[Effective Date],RateChangeTable[Rate Change Factor],1)</f>
        <v>1.06</v>
      </c>
      <c r="AS682" s="10">
        <f>PRODUCT(Table1820[[#This Row],[Base Rate]:[Rate Change Factor]])</f>
        <v>693.17281585160379</v>
      </c>
      <c r="AT682" s="9">
        <f>Table1820[[#This Row],[System-Generated Premium]]-Table1820[[#This Row],[Expected Premium]]</f>
        <v>0</v>
      </c>
      <c r="AU682" t="str">
        <f>IF(Table1820[[#This Row],[Difference]]=0,"PASS","FAIL")</f>
        <v>PASS</v>
      </c>
      <c r="AV682" s="9">
        <f>ABS(Table1820[[#This Row],[Difference]])</f>
        <v>0</v>
      </c>
      <c r="AW682" s="9" t="s">
        <v>1136</v>
      </c>
    </row>
    <row r="683" spans="1:49" x14ac:dyDescent="0.3">
      <c r="A683" t="s">
        <v>774</v>
      </c>
      <c r="B683" s="7">
        <v>46115</v>
      </c>
      <c r="C683" t="s">
        <v>70</v>
      </c>
      <c r="D683" t="s">
        <v>1100</v>
      </c>
      <c r="E683" s="3" t="s">
        <v>1103</v>
      </c>
      <c r="F683" s="3">
        <v>0</v>
      </c>
      <c r="G683" t="s">
        <v>13</v>
      </c>
      <c r="H683" t="s">
        <v>1106</v>
      </c>
      <c r="I683" t="s">
        <v>25</v>
      </c>
      <c r="J683" t="s">
        <v>54</v>
      </c>
      <c r="K683" t="s">
        <v>10</v>
      </c>
      <c r="L683" t="s">
        <v>10</v>
      </c>
      <c r="M683" t="s">
        <v>10</v>
      </c>
      <c r="N683" t="s">
        <v>57</v>
      </c>
      <c r="O683" t="str">
        <f>INDEX(CoverageTable[Deductible Applies],MATCH(Table1820[[#This Row],[Coverage]],CoverageTable[Coverage],0))</f>
        <v>No</v>
      </c>
      <c r="P683" t="str">
        <f>INDEX(CoverageTable[Coverage Limit Applies],MATCH(Table1820[[#This Row],[Coverage]],CoverageTable[Coverage],0))</f>
        <v>Yes</v>
      </c>
      <c r="Q683" t="s">
        <v>10</v>
      </c>
      <c r="R683" t="s">
        <v>78</v>
      </c>
      <c r="S683" t="s">
        <v>10</v>
      </c>
      <c r="T683" t="s">
        <v>57</v>
      </c>
      <c r="U683" t="s">
        <v>10</v>
      </c>
      <c r="V683" t="s">
        <v>57</v>
      </c>
      <c r="W683" t="s">
        <v>10</v>
      </c>
      <c r="X683" s="11">
        <v>522.82992672676733</v>
      </c>
      <c r="Y683">
        <f>_xlfn.XLOOKUP(Table1820[[#This Row],[Coverage]],CoverageTable[Coverage],CoverageTable[Base Rate],,0)</f>
        <v>622</v>
      </c>
      <c r="Z683">
        <f>INDEX(Table16[Ageband Factor],MATCH(Table1820[[#This Row],[Ageband]],Table16[Ageband],0))</f>
        <v>1.07</v>
      </c>
      <c r="AA683">
        <f>VLOOKUP(Table1820[[#This Row],[Years Driving]],Table1[],2)</f>
        <v>0.93</v>
      </c>
      <c r="AB683">
        <f>_xlfn.XLOOKUP(Table1820[[#This Row],[At Fault Accidents]],Table2[At Fault Accidents],Table2[At Fault Accident Factor],,0)</f>
        <v>1</v>
      </c>
      <c r="AC683">
        <f>_xlfn.XLOOKUP(Table1820[[#This Row],[Usage-Based Insurance]],Table3[Usage-Based Insurance],Table3[Usage-Based Insurance Discount],,0)</f>
        <v>0.65</v>
      </c>
      <c r="AD683">
        <f>_xlfn.XLOOKUP(Table1820[[#This Row],[Yearly Miles]],Table4[Yearly Miles],Table4[Yearly Miles Factor],,0)</f>
        <v>0.82</v>
      </c>
      <c r="AE683">
        <f>_xlfn.XLOOKUP(Table1820[[#This Row],[City/Zip Code]],Table5[City/Zip Code],Table5[City/Zip Code Factor],,0)</f>
        <v>1.1599999999999999</v>
      </c>
      <c r="AF683">
        <f>_xlfn.XLOOKUP(Table1820[[#This Row],[Vehicle Price]],Table6[Vehicle Price],Table6[Vehicle Price Factor])</f>
        <v>2.87</v>
      </c>
      <c r="AG683">
        <f>_xlfn.XLOOKUP(Table1820[[#This Row],[Exotic Car]],Table7[Exotic Car],Table7[Exotic Car Factor],,0)</f>
        <v>1</v>
      </c>
      <c r="AH683">
        <f>_xlfn.XLOOKUP(Table1820[[#This Row],[Difficult Parts]],Table8[Difficult Parts],Table8[Difficult Parts Factor],,0)</f>
        <v>1</v>
      </c>
      <c r="AI683">
        <f>_xlfn.XLOOKUP(Table1820[[#This Row],[High Theft Rate]],Table9[High Theft Rate],Table9[High Theft Rate Factor],,0)</f>
        <v>1</v>
      </c>
      <c r="AJ683">
        <f>_xlfn.XLOOKUP(Table1820[[#This Row],[Advanced Safety Features]],Table10[Advanced Safety Features],Table10[Advanced Safety Features Factor],,0)</f>
        <v>0.88</v>
      </c>
      <c r="AK683">
        <f>_xlfn.XLOOKUP(Table1820[[#This Row],[Deductible]],Table12[Deductible],Table12[Deductible Factor],,0)</f>
        <v>1</v>
      </c>
      <c r="AL683">
        <f>_xlfn.XLOOKUP(Table1820[[#This Row],[Coverage Limit]],Table13[Coverage Limit],Table13[Coverage Limit Factor],,0)</f>
        <v>0.61</v>
      </c>
      <c r="AM683">
        <f>IF(Table1820[[#This Row],[Good Student Discount]]="Yes",'Rate Book'!$D$126,1)</f>
        <v>1</v>
      </c>
      <c r="AN683">
        <f>IF(Table1820[[#This Row],[Good Driver Discount]]="Yes",'Rate Book'!$D$127,1)</f>
        <v>0.89</v>
      </c>
      <c r="AO683">
        <f>IF(Table1820[[#This Row],[Multi Policy Discount]]="Yes",'Rate Book'!$D$128,1)</f>
        <v>1</v>
      </c>
      <c r="AP683">
        <f>IF(Table1820[[#This Row],[Loyal Customer Discount]]="Yes",'Rate Book'!$D$129,1)</f>
        <v>0.94</v>
      </c>
      <c r="AQ683">
        <f>IF(Table1820[[#This Row],[Organization Discount]]="Yes",'Rate Book'!$D$130,1)</f>
        <v>1</v>
      </c>
      <c r="AR683" cm="1">
        <f t="array" ref="AR683">IF(Table1820[[#This Row],[Effective Date]]&gt;=RateChangeTable[Effective Date],RateChangeTable[Rate Change Factor],1)</f>
        <v>1.06</v>
      </c>
      <c r="AS683" s="10">
        <f>PRODUCT(Table1820[[#This Row],[Base Rate]:[Rate Change Factor]])</f>
        <v>522.82992672676733</v>
      </c>
      <c r="AT683" s="9">
        <f>Table1820[[#This Row],[System-Generated Premium]]-Table1820[[#This Row],[Expected Premium]]</f>
        <v>0</v>
      </c>
      <c r="AU683" t="str">
        <f>IF(Table1820[[#This Row],[Difference]]=0,"PASS","FAIL")</f>
        <v>PASS</v>
      </c>
      <c r="AV683" s="9">
        <f>ABS(Table1820[[#This Row],[Difference]])</f>
        <v>0</v>
      </c>
      <c r="AW683" s="9" t="s">
        <v>1136</v>
      </c>
    </row>
    <row r="684" spans="1:49" x14ac:dyDescent="0.3">
      <c r="A684" t="s">
        <v>775</v>
      </c>
      <c r="B684" s="7">
        <v>45788</v>
      </c>
      <c r="C684" t="s">
        <v>72</v>
      </c>
      <c r="D684" t="s">
        <v>1102</v>
      </c>
      <c r="E684" s="3">
        <v>5</v>
      </c>
      <c r="F684" s="3">
        <v>1</v>
      </c>
      <c r="G684" t="s">
        <v>13</v>
      </c>
      <c r="H684" t="s">
        <v>1107</v>
      </c>
      <c r="I684" t="s">
        <v>35</v>
      </c>
      <c r="J684" t="s">
        <v>52</v>
      </c>
      <c r="K684" t="s">
        <v>10</v>
      </c>
      <c r="L684" t="s">
        <v>10</v>
      </c>
      <c r="M684" t="s">
        <v>10</v>
      </c>
      <c r="N684" t="s">
        <v>57</v>
      </c>
      <c r="O684" t="str">
        <f>INDEX(CoverageTable[Deductible Applies],MATCH(Table1820[[#This Row],[Coverage]],CoverageTable[Coverage],0))</f>
        <v>Yes</v>
      </c>
      <c r="P684" t="str">
        <f>INDEX(CoverageTable[Coverage Limit Applies],MATCH(Table1820[[#This Row],[Coverage]],CoverageTable[Coverage],0))</f>
        <v>No</v>
      </c>
      <c r="Q684" t="s">
        <v>79</v>
      </c>
      <c r="R684" t="s">
        <v>10</v>
      </c>
      <c r="S684" t="s">
        <v>10</v>
      </c>
      <c r="T684" t="s">
        <v>10</v>
      </c>
      <c r="U684" t="s">
        <v>10</v>
      </c>
      <c r="V684" t="s">
        <v>10</v>
      </c>
      <c r="W684" t="s">
        <v>10</v>
      </c>
      <c r="X684" s="11">
        <v>173.12253621463702</v>
      </c>
      <c r="Y684">
        <f>_xlfn.XLOOKUP(Table1820[[#This Row],[Coverage]],CoverageTable[Coverage],CoverageTable[Base Rate],,0)</f>
        <v>121</v>
      </c>
      <c r="Z684">
        <f>INDEX(Table16[Ageband Factor],MATCH(Table1820[[#This Row],[Ageband]],Table16[Ageband],0))</f>
        <v>1.27</v>
      </c>
      <c r="AA684">
        <f>VLOOKUP(Table1820[[#This Row],[Years Driving]],Table1[],2)</f>
        <v>1.07</v>
      </c>
      <c r="AB684">
        <f>_xlfn.XLOOKUP(Table1820[[#This Row],[At Fault Accidents]],Table2[At Fault Accidents],Table2[At Fault Accident Factor],,0)</f>
        <v>1.34</v>
      </c>
      <c r="AC684">
        <f>_xlfn.XLOOKUP(Table1820[[#This Row],[Usage-Based Insurance]],Table3[Usage-Based Insurance],Table3[Usage-Based Insurance Discount],,0)</f>
        <v>0.65</v>
      </c>
      <c r="AD684">
        <f>_xlfn.XLOOKUP(Table1820[[#This Row],[Yearly Miles]],Table4[Yearly Miles],Table4[Yearly Miles Factor],,0)</f>
        <v>0.93</v>
      </c>
      <c r="AE684">
        <f>_xlfn.XLOOKUP(Table1820[[#This Row],[City/Zip Code]],Table5[City/Zip Code],Table5[City/Zip Code Factor],,0)</f>
        <v>1.1200000000000001</v>
      </c>
      <c r="AF684">
        <f>_xlfn.XLOOKUP(Table1820[[#This Row],[Vehicle Price]],Table6[Vehicle Price],Table6[Vehicle Price Factor])</f>
        <v>1.57</v>
      </c>
      <c r="AG684">
        <f>_xlfn.XLOOKUP(Table1820[[#This Row],[Exotic Car]],Table7[Exotic Car],Table7[Exotic Car Factor],,0)</f>
        <v>1</v>
      </c>
      <c r="AH684">
        <f>_xlfn.XLOOKUP(Table1820[[#This Row],[Difficult Parts]],Table8[Difficult Parts],Table8[Difficult Parts Factor],,0)</f>
        <v>1</v>
      </c>
      <c r="AI684">
        <f>_xlfn.XLOOKUP(Table1820[[#This Row],[High Theft Rate]],Table9[High Theft Rate],Table9[High Theft Rate Factor],,0)</f>
        <v>1</v>
      </c>
      <c r="AJ684">
        <f>_xlfn.XLOOKUP(Table1820[[#This Row],[Advanced Safety Features]],Table10[Advanced Safety Features],Table10[Advanced Safety Features Factor],,0)</f>
        <v>0.88</v>
      </c>
      <c r="AK684">
        <f>_xlfn.XLOOKUP(Table1820[[#This Row],[Deductible]],Table12[Deductible],Table12[Deductible Factor],,0)</f>
        <v>0.84</v>
      </c>
      <c r="AL684">
        <f>_xlfn.XLOOKUP(Table1820[[#This Row],[Coverage Limit]],Table13[Coverage Limit],Table13[Coverage Limit Factor],,0)</f>
        <v>1</v>
      </c>
      <c r="AM684">
        <f>IF(Table1820[[#This Row],[Good Student Discount]]="Yes",'Rate Book'!$D$126,1)</f>
        <v>1</v>
      </c>
      <c r="AN684">
        <f>IF(Table1820[[#This Row],[Good Driver Discount]]="Yes",'Rate Book'!$D$127,1)</f>
        <v>1</v>
      </c>
      <c r="AO684">
        <f>IF(Table1820[[#This Row],[Multi Policy Discount]]="Yes",'Rate Book'!$D$128,1)</f>
        <v>1</v>
      </c>
      <c r="AP684">
        <f>IF(Table1820[[#This Row],[Loyal Customer Discount]]="Yes",'Rate Book'!$D$129,1)</f>
        <v>1</v>
      </c>
      <c r="AQ684">
        <f>IF(Table1820[[#This Row],[Organization Discount]]="Yes",'Rate Book'!$D$130,1)</f>
        <v>1</v>
      </c>
      <c r="AR684" cm="1">
        <f t="array" ref="AR684">IF(Table1820[[#This Row],[Effective Date]]&gt;=RateChangeTable[Effective Date],RateChangeTable[Rate Change Factor],1)</f>
        <v>1</v>
      </c>
      <c r="AS684" s="10">
        <f>PRODUCT(Table1820[[#This Row],[Base Rate]:[Rate Change Factor]])</f>
        <v>173.12253621463702</v>
      </c>
      <c r="AT684" s="9">
        <f>Table1820[[#This Row],[System-Generated Premium]]-Table1820[[#This Row],[Expected Premium]]</f>
        <v>0</v>
      </c>
      <c r="AU684" t="str">
        <f>IF(Table1820[[#This Row],[Difference]]=0,"PASS","FAIL")</f>
        <v>PASS</v>
      </c>
      <c r="AV684" s="9">
        <f>ABS(Table1820[[#This Row],[Difference]])</f>
        <v>0</v>
      </c>
      <c r="AW684" s="9" t="s">
        <v>1136</v>
      </c>
    </row>
    <row r="685" spans="1:49" x14ac:dyDescent="0.3">
      <c r="A685" t="s">
        <v>776</v>
      </c>
      <c r="B685" s="7">
        <v>45888</v>
      </c>
      <c r="C685" t="s">
        <v>70</v>
      </c>
      <c r="D685" t="s">
        <v>1097</v>
      </c>
      <c r="E685" s="3">
        <v>5</v>
      </c>
      <c r="F685" s="3">
        <v>2</v>
      </c>
      <c r="G685" t="s">
        <v>10</v>
      </c>
      <c r="H685" t="s">
        <v>1106</v>
      </c>
      <c r="I685" t="s">
        <v>24</v>
      </c>
      <c r="J685" t="s">
        <v>48</v>
      </c>
      <c r="K685" t="s">
        <v>10</v>
      </c>
      <c r="L685" t="s">
        <v>10</v>
      </c>
      <c r="M685" t="s">
        <v>57</v>
      </c>
      <c r="N685" t="s">
        <v>57</v>
      </c>
      <c r="O685" t="str">
        <f>INDEX(CoverageTable[Deductible Applies],MATCH(Table1820[[#This Row],[Coverage]],CoverageTable[Coverage],0))</f>
        <v>No</v>
      </c>
      <c r="P685" t="str">
        <f>INDEX(CoverageTable[Coverage Limit Applies],MATCH(Table1820[[#This Row],[Coverage]],CoverageTable[Coverage],0))</f>
        <v>Yes</v>
      </c>
      <c r="Q685" t="s">
        <v>10</v>
      </c>
      <c r="R685" t="s">
        <v>79</v>
      </c>
      <c r="S685" t="s">
        <v>10</v>
      </c>
      <c r="T685" t="s">
        <v>57</v>
      </c>
      <c r="U685" t="s">
        <v>10</v>
      </c>
      <c r="V685" t="s">
        <v>10</v>
      </c>
      <c r="W685" t="s">
        <v>10</v>
      </c>
      <c r="X685" s="11">
        <v>712.71782790800432</v>
      </c>
      <c r="Y685">
        <f>_xlfn.XLOOKUP(Table1820[[#This Row],[Coverage]],CoverageTable[Coverage],CoverageTable[Base Rate],,0)</f>
        <v>622</v>
      </c>
      <c r="Z685">
        <f>INDEX(Table16[Ageband Factor],MATCH(Table1820[[#This Row],[Ageband]],Table16[Ageband],0))</f>
        <v>1.32</v>
      </c>
      <c r="AA685">
        <f>VLOOKUP(Table1820[[#This Row],[Years Driving]],Table1[],2)</f>
        <v>1.07</v>
      </c>
      <c r="AB685">
        <f>_xlfn.XLOOKUP(Table1820[[#This Row],[At Fault Accidents]],Table2[At Fault Accidents],Table2[At Fault Accident Factor],,0)</f>
        <v>1.55</v>
      </c>
      <c r="AC685">
        <f>_xlfn.XLOOKUP(Table1820[[#This Row],[Usage-Based Insurance]],Table3[Usage-Based Insurance],Table3[Usage-Based Insurance Discount],,0)</f>
        <v>1</v>
      </c>
      <c r="AD685">
        <f>_xlfn.XLOOKUP(Table1820[[#This Row],[Yearly Miles]],Table4[Yearly Miles],Table4[Yearly Miles Factor],,0)</f>
        <v>0.82</v>
      </c>
      <c r="AE685">
        <f>_xlfn.XLOOKUP(Table1820[[#This Row],[City/Zip Code]],Table5[City/Zip Code],Table5[City/Zip Code Factor],,0)</f>
        <v>1.19</v>
      </c>
      <c r="AF685">
        <f>_xlfn.XLOOKUP(Table1820[[#This Row],[Vehicle Price]],Table6[Vehicle Price],Table6[Vehicle Price Factor])</f>
        <v>0.82</v>
      </c>
      <c r="AG685">
        <f>_xlfn.XLOOKUP(Table1820[[#This Row],[Exotic Car]],Table7[Exotic Car],Table7[Exotic Car Factor],,0)</f>
        <v>1</v>
      </c>
      <c r="AH685">
        <f>_xlfn.XLOOKUP(Table1820[[#This Row],[Difficult Parts]],Table8[Difficult Parts],Table8[Difficult Parts Factor],,0)</f>
        <v>1</v>
      </c>
      <c r="AI685">
        <f>_xlfn.XLOOKUP(Table1820[[#This Row],[High Theft Rate]],Table9[High Theft Rate],Table9[High Theft Rate Factor],,0)</f>
        <v>1.1599999999999999</v>
      </c>
      <c r="AJ685">
        <f>_xlfn.XLOOKUP(Table1820[[#This Row],[Advanced Safety Features]],Table10[Advanced Safety Features],Table10[Advanced Safety Features Factor],,0)</f>
        <v>0.88</v>
      </c>
      <c r="AK685">
        <f>_xlfn.XLOOKUP(Table1820[[#This Row],[Deductible]],Table12[Deductible],Table12[Deductible Factor],,0)</f>
        <v>1</v>
      </c>
      <c r="AL685">
        <f>_xlfn.XLOOKUP(Table1820[[#This Row],[Coverage Limit]],Table13[Coverage Limit],Table13[Coverage Limit Factor],,0)</f>
        <v>0.72</v>
      </c>
      <c r="AM685">
        <f>IF(Table1820[[#This Row],[Good Student Discount]]="Yes",'Rate Book'!$D$126,1)</f>
        <v>1</v>
      </c>
      <c r="AN685">
        <f>IF(Table1820[[#This Row],[Good Driver Discount]]="Yes",'Rate Book'!$D$127,1)</f>
        <v>0.89</v>
      </c>
      <c r="AO685">
        <f>IF(Table1820[[#This Row],[Multi Policy Discount]]="Yes",'Rate Book'!$D$128,1)</f>
        <v>1</v>
      </c>
      <c r="AP685">
        <f>IF(Table1820[[#This Row],[Loyal Customer Discount]]="Yes",'Rate Book'!$D$129,1)</f>
        <v>1</v>
      </c>
      <c r="AQ685">
        <f>IF(Table1820[[#This Row],[Organization Discount]]="Yes",'Rate Book'!$D$130,1)</f>
        <v>1</v>
      </c>
      <c r="AR685" cm="1">
        <f t="array" ref="AR685">IF(Table1820[[#This Row],[Effective Date]]&gt;=RateChangeTable[Effective Date],RateChangeTable[Rate Change Factor],1)</f>
        <v>1</v>
      </c>
      <c r="AS685" s="10">
        <f>PRODUCT(Table1820[[#This Row],[Base Rate]:[Rate Change Factor]])</f>
        <v>712.71782790800432</v>
      </c>
      <c r="AT685" s="9">
        <f>Table1820[[#This Row],[System-Generated Premium]]-Table1820[[#This Row],[Expected Premium]]</f>
        <v>0</v>
      </c>
      <c r="AU685" t="str">
        <f>IF(Table1820[[#This Row],[Difference]]=0,"PASS","FAIL")</f>
        <v>PASS</v>
      </c>
      <c r="AV685" s="9">
        <f>ABS(Table1820[[#This Row],[Difference]])</f>
        <v>0</v>
      </c>
      <c r="AW685" s="9" t="s">
        <v>1136</v>
      </c>
    </row>
    <row r="686" spans="1:49" x14ac:dyDescent="0.3">
      <c r="A686" t="s">
        <v>777</v>
      </c>
      <c r="B686" s="7">
        <v>46036</v>
      </c>
      <c r="C686" t="s">
        <v>71</v>
      </c>
      <c r="D686" t="s">
        <v>1102</v>
      </c>
      <c r="E686" s="3">
        <v>4</v>
      </c>
      <c r="F686" s="3">
        <v>1</v>
      </c>
      <c r="G686" t="s">
        <v>13</v>
      </c>
      <c r="H686" t="s">
        <v>1109</v>
      </c>
      <c r="I686" t="s">
        <v>36</v>
      </c>
      <c r="J686" t="s">
        <v>49</v>
      </c>
      <c r="K686" t="s">
        <v>10</v>
      </c>
      <c r="L686" t="s">
        <v>10</v>
      </c>
      <c r="M686" t="s">
        <v>10</v>
      </c>
      <c r="N686" t="s">
        <v>57</v>
      </c>
      <c r="O686" t="str">
        <f>INDEX(CoverageTable[Deductible Applies],MATCH(Table1820[[#This Row],[Coverage]],CoverageTable[Coverage],0))</f>
        <v>Yes</v>
      </c>
      <c r="P686" t="str">
        <f>INDEX(CoverageTable[Coverage Limit Applies],MATCH(Table1820[[#This Row],[Coverage]],CoverageTable[Coverage],0))</f>
        <v>No</v>
      </c>
      <c r="Q686" t="s">
        <v>78</v>
      </c>
      <c r="R686" t="s">
        <v>10</v>
      </c>
      <c r="S686" t="s">
        <v>10</v>
      </c>
      <c r="T686" t="s">
        <v>57</v>
      </c>
      <c r="U686" t="s">
        <v>10</v>
      </c>
      <c r="V686" t="s">
        <v>10</v>
      </c>
      <c r="W686" t="s">
        <v>10</v>
      </c>
      <c r="X686" s="11">
        <v>509.8000631657419</v>
      </c>
      <c r="Y686">
        <f>_xlfn.XLOOKUP(Table1820[[#This Row],[Coverage]],CoverageTable[Coverage],CoverageTable[Base Rate],,0)</f>
        <v>453</v>
      </c>
      <c r="Z686">
        <f>INDEX(Table16[Ageband Factor],MATCH(Table1820[[#This Row],[Ageband]],Table16[Ageband],0))</f>
        <v>1.27</v>
      </c>
      <c r="AA686">
        <f>VLOOKUP(Table1820[[#This Row],[Years Driving]],Table1[],2)</f>
        <v>1.1499999999999999</v>
      </c>
      <c r="AB686">
        <f>_xlfn.XLOOKUP(Table1820[[#This Row],[At Fault Accidents]],Table2[At Fault Accidents],Table2[At Fault Accident Factor],,0)</f>
        <v>1.34</v>
      </c>
      <c r="AC686">
        <f>_xlfn.XLOOKUP(Table1820[[#This Row],[Usage-Based Insurance]],Table3[Usage-Based Insurance],Table3[Usage-Based Insurance Discount],,0)</f>
        <v>0.65</v>
      </c>
      <c r="AD686">
        <f>_xlfn.XLOOKUP(Table1820[[#This Row],[Yearly Miles]],Table4[Yearly Miles],Table4[Yearly Miles Factor],,0)</f>
        <v>1.18</v>
      </c>
      <c r="AE686">
        <f>_xlfn.XLOOKUP(Table1820[[#This Row],[City/Zip Code]],Table5[City/Zip Code],Table5[City/Zip Code Factor],,0)</f>
        <v>0.98</v>
      </c>
      <c r="AF686">
        <f>_xlfn.XLOOKUP(Table1820[[#This Row],[Vehicle Price]],Table6[Vehicle Price],Table6[Vehicle Price Factor])</f>
        <v>0.97</v>
      </c>
      <c r="AG686">
        <f>_xlfn.XLOOKUP(Table1820[[#This Row],[Exotic Car]],Table7[Exotic Car],Table7[Exotic Car Factor],,0)</f>
        <v>1</v>
      </c>
      <c r="AH686">
        <f>_xlfn.XLOOKUP(Table1820[[#This Row],[Difficult Parts]],Table8[Difficult Parts],Table8[Difficult Parts Factor],,0)</f>
        <v>1</v>
      </c>
      <c r="AI686">
        <f>_xlfn.XLOOKUP(Table1820[[#This Row],[High Theft Rate]],Table9[High Theft Rate],Table9[High Theft Rate Factor],,0)</f>
        <v>1</v>
      </c>
      <c r="AJ686">
        <f>_xlfn.XLOOKUP(Table1820[[#This Row],[Advanced Safety Features]],Table10[Advanced Safety Features],Table10[Advanced Safety Features Factor],,0)</f>
        <v>0.88</v>
      </c>
      <c r="AK686">
        <f>_xlfn.XLOOKUP(Table1820[[#This Row],[Deductible]],Table12[Deductible],Table12[Deductible Factor],,0)</f>
        <v>0.95</v>
      </c>
      <c r="AL686">
        <f>_xlfn.XLOOKUP(Table1820[[#This Row],[Coverage Limit]],Table13[Coverage Limit],Table13[Coverage Limit Factor],,0)</f>
        <v>1</v>
      </c>
      <c r="AM686">
        <f>IF(Table1820[[#This Row],[Good Student Discount]]="Yes",'Rate Book'!$D$126,1)</f>
        <v>1</v>
      </c>
      <c r="AN686">
        <f>IF(Table1820[[#This Row],[Good Driver Discount]]="Yes",'Rate Book'!$D$127,1)</f>
        <v>0.89</v>
      </c>
      <c r="AO686">
        <f>IF(Table1820[[#This Row],[Multi Policy Discount]]="Yes",'Rate Book'!$D$128,1)</f>
        <v>1</v>
      </c>
      <c r="AP686">
        <f>IF(Table1820[[#This Row],[Loyal Customer Discount]]="Yes",'Rate Book'!$D$129,1)</f>
        <v>1</v>
      </c>
      <c r="AQ686">
        <f>IF(Table1820[[#This Row],[Organization Discount]]="Yes",'Rate Book'!$D$130,1)</f>
        <v>1</v>
      </c>
      <c r="AR686" cm="1">
        <f t="array" ref="AR686">IF(Table1820[[#This Row],[Effective Date]]&gt;=RateChangeTable[Effective Date],RateChangeTable[Rate Change Factor],1)</f>
        <v>1.06</v>
      </c>
      <c r="AS686" s="10">
        <f>PRODUCT(Table1820[[#This Row],[Base Rate]:[Rate Change Factor]])</f>
        <v>509.8000631657419</v>
      </c>
      <c r="AT686" s="9">
        <f>Table1820[[#This Row],[System-Generated Premium]]-Table1820[[#This Row],[Expected Premium]]</f>
        <v>0</v>
      </c>
      <c r="AU686" t="str">
        <f>IF(Table1820[[#This Row],[Difference]]=0,"PASS","FAIL")</f>
        <v>PASS</v>
      </c>
      <c r="AV686" s="9">
        <f>ABS(Table1820[[#This Row],[Difference]])</f>
        <v>0</v>
      </c>
      <c r="AW686" s="9" t="s">
        <v>1136</v>
      </c>
    </row>
    <row r="687" spans="1:49" x14ac:dyDescent="0.3">
      <c r="A687" t="s">
        <v>778</v>
      </c>
      <c r="B687" s="7">
        <v>45881</v>
      </c>
      <c r="C687" t="s">
        <v>71</v>
      </c>
      <c r="D687" t="s">
        <v>1102</v>
      </c>
      <c r="E687" s="3">
        <v>6</v>
      </c>
      <c r="F687" s="3" t="s">
        <v>7</v>
      </c>
      <c r="G687" t="s">
        <v>11</v>
      </c>
      <c r="H687" t="s">
        <v>1107</v>
      </c>
      <c r="I687" t="s">
        <v>36</v>
      </c>
      <c r="J687" t="s">
        <v>48</v>
      </c>
      <c r="K687" t="s">
        <v>10</v>
      </c>
      <c r="L687" t="s">
        <v>10</v>
      </c>
      <c r="M687" t="s">
        <v>10</v>
      </c>
      <c r="N687" t="s">
        <v>10</v>
      </c>
      <c r="O687" t="str">
        <f>INDEX(CoverageTable[Deductible Applies],MATCH(Table1820[[#This Row],[Coverage]],CoverageTable[Coverage],0))</f>
        <v>Yes</v>
      </c>
      <c r="P687" t="str">
        <f>INDEX(CoverageTable[Coverage Limit Applies],MATCH(Table1820[[#This Row],[Coverage]],CoverageTable[Coverage],0))</f>
        <v>No</v>
      </c>
      <c r="Q687" t="s">
        <v>80</v>
      </c>
      <c r="R687" t="s">
        <v>10</v>
      </c>
      <c r="S687" t="s">
        <v>10</v>
      </c>
      <c r="T687" t="s">
        <v>10</v>
      </c>
      <c r="U687" t="s">
        <v>10</v>
      </c>
      <c r="V687" t="s">
        <v>10</v>
      </c>
      <c r="W687" t="s">
        <v>57</v>
      </c>
      <c r="X687" s="11">
        <v>704.61127577992124</v>
      </c>
      <c r="Y687">
        <f>_xlfn.XLOOKUP(Table1820[[#This Row],[Coverage]],CoverageTable[Coverage],CoverageTable[Base Rate],,0)</f>
        <v>453</v>
      </c>
      <c r="Z687">
        <f>INDEX(Table16[Ageband Factor],MATCH(Table1820[[#This Row],[Ageband]],Table16[Ageband],0))</f>
        <v>1.27</v>
      </c>
      <c r="AA687">
        <f>VLOOKUP(Table1820[[#This Row],[Years Driving]],Table1[],2)</f>
        <v>1</v>
      </c>
      <c r="AB687">
        <f>_xlfn.XLOOKUP(Table1820[[#This Row],[At Fault Accidents]],Table2[At Fault Accidents],Table2[At Fault Accident Factor],,0)</f>
        <v>2.4700000000000002</v>
      </c>
      <c r="AC687">
        <f>_xlfn.XLOOKUP(Table1820[[#This Row],[Usage-Based Insurance]],Table3[Usage-Based Insurance],Table3[Usage-Based Insurance Discount],,0)</f>
        <v>0.95</v>
      </c>
      <c r="AD687">
        <f>_xlfn.XLOOKUP(Table1820[[#This Row],[Yearly Miles]],Table4[Yearly Miles],Table4[Yearly Miles Factor],,0)</f>
        <v>0.93</v>
      </c>
      <c r="AE687">
        <f>_xlfn.XLOOKUP(Table1820[[#This Row],[City/Zip Code]],Table5[City/Zip Code],Table5[City/Zip Code Factor],,0)</f>
        <v>0.98</v>
      </c>
      <c r="AF687">
        <f>_xlfn.XLOOKUP(Table1820[[#This Row],[Vehicle Price]],Table6[Vehicle Price],Table6[Vehicle Price Factor])</f>
        <v>0.82</v>
      </c>
      <c r="AG687">
        <f>_xlfn.XLOOKUP(Table1820[[#This Row],[Exotic Car]],Table7[Exotic Car],Table7[Exotic Car Factor],,0)</f>
        <v>1</v>
      </c>
      <c r="AH687">
        <f>_xlfn.XLOOKUP(Table1820[[#This Row],[Difficult Parts]],Table8[Difficult Parts],Table8[Difficult Parts Factor],,0)</f>
        <v>1</v>
      </c>
      <c r="AI687">
        <f>_xlfn.XLOOKUP(Table1820[[#This Row],[High Theft Rate]],Table9[High Theft Rate],Table9[High Theft Rate Factor],,0)</f>
        <v>1</v>
      </c>
      <c r="AJ687">
        <f>_xlfn.XLOOKUP(Table1820[[#This Row],[Advanced Safety Features]],Table10[Advanced Safety Features],Table10[Advanced Safety Features Factor],,0)</f>
        <v>1</v>
      </c>
      <c r="AK687">
        <f>_xlfn.XLOOKUP(Table1820[[#This Row],[Deductible]],Table12[Deductible],Table12[Deductible Factor],,0)</f>
        <v>0.72</v>
      </c>
      <c r="AL687">
        <f>_xlfn.XLOOKUP(Table1820[[#This Row],[Coverage Limit]],Table13[Coverage Limit],Table13[Coverage Limit Factor],,0)</f>
        <v>1</v>
      </c>
      <c r="AM687">
        <f>IF(Table1820[[#This Row],[Good Student Discount]]="Yes",'Rate Book'!$D$126,1)</f>
        <v>1</v>
      </c>
      <c r="AN687">
        <f>IF(Table1820[[#This Row],[Good Driver Discount]]="Yes",'Rate Book'!$D$127,1)</f>
        <v>1</v>
      </c>
      <c r="AO687">
        <f>IF(Table1820[[#This Row],[Multi Policy Discount]]="Yes",'Rate Book'!$D$128,1)</f>
        <v>1</v>
      </c>
      <c r="AP687">
        <f>IF(Table1820[[#This Row],[Loyal Customer Discount]]="Yes",'Rate Book'!$D$129,1)</f>
        <v>1</v>
      </c>
      <c r="AQ687">
        <f>IF(Table1820[[#This Row],[Organization Discount]]="Yes",'Rate Book'!$D$130,1)</f>
        <v>0.97</v>
      </c>
      <c r="AR687" cm="1">
        <f t="array" ref="AR687">IF(Table1820[[#This Row],[Effective Date]]&gt;=RateChangeTable[Effective Date],RateChangeTable[Rate Change Factor],1)</f>
        <v>1</v>
      </c>
      <c r="AS687" s="10">
        <f>PRODUCT(Table1820[[#This Row],[Base Rate]:[Rate Change Factor]])</f>
        <v>704.61127577992124</v>
      </c>
      <c r="AT687" s="9">
        <f>Table1820[[#This Row],[System-Generated Premium]]-Table1820[[#This Row],[Expected Premium]]</f>
        <v>0</v>
      </c>
      <c r="AU687" t="str">
        <f>IF(Table1820[[#This Row],[Difference]]=0,"PASS","FAIL")</f>
        <v>PASS</v>
      </c>
      <c r="AV687" s="9">
        <f>ABS(Table1820[[#This Row],[Difference]])</f>
        <v>0</v>
      </c>
      <c r="AW687" s="9" t="s">
        <v>1136</v>
      </c>
    </row>
    <row r="688" spans="1:49" x14ac:dyDescent="0.3">
      <c r="A688" t="s">
        <v>779</v>
      </c>
      <c r="B688" s="7">
        <v>45796</v>
      </c>
      <c r="C688" t="s">
        <v>72</v>
      </c>
      <c r="D688" t="s">
        <v>1097</v>
      </c>
      <c r="E688" s="3">
        <v>6</v>
      </c>
      <c r="F688" s="3" t="s">
        <v>7</v>
      </c>
      <c r="G688" t="s">
        <v>10</v>
      </c>
      <c r="H688" t="s">
        <v>1107</v>
      </c>
      <c r="I688" t="s">
        <v>23</v>
      </c>
      <c r="J688" t="s">
        <v>49</v>
      </c>
      <c r="K688" t="s">
        <v>10</v>
      </c>
      <c r="L688" t="s">
        <v>10</v>
      </c>
      <c r="M688" t="s">
        <v>10</v>
      </c>
      <c r="N688" t="s">
        <v>10</v>
      </c>
      <c r="O688" t="str">
        <f>INDEX(CoverageTable[Deductible Applies],MATCH(Table1820[[#This Row],[Coverage]],CoverageTable[Coverage],0))</f>
        <v>Yes</v>
      </c>
      <c r="P688" t="str">
        <f>INDEX(CoverageTable[Coverage Limit Applies],MATCH(Table1820[[#This Row],[Coverage]],CoverageTable[Coverage],0))</f>
        <v>No</v>
      </c>
      <c r="Q688" t="s">
        <v>80</v>
      </c>
      <c r="R688" t="s">
        <v>10</v>
      </c>
      <c r="S688" t="s">
        <v>10</v>
      </c>
      <c r="T688" t="s">
        <v>57</v>
      </c>
      <c r="U688" t="s">
        <v>10</v>
      </c>
      <c r="V688" t="s">
        <v>10</v>
      </c>
      <c r="W688" t="s">
        <v>10</v>
      </c>
      <c r="X688" s="11">
        <v>209.80762519077507</v>
      </c>
      <c r="Y688">
        <f>_xlfn.XLOOKUP(Table1820[[#This Row],[Coverage]],CoverageTable[Coverage],CoverageTable[Base Rate],,0)</f>
        <v>121</v>
      </c>
      <c r="Z688">
        <f>INDEX(Table16[Ageband Factor],MATCH(Table1820[[#This Row],[Ageband]],Table16[Ageband],0))</f>
        <v>1.32</v>
      </c>
      <c r="AA688">
        <f>VLOOKUP(Table1820[[#This Row],[Years Driving]],Table1[],2)</f>
        <v>1</v>
      </c>
      <c r="AB688">
        <f>_xlfn.XLOOKUP(Table1820[[#This Row],[At Fault Accidents]],Table2[At Fault Accidents],Table2[At Fault Accident Factor],,0)</f>
        <v>2.4700000000000002</v>
      </c>
      <c r="AC688">
        <f>_xlfn.XLOOKUP(Table1820[[#This Row],[Usage-Based Insurance]],Table3[Usage-Based Insurance],Table3[Usage-Based Insurance Discount],,0)</f>
        <v>1</v>
      </c>
      <c r="AD688">
        <f>_xlfn.XLOOKUP(Table1820[[#This Row],[Yearly Miles]],Table4[Yearly Miles],Table4[Yearly Miles Factor],,0)</f>
        <v>0.93</v>
      </c>
      <c r="AE688">
        <f>_xlfn.XLOOKUP(Table1820[[#This Row],[City/Zip Code]],Table5[City/Zip Code],Table5[City/Zip Code Factor],,0)</f>
        <v>0.92</v>
      </c>
      <c r="AF688">
        <f>_xlfn.XLOOKUP(Table1820[[#This Row],[Vehicle Price]],Table6[Vehicle Price],Table6[Vehicle Price Factor])</f>
        <v>0.97</v>
      </c>
      <c r="AG688">
        <f>_xlfn.XLOOKUP(Table1820[[#This Row],[Exotic Car]],Table7[Exotic Car],Table7[Exotic Car Factor],,0)</f>
        <v>1</v>
      </c>
      <c r="AH688">
        <f>_xlfn.XLOOKUP(Table1820[[#This Row],[Difficult Parts]],Table8[Difficult Parts],Table8[Difficult Parts Factor],,0)</f>
        <v>1</v>
      </c>
      <c r="AI688">
        <f>_xlfn.XLOOKUP(Table1820[[#This Row],[High Theft Rate]],Table9[High Theft Rate],Table9[High Theft Rate Factor],,0)</f>
        <v>1</v>
      </c>
      <c r="AJ688">
        <f>_xlfn.XLOOKUP(Table1820[[#This Row],[Advanced Safety Features]],Table10[Advanced Safety Features],Table10[Advanced Safety Features Factor],,0)</f>
        <v>1</v>
      </c>
      <c r="AK688">
        <f>_xlfn.XLOOKUP(Table1820[[#This Row],[Deductible]],Table12[Deductible],Table12[Deductible Factor],,0)</f>
        <v>0.72</v>
      </c>
      <c r="AL688">
        <f>_xlfn.XLOOKUP(Table1820[[#This Row],[Coverage Limit]],Table13[Coverage Limit],Table13[Coverage Limit Factor],,0)</f>
        <v>1</v>
      </c>
      <c r="AM688">
        <f>IF(Table1820[[#This Row],[Good Student Discount]]="Yes",'Rate Book'!$D$126,1)</f>
        <v>1</v>
      </c>
      <c r="AN688">
        <f>IF(Table1820[[#This Row],[Good Driver Discount]]="Yes",'Rate Book'!$D$127,1)</f>
        <v>0.89</v>
      </c>
      <c r="AO688">
        <f>IF(Table1820[[#This Row],[Multi Policy Discount]]="Yes",'Rate Book'!$D$128,1)</f>
        <v>1</v>
      </c>
      <c r="AP688">
        <f>IF(Table1820[[#This Row],[Loyal Customer Discount]]="Yes",'Rate Book'!$D$129,1)</f>
        <v>1</v>
      </c>
      <c r="AQ688">
        <f>IF(Table1820[[#This Row],[Organization Discount]]="Yes",'Rate Book'!$D$130,1)</f>
        <v>1</v>
      </c>
      <c r="AR688" cm="1">
        <f t="array" ref="AR688">IF(Table1820[[#This Row],[Effective Date]]&gt;=RateChangeTable[Effective Date],RateChangeTable[Rate Change Factor],1)</f>
        <v>1</v>
      </c>
      <c r="AS688" s="10">
        <f>PRODUCT(Table1820[[#This Row],[Base Rate]:[Rate Change Factor]])</f>
        <v>209.80762519077507</v>
      </c>
      <c r="AT688" s="9">
        <f>Table1820[[#This Row],[System-Generated Premium]]-Table1820[[#This Row],[Expected Premium]]</f>
        <v>0</v>
      </c>
      <c r="AU688" t="str">
        <f>IF(Table1820[[#This Row],[Difference]]=0,"PASS","FAIL")</f>
        <v>PASS</v>
      </c>
      <c r="AV688" s="9">
        <f>ABS(Table1820[[#This Row],[Difference]])</f>
        <v>0</v>
      </c>
      <c r="AW688" s="9" t="s">
        <v>1136</v>
      </c>
    </row>
    <row r="689" spans="1:49" x14ac:dyDescent="0.3">
      <c r="A689" t="s">
        <v>780</v>
      </c>
      <c r="B689" s="7">
        <v>46062</v>
      </c>
      <c r="C689" t="s">
        <v>73</v>
      </c>
      <c r="D689" t="s">
        <v>1100</v>
      </c>
      <c r="E689" s="3">
        <v>7</v>
      </c>
      <c r="F689" s="3">
        <v>0</v>
      </c>
      <c r="G689" t="s">
        <v>10</v>
      </c>
      <c r="H689" t="s">
        <v>1108</v>
      </c>
      <c r="I689" t="s">
        <v>21</v>
      </c>
      <c r="J689" t="s">
        <v>53</v>
      </c>
      <c r="K689" t="s">
        <v>10</v>
      </c>
      <c r="L689" t="s">
        <v>10</v>
      </c>
      <c r="M689" t="s">
        <v>10</v>
      </c>
      <c r="N689" t="s">
        <v>10</v>
      </c>
      <c r="O689" t="str">
        <f>INDEX(CoverageTable[Deductible Applies],MATCH(Table1820[[#This Row],[Coverage]],CoverageTable[Coverage],0))</f>
        <v>No</v>
      </c>
      <c r="P689" t="str">
        <f>INDEX(CoverageTable[Coverage Limit Applies],MATCH(Table1820[[#This Row],[Coverage]],CoverageTable[Coverage],0))</f>
        <v>Yes</v>
      </c>
      <c r="Q689" t="s">
        <v>10</v>
      </c>
      <c r="R689" t="s">
        <v>79</v>
      </c>
      <c r="S689" t="s">
        <v>57</v>
      </c>
      <c r="T689" t="s">
        <v>10</v>
      </c>
      <c r="U689" t="s">
        <v>10</v>
      </c>
      <c r="V689" t="s">
        <v>57</v>
      </c>
      <c r="W689" t="s">
        <v>10</v>
      </c>
      <c r="X689" s="11">
        <v>133.19193945154407</v>
      </c>
      <c r="Y689">
        <f>_xlfn.XLOOKUP(Table1820[[#This Row],[Coverage]],CoverageTable[Coverage],CoverageTable[Base Rate],,0)</f>
        <v>78</v>
      </c>
      <c r="Z689">
        <f>INDEX(Table16[Ageband Factor],MATCH(Table1820[[#This Row],[Ageband]],Table16[Ageband],0))</f>
        <v>1.07</v>
      </c>
      <c r="AA689">
        <f>VLOOKUP(Table1820[[#This Row],[Years Driving]],Table1[],2)</f>
        <v>0.95</v>
      </c>
      <c r="AB689">
        <f>_xlfn.XLOOKUP(Table1820[[#This Row],[At Fault Accidents]],Table2[At Fault Accidents],Table2[At Fault Accident Factor],,0)</f>
        <v>1</v>
      </c>
      <c r="AC689">
        <f>_xlfn.XLOOKUP(Table1820[[#This Row],[Usage-Based Insurance]],Table3[Usage-Based Insurance],Table3[Usage-Based Insurance Discount],,0)</f>
        <v>1</v>
      </c>
      <c r="AD689">
        <f>_xlfn.XLOOKUP(Table1820[[#This Row],[Yearly Miles]],Table4[Yearly Miles],Table4[Yearly Miles Factor],,0)</f>
        <v>1</v>
      </c>
      <c r="AE689">
        <f>_xlfn.XLOOKUP(Table1820[[#This Row],[City/Zip Code]],Table5[City/Zip Code],Table5[City/Zip Code Factor],,0)</f>
        <v>1.26</v>
      </c>
      <c r="AF689">
        <f>_xlfn.XLOOKUP(Table1820[[#This Row],[Vehicle Price]],Table6[Vehicle Price],Table6[Vehicle Price Factor])</f>
        <v>2.02</v>
      </c>
      <c r="AG689">
        <f>_xlfn.XLOOKUP(Table1820[[#This Row],[Exotic Car]],Table7[Exotic Car],Table7[Exotic Car Factor],,0)</f>
        <v>1</v>
      </c>
      <c r="AH689">
        <f>_xlfn.XLOOKUP(Table1820[[#This Row],[Difficult Parts]],Table8[Difficult Parts],Table8[Difficult Parts Factor],,0)</f>
        <v>1</v>
      </c>
      <c r="AI689">
        <f>_xlfn.XLOOKUP(Table1820[[#This Row],[High Theft Rate]],Table9[High Theft Rate],Table9[High Theft Rate Factor],,0)</f>
        <v>1</v>
      </c>
      <c r="AJ689">
        <f>_xlfn.XLOOKUP(Table1820[[#This Row],[Advanced Safety Features]],Table10[Advanced Safety Features],Table10[Advanced Safety Features Factor],,0)</f>
        <v>1</v>
      </c>
      <c r="AK689">
        <f>_xlfn.XLOOKUP(Table1820[[#This Row],[Deductible]],Table12[Deductible],Table12[Deductible Factor],,0)</f>
        <v>1</v>
      </c>
      <c r="AL689">
        <f>_xlfn.XLOOKUP(Table1820[[#This Row],[Coverage Limit]],Table13[Coverage Limit],Table13[Coverage Limit Factor],,0)</f>
        <v>0.72</v>
      </c>
      <c r="AM689">
        <f>IF(Table1820[[#This Row],[Good Student Discount]]="Yes",'Rate Book'!$D$126,1)</f>
        <v>0.92</v>
      </c>
      <c r="AN689">
        <f>IF(Table1820[[#This Row],[Good Driver Discount]]="Yes",'Rate Book'!$D$127,1)</f>
        <v>1</v>
      </c>
      <c r="AO689">
        <f>IF(Table1820[[#This Row],[Multi Policy Discount]]="Yes",'Rate Book'!$D$128,1)</f>
        <v>1</v>
      </c>
      <c r="AP689">
        <f>IF(Table1820[[#This Row],[Loyal Customer Discount]]="Yes",'Rate Book'!$D$129,1)</f>
        <v>0.94</v>
      </c>
      <c r="AQ689">
        <f>IF(Table1820[[#This Row],[Organization Discount]]="Yes",'Rate Book'!$D$130,1)</f>
        <v>1</v>
      </c>
      <c r="AR689" cm="1">
        <f t="array" ref="AR689">IF(Table1820[[#This Row],[Effective Date]]&gt;=RateChangeTable[Effective Date],RateChangeTable[Rate Change Factor],1)</f>
        <v>1.06</v>
      </c>
      <c r="AS689" s="10">
        <f>PRODUCT(Table1820[[#This Row],[Base Rate]:[Rate Change Factor]])</f>
        <v>133.19193945154407</v>
      </c>
      <c r="AT689" s="9">
        <f>Table1820[[#This Row],[System-Generated Premium]]-Table1820[[#This Row],[Expected Premium]]</f>
        <v>0</v>
      </c>
      <c r="AU689" t="str">
        <f>IF(Table1820[[#This Row],[Difference]]=0,"PASS","FAIL")</f>
        <v>PASS</v>
      </c>
      <c r="AV689" s="9">
        <f>ABS(Table1820[[#This Row],[Difference]])</f>
        <v>0</v>
      </c>
      <c r="AW689" s="9" t="s">
        <v>1136</v>
      </c>
    </row>
    <row r="690" spans="1:49" x14ac:dyDescent="0.3">
      <c r="A690" t="s">
        <v>781</v>
      </c>
      <c r="B690" s="7">
        <v>45947</v>
      </c>
      <c r="C690" t="s">
        <v>71</v>
      </c>
      <c r="D690" t="s">
        <v>1097</v>
      </c>
      <c r="E690" s="3">
        <v>3</v>
      </c>
      <c r="F690" s="3">
        <v>0</v>
      </c>
      <c r="G690" t="s">
        <v>11</v>
      </c>
      <c r="H690" t="s">
        <v>1106</v>
      </c>
      <c r="I690" t="s">
        <v>26</v>
      </c>
      <c r="J690" t="s">
        <v>52</v>
      </c>
      <c r="K690" t="s">
        <v>10</v>
      </c>
      <c r="L690" t="s">
        <v>10</v>
      </c>
      <c r="M690" t="s">
        <v>10</v>
      </c>
      <c r="N690" t="s">
        <v>57</v>
      </c>
      <c r="O690" t="str">
        <f>INDEX(CoverageTable[Deductible Applies],MATCH(Table1820[[#This Row],[Coverage]],CoverageTable[Coverage],0))</f>
        <v>Yes</v>
      </c>
      <c r="P690" t="str">
        <f>INDEX(CoverageTable[Coverage Limit Applies],MATCH(Table1820[[#This Row],[Coverage]],CoverageTable[Coverage],0))</f>
        <v>No</v>
      </c>
      <c r="Q690" t="s">
        <v>78</v>
      </c>
      <c r="R690" t="s">
        <v>10</v>
      </c>
      <c r="S690" t="s">
        <v>10</v>
      </c>
      <c r="T690" t="s">
        <v>10</v>
      </c>
      <c r="U690" t="s">
        <v>10</v>
      </c>
      <c r="V690" t="s">
        <v>57</v>
      </c>
      <c r="W690" t="s">
        <v>10</v>
      </c>
      <c r="X690" s="11">
        <v>806.3081421745901</v>
      </c>
      <c r="Y690">
        <f>_xlfn.XLOOKUP(Table1820[[#This Row],[Coverage]],CoverageTable[Coverage],CoverageTable[Base Rate],,0)</f>
        <v>453</v>
      </c>
      <c r="Z690">
        <f>INDEX(Table16[Ageband Factor],MATCH(Table1820[[#This Row],[Ageband]],Table16[Ageband],0))</f>
        <v>1.32</v>
      </c>
      <c r="AA690">
        <f>VLOOKUP(Table1820[[#This Row],[Years Driving]],Table1[],2)</f>
        <v>1.22</v>
      </c>
      <c r="AB690">
        <f>_xlfn.XLOOKUP(Table1820[[#This Row],[At Fault Accidents]],Table2[At Fault Accidents],Table2[At Fault Accident Factor],,0)</f>
        <v>1</v>
      </c>
      <c r="AC690">
        <f>_xlfn.XLOOKUP(Table1820[[#This Row],[Usage-Based Insurance]],Table3[Usage-Based Insurance],Table3[Usage-Based Insurance Discount],,0)</f>
        <v>0.95</v>
      </c>
      <c r="AD690">
        <f>_xlfn.XLOOKUP(Table1820[[#This Row],[Yearly Miles]],Table4[Yearly Miles],Table4[Yearly Miles Factor],,0)</f>
        <v>0.82</v>
      </c>
      <c r="AE690">
        <f>_xlfn.XLOOKUP(Table1820[[#This Row],[City/Zip Code]],Table5[City/Zip Code],Table5[City/Zip Code Factor],,0)</f>
        <v>1.1499999999999999</v>
      </c>
      <c r="AF690">
        <f>_xlfn.XLOOKUP(Table1820[[#This Row],[Vehicle Price]],Table6[Vehicle Price],Table6[Vehicle Price Factor])</f>
        <v>1.57</v>
      </c>
      <c r="AG690">
        <f>_xlfn.XLOOKUP(Table1820[[#This Row],[Exotic Car]],Table7[Exotic Car],Table7[Exotic Car Factor],,0)</f>
        <v>1</v>
      </c>
      <c r="AH690">
        <f>_xlfn.XLOOKUP(Table1820[[#This Row],[Difficult Parts]],Table8[Difficult Parts],Table8[Difficult Parts Factor],,0)</f>
        <v>1</v>
      </c>
      <c r="AI690">
        <f>_xlfn.XLOOKUP(Table1820[[#This Row],[High Theft Rate]],Table9[High Theft Rate],Table9[High Theft Rate Factor],,0)</f>
        <v>1</v>
      </c>
      <c r="AJ690">
        <f>_xlfn.XLOOKUP(Table1820[[#This Row],[Advanced Safety Features]],Table10[Advanced Safety Features],Table10[Advanced Safety Features Factor],,0)</f>
        <v>0.88</v>
      </c>
      <c r="AK690">
        <f>_xlfn.XLOOKUP(Table1820[[#This Row],[Deductible]],Table12[Deductible],Table12[Deductible Factor],,0)</f>
        <v>0.95</v>
      </c>
      <c r="AL690">
        <f>_xlfn.XLOOKUP(Table1820[[#This Row],[Coverage Limit]],Table13[Coverage Limit],Table13[Coverage Limit Factor],,0)</f>
        <v>1</v>
      </c>
      <c r="AM690">
        <f>IF(Table1820[[#This Row],[Good Student Discount]]="Yes",'Rate Book'!$D$126,1)</f>
        <v>1</v>
      </c>
      <c r="AN690">
        <f>IF(Table1820[[#This Row],[Good Driver Discount]]="Yes",'Rate Book'!$D$127,1)</f>
        <v>1</v>
      </c>
      <c r="AO690">
        <f>IF(Table1820[[#This Row],[Multi Policy Discount]]="Yes",'Rate Book'!$D$128,1)</f>
        <v>1</v>
      </c>
      <c r="AP690">
        <f>IF(Table1820[[#This Row],[Loyal Customer Discount]]="Yes",'Rate Book'!$D$129,1)</f>
        <v>0.94</v>
      </c>
      <c r="AQ690">
        <f>IF(Table1820[[#This Row],[Organization Discount]]="Yes",'Rate Book'!$D$130,1)</f>
        <v>1</v>
      </c>
      <c r="AR690" cm="1">
        <f t="array" ref="AR690">IF(Table1820[[#This Row],[Effective Date]]&gt;=RateChangeTable[Effective Date],RateChangeTable[Rate Change Factor],1)</f>
        <v>1</v>
      </c>
      <c r="AS690" s="10">
        <f>PRODUCT(Table1820[[#This Row],[Base Rate]:[Rate Change Factor]])</f>
        <v>806.3081421745901</v>
      </c>
      <c r="AT690" s="9">
        <f>Table1820[[#This Row],[System-Generated Premium]]-Table1820[[#This Row],[Expected Premium]]</f>
        <v>0</v>
      </c>
      <c r="AU690" t="str">
        <f>IF(Table1820[[#This Row],[Difference]]=0,"PASS","FAIL")</f>
        <v>PASS</v>
      </c>
      <c r="AV690" s="9">
        <f>ABS(Table1820[[#This Row],[Difference]])</f>
        <v>0</v>
      </c>
      <c r="AW690" s="9" t="s">
        <v>1136</v>
      </c>
    </row>
    <row r="691" spans="1:49" x14ac:dyDescent="0.3">
      <c r="A691" t="s">
        <v>782</v>
      </c>
      <c r="B691" s="7">
        <v>46139</v>
      </c>
      <c r="C691" t="s">
        <v>74</v>
      </c>
      <c r="D691" t="s">
        <v>1100</v>
      </c>
      <c r="E691" s="3">
        <v>3</v>
      </c>
      <c r="F691" s="3">
        <v>2</v>
      </c>
      <c r="G691" t="s">
        <v>11</v>
      </c>
      <c r="H691" t="s">
        <v>1109</v>
      </c>
      <c r="I691" t="s">
        <v>42</v>
      </c>
      <c r="J691" t="s">
        <v>50</v>
      </c>
      <c r="K691" t="s">
        <v>57</v>
      </c>
      <c r="L691" t="s">
        <v>10</v>
      </c>
      <c r="M691" t="s">
        <v>10</v>
      </c>
      <c r="N691" t="s">
        <v>57</v>
      </c>
      <c r="O691" t="str">
        <f>INDEX(CoverageTable[Deductible Applies],MATCH(Table1820[[#This Row],[Coverage]],CoverageTable[Coverage],0))</f>
        <v>No</v>
      </c>
      <c r="P691" t="str">
        <f>INDEX(CoverageTable[Coverage Limit Applies],MATCH(Table1820[[#This Row],[Coverage]],CoverageTable[Coverage],0))</f>
        <v>Yes</v>
      </c>
      <c r="Q691" t="s">
        <v>10</v>
      </c>
      <c r="R691" t="s">
        <v>80</v>
      </c>
      <c r="S691" t="s">
        <v>10</v>
      </c>
      <c r="T691" t="s">
        <v>10</v>
      </c>
      <c r="U691" t="s">
        <v>57</v>
      </c>
      <c r="V691" t="s">
        <v>10</v>
      </c>
      <c r="W691" t="s">
        <v>10</v>
      </c>
      <c r="X691" s="11">
        <v>113.35342404936416</v>
      </c>
      <c r="Y691">
        <f>_xlfn.XLOOKUP(Table1820[[#This Row],[Coverage]],CoverageTable[Coverage],CoverageTable[Base Rate],,0)</f>
        <v>41</v>
      </c>
      <c r="Z691">
        <f>INDEX(Table16[Ageband Factor],MATCH(Table1820[[#This Row],[Ageband]],Table16[Ageband],0))</f>
        <v>1.07</v>
      </c>
      <c r="AA691">
        <f>VLOOKUP(Table1820[[#This Row],[Years Driving]],Table1[],2)</f>
        <v>1.22</v>
      </c>
      <c r="AB691">
        <f>_xlfn.XLOOKUP(Table1820[[#This Row],[At Fault Accidents]],Table2[At Fault Accidents],Table2[At Fault Accident Factor],,0)</f>
        <v>1.55</v>
      </c>
      <c r="AC691">
        <f>_xlfn.XLOOKUP(Table1820[[#This Row],[Usage-Based Insurance]],Table3[Usage-Based Insurance],Table3[Usage-Based Insurance Discount],,0)</f>
        <v>0.95</v>
      </c>
      <c r="AD691">
        <f>_xlfn.XLOOKUP(Table1820[[#This Row],[Yearly Miles]],Table4[Yearly Miles],Table4[Yearly Miles Factor],,0)</f>
        <v>1.18</v>
      </c>
      <c r="AE691">
        <f>_xlfn.XLOOKUP(Table1820[[#This Row],[City/Zip Code]],Table5[City/Zip Code],Table5[City/Zip Code Factor],,0)</f>
        <v>1.21</v>
      </c>
      <c r="AF691">
        <f>_xlfn.XLOOKUP(Table1820[[#This Row],[Vehicle Price]],Table6[Vehicle Price],Table6[Vehicle Price Factor])</f>
        <v>1.08</v>
      </c>
      <c r="AG691">
        <f>_xlfn.XLOOKUP(Table1820[[#This Row],[Exotic Car]],Table7[Exotic Car],Table7[Exotic Car Factor],,0)</f>
        <v>1.28</v>
      </c>
      <c r="AH691">
        <f>_xlfn.XLOOKUP(Table1820[[#This Row],[Difficult Parts]],Table8[Difficult Parts],Table8[Difficult Parts Factor],,0)</f>
        <v>1</v>
      </c>
      <c r="AI691">
        <f>_xlfn.XLOOKUP(Table1820[[#This Row],[High Theft Rate]],Table9[High Theft Rate],Table9[High Theft Rate Factor],,0)</f>
        <v>1</v>
      </c>
      <c r="AJ691">
        <f>_xlfn.XLOOKUP(Table1820[[#This Row],[Advanced Safety Features]],Table10[Advanced Safety Features],Table10[Advanced Safety Features Factor],,0)</f>
        <v>0.88</v>
      </c>
      <c r="AK691">
        <f>_xlfn.XLOOKUP(Table1820[[#This Row],[Deductible]],Table12[Deductible],Table12[Deductible Factor],,0)</f>
        <v>1</v>
      </c>
      <c r="AL691">
        <f>_xlfn.XLOOKUP(Table1820[[#This Row],[Coverage Limit]],Table13[Coverage Limit],Table13[Coverage Limit Factor],,0)</f>
        <v>0.84</v>
      </c>
      <c r="AM691">
        <f>IF(Table1820[[#This Row],[Good Student Discount]]="Yes",'Rate Book'!$D$126,1)</f>
        <v>1</v>
      </c>
      <c r="AN691">
        <f>IF(Table1820[[#This Row],[Good Driver Discount]]="Yes",'Rate Book'!$D$127,1)</f>
        <v>1</v>
      </c>
      <c r="AO691">
        <f>IF(Table1820[[#This Row],[Multi Policy Discount]]="Yes",'Rate Book'!$D$128,1)</f>
        <v>0.93</v>
      </c>
      <c r="AP691">
        <f>IF(Table1820[[#This Row],[Loyal Customer Discount]]="Yes",'Rate Book'!$D$129,1)</f>
        <v>1</v>
      </c>
      <c r="AQ691">
        <f>IF(Table1820[[#This Row],[Organization Discount]]="Yes",'Rate Book'!$D$130,1)</f>
        <v>1</v>
      </c>
      <c r="AR691" cm="1">
        <f t="array" ref="AR691">IF(Table1820[[#This Row],[Effective Date]]&gt;=RateChangeTable[Effective Date],RateChangeTable[Rate Change Factor],1)</f>
        <v>1.06</v>
      </c>
      <c r="AS691" s="10">
        <f>PRODUCT(Table1820[[#This Row],[Base Rate]:[Rate Change Factor]])</f>
        <v>113.35342404936416</v>
      </c>
      <c r="AT691" s="9">
        <f>Table1820[[#This Row],[System-Generated Premium]]-Table1820[[#This Row],[Expected Premium]]</f>
        <v>0</v>
      </c>
      <c r="AU691" t="str">
        <f>IF(Table1820[[#This Row],[Difference]]=0,"PASS","FAIL")</f>
        <v>PASS</v>
      </c>
      <c r="AV691" s="9">
        <f>ABS(Table1820[[#This Row],[Difference]])</f>
        <v>0</v>
      </c>
      <c r="AW691" s="9" t="s">
        <v>1136</v>
      </c>
    </row>
    <row r="692" spans="1:49" x14ac:dyDescent="0.3">
      <c r="A692" t="s">
        <v>783</v>
      </c>
      <c r="B692" s="7">
        <v>45801</v>
      </c>
      <c r="C692" t="s">
        <v>70</v>
      </c>
      <c r="D692" t="s">
        <v>1097</v>
      </c>
      <c r="E692" s="3">
        <v>4</v>
      </c>
      <c r="F692" s="3">
        <v>3</v>
      </c>
      <c r="G692" t="s">
        <v>13</v>
      </c>
      <c r="H692" t="s">
        <v>1107</v>
      </c>
      <c r="I692" t="s">
        <v>43</v>
      </c>
      <c r="J692" t="s">
        <v>54</v>
      </c>
      <c r="K692" t="s">
        <v>10</v>
      </c>
      <c r="L692" t="s">
        <v>57</v>
      </c>
      <c r="M692" t="s">
        <v>10</v>
      </c>
      <c r="N692" t="s">
        <v>10</v>
      </c>
      <c r="O692" t="str">
        <f>INDEX(CoverageTable[Deductible Applies],MATCH(Table1820[[#This Row],[Coverage]],CoverageTable[Coverage],0))</f>
        <v>No</v>
      </c>
      <c r="P692" t="str">
        <f>INDEX(CoverageTable[Coverage Limit Applies],MATCH(Table1820[[#This Row],[Coverage]],CoverageTable[Coverage],0))</f>
        <v>Yes</v>
      </c>
      <c r="Q692" t="s">
        <v>10</v>
      </c>
      <c r="R692" t="s">
        <v>79</v>
      </c>
      <c r="S692" t="s">
        <v>57</v>
      </c>
      <c r="T692" t="s">
        <v>57</v>
      </c>
      <c r="U692" t="s">
        <v>10</v>
      </c>
      <c r="V692" t="s">
        <v>10</v>
      </c>
      <c r="W692" t="s">
        <v>10</v>
      </c>
      <c r="X692" s="11">
        <v>2509.5130255176618</v>
      </c>
      <c r="Y692">
        <f>_xlfn.XLOOKUP(Table1820[[#This Row],[Coverage]],CoverageTable[Coverage],CoverageTable[Base Rate],,0)</f>
        <v>622</v>
      </c>
      <c r="Z692">
        <f>INDEX(Table16[Ageband Factor],MATCH(Table1820[[#This Row],[Ageband]],Table16[Ageband],0))</f>
        <v>1.32</v>
      </c>
      <c r="AA692">
        <f>VLOOKUP(Table1820[[#This Row],[Years Driving]],Table1[],2)</f>
        <v>1.1499999999999999</v>
      </c>
      <c r="AB692">
        <f>_xlfn.XLOOKUP(Table1820[[#This Row],[At Fault Accidents]],Table2[At Fault Accidents],Table2[At Fault Accident Factor],,0)</f>
        <v>1.82</v>
      </c>
      <c r="AC692">
        <f>_xlfn.XLOOKUP(Table1820[[#This Row],[Usage-Based Insurance]],Table3[Usage-Based Insurance],Table3[Usage-Based Insurance Discount],,0)</f>
        <v>0.65</v>
      </c>
      <c r="AD692">
        <f>_xlfn.XLOOKUP(Table1820[[#This Row],[Yearly Miles]],Table4[Yearly Miles],Table4[Yearly Miles Factor],,0)</f>
        <v>0.93</v>
      </c>
      <c r="AE692">
        <f>_xlfn.XLOOKUP(Table1820[[#This Row],[City/Zip Code]],Table5[City/Zip Code],Table5[City/Zip Code Factor],,0)</f>
        <v>1.18</v>
      </c>
      <c r="AF692">
        <f>_xlfn.XLOOKUP(Table1820[[#This Row],[Vehicle Price]],Table6[Vehicle Price],Table6[Vehicle Price Factor])</f>
        <v>2.87</v>
      </c>
      <c r="AG692">
        <f>_xlfn.XLOOKUP(Table1820[[#This Row],[Exotic Car]],Table7[Exotic Car],Table7[Exotic Car Factor],,0)</f>
        <v>1</v>
      </c>
      <c r="AH692">
        <f>_xlfn.XLOOKUP(Table1820[[#This Row],[Difficult Parts]],Table8[Difficult Parts],Table8[Difficult Parts Factor],,0)</f>
        <v>1.21</v>
      </c>
      <c r="AI692">
        <f>_xlfn.XLOOKUP(Table1820[[#This Row],[High Theft Rate]],Table9[High Theft Rate],Table9[High Theft Rate Factor],,0)</f>
        <v>1</v>
      </c>
      <c r="AJ692">
        <f>_xlfn.XLOOKUP(Table1820[[#This Row],[Advanced Safety Features]],Table10[Advanced Safety Features],Table10[Advanced Safety Features Factor],,0)</f>
        <v>1</v>
      </c>
      <c r="AK692">
        <f>_xlfn.XLOOKUP(Table1820[[#This Row],[Deductible]],Table12[Deductible],Table12[Deductible Factor],,0)</f>
        <v>1</v>
      </c>
      <c r="AL692">
        <f>_xlfn.XLOOKUP(Table1820[[#This Row],[Coverage Limit]],Table13[Coverage Limit],Table13[Coverage Limit Factor],,0)</f>
        <v>0.72</v>
      </c>
      <c r="AM692">
        <f>IF(Table1820[[#This Row],[Good Student Discount]]="Yes",'Rate Book'!$D$126,1)</f>
        <v>0.92</v>
      </c>
      <c r="AN692">
        <f>IF(Table1820[[#This Row],[Good Driver Discount]]="Yes",'Rate Book'!$D$127,1)</f>
        <v>0.89</v>
      </c>
      <c r="AO692">
        <f>IF(Table1820[[#This Row],[Multi Policy Discount]]="Yes",'Rate Book'!$D$128,1)</f>
        <v>1</v>
      </c>
      <c r="AP692">
        <f>IF(Table1820[[#This Row],[Loyal Customer Discount]]="Yes",'Rate Book'!$D$129,1)</f>
        <v>1</v>
      </c>
      <c r="AQ692">
        <f>IF(Table1820[[#This Row],[Organization Discount]]="Yes",'Rate Book'!$D$130,1)</f>
        <v>1</v>
      </c>
      <c r="AR692" cm="1">
        <f t="array" ref="AR692">IF(Table1820[[#This Row],[Effective Date]]&gt;=RateChangeTable[Effective Date],RateChangeTable[Rate Change Factor],1)</f>
        <v>1</v>
      </c>
      <c r="AS692" s="10">
        <f>PRODUCT(Table1820[[#This Row],[Base Rate]:[Rate Change Factor]])</f>
        <v>2509.5130255176618</v>
      </c>
      <c r="AT692" s="9">
        <f>Table1820[[#This Row],[System-Generated Premium]]-Table1820[[#This Row],[Expected Premium]]</f>
        <v>0</v>
      </c>
      <c r="AU692" t="str">
        <f>IF(Table1820[[#This Row],[Difference]]=0,"PASS","FAIL")</f>
        <v>PASS</v>
      </c>
      <c r="AV692" s="9">
        <f>ABS(Table1820[[#This Row],[Difference]])</f>
        <v>0</v>
      </c>
      <c r="AW692" s="9" t="s">
        <v>1136</v>
      </c>
    </row>
    <row r="693" spans="1:49" x14ac:dyDescent="0.3">
      <c r="A693" t="s">
        <v>784</v>
      </c>
      <c r="B693" s="7">
        <v>46074</v>
      </c>
      <c r="C693" t="s">
        <v>70</v>
      </c>
      <c r="D693" t="s">
        <v>1099</v>
      </c>
      <c r="E693" s="3">
        <v>1</v>
      </c>
      <c r="F693" s="3">
        <v>1</v>
      </c>
      <c r="G693" t="s">
        <v>10</v>
      </c>
      <c r="H693" t="s">
        <v>1109</v>
      </c>
      <c r="I693" t="s">
        <v>36</v>
      </c>
      <c r="J693" t="s">
        <v>52</v>
      </c>
      <c r="K693" t="s">
        <v>10</v>
      </c>
      <c r="L693" t="s">
        <v>10</v>
      </c>
      <c r="M693" t="s">
        <v>10</v>
      </c>
      <c r="N693" t="s">
        <v>10</v>
      </c>
      <c r="O693" t="str">
        <f>INDEX(CoverageTable[Deductible Applies],MATCH(Table1820[[#This Row],[Coverage]],CoverageTable[Coverage],0))</f>
        <v>No</v>
      </c>
      <c r="P693" t="str">
        <f>INDEX(CoverageTable[Coverage Limit Applies],MATCH(Table1820[[#This Row],[Coverage]],CoverageTable[Coverage],0))</f>
        <v>Yes</v>
      </c>
      <c r="Q693" t="s">
        <v>10</v>
      </c>
      <c r="R693" t="s">
        <v>79</v>
      </c>
      <c r="S693" t="s">
        <v>57</v>
      </c>
      <c r="T693" t="s">
        <v>10</v>
      </c>
      <c r="U693" t="s">
        <v>10</v>
      </c>
      <c r="V693" t="s">
        <v>10</v>
      </c>
      <c r="W693" t="s">
        <v>10</v>
      </c>
      <c r="X693" s="11">
        <v>1742.500677199384</v>
      </c>
      <c r="Y693">
        <f>_xlfn.XLOOKUP(Table1820[[#This Row],[Coverage]],CoverageTable[Coverage],CoverageTable[Base Rate],,0)</f>
        <v>622</v>
      </c>
      <c r="Z693">
        <f>INDEX(Table16[Ageband Factor],MATCH(Table1820[[#This Row],[Ageband]],Table16[Ageband],0))</f>
        <v>1</v>
      </c>
      <c r="AA693">
        <f>VLOOKUP(Table1820[[#This Row],[Years Driving]],Table1[],2)</f>
        <v>1.64</v>
      </c>
      <c r="AB693">
        <f>_xlfn.XLOOKUP(Table1820[[#This Row],[At Fault Accidents]],Table2[At Fault Accidents],Table2[At Fault Accident Factor],,0)</f>
        <v>1.34</v>
      </c>
      <c r="AC693">
        <f>_xlfn.XLOOKUP(Table1820[[#This Row],[Usage-Based Insurance]],Table3[Usage-Based Insurance],Table3[Usage-Based Insurance Discount],,0)</f>
        <v>1</v>
      </c>
      <c r="AD693">
        <f>_xlfn.XLOOKUP(Table1820[[#This Row],[Yearly Miles]],Table4[Yearly Miles],Table4[Yearly Miles Factor],,0)</f>
        <v>1.18</v>
      </c>
      <c r="AE693">
        <f>_xlfn.XLOOKUP(Table1820[[#This Row],[City/Zip Code]],Table5[City/Zip Code],Table5[City/Zip Code Factor],,0)</f>
        <v>0.98</v>
      </c>
      <c r="AF693">
        <f>_xlfn.XLOOKUP(Table1820[[#This Row],[Vehicle Price]],Table6[Vehicle Price],Table6[Vehicle Price Factor])</f>
        <v>1.57</v>
      </c>
      <c r="AG693">
        <f>_xlfn.XLOOKUP(Table1820[[#This Row],[Exotic Car]],Table7[Exotic Car],Table7[Exotic Car Factor],,0)</f>
        <v>1</v>
      </c>
      <c r="AH693">
        <f>_xlfn.XLOOKUP(Table1820[[#This Row],[Difficult Parts]],Table8[Difficult Parts],Table8[Difficult Parts Factor],,0)</f>
        <v>1</v>
      </c>
      <c r="AI693">
        <f>_xlfn.XLOOKUP(Table1820[[#This Row],[High Theft Rate]],Table9[High Theft Rate],Table9[High Theft Rate Factor],,0)</f>
        <v>1</v>
      </c>
      <c r="AJ693">
        <f>_xlfn.XLOOKUP(Table1820[[#This Row],[Advanced Safety Features]],Table10[Advanced Safety Features],Table10[Advanced Safety Features Factor],,0)</f>
        <v>1</v>
      </c>
      <c r="AK693">
        <f>_xlfn.XLOOKUP(Table1820[[#This Row],[Deductible]],Table12[Deductible],Table12[Deductible Factor],,0)</f>
        <v>1</v>
      </c>
      <c r="AL693">
        <f>_xlfn.XLOOKUP(Table1820[[#This Row],[Coverage Limit]],Table13[Coverage Limit],Table13[Coverage Limit Factor],,0)</f>
        <v>0.72</v>
      </c>
      <c r="AM693">
        <f>IF(Table1820[[#This Row],[Good Student Discount]]="Yes",'Rate Book'!$D$126,1)</f>
        <v>0.92</v>
      </c>
      <c r="AN693">
        <f>IF(Table1820[[#This Row],[Good Driver Discount]]="Yes",'Rate Book'!$D$127,1)</f>
        <v>1</v>
      </c>
      <c r="AO693">
        <f>IF(Table1820[[#This Row],[Multi Policy Discount]]="Yes",'Rate Book'!$D$128,1)</f>
        <v>1</v>
      </c>
      <c r="AP693">
        <f>IF(Table1820[[#This Row],[Loyal Customer Discount]]="Yes",'Rate Book'!$D$129,1)</f>
        <v>1</v>
      </c>
      <c r="AQ693">
        <f>IF(Table1820[[#This Row],[Organization Discount]]="Yes",'Rate Book'!$D$130,1)</f>
        <v>1</v>
      </c>
      <c r="AR693" cm="1">
        <f t="array" ref="AR693">IF(Table1820[[#This Row],[Effective Date]]&gt;=RateChangeTable[Effective Date],RateChangeTable[Rate Change Factor],1)</f>
        <v>1.06</v>
      </c>
      <c r="AS693" s="10">
        <f>PRODUCT(Table1820[[#This Row],[Base Rate]:[Rate Change Factor]])</f>
        <v>1742.500677199384</v>
      </c>
      <c r="AT693" s="9">
        <f>Table1820[[#This Row],[System-Generated Premium]]-Table1820[[#This Row],[Expected Premium]]</f>
        <v>0</v>
      </c>
      <c r="AU693" t="str">
        <f>IF(Table1820[[#This Row],[Difference]]=0,"PASS","FAIL")</f>
        <v>PASS</v>
      </c>
      <c r="AV693" s="9">
        <f>ABS(Table1820[[#This Row],[Difference]])</f>
        <v>0</v>
      </c>
      <c r="AW693" s="9" t="s">
        <v>1136</v>
      </c>
    </row>
    <row r="694" spans="1:49" x14ac:dyDescent="0.3">
      <c r="A694" t="s">
        <v>785</v>
      </c>
      <c r="B694" s="7">
        <v>45951</v>
      </c>
      <c r="C694" t="s">
        <v>70</v>
      </c>
      <c r="D694" t="s">
        <v>1100</v>
      </c>
      <c r="E694" s="3">
        <v>4</v>
      </c>
      <c r="F694" s="3">
        <v>1</v>
      </c>
      <c r="G694" t="s">
        <v>11</v>
      </c>
      <c r="H694" t="s">
        <v>1107</v>
      </c>
      <c r="I694" t="s">
        <v>35</v>
      </c>
      <c r="J694" t="s">
        <v>54</v>
      </c>
      <c r="K694" t="s">
        <v>10</v>
      </c>
      <c r="L694" t="s">
        <v>10</v>
      </c>
      <c r="M694" t="s">
        <v>57</v>
      </c>
      <c r="N694" t="s">
        <v>57</v>
      </c>
      <c r="O694" t="str">
        <f>INDEX(CoverageTable[Deductible Applies],MATCH(Table1820[[#This Row],[Coverage]],CoverageTable[Coverage],0))</f>
        <v>No</v>
      </c>
      <c r="P694" t="str">
        <f>INDEX(CoverageTable[Coverage Limit Applies],MATCH(Table1820[[#This Row],[Coverage]],CoverageTable[Coverage],0))</f>
        <v>Yes</v>
      </c>
      <c r="Q694" t="s">
        <v>10</v>
      </c>
      <c r="R694" t="s">
        <v>80</v>
      </c>
      <c r="S694" t="s">
        <v>10</v>
      </c>
      <c r="T694" t="s">
        <v>10</v>
      </c>
      <c r="U694" t="s">
        <v>57</v>
      </c>
      <c r="V694" t="s">
        <v>10</v>
      </c>
      <c r="W694" t="s">
        <v>10</v>
      </c>
      <c r="X694" s="11">
        <v>2322.6628323458881</v>
      </c>
      <c r="Y694">
        <f>_xlfn.XLOOKUP(Table1820[[#This Row],[Coverage]],CoverageTable[Coverage],CoverageTable[Base Rate],,0)</f>
        <v>622</v>
      </c>
      <c r="Z694">
        <f>INDEX(Table16[Ageband Factor],MATCH(Table1820[[#This Row],[Ageband]],Table16[Ageband],0))</f>
        <v>1.07</v>
      </c>
      <c r="AA694">
        <f>VLOOKUP(Table1820[[#This Row],[Years Driving]],Table1[],2)</f>
        <v>1.1499999999999999</v>
      </c>
      <c r="AB694">
        <f>_xlfn.XLOOKUP(Table1820[[#This Row],[At Fault Accidents]],Table2[At Fault Accidents],Table2[At Fault Accident Factor],,0)</f>
        <v>1.34</v>
      </c>
      <c r="AC694">
        <f>_xlfn.XLOOKUP(Table1820[[#This Row],[Usage-Based Insurance]],Table3[Usage-Based Insurance],Table3[Usage-Based Insurance Discount],,0)</f>
        <v>0.95</v>
      </c>
      <c r="AD694">
        <f>_xlfn.XLOOKUP(Table1820[[#This Row],[Yearly Miles]],Table4[Yearly Miles],Table4[Yearly Miles Factor],,0)</f>
        <v>0.93</v>
      </c>
      <c r="AE694">
        <f>_xlfn.XLOOKUP(Table1820[[#This Row],[City/Zip Code]],Table5[City/Zip Code],Table5[City/Zip Code Factor],,0)</f>
        <v>1.1200000000000001</v>
      </c>
      <c r="AF694">
        <f>_xlfn.XLOOKUP(Table1820[[#This Row],[Vehicle Price]],Table6[Vehicle Price],Table6[Vehicle Price Factor])</f>
        <v>2.87</v>
      </c>
      <c r="AG694">
        <f>_xlfn.XLOOKUP(Table1820[[#This Row],[Exotic Car]],Table7[Exotic Car],Table7[Exotic Car Factor],,0)</f>
        <v>1</v>
      </c>
      <c r="AH694">
        <f>_xlfn.XLOOKUP(Table1820[[#This Row],[Difficult Parts]],Table8[Difficult Parts],Table8[Difficult Parts Factor],,0)</f>
        <v>1</v>
      </c>
      <c r="AI694">
        <f>_xlfn.XLOOKUP(Table1820[[#This Row],[High Theft Rate]],Table9[High Theft Rate],Table9[High Theft Rate Factor],,0)</f>
        <v>1.1599999999999999</v>
      </c>
      <c r="AJ694">
        <f>_xlfn.XLOOKUP(Table1820[[#This Row],[Advanced Safety Features]],Table10[Advanced Safety Features],Table10[Advanced Safety Features Factor],,0)</f>
        <v>0.88</v>
      </c>
      <c r="AK694">
        <f>_xlfn.XLOOKUP(Table1820[[#This Row],[Deductible]],Table12[Deductible],Table12[Deductible Factor],,0)</f>
        <v>1</v>
      </c>
      <c r="AL694">
        <f>_xlfn.XLOOKUP(Table1820[[#This Row],[Coverage Limit]],Table13[Coverage Limit],Table13[Coverage Limit Factor],,0)</f>
        <v>0.84</v>
      </c>
      <c r="AM694">
        <f>IF(Table1820[[#This Row],[Good Student Discount]]="Yes",'Rate Book'!$D$126,1)</f>
        <v>1</v>
      </c>
      <c r="AN694">
        <f>IF(Table1820[[#This Row],[Good Driver Discount]]="Yes",'Rate Book'!$D$127,1)</f>
        <v>1</v>
      </c>
      <c r="AO694">
        <f>IF(Table1820[[#This Row],[Multi Policy Discount]]="Yes",'Rate Book'!$D$128,1)</f>
        <v>0.93</v>
      </c>
      <c r="AP694">
        <f>IF(Table1820[[#This Row],[Loyal Customer Discount]]="Yes",'Rate Book'!$D$129,1)</f>
        <v>1</v>
      </c>
      <c r="AQ694">
        <f>IF(Table1820[[#This Row],[Organization Discount]]="Yes",'Rate Book'!$D$130,1)</f>
        <v>1</v>
      </c>
      <c r="AR694" cm="1">
        <f t="array" ref="AR694">IF(Table1820[[#This Row],[Effective Date]]&gt;=RateChangeTable[Effective Date],RateChangeTable[Rate Change Factor],1)</f>
        <v>1</v>
      </c>
      <c r="AS694" s="10">
        <f>PRODUCT(Table1820[[#This Row],[Base Rate]:[Rate Change Factor]])</f>
        <v>2322.6628323458881</v>
      </c>
      <c r="AT694" s="9">
        <f>Table1820[[#This Row],[System-Generated Premium]]-Table1820[[#This Row],[Expected Premium]]</f>
        <v>0</v>
      </c>
      <c r="AU694" t="str">
        <f>IF(Table1820[[#This Row],[Difference]]=0,"PASS","FAIL")</f>
        <v>PASS</v>
      </c>
      <c r="AV694" s="9">
        <f>ABS(Table1820[[#This Row],[Difference]])</f>
        <v>0</v>
      </c>
      <c r="AW694" s="9" t="s">
        <v>1136</v>
      </c>
    </row>
    <row r="695" spans="1:49" x14ac:dyDescent="0.3">
      <c r="A695" t="s">
        <v>786</v>
      </c>
      <c r="B695" s="7">
        <v>46122</v>
      </c>
      <c r="C695" t="s">
        <v>71</v>
      </c>
      <c r="D695" t="s">
        <v>1098</v>
      </c>
      <c r="E695" s="3">
        <v>4</v>
      </c>
      <c r="F695" s="3">
        <v>1</v>
      </c>
      <c r="G695" t="s">
        <v>13</v>
      </c>
      <c r="H695" t="s">
        <v>1107</v>
      </c>
      <c r="I695" t="s">
        <v>37</v>
      </c>
      <c r="J695" t="s">
        <v>51</v>
      </c>
      <c r="K695" t="s">
        <v>10</v>
      </c>
      <c r="L695" t="s">
        <v>57</v>
      </c>
      <c r="M695" t="s">
        <v>10</v>
      </c>
      <c r="N695" t="s">
        <v>57</v>
      </c>
      <c r="O695" t="str">
        <f>INDEX(CoverageTable[Deductible Applies],MATCH(Table1820[[#This Row],[Coverage]],CoverageTable[Coverage],0))</f>
        <v>Yes</v>
      </c>
      <c r="P695" t="str">
        <f>INDEX(CoverageTable[Coverage Limit Applies],MATCH(Table1820[[#This Row],[Coverage]],CoverageTable[Coverage],0))</f>
        <v>No</v>
      </c>
      <c r="Q695" t="s">
        <v>78</v>
      </c>
      <c r="R695" t="s">
        <v>10</v>
      </c>
      <c r="S695" t="s">
        <v>10</v>
      </c>
      <c r="T695" t="s">
        <v>10</v>
      </c>
      <c r="U695" t="s">
        <v>57</v>
      </c>
      <c r="V695" t="s">
        <v>10</v>
      </c>
      <c r="W695" t="s">
        <v>10</v>
      </c>
      <c r="X695" s="11">
        <v>722.13631676196974</v>
      </c>
      <c r="Y695">
        <f>_xlfn.XLOOKUP(Table1820[[#This Row],[Coverage]],CoverageTable[Coverage],CoverageTable[Base Rate],,0)</f>
        <v>453</v>
      </c>
      <c r="Z695">
        <f>INDEX(Table16[Ageband Factor],MATCH(Table1820[[#This Row],[Ageband]],Table16[Ageband],0))</f>
        <v>1.23</v>
      </c>
      <c r="AA695">
        <f>VLOOKUP(Table1820[[#This Row],[Years Driving]],Table1[],2)</f>
        <v>1.1499999999999999</v>
      </c>
      <c r="AB695">
        <f>_xlfn.XLOOKUP(Table1820[[#This Row],[At Fault Accidents]],Table2[At Fault Accidents],Table2[At Fault Accident Factor],,0)</f>
        <v>1.34</v>
      </c>
      <c r="AC695">
        <f>_xlfn.XLOOKUP(Table1820[[#This Row],[Usage-Based Insurance]],Table3[Usage-Based Insurance],Table3[Usage-Based Insurance Discount],,0)</f>
        <v>0.65</v>
      </c>
      <c r="AD695">
        <f>_xlfn.XLOOKUP(Table1820[[#This Row],[Yearly Miles]],Table4[Yearly Miles],Table4[Yearly Miles Factor],,0)</f>
        <v>0.93</v>
      </c>
      <c r="AE695">
        <f>_xlfn.XLOOKUP(Table1820[[#This Row],[City/Zip Code]],Table5[City/Zip Code],Table5[City/Zip Code Factor],,0)</f>
        <v>1.0900000000000001</v>
      </c>
      <c r="AF695">
        <f>_xlfn.XLOOKUP(Table1820[[#This Row],[Vehicle Price]],Table6[Vehicle Price],Table6[Vehicle Price Factor])</f>
        <v>1.28</v>
      </c>
      <c r="AG695">
        <f>_xlfn.XLOOKUP(Table1820[[#This Row],[Exotic Car]],Table7[Exotic Car],Table7[Exotic Car Factor],,0)</f>
        <v>1</v>
      </c>
      <c r="AH695">
        <f>_xlfn.XLOOKUP(Table1820[[#This Row],[Difficult Parts]],Table8[Difficult Parts],Table8[Difficult Parts Factor],,0)</f>
        <v>1.21</v>
      </c>
      <c r="AI695">
        <f>_xlfn.XLOOKUP(Table1820[[#This Row],[High Theft Rate]],Table9[High Theft Rate],Table9[High Theft Rate Factor],,0)</f>
        <v>1</v>
      </c>
      <c r="AJ695">
        <f>_xlfn.XLOOKUP(Table1820[[#This Row],[Advanced Safety Features]],Table10[Advanced Safety Features],Table10[Advanced Safety Features Factor],,0)</f>
        <v>0.88</v>
      </c>
      <c r="AK695">
        <f>_xlfn.XLOOKUP(Table1820[[#This Row],[Deductible]],Table12[Deductible],Table12[Deductible Factor],,0)</f>
        <v>0.95</v>
      </c>
      <c r="AL695">
        <f>_xlfn.XLOOKUP(Table1820[[#This Row],[Coverage Limit]],Table13[Coverage Limit],Table13[Coverage Limit Factor],,0)</f>
        <v>1</v>
      </c>
      <c r="AM695">
        <f>IF(Table1820[[#This Row],[Good Student Discount]]="Yes",'Rate Book'!$D$126,1)</f>
        <v>1</v>
      </c>
      <c r="AN695">
        <f>IF(Table1820[[#This Row],[Good Driver Discount]]="Yes",'Rate Book'!$D$127,1)</f>
        <v>1</v>
      </c>
      <c r="AO695">
        <f>IF(Table1820[[#This Row],[Multi Policy Discount]]="Yes",'Rate Book'!$D$128,1)</f>
        <v>0.93</v>
      </c>
      <c r="AP695">
        <f>IF(Table1820[[#This Row],[Loyal Customer Discount]]="Yes",'Rate Book'!$D$129,1)</f>
        <v>1</v>
      </c>
      <c r="AQ695">
        <f>IF(Table1820[[#This Row],[Organization Discount]]="Yes",'Rate Book'!$D$130,1)</f>
        <v>1</v>
      </c>
      <c r="AR695" cm="1">
        <f t="array" ref="AR695">IF(Table1820[[#This Row],[Effective Date]]&gt;=RateChangeTable[Effective Date],RateChangeTable[Rate Change Factor],1)</f>
        <v>1.06</v>
      </c>
      <c r="AS695" s="10">
        <f>PRODUCT(Table1820[[#This Row],[Base Rate]:[Rate Change Factor]])</f>
        <v>722.13631676196974</v>
      </c>
      <c r="AT695" s="9">
        <f>Table1820[[#This Row],[System-Generated Premium]]-Table1820[[#This Row],[Expected Premium]]</f>
        <v>0</v>
      </c>
      <c r="AU695" t="str">
        <f>IF(Table1820[[#This Row],[Difference]]=0,"PASS","FAIL")</f>
        <v>PASS</v>
      </c>
      <c r="AV695" s="9">
        <f>ABS(Table1820[[#This Row],[Difference]])</f>
        <v>0</v>
      </c>
      <c r="AW695" s="9" t="s">
        <v>1136</v>
      </c>
    </row>
    <row r="696" spans="1:49" x14ac:dyDescent="0.3">
      <c r="A696" t="s">
        <v>787</v>
      </c>
      <c r="B696" s="7">
        <v>46108</v>
      </c>
      <c r="C696" t="s">
        <v>73</v>
      </c>
      <c r="D696" t="s">
        <v>1101</v>
      </c>
      <c r="E696" s="3">
        <v>1</v>
      </c>
      <c r="F696" s="3">
        <v>1</v>
      </c>
      <c r="G696" t="s">
        <v>10</v>
      </c>
      <c r="H696" t="s">
        <v>1107</v>
      </c>
      <c r="I696" t="s">
        <v>21</v>
      </c>
      <c r="J696" t="s">
        <v>53</v>
      </c>
      <c r="K696" t="s">
        <v>10</v>
      </c>
      <c r="L696" t="s">
        <v>57</v>
      </c>
      <c r="M696" t="s">
        <v>10</v>
      </c>
      <c r="N696" t="s">
        <v>57</v>
      </c>
      <c r="O696" t="str">
        <f>INDEX(CoverageTable[Deductible Applies],MATCH(Table1820[[#This Row],[Coverage]],CoverageTable[Coverage],0))</f>
        <v>No</v>
      </c>
      <c r="P696" t="str">
        <f>INDEX(CoverageTable[Coverage Limit Applies],MATCH(Table1820[[#This Row],[Coverage]],CoverageTable[Coverage],0))</f>
        <v>Yes</v>
      </c>
      <c r="Q696" t="s">
        <v>10</v>
      </c>
      <c r="R696" t="s">
        <v>79</v>
      </c>
      <c r="S696" t="s">
        <v>10</v>
      </c>
      <c r="T696" t="s">
        <v>57</v>
      </c>
      <c r="U696" t="s">
        <v>57</v>
      </c>
      <c r="V696" t="s">
        <v>10</v>
      </c>
      <c r="W696" t="s">
        <v>10</v>
      </c>
      <c r="X696" s="11">
        <v>288.36</v>
      </c>
      <c r="Y696">
        <f>_xlfn.XLOOKUP(Table1820[[#This Row],[Coverage]],CoverageTable[Coverage],CoverageTable[Base Rate],,0)</f>
        <v>78</v>
      </c>
      <c r="Z696">
        <f>INDEX(Table16[Ageband Factor],MATCH(Table1820[[#This Row],[Ageband]],Table16[Ageband],0))</f>
        <v>1.1200000000000001</v>
      </c>
      <c r="AA696">
        <f>VLOOKUP(Table1820[[#This Row],[Years Driving]],Table1[],2)</f>
        <v>1.64</v>
      </c>
      <c r="AB696">
        <f>_xlfn.XLOOKUP(Table1820[[#This Row],[At Fault Accidents]],Table2[At Fault Accidents],Table2[At Fault Accident Factor],,0)</f>
        <v>1.34</v>
      </c>
      <c r="AC696">
        <f>_xlfn.XLOOKUP(Table1820[[#This Row],[Usage-Based Insurance]],Table3[Usage-Based Insurance],Table3[Usage-Based Insurance Discount],,0)</f>
        <v>1</v>
      </c>
      <c r="AD696">
        <f>_xlfn.XLOOKUP(Table1820[[#This Row],[Yearly Miles]],Table4[Yearly Miles],Table4[Yearly Miles Factor],,0)</f>
        <v>0.93</v>
      </c>
      <c r="AE696">
        <f>_xlfn.XLOOKUP(Table1820[[#This Row],[City/Zip Code]],Table5[City/Zip Code],Table5[City/Zip Code Factor],,0)</f>
        <v>1.26</v>
      </c>
      <c r="AF696">
        <f>_xlfn.XLOOKUP(Table1820[[#This Row],[Vehicle Price]],Table6[Vehicle Price],Table6[Vehicle Price Factor])</f>
        <v>2.02</v>
      </c>
      <c r="AG696">
        <f>_xlfn.XLOOKUP(Table1820[[#This Row],[Exotic Car]],Table7[Exotic Car],Table7[Exotic Car Factor],,0)</f>
        <v>1</v>
      </c>
      <c r="AH696">
        <f>_xlfn.XLOOKUP(Table1820[[#This Row],[Difficult Parts]],Table8[Difficult Parts],Table8[Difficult Parts Factor],,0)</f>
        <v>1.21</v>
      </c>
      <c r="AI696">
        <f>_xlfn.XLOOKUP(Table1820[[#This Row],[High Theft Rate]],Table9[High Theft Rate],Table9[High Theft Rate Factor],,0)</f>
        <v>1</v>
      </c>
      <c r="AJ696">
        <f>_xlfn.XLOOKUP(Table1820[[#This Row],[Advanced Safety Features]],Table10[Advanced Safety Features],Table10[Advanced Safety Features Factor],,0)</f>
        <v>0.88</v>
      </c>
      <c r="AK696">
        <f>_xlfn.XLOOKUP(Table1820[[#This Row],[Deductible]],Table12[Deductible],Table12[Deductible Factor],,0)</f>
        <v>1</v>
      </c>
      <c r="AL696">
        <f>_xlfn.XLOOKUP(Table1820[[#This Row],[Coverage Limit]],Table13[Coverage Limit],Table13[Coverage Limit Factor],,0)</f>
        <v>0.72</v>
      </c>
      <c r="AM696">
        <f>IF(Table1820[[#This Row],[Good Student Discount]]="Yes",'Rate Book'!$D$126,1)</f>
        <v>1</v>
      </c>
      <c r="AN696">
        <f>IF(Table1820[[#This Row],[Good Driver Discount]]="Yes",'Rate Book'!$D$127,1)</f>
        <v>0.89</v>
      </c>
      <c r="AO696">
        <f>IF(Table1820[[#This Row],[Multi Policy Discount]]="Yes",'Rate Book'!$D$128,1)</f>
        <v>0.93</v>
      </c>
      <c r="AP696">
        <f>IF(Table1820[[#This Row],[Loyal Customer Discount]]="Yes",'Rate Book'!$D$129,1)</f>
        <v>1</v>
      </c>
      <c r="AQ696">
        <f>IF(Table1820[[#This Row],[Organization Discount]]="Yes",'Rate Book'!$D$130,1)</f>
        <v>1</v>
      </c>
      <c r="AR696" cm="1">
        <f t="array" ref="AR696">IF(Table1820[[#This Row],[Effective Date]]&gt;=RateChangeTable[Effective Date],RateChangeTable[Rate Change Factor],1)</f>
        <v>1.06</v>
      </c>
      <c r="AS696" s="10">
        <f>PRODUCT(Table1820[[#This Row],[Base Rate]:[Rate Change Factor]])</f>
        <v>305.66484609352943</v>
      </c>
      <c r="AT696" s="9">
        <f>Table1820[[#This Row],[System-Generated Premium]]-Table1820[[#This Row],[Expected Premium]]</f>
        <v>-17.30484609352942</v>
      </c>
      <c r="AU696" t="str">
        <f>IF(Table1820[[#This Row],[Difference]]=0,"PASS","FAIL")</f>
        <v>FAIL</v>
      </c>
      <c r="AV696" s="9">
        <f>ABS(Table1820[[#This Row],[Difference]])</f>
        <v>17.30484609352942</v>
      </c>
      <c r="AW696" s="9" t="s">
        <v>1133</v>
      </c>
    </row>
    <row r="697" spans="1:49" x14ac:dyDescent="0.3">
      <c r="A697" t="s">
        <v>788</v>
      </c>
      <c r="B697" s="7">
        <v>45782</v>
      </c>
      <c r="C697" t="s">
        <v>74</v>
      </c>
      <c r="D697" t="s">
        <v>1102</v>
      </c>
      <c r="E697" s="3">
        <v>5</v>
      </c>
      <c r="F697" s="3">
        <v>0</v>
      </c>
      <c r="G697" t="s">
        <v>12</v>
      </c>
      <c r="H697" t="s">
        <v>1109</v>
      </c>
      <c r="I697" t="s">
        <v>37</v>
      </c>
      <c r="J697" t="s">
        <v>48</v>
      </c>
      <c r="K697" t="s">
        <v>10</v>
      </c>
      <c r="L697" t="s">
        <v>10</v>
      </c>
      <c r="M697" t="s">
        <v>10</v>
      </c>
      <c r="N697" t="s">
        <v>57</v>
      </c>
      <c r="O697" t="str">
        <f>INDEX(CoverageTable[Deductible Applies],MATCH(Table1820[[#This Row],[Coverage]],CoverageTable[Coverage],0))</f>
        <v>No</v>
      </c>
      <c r="P697" t="str">
        <f>INDEX(CoverageTable[Coverage Limit Applies],MATCH(Table1820[[#This Row],[Coverage]],CoverageTable[Coverage],0))</f>
        <v>Yes</v>
      </c>
      <c r="Q697" t="s">
        <v>10</v>
      </c>
      <c r="R697" t="s">
        <v>79</v>
      </c>
      <c r="S697" t="s">
        <v>57</v>
      </c>
      <c r="T697" t="s">
        <v>57</v>
      </c>
      <c r="U697" t="s">
        <v>57</v>
      </c>
      <c r="V697" t="s">
        <v>10</v>
      </c>
      <c r="W697" t="s">
        <v>10</v>
      </c>
      <c r="X697" s="11">
        <v>22.680866958614569</v>
      </c>
      <c r="Y697">
        <f>_xlfn.XLOOKUP(Table1820[[#This Row],[Coverage]],CoverageTable[Coverage],CoverageTable[Base Rate],,0)</f>
        <v>41</v>
      </c>
      <c r="Z697">
        <f>INDEX(Table16[Ageband Factor],MATCH(Table1820[[#This Row],[Ageband]],Table16[Ageband],0))</f>
        <v>1.27</v>
      </c>
      <c r="AA697">
        <f>VLOOKUP(Table1820[[#This Row],[Years Driving]],Table1[],2)</f>
        <v>1.07</v>
      </c>
      <c r="AB697">
        <f>_xlfn.XLOOKUP(Table1820[[#This Row],[At Fault Accidents]],Table2[At Fault Accidents],Table2[At Fault Accident Factor],,0)</f>
        <v>1</v>
      </c>
      <c r="AC697">
        <f>_xlfn.XLOOKUP(Table1820[[#This Row],[Usage-Based Insurance]],Table3[Usage-Based Insurance],Table3[Usage-Based Insurance Discount],,0)</f>
        <v>0.8</v>
      </c>
      <c r="AD697">
        <f>_xlfn.XLOOKUP(Table1820[[#This Row],[Yearly Miles]],Table4[Yearly Miles],Table4[Yearly Miles Factor],,0)</f>
        <v>1.18</v>
      </c>
      <c r="AE697">
        <f>_xlfn.XLOOKUP(Table1820[[#This Row],[City/Zip Code]],Table5[City/Zip Code],Table5[City/Zip Code Factor],,0)</f>
        <v>1.0900000000000001</v>
      </c>
      <c r="AF697">
        <f>_xlfn.XLOOKUP(Table1820[[#This Row],[Vehicle Price]],Table6[Vehicle Price],Table6[Vehicle Price Factor])</f>
        <v>0.82</v>
      </c>
      <c r="AG697">
        <f>_xlfn.XLOOKUP(Table1820[[#This Row],[Exotic Car]],Table7[Exotic Car],Table7[Exotic Car Factor],,0)</f>
        <v>1</v>
      </c>
      <c r="AH697">
        <f>_xlfn.XLOOKUP(Table1820[[#This Row],[Difficult Parts]],Table8[Difficult Parts],Table8[Difficult Parts Factor],,0)</f>
        <v>1</v>
      </c>
      <c r="AI697">
        <f>_xlfn.XLOOKUP(Table1820[[#This Row],[High Theft Rate]],Table9[High Theft Rate],Table9[High Theft Rate Factor],,0)</f>
        <v>1</v>
      </c>
      <c r="AJ697">
        <f>_xlfn.XLOOKUP(Table1820[[#This Row],[Advanced Safety Features]],Table10[Advanced Safety Features],Table10[Advanced Safety Features Factor],,0)</f>
        <v>0.88</v>
      </c>
      <c r="AK697">
        <f>_xlfn.XLOOKUP(Table1820[[#This Row],[Deductible]],Table12[Deductible],Table12[Deductible Factor],,0)</f>
        <v>1</v>
      </c>
      <c r="AL697">
        <f>_xlfn.XLOOKUP(Table1820[[#This Row],[Coverage Limit]],Table13[Coverage Limit],Table13[Coverage Limit Factor],,0)</f>
        <v>0.72</v>
      </c>
      <c r="AM697">
        <f>IF(Table1820[[#This Row],[Good Student Discount]]="Yes",'Rate Book'!$D$126,1)</f>
        <v>0.92</v>
      </c>
      <c r="AN697">
        <f>IF(Table1820[[#This Row],[Good Driver Discount]]="Yes",'Rate Book'!$D$127,1)</f>
        <v>0.89</v>
      </c>
      <c r="AO697">
        <f>IF(Table1820[[#This Row],[Multi Policy Discount]]="Yes",'Rate Book'!$D$128,1)</f>
        <v>0.93</v>
      </c>
      <c r="AP697">
        <f>IF(Table1820[[#This Row],[Loyal Customer Discount]]="Yes",'Rate Book'!$D$129,1)</f>
        <v>1</v>
      </c>
      <c r="AQ697">
        <f>IF(Table1820[[#This Row],[Organization Discount]]="Yes",'Rate Book'!$D$130,1)</f>
        <v>1</v>
      </c>
      <c r="AR697" cm="1">
        <f t="array" ref="AR697">IF(Table1820[[#This Row],[Effective Date]]&gt;=RateChangeTable[Effective Date],RateChangeTable[Rate Change Factor],1)</f>
        <v>1</v>
      </c>
      <c r="AS697" s="10">
        <f>PRODUCT(Table1820[[#This Row],[Base Rate]:[Rate Change Factor]])</f>
        <v>22.680866958614569</v>
      </c>
      <c r="AT697" s="9">
        <f>Table1820[[#This Row],[System-Generated Premium]]-Table1820[[#This Row],[Expected Premium]]</f>
        <v>0</v>
      </c>
      <c r="AU697" t="str">
        <f>IF(Table1820[[#This Row],[Difference]]=0,"PASS","FAIL")</f>
        <v>PASS</v>
      </c>
      <c r="AV697" s="9">
        <f>ABS(Table1820[[#This Row],[Difference]])</f>
        <v>0</v>
      </c>
      <c r="AW697" s="9" t="s">
        <v>1136</v>
      </c>
    </row>
    <row r="698" spans="1:49" x14ac:dyDescent="0.3">
      <c r="A698" t="s">
        <v>789</v>
      </c>
      <c r="B698" s="7">
        <v>45810</v>
      </c>
      <c r="C698" t="s">
        <v>71</v>
      </c>
      <c r="D698" t="s">
        <v>1098</v>
      </c>
      <c r="E698" s="3">
        <v>2</v>
      </c>
      <c r="F698" s="3">
        <v>3</v>
      </c>
      <c r="G698" t="s">
        <v>10</v>
      </c>
      <c r="H698" t="s">
        <v>1107</v>
      </c>
      <c r="I698" t="s">
        <v>29</v>
      </c>
      <c r="J698" t="s">
        <v>50</v>
      </c>
      <c r="K698" t="s">
        <v>57</v>
      </c>
      <c r="L698" t="s">
        <v>10</v>
      </c>
      <c r="M698" t="s">
        <v>10</v>
      </c>
      <c r="N698" t="s">
        <v>57</v>
      </c>
      <c r="O698" t="str">
        <f>INDEX(CoverageTable[Deductible Applies],MATCH(Table1820[[#This Row],[Coverage]],CoverageTable[Coverage],0))</f>
        <v>Yes</v>
      </c>
      <c r="P698" t="str">
        <f>INDEX(CoverageTable[Coverage Limit Applies],MATCH(Table1820[[#This Row],[Coverage]],CoverageTable[Coverage],0))</f>
        <v>No</v>
      </c>
      <c r="Q698" t="s">
        <v>80</v>
      </c>
      <c r="R698" t="s">
        <v>10</v>
      </c>
      <c r="S698" t="s">
        <v>10</v>
      </c>
      <c r="T698" t="s">
        <v>57</v>
      </c>
      <c r="U698" t="s">
        <v>10</v>
      </c>
      <c r="V698" t="s">
        <v>10</v>
      </c>
      <c r="W698" t="s">
        <v>57</v>
      </c>
      <c r="X698" s="11">
        <v>1096.0084316584919</v>
      </c>
      <c r="Y698">
        <f>_xlfn.XLOOKUP(Table1820[[#This Row],[Coverage]],CoverageTable[Coverage],CoverageTable[Base Rate],,0)</f>
        <v>453</v>
      </c>
      <c r="Z698">
        <f>INDEX(Table16[Ageband Factor],MATCH(Table1820[[#This Row],[Ageband]],Table16[Ageband],0))</f>
        <v>1.23</v>
      </c>
      <c r="AA698">
        <f>VLOOKUP(Table1820[[#This Row],[Years Driving]],Table1[],2)</f>
        <v>1.41</v>
      </c>
      <c r="AB698">
        <f>_xlfn.XLOOKUP(Table1820[[#This Row],[At Fault Accidents]],Table2[At Fault Accidents],Table2[At Fault Accident Factor],,0)</f>
        <v>1.82</v>
      </c>
      <c r="AC698">
        <f>_xlfn.XLOOKUP(Table1820[[#This Row],[Usage-Based Insurance]],Table3[Usage-Based Insurance],Table3[Usage-Based Insurance Discount],,0)</f>
        <v>1</v>
      </c>
      <c r="AD698">
        <f>_xlfn.XLOOKUP(Table1820[[#This Row],[Yearly Miles]],Table4[Yearly Miles],Table4[Yearly Miles Factor],,0)</f>
        <v>0.93</v>
      </c>
      <c r="AE698">
        <f>_xlfn.XLOOKUP(Table1820[[#This Row],[City/Zip Code]],Table5[City/Zip Code],Table5[City/Zip Code Factor],,0)</f>
        <v>1.0900000000000001</v>
      </c>
      <c r="AF698">
        <f>_xlfn.XLOOKUP(Table1820[[#This Row],[Vehicle Price]],Table6[Vehicle Price],Table6[Vehicle Price Factor])</f>
        <v>1.08</v>
      </c>
      <c r="AG698">
        <f>_xlfn.XLOOKUP(Table1820[[#This Row],[Exotic Car]],Table7[Exotic Car],Table7[Exotic Car Factor],,0)</f>
        <v>1.28</v>
      </c>
      <c r="AH698">
        <f>_xlfn.XLOOKUP(Table1820[[#This Row],[Difficult Parts]],Table8[Difficult Parts],Table8[Difficult Parts Factor],,0)</f>
        <v>1</v>
      </c>
      <c r="AI698">
        <f>_xlfn.XLOOKUP(Table1820[[#This Row],[High Theft Rate]],Table9[High Theft Rate],Table9[High Theft Rate Factor],,0)</f>
        <v>1</v>
      </c>
      <c r="AJ698">
        <f>_xlfn.XLOOKUP(Table1820[[#This Row],[Advanced Safety Features]],Table10[Advanced Safety Features],Table10[Advanced Safety Features Factor],,0)</f>
        <v>0.88</v>
      </c>
      <c r="AK698">
        <f>_xlfn.XLOOKUP(Table1820[[#This Row],[Deductible]],Table12[Deductible],Table12[Deductible Factor],,0)</f>
        <v>0.72</v>
      </c>
      <c r="AL698">
        <f>_xlfn.XLOOKUP(Table1820[[#This Row],[Coverage Limit]],Table13[Coverage Limit],Table13[Coverage Limit Factor],,0)</f>
        <v>1</v>
      </c>
      <c r="AM698">
        <f>IF(Table1820[[#This Row],[Good Student Discount]]="Yes",'Rate Book'!$D$126,1)</f>
        <v>1</v>
      </c>
      <c r="AN698">
        <f>IF(Table1820[[#This Row],[Good Driver Discount]]="Yes",'Rate Book'!$D$127,1)</f>
        <v>0.89</v>
      </c>
      <c r="AO698">
        <f>IF(Table1820[[#This Row],[Multi Policy Discount]]="Yes",'Rate Book'!$D$128,1)</f>
        <v>1</v>
      </c>
      <c r="AP698">
        <f>IF(Table1820[[#This Row],[Loyal Customer Discount]]="Yes",'Rate Book'!$D$129,1)</f>
        <v>1</v>
      </c>
      <c r="AQ698">
        <f>IF(Table1820[[#This Row],[Organization Discount]]="Yes",'Rate Book'!$D$130,1)</f>
        <v>0.97</v>
      </c>
      <c r="AR698" cm="1">
        <f t="array" ref="AR698">IF(Table1820[[#This Row],[Effective Date]]&gt;=RateChangeTable[Effective Date],RateChangeTable[Rate Change Factor],1)</f>
        <v>1</v>
      </c>
      <c r="AS698" s="10">
        <f>PRODUCT(Table1820[[#This Row],[Base Rate]:[Rate Change Factor]])</f>
        <v>1096.0084316584919</v>
      </c>
      <c r="AT698" s="9">
        <f>Table1820[[#This Row],[System-Generated Premium]]-Table1820[[#This Row],[Expected Premium]]</f>
        <v>0</v>
      </c>
      <c r="AU698" t="str">
        <f>IF(Table1820[[#This Row],[Difference]]=0,"PASS","FAIL")</f>
        <v>PASS</v>
      </c>
      <c r="AV698" s="9">
        <f>ABS(Table1820[[#This Row],[Difference]])</f>
        <v>0</v>
      </c>
      <c r="AW698" s="9" t="s">
        <v>1136</v>
      </c>
    </row>
    <row r="699" spans="1:49" x14ac:dyDescent="0.3">
      <c r="A699" t="s">
        <v>790</v>
      </c>
      <c r="B699" s="7">
        <v>46123</v>
      </c>
      <c r="C699" t="s">
        <v>72</v>
      </c>
      <c r="D699" t="s">
        <v>1100</v>
      </c>
      <c r="E699" s="3">
        <v>7</v>
      </c>
      <c r="F699" s="3">
        <v>2</v>
      </c>
      <c r="G699" t="s">
        <v>12</v>
      </c>
      <c r="H699" t="s">
        <v>1109</v>
      </c>
      <c r="I699" t="s">
        <v>21</v>
      </c>
      <c r="J699" t="s">
        <v>50</v>
      </c>
      <c r="K699" t="s">
        <v>10</v>
      </c>
      <c r="L699" t="s">
        <v>57</v>
      </c>
      <c r="M699" t="s">
        <v>57</v>
      </c>
      <c r="N699" t="s">
        <v>57</v>
      </c>
      <c r="O699" t="str">
        <f>INDEX(CoverageTable[Deductible Applies],MATCH(Table1820[[#This Row],[Coverage]],CoverageTable[Coverage],0))</f>
        <v>Yes</v>
      </c>
      <c r="P699" t="str">
        <f>INDEX(CoverageTable[Coverage Limit Applies],MATCH(Table1820[[#This Row],[Coverage]],CoverageTable[Coverage],0))</f>
        <v>No</v>
      </c>
      <c r="Q699" t="s">
        <v>80</v>
      </c>
      <c r="R699" t="s">
        <v>10</v>
      </c>
      <c r="S699" t="s">
        <v>10</v>
      </c>
      <c r="T699" t="s">
        <v>57</v>
      </c>
      <c r="U699" t="s">
        <v>10</v>
      </c>
      <c r="V699" t="s">
        <v>10</v>
      </c>
      <c r="W699" t="s">
        <v>10</v>
      </c>
      <c r="X699" s="11">
        <v>205.46845078508224</v>
      </c>
      <c r="Y699">
        <f>_xlfn.XLOOKUP(Table1820[[#This Row],[Coverage]],CoverageTable[Coverage],CoverageTable[Base Rate],,0)</f>
        <v>121</v>
      </c>
      <c r="Z699">
        <f>INDEX(Table16[Ageband Factor],MATCH(Table1820[[#This Row],[Ageband]],Table16[Ageband],0))</f>
        <v>1.07</v>
      </c>
      <c r="AA699">
        <f>VLOOKUP(Table1820[[#This Row],[Years Driving]],Table1[],2)</f>
        <v>0.95</v>
      </c>
      <c r="AB699">
        <f>_xlfn.XLOOKUP(Table1820[[#This Row],[At Fault Accidents]],Table2[At Fault Accidents],Table2[At Fault Accident Factor],,0)</f>
        <v>1.55</v>
      </c>
      <c r="AC699">
        <f>_xlfn.XLOOKUP(Table1820[[#This Row],[Usage-Based Insurance]],Table3[Usage-Based Insurance],Table3[Usage-Based Insurance Discount],,0)</f>
        <v>0.8</v>
      </c>
      <c r="AD699">
        <f>_xlfn.XLOOKUP(Table1820[[#This Row],[Yearly Miles]],Table4[Yearly Miles],Table4[Yearly Miles Factor],,0)</f>
        <v>1.18</v>
      </c>
      <c r="AE699">
        <f>_xlfn.XLOOKUP(Table1820[[#This Row],[City/Zip Code]],Table5[City/Zip Code],Table5[City/Zip Code Factor],,0)</f>
        <v>1.26</v>
      </c>
      <c r="AF699">
        <f>_xlfn.XLOOKUP(Table1820[[#This Row],[Vehicle Price]],Table6[Vehicle Price],Table6[Vehicle Price Factor])</f>
        <v>1.08</v>
      </c>
      <c r="AG699">
        <f>_xlfn.XLOOKUP(Table1820[[#This Row],[Exotic Car]],Table7[Exotic Car],Table7[Exotic Car Factor],,0)</f>
        <v>1</v>
      </c>
      <c r="AH699">
        <f>_xlfn.XLOOKUP(Table1820[[#This Row],[Difficult Parts]],Table8[Difficult Parts],Table8[Difficult Parts Factor],,0)</f>
        <v>1.21</v>
      </c>
      <c r="AI699">
        <f>_xlfn.XLOOKUP(Table1820[[#This Row],[High Theft Rate]],Table9[High Theft Rate],Table9[High Theft Rate Factor],,0)</f>
        <v>1.1599999999999999</v>
      </c>
      <c r="AJ699">
        <f>_xlfn.XLOOKUP(Table1820[[#This Row],[Advanced Safety Features]],Table10[Advanced Safety Features],Table10[Advanced Safety Features Factor],,0)</f>
        <v>0.88</v>
      </c>
      <c r="AK699">
        <f>_xlfn.XLOOKUP(Table1820[[#This Row],[Deductible]],Table12[Deductible],Table12[Deductible Factor],,0)</f>
        <v>0.72</v>
      </c>
      <c r="AL699">
        <f>_xlfn.XLOOKUP(Table1820[[#This Row],[Coverage Limit]],Table13[Coverage Limit],Table13[Coverage Limit Factor],,0)</f>
        <v>1</v>
      </c>
      <c r="AM699">
        <f>IF(Table1820[[#This Row],[Good Student Discount]]="Yes",'Rate Book'!$D$126,1)</f>
        <v>1</v>
      </c>
      <c r="AN699">
        <f>IF(Table1820[[#This Row],[Good Driver Discount]]="Yes",'Rate Book'!$D$127,1)</f>
        <v>0.89</v>
      </c>
      <c r="AO699">
        <f>IF(Table1820[[#This Row],[Multi Policy Discount]]="Yes",'Rate Book'!$D$128,1)</f>
        <v>1</v>
      </c>
      <c r="AP699">
        <f>IF(Table1820[[#This Row],[Loyal Customer Discount]]="Yes",'Rate Book'!$D$129,1)</f>
        <v>1</v>
      </c>
      <c r="AQ699">
        <f>IF(Table1820[[#This Row],[Organization Discount]]="Yes",'Rate Book'!$D$130,1)</f>
        <v>1</v>
      </c>
      <c r="AR699" cm="1">
        <f t="array" ref="AR699">IF(Table1820[[#This Row],[Effective Date]]&gt;=RateChangeTable[Effective Date],RateChangeTable[Rate Change Factor],1)</f>
        <v>1.06</v>
      </c>
      <c r="AS699" s="10">
        <f>PRODUCT(Table1820[[#This Row],[Base Rate]:[Rate Change Factor]])</f>
        <v>205.46845078508224</v>
      </c>
      <c r="AT699" s="9">
        <f>Table1820[[#This Row],[System-Generated Premium]]-Table1820[[#This Row],[Expected Premium]]</f>
        <v>0</v>
      </c>
      <c r="AU699" t="str">
        <f>IF(Table1820[[#This Row],[Difference]]=0,"PASS","FAIL")</f>
        <v>PASS</v>
      </c>
      <c r="AV699" s="9">
        <f>ABS(Table1820[[#This Row],[Difference]])</f>
        <v>0</v>
      </c>
      <c r="AW699" s="9" t="s">
        <v>1136</v>
      </c>
    </row>
    <row r="700" spans="1:49" x14ac:dyDescent="0.3">
      <c r="A700" t="s">
        <v>791</v>
      </c>
      <c r="B700" s="7">
        <v>46092</v>
      </c>
      <c r="C700" t="s">
        <v>71</v>
      </c>
      <c r="D700" t="s">
        <v>1102</v>
      </c>
      <c r="E700" s="3">
        <v>2</v>
      </c>
      <c r="F700" s="3">
        <v>2</v>
      </c>
      <c r="G700" t="s">
        <v>10</v>
      </c>
      <c r="H700" t="s">
        <v>1109</v>
      </c>
      <c r="I700" t="s">
        <v>37</v>
      </c>
      <c r="J700" t="s">
        <v>53</v>
      </c>
      <c r="K700" t="s">
        <v>10</v>
      </c>
      <c r="L700" t="s">
        <v>10</v>
      </c>
      <c r="M700" t="s">
        <v>10</v>
      </c>
      <c r="N700" t="s">
        <v>10</v>
      </c>
      <c r="O700" t="str">
        <f>INDEX(CoverageTable[Deductible Applies],MATCH(Table1820[[#This Row],[Coverage]],CoverageTable[Coverage],0))</f>
        <v>Yes</v>
      </c>
      <c r="P700" t="str">
        <f>INDEX(CoverageTable[Coverage Limit Applies],MATCH(Table1820[[#This Row],[Coverage]],CoverageTable[Coverage],0))</f>
        <v>No</v>
      </c>
      <c r="Q700" t="s">
        <v>79</v>
      </c>
      <c r="R700" t="s">
        <v>10</v>
      </c>
      <c r="S700" t="s">
        <v>10</v>
      </c>
      <c r="T700" t="s">
        <v>57</v>
      </c>
      <c r="U700" t="s">
        <v>10</v>
      </c>
      <c r="V700" t="s">
        <v>10</v>
      </c>
      <c r="W700" t="s">
        <v>10</v>
      </c>
      <c r="X700" s="11">
        <v>2588.7360192861679</v>
      </c>
      <c r="Y700">
        <f>_xlfn.XLOOKUP(Table1820[[#This Row],[Coverage]],CoverageTable[Coverage],CoverageTable[Base Rate],,0)</f>
        <v>453</v>
      </c>
      <c r="Z700">
        <f>INDEX(Table16[Ageband Factor],MATCH(Table1820[[#This Row],[Ageband]],Table16[Ageband],0))</f>
        <v>1.27</v>
      </c>
      <c r="AA700">
        <f>VLOOKUP(Table1820[[#This Row],[Years Driving]],Table1[],2)</f>
        <v>1.41</v>
      </c>
      <c r="AB700">
        <f>_xlfn.XLOOKUP(Table1820[[#This Row],[At Fault Accidents]],Table2[At Fault Accidents],Table2[At Fault Accident Factor],,0)</f>
        <v>1.55</v>
      </c>
      <c r="AC700">
        <f>_xlfn.XLOOKUP(Table1820[[#This Row],[Usage-Based Insurance]],Table3[Usage-Based Insurance],Table3[Usage-Based Insurance Discount],,0)</f>
        <v>1</v>
      </c>
      <c r="AD700">
        <f>_xlfn.XLOOKUP(Table1820[[#This Row],[Yearly Miles]],Table4[Yearly Miles],Table4[Yearly Miles Factor],,0)</f>
        <v>1.18</v>
      </c>
      <c r="AE700">
        <f>_xlfn.XLOOKUP(Table1820[[#This Row],[City/Zip Code]],Table5[City/Zip Code],Table5[City/Zip Code Factor],,0)</f>
        <v>1.0900000000000001</v>
      </c>
      <c r="AF700">
        <f>_xlfn.XLOOKUP(Table1820[[#This Row],[Vehicle Price]],Table6[Vehicle Price],Table6[Vehicle Price Factor])</f>
        <v>2.02</v>
      </c>
      <c r="AG700">
        <f>_xlfn.XLOOKUP(Table1820[[#This Row],[Exotic Car]],Table7[Exotic Car],Table7[Exotic Car Factor],,0)</f>
        <v>1</v>
      </c>
      <c r="AH700">
        <f>_xlfn.XLOOKUP(Table1820[[#This Row],[Difficult Parts]],Table8[Difficult Parts],Table8[Difficult Parts Factor],,0)</f>
        <v>1</v>
      </c>
      <c r="AI700">
        <f>_xlfn.XLOOKUP(Table1820[[#This Row],[High Theft Rate]],Table9[High Theft Rate],Table9[High Theft Rate Factor],,0)</f>
        <v>1</v>
      </c>
      <c r="AJ700">
        <f>_xlfn.XLOOKUP(Table1820[[#This Row],[Advanced Safety Features]],Table10[Advanced Safety Features],Table10[Advanced Safety Features Factor],,0)</f>
        <v>1</v>
      </c>
      <c r="AK700">
        <f>_xlfn.XLOOKUP(Table1820[[#This Row],[Deductible]],Table12[Deductible],Table12[Deductible Factor],,0)</f>
        <v>0.84</v>
      </c>
      <c r="AL700">
        <f>_xlfn.XLOOKUP(Table1820[[#This Row],[Coverage Limit]],Table13[Coverage Limit],Table13[Coverage Limit Factor],,0)</f>
        <v>1</v>
      </c>
      <c r="AM700">
        <f>IF(Table1820[[#This Row],[Good Student Discount]]="Yes",'Rate Book'!$D$126,1)</f>
        <v>1</v>
      </c>
      <c r="AN700">
        <f>IF(Table1820[[#This Row],[Good Driver Discount]]="Yes",'Rate Book'!$D$127,1)</f>
        <v>0.89</v>
      </c>
      <c r="AO700">
        <f>IF(Table1820[[#This Row],[Multi Policy Discount]]="Yes",'Rate Book'!$D$128,1)</f>
        <v>1</v>
      </c>
      <c r="AP700">
        <f>IF(Table1820[[#This Row],[Loyal Customer Discount]]="Yes",'Rate Book'!$D$129,1)</f>
        <v>1</v>
      </c>
      <c r="AQ700">
        <f>IF(Table1820[[#This Row],[Organization Discount]]="Yes",'Rate Book'!$D$130,1)</f>
        <v>1</v>
      </c>
      <c r="AR700" cm="1">
        <f t="array" ref="AR700">IF(Table1820[[#This Row],[Effective Date]]&gt;=RateChangeTable[Effective Date],RateChangeTable[Rate Change Factor],1)</f>
        <v>1.06</v>
      </c>
      <c r="AS700" s="10">
        <f>PRODUCT(Table1820[[#This Row],[Base Rate]:[Rate Change Factor]])</f>
        <v>2588.7360192861679</v>
      </c>
      <c r="AT700" s="9">
        <f>Table1820[[#This Row],[System-Generated Premium]]-Table1820[[#This Row],[Expected Premium]]</f>
        <v>0</v>
      </c>
      <c r="AU700" t="str">
        <f>IF(Table1820[[#This Row],[Difference]]=0,"PASS","FAIL")</f>
        <v>PASS</v>
      </c>
      <c r="AV700" s="9">
        <f>ABS(Table1820[[#This Row],[Difference]])</f>
        <v>0</v>
      </c>
      <c r="AW700" s="9" t="s">
        <v>1136</v>
      </c>
    </row>
    <row r="701" spans="1:49" x14ac:dyDescent="0.3">
      <c r="A701" t="s">
        <v>792</v>
      </c>
      <c r="B701" s="7">
        <v>45867</v>
      </c>
      <c r="C701" t="s">
        <v>70</v>
      </c>
      <c r="D701" t="s">
        <v>1102</v>
      </c>
      <c r="E701" s="3" t="s">
        <v>1103</v>
      </c>
      <c r="F701" s="3">
        <v>4</v>
      </c>
      <c r="G701" t="s">
        <v>11</v>
      </c>
      <c r="H701" t="s">
        <v>1107</v>
      </c>
      <c r="I701" t="s">
        <v>37</v>
      </c>
      <c r="J701" t="s">
        <v>54</v>
      </c>
      <c r="K701" t="s">
        <v>10</v>
      </c>
      <c r="L701" t="s">
        <v>10</v>
      </c>
      <c r="M701" t="s">
        <v>57</v>
      </c>
      <c r="N701" t="s">
        <v>10</v>
      </c>
      <c r="O701" t="str">
        <f>INDEX(CoverageTable[Deductible Applies],MATCH(Table1820[[#This Row],[Coverage]],CoverageTable[Coverage],0))</f>
        <v>No</v>
      </c>
      <c r="P701" t="str">
        <f>INDEX(CoverageTable[Coverage Limit Applies],MATCH(Table1820[[#This Row],[Coverage]],CoverageTable[Coverage],0))</f>
        <v>Yes</v>
      </c>
      <c r="Q701" t="s">
        <v>10</v>
      </c>
      <c r="R701" t="s">
        <v>80</v>
      </c>
      <c r="S701" t="s">
        <v>10</v>
      </c>
      <c r="T701" t="s">
        <v>10</v>
      </c>
      <c r="U701" t="s">
        <v>57</v>
      </c>
      <c r="V701" t="s">
        <v>10</v>
      </c>
      <c r="W701" t="s">
        <v>10</v>
      </c>
      <c r="X701" s="11">
        <v>3900.7497334474451</v>
      </c>
      <c r="Y701">
        <f>_xlfn.XLOOKUP(Table1820[[#This Row],[Coverage]],CoverageTable[Coverage],CoverageTable[Base Rate],,0)</f>
        <v>622</v>
      </c>
      <c r="Z701">
        <f>INDEX(Table16[Ageband Factor],MATCH(Table1820[[#This Row],[Ageband]],Table16[Ageband],0))</f>
        <v>1.27</v>
      </c>
      <c r="AA701">
        <f>VLOOKUP(Table1820[[#This Row],[Years Driving]],Table1[],2)</f>
        <v>0.93</v>
      </c>
      <c r="AB701">
        <f>_xlfn.XLOOKUP(Table1820[[#This Row],[At Fault Accidents]],Table2[At Fault Accidents],Table2[At Fault Accident Factor],,0)</f>
        <v>2.12</v>
      </c>
      <c r="AC701">
        <f>_xlfn.XLOOKUP(Table1820[[#This Row],[Usage-Based Insurance]],Table3[Usage-Based Insurance],Table3[Usage-Based Insurance Discount],,0)</f>
        <v>0.95</v>
      </c>
      <c r="AD701">
        <f>_xlfn.XLOOKUP(Table1820[[#This Row],[Yearly Miles]],Table4[Yearly Miles],Table4[Yearly Miles Factor],,0)</f>
        <v>0.93</v>
      </c>
      <c r="AE701">
        <f>_xlfn.XLOOKUP(Table1820[[#This Row],[City/Zip Code]],Table5[City/Zip Code],Table5[City/Zip Code Factor],,0)</f>
        <v>1.0900000000000001</v>
      </c>
      <c r="AF701">
        <f>_xlfn.XLOOKUP(Table1820[[#This Row],[Vehicle Price]],Table6[Vehicle Price],Table6[Vehicle Price Factor])</f>
        <v>2.87</v>
      </c>
      <c r="AG701">
        <f>_xlfn.XLOOKUP(Table1820[[#This Row],[Exotic Car]],Table7[Exotic Car],Table7[Exotic Car Factor],,0)</f>
        <v>1</v>
      </c>
      <c r="AH701">
        <f>_xlfn.XLOOKUP(Table1820[[#This Row],[Difficult Parts]],Table8[Difficult Parts],Table8[Difficult Parts Factor],,0)</f>
        <v>1</v>
      </c>
      <c r="AI701">
        <f>_xlfn.XLOOKUP(Table1820[[#This Row],[High Theft Rate]],Table9[High Theft Rate],Table9[High Theft Rate Factor],,0)</f>
        <v>1.1599999999999999</v>
      </c>
      <c r="AJ701">
        <f>_xlfn.XLOOKUP(Table1820[[#This Row],[Advanced Safety Features]],Table10[Advanced Safety Features],Table10[Advanced Safety Features Factor],,0)</f>
        <v>1</v>
      </c>
      <c r="AK701">
        <f>_xlfn.XLOOKUP(Table1820[[#This Row],[Deductible]],Table12[Deductible],Table12[Deductible Factor],,0)</f>
        <v>1</v>
      </c>
      <c r="AL701">
        <f>_xlfn.XLOOKUP(Table1820[[#This Row],[Coverage Limit]],Table13[Coverage Limit],Table13[Coverage Limit Factor],,0)</f>
        <v>0.84</v>
      </c>
      <c r="AM701">
        <f>IF(Table1820[[#This Row],[Good Student Discount]]="Yes",'Rate Book'!$D$126,1)</f>
        <v>1</v>
      </c>
      <c r="AN701">
        <f>IF(Table1820[[#This Row],[Good Driver Discount]]="Yes",'Rate Book'!$D$127,1)</f>
        <v>1</v>
      </c>
      <c r="AO701">
        <f>IF(Table1820[[#This Row],[Multi Policy Discount]]="Yes",'Rate Book'!$D$128,1)</f>
        <v>0.93</v>
      </c>
      <c r="AP701">
        <f>IF(Table1820[[#This Row],[Loyal Customer Discount]]="Yes",'Rate Book'!$D$129,1)</f>
        <v>1</v>
      </c>
      <c r="AQ701">
        <f>IF(Table1820[[#This Row],[Organization Discount]]="Yes",'Rate Book'!$D$130,1)</f>
        <v>1</v>
      </c>
      <c r="AR701" cm="1">
        <f t="array" ref="AR701">IF(Table1820[[#This Row],[Effective Date]]&gt;=RateChangeTable[Effective Date],RateChangeTable[Rate Change Factor],1)</f>
        <v>1</v>
      </c>
      <c r="AS701" s="10">
        <f>PRODUCT(Table1820[[#This Row],[Base Rate]:[Rate Change Factor]])</f>
        <v>3900.7497334474451</v>
      </c>
      <c r="AT701" s="9">
        <f>Table1820[[#This Row],[System-Generated Premium]]-Table1820[[#This Row],[Expected Premium]]</f>
        <v>0</v>
      </c>
      <c r="AU701" t="str">
        <f>IF(Table1820[[#This Row],[Difference]]=0,"PASS","FAIL")</f>
        <v>PASS</v>
      </c>
      <c r="AV701" s="9">
        <f>ABS(Table1820[[#This Row],[Difference]])</f>
        <v>0</v>
      </c>
      <c r="AW701" s="9" t="s">
        <v>1136</v>
      </c>
    </row>
    <row r="702" spans="1:49" x14ac:dyDescent="0.3">
      <c r="A702" t="s">
        <v>793</v>
      </c>
      <c r="B702" s="7">
        <v>45808</v>
      </c>
      <c r="C702" t="s">
        <v>73</v>
      </c>
      <c r="D702" t="s">
        <v>1098</v>
      </c>
      <c r="E702" s="3">
        <v>2</v>
      </c>
      <c r="F702" s="3">
        <v>0</v>
      </c>
      <c r="G702" t="s">
        <v>12</v>
      </c>
      <c r="H702" t="s">
        <v>1106</v>
      </c>
      <c r="I702" t="s">
        <v>42</v>
      </c>
      <c r="J702" t="s">
        <v>54</v>
      </c>
      <c r="K702" t="s">
        <v>10</v>
      </c>
      <c r="L702" t="s">
        <v>10</v>
      </c>
      <c r="M702" t="s">
        <v>10</v>
      </c>
      <c r="N702" t="s">
        <v>10</v>
      </c>
      <c r="O702" t="str">
        <f>INDEX(CoverageTable[Deductible Applies],MATCH(Table1820[[#This Row],[Coverage]],CoverageTable[Coverage],0))</f>
        <v>No</v>
      </c>
      <c r="P702" t="str">
        <f>INDEX(CoverageTable[Coverage Limit Applies],MATCH(Table1820[[#This Row],[Coverage]],CoverageTable[Coverage],0))</f>
        <v>Yes</v>
      </c>
      <c r="Q702" t="s">
        <v>10</v>
      </c>
      <c r="R702" t="s">
        <v>79</v>
      </c>
      <c r="S702" t="s">
        <v>10</v>
      </c>
      <c r="T702" t="s">
        <v>10</v>
      </c>
      <c r="U702" t="s">
        <v>10</v>
      </c>
      <c r="V702" t="s">
        <v>10</v>
      </c>
      <c r="W702" t="s">
        <v>10</v>
      </c>
      <c r="X702" s="11">
        <v>221.88218278786559</v>
      </c>
      <c r="Y702">
        <f>_xlfn.XLOOKUP(Table1820[[#This Row],[Coverage]],CoverageTable[Coverage],CoverageTable[Base Rate],,0)</f>
        <v>78</v>
      </c>
      <c r="Z702">
        <f>INDEX(Table16[Ageband Factor],MATCH(Table1820[[#This Row],[Ageband]],Table16[Ageband],0))</f>
        <v>1.23</v>
      </c>
      <c r="AA702">
        <f>VLOOKUP(Table1820[[#This Row],[Years Driving]],Table1[],2)</f>
        <v>1.41</v>
      </c>
      <c r="AB702">
        <f>_xlfn.XLOOKUP(Table1820[[#This Row],[At Fault Accidents]],Table2[At Fault Accidents],Table2[At Fault Accident Factor],,0)</f>
        <v>1</v>
      </c>
      <c r="AC702">
        <f>_xlfn.XLOOKUP(Table1820[[#This Row],[Usage-Based Insurance]],Table3[Usage-Based Insurance],Table3[Usage-Based Insurance Discount],,0)</f>
        <v>0.8</v>
      </c>
      <c r="AD702">
        <f>_xlfn.XLOOKUP(Table1820[[#This Row],[Yearly Miles]],Table4[Yearly Miles],Table4[Yearly Miles Factor],,0)</f>
        <v>0.82</v>
      </c>
      <c r="AE702">
        <f>_xlfn.XLOOKUP(Table1820[[#This Row],[City/Zip Code]],Table5[City/Zip Code],Table5[City/Zip Code Factor],,0)</f>
        <v>1.21</v>
      </c>
      <c r="AF702">
        <f>_xlfn.XLOOKUP(Table1820[[#This Row],[Vehicle Price]],Table6[Vehicle Price],Table6[Vehicle Price Factor])</f>
        <v>2.87</v>
      </c>
      <c r="AG702">
        <f>_xlfn.XLOOKUP(Table1820[[#This Row],[Exotic Car]],Table7[Exotic Car],Table7[Exotic Car Factor],,0)</f>
        <v>1</v>
      </c>
      <c r="AH702">
        <f>_xlfn.XLOOKUP(Table1820[[#This Row],[Difficult Parts]],Table8[Difficult Parts],Table8[Difficult Parts Factor],,0)</f>
        <v>1</v>
      </c>
      <c r="AI702">
        <f>_xlfn.XLOOKUP(Table1820[[#This Row],[High Theft Rate]],Table9[High Theft Rate],Table9[High Theft Rate Factor],,0)</f>
        <v>1</v>
      </c>
      <c r="AJ702">
        <f>_xlfn.XLOOKUP(Table1820[[#This Row],[Advanced Safety Features]],Table10[Advanced Safety Features],Table10[Advanced Safety Features Factor],,0)</f>
        <v>1</v>
      </c>
      <c r="AK702">
        <f>_xlfn.XLOOKUP(Table1820[[#This Row],[Deductible]],Table12[Deductible],Table12[Deductible Factor],,0)</f>
        <v>1</v>
      </c>
      <c r="AL702">
        <f>_xlfn.XLOOKUP(Table1820[[#This Row],[Coverage Limit]],Table13[Coverage Limit],Table13[Coverage Limit Factor],,0)</f>
        <v>0.72</v>
      </c>
      <c r="AM702">
        <f>IF(Table1820[[#This Row],[Good Student Discount]]="Yes",'Rate Book'!$D$126,1)</f>
        <v>1</v>
      </c>
      <c r="AN702">
        <f>IF(Table1820[[#This Row],[Good Driver Discount]]="Yes",'Rate Book'!$D$127,1)</f>
        <v>1</v>
      </c>
      <c r="AO702">
        <f>IF(Table1820[[#This Row],[Multi Policy Discount]]="Yes",'Rate Book'!$D$128,1)</f>
        <v>1</v>
      </c>
      <c r="AP702">
        <f>IF(Table1820[[#This Row],[Loyal Customer Discount]]="Yes",'Rate Book'!$D$129,1)</f>
        <v>1</v>
      </c>
      <c r="AQ702">
        <f>IF(Table1820[[#This Row],[Organization Discount]]="Yes",'Rate Book'!$D$130,1)</f>
        <v>1</v>
      </c>
      <c r="AR702" cm="1">
        <f t="array" ref="AR702">IF(Table1820[[#This Row],[Effective Date]]&gt;=RateChangeTable[Effective Date],RateChangeTable[Rate Change Factor],1)</f>
        <v>1</v>
      </c>
      <c r="AS702" s="10">
        <f>PRODUCT(Table1820[[#This Row],[Base Rate]:[Rate Change Factor]])</f>
        <v>221.88218278786559</v>
      </c>
      <c r="AT702" s="9">
        <f>Table1820[[#This Row],[System-Generated Premium]]-Table1820[[#This Row],[Expected Premium]]</f>
        <v>0</v>
      </c>
      <c r="AU702" t="str">
        <f>IF(Table1820[[#This Row],[Difference]]=0,"PASS","FAIL")</f>
        <v>PASS</v>
      </c>
      <c r="AV702" s="9">
        <f>ABS(Table1820[[#This Row],[Difference]])</f>
        <v>0</v>
      </c>
      <c r="AW702" s="9" t="s">
        <v>1136</v>
      </c>
    </row>
    <row r="703" spans="1:49" x14ac:dyDescent="0.3">
      <c r="A703" t="s">
        <v>794</v>
      </c>
      <c r="B703" s="7">
        <v>45916</v>
      </c>
      <c r="C703" t="s">
        <v>70</v>
      </c>
      <c r="D703" t="s">
        <v>1098</v>
      </c>
      <c r="E703" s="3">
        <v>6</v>
      </c>
      <c r="F703" s="3">
        <v>0</v>
      </c>
      <c r="G703" t="s">
        <v>13</v>
      </c>
      <c r="H703" t="s">
        <v>1106</v>
      </c>
      <c r="I703" t="s">
        <v>44</v>
      </c>
      <c r="J703" t="s">
        <v>48</v>
      </c>
      <c r="K703" t="s">
        <v>57</v>
      </c>
      <c r="L703" t="s">
        <v>10</v>
      </c>
      <c r="M703" t="s">
        <v>10</v>
      </c>
      <c r="N703" t="s">
        <v>57</v>
      </c>
      <c r="O703" t="str">
        <f>INDEX(CoverageTable[Deductible Applies],MATCH(Table1820[[#This Row],[Coverage]],CoverageTable[Coverage],0))</f>
        <v>No</v>
      </c>
      <c r="P703" t="str">
        <f>INDEX(CoverageTable[Coverage Limit Applies],MATCH(Table1820[[#This Row],[Coverage]],CoverageTable[Coverage],0))</f>
        <v>Yes</v>
      </c>
      <c r="Q703" t="s">
        <v>10</v>
      </c>
      <c r="R703" t="s">
        <v>80</v>
      </c>
      <c r="S703" t="s">
        <v>10</v>
      </c>
      <c r="T703" t="s">
        <v>57</v>
      </c>
      <c r="U703" t="s">
        <v>10</v>
      </c>
      <c r="V703" t="s">
        <v>10</v>
      </c>
      <c r="W703" t="s">
        <v>10</v>
      </c>
      <c r="X703" s="11">
        <v>326.63030864065263</v>
      </c>
      <c r="Y703">
        <f>_xlfn.XLOOKUP(Table1820[[#This Row],[Coverage]],CoverageTable[Coverage],CoverageTable[Base Rate],,0)</f>
        <v>622</v>
      </c>
      <c r="Z703">
        <f>INDEX(Table16[Ageband Factor],MATCH(Table1820[[#This Row],[Ageband]],Table16[Ageband],0))</f>
        <v>1.23</v>
      </c>
      <c r="AA703">
        <f>VLOOKUP(Table1820[[#This Row],[Years Driving]],Table1[],2)</f>
        <v>1</v>
      </c>
      <c r="AB703">
        <f>_xlfn.XLOOKUP(Table1820[[#This Row],[At Fault Accidents]],Table2[At Fault Accidents],Table2[At Fault Accident Factor],,0)</f>
        <v>1</v>
      </c>
      <c r="AC703">
        <f>_xlfn.XLOOKUP(Table1820[[#This Row],[Usage-Based Insurance]],Table3[Usage-Based Insurance],Table3[Usage-Based Insurance Discount],,0)</f>
        <v>0.65</v>
      </c>
      <c r="AD703">
        <f>_xlfn.XLOOKUP(Table1820[[#This Row],[Yearly Miles]],Table4[Yearly Miles],Table4[Yearly Miles Factor],,0)</f>
        <v>0.82</v>
      </c>
      <c r="AE703">
        <f>_xlfn.XLOOKUP(Table1820[[#This Row],[City/Zip Code]],Table5[City/Zip Code],Table5[City/Zip Code Factor],,0)</f>
        <v>1.1599999999999999</v>
      </c>
      <c r="AF703">
        <f>_xlfn.XLOOKUP(Table1820[[#This Row],[Vehicle Price]],Table6[Vehicle Price],Table6[Vehicle Price Factor])</f>
        <v>0.82</v>
      </c>
      <c r="AG703">
        <f>_xlfn.XLOOKUP(Table1820[[#This Row],[Exotic Car]],Table7[Exotic Car],Table7[Exotic Car Factor],,0)</f>
        <v>1.28</v>
      </c>
      <c r="AH703">
        <f>_xlfn.XLOOKUP(Table1820[[#This Row],[Difficult Parts]],Table8[Difficult Parts],Table8[Difficult Parts Factor],,0)</f>
        <v>1</v>
      </c>
      <c r="AI703">
        <f>_xlfn.XLOOKUP(Table1820[[#This Row],[High Theft Rate]],Table9[High Theft Rate],Table9[High Theft Rate Factor],,0)</f>
        <v>1</v>
      </c>
      <c r="AJ703">
        <f>_xlfn.XLOOKUP(Table1820[[#This Row],[Advanced Safety Features]],Table10[Advanced Safety Features],Table10[Advanced Safety Features Factor],,0)</f>
        <v>0.88</v>
      </c>
      <c r="AK703">
        <f>_xlfn.XLOOKUP(Table1820[[#This Row],[Deductible]],Table12[Deductible],Table12[Deductible Factor],,0)</f>
        <v>1</v>
      </c>
      <c r="AL703">
        <f>_xlfn.XLOOKUP(Table1820[[#This Row],[Coverage Limit]],Table13[Coverage Limit],Table13[Coverage Limit Factor],,0)</f>
        <v>0.84</v>
      </c>
      <c r="AM703">
        <f>IF(Table1820[[#This Row],[Good Student Discount]]="Yes",'Rate Book'!$D$126,1)</f>
        <v>1</v>
      </c>
      <c r="AN703">
        <f>IF(Table1820[[#This Row],[Good Driver Discount]]="Yes",'Rate Book'!$D$127,1)</f>
        <v>0.89</v>
      </c>
      <c r="AO703">
        <f>IF(Table1820[[#This Row],[Multi Policy Discount]]="Yes",'Rate Book'!$D$128,1)</f>
        <v>1</v>
      </c>
      <c r="AP703">
        <f>IF(Table1820[[#This Row],[Loyal Customer Discount]]="Yes",'Rate Book'!$D$129,1)</f>
        <v>1</v>
      </c>
      <c r="AQ703">
        <f>IF(Table1820[[#This Row],[Organization Discount]]="Yes",'Rate Book'!$D$130,1)</f>
        <v>1</v>
      </c>
      <c r="AR703" cm="1">
        <f t="array" ref="AR703">IF(Table1820[[#This Row],[Effective Date]]&gt;=RateChangeTable[Effective Date],RateChangeTable[Rate Change Factor],1)</f>
        <v>1</v>
      </c>
      <c r="AS703" s="10">
        <f>PRODUCT(Table1820[[#This Row],[Base Rate]:[Rate Change Factor]])</f>
        <v>326.63030864065263</v>
      </c>
      <c r="AT703" s="9">
        <f>Table1820[[#This Row],[System-Generated Premium]]-Table1820[[#This Row],[Expected Premium]]</f>
        <v>0</v>
      </c>
      <c r="AU703" t="str">
        <f>IF(Table1820[[#This Row],[Difference]]=0,"PASS","FAIL")</f>
        <v>PASS</v>
      </c>
      <c r="AV703" s="9">
        <f>ABS(Table1820[[#This Row],[Difference]])</f>
        <v>0</v>
      </c>
      <c r="AW703" s="9" t="s">
        <v>1136</v>
      </c>
    </row>
    <row r="704" spans="1:49" x14ac:dyDescent="0.3">
      <c r="A704" t="s">
        <v>795</v>
      </c>
      <c r="B704" s="7">
        <v>46046</v>
      </c>
      <c r="C704" t="s">
        <v>71</v>
      </c>
      <c r="D704" t="s">
        <v>1098</v>
      </c>
      <c r="E704" s="3">
        <v>1</v>
      </c>
      <c r="F704" s="3" t="s">
        <v>7</v>
      </c>
      <c r="G704" t="s">
        <v>11</v>
      </c>
      <c r="H704" t="s">
        <v>1108</v>
      </c>
      <c r="I704" t="s">
        <v>22</v>
      </c>
      <c r="J704" t="s">
        <v>50</v>
      </c>
      <c r="K704" t="s">
        <v>10</v>
      </c>
      <c r="L704" t="s">
        <v>10</v>
      </c>
      <c r="M704" t="s">
        <v>10</v>
      </c>
      <c r="N704" t="s">
        <v>57</v>
      </c>
      <c r="O704" t="str">
        <f>INDEX(CoverageTable[Deductible Applies],MATCH(Table1820[[#This Row],[Coverage]],CoverageTable[Coverage],0))</f>
        <v>Yes</v>
      </c>
      <c r="P704" t="str">
        <f>INDEX(CoverageTable[Coverage Limit Applies],MATCH(Table1820[[#This Row],[Coverage]],CoverageTable[Coverage],0))</f>
        <v>No</v>
      </c>
      <c r="Q704" t="s">
        <v>80</v>
      </c>
      <c r="R704" t="s">
        <v>10</v>
      </c>
      <c r="S704" t="s">
        <v>10</v>
      </c>
      <c r="T704" t="s">
        <v>10</v>
      </c>
      <c r="U704" t="s">
        <v>10</v>
      </c>
      <c r="V704" t="s">
        <v>10</v>
      </c>
      <c r="W704" t="s">
        <v>10</v>
      </c>
      <c r="X704" s="11">
        <v>1881.905795455147</v>
      </c>
      <c r="Y704">
        <f>_xlfn.XLOOKUP(Table1820[[#This Row],[Coverage]],CoverageTable[Coverage],CoverageTable[Base Rate],,0)</f>
        <v>453</v>
      </c>
      <c r="Z704">
        <f>INDEX(Table16[Ageband Factor],MATCH(Table1820[[#This Row],[Ageband]],Table16[Ageband],0))</f>
        <v>1.23</v>
      </c>
      <c r="AA704">
        <f>VLOOKUP(Table1820[[#This Row],[Years Driving]],Table1[],2)</f>
        <v>1.64</v>
      </c>
      <c r="AB704">
        <f>_xlfn.XLOOKUP(Table1820[[#This Row],[At Fault Accidents]],Table2[At Fault Accidents],Table2[At Fault Accident Factor],,0)</f>
        <v>2.4700000000000002</v>
      </c>
      <c r="AC704">
        <f>_xlfn.XLOOKUP(Table1820[[#This Row],[Usage-Based Insurance]],Table3[Usage-Based Insurance],Table3[Usage-Based Insurance Discount],,0)</f>
        <v>0.95</v>
      </c>
      <c r="AD704">
        <f>_xlfn.XLOOKUP(Table1820[[#This Row],[Yearly Miles]],Table4[Yearly Miles],Table4[Yearly Miles Factor],,0)</f>
        <v>1</v>
      </c>
      <c r="AE704">
        <f>_xlfn.XLOOKUP(Table1820[[#This Row],[City/Zip Code]],Table5[City/Zip Code],Table5[City/Zip Code Factor],,0)</f>
        <v>1.21</v>
      </c>
      <c r="AF704">
        <f>_xlfn.XLOOKUP(Table1820[[#This Row],[Vehicle Price]],Table6[Vehicle Price],Table6[Vehicle Price Factor])</f>
        <v>1.08</v>
      </c>
      <c r="AG704">
        <f>_xlfn.XLOOKUP(Table1820[[#This Row],[Exotic Car]],Table7[Exotic Car],Table7[Exotic Car Factor],,0)</f>
        <v>1</v>
      </c>
      <c r="AH704">
        <f>_xlfn.XLOOKUP(Table1820[[#This Row],[Difficult Parts]],Table8[Difficult Parts],Table8[Difficult Parts Factor],,0)</f>
        <v>1</v>
      </c>
      <c r="AI704">
        <f>_xlfn.XLOOKUP(Table1820[[#This Row],[High Theft Rate]],Table9[High Theft Rate],Table9[High Theft Rate Factor],,0)</f>
        <v>1</v>
      </c>
      <c r="AJ704">
        <f>_xlfn.XLOOKUP(Table1820[[#This Row],[Advanced Safety Features]],Table10[Advanced Safety Features],Table10[Advanced Safety Features Factor],,0)</f>
        <v>0.88</v>
      </c>
      <c r="AK704">
        <f>_xlfn.XLOOKUP(Table1820[[#This Row],[Deductible]],Table12[Deductible],Table12[Deductible Factor],,0)</f>
        <v>0.72</v>
      </c>
      <c r="AL704">
        <f>_xlfn.XLOOKUP(Table1820[[#This Row],[Coverage Limit]],Table13[Coverage Limit],Table13[Coverage Limit Factor],,0)</f>
        <v>1</v>
      </c>
      <c r="AM704">
        <f>IF(Table1820[[#This Row],[Good Student Discount]]="Yes",'Rate Book'!$D$126,1)</f>
        <v>1</v>
      </c>
      <c r="AN704">
        <f>IF(Table1820[[#This Row],[Good Driver Discount]]="Yes",'Rate Book'!$D$127,1)</f>
        <v>1</v>
      </c>
      <c r="AO704">
        <f>IF(Table1820[[#This Row],[Multi Policy Discount]]="Yes",'Rate Book'!$D$128,1)</f>
        <v>1</v>
      </c>
      <c r="AP704">
        <f>IF(Table1820[[#This Row],[Loyal Customer Discount]]="Yes",'Rate Book'!$D$129,1)</f>
        <v>1</v>
      </c>
      <c r="AQ704">
        <f>IF(Table1820[[#This Row],[Organization Discount]]="Yes",'Rate Book'!$D$130,1)</f>
        <v>1</v>
      </c>
      <c r="AR704" cm="1">
        <f t="array" ref="AR704">IF(Table1820[[#This Row],[Effective Date]]&gt;=RateChangeTable[Effective Date],RateChangeTable[Rate Change Factor],1)</f>
        <v>1.06</v>
      </c>
      <c r="AS704" s="10">
        <f>PRODUCT(Table1820[[#This Row],[Base Rate]:[Rate Change Factor]])</f>
        <v>1881.905795455147</v>
      </c>
      <c r="AT704" s="9">
        <f>Table1820[[#This Row],[System-Generated Premium]]-Table1820[[#This Row],[Expected Premium]]</f>
        <v>0</v>
      </c>
      <c r="AU704" t="str">
        <f>IF(Table1820[[#This Row],[Difference]]=0,"PASS","FAIL")</f>
        <v>PASS</v>
      </c>
      <c r="AV704" s="9">
        <f>ABS(Table1820[[#This Row],[Difference]])</f>
        <v>0</v>
      </c>
      <c r="AW704" s="9" t="s">
        <v>1136</v>
      </c>
    </row>
    <row r="705" spans="1:49" x14ac:dyDescent="0.3">
      <c r="A705" t="s">
        <v>796</v>
      </c>
      <c r="B705" s="7">
        <v>45783</v>
      </c>
      <c r="C705" t="s">
        <v>71</v>
      </c>
      <c r="D705" t="s">
        <v>1102</v>
      </c>
      <c r="E705" s="3">
        <v>1</v>
      </c>
      <c r="F705" s="3">
        <v>0</v>
      </c>
      <c r="G705" t="s">
        <v>13</v>
      </c>
      <c r="H705" t="s">
        <v>1109</v>
      </c>
      <c r="I705" t="s">
        <v>22</v>
      </c>
      <c r="J705" t="s">
        <v>50</v>
      </c>
      <c r="K705" t="s">
        <v>10</v>
      </c>
      <c r="L705" t="s">
        <v>10</v>
      </c>
      <c r="M705" t="s">
        <v>10</v>
      </c>
      <c r="N705" t="s">
        <v>57</v>
      </c>
      <c r="O705" t="str">
        <f>INDEX(CoverageTable[Deductible Applies],MATCH(Table1820[[#This Row],[Coverage]],CoverageTable[Coverage],0))</f>
        <v>Yes</v>
      </c>
      <c r="P705" t="str">
        <f>INDEX(CoverageTable[Coverage Limit Applies],MATCH(Table1820[[#This Row],[Coverage]],CoverageTable[Coverage],0))</f>
        <v>No</v>
      </c>
      <c r="Q705" t="s">
        <v>80</v>
      </c>
      <c r="R705" t="s">
        <v>10</v>
      </c>
      <c r="S705" t="s">
        <v>57</v>
      </c>
      <c r="T705" t="s">
        <v>10</v>
      </c>
      <c r="U705" t="s">
        <v>10</v>
      </c>
      <c r="V705" t="s">
        <v>10</v>
      </c>
      <c r="W705" t="s">
        <v>10</v>
      </c>
      <c r="X705" s="11">
        <v>551.25590763320781</v>
      </c>
      <c r="Y705">
        <f>_xlfn.XLOOKUP(Table1820[[#This Row],[Coverage]],CoverageTable[Coverage],CoverageTable[Base Rate],,0)</f>
        <v>453</v>
      </c>
      <c r="Z705">
        <f>INDEX(Table16[Ageband Factor],MATCH(Table1820[[#This Row],[Ageband]],Table16[Ageband],0))</f>
        <v>1.27</v>
      </c>
      <c r="AA705">
        <f>VLOOKUP(Table1820[[#This Row],[Years Driving]],Table1[],2)</f>
        <v>1.64</v>
      </c>
      <c r="AB705">
        <f>_xlfn.XLOOKUP(Table1820[[#This Row],[At Fault Accidents]],Table2[At Fault Accidents],Table2[At Fault Accident Factor],,0)</f>
        <v>1</v>
      </c>
      <c r="AC705">
        <f>_xlfn.XLOOKUP(Table1820[[#This Row],[Usage-Based Insurance]],Table3[Usage-Based Insurance],Table3[Usage-Based Insurance Discount],,0)</f>
        <v>0.65</v>
      </c>
      <c r="AD705">
        <f>_xlfn.XLOOKUP(Table1820[[#This Row],[Yearly Miles]],Table4[Yearly Miles],Table4[Yearly Miles Factor],,0)</f>
        <v>1.18</v>
      </c>
      <c r="AE705">
        <f>_xlfn.XLOOKUP(Table1820[[#This Row],[City/Zip Code]],Table5[City/Zip Code],Table5[City/Zip Code Factor],,0)</f>
        <v>1.21</v>
      </c>
      <c r="AF705">
        <f>_xlfn.XLOOKUP(Table1820[[#This Row],[Vehicle Price]],Table6[Vehicle Price],Table6[Vehicle Price Factor])</f>
        <v>1.08</v>
      </c>
      <c r="AG705">
        <f>_xlfn.XLOOKUP(Table1820[[#This Row],[Exotic Car]],Table7[Exotic Car],Table7[Exotic Car Factor],,0)</f>
        <v>1</v>
      </c>
      <c r="AH705">
        <f>_xlfn.XLOOKUP(Table1820[[#This Row],[Difficult Parts]],Table8[Difficult Parts],Table8[Difficult Parts Factor],,0)</f>
        <v>1</v>
      </c>
      <c r="AI705">
        <f>_xlfn.XLOOKUP(Table1820[[#This Row],[High Theft Rate]],Table9[High Theft Rate],Table9[High Theft Rate Factor],,0)</f>
        <v>1</v>
      </c>
      <c r="AJ705">
        <f>_xlfn.XLOOKUP(Table1820[[#This Row],[Advanced Safety Features]],Table10[Advanced Safety Features],Table10[Advanced Safety Features Factor],,0)</f>
        <v>0.88</v>
      </c>
      <c r="AK705">
        <f>_xlfn.XLOOKUP(Table1820[[#This Row],[Deductible]],Table12[Deductible],Table12[Deductible Factor],,0)</f>
        <v>0.72</v>
      </c>
      <c r="AL705">
        <f>_xlfn.XLOOKUP(Table1820[[#This Row],[Coverage Limit]],Table13[Coverage Limit],Table13[Coverage Limit Factor],,0)</f>
        <v>1</v>
      </c>
      <c r="AM705">
        <f>IF(Table1820[[#This Row],[Good Student Discount]]="Yes",'Rate Book'!$D$126,1)</f>
        <v>0.92</v>
      </c>
      <c r="AN705">
        <f>IF(Table1820[[#This Row],[Good Driver Discount]]="Yes",'Rate Book'!$D$127,1)</f>
        <v>1</v>
      </c>
      <c r="AO705">
        <f>IF(Table1820[[#This Row],[Multi Policy Discount]]="Yes",'Rate Book'!$D$128,1)</f>
        <v>1</v>
      </c>
      <c r="AP705">
        <f>IF(Table1820[[#This Row],[Loyal Customer Discount]]="Yes",'Rate Book'!$D$129,1)</f>
        <v>1</v>
      </c>
      <c r="AQ705">
        <f>IF(Table1820[[#This Row],[Organization Discount]]="Yes",'Rate Book'!$D$130,1)</f>
        <v>1</v>
      </c>
      <c r="AR705" cm="1">
        <f t="array" ref="AR705">IF(Table1820[[#This Row],[Effective Date]]&gt;=RateChangeTable[Effective Date],RateChangeTable[Rate Change Factor],1)</f>
        <v>1</v>
      </c>
      <c r="AS705" s="10">
        <f>PRODUCT(Table1820[[#This Row],[Base Rate]:[Rate Change Factor]])</f>
        <v>551.25590763320781</v>
      </c>
      <c r="AT705" s="9">
        <f>Table1820[[#This Row],[System-Generated Premium]]-Table1820[[#This Row],[Expected Premium]]</f>
        <v>0</v>
      </c>
      <c r="AU705" t="str">
        <f>IF(Table1820[[#This Row],[Difference]]=0,"PASS","FAIL")</f>
        <v>PASS</v>
      </c>
      <c r="AV705" s="9">
        <f>ABS(Table1820[[#This Row],[Difference]])</f>
        <v>0</v>
      </c>
      <c r="AW705" s="9" t="s">
        <v>1136</v>
      </c>
    </row>
    <row r="706" spans="1:49" x14ac:dyDescent="0.3">
      <c r="A706" t="s">
        <v>797</v>
      </c>
      <c r="B706" s="7">
        <v>46024</v>
      </c>
      <c r="C706" t="s">
        <v>74</v>
      </c>
      <c r="D706" t="s">
        <v>1099</v>
      </c>
      <c r="E706" s="3">
        <v>7</v>
      </c>
      <c r="F706" s="3">
        <v>0</v>
      </c>
      <c r="G706" t="s">
        <v>11</v>
      </c>
      <c r="H706" t="s">
        <v>1109</v>
      </c>
      <c r="I706" t="s">
        <v>34</v>
      </c>
      <c r="J706" t="s">
        <v>52</v>
      </c>
      <c r="K706" t="s">
        <v>10</v>
      </c>
      <c r="L706" t="s">
        <v>10</v>
      </c>
      <c r="M706" t="s">
        <v>57</v>
      </c>
      <c r="N706" t="s">
        <v>57</v>
      </c>
      <c r="O706" t="str">
        <f>INDEX(CoverageTable[Deductible Applies],MATCH(Table1820[[#This Row],[Coverage]],CoverageTable[Coverage],0))</f>
        <v>No</v>
      </c>
      <c r="P706" t="str">
        <f>INDEX(CoverageTable[Coverage Limit Applies],MATCH(Table1820[[#This Row],[Coverage]],CoverageTable[Coverage],0))</f>
        <v>Yes</v>
      </c>
      <c r="Q706" t="s">
        <v>10</v>
      </c>
      <c r="R706" t="s">
        <v>78</v>
      </c>
      <c r="S706" t="s">
        <v>10</v>
      </c>
      <c r="T706" t="s">
        <v>10</v>
      </c>
      <c r="U706" t="s">
        <v>10</v>
      </c>
      <c r="V706" t="s">
        <v>10</v>
      </c>
      <c r="W706" t="s">
        <v>10</v>
      </c>
      <c r="X706" s="11">
        <v>70.585206080963047</v>
      </c>
      <c r="Y706">
        <f>_xlfn.XLOOKUP(Table1820[[#This Row],[Coverage]],CoverageTable[Coverage],CoverageTable[Base Rate],,0)</f>
        <v>41</v>
      </c>
      <c r="Z706">
        <f>INDEX(Table16[Ageband Factor],MATCH(Table1820[[#This Row],[Ageband]],Table16[Ageband],0))</f>
        <v>1</v>
      </c>
      <c r="AA706">
        <f>VLOOKUP(Table1820[[#This Row],[Years Driving]],Table1[],2)</f>
        <v>0.95</v>
      </c>
      <c r="AB706">
        <f>_xlfn.XLOOKUP(Table1820[[#This Row],[At Fault Accidents]],Table2[At Fault Accidents],Table2[At Fault Accident Factor],,0)</f>
        <v>1</v>
      </c>
      <c r="AC706">
        <f>_xlfn.XLOOKUP(Table1820[[#This Row],[Usage-Based Insurance]],Table3[Usage-Based Insurance],Table3[Usage-Based Insurance Discount],,0)</f>
        <v>0.95</v>
      </c>
      <c r="AD706">
        <f>_xlfn.XLOOKUP(Table1820[[#This Row],[Yearly Miles]],Table4[Yearly Miles],Table4[Yearly Miles Factor],,0)</f>
        <v>1.18</v>
      </c>
      <c r="AE706">
        <f>_xlfn.XLOOKUP(Table1820[[#This Row],[City/Zip Code]],Table5[City/Zip Code],Table5[City/Zip Code Factor],,0)</f>
        <v>1.56</v>
      </c>
      <c r="AF706">
        <f>_xlfn.XLOOKUP(Table1820[[#This Row],[Vehicle Price]],Table6[Vehicle Price],Table6[Vehicle Price Factor])</f>
        <v>1.57</v>
      </c>
      <c r="AG706">
        <f>_xlfn.XLOOKUP(Table1820[[#This Row],[Exotic Car]],Table7[Exotic Car],Table7[Exotic Car Factor],,0)</f>
        <v>1</v>
      </c>
      <c r="AH706">
        <f>_xlfn.XLOOKUP(Table1820[[#This Row],[Difficult Parts]],Table8[Difficult Parts],Table8[Difficult Parts Factor],,0)</f>
        <v>1</v>
      </c>
      <c r="AI706">
        <f>_xlfn.XLOOKUP(Table1820[[#This Row],[High Theft Rate]],Table9[High Theft Rate],Table9[High Theft Rate Factor],,0)</f>
        <v>1.1599999999999999</v>
      </c>
      <c r="AJ706">
        <f>_xlfn.XLOOKUP(Table1820[[#This Row],[Advanced Safety Features]],Table10[Advanced Safety Features],Table10[Advanced Safety Features Factor],,0)</f>
        <v>0.88</v>
      </c>
      <c r="AK706">
        <f>_xlfn.XLOOKUP(Table1820[[#This Row],[Deductible]],Table12[Deductible],Table12[Deductible Factor],,0)</f>
        <v>1</v>
      </c>
      <c r="AL706">
        <f>_xlfn.XLOOKUP(Table1820[[#This Row],[Coverage Limit]],Table13[Coverage Limit],Table13[Coverage Limit Factor],,0)</f>
        <v>0.61</v>
      </c>
      <c r="AM706">
        <f>IF(Table1820[[#This Row],[Good Student Discount]]="Yes",'Rate Book'!$D$126,1)</f>
        <v>1</v>
      </c>
      <c r="AN706">
        <f>IF(Table1820[[#This Row],[Good Driver Discount]]="Yes",'Rate Book'!$D$127,1)</f>
        <v>1</v>
      </c>
      <c r="AO706">
        <f>IF(Table1820[[#This Row],[Multi Policy Discount]]="Yes",'Rate Book'!$D$128,1)</f>
        <v>1</v>
      </c>
      <c r="AP706">
        <f>IF(Table1820[[#This Row],[Loyal Customer Discount]]="Yes",'Rate Book'!$D$129,1)</f>
        <v>1</v>
      </c>
      <c r="AQ706">
        <f>IF(Table1820[[#This Row],[Organization Discount]]="Yes",'Rate Book'!$D$130,1)</f>
        <v>1</v>
      </c>
      <c r="AR706" cm="1">
        <f t="array" ref="AR706">IF(Table1820[[#This Row],[Effective Date]]&gt;=RateChangeTable[Effective Date],RateChangeTable[Rate Change Factor],1)</f>
        <v>1.06</v>
      </c>
      <c r="AS706" s="10">
        <f>PRODUCT(Table1820[[#This Row],[Base Rate]:[Rate Change Factor]])</f>
        <v>70.585206080963047</v>
      </c>
      <c r="AT706" s="9">
        <f>Table1820[[#This Row],[System-Generated Premium]]-Table1820[[#This Row],[Expected Premium]]</f>
        <v>0</v>
      </c>
      <c r="AU706" t="str">
        <f>IF(Table1820[[#This Row],[Difference]]=0,"PASS","FAIL")</f>
        <v>PASS</v>
      </c>
      <c r="AV706" s="9">
        <f>ABS(Table1820[[#This Row],[Difference]])</f>
        <v>0</v>
      </c>
      <c r="AW706" s="9" t="s">
        <v>1136</v>
      </c>
    </row>
    <row r="707" spans="1:49" x14ac:dyDescent="0.3">
      <c r="A707" t="s">
        <v>798</v>
      </c>
      <c r="B707" s="7">
        <v>45789</v>
      </c>
      <c r="C707" t="s">
        <v>73</v>
      </c>
      <c r="D707" t="s">
        <v>1099</v>
      </c>
      <c r="E707" s="3">
        <v>1</v>
      </c>
      <c r="F707" s="3">
        <v>2</v>
      </c>
      <c r="G707" t="s">
        <v>10</v>
      </c>
      <c r="H707" t="s">
        <v>1110</v>
      </c>
      <c r="I707" t="s">
        <v>38</v>
      </c>
      <c r="J707" t="s">
        <v>49</v>
      </c>
      <c r="K707" t="s">
        <v>10</v>
      </c>
      <c r="L707" t="s">
        <v>10</v>
      </c>
      <c r="M707" t="s">
        <v>10</v>
      </c>
      <c r="N707" t="s">
        <v>57</v>
      </c>
      <c r="O707" t="str">
        <f>INDEX(CoverageTable[Deductible Applies],MATCH(Table1820[[#This Row],[Coverage]],CoverageTable[Coverage],0))</f>
        <v>No</v>
      </c>
      <c r="P707" t="str">
        <f>INDEX(CoverageTable[Coverage Limit Applies],MATCH(Table1820[[#This Row],[Coverage]],CoverageTable[Coverage],0))</f>
        <v>Yes</v>
      </c>
      <c r="Q707" t="s">
        <v>10</v>
      </c>
      <c r="R707" t="s">
        <v>78</v>
      </c>
      <c r="S707" t="s">
        <v>10</v>
      </c>
      <c r="T707" t="s">
        <v>57</v>
      </c>
      <c r="U707" t="s">
        <v>10</v>
      </c>
      <c r="V707" t="s">
        <v>10</v>
      </c>
      <c r="W707" t="s">
        <v>10</v>
      </c>
      <c r="X707" s="11">
        <v>134.81360287351757</v>
      </c>
      <c r="Y707">
        <f>_xlfn.XLOOKUP(Table1820[[#This Row],[Coverage]],CoverageTable[Coverage],CoverageTable[Base Rate],,0)</f>
        <v>78</v>
      </c>
      <c r="Z707">
        <f>INDEX(Table16[Ageband Factor],MATCH(Table1820[[#This Row],[Ageband]],Table16[Ageband],0))</f>
        <v>1</v>
      </c>
      <c r="AA707">
        <f>VLOOKUP(Table1820[[#This Row],[Years Driving]],Table1[],2)</f>
        <v>1.64</v>
      </c>
      <c r="AB707">
        <f>_xlfn.XLOOKUP(Table1820[[#This Row],[At Fault Accidents]],Table2[At Fault Accidents],Table2[At Fault Accident Factor],,0)</f>
        <v>1.55</v>
      </c>
      <c r="AC707">
        <f>_xlfn.XLOOKUP(Table1820[[#This Row],[Usage-Based Insurance]],Table3[Usage-Based Insurance],Table3[Usage-Based Insurance Discount],,0)</f>
        <v>1</v>
      </c>
      <c r="AD707">
        <f>_xlfn.XLOOKUP(Table1820[[#This Row],[Yearly Miles]],Table4[Yearly Miles],Table4[Yearly Miles Factor],,0)</f>
        <v>1.31</v>
      </c>
      <c r="AE707">
        <f>_xlfn.XLOOKUP(Table1820[[#This Row],[City/Zip Code]],Table5[City/Zip Code],Table5[City/Zip Code Factor],,0)</f>
        <v>1.1200000000000001</v>
      </c>
      <c r="AF707">
        <f>_xlfn.XLOOKUP(Table1820[[#This Row],[Vehicle Price]],Table6[Vehicle Price],Table6[Vehicle Price Factor])</f>
        <v>0.97</v>
      </c>
      <c r="AG707">
        <f>_xlfn.XLOOKUP(Table1820[[#This Row],[Exotic Car]],Table7[Exotic Car],Table7[Exotic Car Factor],,0)</f>
        <v>1</v>
      </c>
      <c r="AH707">
        <f>_xlfn.XLOOKUP(Table1820[[#This Row],[Difficult Parts]],Table8[Difficult Parts],Table8[Difficult Parts Factor],,0)</f>
        <v>1</v>
      </c>
      <c r="AI707">
        <f>_xlfn.XLOOKUP(Table1820[[#This Row],[High Theft Rate]],Table9[High Theft Rate],Table9[High Theft Rate Factor],,0)</f>
        <v>1</v>
      </c>
      <c r="AJ707">
        <f>_xlfn.XLOOKUP(Table1820[[#This Row],[Advanced Safety Features]],Table10[Advanced Safety Features],Table10[Advanced Safety Features Factor],,0)</f>
        <v>0.88</v>
      </c>
      <c r="AK707">
        <f>_xlfn.XLOOKUP(Table1820[[#This Row],[Deductible]],Table12[Deductible],Table12[Deductible Factor],,0)</f>
        <v>1</v>
      </c>
      <c r="AL707">
        <f>_xlfn.XLOOKUP(Table1820[[#This Row],[Coverage Limit]],Table13[Coverage Limit],Table13[Coverage Limit Factor],,0)</f>
        <v>0.61</v>
      </c>
      <c r="AM707">
        <f>IF(Table1820[[#This Row],[Good Student Discount]]="Yes",'Rate Book'!$D$126,1)</f>
        <v>1</v>
      </c>
      <c r="AN707">
        <f>IF(Table1820[[#This Row],[Good Driver Discount]]="Yes",'Rate Book'!$D$127,1)</f>
        <v>0.89</v>
      </c>
      <c r="AO707">
        <f>IF(Table1820[[#This Row],[Multi Policy Discount]]="Yes",'Rate Book'!$D$128,1)</f>
        <v>1</v>
      </c>
      <c r="AP707">
        <f>IF(Table1820[[#This Row],[Loyal Customer Discount]]="Yes",'Rate Book'!$D$129,1)</f>
        <v>1</v>
      </c>
      <c r="AQ707">
        <f>IF(Table1820[[#This Row],[Organization Discount]]="Yes",'Rate Book'!$D$130,1)</f>
        <v>1</v>
      </c>
      <c r="AR707" cm="1">
        <f t="array" ref="AR707">IF(Table1820[[#This Row],[Effective Date]]&gt;=RateChangeTable[Effective Date],RateChangeTable[Rate Change Factor],1)</f>
        <v>1</v>
      </c>
      <c r="AS707" s="10">
        <f>PRODUCT(Table1820[[#This Row],[Base Rate]:[Rate Change Factor]])</f>
        <v>134.81360287351757</v>
      </c>
      <c r="AT707" s="9">
        <f>Table1820[[#This Row],[System-Generated Premium]]-Table1820[[#This Row],[Expected Premium]]</f>
        <v>0</v>
      </c>
      <c r="AU707" t="str">
        <f>IF(Table1820[[#This Row],[Difference]]=0,"PASS","FAIL")</f>
        <v>PASS</v>
      </c>
      <c r="AV707" s="9">
        <f>ABS(Table1820[[#This Row],[Difference]])</f>
        <v>0</v>
      </c>
      <c r="AW707" s="9" t="s">
        <v>1136</v>
      </c>
    </row>
    <row r="708" spans="1:49" x14ac:dyDescent="0.3">
      <c r="A708" t="s">
        <v>799</v>
      </c>
      <c r="B708" s="7">
        <v>45982</v>
      </c>
      <c r="C708" t="s">
        <v>71</v>
      </c>
      <c r="D708" t="s">
        <v>1097</v>
      </c>
      <c r="E708" s="3">
        <v>7</v>
      </c>
      <c r="F708" s="3">
        <v>3</v>
      </c>
      <c r="G708" t="s">
        <v>10</v>
      </c>
      <c r="H708" t="s">
        <v>1109</v>
      </c>
      <c r="I708" t="s">
        <v>41</v>
      </c>
      <c r="J708" t="s">
        <v>50</v>
      </c>
      <c r="K708" t="s">
        <v>10</v>
      </c>
      <c r="L708" t="s">
        <v>10</v>
      </c>
      <c r="M708" t="s">
        <v>10</v>
      </c>
      <c r="N708" t="s">
        <v>57</v>
      </c>
      <c r="O708" t="str">
        <f>INDEX(CoverageTable[Deductible Applies],MATCH(Table1820[[#This Row],[Coverage]],CoverageTable[Coverage],0))</f>
        <v>Yes</v>
      </c>
      <c r="P708" t="str">
        <f>INDEX(CoverageTable[Coverage Limit Applies],MATCH(Table1820[[#This Row],[Coverage]],CoverageTable[Coverage],0))</f>
        <v>No</v>
      </c>
      <c r="Q708" t="s">
        <v>80</v>
      </c>
      <c r="R708" t="s">
        <v>10</v>
      </c>
      <c r="S708" t="s">
        <v>10</v>
      </c>
      <c r="T708" t="s">
        <v>10</v>
      </c>
      <c r="U708" t="s">
        <v>57</v>
      </c>
      <c r="V708" t="s">
        <v>57</v>
      </c>
      <c r="W708" t="s">
        <v>10</v>
      </c>
      <c r="X708" s="11">
        <v>839.26033951990826</v>
      </c>
      <c r="Y708">
        <f>_xlfn.XLOOKUP(Table1820[[#This Row],[Coverage]],CoverageTable[Coverage],CoverageTable[Base Rate],,0)</f>
        <v>453</v>
      </c>
      <c r="Z708">
        <f>INDEX(Table16[Ageband Factor],MATCH(Table1820[[#This Row],[Ageband]],Table16[Ageband],0))</f>
        <v>1.32</v>
      </c>
      <c r="AA708">
        <f>VLOOKUP(Table1820[[#This Row],[Years Driving]],Table1[],2)</f>
        <v>0.95</v>
      </c>
      <c r="AB708">
        <f>_xlfn.XLOOKUP(Table1820[[#This Row],[At Fault Accidents]],Table2[At Fault Accidents],Table2[At Fault Accident Factor],,0)</f>
        <v>1.82</v>
      </c>
      <c r="AC708">
        <f>_xlfn.XLOOKUP(Table1820[[#This Row],[Usage-Based Insurance]],Table3[Usage-Based Insurance],Table3[Usage-Based Insurance Discount],,0)</f>
        <v>1</v>
      </c>
      <c r="AD708">
        <f>_xlfn.XLOOKUP(Table1820[[#This Row],[Yearly Miles]],Table4[Yearly Miles],Table4[Yearly Miles Factor],,0)</f>
        <v>1.18</v>
      </c>
      <c r="AE708">
        <f>_xlfn.XLOOKUP(Table1820[[#This Row],[City/Zip Code]],Table5[City/Zip Code],Table5[City/Zip Code Factor],,0)</f>
        <v>1.1499999999999999</v>
      </c>
      <c r="AF708">
        <f>_xlfn.XLOOKUP(Table1820[[#This Row],[Vehicle Price]],Table6[Vehicle Price],Table6[Vehicle Price Factor])</f>
        <v>1.08</v>
      </c>
      <c r="AG708">
        <f>_xlfn.XLOOKUP(Table1820[[#This Row],[Exotic Car]],Table7[Exotic Car],Table7[Exotic Car Factor],,0)</f>
        <v>1</v>
      </c>
      <c r="AH708">
        <f>_xlfn.XLOOKUP(Table1820[[#This Row],[Difficult Parts]],Table8[Difficult Parts],Table8[Difficult Parts Factor],,0)</f>
        <v>1</v>
      </c>
      <c r="AI708">
        <f>_xlfn.XLOOKUP(Table1820[[#This Row],[High Theft Rate]],Table9[High Theft Rate],Table9[High Theft Rate Factor],,0)</f>
        <v>1</v>
      </c>
      <c r="AJ708">
        <f>_xlfn.XLOOKUP(Table1820[[#This Row],[Advanced Safety Features]],Table10[Advanced Safety Features],Table10[Advanced Safety Features Factor],,0)</f>
        <v>0.88</v>
      </c>
      <c r="AK708">
        <f>_xlfn.XLOOKUP(Table1820[[#This Row],[Deductible]],Table12[Deductible],Table12[Deductible Factor],,0)</f>
        <v>0.72</v>
      </c>
      <c r="AL708">
        <f>_xlfn.XLOOKUP(Table1820[[#This Row],[Coverage Limit]],Table13[Coverage Limit],Table13[Coverage Limit Factor],,0)</f>
        <v>1</v>
      </c>
      <c r="AM708">
        <f>IF(Table1820[[#This Row],[Good Student Discount]]="Yes",'Rate Book'!$D$126,1)</f>
        <v>1</v>
      </c>
      <c r="AN708">
        <f>IF(Table1820[[#This Row],[Good Driver Discount]]="Yes",'Rate Book'!$D$127,1)</f>
        <v>1</v>
      </c>
      <c r="AO708">
        <f>IF(Table1820[[#This Row],[Multi Policy Discount]]="Yes",'Rate Book'!$D$128,1)</f>
        <v>0.93</v>
      </c>
      <c r="AP708">
        <f>IF(Table1820[[#This Row],[Loyal Customer Discount]]="Yes",'Rate Book'!$D$129,1)</f>
        <v>0.94</v>
      </c>
      <c r="AQ708">
        <f>IF(Table1820[[#This Row],[Organization Discount]]="Yes",'Rate Book'!$D$130,1)</f>
        <v>1</v>
      </c>
      <c r="AR708" cm="1">
        <f t="array" ref="AR708">IF(Table1820[[#This Row],[Effective Date]]&gt;=RateChangeTable[Effective Date],RateChangeTable[Rate Change Factor],1)</f>
        <v>1</v>
      </c>
      <c r="AS708" s="10">
        <f>PRODUCT(Table1820[[#This Row],[Base Rate]:[Rate Change Factor]])</f>
        <v>839.26033951990826</v>
      </c>
      <c r="AT708" s="9">
        <f>Table1820[[#This Row],[System-Generated Premium]]-Table1820[[#This Row],[Expected Premium]]</f>
        <v>0</v>
      </c>
      <c r="AU708" t="str">
        <f>IF(Table1820[[#This Row],[Difference]]=0,"PASS","FAIL")</f>
        <v>PASS</v>
      </c>
      <c r="AV708" s="9">
        <f>ABS(Table1820[[#This Row],[Difference]])</f>
        <v>0</v>
      </c>
      <c r="AW708" s="9" t="s">
        <v>1136</v>
      </c>
    </row>
    <row r="709" spans="1:49" x14ac:dyDescent="0.3">
      <c r="A709" t="s">
        <v>800</v>
      </c>
      <c r="B709" s="7">
        <v>45869</v>
      </c>
      <c r="C709" t="s">
        <v>70</v>
      </c>
      <c r="D709" t="s">
        <v>1101</v>
      </c>
      <c r="E709" s="3">
        <v>1</v>
      </c>
      <c r="F709" s="3" t="s">
        <v>7</v>
      </c>
      <c r="G709" t="s">
        <v>10</v>
      </c>
      <c r="H709" t="s">
        <v>1106</v>
      </c>
      <c r="I709" t="s">
        <v>28</v>
      </c>
      <c r="J709" t="s">
        <v>52</v>
      </c>
      <c r="K709" t="s">
        <v>57</v>
      </c>
      <c r="L709" t="s">
        <v>57</v>
      </c>
      <c r="M709" t="s">
        <v>10</v>
      </c>
      <c r="N709" t="s">
        <v>10</v>
      </c>
      <c r="O709" t="str">
        <f>INDEX(CoverageTable[Deductible Applies],MATCH(Table1820[[#This Row],[Coverage]],CoverageTable[Coverage],0))</f>
        <v>No</v>
      </c>
      <c r="P709" t="str">
        <f>INDEX(CoverageTable[Coverage Limit Applies],MATCH(Table1820[[#This Row],[Coverage]],CoverageTable[Coverage],0))</f>
        <v>Yes</v>
      </c>
      <c r="Q709" t="s">
        <v>10</v>
      </c>
      <c r="R709" t="s">
        <v>78</v>
      </c>
      <c r="S709" t="s">
        <v>10</v>
      </c>
      <c r="T709" t="s">
        <v>10</v>
      </c>
      <c r="U709" t="s">
        <v>57</v>
      </c>
      <c r="V709" t="s">
        <v>10</v>
      </c>
      <c r="W709" t="s">
        <v>10</v>
      </c>
      <c r="X709" s="11">
        <v>3032.4555403683999</v>
      </c>
      <c r="Y709">
        <f>_xlfn.XLOOKUP(Table1820[[#This Row],[Coverage]],CoverageTable[Coverage],CoverageTable[Base Rate],,0)</f>
        <v>622</v>
      </c>
      <c r="Z709">
        <f>INDEX(Table16[Ageband Factor],MATCH(Table1820[[#This Row],[Ageband]],Table16[Ageband],0))</f>
        <v>1.1200000000000001</v>
      </c>
      <c r="AA709">
        <f>VLOOKUP(Table1820[[#This Row],[Years Driving]],Table1[],2)</f>
        <v>1.64</v>
      </c>
      <c r="AB709">
        <f>_xlfn.XLOOKUP(Table1820[[#This Row],[At Fault Accidents]],Table2[At Fault Accidents],Table2[At Fault Accident Factor],,0)</f>
        <v>2.4700000000000002</v>
      </c>
      <c r="AC709">
        <f>_xlfn.XLOOKUP(Table1820[[#This Row],[Usage-Based Insurance]],Table3[Usage-Based Insurance],Table3[Usage-Based Insurance Discount],,0)</f>
        <v>1</v>
      </c>
      <c r="AD709">
        <f>_xlfn.XLOOKUP(Table1820[[#This Row],[Yearly Miles]],Table4[Yearly Miles],Table4[Yearly Miles Factor],,0)</f>
        <v>0.82</v>
      </c>
      <c r="AE709">
        <f>_xlfn.XLOOKUP(Table1820[[#This Row],[City/Zip Code]],Table5[City/Zip Code],Table5[City/Zip Code Factor],,0)</f>
        <v>0.95</v>
      </c>
      <c r="AF709">
        <f>_xlfn.XLOOKUP(Table1820[[#This Row],[Vehicle Price]],Table6[Vehicle Price],Table6[Vehicle Price Factor])</f>
        <v>1.57</v>
      </c>
      <c r="AG709">
        <f>_xlfn.XLOOKUP(Table1820[[#This Row],[Exotic Car]],Table7[Exotic Car],Table7[Exotic Car Factor],,0)</f>
        <v>1.28</v>
      </c>
      <c r="AH709">
        <f>_xlfn.XLOOKUP(Table1820[[#This Row],[Difficult Parts]],Table8[Difficult Parts],Table8[Difficult Parts Factor],,0)</f>
        <v>1.21</v>
      </c>
      <c r="AI709">
        <f>_xlfn.XLOOKUP(Table1820[[#This Row],[High Theft Rate]],Table9[High Theft Rate],Table9[High Theft Rate Factor],,0)</f>
        <v>1</v>
      </c>
      <c r="AJ709">
        <f>_xlfn.XLOOKUP(Table1820[[#This Row],[Advanced Safety Features]],Table10[Advanced Safety Features],Table10[Advanced Safety Features Factor],,0)</f>
        <v>1</v>
      </c>
      <c r="AK709">
        <f>_xlfn.XLOOKUP(Table1820[[#This Row],[Deductible]],Table12[Deductible],Table12[Deductible Factor],,0)</f>
        <v>1</v>
      </c>
      <c r="AL709">
        <f>_xlfn.XLOOKUP(Table1820[[#This Row],[Coverage Limit]],Table13[Coverage Limit],Table13[Coverage Limit Factor],,0)</f>
        <v>0.61</v>
      </c>
      <c r="AM709">
        <f>IF(Table1820[[#This Row],[Good Student Discount]]="Yes",'Rate Book'!$D$126,1)</f>
        <v>1</v>
      </c>
      <c r="AN709">
        <f>IF(Table1820[[#This Row],[Good Driver Discount]]="Yes",'Rate Book'!$D$127,1)</f>
        <v>1</v>
      </c>
      <c r="AO709">
        <f>IF(Table1820[[#This Row],[Multi Policy Discount]]="Yes",'Rate Book'!$D$128,1)</f>
        <v>0.93</v>
      </c>
      <c r="AP709">
        <f>IF(Table1820[[#This Row],[Loyal Customer Discount]]="Yes",'Rate Book'!$D$129,1)</f>
        <v>1</v>
      </c>
      <c r="AQ709">
        <f>IF(Table1820[[#This Row],[Organization Discount]]="Yes",'Rate Book'!$D$130,1)</f>
        <v>1</v>
      </c>
      <c r="AR709" cm="1">
        <f t="array" ref="AR709">IF(Table1820[[#This Row],[Effective Date]]&gt;=RateChangeTable[Effective Date],RateChangeTable[Rate Change Factor],1)</f>
        <v>1</v>
      </c>
      <c r="AS709" s="10">
        <f>PRODUCT(Table1820[[#This Row],[Base Rate]:[Rate Change Factor]])</f>
        <v>3032.4555403683999</v>
      </c>
      <c r="AT709" s="9">
        <f>Table1820[[#This Row],[System-Generated Premium]]-Table1820[[#This Row],[Expected Premium]]</f>
        <v>0</v>
      </c>
      <c r="AU709" t="str">
        <f>IF(Table1820[[#This Row],[Difference]]=0,"PASS","FAIL")</f>
        <v>PASS</v>
      </c>
      <c r="AV709" s="9">
        <f>ABS(Table1820[[#This Row],[Difference]])</f>
        <v>0</v>
      </c>
      <c r="AW709" s="9" t="s">
        <v>1136</v>
      </c>
    </row>
    <row r="710" spans="1:49" x14ac:dyDescent="0.3">
      <c r="A710" t="s">
        <v>801</v>
      </c>
      <c r="B710" s="7">
        <v>46088</v>
      </c>
      <c r="C710" t="s">
        <v>74</v>
      </c>
      <c r="D710" t="s">
        <v>1097</v>
      </c>
      <c r="E710" s="3">
        <v>3</v>
      </c>
      <c r="F710" s="3">
        <v>0</v>
      </c>
      <c r="G710" t="s">
        <v>11</v>
      </c>
      <c r="H710" t="s">
        <v>1107</v>
      </c>
      <c r="I710" t="s">
        <v>43</v>
      </c>
      <c r="J710" t="s">
        <v>53</v>
      </c>
      <c r="K710" t="s">
        <v>10</v>
      </c>
      <c r="L710" t="s">
        <v>10</v>
      </c>
      <c r="M710" t="s">
        <v>57</v>
      </c>
      <c r="N710" t="s">
        <v>57</v>
      </c>
      <c r="O710" t="str">
        <f>INDEX(CoverageTable[Deductible Applies],MATCH(Table1820[[#This Row],[Coverage]],CoverageTable[Coverage],0))</f>
        <v>No</v>
      </c>
      <c r="P710" t="str">
        <f>INDEX(CoverageTable[Coverage Limit Applies],MATCH(Table1820[[#This Row],[Coverage]],CoverageTable[Coverage],0))</f>
        <v>Yes</v>
      </c>
      <c r="Q710" t="s">
        <v>10</v>
      </c>
      <c r="R710" t="s">
        <v>79</v>
      </c>
      <c r="S710" t="s">
        <v>10</v>
      </c>
      <c r="T710" t="s">
        <v>10</v>
      </c>
      <c r="U710" t="s">
        <v>57</v>
      </c>
      <c r="V710" t="s">
        <v>10</v>
      </c>
      <c r="W710" t="s">
        <v>10</v>
      </c>
      <c r="X710" s="11">
        <v>100.74407665996712</v>
      </c>
      <c r="Y710">
        <f>_xlfn.XLOOKUP(Table1820[[#This Row],[Coverage]],CoverageTable[Coverage],CoverageTable[Base Rate],,0)</f>
        <v>41</v>
      </c>
      <c r="Z710">
        <f>INDEX(Table16[Ageband Factor],MATCH(Table1820[[#This Row],[Ageband]],Table16[Ageband],0))</f>
        <v>1.32</v>
      </c>
      <c r="AA710">
        <f>VLOOKUP(Table1820[[#This Row],[Years Driving]],Table1[],2)</f>
        <v>1.22</v>
      </c>
      <c r="AB710">
        <f>_xlfn.XLOOKUP(Table1820[[#This Row],[At Fault Accidents]],Table2[At Fault Accidents],Table2[At Fault Accident Factor],,0)</f>
        <v>1</v>
      </c>
      <c r="AC710">
        <f>_xlfn.XLOOKUP(Table1820[[#This Row],[Usage-Based Insurance]],Table3[Usage-Based Insurance],Table3[Usage-Based Insurance Discount],,0)</f>
        <v>0.95</v>
      </c>
      <c r="AD710">
        <f>_xlfn.XLOOKUP(Table1820[[#This Row],[Yearly Miles]],Table4[Yearly Miles],Table4[Yearly Miles Factor],,0)</f>
        <v>0.93</v>
      </c>
      <c r="AE710">
        <f>_xlfn.XLOOKUP(Table1820[[#This Row],[City/Zip Code]],Table5[City/Zip Code],Table5[City/Zip Code Factor],,0)</f>
        <v>1.18</v>
      </c>
      <c r="AF710">
        <f>_xlfn.XLOOKUP(Table1820[[#This Row],[Vehicle Price]],Table6[Vehicle Price],Table6[Vehicle Price Factor])</f>
        <v>2.02</v>
      </c>
      <c r="AG710">
        <f>_xlfn.XLOOKUP(Table1820[[#This Row],[Exotic Car]],Table7[Exotic Car],Table7[Exotic Car Factor],,0)</f>
        <v>1</v>
      </c>
      <c r="AH710">
        <f>_xlfn.XLOOKUP(Table1820[[#This Row],[Difficult Parts]],Table8[Difficult Parts],Table8[Difficult Parts Factor],,0)</f>
        <v>1</v>
      </c>
      <c r="AI710">
        <f>_xlfn.XLOOKUP(Table1820[[#This Row],[High Theft Rate]],Table9[High Theft Rate],Table9[High Theft Rate Factor],,0)</f>
        <v>1.1599999999999999</v>
      </c>
      <c r="AJ710">
        <f>_xlfn.XLOOKUP(Table1820[[#This Row],[Advanced Safety Features]],Table10[Advanced Safety Features],Table10[Advanced Safety Features Factor],,0)</f>
        <v>0.88</v>
      </c>
      <c r="AK710">
        <f>_xlfn.XLOOKUP(Table1820[[#This Row],[Deductible]],Table12[Deductible],Table12[Deductible Factor],,0)</f>
        <v>1</v>
      </c>
      <c r="AL710">
        <f>_xlfn.XLOOKUP(Table1820[[#This Row],[Coverage Limit]],Table13[Coverage Limit],Table13[Coverage Limit Factor],,0)</f>
        <v>0.72</v>
      </c>
      <c r="AM710">
        <f>IF(Table1820[[#This Row],[Good Student Discount]]="Yes",'Rate Book'!$D$126,1)</f>
        <v>1</v>
      </c>
      <c r="AN710">
        <f>IF(Table1820[[#This Row],[Good Driver Discount]]="Yes",'Rate Book'!$D$127,1)</f>
        <v>1</v>
      </c>
      <c r="AO710">
        <f>IF(Table1820[[#This Row],[Multi Policy Discount]]="Yes",'Rate Book'!$D$128,1)</f>
        <v>0.93</v>
      </c>
      <c r="AP710">
        <f>IF(Table1820[[#This Row],[Loyal Customer Discount]]="Yes",'Rate Book'!$D$129,1)</f>
        <v>1</v>
      </c>
      <c r="AQ710">
        <f>IF(Table1820[[#This Row],[Organization Discount]]="Yes",'Rate Book'!$D$130,1)</f>
        <v>1</v>
      </c>
      <c r="AR710" cm="1">
        <f t="array" ref="AR710">IF(Table1820[[#This Row],[Effective Date]]&gt;=RateChangeTable[Effective Date],RateChangeTable[Rate Change Factor],1)</f>
        <v>1.06</v>
      </c>
      <c r="AS710" s="10">
        <f>PRODUCT(Table1820[[#This Row],[Base Rate]:[Rate Change Factor]])</f>
        <v>100.74407665996712</v>
      </c>
      <c r="AT710" s="9">
        <f>Table1820[[#This Row],[System-Generated Premium]]-Table1820[[#This Row],[Expected Premium]]</f>
        <v>0</v>
      </c>
      <c r="AU710" t="str">
        <f>IF(Table1820[[#This Row],[Difference]]=0,"PASS","FAIL")</f>
        <v>PASS</v>
      </c>
      <c r="AV710" s="9">
        <f>ABS(Table1820[[#This Row],[Difference]])</f>
        <v>0</v>
      </c>
      <c r="AW710" s="9" t="s">
        <v>1136</v>
      </c>
    </row>
    <row r="711" spans="1:49" x14ac:dyDescent="0.3">
      <c r="A711" t="s">
        <v>802</v>
      </c>
      <c r="B711" s="7">
        <v>45820</v>
      </c>
      <c r="C711" t="s">
        <v>70</v>
      </c>
      <c r="D711" t="s">
        <v>1101</v>
      </c>
      <c r="E711" s="3" t="s">
        <v>1103</v>
      </c>
      <c r="F711" s="3" t="s">
        <v>7</v>
      </c>
      <c r="G711" t="s">
        <v>11</v>
      </c>
      <c r="H711" t="s">
        <v>1110</v>
      </c>
      <c r="I711" t="s">
        <v>35</v>
      </c>
      <c r="J711" t="s">
        <v>49</v>
      </c>
      <c r="K711" t="s">
        <v>10</v>
      </c>
      <c r="L711" t="s">
        <v>10</v>
      </c>
      <c r="M711" t="s">
        <v>10</v>
      </c>
      <c r="N711" t="s">
        <v>57</v>
      </c>
      <c r="O711" t="str">
        <f>INDEX(CoverageTable[Deductible Applies],MATCH(Table1820[[#This Row],[Coverage]],CoverageTable[Coverage],0))</f>
        <v>No</v>
      </c>
      <c r="P711" t="str">
        <f>INDEX(CoverageTable[Coverage Limit Applies],MATCH(Table1820[[#This Row],[Coverage]],CoverageTable[Coverage],0))</f>
        <v>Yes</v>
      </c>
      <c r="Q711" t="s">
        <v>10</v>
      </c>
      <c r="R711" t="s">
        <v>80</v>
      </c>
      <c r="S711" t="s">
        <v>10</v>
      </c>
      <c r="T711" t="s">
        <v>10</v>
      </c>
      <c r="U711" t="s">
        <v>10</v>
      </c>
      <c r="V711" t="s">
        <v>10</v>
      </c>
      <c r="W711" t="s">
        <v>10</v>
      </c>
      <c r="X711" s="11">
        <v>1599.3183686218215</v>
      </c>
      <c r="Y711">
        <f>_xlfn.XLOOKUP(Table1820[[#This Row],[Coverage]],CoverageTable[Coverage],CoverageTable[Base Rate],,0)</f>
        <v>622</v>
      </c>
      <c r="Z711">
        <f>INDEX(Table16[Ageband Factor],MATCH(Table1820[[#This Row],[Ageband]],Table16[Ageband],0))</f>
        <v>1.1200000000000001</v>
      </c>
      <c r="AA711">
        <f>VLOOKUP(Table1820[[#This Row],[Years Driving]],Table1[],2)</f>
        <v>0.93</v>
      </c>
      <c r="AB711">
        <f>_xlfn.XLOOKUP(Table1820[[#This Row],[At Fault Accidents]],Table2[At Fault Accidents],Table2[At Fault Accident Factor],,0)</f>
        <v>2.4700000000000002</v>
      </c>
      <c r="AC711">
        <f>_xlfn.XLOOKUP(Table1820[[#This Row],[Usage-Based Insurance]],Table3[Usage-Based Insurance],Table3[Usage-Based Insurance Discount],,0)</f>
        <v>0.95</v>
      </c>
      <c r="AD711">
        <f>_xlfn.XLOOKUP(Table1820[[#This Row],[Yearly Miles]],Table4[Yearly Miles],Table4[Yearly Miles Factor],,0)</f>
        <v>1.31</v>
      </c>
      <c r="AE711">
        <f>_xlfn.XLOOKUP(Table1820[[#This Row],[City/Zip Code]],Table5[City/Zip Code],Table5[City/Zip Code Factor],,0)</f>
        <v>1.1200000000000001</v>
      </c>
      <c r="AF711">
        <f>_xlfn.XLOOKUP(Table1820[[#This Row],[Vehicle Price]],Table6[Vehicle Price],Table6[Vehicle Price Factor])</f>
        <v>0.97</v>
      </c>
      <c r="AG711">
        <f>_xlfn.XLOOKUP(Table1820[[#This Row],[Exotic Car]],Table7[Exotic Car],Table7[Exotic Car Factor],,0)</f>
        <v>1</v>
      </c>
      <c r="AH711">
        <f>_xlfn.XLOOKUP(Table1820[[#This Row],[Difficult Parts]],Table8[Difficult Parts],Table8[Difficult Parts Factor],,0)</f>
        <v>1</v>
      </c>
      <c r="AI711">
        <f>_xlfn.XLOOKUP(Table1820[[#This Row],[High Theft Rate]],Table9[High Theft Rate],Table9[High Theft Rate Factor],,0)</f>
        <v>1</v>
      </c>
      <c r="AJ711">
        <f>_xlfn.XLOOKUP(Table1820[[#This Row],[Advanced Safety Features]],Table10[Advanced Safety Features],Table10[Advanced Safety Features Factor],,0)</f>
        <v>0.88</v>
      </c>
      <c r="AK711">
        <f>_xlfn.XLOOKUP(Table1820[[#This Row],[Deductible]],Table12[Deductible],Table12[Deductible Factor],,0)</f>
        <v>1</v>
      </c>
      <c r="AL711">
        <f>_xlfn.XLOOKUP(Table1820[[#This Row],[Coverage Limit]],Table13[Coverage Limit],Table13[Coverage Limit Factor],,0)</f>
        <v>0.84</v>
      </c>
      <c r="AM711">
        <f>IF(Table1820[[#This Row],[Good Student Discount]]="Yes",'Rate Book'!$D$126,1)</f>
        <v>1</v>
      </c>
      <c r="AN711">
        <f>IF(Table1820[[#This Row],[Good Driver Discount]]="Yes",'Rate Book'!$D$127,1)</f>
        <v>1</v>
      </c>
      <c r="AO711">
        <f>IF(Table1820[[#This Row],[Multi Policy Discount]]="Yes",'Rate Book'!$D$128,1)</f>
        <v>1</v>
      </c>
      <c r="AP711">
        <f>IF(Table1820[[#This Row],[Loyal Customer Discount]]="Yes",'Rate Book'!$D$129,1)</f>
        <v>1</v>
      </c>
      <c r="AQ711">
        <f>IF(Table1820[[#This Row],[Organization Discount]]="Yes",'Rate Book'!$D$130,1)</f>
        <v>1</v>
      </c>
      <c r="AR711" cm="1">
        <f t="array" ref="AR711">IF(Table1820[[#This Row],[Effective Date]]&gt;=RateChangeTable[Effective Date],RateChangeTable[Rate Change Factor],1)</f>
        <v>1</v>
      </c>
      <c r="AS711" s="10">
        <f>PRODUCT(Table1820[[#This Row],[Base Rate]:[Rate Change Factor]])</f>
        <v>1599.3183686218215</v>
      </c>
      <c r="AT711" s="9">
        <f>Table1820[[#This Row],[System-Generated Premium]]-Table1820[[#This Row],[Expected Premium]]</f>
        <v>0</v>
      </c>
      <c r="AU711" t="str">
        <f>IF(Table1820[[#This Row],[Difference]]=0,"PASS","FAIL")</f>
        <v>PASS</v>
      </c>
      <c r="AV711" s="9">
        <f>ABS(Table1820[[#This Row],[Difference]])</f>
        <v>0</v>
      </c>
      <c r="AW711" s="9" t="s">
        <v>1136</v>
      </c>
    </row>
    <row r="712" spans="1:49" x14ac:dyDescent="0.3">
      <c r="A712" t="s">
        <v>803</v>
      </c>
      <c r="B712" s="7">
        <v>46036</v>
      </c>
      <c r="C712" t="s">
        <v>71</v>
      </c>
      <c r="D712" t="s">
        <v>1098</v>
      </c>
      <c r="E712" s="3" t="s">
        <v>1103</v>
      </c>
      <c r="F712" s="3">
        <v>1</v>
      </c>
      <c r="G712" t="s">
        <v>13</v>
      </c>
      <c r="H712" t="s">
        <v>1106</v>
      </c>
      <c r="I712" t="s">
        <v>44</v>
      </c>
      <c r="J712" t="s">
        <v>53</v>
      </c>
      <c r="K712" t="s">
        <v>10</v>
      </c>
      <c r="L712" t="s">
        <v>10</v>
      </c>
      <c r="M712" t="s">
        <v>10</v>
      </c>
      <c r="N712" t="s">
        <v>57</v>
      </c>
      <c r="O712" t="str">
        <f>INDEX(CoverageTable[Deductible Applies],MATCH(Table1820[[#This Row],[Coverage]],CoverageTable[Coverage],0))</f>
        <v>Yes</v>
      </c>
      <c r="P712" t="str">
        <f>INDEX(CoverageTable[Coverage Limit Applies],MATCH(Table1820[[#This Row],[Coverage]],CoverageTable[Coverage],0))</f>
        <v>No</v>
      </c>
      <c r="Q712" t="s">
        <v>78</v>
      </c>
      <c r="R712" t="s">
        <v>10</v>
      </c>
      <c r="S712" t="s">
        <v>10</v>
      </c>
      <c r="T712" t="s">
        <v>57</v>
      </c>
      <c r="U712" t="s">
        <v>57</v>
      </c>
      <c r="V712" t="s">
        <v>10</v>
      </c>
      <c r="W712" t="s">
        <v>10</v>
      </c>
      <c r="X712" s="11">
        <v>714.7</v>
      </c>
      <c r="Y712">
        <f>_xlfn.XLOOKUP(Table1820[[#This Row],[Coverage]],CoverageTable[Coverage],CoverageTable[Base Rate],,0)</f>
        <v>453</v>
      </c>
      <c r="Z712">
        <f>INDEX(Table16[Ageband Factor],MATCH(Table1820[[#This Row],[Ageband]],Table16[Ageband],0))</f>
        <v>1.23</v>
      </c>
      <c r="AA712">
        <f>VLOOKUP(Table1820[[#This Row],[Years Driving]],Table1[],2)</f>
        <v>0.93</v>
      </c>
      <c r="AB712">
        <f>_xlfn.XLOOKUP(Table1820[[#This Row],[At Fault Accidents]],Table2[At Fault Accidents],Table2[At Fault Accident Factor],,0)</f>
        <v>1.34</v>
      </c>
      <c r="AC712">
        <f>_xlfn.XLOOKUP(Table1820[[#This Row],[Usage-Based Insurance]],Table3[Usage-Based Insurance],Table3[Usage-Based Insurance Discount],,0)</f>
        <v>0.65</v>
      </c>
      <c r="AD712">
        <f>_xlfn.XLOOKUP(Table1820[[#This Row],[Yearly Miles]],Table4[Yearly Miles],Table4[Yearly Miles Factor],,0)</f>
        <v>0.82</v>
      </c>
      <c r="AE712">
        <f>_xlfn.XLOOKUP(Table1820[[#This Row],[City/Zip Code]],Table5[City/Zip Code],Table5[City/Zip Code Factor],,0)</f>
        <v>1.1599999999999999</v>
      </c>
      <c r="AF712">
        <f>_xlfn.XLOOKUP(Table1820[[#This Row],[Vehicle Price]],Table6[Vehicle Price],Table6[Vehicle Price Factor])</f>
        <v>2.02</v>
      </c>
      <c r="AG712">
        <f>_xlfn.XLOOKUP(Table1820[[#This Row],[Exotic Car]],Table7[Exotic Car],Table7[Exotic Car Factor],,0)</f>
        <v>1</v>
      </c>
      <c r="AH712">
        <f>_xlfn.XLOOKUP(Table1820[[#This Row],[Difficult Parts]],Table8[Difficult Parts],Table8[Difficult Parts Factor],,0)</f>
        <v>1</v>
      </c>
      <c r="AI712">
        <f>_xlfn.XLOOKUP(Table1820[[#This Row],[High Theft Rate]],Table9[High Theft Rate],Table9[High Theft Rate Factor],,0)</f>
        <v>1</v>
      </c>
      <c r="AJ712">
        <f>_xlfn.XLOOKUP(Table1820[[#This Row],[Advanced Safety Features]],Table10[Advanced Safety Features],Table10[Advanced Safety Features Factor],,0)</f>
        <v>0.88</v>
      </c>
      <c r="AK712">
        <f>_xlfn.XLOOKUP(Table1820[[#This Row],[Deductible]],Table12[Deductible],Table12[Deductible Factor],,0)</f>
        <v>0.95</v>
      </c>
      <c r="AL712">
        <f>_xlfn.XLOOKUP(Table1820[[#This Row],[Coverage Limit]],Table13[Coverage Limit],Table13[Coverage Limit Factor],,0)</f>
        <v>1</v>
      </c>
      <c r="AM712">
        <f>IF(Table1820[[#This Row],[Good Student Discount]]="Yes",'Rate Book'!$D$126,1)</f>
        <v>1</v>
      </c>
      <c r="AN712">
        <f>IF(Table1820[[#This Row],[Good Driver Discount]]="Yes",'Rate Book'!$D$127,1)</f>
        <v>0.89</v>
      </c>
      <c r="AO712">
        <f>IF(Table1820[[#This Row],[Multi Policy Discount]]="Yes",'Rate Book'!$D$128,1)</f>
        <v>0.93</v>
      </c>
      <c r="AP712">
        <f>IF(Table1820[[#This Row],[Loyal Customer Discount]]="Yes",'Rate Book'!$D$129,1)</f>
        <v>1</v>
      </c>
      <c r="AQ712">
        <f>IF(Table1820[[#This Row],[Organization Discount]]="Yes",'Rate Book'!$D$130,1)</f>
        <v>1</v>
      </c>
      <c r="AR712" cm="1">
        <f t="array" ref="AR712">IF(Table1820[[#This Row],[Effective Date]]&gt;=RateChangeTable[Effective Date],RateChangeTable[Rate Change Factor],1)</f>
        <v>1.06</v>
      </c>
      <c r="AS712" s="10">
        <f>PRODUCT(Table1820[[#This Row],[Base Rate]:[Rate Change Factor]])</f>
        <v>636.08144342806315</v>
      </c>
      <c r="AT712" s="9">
        <f>Table1820[[#This Row],[System-Generated Premium]]-Table1820[[#This Row],[Expected Premium]]</f>
        <v>78.618556571936892</v>
      </c>
      <c r="AU712" t="str">
        <f>IF(Table1820[[#This Row],[Difference]]=0,"PASS","FAIL")</f>
        <v>FAIL</v>
      </c>
      <c r="AV712" s="9">
        <f>ABS(Table1820[[#This Row],[Difference]])</f>
        <v>78.618556571936892</v>
      </c>
      <c r="AW712" s="9" t="s">
        <v>1138</v>
      </c>
    </row>
    <row r="713" spans="1:49" x14ac:dyDescent="0.3">
      <c r="A713" t="s">
        <v>804</v>
      </c>
      <c r="B713" s="7">
        <v>46085</v>
      </c>
      <c r="C713" t="s">
        <v>72</v>
      </c>
      <c r="D713" t="s">
        <v>1102</v>
      </c>
      <c r="E713" s="3">
        <v>2</v>
      </c>
      <c r="F713" s="3">
        <v>1</v>
      </c>
      <c r="G713" t="s">
        <v>13</v>
      </c>
      <c r="H713" t="s">
        <v>1108</v>
      </c>
      <c r="I713" t="s">
        <v>36</v>
      </c>
      <c r="J713" t="s">
        <v>54</v>
      </c>
      <c r="K713" t="s">
        <v>10</v>
      </c>
      <c r="L713" t="s">
        <v>10</v>
      </c>
      <c r="M713" t="s">
        <v>10</v>
      </c>
      <c r="N713" t="s">
        <v>10</v>
      </c>
      <c r="O713" t="str">
        <f>INDEX(CoverageTable[Deductible Applies],MATCH(Table1820[[#This Row],[Coverage]],CoverageTable[Coverage],0))</f>
        <v>Yes</v>
      </c>
      <c r="P713" t="str">
        <f>INDEX(CoverageTable[Coverage Limit Applies],MATCH(Table1820[[#This Row],[Coverage]],CoverageTable[Coverage],0))</f>
        <v>No</v>
      </c>
      <c r="Q713" t="s">
        <v>79</v>
      </c>
      <c r="R713" t="s">
        <v>10</v>
      </c>
      <c r="S713" t="s">
        <v>57</v>
      </c>
      <c r="T713" t="s">
        <v>57</v>
      </c>
      <c r="U713" t="s">
        <v>10</v>
      </c>
      <c r="V713" t="s">
        <v>10</v>
      </c>
      <c r="W713" t="s">
        <v>10</v>
      </c>
      <c r="X713" s="11">
        <v>386.9878381495767</v>
      </c>
      <c r="Y713">
        <f>_xlfn.XLOOKUP(Table1820[[#This Row],[Coverage]],CoverageTable[Coverage],CoverageTable[Base Rate],,0)</f>
        <v>121</v>
      </c>
      <c r="Z713">
        <f>INDEX(Table16[Ageband Factor],MATCH(Table1820[[#This Row],[Ageband]],Table16[Ageband],0))</f>
        <v>1.27</v>
      </c>
      <c r="AA713">
        <f>VLOOKUP(Table1820[[#This Row],[Years Driving]],Table1[],2)</f>
        <v>1.41</v>
      </c>
      <c r="AB713">
        <f>_xlfn.XLOOKUP(Table1820[[#This Row],[At Fault Accidents]],Table2[At Fault Accidents],Table2[At Fault Accident Factor],,0)</f>
        <v>1.34</v>
      </c>
      <c r="AC713">
        <f>_xlfn.XLOOKUP(Table1820[[#This Row],[Usage-Based Insurance]],Table3[Usage-Based Insurance],Table3[Usage-Based Insurance Discount],,0)</f>
        <v>0.65</v>
      </c>
      <c r="AD713">
        <f>_xlfn.XLOOKUP(Table1820[[#This Row],[Yearly Miles]],Table4[Yearly Miles],Table4[Yearly Miles Factor],,0)</f>
        <v>1</v>
      </c>
      <c r="AE713">
        <f>_xlfn.XLOOKUP(Table1820[[#This Row],[City/Zip Code]],Table5[City/Zip Code],Table5[City/Zip Code Factor],,0)</f>
        <v>0.98</v>
      </c>
      <c r="AF713">
        <f>_xlfn.XLOOKUP(Table1820[[#This Row],[Vehicle Price]],Table6[Vehicle Price],Table6[Vehicle Price Factor])</f>
        <v>2.87</v>
      </c>
      <c r="AG713">
        <f>_xlfn.XLOOKUP(Table1820[[#This Row],[Exotic Car]],Table7[Exotic Car],Table7[Exotic Car Factor],,0)</f>
        <v>1</v>
      </c>
      <c r="AH713">
        <f>_xlfn.XLOOKUP(Table1820[[#This Row],[Difficult Parts]],Table8[Difficult Parts],Table8[Difficult Parts Factor],,0)</f>
        <v>1</v>
      </c>
      <c r="AI713">
        <f>_xlfn.XLOOKUP(Table1820[[#This Row],[High Theft Rate]],Table9[High Theft Rate],Table9[High Theft Rate Factor],,0)</f>
        <v>1</v>
      </c>
      <c r="AJ713">
        <f>_xlfn.XLOOKUP(Table1820[[#This Row],[Advanced Safety Features]],Table10[Advanced Safety Features],Table10[Advanced Safety Features Factor],,0)</f>
        <v>1</v>
      </c>
      <c r="AK713">
        <f>_xlfn.XLOOKUP(Table1820[[#This Row],[Deductible]],Table12[Deductible],Table12[Deductible Factor],,0)</f>
        <v>0.84</v>
      </c>
      <c r="AL713">
        <f>_xlfn.XLOOKUP(Table1820[[#This Row],[Coverage Limit]],Table13[Coverage Limit],Table13[Coverage Limit Factor],,0)</f>
        <v>1</v>
      </c>
      <c r="AM713">
        <f>IF(Table1820[[#This Row],[Good Student Discount]]="Yes",'Rate Book'!$D$126,1)</f>
        <v>0.92</v>
      </c>
      <c r="AN713">
        <f>IF(Table1820[[#This Row],[Good Driver Discount]]="Yes",'Rate Book'!$D$127,1)</f>
        <v>0.89</v>
      </c>
      <c r="AO713">
        <f>IF(Table1820[[#This Row],[Multi Policy Discount]]="Yes",'Rate Book'!$D$128,1)</f>
        <v>1</v>
      </c>
      <c r="AP713">
        <f>IF(Table1820[[#This Row],[Loyal Customer Discount]]="Yes",'Rate Book'!$D$129,1)</f>
        <v>1</v>
      </c>
      <c r="AQ713">
        <f>IF(Table1820[[#This Row],[Organization Discount]]="Yes",'Rate Book'!$D$130,1)</f>
        <v>1</v>
      </c>
      <c r="AR713" cm="1">
        <f t="array" ref="AR713">IF(Table1820[[#This Row],[Effective Date]]&gt;=RateChangeTable[Effective Date],RateChangeTable[Rate Change Factor],1)</f>
        <v>1.06</v>
      </c>
      <c r="AS713" s="10">
        <f>PRODUCT(Table1820[[#This Row],[Base Rate]:[Rate Change Factor]])</f>
        <v>386.9878381495767</v>
      </c>
      <c r="AT713" s="9">
        <f>Table1820[[#This Row],[System-Generated Premium]]-Table1820[[#This Row],[Expected Premium]]</f>
        <v>0</v>
      </c>
      <c r="AU713" t="str">
        <f>IF(Table1820[[#This Row],[Difference]]=0,"PASS","FAIL")</f>
        <v>PASS</v>
      </c>
      <c r="AV713" s="9">
        <f>ABS(Table1820[[#This Row],[Difference]])</f>
        <v>0</v>
      </c>
      <c r="AW713" s="9" t="s">
        <v>1136</v>
      </c>
    </row>
    <row r="714" spans="1:49" x14ac:dyDescent="0.3">
      <c r="A714" t="s">
        <v>805</v>
      </c>
      <c r="B714" s="7">
        <v>46132</v>
      </c>
      <c r="C714" t="s">
        <v>71</v>
      </c>
      <c r="D714" t="s">
        <v>1097</v>
      </c>
      <c r="E714" s="3">
        <v>1</v>
      </c>
      <c r="F714" s="3">
        <v>3</v>
      </c>
      <c r="G714" t="s">
        <v>13</v>
      </c>
      <c r="H714" t="s">
        <v>1107</v>
      </c>
      <c r="I714" t="s">
        <v>38</v>
      </c>
      <c r="J714" t="s">
        <v>49</v>
      </c>
      <c r="K714" t="s">
        <v>10</v>
      </c>
      <c r="L714" t="s">
        <v>10</v>
      </c>
      <c r="M714" t="s">
        <v>10</v>
      </c>
      <c r="N714" t="s">
        <v>10</v>
      </c>
      <c r="O714" t="str">
        <f>INDEX(CoverageTable[Deductible Applies],MATCH(Table1820[[#This Row],[Coverage]],CoverageTable[Coverage],0))</f>
        <v>Yes</v>
      </c>
      <c r="P714" t="str">
        <f>INDEX(CoverageTable[Coverage Limit Applies],MATCH(Table1820[[#This Row],[Coverage]],CoverageTable[Coverage],0))</f>
        <v>No</v>
      </c>
      <c r="Q714" t="s">
        <v>79</v>
      </c>
      <c r="R714" t="s">
        <v>10</v>
      </c>
      <c r="S714" t="s">
        <v>10</v>
      </c>
      <c r="T714" t="s">
        <v>10</v>
      </c>
      <c r="U714" t="s">
        <v>10</v>
      </c>
      <c r="V714" t="s">
        <v>10</v>
      </c>
      <c r="W714" t="s">
        <v>10</v>
      </c>
      <c r="X714" s="11">
        <v>1043.6589041345951</v>
      </c>
      <c r="Y714">
        <f>_xlfn.XLOOKUP(Table1820[[#This Row],[Coverage]],CoverageTable[Coverage],CoverageTable[Base Rate],,0)</f>
        <v>453</v>
      </c>
      <c r="Z714">
        <f>INDEX(Table16[Ageband Factor],MATCH(Table1820[[#This Row],[Ageband]],Table16[Ageband],0))</f>
        <v>1.32</v>
      </c>
      <c r="AA714">
        <f>VLOOKUP(Table1820[[#This Row],[Years Driving]],Table1[],2)</f>
        <v>1.64</v>
      </c>
      <c r="AB714">
        <f>_xlfn.XLOOKUP(Table1820[[#This Row],[At Fault Accidents]],Table2[At Fault Accidents],Table2[At Fault Accident Factor],,0)</f>
        <v>1.82</v>
      </c>
      <c r="AC714">
        <f>_xlfn.XLOOKUP(Table1820[[#This Row],[Usage-Based Insurance]],Table3[Usage-Based Insurance],Table3[Usage-Based Insurance Discount],,0)</f>
        <v>0.65</v>
      </c>
      <c r="AD714">
        <f>_xlfn.XLOOKUP(Table1820[[#This Row],[Yearly Miles]],Table4[Yearly Miles],Table4[Yearly Miles Factor],,0)</f>
        <v>0.93</v>
      </c>
      <c r="AE714">
        <f>_xlfn.XLOOKUP(Table1820[[#This Row],[City/Zip Code]],Table5[City/Zip Code],Table5[City/Zip Code Factor],,0)</f>
        <v>1.1200000000000001</v>
      </c>
      <c r="AF714">
        <f>_xlfn.XLOOKUP(Table1820[[#This Row],[Vehicle Price]],Table6[Vehicle Price],Table6[Vehicle Price Factor])</f>
        <v>0.97</v>
      </c>
      <c r="AG714">
        <f>_xlfn.XLOOKUP(Table1820[[#This Row],[Exotic Car]],Table7[Exotic Car],Table7[Exotic Car Factor],,0)</f>
        <v>1</v>
      </c>
      <c r="AH714">
        <f>_xlfn.XLOOKUP(Table1820[[#This Row],[Difficult Parts]],Table8[Difficult Parts],Table8[Difficult Parts Factor],,0)</f>
        <v>1</v>
      </c>
      <c r="AI714">
        <f>_xlfn.XLOOKUP(Table1820[[#This Row],[High Theft Rate]],Table9[High Theft Rate],Table9[High Theft Rate Factor],,0)</f>
        <v>1</v>
      </c>
      <c r="AJ714">
        <f>_xlfn.XLOOKUP(Table1820[[#This Row],[Advanced Safety Features]],Table10[Advanced Safety Features],Table10[Advanced Safety Features Factor],,0)</f>
        <v>1</v>
      </c>
      <c r="AK714">
        <f>_xlfn.XLOOKUP(Table1820[[#This Row],[Deductible]],Table12[Deductible],Table12[Deductible Factor],,0)</f>
        <v>0.84</v>
      </c>
      <c r="AL714">
        <f>_xlfn.XLOOKUP(Table1820[[#This Row],[Coverage Limit]],Table13[Coverage Limit],Table13[Coverage Limit Factor],,0)</f>
        <v>1</v>
      </c>
      <c r="AM714">
        <f>IF(Table1820[[#This Row],[Good Student Discount]]="Yes",'Rate Book'!$D$126,1)</f>
        <v>1</v>
      </c>
      <c r="AN714">
        <f>IF(Table1820[[#This Row],[Good Driver Discount]]="Yes",'Rate Book'!$D$127,1)</f>
        <v>1</v>
      </c>
      <c r="AO714">
        <f>IF(Table1820[[#This Row],[Multi Policy Discount]]="Yes",'Rate Book'!$D$128,1)</f>
        <v>1</v>
      </c>
      <c r="AP714">
        <f>IF(Table1820[[#This Row],[Loyal Customer Discount]]="Yes",'Rate Book'!$D$129,1)</f>
        <v>1</v>
      </c>
      <c r="AQ714">
        <f>IF(Table1820[[#This Row],[Organization Discount]]="Yes",'Rate Book'!$D$130,1)</f>
        <v>1</v>
      </c>
      <c r="AR714" cm="1">
        <f t="array" ref="AR714">IF(Table1820[[#This Row],[Effective Date]]&gt;=RateChangeTable[Effective Date],RateChangeTable[Rate Change Factor],1)</f>
        <v>1.06</v>
      </c>
      <c r="AS714" s="10">
        <f>PRODUCT(Table1820[[#This Row],[Base Rate]:[Rate Change Factor]])</f>
        <v>1043.6589041345951</v>
      </c>
      <c r="AT714" s="9">
        <f>Table1820[[#This Row],[System-Generated Premium]]-Table1820[[#This Row],[Expected Premium]]</f>
        <v>0</v>
      </c>
      <c r="AU714" t="str">
        <f>IF(Table1820[[#This Row],[Difference]]=0,"PASS","FAIL")</f>
        <v>PASS</v>
      </c>
      <c r="AV714" s="9">
        <f>ABS(Table1820[[#This Row],[Difference]])</f>
        <v>0</v>
      </c>
      <c r="AW714" s="9" t="s">
        <v>1136</v>
      </c>
    </row>
    <row r="715" spans="1:49" x14ac:dyDescent="0.3">
      <c r="A715" t="s">
        <v>806</v>
      </c>
      <c r="B715" s="7">
        <v>46026</v>
      </c>
      <c r="C715" t="s">
        <v>70</v>
      </c>
      <c r="D715" t="s">
        <v>1099</v>
      </c>
      <c r="E715" s="3" t="s">
        <v>1103</v>
      </c>
      <c r="F715" s="3">
        <v>0</v>
      </c>
      <c r="G715" t="s">
        <v>11</v>
      </c>
      <c r="H715" t="s">
        <v>1110</v>
      </c>
      <c r="I715" t="s">
        <v>34</v>
      </c>
      <c r="J715" t="s">
        <v>54</v>
      </c>
      <c r="K715" t="s">
        <v>10</v>
      </c>
      <c r="L715" t="s">
        <v>10</v>
      </c>
      <c r="M715" t="s">
        <v>10</v>
      </c>
      <c r="N715" t="s">
        <v>10</v>
      </c>
      <c r="O715" t="str">
        <f>INDEX(CoverageTable[Deductible Applies],MATCH(Table1820[[#This Row],[Coverage]],CoverageTable[Coverage],0))</f>
        <v>No</v>
      </c>
      <c r="P715" t="str">
        <f>INDEX(CoverageTable[Coverage Limit Applies],MATCH(Table1820[[#This Row],[Coverage]],CoverageTable[Coverage],0))</f>
        <v>Yes</v>
      </c>
      <c r="Q715" t="s">
        <v>10</v>
      </c>
      <c r="R715" t="s">
        <v>78</v>
      </c>
      <c r="S715" t="s">
        <v>57</v>
      </c>
      <c r="T715" t="s">
        <v>57</v>
      </c>
      <c r="U715" t="s">
        <v>57</v>
      </c>
      <c r="V715" t="s">
        <v>10</v>
      </c>
      <c r="W715" t="s">
        <v>10</v>
      </c>
      <c r="X715" s="11">
        <v>1586.9791176229301</v>
      </c>
      <c r="Y715">
        <f>_xlfn.XLOOKUP(Table1820[[#This Row],[Coverage]],CoverageTable[Coverage],CoverageTable[Base Rate],,0)</f>
        <v>622</v>
      </c>
      <c r="Z715">
        <f>INDEX(Table16[Ageband Factor],MATCH(Table1820[[#This Row],[Ageband]],Table16[Ageband],0))</f>
        <v>1</v>
      </c>
      <c r="AA715">
        <f>VLOOKUP(Table1820[[#This Row],[Years Driving]],Table1[],2)</f>
        <v>0.93</v>
      </c>
      <c r="AB715">
        <f>_xlfn.XLOOKUP(Table1820[[#This Row],[At Fault Accidents]],Table2[At Fault Accidents],Table2[At Fault Accident Factor],,0)</f>
        <v>1</v>
      </c>
      <c r="AC715">
        <f>_xlfn.XLOOKUP(Table1820[[#This Row],[Usage-Based Insurance]],Table3[Usage-Based Insurance],Table3[Usage-Based Insurance Discount],,0)</f>
        <v>0.95</v>
      </c>
      <c r="AD715">
        <f>_xlfn.XLOOKUP(Table1820[[#This Row],[Yearly Miles]],Table4[Yearly Miles],Table4[Yearly Miles Factor],,0)</f>
        <v>1.31</v>
      </c>
      <c r="AE715">
        <f>_xlfn.XLOOKUP(Table1820[[#This Row],[City/Zip Code]],Table5[City/Zip Code],Table5[City/Zip Code Factor],,0)</f>
        <v>1.56</v>
      </c>
      <c r="AF715">
        <f>_xlfn.XLOOKUP(Table1820[[#This Row],[Vehicle Price]],Table6[Vehicle Price],Table6[Vehicle Price Factor])</f>
        <v>2.87</v>
      </c>
      <c r="AG715">
        <f>_xlfn.XLOOKUP(Table1820[[#This Row],[Exotic Car]],Table7[Exotic Car],Table7[Exotic Car Factor],,0)</f>
        <v>1</v>
      </c>
      <c r="AH715">
        <f>_xlfn.XLOOKUP(Table1820[[#This Row],[Difficult Parts]],Table8[Difficult Parts],Table8[Difficult Parts Factor],,0)</f>
        <v>1</v>
      </c>
      <c r="AI715">
        <f>_xlfn.XLOOKUP(Table1820[[#This Row],[High Theft Rate]],Table9[High Theft Rate],Table9[High Theft Rate Factor],,0)</f>
        <v>1</v>
      </c>
      <c r="AJ715">
        <f>_xlfn.XLOOKUP(Table1820[[#This Row],[Advanced Safety Features]],Table10[Advanced Safety Features],Table10[Advanced Safety Features Factor],,0)</f>
        <v>1</v>
      </c>
      <c r="AK715">
        <f>_xlfn.XLOOKUP(Table1820[[#This Row],[Deductible]],Table12[Deductible],Table12[Deductible Factor],,0)</f>
        <v>1</v>
      </c>
      <c r="AL715">
        <f>_xlfn.XLOOKUP(Table1820[[#This Row],[Coverage Limit]],Table13[Coverage Limit],Table13[Coverage Limit Factor],,0)</f>
        <v>0.61</v>
      </c>
      <c r="AM715">
        <f>IF(Table1820[[#This Row],[Good Student Discount]]="Yes",'Rate Book'!$D$126,1)</f>
        <v>0.92</v>
      </c>
      <c r="AN715">
        <f>IF(Table1820[[#This Row],[Good Driver Discount]]="Yes",'Rate Book'!$D$127,1)</f>
        <v>0.89</v>
      </c>
      <c r="AO715">
        <f>IF(Table1820[[#This Row],[Multi Policy Discount]]="Yes",'Rate Book'!$D$128,1)</f>
        <v>0.93</v>
      </c>
      <c r="AP715">
        <f>IF(Table1820[[#This Row],[Loyal Customer Discount]]="Yes",'Rate Book'!$D$129,1)</f>
        <v>1</v>
      </c>
      <c r="AQ715">
        <f>IF(Table1820[[#This Row],[Organization Discount]]="Yes",'Rate Book'!$D$130,1)</f>
        <v>1</v>
      </c>
      <c r="AR715" cm="1">
        <f t="array" ref="AR715">IF(Table1820[[#This Row],[Effective Date]]&gt;=RateChangeTable[Effective Date],RateChangeTable[Rate Change Factor],1)</f>
        <v>1.06</v>
      </c>
      <c r="AS715" s="10">
        <f>PRODUCT(Table1820[[#This Row],[Base Rate]:[Rate Change Factor]])</f>
        <v>1586.9791176229301</v>
      </c>
      <c r="AT715" s="9">
        <f>Table1820[[#This Row],[System-Generated Premium]]-Table1820[[#This Row],[Expected Premium]]</f>
        <v>0</v>
      </c>
      <c r="AU715" t="str">
        <f>IF(Table1820[[#This Row],[Difference]]=0,"PASS","FAIL")</f>
        <v>PASS</v>
      </c>
      <c r="AV715" s="9">
        <f>ABS(Table1820[[#This Row],[Difference]])</f>
        <v>0</v>
      </c>
      <c r="AW715" s="9" t="s">
        <v>1136</v>
      </c>
    </row>
    <row r="716" spans="1:49" x14ac:dyDescent="0.3">
      <c r="A716" t="s">
        <v>807</v>
      </c>
      <c r="B716" s="7">
        <v>45880</v>
      </c>
      <c r="C716" t="s">
        <v>71</v>
      </c>
      <c r="D716" t="s">
        <v>1099</v>
      </c>
      <c r="E716" s="3">
        <v>5</v>
      </c>
      <c r="F716" s="3">
        <v>1</v>
      </c>
      <c r="G716" t="s">
        <v>13</v>
      </c>
      <c r="H716" t="s">
        <v>1109</v>
      </c>
      <c r="I716" t="s">
        <v>31</v>
      </c>
      <c r="J716" t="s">
        <v>51</v>
      </c>
      <c r="K716" t="s">
        <v>10</v>
      </c>
      <c r="L716" t="s">
        <v>10</v>
      </c>
      <c r="M716" t="s">
        <v>10</v>
      </c>
      <c r="N716" t="s">
        <v>57</v>
      </c>
      <c r="O716" t="str">
        <f>INDEX(CoverageTable[Deductible Applies],MATCH(Table1820[[#This Row],[Coverage]],CoverageTable[Coverage],0))</f>
        <v>Yes</v>
      </c>
      <c r="P716" t="str">
        <f>INDEX(CoverageTable[Coverage Limit Applies],MATCH(Table1820[[#This Row],[Coverage]],CoverageTable[Coverage],0))</f>
        <v>No</v>
      </c>
      <c r="Q716" t="s">
        <v>78</v>
      </c>
      <c r="R716" t="s">
        <v>10</v>
      </c>
      <c r="S716" t="s">
        <v>57</v>
      </c>
      <c r="T716" t="s">
        <v>57</v>
      </c>
      <c r="U716" t="s">
        <v>10</v>
      </c>
      <c r="V716" t="s">
        <v>10</v>
      </c>
      <c r="W716" t="s">
        <v>10</v>
      </c>
      <c r="X716" s="11">
        <v>484.50604714875823</v>
      </c>
      <c r="Y716">
        <f>_xlfn.XLOOKUP(Table1820[[#This Row],[Coverage]],CoverageTable[Coverage],CoverageTable[Base Rate],,0)</f>
        <v>453</v>
      </c>
      <c r="Z716">
        <f>INDEX(Table16[Ageband Factor],MATCH(Table1820[[#This Row],[Ageband]],Table16[Ageband],0))</f>
        <v>1</v>
      </c>
      <c r="AA716">
        <f>VLOOKUP(Table1820[[#This Row],[Years Driving]],Table1[],2)</f>
        <v>1.07</v>
      </c>
      <c r="AB716">
        <f>_xlfn.XLOOKUP(Table1820[[#This Row],[At Fault Accidents]],Table2[At Fault Accidents],Table2[At Fault Accident Factor],,0)</f>
        <v>1.34</v>
      </c>
      <c r="AC716">
        <f>_xlfn.XLOOKUP(Table1820[[#This Row],[Usage-Based Insurance]],Table3[Usage-Based Insurance],Table3[Usage-Based Insurance Discount],,0)</f>
        <v>0.65</v>
      </c>
      <c r="AD716">
        <f>_xlfn.XLOOKUP(Table1820[[#This Row],[Yearly Miles]],Table4[Yearly Miles],Table4[Yearly Miles Factor],,0)</f>
        <v>1.18</v>
      </c>
      <c r="AE716">
        <f>_xlfn.XLOOKUP(Table1820[[#This Row],[City/Zip Code]],Table5[City/Zip Code],Table5[City/Zip Code Factor],,0)</f>
        <v>1.1100000000000001</v>
      </c>
      <c r="AF716">
        <f>_xlfn.XLOOKUP(Table1820[[#This Row],[Vehicle Price]],Table6[Vehicle Price],Table6[Vehicle Price Factor])</f>
        <v>1.28</v>
      </c>
      <c r="AG716">
        <f>_xlfn.XLOOKUP(Table1820[[#This Row],[Exotic Car]],Table7[Exotic Car],Table7[Exotic Car Factor],,0)</f>
        <v>1</v>
      </c>
      <c r="AH716">
        <f>_xlfn.XLOOKUP(Table1820[[#This Row],[Difficult Parts]],Table8[Difficult Parts],Table8[Difficult Parts Factor],,0)</f>
        <v>1</v>
      </c>
      <c r="AI716">
        <f>_xlfn.XLOOKUP(Table1820[[#This Row],[High Theft Rate]],Table9[High Theft Rate],Table9[High Theft Rate Factor],,0)</f>
        <v>1</v>
      </c>
      <c r="AJ716">
        <f>_xlfn.XLOOKUP(Table1820[[#This Row],[Advanced Safety Features]],Table10[Advanced Safety Features],Table10[Advanced Safety Features Factor],,0)</f>
        <v>0.88</v>
      </c>
      <c r="AK716">
        <f>_xlfn.XLOOKUP(Table1820[[#This Row],[Deductible]],Table12[Deductible],Table12[Deductible Factor],,0)</f>
        <v>0.95</v>
      </c>
      <c r="AL716">
        <f>_xlfn.XLOOKUP(Table1820[[#This Row],[Coverage Limit]],Table13[Coverage Limit],Table13[Coverage Limit Factor],,0)</f>
        <v>1</v>
      </c>
      <c r="AM716">
        <f>IF(Table1820[[#This Row],[Good Student Discount]]="Yes",'Rate Book'!$D$126,1)</f>
        <v>0.92</v>
      </c>
      <c r="AN716">
        <f>IF(Table1820[[#This Row],[Good Driver Discount]]="Yes",'Rate Book'!$D$127,1)</f>
        <v>0.89</v>
      </c>
      <c r="AO716">
        <f>IF(Table1820[[#This Row],[Multi Policy Discount]]="Yes",'Rate Book'!$D$128,1)</f>
        <v>1</v>
      </c>
      <c r="AP716">
        <f>IF(Table1820[[#This Row],[Loyal Customer Discount]]="Yes",'Rate Book'!$D$129,1)</f>
        <v>1</v>
      </c>
      <c r="AQ716">
        <f>IF(Table1820[[#This Row],[Organization Discount]]="Yes",'Rate Book'!$D$130,1)</f>
        <v>1</v>
      </c>
      <c r="AR716" cm="1">
        <f t="array" ref="AR716">IF(Table1820[[#This Row],[Effective Date]]&gt;=RateChangeTable[Effective Date],RateChangeTable[Rate Change Factor],1)</f>
        <v>1</v>
      </c>
      <c r="AS716" s="10">
        <f>PRODUCT(Table1820[[#This Row],[Base Rate]:[Rate Change Factor]])</f>
        <v>484.50604714875823</v>
      </c>
      <c r="AT716" s="9">
        <f>Table1820[[#This Row],[System-Generated Premium]]-Table1820[[#This Row],[Expected Premium]]</f>
        <v>0</v>
      </c>
      <c r="AU716" t="str">
        <f>IF(Table1820[[#This Row],[Difference]]=0,"PASS","FAIL")</f>
        <v>PASS</v>
      </c>
      <c r="AV716" s="9">
        <f>ABS(Table1820[[#This Row],[Difference]])</f>
        <v>0</v>
      </c>
      <c r="AW716" s="9" t="s">
        <v>1136</v>
      </c>
    </row>
    <row r="717" spans="1:49" x14ac:dyDescent="0.3">
      <c r="A717" t="s">
        <v>808</v>
      </c>
      <c r="B717" s="7">
        <v>45843</v>
      </c>
      <c r="C717" t="s">
        <v>71</v>
      </c>
      <c r="D717" t="s">
        <v>1100</v>
      </c>
      <c r="E717" s="3">
        <v>4</v>
      </c>
      <c r="F717" s="3">
        <v>2</v>
      </c>
      <c r="G717" t="s">
        <v>10</v>
      </c>
      <c r="H717" t="s">
        <v>1107</v>
      </c>
      <c r="I717" t="s">
        <v>37</v>
      </c>
      <c r="J717" t="s">
        <v>48</v>
      </c>
      <c r="K717" t="s">
        <v>10</v>
      </c>
      <c r="L717" t="s">
        <v>10</v>
      </c>
      <c r="M717" t="s">
        <v>10</v>
      </c>
      <c r="N717" t="s">
        <v>10</v>
      </c>
      <c r="O717" t="str">
        <f>INDEX(CoverageTable[Deductible Applies],MATCH(Table1820[[#This Row],[Coverage]],CoverageTable[Coverage],0))</f>
        <v>Yes</v>
      </c>
      <c r="P717" t="str">
        <f>INDEX(CoverageTable[Coverage Limit Applies],MATCH(Table1820[[#This Row],[Coverage]],CoverageTable[Coverage],0))</f>
        <v>No</v>
      </c>
      <c r="Q717" t="s">
        <v>79</v>
      </c>
      <c r="R717" t="s">
        <v>10</v>
      </c>
      <c r="S717" t="s">
        <v>10</v>
      </c>
      <c r="T717" t="s">
        <v>10</v>
      </c>
      <c r="U717" t="s">
        <v>10</v>
      </c>
      <c r="V717" t="s">
        <v>57</v>
      </c>
      <c r="W717" t="s">
        <v>57</v>
      </c>
      <c r="X717" s="11">
        <v>550.06459324698983</v>
      </c>
      <c r="Y717">
        <f>_xlfn.XLOOKUP(Table1820[[#This Row],[Coverage]],CoverageTable[Coverage],CoverageTable[Base Rate],,0)</f>
        <v>453</v>
      </c>
      <c r="Z717">
        <f>INDEX(Table16[Ageband Factor],MATCH(Table1820[[#This Row],[Ageband]],Table16[Ageband],0))</f>
        <v>1.07</v>
      </c>
      <c r="AA717">
        <f>VLOOKUP(Table1820[[#This Row],[Years Driving]],Table1[],2)</f>
        <v>1.1499999999999999</v>
      </c>
      <c r="AB717">
        <f>_xlfn.XLOOKUP(Table1820[[#This Row],[At Fault Accidents]],Table2[At Fault Accidents],Table2[At Fault Accident Factor],,0)</f>
        <v>1.55</v>
      </c>
      <c r="AC717">
        <f>_xlfn.XLOOKUP(Table1820[[#This Row],[Usage-Based Insurance]],Table3[Usage-Based Insurance],Table3[Usage-Based Insurance Discount],,0)</f>
        <v>1</v>
      </c>
      <c r="AD717">
        <f>_xlfn.XLOOKUP(Table1820[[#This Row],[Yearly Miles]],Table4[Yearly Miles],Table4[Yearly Miles Factor],,0)</f>
        <v>0.93</v>
      </c>
      <c r="AE717">
        <f>_xlfn.XLOOKUP(Table1820[[#This Row],[City/Zip Code]],Table5[City/Zip Code],Table5[City/Zip Code Factor],,0)</f>
        <v>1.0900000000000001</v>
      </c>
      <c r="AF717">
        <f>_xlfn.XLOOKUP(Table1820[[#This Row],[Vehicle Price]],Table6[Vehicle Price],Table6[Vehicle Price Factor])</f>
        <v>0.82</v>
      </c>
      <c r="AG717">
        <f>_xlfn.XLOOKUP(Table1820[[#This Row],[Exotic Car]],Table7[Exotic Car],Table7[Exotic Car Factor],,0)</f>
        <v>1</v>
      </c>
      <c r="AH717">
        <f>_xlfn.XLOOKUP(Table1820[[#This Row],[Difficult Parts]],Table8[Difficult Parts],Table8[Difficult Parts Factor],,0)</f>
        <v>1</v>
      </c>
      <c r="AI717">
        <f>_xlfn.XLOOKUP(Table1820[[#This Row],[High Theft Rate]],Table9[High Theft Rate],Table9[High Theft Rate Factor],,0)</f>
        <v>1</v>
      </c>
      <c r="AJ717">
        <f>_xlfn.XLOOKUP(Table1820[[#This Row],[Advanced Safety Features]],Table10[Advanced Safety Features],Table10[Advanced Safety Features Factor],,0)</f>
        <v>1</v>
      </c>
      <c r="AK717">
        <f>_xlfn.XLOOKUP(Table1820[[#This Row],[Deductible]],Table12[Deductible],Table12[Deductible Factor],,0)</f>
        <v>0.84</v>
      </c>
      <c r="AL717">
        <f>_xlfn.XLOOKUP(Table1820[[#This Row],[Coverage Limit]],Table13[Coverage Limit],Table13[Coverage Limit Factor],,0)</f>
        <v>1</v>
      </c>
      <c r="AM717">
        <f>IF(Table1820[[#This Row],[Good Student Discount]]="Yes",'Rate Book'!$D$126,1)</f>
        <v>1</v>
      </c>
      <c r="AN717">
        <f>IF(Table1820[[#This Row],[Good Driver Discount]]="Yes",'Rate Book'!$D$127,1)</f>
        <v>1</v>
      </c>
      <c r="AO717">
        <f>IF(Table1820[[#This Row],[Multi Policy Discount]]="Yes",'Rate Book'!$D$128,1)</f>
        <v>1</v>
      </c>
      <c r="AP717">
        <f>IF(Table1820[[#This Row],[Loyal Customer Discount]]="Yes",'Rate Book'!$D$129,1)</f>
        <v>0.94</v>
      </c>
      <c r="AQ717">
        <f>IF(Table1820[[#This Row],[Organization Discount]]="Yes",'Rate Book'!$D$130,1)</f>
        <v>0.97</v>
      </c>
      <c r="AR717" cm="1">
        <f t="array" ref="AR717">IF(Table1820[[#This Row],[Effective Date]]&gt;=RateChangeTable[Effective Date],RateChangeTable[Rate Change Factor],1)</f>
        <v>1</v>
      </c>
      <c r="AS717" s="10">
        <f>PRODUCT(Table1820[[#This Row],[Base Rate]:[Rate Change Factor]])</f>
        <v>550.06459324698983</v>
      </c>
      <c r="AT717" s="9">
        <f>Table1820[[#This Row],[System-Generated Premium]]-Table1820[[#This Row],[Expected Premium]]</f>
        <v>0</v>
      </c>
      <c r="AU717" t="str">
        <f>IF(Table1820[[#This Row],[Difference]]=0,"PASS","FAIL")</f>
        <v>PASS</v>
      </c>
      <c r="AV717" s="9">
        <f>ABS(Table1820[[#This Row],[Difference]])</f>
        <v>0</v>
      </c>
      <c r="AW717" s="9" t="s">
        <v>1136</v>
      </c>
    </row>
    <row r="718" spans="1:49" x14ac:dyDescent="0.3">
      <c r="A718" t="s">
        <v>809</v>
      </c>
      <c r="B718" s="7">
        <v>46034</v>
      </c>
      <c r="C718" t="s">
        <v>70</v>
      </c>
      <c r="D718" t="s">
        <v>1097</v>
      </c>
      <c r="E718" s="3">
        <v>4</v>
      </c>
      <c r="F718" s="3">
        <v>0</v>
      </c>
      <c r="G718" t="s">
        <v>11</v>
      </c>
      <c r="H718" t="s">
        <v>1107</v>
      </c>
      <c r="I718" t="s">
        <v>22</v>
      </c>
      <c r="J718" t="s">
        <v>52</v>
      </c>
      <c r="K718" t="s">
        <v>10</v>
      </c>
      <c r="L718" t="s">
        <v>10</v>
      </c>
      <c r="M718" t="s">
        <v>10</v>
      </c>
      <c r="N718" t="s">
        <v>57</v>
      </c>
      <c r="O718" t="str">
        <f>INDEX(CoverageTable[Deductible Applies],MATCH(Table1820[[#This Row],[Coverage]],CoverageTable[Coverage],0))</f>
        <v>No</v>
      </c>
      <c r="P718" t="str">
        <f>INDEX(CoverageTable[Coverage Limit Applies],MATCH(Table1820[[#This Row],[Coverage]],CoverageTable[Coverage],0))</f>
        <v>Yes</v>
      </c>
      <c r="Q718" t="s">
        <v>10</v>
      </c>
      <c r="R718" t="s">
        <v>78</v>
      </c>
      <c r="S718" t="s">
        <v>10</v>
      </c>
      <c r="T718" t="s">
        <v>57</v>
      </c>
      <c r="U718" t="s">
        <v>10</v>
      </c>
      <c r="V718" t="s">
        <v>10</v>
      </c>
      <c r="W718" t="s">
        <v>10</v>
      </c>
      <c r="X718" s="11">
        <v>802.53154448608029</v>
      </c>
      <c r="Y718">
        <f>_xlfn.XLOOKUP(Table1820[[#This Row],[Coverage]],CoverageTable[Coverage],CoverageTable[Base Rate],,0)</f>
        <v>622</v>
      </c>
      <c r="Z718">
        <f>INDEX(Table16[Ageband Factor],MATCH(Table1820[[#This Row],[Ageband]],Table16[Ageband],0))</f>
        <v>1.32</v>
      </c>
      <c r="AA718">
        <f>VLOOKUP(Table1820[[#This Row],[Years Driving]],Table1[],2)</f>
        <v>1.1499999999999999</v>
      </c>
      <c r="AB718">
        <f>_xlfn.XLOOKUP(Table1820[[#This Row],[At Fault Accidents]],Table2[At Fault Accidents],Table2[At Fault Accident Factor],,0)</f>
        <v>1</v>
      </c>
      <c r="AC718">
        <f>_xlfn.XLOOKUP(Table1820[[#This Row],[Usage-Based Insurance]],Table3[Usage-Based Insurance],Table3[Usage-Based Insurance Discount],,0)</f>
        <v>0.95</v>
      </c>
      <c r="AD718">
        <f>_xlfn.XLOOKUP(Table1820[[#This Row],[Yearly Miles]],Table4[Yearly Miles],Table4[Yearly Miles Factor],,0)</f>
        <v>0.93</v>
      </c>
      <c r="AE718">
        <f>_xlfn.XLOOKUP(Table1820[[#This Row],[City/Zip Code]],Table5[City/Zip Code],Table5[City/Zip Code Factor],,0)</f>
        <v>1.21</v>
      </c>
      <c r="AF718">
        <f>_xlfn.XLOOKUP(Table1820[[#This Row],[Vehicle Price]],Table6[Vehicle Price],Table6[Vehicle Price Factor])</f>
        <v>1.57</v>
      </c>
      <c r="AG718">
        <f>_xlfn.XLOOKUP(Table1820[[#This Row],[Exotic Car]],Table7[Exotic Car],Table7[Exotic Car Factor],,0)</f>
        <v>1</v>
      </c>
      <c r="AH718">
        <f>_xlfn.XLOOKUP(Table1820[[#This Row],[Difficult Parts]],Table8[Difficult Parts],Table8[Difficult Parts Factor],,0)</f>
        <v>1</v>
      </c>
      <c r="AI718">
        <f>_xlfn.XLOOKUP(Table1820[[#This Row],[High Theft Rate]],Table9[High Theft Rate],Table9[High Theft Rate Factor],,0)</f>
        <v>1</v>
      </c>
      <c r="AJ718">
        <f>_xlfn.XLOOKUP(Table1820[[#This Row],[Advanced Safety Features]],Table10[Advanced Safety Features],Table10[Advanced Safety Features Factor],,0)</f>
        <v>0.88</v>
      </c>
      <c r="AK718">
        <f>_xlfn.XLOOKUP(Table1820[[#This Row],[Deductible]],Table12[Deductible],Table12[Deductible Factor],,0)</f>
        <v>1</v>
      </c>
      <c r="AL718">
        <f>_xlfn.XLOOKUP(Table1820[[#This Row],[Coverage Limit]],Table13[Coverage Limit],Table13[Coverage Limit Factor],,0)</f>
        <v>0.61</v>
      </c>
      <c r="AM718">
        <f>IF(Table1820[[#This Row],[Good Student Discount]]="Yes",'Rate Book'!$D$126,1)</f>
        <v>1</v>
      </c>
      <c r="AN718">
        <f>IF(Table1820[[#This Row],[Good Driver Discount]]="Yes",'Rate Book'!$D$127,1)</f>
        <v>0.89</v>
      </c>
      <c r="AO718">
        <f>IF(Table1820[[#This Row],[Multi Policy Discount]]="Yes",'Rate Book'!$D$128,1)</f>
        <v>1</v>
      </c>
      <c r="AP718">
        <f>IF(Table1820[[#This Row],[Loyal Customer Discount]]="Yes",'Rate Book'!$D$129,1)</f>
        <v>1</v>
      </c>
      <c r="AQ718">
        <f>IF(Table1820[[#This Row],[Organization Discount]]="Yes",'Rate Book'!$D$130,1)</f>
        <v>1</v>
      </c>
      <c r="AR718" cm="1">
        <f t="array" ref="AR718">IF(Table1820[[#This Row],[Effective Date]]&gt;=RateChangeTable[Effective Date],RateChangeTable[Rate Change Factor],1)</f>
        <v>1.06</v>
      </c>
      <c r="AS718" s="10">
        <f>PRODUCT(Table1820[[#This Row],[Base Rate]:[Rate Change Factor]])</f>
        <v>802.53154448608029</v>
      </c>
      <c r="AT718" s="9">
        <f>Table1820[[#This Row],[System-Generated Premium]]-Table1820[[#This Row],[Expected Premium]]</f>
        <v>0</v>
      </c>
      <c r="AU718" t="str">
        <f>IF(Table1820[[#This Row],[Difference]]=0,"PASS","FAIL")</f>
        <v>PASS</v>
      </c>
      <c r="AV718" s="9">
        <f>ABS(Table1820[[#This Row],[Difference]])</f>
        <v>0</v>
      </c>
      <c r="AW718" s="9" t="s">
        <v>1136</v>
      </c>
    </row>
    <row r="719" spans="1:49" x14ac:dyDescent="0.3">
      <c r="A719" t="s">
        <v>810</v>
      </c>
      <c r="B719" s="7">
        <v>46077</v>
      </c>
      <c r="C719" t="s">
        <v>71</v>
      </c>
      <c r="D719" t="s">
        <v>1101</v>
      </c>
      <c r="E719" s="3">
        <v>1</v>
      </c>
      <c r="F719" s="3">
        <v>0</v>
      </c>
      <c r="G719" t="s">
        <v>10</v>
      </c>
      <c r="H719" t="s">
        <v>1106</v>
      </c>
      <c r="I719" t="s">
        <v>21</v>
      </c>
      <c r="J719" t="s">
        <v>48</v>
      </c>
      <c r="K719" t="s">
        <v>10</v>
      </c>
      <c r="L719" t="s">
        <v>57</v>
      </c>
      <c r="M719" t="s">
        <v>10</v>
      </c>
      <c r="N719" t="s">
        <v>10</v>
      </c>
      <c r="O719" t="str">
        <f>INDEX(CoverageTable[Deductible Applies],MATCH(Table1820[[#This Row],[Coverage]],CoverageTable[Coverage],0))</f>
        <v>Yes</v>
      </c>
      <c r="P719" t="str">
        <f>INDEX(CoverageTable[Coverage Limit Applies],MATCH(Table1820[[#This Row],[Coverage]],CoverageTable[Coverage],0))</f>
        <v>No</v>
      </c>
      <c r="Q719" t="s">
        <v>79</v>
      </c>
      <c r="R719" t="s">
        <v>10</v>
      </c>
      <c r="S719" t="s">
        <v>10</v>
      </c>
      <c r="T719" t="s">
        <v>10</v>
      </c>
      <c r="U719" t="s">
        <v>10</v>
      </c>
      <c r="V719" t="s">
        <v>10</v>
      </c>
      <c r="W719" t="s">
        <v>10</v>
      </c>
      <c r="X719" s="11">
        <v>759.5018643422859</v>
      </c>
      <c r="Y719">
        <f>_xlfn.XLOOKUP(Table1820[[#This Row],[Coverage]],CoverageTable[Coverage],CoverageTable[Base Rate],,0)</f>
        <v>453</v>
      </c>
      <c r="Z719">
        <f>INDEX(Table16[Ageband Factor],MATCH(Table1820[[#This Row],[Ageband]],Table16[Ageband],0))</f>
        <v>1.1200000000000001</v>
      </c>
      <c r="AA719">
        <f>VLOOKUP(Table1820[[#This Row],[Years Driving]],Table1[],2)</f>
        <v>1.64</v>
      </c>
      <c r="AB719">
        <f>_xlfn.XLOOKUP(Table1820[[#This Row],[At Fault Accidents]],Table2[At Fault Accidents],Table2[At Fault Accident Factor],,0)</f>
        <v>1</v>
      </c>
      <c r="AC719">
        <f>_xlfn.XLOOKUP(Table1820[[#This Row],[Usage-Based Insurance]],Table3[Usage-Based Insurance],Table3[Usage-Based Insurance Discount],,0)</f>
        <v>1</v>
      </c>
      <c r="AD719">
        <f>_xlfn.XLOOKUP(Table1820[[#This Row],[Yearly Miles]],Table4[Yearly Miles],Table4[Yearly Miles Factor],,0)</f>
        <v>0.82</v>
      </c>
      <c r="AE719">
        <f>_xlfn.XLOOKUP(Table1820[[#This Row],[City/Zip Code]],Table5[City/Zip Code],Table5[City/Zip Code Factor],,0)</f>
        <v>1.26</v>
      </c>
      <c r="AF719">
        <f>_xlfn.XLOOKUP(Table1820[[#This Row],[Vehicle Price]],Table6[Vehicle Price],Table6[Vehicle Price Factor])</f>
        <v>0.82</v>
      </c>
      <c r="AG719">
        <f>_xlfn.XLOOKUP(Table1820[[#This Row],[Exotic Car]],Table7[Exotic Car],Table7[Exotic Car Factor],,0)</f>
        <v>1</v>
      </c>
      <c r="AH719">
        <f>_xlfn.XLOOKUP(Table1820[[#This Row],[Difficult Parts]],Table8[Difficult Parts],Table8[Difficult Parts Factor],,0)</f>
        <v>1.21</v>
      </c>
      <c r="AI719">
        <f>_xlfn.XLOOKUP(Table1820[[#This Row],[High Theft Rate]],Table9[High Theft Rate],Table9[High Theft Rate Factor],,0)</f>
        <v>1</v>
      </c>
      <c r="AJ719">
        <f>_xlfn.XLOOKUP(Table1820[[#This Row],[Advanced Safety Features]],Table10[Advanced Safety Features],Table10[Advanced Safety Features Factor],,0)</f>
        <v>1</v>
      </c>
      <c r="AK719">
        <f>_xlfn.XLOOKUP(Table1820[[#This Row],[Deductible]],Table12[Deductible],Table12[Deductible Factor],,0)</f>
        <v>0.84</v>
      </c>
      <c r="AL719">
        <f>_xlfn.XLOOKUP(Table1820[[#This Row],[Coverage Limit]],Table13[Coverage Limit],Table13[Coverage Limit Factor],,0)</f>
        <v>1</v>
      </c>
      <c r="AM719">
        <f>IF(Table1820[[#This Row],[Good Student Discount]]="Yes",'Rate Book'!$D$126,1)</f>
        <v>1</v>
      </c>
      <c r="AN719">
        <f>IF(Table1820[[#This Row],[Good Driver Discount]]="Yes",'Rate Book'!$D$127,1)</f>
        <v>1</v>
      </c>
      <c r="AO719">
        <f>IF(Table1820[[#This Row],[Multi Policy Discount]]="Yes",'Rate Book'!$D$128,1)</f>
        <v>1</v>
      </c>
      <c r="AP719">
        <f>IF(Table1820[[#This Row],[Loyal Customer Discount]]="Yes",'Rate Book'!$D$129,1)</f>
        <v>1</v>
      </c>
      <c r="AQ719">
        <f>IF(Table1820[[#This Row],[Organization Discount]]="Yes",'Rate Book'!$D$130,1)</f>
        <v>1</v>
      </c>
      <c r="AR719" cm="1">
        <f t="array" ref="AR719">IF(Table1820[[#This Row],[Effective Date]]&gt;=RateChangeTable[Effective Date],RateChangeTable[Rate Change Factor],1)</f>
        <v>1.06</v>
      </c>
      <c r="AS719" s="10">
        <f>PRODUCT(Table1820[[#This Row],[Base Rate]:[Rate Change Factor]])</f>
        <v>759.5018643422859</v>
      </c>
      <c r="AT719" s="9">
        <f>Table1820[[#This Row],[System-Generated Premium]]-Table1820[[#This Row],[Expected Premium]]</f>
        <v>0</v>
      </c>
      <c r="AU719" t="str">
        <f>IF(Table1820[[#This Row],[Difference]]=0,"PASS","FAIL")</f>
        <v>PASS</v>
      </c>
      <c r="AV719" s="9">
        <f>ABS(Table1820[[#This Row],[Difference]])</f>
        <v>0</v>
      </c>
      <c r="AW719" s="9" t="s">
        <v>1136</v>
      </c>
    </row>
    <row r="720" spans="1:49" x14ac:dyDescent="0.3">
      <c r="A720" t="s">
        <v>811</v>
      </c>
      <c r="B720" s="7">
        <v>45825</v>
      </c>
      <c r="C720" t="s">
        <v>70</v>
      </c>
      <c r="D720" t="s">
        <v>1100</v>
      </c>
      <c r="E720" s="3" t="s">
        <v>1103</v>
      </c>
      <c r="F720" s="3">
        <v>4</v>
      </c>
      <c r="G720" t="s">
        <v>12</v>
      </c>
      <c r="H720" t="s">
        <v>1107</v>
      </c>
      <c r="I720" t="s">
        <v>36</v>
      </c>
      <c r="J720" t="s">
        <v>48</v>
      </c>
      <c r="K720" t="s">
        <v>10</v>
      </c>
      <c r="L720" t="s">
        <v>10</v>
      </c>
      <c r="M720" t="s">
        <v>10</v>
      </c>
      <c r="N720" t="s">
        <v>10</v>
      </c>
      <c r="O720" t="str">
        <f>INDEX(CoverageTable[Deductible Applies],MATCH(Table1820[[#This Row],[Coverage]],CoverageTable[Coverage],0))</f>
        <v>No</v>
      </c>
      <c r="P720" t="str">
        <f>INDEX(CoverageTable[Coverage Limit Applies],MATCH(Table1820[[#This Row],[Coverage]],CoverageTable[Coverage],0))</f>
        <v>Yes</v>
      </c>
      <c r="Q720" t="s">
        <v>10</v>
      </c>
      <c r="R720" t="s">
        <v>78</v>
      </c>
      <c r="S720" t="s">
        <v>10</v>
      </c>
      <c r="T720" t="s">
        <v>10</v>
      </c>
      <c r="U720" t="s">
        <v>57</v>
      </c>
      <c r="V720" t="s">
        <v>10</v>
      </c>
      <c r="W720" t="s">
        <v>10</v>
      </c>
      <c r="X720" s="11">
        <v>445.06005682708548</v>
      </c>
      <c r="Y720">
        <f>_xlfn.XLOOKUP(Table1820[[#This Row],[Coverage]],CoverageTable[Coverage],CoverageTable[Base Rate],,0)</f>
        <v>622</v>
      </c>
      <c r="Z720">
        <f>INDEX(Table16[Ageband Factor],MATCH(Table1820[[#This Row],[Ageband]],Table16[Ageband],0))</f>
        <v>1.07</v>
      </c>
      <c r="AA720">
        <f>VLOOKUP(Table1820[[#This Row],[Years Driving]],Table1[],2)</f>
        <v>0.93</v>
      </c>
      <c r="AB720">
        <f>_xlfn.XLOOKUP(Table1820[[#This Row],[At Fault Accidents]],Table2[At Fault Accidents],Table2[At Fault Accident Factor],,0)</f>
        <v>2.12</v>
      </c>
      <c r="AC720">
        <f>_xlfn.XLOOKUP(Table1820[[#This Row],[Usage-Based Insurance]],Table3[Usage-Based Insurance],Table3[Usage-Based Insurance Discount],,0)</f>
        <v>0.8</v>
      </c>
      <c r="AD720">
        <f>_xlfn.XLOOKUP(Table1820[[#This Row],[Yearly Miles]],Table4[Yearly Miles],Table4[Yearly Miles Factor],,0)</f>
        <v>0.93</v>
      </c>
      <c r="AE720">
        <f>_xlfn.XLOOKUP(Table1820[[#This Row],[City/Zip Code]],Table5[City/Zip Code],Table5[City/Zip Code Factor],,0)</f>
        <v>0.98</v>
      </c>
      <c r="AF720">
        <f>_xlfn.XLOOKUP(Table1820[[#This Row],[Vehicle Price]],Table6[Vehicle Price],Table6[Vehicle Price Factor])</f>
        <v>0.82</v>
      </c>
      <c r="AG720">
        <f>_xlfn.XLOOKUP(Table1820[[#This Row],[Exotic Car]],Table7[Exotic Car],Table7[Exotic Car Factor],,0)</f>
        <v>1</v>
      </c>
      <c r="AH720">
        <f>_xlfn.XLOOKUP(Table1820[[#This Row],[Difficult Parts]],Table8[Difficult Parts],Table8[Difficult Parts Factor],,0)</f>
        <v>1</v>
      </c>
      <c r="AI720">
        <f>_xlfn.XLOOKUP(Table1820[[#This Row],[High Theft Rate]],Table9[High Theft Rate],Table9[High Theft Rate Factor],,0)</f>
        <v>1</v>
      </c>
      <c r="AJ720">
        <f>_xlfn.XLOOKUP(Table1820[[#This Row],[Advanced Safety Features]],Table10[Advanced Safety Features],Table10[Advanced Safety Features Factor],,0)</f>
        <v>1</v>
      </c>
      <c r="AK720">
        <f>_xlfn.XLOOKUP(Table1820[[#This Row],[Deductible]],Table12[Deductible],Table12[Deductible Factor],,0)</f>
        <v>1</v>
      </c>
      <c r="AL720">
        <f>_xlfn.XLOOKUP(Table1820[[#This Row],[Coverage Limit]],Table13[Coverage Limit],Table13[Coverage Limit Factor],,0)</f>
        <v>0.61</v>
      </c>
      <c r="AM720">
        <f>IF(Table1820[[#This Row],[Good Student Discount]]="Yes",'Rate Book'!$D$126,1)</f>
        <v>1</v>
      </c>
      <c r="AN720">
        <f>IF(Table1820[[#This Row],[Good Driver Discount]]="Yes",'Rate Book'!$D$127,1)</f>
        <v>1</v>
      </c>
      <c r="AO720">
        <f>IF(Table1820[[#This Row],[Multi Policy Discount]]="Yes",'Rate Book'!$D$128,1)</f>
        <v>0.93</v>
      </c>
      <c r="AP720">
        <f>IF(Table1820[[#This Row],[Loyal Customer Discount]]="Yes",'Rate Book'!$D$129,1)</f>
        <v>1</v>
      </c>
      <c r="AQ720">
        <f>IF(Table1820[[#This Row],[Organization Discount]]="Yes",'Rate Book'!$D$130,1)</f>
        <v>1</v>
      </c>
      <c r="AR720" cm="1">
        <f t="array" ref="AR720">IF(Table1820[[#This Row],[Effective Date]]&gt;=RateChangeTable[Effective Date],RateChangeTable[Rate Change Factor],1)</f>
        <v>1</v>
      </c>
      <c r="AS720" s="10">
        <f>PRODUCT(Table1820[[#This Row],[Base Rate]:[Rate Change Factor]])</f>
        <v>445.06005682708548</v>
      </c>
      <c r="AT720" s="9">
        <f>Table1820[[#This Row],[System-Generated Premium]]-Table1820[[#This Row],[Expected Premium]]</f>
        <v>0</v>
      </c>
      <c r="AU720" t="str">
        <f>IF(Table1820[[#This Row],[Difference]]=0,"PASS","FAIL")</f>
        <v>PASS</v>
      </c>
      <c r="AV720" s="9">
        <f>ABS(Table1820[[#This Row],[Difference]])</f>
        <v>0</v>
      </c>
      <c r="AW720" s="9" t="s">
        <v>1136</v>
      </c>
    </row>
    <row r="721" spans="1:49" x14ac:dyDescent="0.3">
      <c r="A721" t="s">
        <v>812</v>
      </c>
      <c r="B721" s="7">
        <v>46081</v>
      </c>
      <c r="C721" t="s">
        <v>74</v>
      </c>
      <c r="D721" t="s">
        <v>1098</v>
      </c>
      <c r="E721" s="3">
        <v>2</v>
      </c>
      <c r="F721" s="3">
        <v>2</v>
      </c>
      <c r="G721" t="s">
        <v>11</v>
      </c>
      <c r="H721" t="s">
        <v>1110</v>
      </c>
      <c r="I721" t="s">
        <v>31</v>
      </c>
      <c r="J721" t="s">
        <v>49</v>
      </c>
      <c r="K721" t="s">
        <v>10</v>
      </c>
      <c r="L721" t="s">
        <v>57</v>
      </c>
      <c r="M721" t="s">
        <v>10</v>
      </c>
      <c r="N721" t="s">
        <v>10</v>
      </c>
      <c r="O721" t="str">
        <f>INDEX(CoverageTable[Deductible Applies],MATCH(Table1820[[#This Row],[Coverage]],CoverageTable[Coverage],0))</f>
        <v>No</v>
      </c>
      <c r="P721" t="str">
        <f>INDEX(CoverageTable[Coverage Limit Applies],MATCH(Table1820[[#This Row],[Coverage]],CoverageTable[Coverage],0))</f>
        <v>Yes</v>
      </c>
      <c r="Q721" t="s">
        <v>10</v>
      </c>
      <c r="R721" t="s">
        <v>80</v>
      </c>
      <c r="S721" t="s">
        <v>10</v>
      </c>
      <c r="T721" t="s">
        <v>10</v>
      </c>
      <c r="U721" t="s">
        <v>10</v>
      </c>
      <c r="V721" t="s">
        <v>57</v>
      </c>
      <c r="W721" t="s">
        <v>10</v>
      </c>
      <c r="X721" s="11">
        <v>149.5642399119738</v>
      </c>
      <c r="Y721">
        <f>_xlfn.XLOOKUP(Table1820[[#This Row],[Coverage]],CoverageTable[Coverage],CoverageTable[Base Rate],,0)</f>
        <v>41</v>
      </c>
      <c r="Z721">
        <f>INDEX(Table16[Ageband Factor],MATCH(Table1820[[#This Row],[Ageband]],Table16[Ageband],0))</f>
        <v>1.23</v>
      </c>
      <c r="AA721">
        <f>VLOOKUP(Table1820[[#This Row],[Years Driving]],Table1[],2)</f>
        <v>1.41</v>
      </c>
      <c r="AB721">
        <f>_xlfn.XLOOKUP(Table1820[[#This Row],[At Fault Accidents]],Table2[At Fault Accidents],Table2[At Fault Accident Factor],,0)</f>
        <v>1.55</v>
      </c>
      <c r="AC721">
        <f>_xlfn.XLOOKUP(Table1820[[#This Row],[Usage-Based Insurance]],Table3[Usage-Based Insurance],Table3[Usage-Based Insurance Discount],,0)</f>
        <v>0.95</v>
      </c>
      <c r="AD721">
        <f>_xlfn.XLOOKUP(Table1820[[#This Row],[Yearly Miles]],Table4[Yearly Miles],Table4[Yearly Miles Factor],,0)</f>
        <v>1.31</v>
      </c>
      <c r="AE721">
        <f>_xlfn.XLOOKUP(Table1820[[#This Row],[City/Zip Code]],Table5[City/Zip Code],Table5[City/Zip Code Factor],,0)</f>
        <v>1.1100000000000001</v>
      </c>
      <c r="AF721">
        <f>_xlfn.XLOOKUP(Table1820[[#This Row],[Vehicle Price]],Table6[Vehicle Price],Table6[Vehicle Price Factor])</f>
        <v>0.97</v>
      </c>
      <c r="AG721">
        <f>_xlfn.XLOOKUP(Table1820[[#This Row],[Exotic Car]],Table7[Exotic Car],Table7[Exotic Car Factor],,0)</f>
        <v>1</v>
      </c>
      <c r="AH721">
        <f>_xlfn.XLOOKUP(Table1820[[#This Row],[Difficult Parts]],Table8[Difficult Parts],Table8[Difficult Parts Factor],,0)</f>
        <v>1.21</v>
      </c>
      <c r="AI721">
        <f>_xlfn.XLOOKUP(Table1820[[#This Row],[High Theft Rate]],Table9[High Theft Rate],Table9[High Theft Rate Factor],,0)</f>
        <v>1</v>
      </c>
      <c r="AJ721">
        <f>_xlfn.XLOOKUP(Table1820[[#This Row],[Advanced Safety Features]],Table10[Advanced Safety Features],Table10[Advanced Safety Features Factor],,0)</f>
        <v>1</v>
      </c>
      <c r="AK721">
        <f>_xlfn.XLOOKUP(Table1820[[#This Row],[Deductible]],Table12[Deductible],Table12[Deductible Factor],,0)</f>
        <v>1</v>
      </c>
      <c r="AL721">
        <f>_xlfn.XLOOKUP(Table1820[[#This Row],[Coverage Limit]],Table13[Coverage Limit],Table13[Coverage Limit Factor],,0)</f>
        <v>0.84</v>
      </c>
      <c r="AM721">
        <f>IF(Table1820[[#This Row],[Good Student Discount]]="Yes",'Rate Book'!$D$126,1)</f>
        <v>1</v>
      </c>
      <c r="AN721">
        <f>IF(Table1820[[#This Row],[Good Driver Discount]]="Yes",'Rate Book'!$D$127,1)</f>
        <v>1</v>
      </c>
      <c r="AO721">
        <f>IF(Table1820[[#This Row],[Multi Policy Discount]]="Yes",'Rate Book'!$D$128,1)</f>
        <v>1</v>
      </c>
      <c r="AP721">
        <f>IF(Table1820[[#This Row],[Loyal Customer Discount]]="Yes",'Rate Book'!$D$129,1)</f>
        <v>0.94</v>
      </c>
      <c r="AQ721">
        <f>IF(Table1820[[#This Row],[Organization Discount]]="Yes",'Rate Book'!$D$130,1)</f>
        <v>1</v>
      </c>
      <c r="AR721" cm="1">
        <f t="array" ref="AR721">IF(Table1820[[#This Row],[Effective Date]]&gt;=RateChangeTable[Effective Date],RateChangeTable[Rate Change Factor],1)</f>
        <v>1.06</v>
      </c>
      <c r="AS721" s="10">
        <f>PRODUCT(Table1820[[#This Row],[Base Rate]:[Rate Change Factor]])</f>
        <v>149.5642399119738</v>
      </c>
      <c r="AT721" s="9">
        <f>Table1820[[#This Row],[System-Generated Premium]]-Table1820[[#This Row],[Expected Premium]]</f>
        <v>0</v>
      </c>
      <c r="AU721" t="str">
        <f>IF(Table1820[[#This Row],[Difference]]=0,"PASS","FAIL")</f>
        <v>PASS</v>
      </c>
      <c r="AV721" s="9">
        <f>ABS(Table1820[[#This Row],[Difference]])</f>
        <v>0</v>
      </c>
      <c r="AW721" s="9" t="s">
        <v>1136</v>
      </c>
    </row>
    <row r="722" spans="1:49" x14ac:dyDescent="0.3">
      <c r="A722" t="s">
        <v>813</v>
      </c>
      <c r="B722" s="7">
        <v>45992</v>
      </c>
      <c r="C722" t="s">
        <v>71</v>
      </c>
      <c r="D722" t="s">
        <v>1101</v>
      </c>
      <c r="E722" s="3" t="s">
        <v>1103</v>
      </c>
      <c r="F722" s="3">
        <v>0</v>
      </c>
      <c r="G722" t="s">
        <v>13</v>
      </c>
      <c r="H722" t="s">
        <v>1108</v>
      </c>
      <c r="I722" t="s">
        <v>38</v>
      </c>
      <c r="J722" t="s">
        <v>50</v>
      </c>
      <c r="K722" t="s">
        <v>57</v>
      </c>
      <c r="L722" t="s">
        <v>10</v>
      </c>
      <c r="M722" t="s">
        <v>10</v>
      </c>
      <c r="N722" t="s">
        <v>57</v>
      </c>
      <c r="O722" t="str">
        <f>INDEX(CoverageTable[Deductible Applies],MATCH(Table1820[[#This Row],[Coverage]],CoverageTable[Coverage],0))</f>
        <v>Yes</v>
      </c>
      <c r="P722" t="str">
        <f>INDEX(CoverageTable[Coverage Limit Applies],MATCH(Table1820[[#This Row],[Coverage]],CoverageTable[Coverage],0))</f>
        <v>No</v>
      </c>
      <c r="Q722" t="s">
        <v>79</v>
      </c>
      <c r="R722" t="s">
        <v>10</v>
      </c>
      <c r="S722" t="s">
        <v>10</v>
      </c>
      <c r="T722" t="s">
        <v>10</v>
      </c>
      <c r="U722" t="s">
        <v>57</v>
      </c>
      <c r="V722" t="s">
        <v>10</v>
      </c>
      <c r="W722" t="s">
        <v>10</v>
      </c>
      <c r="X722" s="11">
        <v>326.44437110880739</v>
      </c>
      <c r="Y722">
        <f>_xlfn.XLOOKUP(Table1820[[#This Row],[Coverage]],CoverageTable[Coverage],CoverageTable[Base Rate],,0)</f>
        <v>453</v>
      </c>
      <c r="Z722">
        <f>INDEX(Table16[Ageband Factor],MATCH(Table1820[[#This Row],[Ageband]],Table16[Ageband],0))</f>
        <v>1.1200000000000001</v>
      </c>
      <c r="AA722">
        <f>VLOOKUP(Table1820[[#This Row],[Years Driving]],Table1[],2)</f>
        <v>0.93</v>
      </c>
      <c r="AB722">
        <f>_xlfn.XLOOKUP(Table1820[[#This Row],[At Fault Accidents]],Table2[At Fault Accidents],Table2[At Fault Accident Factor],,0)</f>
        <v>1</v>
      </c>
      <c r="AC722">
        <f>_xlfn.XLOOKUP(Table1820[[#This Row],[Usage-Based Insurance]],Table3[Usage-Based Insurance],Table3[Usage-Based Insurance Discount],,0)</f>
        <v>0.65</v>
      </c>
      <c r="AD722">
        <f>_xlfn.XLOOKUP(Table1820[[#This Row],[Yearly Miles]],Table4[Yearly Miles],Table4[Yearly Miles Factor],,0)</f>
        <v>1</v>
      </c>
      <c r="AE722">
        <f>_xlfn.XLOOKUP(Table1820[[#This Row],[City/Zip Code]],Table5[City/Zip Code],Table5[City/Zip Code Factor],,0)</f>
        <v>1.1200000000000001</v>
      </c>
      <c r="AF722">
        <f>_xlfn.XLOOKUP(Table1820[[#This Row],[Vehicle Price]],Table6[Vehicle Price],Table6[Vehicle Price Factor])</f>
        <v>1.08</v>
      </c>
      <c r="AG722">
        <f>_xlfn.XLOOKUP(Table1820[[#This Row],[Exotic Car]],Table7[Exotic Car],Table7[Exotic Car Factor],,0)</f>
        <v>1.28</v>
      </c>
      <c r="AH722">
        <f>_xlfn.XLOOKUP(Table1820[[#This Row],[Difficult Parts]],Table8[Difficult Parts],Table8[Difficult Parts Factor],,0)</f>
        <v>1</v>
      </c>
      <c r="AI722">
        <f>_xlfn.XLOOKUP(Table1820[[#This Row],[High Theft Rate]],Table9[High Theft Rate],Table9[High Theft Rate Factor],,0)</f>
        <v>1</v>
      </c>
      <c r="AJ722">
        <f>_xlfn.XLOOKUP(Table1820[[#This Row],[Advanced Safety Features]],Table10[Advanced Safety Features],Table10[Advanced Safety Features Factor],,0)</f>
        <v>0.88</v>
      </c>
      <c r="AK722">
        <f>_xlfn.XLOOKUP(Table1820[[#This Row],[Deductible]],Table12[Deductible],Table12[Deductible Factor],,0)</f>
        <v>0.84</v>
      </c>
      <c r="AL722">
        <f>_xlfn.XLOOKUP(Table1820[[#This Row],[Coverage Limit]],Table13[Coverage Limit],Table13[Coverage Limit Factor],,0)</f>
        <v>1</v>
      </c>
      <c r="AM722">
        <f>IF(Table1820[[#This Row],[Good Student Discount]]="Yes",'Rate Book'!$D$126,1)</f>
        <v>1</v>
      </c>
      <c r="AN722">
        <f>IF(Table1820[[#This Row],[Good Driver Discount]]="Yes",'Rate Book'!$D$127,1)</f>
        <v>1</v>
      </c>
      <c r="AO722">
        <f>IF(Table1820[[#This Row],[Multi Policy Discount]]="Yes",'Rate Book'!$D$128,1)</f>
        <v>0.93</v>
      </c>
      <c r="AP722">
        <f>IF(Table1820[[#This Row],[Loyal Customer Discount]]="Yes",'Rate Book'!$D$129,1)</f>
        <v>1</v>
      </c>
      <c r="AQ722">
        <f>IF(Table1820[[#This Row],[Organization Discount]]="Yes",'Rate Book'!$D$130,1)</f>
        <v>1</v>
      </c>
      <c r="AR722" cm="1">
        <f t="array" ref="AR722">IF(Table1820[[#This Row],[Effective Date]]&gt;=RateChangeTable[Effective Date],RateChangeTable[Rate Change Factor],1)</f>
        <v>1</v>
      </c>
      <c r="AS722" s="10">
        <f>PRODUCT(Table1820[[#This Row],[Base Rate]:[Rate Change Factor]])</f>
        <v>326.44437110880739</v>
      </c>
      <c r="AT722" s="9">
        <f>Table1820[[#This Row],[System-Generated Premium]]-Table1820[[#This Row],[Expected Premium]]</f>
        <v>0</v>
      </c>
      <c r="AU722" t="str">
        <f>IF(Table1820[[#This Row],[Difference]]=0,"PASS","FAIL")</f>
        <v>PASS</v>
      </c>
      <c r="AV722" s="9">
        <f>ABS(Table1820[[#This Row],[Difference]])</f>
        <v>0</v>
      </c>
      <c r="AW722" s="9" t="s">
        <v>1136</v>
      </c>
    </row>
    <row r="723" spans="1:49" x14ac:dyDescent="0.3">
      <c r="A723" t="s">
        <v>814</v>
      </c>
      <c r="B723" s="7">
        <v>46013</v>
      </c>
      <c r="C723" t="s">
        <v>70</v>
      </c>
      <c r="D723" t="s">
        <v>1102</v>
      </c>
      <c r="E723" s="3">
        <v>1</v>
      </c>
      <c r="F723" s="3">
        <v>3</v>
      </c>
      <c r="G723" t="s">
        <v>10</v>
      </c>
      <c r="H723" t="s">
        <v>1109</v>
      </c>
      <c r="I723" t="s">
        <v>32</v>
      </c>
      <c r="J723" t="s">
        <v>51</v>
      </c>
      <c r="K723" t="s">
        <v>10</v>
      </c>
      <c r="L723" t="s">
        <v>10</v>
      </c>
      <c r="M723" t="s">
        <v>10</v>
      </c>
      <c r="N723" t="s">
        <v>57</v>
      </c>
      <c r="O723" t="str">
        <f>INDEX(CoverageTable[Deductible Applies],MATCH(Table1820[[#This Row],[Coverage]],CoverageTable[Coverage],0))</f>
        <v>No</v>
      </c>
      <c r="P723" t="str">
        <f>INDEX(CoverageTable[Coverage Limit Applies],MATCH(Table1820[[#This Row],[Coverage]],CoverageTable[Coverage],0))</f>
        <v>Yes</v>
      </c>
      <c r="Q723" t="s">
        <v>10</v>
      </c>
      <c r="R723" t="s">
        <v>79</v>
      </c>
      <c r="S723" t="s">
        <v>10</v>
      </c>
      <c r="T723" t="s">
        <v>57</v>
      </c>
      <c r="U723" t="s">
        <v>57</v>
      </c>
      <c r="V723" t="s">
        <v>10</v>
      </c>
      <c r="W723" t="s">
        <v>57</v>
      </c>
      <c r="X723" s="11">
        <v>2028.9866958243947</v>
      </c>
      <c r="Y723">
        <f>_xlfn.XLOOKUP(Table1820[[#This Row],[Coverage]],CoverageTable[Coverage],CoverageTable[Base Rate],,0)</f>
        <v>622</v>
      </c>
      <c r="Z723">
        <f>INDEX(Table16[Ageband Factor],MATCH(Table1820[[#This Row],[Ageband]],Table16[Ageband],0))</f>
        <v>1.27</v>
      </c>
      <c r="AA723">
        <f>VLOOKUP(Table1820[[#This Row],[Years Driving]],Table1[],2)</f>
        <v>1.64</v>
      </c>
      <c r="AB723">
        <f>_xlfn.XLOOKUP(Table1820[[#This Row],[At Fault Accidents]],Table2[At Fault Accidents],Table2[At Fault Accident Factor],,0)</f>
        <v>1.82</v>
      </c>
      <c r="AC723">
        <f>_xlfn.XLOOKUP(Table1820[[#This Row],[Usage-Based Insurance]],Table3[Usage-Based Insurance],Table3[Usage-Based Insurance Discount],,0)</f>
        <v>1</v>
      </c>
      <c r="AD723">
        <f>_xlfn.XLOOKUP(Table1820[[#This Row],[Yearly Miles]],Table4[Yearly Miles],Table4[Yearly Miles Factor],,0)</f>
        <v>1.18</v>
      </c>
      <c r="AE723">
        <f>_xlfn.XLOOKUP(Table1820[[#This Row],[City/Zip Code]],Table5[City/Zip Code],Table5[City/Zip Code Factor],,0)</f>
        <v>1.1200000000000001</v>
      </c>
      <c r="AF723">
        <f>_xlfn.XLOOKUP(Table1820[[#This Row],[Vehicle Price]],Table6[Vehicle Price],Table6[Vehicle Price Factor])</f>
        <v>1.28</v>
      </c>
      <c r="AG723">
        <f>_xlfn.XLOOKUP(Table1820[[#This Row],[Exotic Car]],Table7[Exotic Car],Table7[Exotic Car Factor],,0)</f>
        <v>1</v>
      </c>
      <c r="AH723">
        <f>_xlfn.XLOOKUP(Table1820[[#This Row],[Difficult Parts]],Table8[Difficult Parts],Table8[Difficult Parts Factor],,0)</f>
        <v>1</v>
      </c>
      <c r="AI723">
        <f>_xlfn.XLOOKUP(Table1820[[#This Row],[High Theft Rate]],Table9[High Theft Rate],Table9[High Theft Rate Factor],,0)</f>
        <v>1</v>
      </c>
      <c r="AJ723">
        <f>_xlfn.XLOOKUP(Table1820[[#This Row],[Advanced Safety Features]],Table10[Advanced Safety Features],Table10[Advanced Safety Features Factor],,0)</f>
        <v>0.88</v>
      </c>
      <c r="AK723">
        <f>_xlfn.XLOOKUP(Table1820[[#This Row],[Deductible]],Table12[Deductible],Table12[Deductible Factor],,0)</f>
        <v>1</v>
      </c>
      <c r="AL723">
        <f>_xlfn.XLOOKUP(Table1820[[#This Row],[Coverage Limit]],Table13[Coverage Limit],Table13[Coverage Limit Factor],,0)</f>
        <v>0.72</v>
      </c>
      <c r="AM723">
        <f>IF(Table1820[[#This Row],[Good Student Discount]]="Yes",'Rate Book'!$D$126,1)</f>
        <v>1</v>
      </c>
      <c r="AN723">
        <f>IF(Table1820[[#This Row],[Good Driver Discount]]="Yes",'Rate Book'!$D$127,1)</f>
        <v>0.89</v>
      </c>
      <c r="AO723">
        <f>IF(Table1820[[#This Row],[Multi Policy Discount]]="Yes",'Rate Book'!$D$128,1)</f>
        <v>0.93</v>
      </c>
      <c r="AP723">
        <f>IF(Table1820[[#This Row],[Loyal Customer Discount]]="Yes",'Rate Book'!$D$129,1)</f>
        <v>1</v>
      </c>
      <c r="AQ723">
        <f>IF(Table1820[[#This Row],[Organization Discount]]="Yes",'Rate Book'!$D$130,1)</f>
        <v>0.97</v>
      </c>
      <c r="AR723" cm="1">
        <f t="array" ref="AR723">IF(Table1820[[#This Row],[Effective Date]]&gt;=RateChangeTable[Effective Date],RateChangeTable[Rate Change Factor],1)</f>
        <v>1</v>
      </c>
      <c r="AS723" s="10">
        <f>PRODUCT(Table1820[[#This Row],[Base Rate]:[Rate Change Factor]])</f>
        <v>2028.9866958243947</v>
      </c>
      <c r="AT723" s="9">
        <f>Table1820[[#This Row],[System-Generated Premium]]-Table1820[[#This Row],[Expected Premium]]</f>
        <v>0</v>
      </c>
      <c r="AU723" t="str">
        <f>IF(Table1820[[#This Row],[Difference]]=0,"PASS","FAIL")</f>
        <v>PASS</v>
      </c>
      <c r="AV723" s="9">
        <f>ABS(Table1820[[#This Row],[Difference]])</f>
        <v>0</v>
      </c>
      <c r="AW723" s="9" t="s">
        <v>1136</v>
      </c>
    </row>
    <row r="724" spans="1:49" x14ac:dyDescent="0.3">
      <c r="A724" t="s">
        <v>815</v>
      </c>
      <c r="B724" s="7">
        <v>45828</v>
      </c>
      <c r="C724" t="s">
        <v>71</v>
      </c>
      <c r="D724" t="s">
        <v>1101</v>
      </c>
      <c r="E724" s="3">
        <v>6</v>
      </c>
      <c r="F724" s="3">
        <v>2</v>
      </c>
      <c r="G724" t="s">
        <v>12</v>
      </c>
      <c r="H724" t="s">
        <v>1108</v>
      </c>
      <c r="I724" t="s">
        <v>23</v>
      </c>
      <c r="J724" t="s">
        <v>52</v>
      </c>
      <c r="K724" t="s">
        <v>10</v>
      </c>
      <c r="L724" t="s">
        <v>10</v>
      </c>
      <c r="M724" t="s">
        <v>10</v>
      </c>
      <c r="N724" t="s">
        <v>10</v>
      </c>
      <c r="O724" t="str">
        <f>INDEX(CoverageTable[Deductible Applies],MATCH(Table1820[[#This Row],[Coverage]],CoverageTable[Coverage],0))</f>
        <v>Yes</v>
      </c>
      <c r="P724" t="str">
        <f>INDEX(CoverageTable[Coverage Limit Applies],MATCH(Table1820[[#This Row],[Coverage]],CoverageTable[Coverage],0))</f>
        <v>No</v>
      </c>
      <c r="Q724" t="s">
        <v>79</v>
      </c>
      <c r="R724" t="s">
        <v>10</v>
      </c>
      <c r="S724" t="s">
        <v>57</v>
      </c>
      <c r="T724" t="s">
        <v>57</v>
      </c>
      <c r="U724" t="s">
        <v>10</v>
      </c>
      <c r="V724" t="s">
        <v>10</v>
      </c>
      <c r="W724" t="s">
        <v>10</v>
      </c>
      <c r="X724" s="11">
        <v>625.00358673027085</v>
      </c>
      <c r="Y724">
        <f>_xlfn.XLOOKUP(Table1820[[#This Row],[Coverage]],CoverageTable[Coverage],CoverageTable[Base Rate],,0)</f>
        <v>453</v>
      </c>
      <c r="Z724">
        <f>INDEX(Table16[Ageband Factor],MATCH(Table1820[[#This Row],[Ageband]],Table16[Ageband],0))</f>
        <v>1.1200000000000001</v>
      </c>
      <c r="AA724">
        <f>VLOOKUP(Table1820[[#This Row],[Years Driving]],Table1[],2)</f>
        <v>1</v>
      </c>
      <c r="AB724">
        <f>_xlfn.XLOOKUP(Table1820[[#This Row],[At Fault Accidents]],Table2[At Fault Accidents],Table2[At Fault Accident Factor],,0)</f>
        <v>1.55</v>
      </c>
      <c r="AC724">
        <f>_xlfn.XLOOKUP(Table1820[[#This Row],[Usage-Based Insurance]],Table3[Usage-Based Insurance],Table3[Usage-Based Insurance Discount],,0)</f>
        <v>0.8</v>
      </c>
      <c r="AD724">
        <f>_xlfn.XLOOKUP(Table1820[[#This Row],[Yearly Miles]],Table4[Yearly Miles],Table4[Yearly Miles Factor],,0)</f>
        <v>1</v>
      </c>
      <c r="AE724">
        <f>_xlfn.XLOOKUP(Table1820[[#This Row],[City/Zip Code]],Table5[City/Zip Code],Table5[City/Zip Code Factor],,0)</f>
        <v>0.92</v>
      </c>
      <c r="AF724">
        <f>_xlfn.XLOOKUP(Table1820[[#This Row],[Vehicle Price]],Table6[Vehicle Price],Table6[Vehicle Price Factor])</f>
        <v>1.57</v>
      </c>
      <c r="AG724">
        <f>_xlfn.XLOOKUP(Table1820[[#This Row],[Exotic Car]],Table7[Exotic Car],Table7[Exotic Car Factor],,0)</f>
        <v>1</v>
      </c>
      <c r="AH724">
        <f>_xlfn.XLOOKUP(Table1820[[#This Row],[Difficult Parts]],Table8[Difficult Parts],Table8[Difficult Parts Factor],,0)</f>
        <v>1</v>
      </c>
      <c r="AI724">
        <f>_xlfn.XLOOKUP(Table1820[[#This Row],[High Theft Rate]],Table9[High Theft Rate],Table9[High Theft Rate Factor],,0)</f>
        <v>1</v>
      </c>
      <c r="AJ724">
        <f>_xlfn.XLOOKUP(Table1820[[#This Row],[Advanced Safety Features]],Table10[Advanced Safety Features],Table10[Advanced Safety Features Factor],,0)</f>
        <v>1</v>
      </c>
      <c r="AK724">
        <f>_xlfn.XLOOKUP(Table1820[[#This Row],[Deductible]],Table12[Deductible],Table12[Deductible Factor],,0)</f>
        <v>0.84</v>
      </c>
      <c r="AL724">
        <f>_xlfn.XLOOKUP(Table1820[[#This Row],[Coverage Limit]],Table13[Coverage Limit],Table13[Coverage Limit Factor],,0)</f>
        <v>1</v>
      </c>
      <c r="AM724">
        <f>IF(Table1820[[#This Row],[Good Student Discount]]="Yes",'Rate Book'!$D$126,1)</f>
        <v>0.92</v>
      </c>
      <c r="AN724">
        <f>IF(Table1820[[#This Row],[Good Driver Discount]]="Yes",'Rate Book'!$D$127,1)</f>
        <v>0.89</v>
      </c>
      <c r="AO724">
        <f>IF(Table1820[[#This Row],[Multi Policy Discount]]="Yes",'Rate Book'!$D$128,1)</f>
        <v>1</v>
      </c>
      <c r="AP724">
        <f>IF(Table1820[[#This Row],[Loyal Customer Discount]]="Yes",'Rate Book'!$D$129,1)</f>
        <v>1</v>
      </c>
      <c r="AQ724">
        <f>IF(Table1820[[#This Row],[Organization Discount]]="Yes",'Rate Book'!$D$130,1)</f>
        <v>1</v>
      </c>
      <c r="AR724" cm="1">
        <f t="array" ref="AR724">IF(Table1820[[#This Row],[Effective Date]]&gt;=RateChangeTable[Effective Date],RateChangeTable[Rate Change Factor],1)</f>
        <v>1</v>
      </c>
      <c r="AS724" s="10">
        <f>PRODUCT(Table1820[[#This Row],[Base Rate]:[Rate Change Factor]])</f>
        <v>625.00358673027085</v>
      </c>
      <c r="AT724" s="9">
        <f>Table1820[[#This Row],[System-Generated Premium]]-Table1820[[#This Row],[Expected Premium]]</f>
        <v>0</v>
      </c>
      <c r="AU724" t="str">
        <f>IF(Table1820[[#This Row],[Difference]]=0,"PASS","FAIL")</f>
        <v>PASS</v>
      </c>
      <c r="AV724" s="9">
        <f>ABS(Table1820[[#This Row],[Difference]])</f>
        <v>0</v>
      </c>
      <c r="AW724" s="9" t="s">
        <v>1136</v>
      </c>
    </row>
    <row r="725" spans="1:49" x14ac:dyDescent="0.3">
      <c r="A725" t="s">
        <v>816</v>
      </c>
      <c r="B725" s="7">
        <v>45877</v>
      </c>
      <c r="C725" t="s">
        <v>71</v>
      </c>
      <c r="D725" t="s">
        <v>1100</v>
      </c>
      <c r="E725" s="3" t="s">
        <v>1103</v>
      </c>
      <c r="F725" s="3">
        <v>1</v>
      </c>
      <c r="G725" t="s">
        <v>12</v>
      </c>
      <c r="H725" t="s">
        <v>1107</v>
      </c>
      <c r="I725" t="s">
        <v>36</v>
      </c>
      <c r="J725" t="s">
        <v>50</v>
      </c>
      <c r="K725" t="s">
        <v>10</v>
      </c>
      <c r="L725" t="s">
        <v>10</v>
      </c>
      <c r="M725" t="s">
        <v>10</v>
      </c>
      <c r="N725" t="s">
        <v>10</v>
      </c>
      <c r="O725" t="str">
        <f>INDEX(CoverageTable[Deductible Applies],MATCH(Table1820[[#This Row],[Coverage]],CoverageTable[Coverage],0))</f>
        <v>Yes</v>
      </c>
      <c r="P725" t="str">
        <f>INDEX(CoverageTable[Coverage Limit Applies],MATCH(Table1820[[#This Row],[Coverage]],CoverageTable[Coverage],0))</f>
        <v>No</v>
      </c>
      <c r="Q725" t="s">
        <v>78</v>
      </c>
      <c r="R725" t="s">
        <v>10</v>
      </c>
      <c r="S725" t="s">
        <v>10</v>
      </c>
      <c r="T725" t="s">
        <v>57</v>
      </c>
      <c r="U725" t="s">
        <v>10</v>
      </c>
      <c r="V725" t="s">
        <v>10</v>
      </c>
      <c r="W725" t="s">
        <v>10</v>
      </c>
      <c r="X725" s="11">
        <v>402.16669792061555</v>
      </c>
      <c r="Y725">
        <f>_xlfn.XLOOKUP(Table1820[[#This Row],[Coverage]],CoverageTable[Coverage],CoverageTable[Base Rate],,0)</f>
        <v>453</v>
      </c>
      <c r="Z725">
        <f>INDEX(Table16[Ageband Factor],MATCH(Table1820[[#This Row],[Ageband]],Table16[Ageband],0))</f>
        <v>1.07</v>
      </c>
      <c r="AA725">
        <f>VLOOKUP(Table1820[[#This Row],[Years Driving]],Table1[],2)</f>
        <v>0.93</v>
      </c>
      <c r="AB725">
        <f>_xlfn.XLOOKUP(Table1820[[#This Row],[At Fault Accidents]],Table2[At Fault Accidents],Table2[At Fault Accident Factor],,0)</f>
        <v>1.34</v>
      </c>
      <c r="AC725">
        <f>_xlfn.XLOOKUP(Table1820[[#This Row],[Usage-Based Insurance]],Table3[Usage-Based Insurance],Table3[Usage-Based Insurance Discount],,0)</f>
        <v>0.8</v>
      </c>
      <c r="AD725">
        <f>_xlfn.XLOOKUP(Table1820[[#This Row],[Yearly Miles]],Table4[Yearly Miles],Table4[Yearly Miles Factor],,0)</f>
        <v>0.93</v>
      </c>
      <c r="AE725">
        <f>_xlfn.XLOOKUP(Table1820[[#This Row],[City/Zip Code]],Table5[City/Zip Code],Table5[City/Zip Code Factor],,0)</f>
        <v>0.98</v>
      </c>
      <c r="AF725">
        <f>_xlfn.XLOOKUP(Table1820[[#This Row],[Vehicle Price]],Table6[Vehicle Price],Table6[Vehicle Price Factor])</f>
        <v>1.08</v>
      </c>
      <c r="AG725">
        <f>_xlfn.XLOOKUP(Table1820[[#This Row],[Exotic Car]],Table7[Exotic Car],Table7[Exotic Car Factor],,0)</f>
        <v>1</v>
      </c>
      <c r="AH725">
        <f>_xlfn.XLOOKUP(Table1820[[#This Row],[Difficult Parts]],Table8[Difficult Parts],Table8[Difficult Parts Factor],,0)</f>
        <v>1</v>
      </c>
      <c r="AI725">
        <f>_xlfn.XLOOKUP(Table1820[[#This Row],[High Theft Rate]],Table9[High Theft Rate],Table9[High Theft Rate Factor],,0)</f>
        <v>1</v>
      </c>
      <c r="AJ725">
        <f>_xlfn.XLOOKUP(Table1820[[#This Row],[Advanced Safety Features]],Table10[Advanced Safety Features],Table10[Advanced Safety Features Factor],,0)</f>
        <v>1</v>
      </c>
      <c r="AK725">
        <f>_xlfn.XLOOKUP(Table1820[[#This Row],[Deductible]],Table12[Deductible],Table12[Deductible Factor],,0)</f>
        <v>0.95</v>
      </c>
      <c r="AL725">
        <f>_xlfn.XLOOKUP(Table1820[[#This Row],[Coverage Limit]],Table13[Coverage Limit],Table13[Coverage Limit Factor],,0)</f>
        <v>1</v>
      </c>
      <c r="AM725">
        <f>IF(Table1820[[#This Row],[Good Student Discount]]="Yes",'Rate Book'!$D$126,1)</f>
        <v>1</v>
      </c>
      <c r="AN725">
        <f>IF(Table1820[[#This Row],[Good Driver Discount]]="Yes",'Rate Book'!$D$127,1)</f>
        <v>0.89</v>
      </c>
      <c r="AO725">
        <f>IF(Table1820[[#This Row],[Multi Policy Discount]]="Yes",'Rate Book'!$D$128,1)</f>
        <v>1</v>
      </c>
      <c r="AP725">
        <f>IF(Table1820[[#This Row],[Loyal Customer Discount]]="Yes",'Rate Book'!$D$129,1)</f>
        <v>1</v>
      </c>
      <c r="AQ725">
        <f>IF(Table1820[[#This Row],[Organization Discount]]="Yes",'Rate Book'!$D$130,1)</f>
        <v>1</v>
      </c>
      <c r="AR725" cm="1">
        <f t="array" ref="AR725">IF(Table1820[[#This Row],[Effective Date]]&gt;=RateChangeTable[Effective Date],RateChangeTable[Rate Change Factor],1)</f>
        <v>1</v>
      </c>
      <c r="AS725" s="10">
        <f>PRODUCT(Table1820[[#This Row],[Base Rate]:[Rate Change Factor]])</f>
        <v>402.16669792061555</v>
      </c>
      <c r="AT725" s="9">
        <f>Table1820[[#This Row],[System-Generated Premium]]-Table1820[[#This Row],[Expected Premium]]</f>
        <v>0</v>
      </c>
      <c r="AU725" t="str">
        <f>IF(Table1820[[#This Row],[Difference]]=0,"PASS","FAIL")</f>
        <v>PASS</v>
      </c>
      <c r="AV725" s="9">
        <f>ABS(Table1820[[#This Row],[Difference]])</f>
        <v>0</v>
      </c>
      <c r="AW725" s="9" t="s">
        <v>1136</v>
      </c>
    </row>
    <row r="726" spans="1:49" x14ac:dyDescent="0.3">
      <c r="A726" t="s">
        <v>817</v>
      </c>
      <c r="B726" s="7">
        <v>45916</v>
      </c>
      <c r="C726" t="s">
        <v>74</v>
      </c>
      <c r="D726" t="s">
        <v>1100</v>
      </c>
      <c r="E726" s="3" t="s">
        <v>1103</v>
      </c>
      <c r="F726" s="3">
        <v>1</v>
      </c>
      <c r="G726" t="s">
        <v>12</v>
      </c>
      <c r="H726" t="s">
        <v>1109</v>
      </c>
      <c r="I726" t="s">
        <v>34</v>
      </c>
      <c r="J726" t="s">
        <v>48</v>
      </c>
      <c r="K726" t="s">
        <v>10</v>
      </c>
      <c r="L726" t="s">
        <v>10</v>
      </c>
      <c r="M726" t="s">
        <v>10</v>
      </c>
      <c r="N726" t="s">
        <v>57</v>
      </c>
      <c r="O726" t="str">
        <f>INDEX(CoverageTable[Deductible Applies],MATCH(Table1820[[#This Row],[Coverage]],CoverageTable[Coverage],0))</f>
        <v>No</v>
      </c>
      <c r="P726" t="str">
        <f>INDEX(CoverageTable[Coverage Limit Applies],MATCH(Table1820[[#This Row],[Coverage]],CoverageTable[Coverage],0))</f>
        <v>Yes</v>
      </c>
      <c r="Q726" t="s">
        <v>10</v>
      </c>
      <c r="R726" t="s">
        <v>80</v>
      </c>
      <c r="S726" t="s">
        <v>10</v>
      </c>
      <c r="T726" t="s">
        <v>57</v>
      </c>
      <c r="U726" t="s">
        <v>10</v>
      </c>
      <c r="V726" t="s">
        <v>10</v>
      </c>
      <c r="W726" t="s">
        <v>10</v>
      </c>
      <c r="X726" s="11">
        <v>43.432796311013583</v>
      </c>
      <c r="Y726">
        <f>_xlfn.XLOOKUP(Table1820[[#This Row],[Coverage]],CoverageTable[Coverage],CoverageTable[Base Rate],,0)</f>
        <v>41</v>
      </c>
      <c r="Z726">
        <f>INDEX(Table16[Ageband Factor],MATCH(Table1820[[#This Row],[Ageband]],Table16[Ageband],0))</f>
        <v>1.07</v>
      </c>
      <c r="AA726">
        <f>VLOOKUP(Table1820[[#This Row],[Years Driving]],Table1[],2)</f>
        <v>0.93</v>
      </c>
      <c r="AB726">
        <f>_xlfn.XLOOKUP(Table1820[[#This Row],[At Fault Accidents]],Table2[At Fault Accidents],Table2[At Fault Accident Factor],,0)</f>
        <v>1.34</v>
      </c>
      <c r="AC726">
        <f>_xlfn.XLOOKUP(Table1820[[#This Row],[Usage-Based Insurance]],Table3[Usage-Based Insurance],Table3[Usage-Based Insurance Discount],,0)</f>
        <v>0.8</v>
      </c>
      <c r="AD726">
        <f>_xlfn.XLOOKUP(Table1820[[#This Row],[Yearly Miles]],Table4[Yearly Miles],Table4[Yearly Miles Factor],,0)</f>
        <v>1.18</v>
      </c>
      <c r="AE726">
        <f>_xlfn.XLOOKUP(Table1820[[#This Row],[City/Zip Code]],Table5[City/Zip Code],Table5[City/Zip Code Factor],,0)</f>
        <v>1.56</v>
      </c>
      <c r="AF726">
        <f>_xlfn.XLOOKUP(Table1820[[#This Row],[Vehicle Price]],Table6[Vehicle Price],Table6[Vehicle Price Factor])</f>
        <v>0.82</v>
      </c>
      <c r="AG726">
        <f>_xlfn.XLOOKUP(Table1820[[#This Row],[Exotic Car]],Table7[Exotic Car],Table7[Exotic Car Factor],,0)</f>
        <v>1</v>
      </c>
      <c r="AH726">
        <f>_xlfn.XLOOKUP(Table1820[[#This Row],[Difficult Parts]],Table8[Difficult Parts],Table8[Difficult Parts Factor],,0)</f>
        <v>1</v>
      </c>
      <c r="AI726">
        <f>_xlfn.XLOOKUP(Table1820[[#This Row],[High Theft Rate]],Table9[High Theft Rate],Table9[High Theft Rate Factor],,0)</f>
        <v>1</v>
      </c>
      <c r="AJ726">
        <f>_xlfn.XLOOKUP(Table1820[[#This Row],[Advanced Safety Features]],Table10[Advanced Safety Features],Table10[Advanced Safety Features Factor],,0)</f>
        <v>0.88</v>
      </c>
      <c r="AK726">
        <f>_xlfn.XLOOKUP(Table1820[[#This Row],[Deductible]],Table12[Deductible],Table12[Deductible Factor],,0)</f>
        <v>1</v>
      </c>
      <c r="AL726">
        <f>_xlfn.XLOOKUP(Table1820[[#This Row],[Coverage Limit]],Table13[Coverage Limit],Table13[Coverage Limit Factor],,0)</f>
        <v>0.84</v>
      </c>
      <c r="AM726">
        <f>IF(Table1820[[#This Row],[Good Student Discount]]="Yes",'Rate Book'!$D$126,1)</f>
        <v>1</v>
      </c>
      <c r="AN726">
        <f>IF(Table1820[[#This Row],[Good Driver Discount]]="Yes",'Rate Book'!$D$127,1)</f>
        <v>0.89</v>
      </c>
      <c r="AO726">
        <f>IF(Table1820[[#This Row],[Multi Policy Discount]]="Yes",'Rate Book'!$D$128,1)</f>
        <v>1</v>
      </c>
      <c r="AP726">
        <f>IF(Table1820[[#This Row],[Loyal Customer Discount]]="Yes",'Rate Book'!$D$129,1)</f>
        <v>1</v>
      </c>
      <c r="AQ726">
        <f>IF(Table1820[[#This Row],[Organization Discount]]="Yes",'Rate Book'!$D$130,1)</f>
        <v>1</v>
      </c>
      <c r="AR726" cm="1">
        <f t="array" ref="AR726">IF(Table1820[[#This Row],[Effective Date]]&gt;=RateChangeTable[Effective Date],RateChangeTable[Rate Change Factor],1)</f>
        <v>1</v>
      </c>
      <c r="AS726" s="10">
        <f>PRODUCT(Table1820[[#This Row],[Base Rate]:[Rate Change Factor]])</f>
        <v>43.432796311013583</v>
      </c>
      <c r="AT726" s="9">
        <f>Table1820[[#This Row],[System-Generated Premium]]-Table1820[[#This Row],[Expected Premium]]</f>
        <v>0</v>
      </c>
      <c r="AU726" t="str">
        <f>IF(Table1820[[#This Row],[Difference]]=0,"PASS","FAIL")</f>
        <v>PASS</v>
      </c>
      <c r="AV726" s="9">
        <f>ABS(Table1820[[#This Row],[Difference]])</f>
        <v>0</v>
      </c>
      <c r="AW726" s="9" t="s">
        <v>1136</v>
      </c>
    </row>
    <row r="727" spans="1:49" x14ac:dyDescent="0.3">
      <c r="A727" t="s">
        <v>818</v>
      </c>
      <c r="B727" s="7">
        <v>45910</v>
      </c>
      <c r="C727" t="s">
        <v>74</v>
      </c>
      <c r="D727" t="s">
        <v>1097</v>
      </c>
      <c r="E727" s="3" t="s">
        <v>1103</v>
      </c>
      <c r="F727" s="3">
        <v>1</v>
      </c>
      <c r="G727" t="s">
        <v>11</v>
      </c>
      <c r="H727" t="s">
        <v>1110</v>
      </c>
      <c r="I727" t="s">
        <v>30</v>
      </c>
      <c r="J727" t="s">
        <v>54</v>
      </c>
      <c r="K727" t="s">
        <v>10</v>
      </c>
      <c r="L727" t="s">
        <v>10</v>
      </c>
      <c r="M727" t="s">
        <v>10</v>
      </c>
      <c r="N727" t="s">
        <v>57</v>
      </c>
      <c r="O727" t="str">
        <f>INDEX(CoverageTable[Deductible Applies],MATCH(Table1820[[#This Row],[Coverage]],CoverageTable[Coverage],0))</f>
        <v>No</v>
      </c>
      <c r="P727" t="str">
        <f>INDEX(CoverageTable[Coverage Limit Applies],MATCH(Table1820[[#This Row],[Coverage]],CoverageTable[Coverage],0))</f>
        <v>Yes</v>
      </c>
      <c r="Q727" t="s">
        <v>10</v>
      </c>
      <c r="R727" t="s">
        <v>78</v>
      </c>
      <c r="S727" t="s">
        <v>10</v>
      </c>
      <c r="T727" t="s">
        <v>10</v>
      </c>
      <c r="U727" t="s">
        <v>57</v>
      </c>
      <c r="V727" t="s">
        <v>10</v>
      </c>
      <c r="W727" t="s">
        <v>10</v>
      </c>
      <c r="X727" s="11">
        <v>122.66423650012477</v>
      </c>
      <c r="Y727">
        <f>_xlfn.XLOOKUP(Table1820[[#This Row],[Coverage]],CoverageTable[Coverage],CoverageTable[Base Rate],,0)</f>
        <v>41</v>
      </c>
      <c r="Z727">
        <f>INDEX(Table16[Ageband Factor],MATCH(Table1820[[#This Row],[Ageband]],Table16[Ageband],0))</f>
        <v>1.32</v>
      </c>
      <c r="AA727">
        <f>VLOOKUP(Table1820[[#This Row],[Years Driving]],Table1[],2)</f>
        <v>0.93</v>
      </c>
      <c r="AB727">
        <f>_xlfn.XLOOKUP(Table1820[[#This Row],[At Fault Accidents]],Table2[At Fault Accidents],Table2[At Fault Accident Factor],,0)</f>
        <v>1.34</v>
      </c>
      <c r="AC727">
        <f>_xlfn.XLOOKUP(Table1820[[#This Row],[Usage-Based Insurance]],Table3[Usage-Based Insurance],Table3[Usage-Based Insurance Discount],,0)</f>
        <v>0.95</v>
      </c>
      <c r="AD727">
        <f>_xlfn.XLOOKUP(Table1820[[#This Row],[Yearly Miles]],Table4[Yearly Miles],Table4[Yearly Miles Factor],,0)</f>
        <v>1.31</v>
      </c>
      <c r="AE727">
        <f>_xlfn.XLOOKUP(Table1820[[#This Row],[City/Zip Code]],Table5[City/Zip Code],Table5[City/Zip Code Factor],,0)</f>
        <v>1.02</v>
      </c>
      <c r="AF727">
        <f>_xlfn.XLOOKUP(Table1820[[#This Row],[Vehicle Price]],Table6[Vehicle Price],Table6[Vehicle Price Factor])</f>
        <v>2.87</v>
      </c>
      <c r="AG727">
        <f>_xlfn.XLOOKUP(Table1820[[#This Row],[Exotic Car]],Table7[Exotic Car],Table7[Exotic Car Factor],,0)</f>
        <v>1</v>
      </c>
      <c r="AH727">
        <f>_xlfn.XLOOKUP(Table1820[[#This Row],[Difficult Parts]],Table8[Difficult Parts],Table8[Difficult Parts Factor],,0)</f>
        <v>1</v>
      </c>
      <c r="AI727">
        <f>_xlfn.XLOOKUP(Table1820[[#This Row],[High Theft Rate]],Table9[High Theft Rate],Table9[High Theft Rate Factor],,0)</f>
        <v>1</v>
      </c>
      <c r="AJ727">
        <f>_xlfn.XLOOKUP(Table1820[[#This Row],[Advanced Safety Features]],Table10[Advanced Safety Features],Table10[Advanced Safety Features Factor],,0)</f>
        <v>0.88</v>
      </c>
      <c r="AK727">
        <f>_xlfn.XLOOKUP(Table1820[[#This Row],[Deductible]],Table12[Deductible],Table12[Deductible Factor],,0)</f>
        <v>1</v>
      </c>
      <c r="AL727">
        <f>_xlfn.XLOOKUP(Table1820[[#This Row],[Coverage Limit]],Table13[Coverage Limit],Table13[Coverage Limit Factor],,0)</f>
        <v>0.61</v>
      </c>
      <c r="AM727">
        <f>IF(Table1820[[#This Row],[Good Student Discount]]="Yes",'Rate Book'!$D$126,1)</f>
        <v>1</v>
      </c>
      <c r="AN727">
        <f>IF(Table1820[[#This Row],[Good Driver Discount]]="Yes",'Rate Book'!$D$127,1)</f>
        <v>1</v>
      </c>
      <c r="AO727">
        <f>IF(Table1820[[#This Row],[Multi Policy Discount]]="Yes",'Rate Book'!$D$128,1)</f>
        <v>0.93</v>
      </c>
      <c r="AP727">
        <f>IF(Table1820[[#This Row],[Loyal Customer Discount]]="Yes",'Rate Book'!$D$129,1)</f>
        <v>1</v>
      </c>
      <c r="AQ727">
        <f>IF(Table1820[[#This Row],[Organization Discount]]="Yes",'Rate Book'!$D$130,1)</f>
        <v>1</v>
      </c>
      <c r="AR727" cm="1">
        <f t="array" ref="AR727">IF(Table1820[[#This Row],[Effective Date]]&gt;=RateChangeTable[Effective Date],RateChangeTable[Rate Change Factor],1)</f>
        <v>1</v>
      </c>
      <c r="AS727" s="10">
        <f>PRODUCT(Table1820[[#This Row],[Base Rate]:[Rate Change Factor]])</f>
        <v>122.66423650012477</v>
      </c>
      <c r="AT727" s="9">
        <f>Table1820[[#This Row],[System-Generated Premium]]-Table1820[[#This Row],[Expected Premium]]</f>
        <v>0</v>
      </c>
      <c r="AU727" t="str">
        <f>IF(Table1820[[#This Row],[Difference]]=0,"PASS","FAIL")</f>
        <v>PASS</v>
      </c>
      <c r="AV727" s="9">
        <f>ABS(Table1820[[#This Row],[Difference]])</f>
        <v>0</v>
      </c>
      <c r="AW727" s="9" t="s">
        <v>1136</v>
      </c>
    </row>
    <row r="728" spans="1:49" x14ac:dyDescent="0.3">
      <c r="A728" t="s">
        <v>819</v>
      </c>
      <c r="B728" s="7">
        <v>45893</v>
      </c>
      <c r="C728" t="s">
        <v>73</v>
      </c>
      <c r="D728" t="s">
        <v>1099</v>
      </c>
      <c r="E728" s="3">
        <v>5</v>
      </c>
      <c r="F728" s="3">
        <v>1</v>
      </c>
      <c r="G728" t="s">
        <v>11</v>
      </c>
      <c r="H728" t="s">
        <v>1106</v>
      </c>
      <c r="I728" t="s">
        <v>31</v>
      </c>
      <c r="J728" t="s">
        <v>49</v>
      </c>
      <c r="K728" t="s">
        <v>10</v>
      </c>
      <c r="L728" t="s">
        <v>57</v>
      </c>
      <c r="M728" t="s">
        <v>10</v>
      </c>
      <c r="N728" t="s">
        <v>10</v>
      </c>
      <c r="O728" t="str">
        <f>INDEX(CoverageTable[Deductible Applies],MATCH(Table1820[[#This Row],[Coverage]],CoverageTable[Coverage],0))</f>
        <v>No</v>
      </c>
      <c r="P728" t="str">
        <f>INDEX(CoverageTable[Coverage Limit Applies],MATCH(Table1820[[#This Row],[Coverage]],CoverageTable[Coverage],0))</f>
        <v>Yes</v>
      </c>
      <c r="Q728" t="s">
        <v>10</v>
      </c>
      <c r="R728" t="s">
        <v>80</v>
      </c>
      <c r="S728" t="s">
        <v>57</v>
      </c>
      <c r="T728" t="s">
        <v>10</v>
      </c>
      <c r="U728" t="s">
        <v>10</v>
      </c>
      <c r="V728" t="s">
        <v>10</v>
      </c>
      <c r="W728" t="s">
        <v>57</v>
      </c>
      <c r="X728" s="11">
        <v>85.082367772119937</v>
      </c>
      <c r="Y728">
        <f>_xlfn.XLOOKUP(Table1820[[#This Row],[Coverage]],CoverageTable[Coverage],CoverageTable[Base Rate],,0)</f>
        <v>78</v>
      </c>
      <c r="Z728">
        <f>INDEX(Table16[Ageband Factor],MATCH(Table1820[[#This Row],[Ageband]],Table16[Ageband],0))</f>
        <v>1</v>
      </c>
      <c r="AA728">
        <f>VLOOKUP(Table1820[[#This Row],[Years Driving]],Table1[],2)</f>
        <v>1.07</v>
      </c>
      <c r="AB728">
        <f>_xlfn.XLOOKUP(Table1820[[#This Row],[At Fault Accidents]],Table2[At Fault Accidents],Table2[At Fault Accident Factor],,0)</f>
        <v>1.34</v>
      </c>
      <c r="AC728">
        <f>_xlfn.XLOOKUP(Table1820[[#This Row],[Usage-Based Insurance]],Table3[Usage-Based Insurance],Table3[Usage-Based Insurance Discount],,0)</f>
        <v>0.95</v>
      </c>
      <c r="AD728">
        <f>_xlfn.XLOOKUP(Table1820[[#This Row],[Yearly Miles]],Table4[Yearly Miles],Table4[Yearly Miles Factor],,0)</f>
        <v>0.82</v>
      </c>
      <c r="AE728">
        <f>_xlfn.XLOOKUP(Table1820[[#This Row],[City/Zip Code]],Table5[City/Zip Code],Table5[City/Zip Code Factor],,0)</f>
        <v>1.1100000000000001</v>
      </c>
      <c r="AF728">
        <f>_xlfn.XLOOKUP(Table1820[[#This Row],[Vehicle Price]],Table6[Vehicle Price],Table6[Vehicle Price Factor])</f>
        <v>0.97</v>
      </c>
      <c r="AG728">
        <f>_xlfn.XLOOKUP(Table1820[[#This Row],[Exotic Car]],Table7[Exotic Car],Table7[Exotic Car Factor],,0)</f>
        <v>1</v>
      </c>
      <c r="AH728">
        <f>_xlfn.XLOOKUP(Table1820[[#This Row],[Difficult Parts]],Table8[Difficult Parts],Table8[Difficult Parts Factor],,0)</f>
        <v>1.21</v>
      </c>
      <c r="AI728">
        <f>_xlfn.XLOOKUP(Table1820[[#This Row],[High Theft Rate]],Table9[High Theft Rate],Table9[High Theft Rate Factor],,0)</f>
        <v>1</v>
      </c>
      <c r="AJ728">
        <f>_xlfn.XLOOKUP(Table1820[[#This Row],[Advanced Safety Features]],Table10[Advanced Safety Features],Table10[Advanced Safety Features Factor],,0)</f>
        <v>1</v>
      </c>
      <c r="AK728">
        <f>_xlfn.XLOOKUP(Table1820[[#This Row],[Deductible]],Table12[Deductible],Table12[Deductible Factor],,0)</f>
        <v>1</v>
      </c>
      <c r="AL728">
        <f>_xlfn.XLOOKUP(Table1820[[#This Row],[Coverage Limit]],Table13[Coverage Limit],Table13[Coverage Limit Factor],,0)</f>
        <v>0.84</v>
      </c>
      <c r="AM728">
        <f>IF(Table1820[[#This Row],[Good Student Discount]]="Yes",'Rate Book'!$D$126,1)</f>
        <v>0.92</v>
      </c>
      <c r="AN728">
        <f>IF(Table1820[[#This Row],[Good Driver Discount]]="Yes",'Rate Book'!$D$127,1)</f>
        <v>1</v>
      </c>
      <c r="AO728">
        <f>IF(Table1820[[#This Row],[Multi Policy Discount]]="Yes",'Rate Book'!$D$128,1)</f>
        <v>1</v>
      </c>
      <c r="AP728">
        <f>IF(Table1820[[#This Row],[Loyal Customer Discount]]="Yes",'Rate Book'!$D$129,1)</f>
        <v>1</v>
      </c>
      <c r="AQ728">
        <f>IF(Table1820[[#This Row],[Organization Discount]]="Yes",'Rate Book'!$D$130,1)</f>
        <v>0.97</v>
      </c>
      <c r="AR728" cm="1">
        <f t="array" ref="AR728">IF(Table1820[[#This Row],[Effective Date]]&gt;=RateChangeTable[Effective Date],RateChangeTable[Rate Change Factor],1)</f>
        <v>1</v>
      </c>
      <c r="AS728" s="10">
        <f>PRODUCT(Table1820[[#This Row],[Base Rate]:[Rate Change Factor]])</f>
        <v>85.082367772119937</v>
      </c>
      <c r="AT728" s="9">
        <f>Table1820[[#This Row],[System-Generated Premium]]-Table1820[[#This Row],[Expected Premium]]</f>
        <v>0</v>
      </c>
      <c r="AU728" t="str">
        <f>IF(Table1820[[#This Row],[Difference]]=0,"PASS","FAIL")</f>
        <v>PASS</v>
      </c>
      <c r="AV728" s="9">
        <f>ABS(Table1820[[#This Row],[Difference]])</f>
        <v>0</v>
      </c>
      <c r="AW728" s="9" t="s">
        <v>1136</v>
      </c>
    </row>
    <row r="729" spans="1:49" x14ac:dyDescent="0.3">
      <c r="A729" t="s">
        <v>820</v>
      </c>
      <c r="B729" s="7">
        <v>46007</v>
      </c>
      <c r="C729" t="s">
        <v>72</v>
      </c>
      <c r="D729" t="s">
        <v>1098</v>
      </c>
      <c r="E729" s="3">
        <v>5</v>
      </c>
      <c r="F729" s="3">
        <v>3</v>
      </c>
      <c r="G729" t="s">
        <v>13</v>
      </c>
      <c r="H729" t="s">
        <v>1107</v>
      </c>
      <c r="I729" t="s">
        <v>32</v>
      </c>
      <c r="J729" t="s">
        <v>51</v>
      </c>
      <c r="K729" t="s">
        <v>10</v>
      </c>
      <c r="L729" t="s">
        <v>10</v>
      </c>
      <c r="M729" t="s">
        <v>10</v>
      </c>
      <c r="N729" t="s">
        <v>57</v>
      </c>
      <c r="O729" t="str">
        <f>INDEX(CoverageTable[Deductible Applies],MATCH(Table1820[[#This Row],[Coverage]],CoverageTable[Coverage],0))</f>
        <v>Yes</v>
      </c>
      <c r="P729" t="str">
        <f>INDEX(CoverageTable[Coverage Limit Applies],MATCH(Table1820[[#This Row],[Coverage]],CoverageTable[Coverage],0))</f>
        <v>No</v>
      </c>
      <c r="Q729" t="s">
        <v>79</v>
      </c>
      <c r="R729" t="s">
        <v>10</v>
      </c>
      <c r="S729" t="s">
        <v>57</v>
      </c>
      <c r="T729" t="s">
        <v>57</v>
      </c>
      <c r="U729" t="s">
        <v>10</v>
      </c>
      <c r="V729" t="s">
        <v>10</v>
      </c>
      <c r="W729" t="s">
        <v>10</v>
      </c>
      <c r="X729" s="11">
        <v>152.02315351540972</v>
      </c>
      <c r="Y729">
        <f>_xlfn.XLOOKUP(Table1820[[#This Row],[Coverage]],CoverageTable[Coverage],CoverageTable[Base Rate],,0)</f>
        <v>121</v>
      </c>
      <c r="Z729">
        <f>INDEX(Table16[Ageband Factor],MATCH(Table1820[[#This Row],[Ageband]],Table16[Ageband],0))</f>
        <v>1.23</v>
      </c>
      <c r="AA729">
        <f>VLOOKUP(Table1820[[#This Row],[Years Driving]],Table1[],2)</f>
        <v>1.07</v>
      </c>
      <c r="AB729">
        <f>_xlfn.XLOOKUP(Table1820[[#This Row],[At Fault Accidents]],Table2[At Fault Accidents],Table2[At Fault Accident Factor],,0)</f>
        <v>1.82</v>
      </c>
      <c r="AC729">
        <f>_xlfn.XLOOKUP(Table1820[[#This Row],[Usage-Based Insurance]],Table3[Usage-Based Insurance],Table3[Usage-Based Insurance Discount],,0)</f>
        <v>0.65</v>
      </c>
      <c r="AD729">
        <f>_xlfn.XLOOKUP(Table1820[[#This Row],[Yearly Miles]],Table4[Yearly Miles],Table4[Yearly Miles Factor],,0)</f>
        <v>0.93</v>
      </c>
      <c r="AE729">
        <f>_xlfn.XLOOKUP(Table1820[[#This Row],[City/Zip Code]],Table5[City/Zip Code],Table5[City/Zip Code Factor],,0)</f>
        <v>1.1200000000000001</v>
      </c>
      <c r="AF729">
        <f>_xlfn.XLOOKUP(Table1820[[#This Row],[Vehicle Price]],Table6[Vehicle Price],Table6[Vehicle Price Factor])</f>
        <v>1.28</v>
      </c>
      <c r="AG729">
        <f>_xlfn.XLOOKUP(Table1820[[#This Row],[Exotic Car]],Table7[Exotic Car],Table7[Exotic Car Factor],,0)</f>
        <v>1</v>
      </c>
      <c r="AH729">
        <f>_xlfn.XLOOKUP(Table1820[[#This Row],[Difficult Parts]],Table8[Difficult Parts],Table8[Difficult Parts Factor],,0)</f>
        <v>1</v>
      </c>
      <c r="AI729">
        <f>_xlfn.XLOOKUP(Table1820[[#This Row],[High Theft Rate]],Table9[High Theft Rate],Table9[High Theft Rate Factor],,0)</f>
        <v>1</v>
      </c>
      <c r="AJ729">
        <f>_xlfn.XLOOKUP(Table1820[[#This Row],[Advanced Safety Features]],Table10[Advanced Safety Features],Table10[Advanced Safety Features Factor],,0)</f>
        <v>0.88</v>
      </c>
      <c r="AK729">
        <f>_xlfn.XLOOKUP(Table1820[[#This Row],[Deductible]],Table12[Deductible],Table12[Deductible Factor],,0)</f>
        <v>0.84</v>
      </c>
      <c r="AL729">
        <f>_xlfn.XLOOKUP(Table1820[[#This Row],[Coverage Limit]],Table13[Coverage Limit],Table13[Coverage Limit Factor],,0)</f>
        <v>1</v>
      </c>
      <c r="AM729">
        <f>IF(Table1820[[#This Row],[Good Student Discount]]="Yes",'Rate Book'!$D$126,1)</f>
        <v>0.92</v>
      </c>
      <c r="AN729">
        <f>IF(Table1820[[#This Row],[Good Driver Discount]]="Yes",'Rate Book'!$D$127,1)</f>
        <v>0.89</v>
      </c>
      <c r="AO729">
        <f>IF(Table1820[[#This Row],[Multi Policy Discount]]="Yes",'Rate Book'!$D$128,1)</f>
        <v>1</v>
      </c>
      <c r="AP729">
        <f>IF(Table1820[[#This Row],[Loyal Customer Discount]]="Yes",'Rate Book'!$D$129,1)</f>
        <v>1</v>
      </c>
      <c r="AQ729">
        <f>IF(Table1820[[#This Row],[Organization Discount]]="Yes",'Rate Book'!$D$130,1)</f>
        <v>1</v>
      </c>
      <c r="AR729" cm="1">
        <f t="array" ref="AR729">IF(Table1820[[#This Row],[Effective Date]]&gt;=RateChangeTable[Effective Date],RateChangeTable[Rate Change Factor],1)</f>
        <v>1</v>
      </c>
      <c r="AS729" s="10">
        <f>PRODUCT(Table1820[[#This Row],[Base Rate]:[Rate Change Factor]])</f>
        <v>152.02315351540972</v>
      </c>
      <c r="AT729" s="9">
        <f>Table1820[[#This Row],[System-Generated Premium]]-Table1820[[#This Row],[Expected Premium]]</f>
        <v>0</v>
      </c>
      <c r="AU729" t="str">
        <f>IF(Table1820[[#This Row],[Difference]]=0,"PASS","FAIL")</f>
        <v>PASS</v>
      </c>
      <c r="AV729" s="9">
        <f>ABS(Table1820[[#This Row],[Difference]])</f>
        <v>0</v>
      </c>
      <c r="AW729" s="9" t="s">
        <v>1136</v>
      </c>
    </row>
    <row r="730" spans="1:49" x14ac:dyDescent="0.3">
      <c r="A730" t="s">
        <v>821</v>
      </c>
      <c r="B730" s="7">
        <v>45814</v>
      </c>
      <c r="C730" t="s">
        <v>70</v>
      </c>
      <c r="D730" t="s">
        <v>1099</v>
      </c>
      <c r="E730" s="3">
        <v>6</v>
      </c>
      <c r="F730" s="3">
        <v>0</v>
      </c>
      <c r="G730" t="s">
        <v>13</v>
      </c>
      <c r="H730" t="s">
        <v>1106</v>
      </c>
      <c r="I730" t="s">
        <v>44</v>
      </c>
      <c r="J730" t="s">
        <v>52</v>
      </c>
      <c r="K730" t="s">
        <v>10</v>
      </c>
      <c r="L730" t="s">
        <v>10</v>
      </c>
      <c r="M730" t="s">
        <v>57</v>
      </c>
      <c r="N730" t="s">
        <v>57</v>
      </c>
      <c r="O730" t="str">
        <f>INDEX(CoverageTable[Deductible Applies],MATCH(Table1820[[#This Row],[Coverage]],CoverageTable[Coverage],0))</f>
        <v>No</v>
      </c>
      <c r="P730" t="str">
        <f>INDEX(CoverageTable[Coverage Limit Applies],MATCH(Table1820[[#This Row],[Coverage]],CoverageTable[Coverage],0))</f>
        <v>Yes</v>
      </c>
      <c r="Q730" t="s">
        <v>10</v>
      </c>
      <c r="R730" t="s">
        <v>79</v>
      </c>
      <c r="S730" t="s">
        <v>57</v>
      </c>
      <c r="T730" t="s">
        <v>10</v>
      </c>
      <c r="U730" t="s">
        <v>57</v>
      </c>
      <c r="V730" t="s">
        <v>10</v>
      </c>
      <c r="W730" t="s">
        <v>10</v>
      </c>
      <c r="X730" s="11">
        <v>379.68126607407441</v>
      </c>
      <c r="Y730">
        <f>_xlfn.XLOOKUP(Table1820[[#This Row],[Coverage]],CoverageTable[Coverage],CoverageTable[Base Rate],,0)</f>
        <v>622</v>
      </c>
      <c r="Z730">
        <f>INDEX(Table16[Ageband Factor],MATCH(Table1820[[#This Row],[Ageband]],Table16[Ageband],0))</f>
        <v>1</v>
      </c>
      <c r="AA730">
        <f>VLOOKUP(Table1820[[#This Row],[Years Driving]],Table1[],2)</f>
        <v>1</v>
      </c>
      <c r="AB730">
        <f>_xlfn.XLOOKUP(Table1820[[#This Row],[At Fault Accidents]],Table2[At Fault Accidents],Table2[At Fault Accident Factor],,0)</f>
        <v>1</v>
      </c>
      <c r="AC730">
        <f>_xlfn.XLOOKUP(Table1820[[#This Row],[Usage-Based Insurance]],Table3[Usage-Based Insurance],Table3[Usage-Based Insurance Discount],,0)</f>
        <v>0.65</v>
      </c>
      <c r="AD730">
        <f>_xlfn.XLOOKUP(Table1820[[#This Row],[Yearly Miles]],Table4[Yearly Miles],Table4[Yearly Miles Factor],,0)</f>
        <v>0.82</v>
      </c>
      <c r="AE730">
        <f>_xlfn.XLOOKUP(Table1820[[#This Row],[City/Zip Code]],Table5[City/Zip Code],Table5[City/Zip Code Factor],,0)</f>
        <v>1.1599999999999999</v>
      </c>
      <c r="AF730">
        <f>_xlfn.XLOOKUP(Table1820[[#This Row],[Vehicle Price]],Table6[Vehicle Price],Table6[Vehicle Price Factor])</f>
        <v>1.57</v>
      </c>
      <c r="AG730">
        <f>_xlfn.XLOOKUP(Table1820[[#This Row],[Exotic Car]],Table7[Exotic Car],Table7[Exotic Car Factor],,0)</f>
        <v>1</v>
      </c>
      <c r="AH730">
        <f>_xlfn.XLOOKUP(Table1820[[#This Row],[Difficult Parts]],Table8[Difficult Parts],Table8[Difficult Parts Factor],,0)</f>
        <v>1</v>
      </c>
      <c r="AI730">
        <f>_xlfn.XLOOKUP(Table1820[[#This Row],[High Theft Rate]],Table9[High Theft Rate],Table9[High Theft Rate Factor],,0)</f>
        <v>1.1599999999999999</v>
      </c>
      <c r="AJ730">
        <f>_xlfn.XLOOKUP(Table1820[[#This Row],[Advanced Safety Features]],Table10[Advanced Safety Features],Table10[Advanced Safety Features Factor],,0)</f>
        <v>0.88</v>
      </c>
      <c r="AK730">
        <f>_xlfn.XLOOKUP(Table1820[[#This Row],[Deductible]],Table12[Deductible],Table12[Deductible Factor],,0)</f>
        <v>1</v>
      </c>
      <c r="AL730">
        <f>_xlfn.XLOOKUP(Table1820[[#This Row],[Coverage Limit]],Table13[Coverage Limit],Table13[Coverage Limit Factor],,0)</f>
        <v>0.72</v>
      </c>
      <c r="AM730">
        <f>IF(Table1820[[#This Row],[Good Student Discount]]="Yes",'Rate Book'!$D$126,1)</f>
        <v>0.92</v>
      </c>
      <c r="AN730">
        <f>IF(Table1820[[#This Row],[Good Driver Discount]]="Yes",'Rate Book'!$D$127,1)</f>
        <v>1</v>
      </c>
      <c r="AO730">
        <f>IF(Table1820[[#This Row],[Multi Policy Discount]]="Yes",'Rate Book'!$D$128,1)</f>
        <v>0.93</v>
      </c>
      <c r="AP730">
        <f>IF(Table1820[[#This Row],[Loyal Customer Discount]]="Yes",'Rate Book'!$D$129,1)</f>
        <v>1</v>
      </c>
      <c r="AQ730">
        <f>IF(Table1820[[#This Row],[Organization Discount]]="Yes",'Rate Book'!$D$130,1)</f>
        <v>1</v>
      </c>
      <c r="AR730" cm="1">
        <f t="array" ref="AR730">IF(Table1820[[#This Row],[Effective Date]]&gt;=RateChangeTable[Effective Date],RateChangeTable[Rate Change Factor],1)</f>
        <v>1</v>
      </c>
      <c r="AS730" s="10">
        <f>PRODUCT(Table1820[[#This Row],[Base Rate]:[Rate Change Factor]])</f>
        <v>379.68126607407441</v>
      </c>
      <c r="AT730" s="9">
        <f>Table1820[[#This Row],[System-Generated Premium]]-Table1820[[#This Row],[Expected Premium]]</f>
        <v>0</v>
      </c>
      <c r="AU730" t="str">
        <f>IF(Table1820[[#This Row],[Difference]]=0,"PASS","FAIL")</f>
        <v>PASS</v>
      </c>
      <c r="AV730" s="9">
        <f>ABS(Table1820[[#This Row],[Difference]])</f>
        <v>0</v>
      </c>
      <c r="AW730" s="9" t="s">
        <v>1136</v>
      </c>
    </row>
    <row r="731" spans="1:49" x14ac:dyDescent="0.3">
      <c r="A731" t="s">
        <v>822</v>
      </c>
      <c r="B731" s="7">
        <v>46089</v>
      </c>
      <c r="C731" t="s">
        <v>71</v>
      </c>
      <c r="D731" t="s">
        <v>1097</v>
      </c>
      <c r="E731" s="3">
        <v>7</v>
      </c>
      <c r="F731" s="3">
        <v>1</v>
      </c>
      <c r="G731" t="s">
        <v>10</v>
      </c>
      <c r="H731" t="s">
        <v>1108</v>
      </c>
      <c r="I731" t="s">
        <v>43</v>
      </c>
      <c r="J731" t="s">
        <v>48</v>
      </c>
      <c r="K731" t="s">
        <v>10</v>
      </c>
      <c r="L731" t="s">
        <v>10</v>
      </c>
      <c r="M731" t="s">
        <v>10</v>
      </c>
      <c r="N731" t="s">
        <v>10</v>
      </c>
      <c r="O731" t="str">
        <f>INDEX(CoverageTable[Deductible Applies],MATCH(Table1820[[#This Row],[Coverage]],CoverageTable[Coverage],0))</f>
        <v>Yes</v>
      </c>
      <c r="P731" t="str">
        <f>INDEX(CoverageTable[Coverage Limit Applies],MATCH(Table1820[[#This Row],[Coverage]],CoverageTable[Coverage],0))</f>
        <v>No</v>
      </c>
      <c r="Q731" t="s">
        <v>80</v>
      </c>
      <c r="R731" t="s">
        <v>10</v>
      </c>
      <c r="S731" t="s">
        <v>10</v>
      </c>
      <c r="T731" t="s">
        <v>57</v>
      </c>
      <c r="U731" t="s">
        <v>57</v>
      </c>
      <c r="V731" t="s">
        <v>10</v>
      </c>
      <c r="W731" t="s">
        <v>10</v>
      </c>
      <c r="X731" s="11">
        <v>430.44</v>
      </c>
      <c r="Y731">
        <f>_xlfn.XLOOKUP(Table1820[[#This Row],[Coverage]],CoverageTable[Coverage],CoverageTable[Base Rate],,0)</f>
        <v>453</v>
      </c>
      <c r="Z731">
        <f>INDEX(Table16[Ageband Factor],MATCH(Table1820[[#This Row],[Ageband]],Table16[Ageband],0))</f>
        <v>1.32</v>
      </c>
      <c r="AA731">
        <f>VLOOKUP(Table1820[[#This Row],[Years Driving]],Table1[],2)</f>
        <v>0.95</v>
      </c>
      <c r="AB731">
        <f>_xlfn.XLOOKUP(Table1820[[#This Row],[At Fault Accidents]],Table2[At Fault Accidents],Table2[At Fault Accident Factor],,0)</f>
        <v>1.34</v>
      </c>
      <c r="AC731">
        <f>_xlfn.XLOOKUP(Table1820[[#This Row],[Usage-Based Insurance]],Table3[Usage-Based Insurance],Table3[Usage-Based Insurance Discount],,0)</f>
        <v>1</v>
      </c>
      <c r="AD731">
        <f>_xlfn.XLOOKUP(Table1820[[#This Row],[Yearly Miles]],Table4[Yearly Miles],Table4[Yearly Miles Factor],,0)</f>
        <v>1</v>
      </c>
      <c r="AE731">
        <f>_xlfn.XLOOKUP(Table1820[[#This Row],[City/Zip Code]],Table5[City/Zip Code],Table5[City/Zip Code Factor],,0)</f>
        <v>1.18</v>
      </c>
      <c r="AF731">
        <f>_xlfn.XLOOKUP(Table1820[[#This Row],[Vehicle Price]],Table6[Vehicle Price],Table6[Vehicle Price Factor])</f>
        <v>0.82</v>
      </c>
      <c r="AG731">
        <f>_xlfn.XLOOKUP(Table1820[[#This Row],[Exotic Car]],Table7[Exotic Car],Table7[Exotic Car Factor],,0)</f>
        <v>1</v>
      </c>
      <c r="AH731">
        <f>_xlfn.XLOOKUP(Table1820[[#This Row],[Difficult Parts]],Table8[Difficult Parts],Table8[Difficult Parts Factor],,0)</f>
        <v>1</v>
      </c>
      <c r="AI731">
        <f>_xlfn.XLOOKUP(Table1820[[#This Row],[High Theft Rate]],Table9[High Theft Rate],Table9[High Theft Rate Factor],,0)</f>
        <v>1</v>
      </c>
      <c r="AJ731">
        <f>_xlfn.XLOOKUP(Table1820[[#This Row],[Advanced Safety Features]],Table10[Advanced Safety Features],Table10[Advanced Safety Features Factor],,0)</f>
        <v>1</v>
      </c>
      <c r="AK731">
        <f>_xlfn.XLOOKUP(Table1820[[#This Row],[Deductible]],Table12[Deductible],Table12[Deductible Factor],,0)</f>
        <v>0.72</v>
      </c>
      <c r="AL731">
        <f>_xlfn.XLOOKUP(Table1820[[#This Row],[Coverage Limit]],Table13[Coverage Limit],Table13[Coverage Limit Factor],,0)</f>
        <v>1</v>
      </c>
      <c r="AM731">
        <f>IF(Table1820[[#This Row],[Good Student Discount]]="Yes",'Rate Book'!$D$126,1)</f>
        <v>1</v>
      </c>
      <c r="AN731">
        <f>IF(Table1820[[#This Row],[Good Driver Discount]]="Yes",'Rate Book'!$D$127,1)</f>
        <v>0.89</v>
      </c>
      <c r="AO731">
        <f>IF(Table1820[[#This Row],[Multi Policy Discount]]="Yes",'Rate Book'!$D$128,1)</f>
        <v>0.93</v>
      </c>
      <c r="AP731">
        <f>IF(Table1820[[#This Row],[Loyal Customer Discount]]="Yes",'Rate Book'!$D$129,1)</f>
        <v>1</v>
      </c>
      <c r="AQ731">
        <f>IF(Table1820[[#This Row],[Organization Discount]]="Yes",'Rate Book'!$D$130,1)</f>
        <v>1</v>
      </c>
      <c r="AR731" cm="1">
        <f t="array" ref="AR731">IF(Table1820[[#This Row],[Effective Date]]&gt;=RateChangeTable[Effective Date],RateChangeTable[Rate Change Factor],1)</f>
        <v>1.06</v>
      </c>
      <c r="AS731" s="10">
        <f>PRODUCT(Table1820[[#This Row],[Base Rate]:[Rate Change Factor]])</f>
        <v>465.27285268705782</v>
      </c>
      <c r="AT731" s="9">
        <f>Table1820[[#This Row],[System-Generated Premium]]-Table1820[[#This Row],[Expected Premium]]</f>
        <v>-34.832852687057823</v>
      </c>
      <c r="AU731" t="str">
        <f>IF(Table1820[[#This Row],[Difference]]=0,"PASS","FAIL")</f>
        <v>FAIL</v>
      </c>
      <c r="AV731" s="9">
        <f>ABS(Table1820[[#This Row],[Difference]])</f>
        <v>34.832852687057823</v>
      </c>
      <c r="AW731" s="9" t="s">
        <v>1133</v>
      </c>
    </row>
    <row r="732" spans="1:49" x14ac:dyDescent="0.3">
      <c r="A732" t="s">
        <v>823</v>
      </c>
      <c r="B732" s="7">
        <v>46098</v>
      </c>
      <c r="C732" t="s">
        <v>71</v>
      </c>
      <c r="D732" t="s">
        <v>1102</v>
      </c>
      <c r="E732" s="3">
        <v>1</v>
      </c>
      <c r="F732" s="3" t="s">
        <v>7</v>
      </c>
      <c r="G732" t="s">
        <v>11</v>
      </c>
      <c r="H732" t="s">
        <v>1107</v>
      </c>
      <c r="I732" t="s">
        <v>40</v>
      </c>
      <c r="J732" t="s">
        <v>49</v>
      </c>
      <c r="K732" t="s">
        <v>57</v>
      </c>
      <c r="L732" t="s">
        <v>10</v>
      </c>
      <c r="M732" t="s">
        <v>10</v>
      </c>
      <c r="N732" t="s">
        <v>57</v>
      </c>
      <c r="O732" t="str">
        <f>INDEX(CoverageTable[Deductible Applies],MATCH(Table1820[[#This Row],[Coverage]],CoverageTable[Coverage],0))</f>
        <v>Yes</v>
      </c>
      <c r="P732" t="str">
        <f>INDEX(CoverageTable[Coverage Limit Applies],MATCH(Table1820[[#This Row],[Coverage]],CoverageTable[Coverage],0))</f>
        <v>No</v>
      </c>
      <c r="Q732" t="s">
        <v>79</v>
      </c>
      <c r="R732" t="s">
        <v>10</v>
      </c>
      <c r="S732" t="s">
        <v>10</v>
      </c>
      <c r="T732" t="s">
        <v>10</v>
      </c>
      <c r="U732" t="s">
        <v>10</v>
      </c>
      <c r="V732" t="s">
        <v>10</v>
      </c>
      <c r="W732" t="s">
        <v>10</v>
      </c>
      <c r="X732" s="11">
        <v>2183.3597679902068</v>
      </c>
      <c r="Y732">
        <f>_xlfn.XLOOKUP(Table1820[[#This Row],[Coverage]],CoverageTable[Coverage],CoverageTable[Base Rate],,0)</f>
        <v>453</v>
      </c>
      <c r="Z732">
        <f>INDEX(Table16[Ageband Factor],MATCH(Table1820[[#This Row],[Ageband]],Table16[Ageband],0))</f>
        <v>1.27</v>
      </c>
      <c r="AA732">
        <f>VLOOKUP(Table1820[[#This Row],[Years Driving]],Table1[],2)</f>
        <v>1.64</v>
      </c>
      <c r="AB732">
        <f>_xlfn.XLOOKUP(Table1820[[#This Row],[At Fault Accidents]],Table2[At Fault Accidents],Table2[At Fault Accident Factor],,0)</f>
        <v>2.4700000000000002</v>
      </c>
      <c r="AC732">
        <f>_xlfn.XLOOKUP(Table1820[[#This Row],[Usage-Based Insurance]],Table3[Usage-Based Insurance],Table3[Usage-Based Insurance Discount],,0)</f>
        <v>0.95</v>
      </c>
      <c r="AD732">
        <f>_xlfn.XLOOKUP(Table1820[[#This Row],[Yearly Miles]],Table4[Yearly Miles],Table4[Yearly Miles Factor],,0)</f>
        <v>0.93</v>
      </c>
      <c r="AE732">
        <f>_xlfn.XLOOKUP(Table1820[[#This Row],[City/Zip Code]],Table5[City/Zip Code],Table5[City/Zip Code Factor],,0)</f>
        <v>1.0900000000000001</v>
      </c>
      <c r="AF732">
        <f>_xlfn.XLOOKUP(Table1820[[#This Row],[Vehicle Price]],Table6[Vehicle Price],Table6[Vehicle Price Factor])</f>
        <v>0.97</v>
      </c>
      <c r="AG732">
        <f>_xlfn.XLOOKUP(Table1820[[#This Row],[Exotic Car]],Table7[Exotic Car],Table7[Exotic Car Factor],,0)</f>
        <v>1.28</v>
      </c>
      <c r="AH732">
        <f>_xlfn.XLOOKUP(Table1820[[#This Row],[Difficult Parts]],Table8[Difficult Parts],Table8[Difficult Parts Factor],,0)</f>
        <v>1</v>
      </c>
      <c r="AI732">
        <f>_xlfn.XLOOKUP(Table1820[[#This Row],[High Theft Rate]],Table9[High Theft Rate],Table9[High Theft Rate Factor],,0)</f>
        <v>1</v>
      </c>
      <c r="AJ732">
        <f>_xlfn.XLOOKUP(Table1820[[#This Row],[Advanced Safety Features]],Table10[Advanced Safety Features],Table10[Advanced Safety Features Factor],,0)</f>
        <v>0.88</v>
      </c>
      <c r="AK732">
        <f>_xlfn.XLOOKUP(Table1820[[#This Row],[Deductible]],Table12[Deductible],Table12[Deductible Factor],,0)</f>
        <v>0.84</v>
      </c>
      <c r="AL732">
        <f>_xlfn.XLOOKUP(Table1820[[#This Row],[Coverage Limit]],Table13[Coverage Limit],Table13[Coverage Limit Factor],,0)</f>
        <v>1</v>
      </c>
      <c r="AM732">
        <f>IF(Table1820[[#This Row],[Good Student Discount]]="Yes",'Rate Book'!$D$126,1)</f>
        <v>1</v>
      </c>
      <c r="AN732">
        <f>IF(Table1820[[#This Row],[Good Driver Discount]]="Yes",'Rate Book'!$D$127,1)</f>
        <v>1</v>
      </c>
      <c r="AO732">
        <f>IF(Table1820[[#This Row],[Multi Policy Discount]]="Yes",'Rate Book'!$D$128,1)</f>
        <v>1</v>
      </c>
      <c r="AP732">
        <f>IF(Table1820[[#This Row],[Loyal Customer Discount]]="Yes",'Rate Book'!$D$129,1)</f>
        <v>1</v>
      </c>
      <c r="AQ732">
        <f>IF(Table1820[[#This Row],[Organization Discount]]="Yes",'Rate Book'!$D$130,1)</f>
        <v>1</v>
      </c>
      <c r="AR732" cm="1">
        <f t="array" ref="AR732">IF(Table1820[[#This Row],[Effective Date]]&gt;=RateChangeTable[Effective Date],RateChangeTable[Rate Change Factor],1)</f>
        <v>1.06</v>
      </c>
      <c r="AS732" s="10">
        <f>PRODUCT(Table1820[[#This Row],[Base Rate]:[Rate Change Factor]])</f>
        <v>2183.3597679902068</v>
      </c>
      <c r="AT732" s="9">
        <f>Table1820[[#This Row],[System-Generated Premium]]-Table1820[[#This Row],[Expected Premium]]</f>
        <v>0</v>
      </c>
      <c r="AU732" t="str">
        <f>IF(Table1820[[#This Row],[Difference]]=0,"PASS","FAIL")</f>
        <v>PASS</v>
      </c>
      <c r="AV732" s="9">
        <f>ABS(Table1820[[#This Row],[Difference]])</f>
        <v>0</v>
      </c>
      <c r="AW732" s="9" t="s">
        <v>1136</v>
      </c>
    </row>
    <row r="733" spans="1:49" x14ac:dyDescent="0.3">
      <c r="A733" t="s">
        <v>824</v>
      </c>
      <c r="B733" s="7">
        <v>46096</v>
      </c>
      <c r="C733" t="s">
        <v>70</v>
      </c>
      <c r="D733" t="s">
        <v>1102</v>
      </c>
      <c r="E733" s="3">
        <v>1</v>
      </c>
      <c r="F733" s="3">
        <v>3</v>
      </c>
      <c r="G733" t="s">
        <v>10</v>
      </c>
      <c r="H733" t="s">
        <v>1108</v>
      </c>
      <c r="I733" t="s">
        <v>41</v>
      </c>
      <c r="J733" t="s">
        <v>53</v>
      </c>
      <c r="K733" t="s">
        <v>10</v>
      </c>
      <c r="L733" t="s">
        <v>10</v>
      </c>
      <c r="M733" t="s">
        <v>10</v>
      </c>
      <c r="N733" t="s">
        <v>10</v>
      </c>
      <c r="O733" t="str">
        <f>INDEX(CoverageTable[Deductible Applies],MATCH(Table1820[[#This Row],[Coverage]],CoverageTable[Coverage],0))</f>
        <v>No</v>
      </c>
      <c r="P733" t="str">
        <f>INDEX(CoverageTable[Coverage Limit Applies],MATCH(Table1820[[#This Row],[Coverage]],CoverageTable[Coverage],0))</f>
        <v>Yes</v>
      </c>
      <c r="Q733" t="s">
        <v>10</v>
      </c>
      <c r="R733" t="s">
        <v>80</v>
      </c>
      <c r="S733" t="s">
        <v>57</v>
      </c>
      <c r="T733" t="s">
        <v>10</v>
      </c>
      <c r="U733" t="s">
        <v>10</v>
      </c>
      <c r="V733" t="s">
        <v>57</v>
      </c>
      <c r="W733" t="s">
        <v>10</v>
      </c>
      <c r="X733" s="11">
        <v>4217.5416852366716</v>
      </c>
      <c r="Y733">
        <f>_xlfn.XLOOKUP(Table1820[[#This Row],[Coverage]],CoverageTable[Coverage],CoverageTable[Base Rate],,0)</f>
        <v>622</v>
      </c>
      <c r="Z733">
        <f>INDEX(Table16[Ageband Factor],MATCH(Table1820[[#This Row],[Ageband]],Table16[Ageband],0))</f>
        <v>1.27</v>
      </c>
      <c r="AA733">
        <f>VLOOKUP(Table1820[[#This Row],[Years Driving]],Table1[],2)</f>
        <v>1.64</v>
      </c>
      <c r="AB733">
        <f>_xlfn.XLOOKUP(Table1820[[#This Row],[At Fault Accidents]],Table2[At Fault Accidents],Table2[At Fault Accident Factor],,0)</f>
        <v>1.82</v>
      </c>
      <c r="AC733">
        <f>_xlfn.XLOOKUP(Table1820[[#This Row],[Usage-Based Insurance]],Table3[Usage-Based Insurance],Table3[Usage-Based Insurance Discount],,0)</f>
        <v>1</v>
      </c>
      <c r="AD733">
        <f>_xlfn.XLOOKUP(Table1820[[#This Row],[Yearly Miles]],Table4[Yearly Miles],Table4[Yearly Miles Factor],,0)</f>
        <v>1</v>
      </c>
      <c r="AE733">
        <f>_xlfn.XLOOKUP(Table1820[[#This Row],[City/Zip Code]],Table5[City/Zip Code],Table5[City/Zip Code Factor],,0)</f>
        <v>1.1499999999999999</v>
      </c>
      <c r="AF733">
        <f>_xlfn.XLOOKUP(Table1820[[#This Row],[Vehicle Price]],Table6[Vehicle Price],Table6[Vehicle Price Factor])</f>
        <v>2.02</v>
      </c>
      <c r="AG733">
        <f>_xlfn.XLOOKUP(Table1820[[#This Row],[Exotic Car]],Table7[Exotic Car],Table7[Exotic Car Factor],,0)</f>
        <v>1</v>
      </c>
      <c r="AH733">
        <f>_xlfn.XLOOKUP(Table1820[[#This Row],[Difficult Parts]],Table8[Difficult Parts],Table8[Difficult Parts Factor],,0)</f>
        <v>1</v>
      </c>
      <c r="AI733">
        <f>_xlfn.XLOOKUP(Table1820[[#This Row],[High Theft Rate]],Table9[High Theft Rate],Table9[High Theft Rate Factor],,0)</f>
        <v>1</v>
      </c>
      <c r="AJ733">
        <f>_xlfn.XLOOKUP(Table1820[[#This Row],[Advanced Safety Features]],Table10[Advanced Safety Features],Table10[Advanced Safety Features Factor],,0)</f>
        <v>1</v>
      </c>
      <c r="AK733">
        <f>_xlfn.XLOOKUP(Table1820[[#This Row],[Deductible]],Table12[Deductible],Table12[Deductible Factor],,0)</f>
        <v>1</v>
      </c>
      <c r="AL733">
        <f>_xlfn.XLOOKUP(Table1820[[#This Row],[Coverage Limit]],Table13[Coverage Limit],Table13[Coverage Limit Factor],,0)</f>
        <v>0.84</v>
      </c>
      <c r="AM733">
        <f>IF(Table1820[[#This Row],[Good Student Discount]]="Yes",'Rate Book'!$D$126,1)</f>
        <v>0.92</v>
      </c>
      <c r="AN733">
        <f>IF(Table1820[[#This Row],[Good Driver Discount]]="Yes",'Rate Book'!$D$127,1)</f>
        <v>1</v>
      </c>
      <c r="AO733">
        <f>IF(Table1820[[#This Row],[Multi Policy Discount]]="Yes",'Rate Book'!$D$128,1)</f>
        <v>1</v>
      </c>
      <c r="AP733">
        <f>IF(Table1820[[#This Row],[Loyal Customer Discount]]="Yes",'Rate Book'!$D$129,1)</f>
        <v>0.94</v>
      </c>
      <c r="AQ733">
        <f>IF(Table1820[[#This Row],[Organization Discount]]="Yes",'Rate Book'!$D$130,1)</f>
        <v>1</v>
      </c>
      <c r="AR733" cm="1">
        <f t="array" ref="AR733">IF(Table1820[[#This Row],[Effective Date]]&gt;=RateChangeTable[Effective Date],RateChangeTable[Rate Change Factor],1)</f>
        <v>1.06</v>
      </c>
      <c r="AS733" s="10">
        <f>PRODUCT(Table1820[[#This Row],[Base Rate]:[Rate Change Factor]])</f>
        <v>4217.5416852366716</v>
      </c>
      <c r="AT733" s="9">
        <f>Table1820[[#This Row],[System-Generated Premium]]-Table1820[[#This Row],[Expected Premium]]</f>
        <v>0</v>
      </c>
      <c r="AU733" t="str">
        <f>IF(Table1820[[#This Row],[Difference]]=0,"PASS","FAIL")</f>
        <v>PASS</v>
      </c>
      <c r="AV733" s="9">
        <f>ABS(Table1820[[#This Row],[Difference]])</f>
        <v>0</v>
      </c>
      <c r="AW733" s="9" t="s">
        <v>1136</v>
      </c>
    </row>
    <row r="734" spans="1:49" x14ac:dyDescent="0.3">
      <c r="A734" t="s">
        <v>825</v>
      </c>
      <c r="B734" s="7">
        <v>45797</v>
      </c>
      <c r="C734" t="s">
        <v>70</v>
      </c>
      <c r="D734" t="s">
        <v>1100</v>
      </c>
      <c r="E734" s="3">
        <v>6</v>
      </c>
      <c r="F734" s="3" t="s">
        <v>7</v>
      </c>
      <c r="G734" t="s">
        <v>12</v>
      </c>
      <c r="H734" t="s">
        <v>1110</v>
      </c>
      <c r="I734" t="s">
        <v>38</v>
      </c>
      <c r="J734" t="s">
        <v>48</v>
      </c>
      <c r="K734" t="s">
        <v>10</v>
      </c>
      <c r="L734" t="s">
        <v>10</v>
      </c>
      <c r="M734" t="s">
        <v>10</v>
      </c>
      <c r="N734" t="s">
        <v>10</v>
      </c>
      <c r="O734" t="str">
        <f>INDEX(CoverageTable[Deductible Applies],MATCH(Table1820[[#This Row],[Coverage]],CoverageTable[Coverage],0))</f>
        <v>No</v>
      </c>
      <c r="P734" t="str">
        <f>INDEX(CoverageTable[Coverage Limit Applies],MATCH(Table1820[[#This Row],[Coverage]],CoverageTable[Coverage],0))</f>
        <v>Yes</v>
      </c>
      <c r="Q734" t="s">
        <v>10</v>
      </c>
      <c r="R734" t="s">
        <v>79</v>
      </c>
      <c r="S734" t="s">
        <v>10</v>
      </c>
      <c r="T734" t="s">
        <v>10</v>
      </c>
      <c r="U734" t="s">
        <v>10</v>
      </c>
      <c r="V734" t="s">
        <v>57</v>
      </c>
      <c r="W734" t="s">
        <v>10</v>
      </c>
      <c r="X734" s="11">
        <v>1070.8400936426624</v>
      </c>
      <c r="Y734">
        <f>_xlfn.XLOOKUP(Table1820[[#This Row],[Coverage]],CoverageTable[Coverage],CoverageTable[Base Rate],,0)</f>
        <v>622</v>
      </c>
      <c r="Z734">
        <f>INDEX(Table16[Ageband Factor],MATCH(Table1820[[#This Row],[Ageband]],Table16[Ageband],0))</f>
        <v>1.07</v>
      </c>
      <c r="AA734">
        <f>VLOOKUP(Table1820[[#This Row],[Years Driving]],Table1[],2)</f>
        <v>1</v>
      </c>
      <c r="AB734">
        <f>_xlfn.XLOOKUP(Table1820[[#This Row],[At Fault Accidents]],Table2[At Fault Accidents],Table2[At Fault Accident Factor],,0)</f>
        <v>2.4700000000000002</v>
      </c>
      <c r="AC734">
        <f>_xlfn.XLOOKUP(Table1820[[#This Row],[Usage-Based Insurance]],Table3[Usage-Based Insurance],Table3[Usage-Based Insurance Discount],,0)</f>
        <v>0.8</v>
      </c>
      <c r="AD734">
        <f>_xlfn.XLOOKUP(Table1820[[#This Row],[Yearly Miles]],Table4[Yearly Miles],Table4[Yearly Miles Factor],,0)</f>
        <v>1.31</v>
      </c>
      <c r="AE734">
        <f>_xlfn.XLOOKUP(Table1820[[#This Row],[City/Zip Code]],Table5[City/Zip Code],Table5[City/Zip Code Factor],,0)</f>
        <v>1.1200000000000001</v>
      </c>
      <c r="AF734">
        <f>_xlfn.XLOOKUP(Table1820[[#This Row],[Vehicle Price]],Table6[Vehicle Price],Table6[Vehicle Price Factor])</f>
        <v>0.82</v>
      </c>
      <c r="AG734">
        <f>_xlfn.XLOOKUP(Table1820[[#This Row],[Exotic Car]],Table7[Exotic Car],Table7[Exotic Car Factor],,0)</f>
        <v>1</v>
      </c>
      <c r="AH734">
        <f>_xlfn.XLOOKUP(Table1820[[#This Row],[Difficult Parts]],Table8[Difficult Parts],Table8[Difficult Parts Factor],,0)</f>
        <v>1</v>
      </c>
      <c r="AI734">
        <f>_xlfn.XLOOKUP(Table1820[[#This Row],[High Theft Rate]],Table9[High Theft Rate],Table9[High Theft Rate Factor],,0)</f>
        <v>1</v>
      </c>
      <c r="AJ734">
        <f>_xlfn.XLOOKUP(Table1820[[#This Row],[Advanced Safety Features]],Table10[Advanced Safety Features],Table10[Advanced Safety Features Factor],,0)</f>
        <v>1</v>
      </c>
      <c r="AK734">
        <f>_xlfn.XLOOKUP(Table1820[[#This Row],[Deductible]],Table12[Deductible],Table12[Deductible Factor],,0)</f>
        <v>1</v>
      </c>
      <c r="AL734">
        <f>_xlfn.XLOOKUP(Table1820[[#This Row],[Coverage Limit]],Table13[Coverage Limit],Table13[Coverage Limit Factor],,0)</f>
        <v>0.72</v>
      </c>
      <c r="AM734">
        <f>IF(Table1820[[#This Row],[Good Student Discount]]="Yes",'Rate Book'!$D$126,1)</f>
        <v>1</v>
      </c>
      <c r="AN734">
        <f>IF(Table1820[[#This Row],[Good Driver Discount]]="Yes",'Rate Book'!$D$127,1)</f>
        <v>1</v>
      </c>
      <c r="AO734">
        <f>IF(Table1820[[#This Row],[Multi Policy Discount]]="Yes",'Rate Book'!$D$128,1)</f>
        <v>1</v>
      </c>
      <c r="AP734">
        <f>IF(Table1820[[#This Row],[Loyal Customer Discount]]="Yes",'Rate Book'!$D$129,1)</f>
        <v>0.94</v>
      </c>
      <c r="AQ734">
        <f>IF(Table1820[[#This Row],[Organization Discount]]="Yes",'Rate Book'!$D$130,1)</f>
        <v>1</v>
      </c>
      <c r="AR734" cm="1">
        <f t="array" ref="AR734">IF(Table1820[[#This Row],[Effective Date]]&gt;=RateChangeTable[Effective Date],RateChangeTable[Rate Change Factor],1)</f>
        <v>1</v>
      </c>
      <c r="AS734" s="10">
        <f>PRODUCT(Table1820[[#This Row],[Base Rate]:[Rate Change Factor]])</f>
        <v>1070.8400936426624</v>
      </c>
      <c r="AT734" s="9">
        <f>Table1820[[#This Row],[System-Generated Premium]]-Table1820[[#This Row],[Expected Premium]]</f>
        <v>0</v>
      </c>
      <c r="AU734" t="str">
        <f>IF(Table1820[[#This Row],[Difference]]=0,"PASS","FAIL")</f>
        <v>PASS</v>
      </c>
      <c r="AV734" s="9">
        <f>ABS(Table1820[[#This Row],[Difference]])</f>
        <v>0</v>
      </c>
      <c r="AW734" s="9" t="s">
        <v>1136</v>
      </c>
    </row>
    <row r="735" spans="1:49" x14ac:dyDescent="0.3">
      <c r="A735" t="s">
        <v>826</v>
      </c>
      <c r="B735" s="7">
        <v>45812</v>
      </c>
      <c r="C735" t="s">
        <v>70</v>
      </c>
      <c r="D735" t="s">
        <v>1100</v>
      </c>
      <c r="E735" s="3">
        <v>7</v>
      </c>
      <c r="F735" s="3">
        <v>3</v>
      </c>
      <c r="G735" t="s">
        <v>13</v>
      </c>
      <c r="H735" t="s">
        <v>1108</v>
      </c>
      <c r="I735" t="s">
        <v>38</v>
      </c>
      <c r="J735" t="s">
        <v>54</v>
      </c>
      <c r="K735" t="s">
        <v>10</v>
      </c>
      <c r="L735" t="s">
        <v>10</v>
      </c>
      <c r="M735" t="s">
        <v>10</v>
      </c>
      <c r="N735" t="s">
        <v>10</v>
      </c>
      <c r="O735" t="str">
        <f>INDEX(CoverageTable[Deductible Applies],MATCH(Table1820[[#This Row],[Coverage]],CoverageTable[Coverage],0))</f>
        <v>No</v>
      </c>
      <c r="P735" t="str">
        <f>INDEX(CoverageTable[Coverage Limit Applies],MATCH(Table1820[[#This Row],[Coverage]],CoverageTable[Coverage],0))</f>
        <v>Yes</v>
      </c>
      <c r="Q735" t="s">
        <v>10</v>
      </c>
      <c r="R735" t="s">
        <v>80</v>
      </c>
      <c r="S735" t="s">
        <v>10</v>
      </c>
      <c r="T735" t="s">
        <v>10</v>
      </c>
      <c r="U735" t="s">
        <v>10</v>
      </c>
      <c r="V735" t="s">
        <v>10</v>
      </c>
      <c r="W735" t="s">
        <v>10</v>
      </c>
      <c r="X735" s="11">
        <v>2019.5830531443844</v>
      </c>
      <c r="Y735">
        <f>_xlfn.XLOOKUP(Table1820[[#This Row],[Coverage]],CoverageTable[Coverage],CoverageTable[Base Rate],,0)</f>
        <v>622</v>
      </c>
      <c r="Z735">
        <f>INDEX(Table16[Ageband Factor],MATCH(Table1820[[#This Row],[Ageband]],Table16[Ageband],0))</f>
        <v>1.07</v>
      </c>
      <c r="AA735">
        <f>VLOOKUP(Table1820[[#This Row],[Years Driving]],Table1[],2)</f>
        <v>0.95</v>
      </c>
      <c r="AB735">
        <f>_xlfn.XLOOKUP(Table1820[[#This Row],[At Fault Accidents]],Table2[At Fault Accidents],Table2[At Fault Accident Factor],,0)</f>
        <v>1.82</v>
      </c>
      <c r="AC735">
        <f>_xlfn.XLOOKUP(Table1820[[#This Row],[Usage-Based Insurance]],Table3[Usage-Based Insurance],Table3[Usage-Based Insurance Discount],,0)</f>
        <v>0.65</v>
      </c>
      <c r="AD735">
        <f>_xlfn.XLOOKUP(Table1820[[#This Row],[Yearly Miles]],Table4[Yearly Miles],Table4[Yearly Miles Factor],,0)</f>
        <v>1</v>
      </c>
      <c r="AE735">
        <f>_xlfn.XLOOKUP(Table1820[[#This Row],[City/Zip Code]],Table5[City/Zip Code],Table5[City/Zip Code Factor],,0)</f>
        <v>1.1200000000000001</v>
      </c>
      <c r="AF735">
        <f>_xlfn.XLOOKUP(Table1820[[#This Row],[Vehicle Price]],Table6[Vehicle Price],Table6[Vehicle Price Factor])</f>
        <v>2.87</v>
      </c>
      <c r="AG735">
        <f>_xlfn.XLOOKUP(Table1820[[#This Row],[Exotic Car]],Table7[Exotic Car],Table7[Exotic Car Factor],,0)</f>
        <v>1</v>
      </c>
      <c r="AH735">
        <f>_xlfn.XLOOKUP(Table1820[[#This Row],[Difficult Parts]],Table8[Difficult Parts],Table8[Difficult Parts Factor],,0)</f>
        <v>1</v>
      </c>
      <c r="AI735">
        <f>_xlfn.XLOOKUP(Table1820[[#This Row],[High Theft Rate]],Table9[High Theft Rate],Table9[High Theft Rate Factor],,0)</f>
        <v>1</v>
      </c>
      <c r="AJ735">
        <f>_xlfn.XLOOKUP(Table1820[[#This Row],[Advanced Safety Features]],Table10[Advanced Safety Features],Table10[Advanced Safety Features Factor],,0)</f>
        <v>1</v>
      </c>
      <c r="AK735">
        <f>_xlfn.XLOOKUP(Table1820[[#This Row],[Deductible]],Table12[Deductible],Table12[Deductible Factor],,0)</f>
        <v>1</v>
      </c>
      <c r="AL735">
        <f>_xlfn.XLOOKUP(Table1820[[#This Row],[Coverage Limit]],Table13[Coverage Limit],Table13[Coverage Limit Factor],,0)</f>
        <v>0.84</v>
      </c>
      <c r="AM735">
        <f>IF(Table1820[[#This Row],[Good Student Discount]]="Yes",'Rate Book'!$D$126,1)</f>
        <v>1</v>
      </c>
      <c r="AN735">
        <f>IF(Table1820[[#This Row],[Good Driver Discount]]="Yes",'Rate Book'!$D$127,1)</f>
        <v>1</v>
      </c>
      <c r="AO735">
        <f>IF(Table1820[[#This Row],[Multi Policy Discount]]="Yes",'Rate Book'!$D$128,1)</f>
        <v>1</v>
      </c>
      <c r="AP735">
        <f>IF(Table1820[[#This Row],[Loyal Customer Discount]]="Yes",'Rate Book'!$D$129,1)</f>
        <v>1</v>
      </c>
      <c r="AQ735">
        <f>IF(Table1820[[#This Row],[Organization Discount]]="Yes",'Rate Book'!$D$130,1)</f>
        <v>1</v>
      </c>
      <c r="AR735" cm="1">
        <f t="array" ref="AR735">IF(Table1820[[#This Row],[Effective Date]]&gt;=RateChangeTable[Effective Date],RateChangeTable[Rate Change Factor],1)</f>
        <v>1</v>
      </c>
      <c r="AS735" s="10">
        <f>PRODUCT(Table1820[[#This Row],[Base Rate]:[Rate Change Factor]])</f>
        <v>2019.5830531443844</v>
      </c>
      <c r="AT735" s="9">
        <f>Table1820[[#This Row],[System-Generated Premium]]-Table1820[[#This Row],[Expected Premium]]</f>
        <v>0</v>
      </c>
      <c r="AU735" t="str">
        <f>IF(Table1820[[#This Row],[Difference]]=0,"PASS","FAIL")</f>
        <v>PASS</v>
      </c>
      <c r="AV735" s="9">
        <f>ABS(Table1820[[#This Row],[Difference]])</f>
        <v>0</v>
      </c>
      <c r="AW735" s="9" t="s">
        <v>1136</v>
      </c>
    </row>
    <row r="736" spans="1:49" x14ac:dyDescent="0.3">
      <c r="A736" t="s">
        <v>827</v>
      </c>
      <c r="B736" s="7">
        <v>46075</v>
      </c>
      <c r="C736" t="s">
        <v>70</v>
      </c>
      <c r="D736" t="s">
        <v>1098</v>
      </c>
      <c r="E736" s="3">
        <v>3</v>
      </c>
      <c r="F736" s="3">
        <v>2</v>
      </c>
      <c r="G736" t="s">
        <v>10</v>
      </c>
      <c r="H736" t="s">
        <v>1106</v>
      </c>
      <c r="I736" t="s">
        <v>29</v>
      </c>
      <c r="J736" t="s">
        <v>49</v>
      </c>
      <c r="K736" t="s">
        <v>10</v>
      </c>
      <c r="L736" t="s">
        <v>10</v>
      </c>
      <c r="M736" t="s">
        <v>57</v>
      </c>
      <c r="N736" t="s">
        <v>10</v>
      </c>
      <c r="O736" t="str">
        <f>INDEX(CoverageTable[Deductible Applies],MATCH(Table1820[[#This Row],[Coverage]],CoverageTable[Coverage],0))</f>
        <v>No</v>
      </c>
      <c r="P736" t="str">
        <f>INDEX(CoverageTable[Coverage Limit Applies],MATCH(Table1820[[#This Row],[Coverage]],CoverageTable[Coverage],0))</f>
        <v>Yes</v>
      </c>
      <c r="Q736" t="s">
        <v>10</v>
      </c>
      <c r="R736" t="s">
        <v>78</v>
      </c>
      <c r="S736" t="s">
        <v>10</v>
      </c>
      <c r="T736" t="s">
        <v>57</v>
      </c>
      <c r="U736" t="s">
        <v>10</v>
      </c>
      <c r="V736" t="s">
        <v>10</v>
      </c>
      <c r="W736" t="s">
        <v>10</v>
      </c>
      <c r="X736" s="11">
        <v>837.30330549399105</v>
      </c>
      <c r="Y736">
        <f>_xlfn.XLOOKUP(Table1820[[#This Row],[Coverage]],CoverageTable[Coverage],CoverageTable[Base Rate],,0)</f>
        <v>622</v>
      </c>
      <c r="Z736">
        <f>INDEX(Table16[Ageband Factor],MATCH(Table1820[[#This Row],[Ageband]],Table16[Ageband],0))</f>
        <v>1.23</v>
      </c>
      <c r="AA736">
        <f>VLOOKUP(Table1820[[#This Row],[Years Driving]],Table1[],2)</f>
        <v>1.22</v>
      </c>
      <c r="AB736">
        <f>_xlfn.XLOOKUP(Table1820[[#This Row],[At Fault Accidents]],Table2[At Fault Accidents],Table2[At Fault Accident Factor],,0)</f>
        <v>1.55</v>
      </c>
      <c r="AC736">
        <f>_xlfn.XLOOKUP(Table1820[[#This Row],[Usage-Based Insurance]],Table3[Usage-Based Insurance],Table3[Usage-Based Insurance Discount],,0)</f>
        <v>1</v>
      </c>
      <c r="AD736">
        <f>_xlfn.XLOOKUP(Table1820[[#This Row],[Yearly Miles]],Table4[Yearly Miles],Table4[Yearly Miles Factor],,0)</f>
        <v>0.82</v>
      </c>
      <c r="AE736">
        <f>_xlfn.XLOOKUP(Table1820[[#This Row],[City/Zip Code]],Table5[City/Zip Code],Table5[City/Zip Code Factor],,0)</f>
        <v>1.0900000000000001</v>
      </c>
      <c r="AF736">
        <f>_xlfn.XLOOKUP(Table1820[[#This Row],[Vehicle Price]],Table6[Vehicle Price],Table6[Vehicle Price Factor])</f>
        <v>0.97</v>
      </c>
      <c r="AG736">
        <f>_xlfn.XLOOKUP(Table1820[[#This Row],[Exotic Car]],Table7[Exotic Car],Table7[Exotic Car Factor],,0)</f>
        <v>1</v>
      </c>
      <c r="AH736">
        <f>_xlfn.XLOOKUP(Table1820[[#This Row],[Difficult Parts]],Table8[Difficult Parts],Table8[Difficult Parts Factor],,0)</f>
        <v>1</v>
      </c>
      <c r="AI736">
        <f>_xlfn.XLOOKUP(Table1820[[#This Row],[High Theft Rate]],Table9[High Theft Rate],Table9[High Theft Rate Factor],,0)</f>
        <v>1.1599999999999999</v>
      </c>
      <c r="AJ736">
        <f>_xlfn.XLOOKUP(Table1820[[#This Row],[Advanced Safety Features]],Table10[Advanced Safety Features],Table10[Advanced Safety Features Factor],,0)</f>
        <v>1</v>
      </c>
      <c r="AK736">
        <f>_xlfn.XLOOKUP(Table1820[[#This Row],[Deductible]],Table12[Deductible],Table12[Deductible Factor],,0)</f>
        <v>1</v>
      </c>
      <c r="AL736">
        <f>_xlfn.XLOOKUP(Table1820[[#This Row],[Coverage Limit]],Table13[Coverage Limit],Table13[Coverage Limit Factor],,0)</f>
        <v>0.61</v>
      </c>
      <c r="AM736">
        <f>IF(Table1820[[#This Row],[Good Student Discount]]="Yes",'Rate Book'!$D$126,1)</f>
        <v>1</v>
      </c>
      <c r="AN736">
        <f>IF(Table1820[[#This Row],[Good Driver Discount]]="Yes",'Rate Book'!$D$127,1)</f>
        <v>0.89</v>
      </c>
      <c r="AO736">
        <f>IF(Table1820[[#This Row],[Multi Policy Discount]]="Yes",'Rate Book'!$D$128,1)</f>
        <v>1</v>
      </c>
      <c r="AP736">
        <f>IF(Table1820[[#This Row],[Loyal Customer Discount]]="Yes",'Rate Book'!$D$129,1)</f>
        <v>1</v>
      </c>
      <c r="AQ736">
        <f>IF(Table1820[[#This Row],[Organization Discount]]="Yes",'Rate Book'!$D$130,1)</f>
        <v>1</v>
      </c>
      <c r="AR736" cm="1">
        <f t="array" ref="AR736">IF(Table1820[[#This Row],[Effective Date]]&gt;=RateChangeTable[Effective Date],RateChangeTable[Rate Change Factor],1)</f>
        <v>1.06</v>
      </c>
      <c r="AS736" s="10">
        <f>PRODUCT(Table1820[[#This Row],[Base Rate]:[Rate Change Factor]])</f>
        <v>837.30330549399105</v>
      </c>
      <c r="AT736" s="9">
        <f>Table1820[[#This Row],[System-Generated Premium]]-Table1820[[#This Row],[Expected Premium]]</f>
        <v>0</v>
      </c>
      <c r="AU736" t="str">
        <f>IF(Table1820[[#This Row],[Difference]]=0,"PASS","FAIL")</f>
        <v>PASS</v>
      </c>
      <c r="AV736" s="9">
        <f>ABS(Table1820[[#This Row],[Difference]])</f>
        <v>0</v>
      </c>
      <c r="AW736" s="9" t="s">
        <v>1136</v>
      </c>
    </row>
    <row r="737" spans="1:49" x14ac:dyDescent="0.3">
      <c r="A737" t="s">
        <v>828</v>
      </c>
      <c r="B737" s="7">
        <v>45783</v>
      </c>
      <c r="C737" t="s">
        <v>73</v>
      </c>
      <c r="D737" t="s">
        <v>1100</v>
      </c>
      <c r="E737" s="3">
        <v>4</v>
      </c>
      <c r="F737" s="3">
        <v>3</v>
      </c>
      <c r="G737" t="s">
        <v>13</v>
      </c>
      <c r="H737" t="s">
        <v>1108</v>
      </c>
      <c r="I737" t="s">
        <v>24</v>
      </c>
      <c r="J737" t="s">
        <v>53</v>
      </c>
      <c r="K737" t="s">
        <v>10</v>
      </c>
      <c r="L737" t="s">
        <v>10</v>
      </c>
      <c r="M737" t="s">
        <v>10</v>
      </c>
      <c r="N737" t="s">
        <v>10</v>
      </c>
      <c r="O737" t="str">
        <f>INDEX(CoverageTable[Deductible Applies],MATCH(Table1820[[#This Row],[Coverage]],CoverageTable[Coverage],0))</f>
        <v>No</v>
      </c>
      <c r="P737" t="str">
        <f>INDEX(CoverageTable[Coverage Limit Applies],MATCH(Table1820[[#This Row],[Coverage]],CoverageTable[Coverage],0))</f>
        <v>Yes</v>
      </c>
      <c r="Q737" t="s">
        <v>10</v>
      </c>
      <c r="R737" t="s">
        <v>78</v>
      </c>
      <c r="S737" t="s">
        <v>10</v>
      </c>
      <c r="T737" t="s">
        <v>57</v>
      </c>
      <c r="U737" t="s">
        <v>10</v>
      </c>
      <c r="V737" t="s">
        <v>10</v>
      </c>
      <c r="W737" t="s">
        <v>10</v>
      </c>
      <c r="X737" s="11">
        <v>148.17643364847413</v>
      </c>
      <c r="Y737">
        <f>_xlfn.XLOOKUP(Table1820[[#This Row],[Coverage]],CoverageTable[Coverage],CoverageTable[Base Rate],,0)</f>
        <v>78</v>
      </c>
      <c r="Z737">
        <f>INDEX(Table16[Ageband Factor],MATCH(Table1820[[#This Row],[Ageband]],Table16[Ageband],0))</f>
        <v>1.07</v>
      </c>
      <c r="AA737">
        <f>VLOOKUP(Table1820[[#This Row],[Years Driving]],Table1[],2)</f>
        <v>1.1499999999999999</v>
      </c>
      <c r="AB737">
        <f>_xlfn.XLOOKUP(Table1820[[#This Row],[At Fault Accidents]],Table2[At Fault Accidents],Table2[At Fault Accident Factor],,0)</f>
        <v>1.82</v>
      </c>
      <c r="AC737">
        <f>_xlfn.XLOOKUP(Table1820[[#This Row],[Usage-Based Insurance]],Table3[Usage-Based Insurance],Table3[Usage-Based Insurance Discount],,0)</f>
        <v>0.65</v>
      </c>
      <c r="AD737">
        <f>_xlfn.XLOOKUP(Table1820[[#This Row],[Yearly Miles]],Table4[Yearly Miles],Table4[Yearly Miles Factor],,0)</f>
        <v>1</v>
      </c>
      <c r="AE737">
        <f>_xlfn.XLOOKUP(Table1820[[#This Row],[City/Zip Code]],Table5[City/Zip Code],Table5[City/Zip Code Factor],,0)</f>
        <v>1.19</v>
      </c>
      <c r="AF737">
        <f>_xlfn.XLOOKUP(Table1820[[#This Row],[Vehicle Price]],Table6[Vehicle Price],Table6[Vehicle Price Factor])</f>
        <v>2.02</v>
      </c>
      <c r="AG737">
        <f>_xlfn.XLOOKUP(Table1820[[#This Row],[Exotic Car]],Table7[Exotic Car],Table7[Exotic Car Factor],,0)</f>
        <v>1</v>
      </c>
      <c r="AH737">
        <f>_xlfn.XLOOKUP(Table1820[[#This Row],[Difficult Parts]],Table8[Difficult Parts],Table8[Difficult Parts Factor],,0)</f>
        <v>1</v>
      </c>
      <c r="AI737">
        <f>_xlfn.XLOOKUP(Table1820[[#This Row],[High Theft Rate]],Table9[High Theft Rate],Table9[High Theft Rate Factor],,0)</f>
        <v>1</v>
      </c>
      <c r="AJ737">
        <f>_xlfn.XLOOKUP(Table1820[[#This Row],[Advanced Safety Features]],Table10[Advanced Safety Features],Table10[Advanced Safety Features Factor],,0)</f>
        <v>1</v>
      </c>
      <c r="AK737">
        <f>_xlfn.XLOOKUP(Table1820[[#This Row],[Deductible]],Table12[Deductible],Table12[Deductible Factor],,0)</f>
        <v>1</v>
      </c>
      <c r="AL737">
        <f>_xlfn.XLOOKUP(Table1820[[#This Row],[Coverage Limit]],Table13[Coverage Limit],Table13[Coverage Limit Factor],,0)</f>
        <v>0.61</v>
      </c>
      <c r="AM737">
        <f>IF(Table1820[[#This Row],[Good Student Discount]]="Yes",'Rate Book'!$D$126,1)</f>
        <v>1</v>
      </c>
      <c r="AN737">
        <f>IF(Table1820[[#This Row],[Good Driver Discount]]="Yes",'Rate Book'!$D$127,1)</f>
        <v>0.89</v>
      </c>
      <c r="AO737">
        <f>IF(Table1820[[#This Row],[Multi Policy Discount]]="Yes",'Rate Book'!$D$128,1)</f>
        <v>1</v>
      </c>
      <c r="AP737">
        <f>IF(Table1820[[#This Row],[Loyal Customer Discount]]="Yes",'Rate Book'!$D$129,1)</f>
        <v>1</v>
      </c>
      <c r="AQ737">
        <f>IF(Table1820[[#This Row],[Organization Discount]]="Yes",'Rate Book'!$D$130,1)</f>
        <v>1</v>
      </c>
      <c r="AR737" cm="1">
        <f t="array" ref="AR737">IF(Table1820[[#This Row],[Effective Date]]&gt;=RateChangeTable[Effective Date],RateChangeTable[Rate Change Factor],1)</f>
        <v>1</v>
      </c>
      <c r="AS737" s="10">
        <f>PRODUCT(Table1820[[#This Row],[Base Rate]:[Rate Change Factor]])</f>
        <v>148.17643364847413</v>
      </c>
      <c r="AT737" s="9">
        <f>Table1820[[#This Row],[System-Generated Premium]]-Table1820[[#This Row],[Expected Premium]]</f>
        <v>0</v>
      </c>
      <c r="AU737" t="str">
        <f>IF(Table1820[[#This Row],[Difference]]=0,"PASS","FAIL")</f>
        <v>PASS</v>
      </c>
      <c r="AV737" s="9">
        <f>ABS(Table1820[[#This Row],[Difference]])</f>
        <v>0</v>
      </c>
      <c r="AW737" s="9" t="s">
        <v>1136</v>
      </c>
    </row>
    <row r="738" spans="1:49" x14ac:dyDescent="0.3">
      <c r="A738" t="s">
        <v>829</v>
      </c>
      <c r="B738" s="7">
        <v>45875</v>
      </c>
      <c r="C738" t="s">
        <v>74</v>
      </c>
      <c r="D738" t="s">
        <v>1102</v>
      </c>
      <c r="E738" s="3">
        <v>1</v>
      </c>
      <c r="F738" s="3">
        <v>1</v>
      </c>
      <c r="G738" t="s">
        <v>10</v>
      </c>
      <c r="H738" t="s">
        <v>1106</v>
      </c>
      <c r="I738" t="s">
        <v>36</v>
      </c>
      <c r="J738" t="s">
        <v>50</v>
      </c>
      <c r="K738" t="s">
        <v>10</v>
      </c>
      <c r="L738" t="s">
        <v>10</v>
      </c>
      <c r="M738" t="s">
        <v>10</v>
      </c>
      <c r="N738" t="s">
        <v>10</v>
      </c>
      <c r="O738" t="str">
        <f>INDEX(CoverageTable[Deductible Applies],MATCH(Table1820[[#This Row],[Coverage]],CoverageTable[Coverage],0))</f>
        <v>No</v>
      </c>
      <c r="P738" t="str">
        <f>INDEX(CoverageTable[Coverage Limit Applies],MATCH(Table1820[[#This Row],[Coverage]],CoverageTable[Coverage],0))</f>
        <v>Yes</v>
      </c>
      <c r="Q738" t="s">
        <v>10</v>
      </c>
      <c r="R738" t="s">
        <v>79</v>
      </c>
      <c r="S738" t="s">
        <v>10</v>
      </c>
      <c r="T738" t="s">
        <v>10</v>
      </c>
      <c r="U738" t="s">
        <v>10</v>
      </c>
      <c r="V738" t="s">
        <v>10</v>
      </c>
      <c r="W738" t="s">
        <v>10</v>
      </c>
      <c r="X738" s="11">
        <v>71.504340281579516</v>
      </c>
      <c r="Y738">
        <f>_xlfn.XLOOKUP(Table1820[[#This Row],[Coverage]],CoverageTable[Coverage],CoverageTable[Base Rate],,0)</f>
        <v>41</v>
      </c>
      <c r="Z738">
        <f>INDEX(Table16[Ageband Factor],MATCH(Table1820[[#This Row],[Ageband]],Table16[Ageband],0))</f>
        <v>1.27</v>
      </c>
      <c r="AA738">
        <f>VLOOKUP(Table1820[[#This Row],[Years Driving]],Table1[],2)</f>
        <v>1.64</v>
      </c>
      <c r="AB738">
        <f>_xlfn.XLOOKUP(Table1820[[#This Row],[At Fault Accidents]],Table2[At Fault Accidents],Table2[At Fault Accident Factor],,0)</f>
        <v>1.34</v>
      </c>
      <c r="AC738">
        <f>_xlfn.XLOOKUP(Table1820[[#This Row],[Usage-Based Insurance]],Table3[Usage-Based Insurance],Table3[Usage-Based Insurance Discount],,0)</f>
        <v>1</v>
      </c>
      <c r="AD738">
        <f>_xlfn.XLOOKUP(Table1820[[#This Row],[Yearly Miles]],Table4[Yearly Miles],Table4[Yearly Miles Factor],,0)</f>
        <v>0.82</v>
      </c>
      <c r="AE738">
        <f>_xlfn.XLOOKUP(Table1820[[#This Row],[City/Zip Code]],Table5[City/Zip Code],Table5[City/Zip Code Factor],,0)</f>
        <v>0.98</v>
      </c>
      <c r="AF738">
        <f>_xlfn.XLOOKUP(Table1820[[#This Row],[Vehicle Price]],Table6[Vehicle Price],Table6[Vehicle Price Factor])</f>
        <v>1.08</v>
      </c>
      <c r="AG738">
        <f>_xlfn.XLOOKUP(Table1820[[#This Row],[Exotic Car]],Table7[Exotic Car],Table7[Exotic Car Factor],,0)</f>
        <v>1</v>
      </c>
      <c r="AH738">
        <f>_xlfn.XLOOKUP(Table1820[[#This Row],[Difficult Parts]],Table8[Difficult Parts],Table8[Difficult Parts Factor],,0)</f>
        <v>1</v>
      </c>
      <c r="AI738">
        <f>_xlfn.XLOOKUP(Table1820[[#This Row],[High Theft Rate]],Table9[High Theft Rate],Table9[High Theft Rate Factor],,0)</f>
        <v>1</v>
      </c>
      <c r="AJ738">
        <f>_xlfn.XLOOKUP(Table1820[[#This Row],[Advanced Safety Features]],Table10[Advanced Safety Features],Table10[Advanced Safety Features Factor],,0)</f>
        <v>1</v>
      </c>
      <c r="AK738">
        <f>_xlfn.XLOOKUP(Table1820[[#This Row],[Deductible]],Table12[Deductible],Table12[Deductible Factor],,0)</f>
        <v>1</v>
      </c>
      <c r="AL738">
        <f>_xlfn.XLOOKUP(Table1820[[#This Row],[Coverage Limit]],Table13[Coverage Limit],Table13[Coverage Limit Factor],,0)</f>
        <v>0.72</v>
      </c>
      <c r="AM738">
        <f>IF(Table1820[[#This Row],[Good Student Discount]]="Yes",'Rate Book'!$D$126,1)</f>
        <v>1</v>
      </c>
      <c r="AN738">
        <f>IF(Table1820[[#This Row],[Good Driver Discount]]="Yes",'Rate Book'!$D$127,1)</f>
        <v>1</v>
      </c>
      <c r="AO738">
        <f>IF(Table1820[[#This Row],[Multi Policy Discount]]="Yes",'Rate Book'!$D$128,1)</f>
        <v>1</v>
      </c>
      <c r="AP738">
        <f>IF(Table1820[[#This Row],[Loyal Customer Discount]]="Yes",'Rate Book'!$D$129,1)</f>
        <v>1</v>
      </c>
      <c r="AQ738">
        <f>IF(Table1820[[#This Row],[Organization Discount]]="Yes",'Rate Book'!$D$130,1)</f>
        <v>1</v>
      </c>
      <c r="AR738" cm="1">
        <f t="array" ref="AR738">IF(Table1820[[#This Row],[Effective Date]]&gt;=RateChangeTable[Effective Date],RateChangeTable[Rate Change Factor],1)</f>
        <v>1</v>
      </c>
      <c r="AS738" s="10">
        <f>PRODUCT(Table1820[[#This Row],[Base Rate]:[Rate Change Factor]])</f>
        <v>71.504340281579516</v>
      </c>
      <c r="AT738" s="9">
        <f>Table1820[[#This Row],[System-Generated Premium]]-Table1820[[#This Row],[Expected Premium]]</f>
        <v>0</v>
      </c>
      <c r="AU738" t="str">
        <f>IF(Table1820[[#This Row],[Difference]]=0,"PASS","FAIL")</f>
        <v>PASS</v>
      </c>
      <c r="AV738" s="9">
        <f>ABS(Table1820[[#This Row],[Difference]])</f>
        <v>0</v>
      </c>
      <c r="AW738" s="9" t="s">
        <v>1136</v>
      </c>
    </row>
    <row r="739" spans="1:49" x14ac:dyDescent="0.3">
      <c r="A739" t="s">
        <v>830</v>
      </c>
      <c r="B739" s="7">
        <v>46065</v>
      </c>
      <c r="C739" t="s">
        <v>73</v>
      </c>
      <c r="D739" t="s">
        <v>1100</v>
      </c>
      <c r="E739" s="3">
        <v>3</v>
      </c>
      <c r="F739" s="3">
        <v>4</v>
      </c>
      <c r="G739" t="s">
        <v>10</v>
      </c>
      <c r="H739" t="s">
        <v>1107</v>
      </c>
      <c r="I739" t="s">
        <v>31</v>
      </c>
      <c r="J739" t="s">
        <v>54</v>
      </c>
      <c r="K739" t="s">
        <v>10</v>
      </c>
      <c r="L739" t="s">
        <v>10</v>
      </c>
      <c r="M739" t="s">
        <v>10</v>
      </c>
      <c r="N739" t="s">
        <v>57</v>
      </c>
      <c r="O739" t="str">
        <f>INDEX(CoverageTable[Deductible Applies],MATCH(Table1820[[#This Row],[Coverage]],CoverageTable[Coverage],0))</f>
        <v>No</v>
      </c>
      <c r="P739" t="str">
        <f>INDEX(CoverageTable[Coverage Limit Applies],MATCH(Table1820[[#This Row],[Coverage]],CoverageTable[Coverage],0))</f>
        <v>Yes</v>
      </c>
      <c r="Q739" t="s">
        <v>10</v>
      </c>
      <c r="R739" t="s">
        <v>80</v>
      </c>
      <c r="S739" t="s">
        <v>10</v>
      </c>
      <c r="T739" t="s">
        <v>57</v>
      </c>
      <c r="U739" t="s">
        <v>10</v>
      </c>
      <c r="V739" t="s">
        <v>57</v>
      </c>
      <c r="W739" t="s">
        <v>10</v>
      </c>
      <c r="X739" s="11">
        <v>419.22539227552699</v>
      </c>
      <c r="Y739">
        <f>_xlfn.XLOOKUP(Table1820[[#This Row],[Coverage]],CoverageTable[Coverage],CoverageTable[Base Rate],,0)</f>
        <v>78</v>
      </c>
      <c r="Z739">
        <f>INDEX(Table16[Ageband Factor],MATCH(Table1820[[#This Row],[Ageband]],Table16[Ageband],0))</f>
        <v>1.07</v>
      </c>
      <c r="AA739">
        <f>VLOOKUP(Table1820[[#This Row],[Years Driving]],Table1[],2)</f>
        <v>1.22</v>
      </c>
      <c r="AB739">
        <f>_xlfn.XLOOKUP(Table1820[[#This Row],[At Fault Accidents]],Table2[At Fault Accidents],Table2[At Fault Accident Factor],,0)</f>
        <v>2.12</v>
      </c>
      <c r="AC739">
        <f>_xlfn.XLOOKUP(Table1820[[#This Row],[Usage-Based Insurance]],Table3[Usage-Based Insurance],Table3[Usage-Based Insurance Discount],,0)</f>
        <v>1</v>
      </c>
      <c r="AD739">
        <f>_xlfn.XLOOKUP(Table1820[[#This Row],[Yearly Miles]],Table4[Yearly Miles],Table4[Yearly Miles Factor],,0)</f>
        <v>0.93</v>
      </c>
      <c r="AE739">
        <f>_xlfn.XLOOKUP(Table1820[[#This Row],[City/Zip Code]],Table5[City/Zip Code],Table5[City/Zip Code Factor],,0)</f>
        <v>1.1100000000000001</v>
      </c>
      <c r="AF739">
        <f>_xlfn.XLOOKUP(Table1820[[#This Row],[Vehicle Price]],Table6[Vehicle Price],Table6[Vehicle Price Factor])</f>
        <v>2.87</v>
      </c>
      <c r="AG739">
        <f>_xlfn.XLOOKUP(Table1820[[#This Row],[Exotic Car]],Table7[Exotic Car],Table7[Exotic Car Factor],,0)</f>
        <v>1</v>
      </c>
      <c r="AH739">
        <f>_xlfn.XLOOKUP(Table1820[[#This Row],[Difficult Parts]],Table8[Difficult Parts],Table8[Difficult Parts Factor],,0)</f>
        <v>1</v>
      </c>
      <c r="AI739">
        <f>_xlfn.XLOOKUP(Table1820[[#This Row],[High Theft Rate]],Table9[High Theft Rate],Table9[High Theft Rate Factor],,0)</f>
        <v>1</v>
      </c>
      <c r="AJ739">
        <f>_xlfn.XLOOKUP(Table1820[[#This Row],[Advanced Safety Features]],Table10[Advanced Safety Features],Table10[Advanced Safety Features Factor],,0)</f>
        <v>0.88</v>
      </c>
      <c r="AK739">
        <f>_xlfn.XLOOKUP(Table1820[[#This Row],[Deductible]],Table12[Deductible],Table12[Deductible Factor],,0)</f>
        <v>1</v>
      </c>
      <c r="AL739">
        <f>_xlfn.XLOOKUP(Table1820[[#This Row],[Coverage Limit]],Table13[Coverage Limit],Table13[Coverage Limit Factor],,0)</f>
        <v>0.84</v>
      </c>
      <c r="AM739">
        <f>IF(Table1820[[#This Row],[Good Student Discount]]="Yes",'Rate Book'!$D$126,1)</f>
        <v>1</v>
      </c>
      <c r="AN739">
        <f>IF(Table1820[[#This Row],[Good Driver Discount]]="Yes",'Rate Book'!$D$127,1)</f>
        <v>0.89</v>
      </c>
      <c r="AO739">
        <f>IF(Table1820[[#This Row],[Multi Policy Discount]]="Yes",'Rate Book'!$D$128,1)</f>
        <v>1</v>
      </c>
      <c r="AP739">
        <f>IF(Table1820[[#This Row],[Loyal Customer Discount]]="Yes",'Rate Book'!$D$129,1)</f>
        <v>0.94</v>
      </c>
      <c r="AQ739">
        <f>IF(Table1820[[#This Row],[Organization Discount]]="Yes",'Rate Book'!$D$130,1)</f>
        <v>1</v>
      </c>
      <c r="AR739" cm="1">
        <f t="array" ref="AR739">IF(Table1820[[#This Row],[Effective Date]]&gt;=RateChangeTable[Effective Date],RateChangeTable[Rate Change Factor],1)</f>
        <v>1.06</v>
      </c>
      <c r="AS739" s="10">
        <f>PRODUCT(Table1820[[#This Row],[Base Rate]:[Rate Change Factor]])</f>
        <v>419.22539227552699</v>
      </c>
      <c r="AT739" s="9">
        <f>Table1820[[#This Row],[System-Generated Premium]]-Table1820[[#This Row],[Expected Premium]]</f>
        <v>0</v>
      </c>
      <c r="AU739" t="str">
        <f>IF(Table1820[[#This Row],[Difference]]=0,"PASS","FAIL")</f>
        <v>PASS</v>
      </c>
      <c r="AV739" s="9">
        <f>ABS(Table1820[[#This Row],[Difference]])</f>
        <v>0</v>
      </c>
      <c r="AW739" s="9" t="s">
        <v>1136</v>
      </c>
    </row>
    <row r="740" spans="1:49" x14ac:dyDescent="0.3">
      <c r="A740" t="s">
        <v>831</v>
      </c>
      <c r="B740" s="7">
        <v>46101</v>
      </c>
      <c r="C740" t="s">
        <v>71</v>
      </c>
      <c r="D740" t="s">
        <v>1101</v>
      </c>
      <c r="E740" s="3">
        <v>1</v>
      </c>
      <c r="F740" s="3">
        <v>0</v>
      </c>
      <c r="G740" t="s">
        <v>10</v>
      </c>
      <c r="H740" t="s">
        <v>1109</v>
      </c>
      <c r="I740" t="s">
        <v>24</v>
      </c>
      <c r="J740" t="s">
        <v>48</v>
      </c>
      <c r="K740" t="s">
        <v>10</v>
      </c>
      <c r="L740" t="s">
        <v>10</v>
      </c>
      <c r="M740" t="s">
        <v>10</v>
      </c>
      <c r="N740" t="s">
        <v>10</v>
      </c>
      <c r="O740" t="str">
        <f>INDEX(CoverageTable[Deductible Applies],MATCH(Table1820[[#This Row],[Coverage]],CoverageTable[Coverage],0))</f>
        <v>Yes</v>
      </c>
      <c r="P740" t="str">
        <f>INDEX(CoverageTable[Coverage Limit Applies],MATCH(Table1820[[#This Row],[Coverage]],CoverageTable[Coverage],0))</f>
        <v>No</v>
      </c>
      <c r="Q740" t="s">
        <v>78</v>
      </c>
      <c r="R740" t="s">
        <v>10</v>
      </c>
      <c r="S740" t="s">
        <v>10</v>
      </c>
      <c r="T740" t="s">
        <v>57</v>
      </c>
      <c r="U740" t="s">
        <v>10</v>
      </c>
      <c r="V740" t="s">
        <v>57</v>
      </c>
      <c r="W740" t="s">
        <v>10</v>
      </c>
      <c r="X740" s="11">
        <v>807.14251667435678</v>
      </c>
      <c r="Y740">
        <f>_xlfn.XLOOKUP(Table1820[[#This Row],[Coverage]],CoverageTable[Coverage],CoverageTable[Base Rate],,0)</f>
        <v>453</v>
      </c>
      <c r="Z740">
        <f>INDEX(Table16[Ageband Factor],MATCH(Table1820[[#This Row],[Ageband]],Table16[Ageband],0))</f>
        <v>1.1200000000000001</v>
      </c>
      <c r="AA740">
        <f>VLOOKUP(Table1820[[#This Row],[Years Driving]],Table1[],2)</f>
        <v>1.64</v>
      </c>
      <c r="AB740">
        <f>_xlfn.XLOOKUP(Table1820[[#This Row],[At Fault Accidents]],Table2[At Fault Accidents],Table2[At Fault Accident Factor],,0)</f>
        <v>1</v>
      </c>
      <c r="AC740">
        <f>_xlfn.XLOOKUP(Table1820[[#This Row],[Usage-Based Insurance]],Table3[Usage-Based Insurance],Table3[Usage-Based Insurance Discount],,0)</f>
        <v>1</v>
      </c>
      <c r="AD740">
        <f>_xlfn.XLOOKUP(Table1820[[#This Row],[Yearly Miles]],Table4[Yearly Miles],Table4[Yearly Miles Factor],,0)</f>
        <v>1.18</v>
      </c>
      <c r="AE740">
        <f>_xlfn.XLOOKUP(Table1820[[#This Row],[City/Zip Code]],Table5[City/Zip Code],Table5[City/Zip Code Factor],,0)</f>
        <v>1.19</v>
      </c>
      <c r="AF740">
        <f>_xlfn.XLOOKUP(Table1820[[#This Row],[Vehicle Price]],Table6[Vehicle Price],Table6[Vehicle Price Factor])</f>
        <v>0.82</v>
      </c>
      <c r="AG740">
        <f>_xlfn.XLOOKUP(Table1820[[#This Row],[Exotic Car]],Table7[Exotic Car],Table7[Exotic Car Factor],,0)</f>
        <v>1</v>
      </c>
      <c r="AH740">
        <f>_xlfn.XLOOKUP(Table1820[[#This Row],[Difficult Parts]],Table8[Difficult Parts],Table8[Difficult Parts Factor],,0)</f>
        <v>1</v>
      </c>
      <c r="AI740">
        <f>_xlfn.XLOOKUP(Table1820[[#This Row],[High Theft Rate]],Table9[High Theft Rate],Table9[High Theft Rate Factor],,0)</f>
        <v>1</v>
      </c>
      <c r="AJ740">
        <f>_xlfn.XLOOKUP(Table1820[[#This Row],[Advanced Safety Features]],Table10[Advanced Safety Features],Table10[Advanced Safety Features Factor],,0)</f>
        <v>1</v>
      </c>
      <c r="AK740">
        <f>_xlfn.XLOOKUP(Table1820[[#This Row],[Deductible]],Table12[Deductible],Table12[Deductible Factor],,0)</f>
        <v>0.95</v>
      </c>
      <c r="AL740">
        <f>_xlfn.XLOOKUP(Table1820[[#This Row],[Coverage Limit]],Table13[Coverage Limit],Table13[Coverage Limit Factor],,0)</f>
        <v>1</v>
      </c>
      <c r="AM740">
        <f>IF(Table1820[[#This Row],[Good Student Discount]]="Yes",'Rate Book'!$D$126,1)</f>
        <v>1</v>
      </c>
      <c r="AN740">
        <f>IF(Table1820[[#This Row],[Good Driver Discount]]="Yes",'Rate Book'!$D$127,1)</f>
        <v>0.89</v>
      </c>
      <c r="AO740">
        <f>IF(Table1820[[#This Row],[Multi Policy Discount]]="Yes",'Rate Book'!$D$128,1)</f>
        <v>1</v>
      </c>
      <c r="AP740">
        <f>IF(Table1820[[#This Row],[Loyal Customer Discount]]="Yes",'Rate Book'!$D$129,1)</f>
        <v>0.94</v>
      </c>
      <c r="AQ740">
        <f>IF(Table1820[[#This Row],[Organization Discount]]="Yes",'Rate Book'!$D$130,1)</f>
        <v>1</v>
      </c>
      <c r="AR740" cm="1">
        <f t="array" ref="AR740">IF(Table1820[[#This Row],[Effective Date]]&gt;=RateChangeTable[Effective Date],RateChangeTable[Rate Change Factor],1)</f>
        <v>1.06</v>
      </c>
      <c r="AS740" s="10">
        <f>PRODUCT(Table1820[[#This Row],[Base Rate]:[Rate Change Factor]])</f>
        <v>807.14251667435678</v>
      </c>
      <c r="AT740" s="9">
        <f>Table1820[[#This Row],[System-Generated Premium]]-Table1820[[#This Row],[Expected Premium]]</f>
        <v>0</v>
      </c>
      <c r="AU740" t="str">
        <f>IF(Table1820[[#This Row],[Difference]]=0,"PASS","FAIL")</f>
        <v>PASS</v>
      </c>
      <c r="AV740" s="9">
        <f>ABS(Table1820[[#This Row],[Difference]])</f>
        <v>0</v>
      </c>
      <c r="AW740" s="9" t="s">
        <v>1136</v>
      </c>
    </row>
    <row r="741" spans="1:49" x14ac:dyDescent="0.3">
      <c r="A741" t="s">
        <v>832</v>
      </c>
      <c r="B741" s="7">
        <v>46056</v>
      </c>
      <c r="C741" t="s">
        <v>73</v>
      </c>
      <c r="D741" t="s">
        <v>1101</v>
      </c>
      <c r="E741" s="3">
        <v>1</v>
      </c>
      <c r="F741" s="3">
        <v>1</v>
      </c>
      <c r="G741" t="s">
        <v>10</v>
      </c>
      <c r="H741" t="s">
        <v>1107</v>
      </c>
      <c r="I741" t="s">
        <v>24</v>
      </c>
      <c r="J741" t="s">
        <v>48</v>
      </c>
      <c r="K741" t="s">
        <v>10</v>
      </c>
      <c r="L741" t="s">
        <v>10</v>
      </c>
      <c r="M741" t="s">
        <v>10</v>
      </c>
      <c r="N741" t="s">
        <v>10</v>
      </c>
      <c r="O741" t="str">
        <f>INDEX(CoverageTable[Deductible Applies],MATCH(Table1820[[#This Row],[Coverage]],CoverageTable[Coverage],0))</f>
        <v>No</v>
      </c>
      <c r="P741" t="str">
        <f>INDEX(CoverageTable[Coverage Limit Applies],MATCH(Table1820[[#This Row],[Coverage]],CoverageTable[Coverage],0))</f>
        <v>Yes</v>
      </c>
      <c r="Q741" t="s">
        <v>10</v>
      </c>
      <c r="R741" t="s">
        <v>78</v>
      </c>
      <c r="S741" t="s">
        <v>10</v>
      </c>
      <c r="T741" t="s">
        <v>10</v>
      </c>
      <c r="U741" t="s">
        <v>57</v>
      </c>
      <c r="V741" t="s">
        <v>10</v>
      </c>
      <c r="W741" t="s">
        <v>10</v>
      </c>
      <c r="X741" s="11">
        <v>104.76680094610919</v>
      </c>
      <c r="Y741">
        <f>_xlfn.XLOOKUP(Table1820[[#This Row],[Coverage]],CoverageTable[Coverage],CoverageTable[Base Rate],,0)</f>
        <v>78</v>
      </c>
      <c r="Z741">
        <f>INDEX(Table16[Ageband Factor],MATCH(Table1820[[#This Row],[Ageband]],Table16[Ageband],0))</f>
        <v>1.1200000000000001</v>
      </c>
      <c r="AA741">
        <f>VLOOKUP(Table1820[[#This Row],[Years Driving]],Table1[],2)</f>
        <v>1.64</v>
      </c>
      <c r="AB741">
        <f>_xlfn.XLOOKUP(Table1820[[#This Row],[At Fault Accidents]],Table2[At Fault Accidents],Table2[At Fault Accident Factor],,0)</f>
        <v>1.34</v>
      </c>
      <c r="AC741">
        <f>_xlfn.XLOOKUP(Table1820[[#This Row],[Usage-Based Insurance]],Table3[Usage-Based Insurance],Table3[Usage-Based Insurance Discount],,0)</f>
        <v>1</v>
      </c>
      <c r="AD741">
        <f>_xlfn.XLOOKUP(Table1820[[#This Row],[Yearly Miles]],Table4[Yearly Miles],Table4[Yearly Miles Factor],,0)</f>
        <v>0.93</v>
      </c>
      <c r="AE741">
        <f>_xlfn.XLOOKUP(Table1820[[#This Row],[City/Zip Code]],Table5[City/Zip Code],Table5[City/Zip Code Factor],,0)</f>
        <v>1.19</v>
      </c>
      <c r="AF741">
        <f>_xlfn.XLOOKUP(Table1820[[#This Row],[Vehicle Price]],Table6[Vehicle Price],Table6[Vehicle Price Factor])</f>
        <v>0.82</v>
      </c>
      <c r="AG741">
        <f>_xlfn.XLOOKUP(Table1820[[#This Row],[Exotic Car]],Table7[Exotic Car],Table7[Exotic Car Factor],,0)</f>
        <v>1</v>
      </c>
      <c r="AH741">
        <f>_xlfn.XLOOKUP(Table1820[[#This Row],[Difficult Parts]],Table8[Difficult Parts],Table8[Difficult Parts Factor],,0)</f>
        <v>1</v>
      </c>
      <c r="AI741">
        <f>_xlfn.XLOOKUP(Table1820[[#This Row],[High Theft Rate]],Table9[High Theft Rate],Table9[High Theft Rate Factor],,0)</f>
        <v>1</v>
      </c>
      <c r="AJ741">
        <f>_xlfn.XLOOKUP(Table1820[[#This Row],[Advanced Safety Features]],Table10[Advanced Safety Features],Table10[Advanced Safety Features Factor],,0)</f>
        <v>1</v>
      </c>
      <c r="AK741">
        <f>_xlfn.XLOOKUP(Table1820[[#This Row],[Deductible]],Table12[Deductible],Table12[Deductible Factor],,0)</f>
        <v>1</v>
      </c>
      <c r="AL741">
        <f>_xlfn.XLOOKUP(Table1820[[#This Row],[Coverage Limit]],Table13[Coverage Limit],Table13[Coverage Limit Factor],,0)</f>
        <v>0.61</v>
      </c>
      <c r="AM741">
        <f>IF(Table1820[[#This Row],[Good Student Discount]]="Yes",'Rate Book'!$D$126,1)</f>
        <v>1</v>
      </c>
      <c r="AN741">
        <f>IF(Table1820[[#This Row],[Good Driver Discount]]="Yes",'Rate Book'!$D$127,1)</f>
        <v>1</v>
      </c>
      <c r="AO741">
        <f>IF(Table1820[[#This Row],[Multi Policy Discount]]="Yes",'Rate Book'!$D$128,1)</f>
        <v>0.93</v>
      </c>
      <c r="AP741">
        <f>IF(Table1820[[#This Row],[Loyal Customer Discount]]="Yes",'Rate Book'!$D$129,1)</f>
        <v>1</v>
      </c>
      <c r="AQ741">
        <f>IF(Table1820[[#This Row],[Organization Discount]]="Yes",'Rate Book'!$D$130,1)</f>
        <v>1</v>
      </c>
      <c r="AR741" cm="1">
        <f t="array" ref="AR741">IF(Table1820[[#This Row],[Effective Date]]&gt;=RateChangeTable[Effective Date],RateChangeTable[Rate Change Factor],1)</f>
        <v>1.06</v>
      </c>
      <c r="AS741" s="10">
        <f>PRODUCT(Table1820[[#This Row],[Base Rate]:[Rate Change Factor]])</f>
        <v>104.76680094610919</v>
      </c>
      <c r="AT741" s="9">
        <f>Table1820[[#This Row],[System-Generated Premium]]-Table1820[[#This Row],[Expected Premium]]</f>
        <v>0</v>
      </c>
      <c r="AU741" t="str">
        <f>IF(Table1820[[#This Row],[Difference]]=0,"PASS","FAIL")</f>
        <v>PASS</v>
      </c>
      <c r="AV741" s="9">
        <f>ABS(Table1820[[#This Row],[Difference]])</f>
        <v>0</v>
      </c>
      <c r="AW741" s="9" t="s">
        <v>1136</v>
      </c>
    </row>
    <row r="742" spans="1:49" x14ac:dyDescent="0.3">
      <c r="A742" t="s">
        <v>833</v>
      </c>
      <c r="B742" s="7">
        <v>46051</v>
      </c>
      <c r="C742" t="s">
        <v>71</v>
      </c>
      <c r="D742" t="s">
        <v>1099</v>
      </c>
      <c r="E742" s="3">
        <v>3</v>
      </c>
      <c r="F742" s="3">
        <v>3</v>
      </c>
      <c r="G742" t="s">
        <v>10</v>
      </c>
      <c r="H742" t="s">
        <v>1107</v>
      </c>
      <c r="I742" t="s">
        <v>24</v>
      </c>
      <c r="J742" t="s">
        <v>53</v>
      </c>
      <c r="K742" t="s">
        <v>10</v>
      </c>
      <c r="L742" t="s">
        <v>10</v>
      </c>
      <c r="M742" t="s">
        <v>57</v>
      </c>
      <c r="N742" t="s">
        <v>10</v>
      </c>
      <c r="O742" t="str">
        <f>INDEX(CoverageTable[Deductible Applies],MATCH(Table1820[[#This Row],[Coverage]],CoverageTable[Coverage],0))</f>
        <v>Yes</v>
      </c>
      <c r="P742" t="str">
        <f>INDEX(CoverageTable[Coverage Limit Applies],MATCH(Table1820[[#This Row],[Coverage]],CoverageTable[Coverage],0))</f>
        <v>No</v>
      </c>
      <c r="Q742" t="s">
        <v>78</v>
      </c>
      <c r="R742" t="s">
        <v>10</v>
      </c>
      <c r="S742" t="s">
        <v>10</v>
      </c>
      <c r="T742" t="s">
        <v>10</v>
      </c>
      <c r="U742" t="s">
        <v>10</v>
      </c>
      <c r="V742" t="s">
        <v>10</v>
      </c>
      <c r="W742" t="s">
        <v>10</v>
      </c>
      <c r="X742" s="11">
        <v>2626.6255220666781</v>
      </c>
      <c r="Y742">
        <f>_xlfn.XLOOKUP(Table1820[[#This Row],[Coverage]],CoverageTable[Coverage],CoverageTable[Base Rate],,0)</f>
        <v>453</v>
      </c>
      <c r="Z742">
        <f>INDEX(Table16[Ageband Factor],MATCH(Table1820[[#This Row],[Ageband]],Table16[Ageband],0))</f>
        <v>1</v>
      </c>
      <c r="AA742">
        <f>VLOOKUP(Table1820[[#This Row],[Years Driving]],Table1[],2)</f>
        <v>1.22</v>
      </c>
      <c r="AB742">
        <f>_xlfn.XLOOKUP(Table1820[[#This Row],[At Fault Accidents]],Table2[At Fault Accidents],Table2[At Fault Accident Factor],,0)</f>
        <v>1.82</v>
      </c>
      <c r="AC742">
        <f>_xlfn.XLOOKUP(Table1820[[#This Row],[Usage-Based Insurance]],Table3[Usage-Based Insurance],Table3[Usage-Based Insurance Discount],,0)</f>
        <v>1</v>
      </c>
      <c r="AD742">
        <f>_xlfn.XLOOKUP(Table1820[[#This Row],[Yearly Miles]],Table4[Yearly Miles],Table4[Yearly Miles Factor],,0)</f>
        <v>0.93</v>
      </c>
      <c r="AE742">
        <f>_xlfn.XLOOKUP(Table1820[[#This Row],[City/Zip Code]],Table5[City/Zip Code],Table5[City/Zip Code Factor],,0)</f>
        <v>1.19</v>
      </c>
      <c r="AF742">
        <f>_xlfn.XLOOKUP(Table1820[[#This Row],[Vehicle Price]],Table6[Vehicle Price],Table6[Vehicle Price Factor])</f>
        <v>2.02</v>
      </c>
      <c r="AG742">
        <f>_xlfn.XLOOKUP(Table1820[[#This Row],[Exotic Car]],Table7[Exotic Car],Table7[Exotic Car Factor],,0)</f>
        <v>1</v>
      </c>
      <c r="AH742">
        <f>_xlfn.XLOOKUP(Table1820[[#This Row],[Difficult Parts]],Table8[Difficult Parts],Table8[Difficult Parts Factor],,0)</f>
        <v>1</v>
      </c>
      <c r="AI742">
        <f>_xlfn.XLOOKUP(Table1820[[#This Row],[High Theft Rate]],Table9[High Theft Rate],Table9[High Theft Rate Factor],,0)</f>
        <v>1.1599999999999999</v>
      </c>
      <c r="AJ742">
        <f>_xlfn.XLOOKUP(Table1820[[#This Row],[Advanced Safety Features]],Table10[Advanced Safety Features],Table10[Advanced Safety Features Factor],,0)</f>
        <v>1</v>
      </c>
      <c r="AK742">
        <f>_xlfn.XLOOKUP(Table1820[[#This Row],[Deductible]],Table12[Deductible],Table12[Deductible Factor],,0)</f>
        <v>0.95</v>
      </c>
      <c r="AL742">
        <f>_xlfn.XLOOKUP(Table1820[[#This Row],[Coverage Limit]],Table13[Coverage Limit],Table13[Coverage Limit Factor],,0)</f>
        <v>1</v>
      </c>
      <c r="AM742">
        <f>IF(Table1820[[#This Row],[Good Student Discount]]="Yes",'Rate Book'!$D$126,1)</f>
        <v>1</v>
      </c>
      <c r="AN742">
        <f>IF(Table1820[[#This Row],[Good Driver Discount]]="Yes",'Rate Book'!$D$127,1)</f>
        <v>1</v>
      </c>
      <c r="AO742">
        <f>IF(Table1820[[#This Row],[Multi Policy Discount]]="Yes",'Rate Book'!$D$128,1)</f>
        <v>1</v>
      </c>
      <c r="AP742">
        <f>IF(Table1820[[#This Row],[Loyal Customer Discount]]="Yes",'Rate Book'!$D$129,1)</f>
        <v>1</v>
      </c>
      <c r="AQ742">
        <f>IF(Table1820[[#This Row],[Organization Discount]]="Yes",'Rate Book'!$D$130,1)</f>
        <v>1</v>
      </c>
      <c r="AR742" cm="1">
        <f t="array" ref="AR742">IF(Table1820[[#This Row],[Effective Date]]&gt;=RateChangeTable[Effective Date],RateChangeTable[Rate Change Factor],1)</f>
        <v>1.06</v>
      </c>
      <c r="AS742" s="10">
        <f>PRODUCT(Table1820[[#This Row],[Base Rate]:[Rate Change Factor]])</f>
        <v>2626.6255220666781</v>
      </c>
      <c r="AT742" s="9">
        <f>Table1820[[#This Row],[System-Generated Premium]]-Table1820[[#This Row],[Expected Premium]]</f>
        <v>0</v>
      </c>
      <c r="AU742" t="str">
        <f>IF(Table1820[[#This Row],[Difference]]=0,"PASS","FAIL")</f>
        <v>PASS</v>
      </c>
      <c r="AV742" s="9">
        <f>ABS(Table1820[[#This Row],[Difference]])</f>
        <v>0</v>
      </c>
      <c r="AW742" s="9" t="s">
        <v>1136</v>
      </c>
    </row>
    <row r="743" spans="1:49" x14ac:dyDescent="0.3">
      <c r="A743" t="s">
        <v>834</v>
      </c>
      <c r="B743" s="7">
        <v>45911</v>
      </c>
      <c r="C743" t="s">
        <v>74</v>
      </c>
      <c r="D743" t="s">
        <v>1102</v>
      </c>
      <c r="E743" s="3">
        <v>3</v>
      </c>
      <c r="F743" s="3">
        <v>3</v>
      </c>
      <c r="G743" t="s">
        <v>10</v>
      </c>
      <c r="H743" t="s">
        <v>1107</v>
      </c>
      <c r="I743" t="s">
        <v>35</v>
      </c>
      <c r="J743" t="s">
        <v>49</v>
      </c>
      <c r="K743" t="s">
        <v>10</v>
      </c>
      <c r="L743" t="s">
        <v>10</v>
      </c>
      <c r="M743" t="s">
        <v>10</v>
      </c>
      <c r="N743" t="s">
        <v>57</v>
      </c>
      <c r="O743" t="str">
        <f>INDEX(CoverageTable[Deductible Applies],MATCH(Table1820[[#This Row],[Coverage]],CoverageTable[Coverage],0))</f>
        <v>No</v>
      </c>
      <c r="P743" t="str">
        <f>INDEX(CoverageTable[Coverage Limit Applies],MATCH(Table1820[[#This Row],[Coverage]],CoverageTable[Coverage],0))</f>
        <v>Yes</v>
      </c>
      <c r="Q743" t="s">
        <v>10</v>
      </c>
      <c r="R743" t="s">
        <v>78</v>
      </c>
      <c r="S743" t="s">
        <v>10</v>
      </c>
      <c r="T743" t="s">
        <v>10</v>
      </c>
      <c r="U743" t="s">
        <v>57</v>
      </c>
      <c r="V743" t="s">
        <v>10</v>
      </c>
      <c r="W743" t="s">
        <v>10</v>
      </c>
      <c r="X743" s="11">
        <v>58.315896640466818</v>
      </c>
      <c r="Y743">
        <f>_xlfn.XLOOKUP(Table1820[[#This Row],[Coverage]],CoverageTable[Coverage],CoverageTable[Base Rate],,0)</f>
        <v>41</v>
      </c>
      <c r="Z743">
        <f>INDEX(Table16[Ageband Factor],MATCH(Table1820[[#This Row],[Ageband]],Table16[Ageband],0))</f>
        <v>1.27</v>
      </c>
      <c r="AA743">
        <f>VLOOKUP(Table1820[[#This Row],[Years Driving]],Table1[],2)</f>
        <v>1.22</v>
      </c>
      <c r="AB743">
        <f>_xlfn.XLOOKUP(Table1820[[#This Row],[At Fault Accidents]],Table2[At Fault Accidents],Table2[At Fault Accident Factor],,0)</f>
        <v>1.82</v>
      </c>
      <c r="AC743">
        <f>_xlfn.XLOOKUP(Table1820[[#This Row],[Usage-Based Insurance]],Table3[Usage-Based Insurance],Table3[Usage-Based Insurance Discount],,0)</f>
        <v>1</v>
      </c>
      <c r="AD743">
        <f>_xlfn.XLOOKUP(Table1820[[#This Row],[Yearly Miles]],Table4[Yearly Miles],Table4[Yearly Miles Factor],,0)</f>
        <v>0.93</v>
      </c>
      <c r="AE743">
        <f>_xlfn.XLOOKUP(Table1820[[#This Row],[City/Zip Code]],Table5[City/Zip Code],Table5[City/Zip Code Factor],,0)</f>
        <v>1.1200000000000001</v>
      </c>
      <c r="AF743">
        <f>_xlfn.XLOOKUP(Table1820[[#This Row],[Vehicle Price]],Table6[Vehicle Price],Table6[Vehicle Price Factor])</f>
        <v>0.97</v>
      </c>
      <c r="AG743">
        <f>_xlfn.XLOOKUP(Table1820[[#This Row],[Exotic Car]],Table7[Exotic Car],Table7[Exotic Car Factor],,0)</f>
        <v>1</v>
      </c>
      <c r="AH743">
        <f>_xlfn.XLOOKUP(Table1820[[#This Row],[Difficult Parts]],Table8[Difficult Parts],Table8[Difficult Parts Factor],,0)</f>
        <v>1</v>
      </c>
      <c r="AI743">
        <f>_xlfn.XLOOKUP(Table1820[[#This Row],[High Theft Rate]],Table9[High Theft Rate],Table9[High Theft Rate Factor],,0)</f>
        <v>1</v>
      </c>
      <c r="AJ743">
        <f>_xlfn.XLOOKUP(Table1820[[#This Row],[Advanced Safety Features]],Table10[Advanced Safety Features],Table10[Advanced Safety Features Factor],,0)</f>
        <v>0.88</v>
      </c>
      <c r="AK743">
        <f>_xlfn.XLOOKUP(Table1820[[#This Row],[Deductible]],Table12[Deductible],Table12[Deductible Factor],,0)</f>
        <v>1</v>
      </c>
      <c r="AL743">
        <f>_xlfn.XLOOKUP(Table1820[[#This Row],[Coverage Limit]],Table13[Coverage Limit],Table13[Coverage Limit Factor],,0)</f>
        <v>0.61</v>
      </c>
      <c r="AM743">
        <f>IF(Table1820[[#This Row],[Good Student Discount]]="Yes",'Rate Book'!$D$126,1)</f>
        <v>1</v>
      </c>
      <c r="AN743">
        <f>IF(Table1820[[#This Row],[Good Driver Discount]]="Yes",'Rate Book'!$D$127,1)</f>
        <v>1</v>
      </c>
      <c r="AO743">
        <f>IF(Table1820[[#This Row],[Multi Policy Discount]]="Yes",'Rate Book'!$D$128,1)</f>
        <v>0.93</v>
      </c>
      <c r="AP743">
        <f>IF(Table1820[[#This Row],[Loyal Customer Discount]]="Yes",'Rate Book'!$D$129,1)</f>
        <v>1</v>
      </c>
      <c r="AQ743">
        <f>IF(Table1820[[#This Row],[Organization Discount]]="Yes",'Rate Book'!$D$130,1)</f>
        <v>1</v>
      </c>
      <c r="AR743" cm="1">
        <f t="array" ref="AR743">IF(Table1820[[#This Row],[Effective Date]]&gt;=RateChangeTable[Effective Date],RateChangeTable[Rate Change Factor],1)</f>
        <v>1</v>
      </c>
      <c r="AS743" s="10">
        <f>PRODUCT(Table1820[[#This Row],[Base Rate]:[Rate Change Factor]])</f>
        <v>58.315896640466818</v>
      </c>
      <c r="AT743" s="9">
        <f>Table1820[[#This Row],[System-Generated Premium]]-Table1820[[#This Row],[Expected Premium]]</f>
        <v>0</v>
      </c>
      <c r="AU743" t="str">
        <f>IF(Table1820[[#This Row],[Difference]]=0,"PASS","FAIL")</f>
        <v>PASS</v>
      </c>
      <c r="AV743" s="9">
        <f>ABS(Table1820[[#This Row],[Difference]])</f>
        <v>0</v>
      </c>
      <c r="AW743" s="9" t="s">
        <v>1136</v>
      </c>
    </row>
    <row r="744" spans="1:49" x14ac:dyDescent="0.3">
      <c r="A744" t="s">
        <v>835</v>
      </c>
      <c r="B744" s="7">
        <v>45785</v>
      </c>
      <c r="C744" t="s">
        <v>71</v>
      </c>
      <c r="D744" t="s">
        <v>1102</v>
      </c>
      <c r="E744" s="3">
        <v>7</v>
      </c>
      <c r="F744" s="3" t="s">
        <v>7</v>
      </c>
      <c r="G744" t="s">
        <v>11</v>
      </c>
      <c r="H744" t="s">
        <v>1110</v>
      </c>
      <c r="I744" t="s">
        <v>24</v>
      </c>
      <c r="J744" t="s">
        <v>53</v>
      </c>
      <c r="K744" t="s">
        <v>57</v>
      </c>
      <c r="L744" t="s">
        <v>57</v>
      </c>
      <c r="M744" t="s">
        <v>10</v>
      </c>
      <c r="N744" t="s">
        <v>10</v>
      </c>
      <c r="O744" t="str">
        <f>INDEX(CoverageTable[Deductible Applies],MATCH(Table1820[[#This Row],[Coverage]],CoverageTable[Coverage],0))</f>
        <v>Yes</v>
      </c>
      <c r="P744" t="str">
        <f>INDEX(CoverageTable[Coverage Limit Applies],MATCH(Table1820[[#This Row],[Coverage]],CoverageTable[Coverage],0))</f>
        <v>No</v>
      </c>
      <c r="Q744" t="s">
        <v>79</v>
      </c>
      <c r="R744" t="s">
        <v>10</v>
      </c>
      <c r="S744" t="s">
        <v>10</v>
      </c>
      <c r="T744" t="s">
        <v>57</v>
      </c>
      <c r="U744" t="s">
        <v>10</v>
      </c>
      <c r="V744" t="s">
        <v>10</v>
      </c>
      <c r="W744" t="s">
        <v>10</v>
      </c>
      <c r="X744" s="11">
        <v>4676.0629165429664</v>
      </c>
      <c r="Y744">
        <f>_xlfn.XLOOKUP(Table1820[[#This Row],[Coverage]],CoverageTable[Coverage],CoverageTable[Base Rate],,0)</f>
        <v>453</v>
      </c>
      <c r="Z744">
        <f>INDEX(Table16[Ageband Factor],MATCH(Table1820[[#This Row],[Ageband]],Table16[Ageband],0))</f>
        <v>1.27</v>
      </c>
      <c r="AA744">
        <f>VLOOKUP(Table1820[[#This Row],[Years Driving]],Table1[],2)</f>
        <v>0.95</v>
      </c>
      <c r="AB744">
        <f>_xlfn.XLOOKUP(Table1820[[#This Row],[At Fault Accidents]],Table2[At Fault Accidents],Table2[At Fault Accident Factor],,0)</f>
        <v>2.4700000000000002</v>
      </c>
      <c r="AC744">
        <f>_xlfn.XLOOKUP(Table1820[[#This Row],[Usage-Based Insurance]],Table3[Usage-Based Insurance],Table3[Usage-Based Insurance Discount],,0)</f>
        <v>0.95</v>
      </c>
      <c r="AD744">
        <f>_xlfn.XLOOKUP(Table1820[[#This Row],[Yearly Miles]],Table4[Yearly Miles],Table4[Yearly Miles Factor],,0)</f>
        <v>1.31</v>
      </c>
      <c r="AE744">
        <f>_xlfn.XLOOKUP(Table1820[[#This Row],[City/Zip Code]],Table5[City/Zip Code],Table5[City/Zip Code Factor],,0)</f>
        <v>1.19</v>
      </c>
      <c r="AF744">
        <f>_xlfn.XLOOKUP(Table1820[[#This Row],[Vehicle Price]],Table6[Vehicle Price],Table6[Vehicle Price Factor])</f>
        <v>2.02</v>
      </c>
      <c r="AG744">
        <f>_xlfn.XLOOKUP(Table1820[[#This Row],[Exotic Car]],Table7[Exotic Car],Table7[Exotic Car Factor],,0)</f>
        <v>1.28</v>
      </c>
      <c r="AH744">
        <f>_xlfn.XLOOKUP(Table1820[[#This Row],[Difficult Parts]],Table8[Difficult Parts],Table8[Difficult Parts Factor],,0)</f>
        <v>1.21</v>
      </c>
      <c r="AI744">
        <f>_xlfn.XLOOKUP(Table1820[[#This Row],[High Theft Rate]],Table9[High Theft Rate],Table9[High Theft Rate Factor],,0)</f>
        <v>1</v>
      </c>
      <c r="AJ744">
        <f>_xlfn.XLOOKUP(Table1820[[#This Row],[Advanced Safety Features]],Table10[Advanced Safety Features],Table10[Advanced Safety Features Factor],,0)</f>
        <v>1</v>
      </c>
      <c r="AK744">
        <f>_xlfn.XLOOKUP(Table1820[[#This Row],[Deductible]],Table12[Deductible],Table12[Deductible Factor],,0)</f>
        <v>0.84</v>
      </c>
      <c r="AL744">
        <f>_xlfn.XLOOKUP(Table1820[[#This Row],[Coverage Limit]],Table13[Coverage Limit],Table13[Coverage Limit Factor],,0)</f>
        <v>1</v>
      </c>
      <c r="AM744">
        <f>IF(Table1820[[#This Row],[Good Student Discount]]="Yes",'Rate Book'!$D$126,1)</f>
        <v>1</v>
      </c>
      <c r="AN744">
        <f>IF(Table1820[[#This Row],[Good Driver Discount]]="Yes",'Rate Book'!$D$127,1)</f>
        <v>0.89</v>
      </c>
      <c r="AO744">
        <f>IF(Table1820[[#This Row],[Multi Policy Discount]]="Yes",'Rate Book'!$D$128,1)</f>
        <v>1</v>
      </c>
      <c r="AP744">
        <f>IF(Table1820[[#This Row],[Loyal Customer Discount]]="Yes",'Rate Book'!$D$129,1)</f>
        <v>1</v>
      </c>
      <c r="AQ744">
        <f>IF(Table1820[[#This Row],[Organization Discount]]="Yes",'Rate Book'!$D$130,1)</f>
        <v>1</v>
      </c>
      <c r="AR744" cm="1">
        <f t="array" ref="AR744">IF(Table1820[[#This Row],[Effective Date]]&gt;=RateChangeTable[Effective Date],RateChangeTable[Rate Change Factor],1)</f>
        <v>1</v>
      </c>
      <c r="AS744" s="10">
        <f>PRODUCT(Table1820[[#This Row],[Base Rate]:[Rate Change Factor]])</f>
        <v>4676.0629165429664</v>
      </c>
      <c r="AT744" s="9">
        <f>Table1820[[#This Row],[System-Generated Premium]]-Table1820[[#This Row],[Expected Premium]]</f>
        <v>0</v>
      </c>
      <c r="AU744" t="str">
        <f>IF(Table1820[[#This Row],[Difference]]=0,"PASS","FAIL")</f>
        <v>PASS</v>
      </c>
      <c r="AV744" s="9">
        <f>ABS(Table1820[[#This Row],[Difference]])</f>
        <v>0</v>
      </c>
      <c r="AW744" s="9" t="s">
        <v>1136</v>
      </c>
    </row>
    <row r="745" spans="1:49" x14ac:dyDescent="0.3">
      <c r="A745" t="s">
        <v>836</v>
      </c>
      <c r="B745" s="7">
        <v>45820</v>
      </c>
      <c r="C745" t="s">
        <v>70</v>
      </c>
      <c r="D745" t="s">
        <v>1100</v>
      </c>
      <c r="E745" s="3">
        <v>1</v>
      </c>
      <c r="F745" s="3" t="s">
        <v>7</v>
      </c>
      <c r="G745" t="s">
        <v>10</v>
      </c>
      <c r="H745" t="s">
        <v>1106</v>
      </c>
      <c r="I745" t="s">
        <v>34</v>
      </c>
      <c r="J745" t="s">
        <v>53</v>
      </c>
      <c r="K745" t="s">
        <v>10</v>
      </c>
      <c r="L745" t="s">
        <v>10</v>
      </c>
      <c r="M745" t="s">
        <v>10</v>
      </c>
      <c r="N745" t="s">
        <v>10</v>
      </c>
      <c r="O745" t="str">
        <f>INDEX(CoverageTable[Deductible Applies],MATCH(Table1820[[#This Row],[Coverage]],CoverageTable[Coverage],0))</f>
        <v>No</v>
      </c>
      <c r="P745" t="str">
        <f>INDEX(CoverageTable[Coverage Limit Applies],MATCH(Table1820[[#This Row],[Coverage]],CoverageTable[Coverage],0))</f>
        <v>Yes</v>
      </c>
      <c r="Q745" t="s">
        <v>10</v>
      </c>
      <c r="R745" t="s">
        <v>79</v>
      </c>
      <c r="S745" t="s">
        <v>10</v>
      </c>
      <c r="T745" t="s">
        <v>10</v>
      </c>
      <c r="U745" t="s">
        <v>10</v>
      </c>
      <c r="V745" t="s">
        <v>10</v>
      </c>
      <c r="W745" t="s">
        <v>10</v>
      </c>
      <c r="X745" s="11">
        <v>5015.7661512795039</v>
      </c>
      <c r="Y745">
        <f>_xlfn.XLOOKUP(Table1820[[#This Row],[Coverage]],CoverageTable[Coverage],CoverageTable[Base Rate],,0)</f>
        <v>622</v>
      </c>
      <c r="Z745">
        <f>INDEX(Table16[Ageband Factor],MATCH(Table1820[[#This Row],[Ageband]],Table16[Ageband],0))</f>
        <v>1.07</v>
      </c>
      <c r="AA745">
        <f>VLOOKUP(Table1820[[#This Row],[Years Driving]],Table1[],2)</f>
        <v>1.64</v>
      </c>
      <c r="AB745">
        <f>_xlfn.XLOOKUP(Table1820[[#This Row],[At Fault Accidents]],Table2[At Fault Accidents],Table2[At Fault Accident Factor],,0)</f>
        <v>2.4700000000000002</v>
      </c>
      <c r="AC745">
        <f>_xlfn.XLOOKUP(Table1820[[#This Row],[Usage-Based Insurance]],Table3[Usage-Based Insurance],Table3[Usage-Based Insurance Discount],,0)</f>
        <v>1</v>
      </c>
      <c r="AD745">
        <f>_xlfn.XLOOKUP(Table1820[[#This Row],[Yearly Miles]],Table4[Yearly Miles],Table4[Yearly Miles Factor],,0)</f>
        <v>0.82</v>
      </c>
      <c r="AE745">
        <f>_xlfn.XLOOKUP(Table1820[[#This Row],[City/Zip Code]],Table5[City/Zip Code],Table5[City/Zip Code Factor],,0)</f>
        <v>1.56</v>
      </c>
      <c r="AF745">
        <f>_xlfn.XLOOKUP(Table1820[[#This Row],[Vehicle Price]],Table6[Vehicle Price],Table6[Vehicle Price Factor])</f>
        <v>2.02</v>
      </c>
      <c r="AG745">
        <f>_xlfn.XLOOKUP(Table1820[[#This Row],[Exotic Car]],Table7[Exotic Car],Table7[Exotic Car Factor],,0)</f>
        <v>1</v>
      </c>
      <c r="AH745">
        <f>_xlfn.XLOOKUP(Table1820[[#This Row],[Difficult Parts]],Table8[Difficult Parts],Table8[Difficult Parts Factor],,0)</f>
        <v>1</v>
      </c>
      <c r="AI745">
        <f>_xlfn.XLOOKUP(Table1820[[#This Row],[High Theft Rate]],Table9[High Theft Rate],Table9[High Theft Rate Factor],,0)</f>
        <v>1</v>
      </c>
      <c r="AJ745">
        <f>_xlfn.XLOOKUP(Table1820[[#This Row],[Advanced Safety Features]],Table10[Advanced Safety Features],Table10[Advanced Safety Features Factor],,0)</f>
        <v>1</v>
      </c>
      <c r="AK745">
        <f>_xlfn.XLOOKUP(Table1820[[#This Row],[Deductible]],Table12[Deductible],Table12[Deductible Factor],,0)</f>
        <v>1</v>
      </c>
      <c r="AL745">
        <f>_xlfn.XLOOKUP(Table1820[[#This Row],[Coverage Limit]],Table13[Coverage Limit],Table13[Coverage Limit Factor],,0)</f>
        <v>0.72</v>
      </c>
      <c r="AM745">
        <f>IF(Table1820[[#This Row],[Good Student Discount]]="Yes",'Rate Book'!$D$126,1)</f>
        <v>1</v>
      </c>
      <c r="AN745">
        <f>IF(Table1820[[#This Row],[Good Driver Discount]]="Yes",'Rate Book'!$D$127,1)</f>
        <v>1</v>
      </c>
      <c r="AO745">
        <f>IF(Table1820[[#This Row],[Multi Policy Discount]]="Yes",'Rate Book'!$D$128,1)</f>
        <v>1</v>
      </c>
      <c r="AP745">
        <f>IF(Table1820[[#This Row],[Loyal Customer Discount]]="Yes",'Rate Book'!$D$129,1)</f>
        <v>1</v>
      </c>
      <c r="AQ745">
        <f>IF(Table1820[[#This Row],[Organization Discount]]="Yes",'Rate Book'!$D$130,1)</f>
        <v>1</v>
      </c>
      <c r="AR745" cm="1">
        <f t="array" ref="AR745">IF(Table1820[[#This Row],[Effective Date]]&gt;=RateChangeTable[Effective Date],RateChangeTable[Rate Change Factor],1)</f>
        <v>1</v>
      </c>
      <c r="AS745" s="10">
        <f>PRODUCT(Table1820[[#This Row],[Base Rate]:[Rate Change Factor]])</f>
        <v>5015.7661512795039</v>
      </c>
      <c r="AT745" s="9">
        <f>Table1820[[#This Row],[System-Generated Premium]]-Table1820[[#This Row],[Expected Premium]]</f>
        <v>0</v>
      </c>
      <c r="AU745" t="str">
        <f>IF(Table1820[[#This Row],[Difference]]=0,"PASS","FAIL")</f>
        <v>PASS</v>
      </c>
      <c r="AV745" s="9">
        <f>ABS(Table1820[[#This Row],[Difference]])</f>
        <v>0</v>
      </c>
      <c r="AW745" s="9" t="s">
        <v>1136</v>
      </c>
    </row>
    <row r="746" spans="1:49" x14ac:dyDescent="0.3">
      <c r="A746" t="s">
        <v>837</v>
      </c>
      <c r="B746" s="7">
        <v>45798</v>
      </c>
      <c r="C746" t="s">
        <v>70</v>
      </c>
      <c r="D746" t="s">
        <v>1099</v>
      </c>
      <c r="E746" s="3">
        <v>2</v>
      </c>
      <c r="F746" s="3">
        <v>0</v>
      </c>
      <c r="G746" t="s">
        <v>10</v>
      </c>
      <c r="H746" t="s">
        <v>1110</v>
      </c>
      <c r="I746" t="s">
        <v>33</v>
      </c>
      <c r="J746" t="s">
        <v>54</v>
      </c>
      <c r="K746" t="s">
        <v>10</v>
      </c>
      <c r="L746" t="s">
        <v>10</v>
      </c>
      <c r="M746" t="s">
        <v>10</v>
      </c>
      <c r="N746" t="s">
        <v>57</v>
      </c>
      <c r="O746" t="str">
        <f>INDEX(CoverageTable[Deductible Applies],MATCH(Table1820[[#This Row],[Coverage]],CoverageTable[Coverage],0))</f>
        <v>No</v>
      </c>
      <c r="P746" t="str">
        <f>INDEX(CoverageTable[Coverage Limit Applies],MATCH(Table1820[[#This Row],[Coverage]],CoverageTable[Coverage],0))</f>
        <v>Yes</v>
      </c>
      <c r="Q746" t="s">
        <v>10</v>
      </c>
      <c r="R746" t="s">
        <v>78</v>
      </c>
      <c r="S746" t="s">
        <v>10</v>
      </c>
      <c r="T746" t="s">
        <v>57</v>
      </c>
      <c r="U746" t="s">
        <v>10</v>
      </c>
      <c r="V746" t="s">
        <v>57</v>
      </c>
      <c r="W746" t="s">
        <v>10</v>
      </c>
      <c r="X746" s="11">
        <v>1697.08</v>
      </c>
      <c r="Y746">
        <f>_xlfn.XLOOKUP(Table1820[[#This Row],[Coverage]],CoverageTable[Coverage],CoverageTable[Base Rate],,0)</f>
        <v>622</v>
      </c>
      <c r="Z746">
        <f>INDEX(Table16[Ageband Factor],MATCH(Table1820[[#This Row],[Ageband]],Table16[Ageband],0))</f>
        <v>1</v>
      </c>
      <c r="AA746">
        <f>VLOOKUP(Table1820[[#This Row],[Years Driving]],Table1[],2)</f>
        <v>1.41</v>
      </c>
      <c r="AB746">
        <f>_xlfn.XLOOKUP(Table1820[[#This Row],[At Fault Accidents]],Table2[At Fault Accidents],Table2[At Fault Accident Factor],,0)</f>
        <v>1</v>
      </c>
      <c r="AC746">
        <f>_xlfn.XLOOKUP(Table1820[[#This Row],[Usage-Based Insurance]],Table3[Usage-Based Insurance],Table3[Usage-Based Insurance Discount],,0)</f>
        <v>1</v>
      </c>
      <c r="AD746">
        <f>_xlfn.XLOOKUP(Table1820[[#This Row],[Yearly Miles]],Table4[Yearly Miles],Table4[Yearly Miles Factor],,0)</f>
        <v>1.31</v>
      </c>
      <c r="AE746">
        <f>_xlfn.XLOOKUP(Table1820[[#This Row],[City/Zip Code]],Table5[City/Zip Code],Table5[City/Zip Code Factor],,0)</f>
        <v>1.02</v>
      </c>
      <c r="AF746">
        <f>_xlfn.XLOOKUP(Table1820[[#This Row],[Vehicle Price]],Table6[Vehicle Price],Table6[Vehicle Price Factor])</f>
        <v>2.87</v>
      </c>
      <c r="AG746">
        <f>_xlfn.XLOOKUP(Table1820[[#This Row],[Exotic Car]],Table7[Exotic Car],Table7[Exotic Car Factor],,0)</f>
        <v>1</v>
      </c>
      <c r="AH746">
        <f>_xlfn.XLOOKUP(Table1820[[#This Row],[Difficult Parts]],Table8[Difficult Parts],Table8[Difficult Parts Factor],,0)</f>
        <v>1</v>
      </c>
      <c r="AI746">
        <f>_xlfn.XLOOKUP(Table1820[[#This Row],[High Theft Rate]],Table9[High Theft Rate],Table9[High Theft Rate Factor],,0)</f>
        <v>1</v>
      </c>
      <c r="AJ746">
        <f>_xlfn.XLOOKUP(Table1820[[#This Row],[Advanced Safety Features]],Table10[Advanced Safety Features],Table10[Advanced Safety Features Factor],,0)</f>
        <v>0.88</v>
      </c>
      <c r="AK746">
        <f>_xlfn.XLOOKUP(Table1820[[#This Row],[Deductible]],Table12[Deductible],Table12[Deductible Factor],,0)</f>
        <v>1</v>
      </c>
      <c r="AL746">
        <f>_xlfn.XLOOKUP(Table1820[[#This Row],[Coverage Limit]],Table13[Coverage Limit],Table13[Coverage Limit Factor],,0)</f>
        <v>0.61</v>
      </c>
      <c r="AM746">
        <f>IF(Table1820[[#This Row],[Good Student Discount]]="Yes",'Rate Book'!$D$126,1)</f>
        <v>1</v>
      </c>
      <c r="AN746">
        <f>IF(Table1820[[#This Row],[Good Driver Discount]]="Yes",'Rate Book'!$D$127,1)</f>
        <v>0.89</v>
      </c>
      <c r="AO746">
        <f>IF(Table1820[[#This Row],[Multi Policy Discount]]="Yes",'Rate Book'!$D$128,1)</f>
        <v>1</v>
      </c>
      <c r="AP746">
        <f>IF(Table1820[[#This Row],[Loyal Customer Discount]]="Yes",'Rate Book'!$D$129,1)</f>
        <v>0.94</v>
      </c>
      <c r="AQ746">
        <f>IF(Table1820[[#This Row],[Organization Discount]]="Yes",'Rate Book'!$D$130,1)</f>
        <v>1</v>
      </c>
      <c r="AR746" cm="1">
        <f t="array" ref="AR746">IF(Table1820[[#This Row],[Effective Date]]&gt;=RateChangeTable[Effective Date],RateChangeTable[Rate Change Factor],1)</f>
        <v>1</v>
      </c>
      <c r="AS746" s="10">
        <f>PRODUCT(Table1820[[#This Row],[Base Rate]:[Rate Change Factor]])</f>
        <v>1510.4043540666935</v>
      </c>
      <c r="AT746" s="9">
        <f>Table1820[[#This Row],[System-Generated Premium]]-Table1820[[#This Row],[Expected Premium]]</f>
        <v>186.67564593330644</v>
      </c>
      <c r="AU746" t="str">
        <f>IF(Table1820[[#This Row],[Difference]]=0,"PASS","FAIL")</f>
        <v>FAIL</v>
      </c>
      <c r="AV746" s="9">
        <f>ABS(Table1820[[#This Row],[Difference]])</f>
        <v>186.67564593330644</v>
      </c>
      <c r="AW746" s="9" t="s">
        <v>1138</v>
      </c>
    </row>
    <row r="747" spans="1:49" x14ac:dyDescent="0.3">
      <c r="A747" t="s">
        <v>838</v>
      </c>
      <c r="B747" s="7">
        <v>45832</v>
      </c>
      <c r="C747" t="s">
        <v>70</v>
      </c>
      <c r="D747" t="s">
        <v>1100</v>
      </c>
      <c r="E747" s="3">
        <v>3</v>
      </c>
      <c r="F747" s="3">
        <v>1</v>
      </c>
      <c r="G747" t="s">
        <v>10</v>
      </c>
      <c r="H747" t="s">
        <v>1106</v>
      </c>
      <c r="I747" t="s">
        <v>27</v>
      </c>
      <c r="J747" t="s">
        <v>48</v>
      </c>
      <c r="K747" t="s">
        <v>10</v>
      </c>
      <c r="L747" t="s">
        <v>10</v>
      </c>
      <c r="M747" t="s">
        <v>10</v>
      </c>
      <c r="N747" t="s">
        <v>57</v>
      </c>
      <c r="O747" t="str">
        <f>INDEX(CoverageTable[Deductible Applies],MATCH(Table1820[[#This Row],[Coverage]],CoverageTable[Coverage],0))</f>
        <v>No</v>
      </c>
      <c r="P747" t="str">
        <f>INDEX(CoverageTable[Coverage Limit Applies],MATCH(Table1820[[#This Row],[Coverage]],CoverageTable[Coverage],0))</f>
        <v>Yes</v>
      </c>
      <c r="Q747" t="s">
        <v>10</v>
      </c>
      <c r="R747" t="s">
        <v>78</v>
      </c>
      <c r="S747" t="s">
        <v>10</v>
      </c>
      <c r="T747" t="s">
        <v>57</v>
      </c>
      <c r="U747" t="s">
        <v>57</v>
      </c>
      <c r="V747" t="s">
        <v>10</v>
      </c>
      <c r="W747" t="s">
        <v>10</v>
      </c>
      <c r="X747" s="11">
        <v>305.54825806406058</v>
      </c>
      <c r="Y747">
        <f>_xlfn.XLOOKUP(Table1820[[#This Row],[Coverage]],CoverageTable[Coverage],CoverageTable[Base Rate],,0)</f>
        <v>622</v>
      </c>
      <c r="Z747">
        <f>INDEX(Table16[Ageband Factor],MATCH(Table1820[[#This Row],[Ageband]],Table16[Ageband],0))</f>
        <v>1.07</v>
      </c>
      <c r="AA747">
        <f>VLOOKUP(Table1820[[#This Row],[Years Driving]],Table1[],2)</f>
        <v>1.22</v>
      </c>
      <c r="AB747">
        <f>_xlfn.XLOOKUP(Table1820[[#This Row],[At Fault Accidents]],Table2[At Fault Accidents],Table2[At Fault Accident Factor],,0)</f>
        <v>1.34</v>
      </c>
      <c r="AC747">
        <f>_xlfn.XLOOKUP(Table1820[[#This Row],[Usage-Based Insurance]],Table3[Usage-Based Insurance],Table3[Usage-Based Insurance Discount],,0)</f>
        <v>1</v>
      </c>
      <c r="AD747">
        <f>_xlfn.XLOOKUP(Table1820[[#This Row],[Yearly Miles]],Table4[Yearly Miles],Table4[Yearly Miles Factor],,0)</f>
        <v>0.82</v>
      </c>
      <c r="AE747">
        <f>_xlfn.XLOOKUP(Table1820[[#This Row],[City/Zip Code]],Table5[City/Zip Code],Table5[City/Zip Code Factor],,0)</f>
        <v>0.94</v>
      </c>
      <c r="AF747">
        <f>_xlfn.XLOOKUP(Table1820[[#This Row],[Vehicle Price]],Table6[Vehicle Price],Table6[Vehicle Price Factor])</f>
        <v>0.82</v>
      </c>
      <c r="AG747">
        <f>_xlfn.XLOOKUP(Table1820[[#This Row],[Exotic Car]],Table7[Exotic Car],Table7[Exotic Car Factor],,0)</f>
        <v>1</v>
      </c>
      <c r="AH747">
        <f>_xlfn.XLOOKUP(Table1820[[#This Row],[Difficult Parts]],Table8[Difficult Parts],Table8[Difficult Parts Factor],,0)</f>
        <v>1</v>
      </c>
      <c r="AI747">
        <f>_xlfn.XLOOKUP(Table1820[[#This Row],[High Theft Rate]],Table9[High Theft Rate],Table9[High Theft Rate Factor],,0)</f>
        <v>1</v>
      </c>
      <c r="AJ747">
        <f>_xlfn.XLOOKUP(Table1820[[#This Row],[Advanced Safety Features]],Table10[Advanced Safety Features],Table10[Advanced Safety Features Factor],,0)</f>
        <v>0.88</v>
      </c>
      <c r="AK747">
        <f>_xlfn.XLOOKUP(Table1820[[#This Row],[Deductible]],Table12[Deductible],Table12[Deductible Factor],,0)</f>
        <v>1</v>
      </c>
      <c r="AL747">
        <f>_xlfn.XLOOKUP(Table1820[[#This Row],[Coverage Limit]],Table13[Coverage Limit],Table13[Coverage Limit Factor],,0)</f>
        <v>0.61</v>
      </c>
      <c r="AM747">
        <f>IF(Table1820[[#This Row],[Good Student Discount]]="Yes",'Rate Book'!$D$126,1)</f>
        <v>1</v>
      </c>
      <c r="AN747">
        <f>IF(Table1820[[#This Row],[Good Driver Discount]]="Yes",'Rate Book'!$D$127,1)</f>
        <v>0.89</v>
      </c>
      <c r="AO747">
        <f>IF(Table1820[[#This Row],[Multi Policy Discount]]="Yes",'Rate Book'!$D$128,1)</f>
        <v>0.93</v>
      </c>
      <c r="AP747">
        <f>IF(Table1820[[#This Row],[Loyal Customer Discount]]="Yes",'Rate Book'!$D$129,1)</f>
        <v>1</v>
      </c>
      <c r="AQ747">
        <f>IF(Table1820[[#This Row],[Organization Discount]]="Yes",'Rate Book'!$D$130,1)</f>
        <v>1</v>
      </c>
      <c r="AR747" cm="1">
        <f t="array" ref="AR747">IF(Table1820[[#This Row],[Effective Date]]&gt;=RateChangeTable[Effective Date],RateChangeTable[Rate Change Factor],1)</f>
        <v>1</v>
      </c>
      <c r="AS747" s="10">
        <f>PRODUCT(Table1820[[#This Row],[Base Rate]:[Rate Change Factor]])</f>
        <v>305.54825806406058</v>
      </c>
      <c r="AT747" s="9">
        <f>Table1820[[#This Row],[System-Generated Premium]]-Table1820[[#This Row],[Expected Premium]]</f>
        <v>0</v>
      </c>
      <c r="AU747" t="str">
        <f>IF(Table1820[[#This Row],[Difference]]=0,"PASS","FAIL")</f>
        <v>PASS</v>
      </c>
      <c r="AV747" s="9">
        <f>ABS(Table1820[[#This Row],[Difference]])</f>
        <v>0</v>
      </c>
      <c r="AW747" s="9" t="s">
        <v>1136</v>
      </c>
    </row>
    <row r="748" spans="1:49" x14ac:dyDescent="0.3">
      <c r="A748" t="s">
        <v>839</v>
      </c>
      <c r="B748" s="7">
        <v>45829</v>
      </c>
      <c r="C748" t="s">
        <v>73</v>
      </c>
      <c r="D748" t="s">
        <v>1097</v>
      </c>
      <c r="E748" s="3">
        <v>3</v>
      </c>
      <c r="F748" s="3">
        <v>1</v>
      </c>
      <c r="G748" t="s">
        <v>13</v>
      </c>
      <c r="H748" t="s">
        <v>1106</v>
      </c>
      <c r="I748" t="s">
        <v>40</v>
      </c>
      <c r="J748" t="s">
        <v>48</v>
      </c>
      <c r="K748" t="s">
        <v>10</v>
      </c>
      <c r="L748" t="s">
        <v>57</v>
      </c>
      <c r="M748" t="s">
        <v>10</v>
      </c>
      <c r="N748" t="s">
        <v>10</v>
      </c>
      <c r="O748" t="str">
        <f>INDEX(CoverageTable[Deductible Applies],MATCH(Table1820[[#This Row],[Coverage]],CoverageTable[Coverage],0))</f>
        <v>No</v>
      </c>
      <c r="P748" t="str">
        <f>INDEX(CoverageTable[Coverage Limit Applies],MATCH(Table1820[[#This Row],[Coverage]],CoverageTable[Coverage],0))</f>
        <v>Yes</v>
      </c>
      <c r="Q748" t="s">
        <v>10</v>
      </c>
      <c r="R748" t="s">
        <v>79</v>
      </c>
      <c r="S748" t="s">
        <v>10</v>
      </c>
      <c r="T748" t="s">
        <v>10</v>
      </c>
      <c r="U748" t="s">
        <v>10</v>
      </c>
      <c r="V748" t="s">
        <v>10</v>
      </c>
      <c r="W748" t="s">
        <v>10</v>
      </c>
      <c r="X748" s="11">
        <v>69.858392676446513</v>
      </c>
      <c r="Y748">
        <f>_xlfn.XLOOKUP(Table1820[[#This Row],[Coverage]],CoverageTable[Coverage],CoverageTable[Base Rate],,0)</f>
        <v>78</v>
      </c>
      <c r="Z748">
        <f>INDEX(Table16[Ageband Factor],MATCH(Table1820[[#This Row],[Ageband]],Table16[Ageband],0))</f>
        <v>1.32</v>
      </c>
      <c r="AA748">
        <f>VLOOKUP(Table1820[[#This Row],[Years Driving]],Table1[],2)</f>
        <v>1.22</v>
      </c>
      <c r="AB748">
        <f>_xlfn.XLOOKUP(Table1820[[#This Row],[At Fault Accidents]],Table2[At Fault Accidents],Table2[At Fault Accident Factor],,0)</f>
        <v>1.34</v>
      </c>
      <c r="AC748">
        <f>_xlfn.XLOOKUP(Table1820[[#This Row],[Usage-Based Insurance]],Table3[Usage-Based Insurance],Table3[Usage-Based Insurance Discount],,0)</f>
        <v>0.65</v>
      </c>
      <c r="AD748">
        <f>_xlfn.XLOOKUP(Table1820[[#This Row],[Yearly Miles]],Table4[Yearly Miles],Table4[Yearly Miles Factor],,0)</f>
        <v>0.82</v>
      </c>
      <c r="AE748">
        <f>_xlfn.XLOOKUP(Table1820[[#This Row],[City/Zip Code]],Table5[City/Zip Code],Table5[City/Zip Code Factor],,0)</f>
        <v>1.0900000000000001</v>
      </c>
      <c r="AF748">
        <f>_xlfn.XLOOKUP(Table1820[[#This Row],[Vehicle Price]],Table6[Vehicle Price],Table6[Vehicle Price Factor])</f>
        <v>0.82</v>
      </c>
      <c r="AG748">
        <f>_xlfn.XLOOKUP(Table1820[[#This Row],[Exotic Car]],Table7[Exotic Car],Table7[Exotic Car Factor],,0)</f>
        <v>1</v>
      </c>
      <c r="AH748">
        <f>_xlfn.XLOOKUP(Table1820[[#This Row],[Difficult Parts]],Table8[Difficult Parts],Table8[Difficult Parts Factor],,0)</f>
        <v>1.21</v>
      </c>
      <c r="AI748">
        <f>_xlfn.XLOOKUP(Table1820[[#This Row],[High Theft Rate]],Table9[High Theft Rate],Table9[High Theft Rate Factor],,0)</f>
        <v>1</v>
      </c>
      <c r="AJ748">
        <f>_xlfn.XLOOKUP(Table1820[[#This Row],[Advanced Safety Features]],Table10[Advanced Safety Features],Table10[Advanced Safety Features Factor],,0)</f>
        <v>1</v>
      </c>
      <c r="AK748">
        <f>_xlfn.XLOOKUP(Table1820[[#This Row],[Deductible]],Table12[Deductible],Table12[Deductible Factor],,0)</f>
        <v>1</v>
      </c>
      <c r="AL748">
        <f>_xlfn.XLOOKUP(Table1820[[#This Row],[Coverage Limit]],Table13[Coverage Limit],Table13[Coverage Limit Factor],,0)</f>
        <v>0.72</v>
      </c>
      <c r="AM748">
        <f>IF(Table1820[[#This Row],[Good Student Discount]]="Yes",'Rate Book'!$D$126,1)</f>
        <v>1</v>
      </c>
      <c r="AN748">
        <f>IF(Table1820[[#This Row],[Good Driver Discount]]="Yes",'Rate Book'!$D$127,1)</f>
        <v>1</v>
      </c>
      <c r="AO748">
        <f>IF(Table1820[[#This Row],[Multi Policy Discount]]="Yes",'Rate Book'!$D$128,1)</f>
        <v>1</v>
      </c>
      <c r="AP748">
        <f>IF(Table1820[[#This Row],[Loyal Customer Discount]]="Yes",'Rate Book'!$D$129,1)</f>
        <v>1</v>
      </c>
      <c r="AQ748">
        <f>IF(Table1820[[#This Row],[Organization Discount]]="Yes",'Rate Book'!$D$130,1)</f>
        <v>1</v>
      </c>
      <c r="AR748" cm="1">
        <f t="array" ref="AR748">IF(Table1820[[#This Row],[Effective Date]]&gt;=RateChangeTable[Effective Date],RateChangeTable[Rate Change Factor],1)</f>
        <v>1</v>
      </c>
      <c r="AS748" s="10">
        <f>PRODUCT(Table1820[[#This Row],[Base Rate]:[Rate Change Factor]])</f>
        <v>69.858392676446513</v>
      </c>
      <c r="AT748" s="9">
        <f>Table1820[[#This Row],[System-Generated Premium]]-Table1820[[#This Row],[Expected Premium]]</f>
        <v>0</v>
      </c>
      <c r="AU748" t="str">
        <f>IF(Table1820[[#This Row],[Difference]]=0,"PASS","FAIL")</f>
        <v>PASS</v>
      </c>
      <c r="AV748" s="9">
        <f>ABS(Table1820[[#This Row],[Difference]])</f>
        <v>0</v>
      </c>
      <c r="AW748" s="9" t="s">
        <v>1136</v>
      </c>
    </row>
    <row r="749" spans="1:49" x14ac:dyDescent="0.3">
      <c r="A749" t="s">
        <v>840</v>
      </c>
      <c r="B749" s="7">
        <v>46123</v>
      </c>
      <c r="C749" t="s">
        <v>70</v>
      </c>
      <c r="D749" t="s">
        <v>1101</v>
      </c>
      <c r="E749" s="3">
        <v>4</v>
      </c>
      <c r="F749" s="3">
        <v>2</v>
      </c>
      <c r="G749" t="s">
        <v>11</v>
      </c>
      <c r="H749" t="s">
        <v>1107</v>
      </c>
      <c r="I749" t="s">
        <v>22</v>
      </c>
      <c r="J749" t="s">
        <v>48</v>
      </c>
      <c r="K749" t="s">
        <v>10</v>
      </c>
      <c r="L749" t="s">
        <v>57</v>
      </c>
      <c r="M749" t="s">
        <v>10</v>
      </c>
      <c r="N749" t="s">
        <v>57</v>
      </c>
      <c r="O749" t="str">
        <f>INDEX(CoverageTable[Deductible Applies],MATCH(Table1820[[#This Row],[Coverage]],CoverageTable[Coverage],0))</f>
        <v>No</v>
      </c>
      <c r="P749" t="str">
        <f>INDEX(CoverageTable[Coverage Limit Applies],MATCH(Table1820[[#This Row],[Coverage]],CoverageTable[Coverage],0))</f>
        <v>Yes</v>
      </c>
      <c r="Q749" t="s">
        <v>10</v>
      </c>
      <c r="R749" t="s">
        <v>78</v>
      </c>
      <c r="S749" t="s">
        <v>10</v>
      </c>
      <c r="T749" t="s">
        <v>10</v>
      </c>
      <c r="U749" t="s">
        <v>10</v>
      </c>
      <c r="V749" t="s">
        <v>10</v>
      </c>
      <c r="W749" t="s">
        <v>57</v>
      </c>
      <c r="X749" s="11">
        <v>726.97453683811784</v>
      </c>
      <c r="Y749">
        <f>_xlfn.XLOOKUP(Table1820[[#This Row],[Coverage]],CoverageTable[Coverage],CoverageTable[Base Rate],,0)</f>
        <v>622</v>
      </c>
      <c r="Z749">
        <f>INDEX(Table16[Ageband Factor],MATCH(Table1820[[#This Row],[Ageband]],Table16[Ageband],0))</f>
        <v>1.1200000000000001</v>
      </c>
      <c r="AA749">
        <f>VLOOKUP(Table1820[[#This Row],[Years Driving]],Table1[],2)</f>
        <v>1.1499999999999999</v>
      </c>
      <c r="AB749">
        <f>_xlfn.XLOOKUP(Table1820[[#This Row],[At Fault Accidents]],Table2[At Fault Accidents],Table2[At Fault Accident Factor],,0)</f>
        <v>1.55</v>
      </c>
      <c r="AC749">
        <f>_xlfn.XLOOKUP(Table1820[[#This Row],[Usage-Based Insurance]],Table3[Usage-Based Insurance],Table3[Usage-Based Insurance Discount],,0)</f>
        <v>0.95</v>
      </c>
      <c r="AD749">
        <f>_xlfn.XLOOKUP(Table1820[[#This Row],[Yearly Miles]],Table4[Yearly Miles],Table4[Yearly Miles Factor],,0)</f>
        <v>0.93</v>
      </c>
      <c r="AE749">
        <f>_xlfn.XLOOKUP(Table1820[[#This Row],[City/Zip Code]],Table5[City/Zip Code],Table5[City/Zip Code Factor],,0)</f>
        <v>1.21</v>
      </c>
      <c r="AF749">
        <f>_xlfn.XLOOKUP(Table1820[[#This Row],[Vehicle Price]],Table6[Vehicle Price],Table6[Vehicle Price Factor])</f>
        <v>0.82</v>
      </c>
      <c r="AG749">
        <f>_xlfn.XLOOKUP(Table1820[[#This Row],[Exotic Car]],Table7[Exotic Car],Table7[Exotic Car Factor],,0)</f>
        <v>1</v>
      </c>
      <c r="AH749">
        <f>_xlfn.XLOOKUP(Table1820[[#This Row],[Difficult Parts]],Table8[Difficult Parts],Table8[Difficult Parts Factor],,0)</f>
        <v>1.21</v>
      </c>
      <c r="AI749">
        <f>_xlfn.XLOOKUP(Table1820[[#This Row],[High Theft Rate]],Table9[High Theft Rate],Table9[High Theft Rate Factor],,0)</f>
        <v>1</v>
      </c>
      <c r="AJ749">
        <f>_xlfn.XLOOKUP(Table1820[[#This Row],[Advanced Safety Features]],Table10[Advanced Safety Features],Table10[Advanced Safety Features Factor],,0)</f>
        <v>0.88</v>
      </c>
      <c r="AK749">
        <f>_xlfn.XLOOKUP(Table1820[[#This Row],[Deductible]],Table12[Deductible],Table12[Deductible Factor],,0)</f>
        <v>1</v>
      </c>
      <c r="AL749">
        <f>_xlfn.XLOOKUP(Table1820[[#This Row],[Coverage Limit]],Table13[Coverage Limit],Table13[Coverage Limit Factor],,0)</f>
        <v>0.61</v>
      </c>
      <c r="AM749">
        <f>IF(Table1820[[#This Row],[Good Student Discount]]="Yes",'Rate Book'!$D$126,1)</f>
        <v>1</v>
      </c>
      <c r="AN749">
        <f>IF(Table1820[[#This Row],[Good Driver Discount]]="Yes",'Rate Book'!$D$127,1)</f>
        <v>1</v>
      </c>
      <c r="AO749">
        <f>IF(Table1820[[#This Row],[Multi Policy Discount]]="Yes",'Rate Book'!$D$128,1)</f>
        <v>1</v>
      </c>
      <c r="AP749">
        <f>IF(Table1820[[#This Row],[Loyal Customer Discount]]="Yes",'Rate Book'!$D$129,1)</f>
        <v>1</v>
      </c>
      <c r="AQ749">
        <f>IF(Table1820[[#This Row],[Organization Discount]]="Yes",'Rate Book'!$D$130,1)</f>
        <v>0.97</v>
      </c>
      <c r="AR749" cm="1">
        <f t="array" ref="AR749">IF(Table1820[[#This Row],[Effective Date]]&gt;=RateChangeTable[Effective Date],RateChangeTable[Rate Change Factor],1)</f>
        <v>1.06</v>
      </c>
      <c r="AS749" s="10">
        <f>PRODUCT(Table1820[[#This Row],[Base Rate]:[Rate Change Factor]])</f>
        <v>726.97453683811784</v>
      </c>
      <c r="AT749" s="9">
        <f>Table1820[[#This Row],[System-Generated Premium]]-Table1820[[#This Row],[Expected Premium]]</f>
        <v>0</v>
      </c>
      <c r="AU749" t="str">
        <f>IF(Table1820[[#This Row],[Difference]]=0,"PASS","FAIL")</f>
        <v>PASS</v>
      </c>
      <c r="AV749" s="9">
        <f>ABS(Table1820[[#This Row],[Difference]])</f>
        <v>0</v>
      </c>
      <c r="AW749" s="9" t="s">
        <v>1136</v>
      </c>
    </row>
    <row r="750" spans="1:49" x14ac:dyDescent="0.3">
      <c r="A750" t="s">
        <v>841</v>
      </c>
      <c r="B750" s="7">
        <v>45993</v>
      </c>
      <c r="C750" t="s">
        <v>70</v>
      </c>
      <c r="D750" t="s">
        <v>1100</v>
      </c>
      <c r="E750" s="3">
        <v>1</v>
      </c>
      <c r="F750" s="3">
        <v>2</v>
      </c>
      <c r="G750" t="s">
        <v>10</v>
      </c>
      <c r="H750" t="s">
        <v>1109</v>
      </c>
      <c r="I750" t="s">
        <v>44</v>
      </c>
      <c r="J750" t="s">
        <v>50</v>
      </c>
      <c r="K750" t="s">
        <v>10</v>
      </c>
      <c r="L750" t="s">
        <v>10</v>
      </c>
      <c r="M750" t="s">
        <v>10</v>
      </c>
      <c r="N750" t="s">
        <v>10</v>
      </c>
      <c r="O750" t="str">
        <f>INDEX(CoverageTable[Deductible Applies],MATCH(Table1820[[#This Row],[Coverage]],CoverageTable[Coverage],0))</f>
        <v>No</v>
      </c>
      <c r="P750" t="str">
        <f>INDEX(CoverageTable[Coverage Limit Applies],MATCH(Table1820[[#This Row],[Coverage]],CoverageTable[Coverage],0))</f>
        <v>Yes</v>
      </c>
      <c r="Q750" t="s">
        <v>10</v>
      </c>
      <c r="R750" t="s">
        <v>78</v>
      </c>
      <c r="S750" t="s">
        <v>10</v>
      </c>
      <c r="T750" t="s">
        <v>10</v>
      </c>
      <c r="U750" t="s">
        <v>57</v>
      </c>
      <c r="V750" t="s">
        <v>10</v>
      </c>
      <c r="W750" t="s">
        <v>10</v>
      </c>
      <c r="X750" s="11">
        <v>1418.8165449547425</v>
      </c>
      <c r="Y750">
        <f>_xlfn.XLOOKUP(Table1820[[#This Row],[Coverage]],CoverageTable[Coverage],CoverageTable[Base Rate],,0)</f>
        <v>622</v>
      </c>
      <c r="Z750">
        <f>INDEX(Table16[Ageband Factor],MATCH(Table1820[[#This Row],[Ageband]],Table16[Ageband],0))</f>
        <v>1.07</v>
      </c>
      <c r="AA750">
        <f>VLOOKUP(Table1820[[#This Row],[Years Driving]],Table1[],2)</f>
        <v>1.64</v>
      </c>
      <c r="AB750">
        <f>_xlfn.XLOOKUP(Table1820[[#This Row],[At Fault Accidents]],Table2[At Fault Accidents],Table2[At Fault Accident Factor],,0)</f>
        <v>1.55</v>
      </c>
      <c r="AC750">
        <f>_xlfn.XLOOKUP(Table1820[[#This Row],[Usage-Based Insurance]],Table3[Usage-Based Insurance],Table3[Usage-Based Insurance Discount],,0)</f>
        <v>1</v>
      </c>
      <c r="AD750">
        <f>_xlfn.XLOOKUP(Table1820[[#This Row],[Yearly Miles]],Table4[Yearly Miles],Table4[Yearly Miles Factor],,0)</f>
        <v>1.18</v>
      </c>
      <c r="AE750">
        <f>_xlfn.XLOOKUP(Table1820[[#This Row],[City/Zip Code]],Table5[City/Zip Code],Table5[City/Zip Code Factor],,0)</f>
        <v>1.1599999999999999</v>
      </c>
      <c r="AF750">
        <f>_xlfn.XLOOKUP(Table1820[[#This Row],[Vehicle Price]],Table6[Vehicle Price],Table6[Vehicle Price Factor])</f>
        <v>1.08</v>
      </c>
      <c r="AG750">
        <f>_xlfn.XLOOKUP(Table1820[[#This Row],[Exotic Car]],Table7[Exotic Car],Table7[Exotic Car Factor],,0)</f>
        <v>1</v>
      </c>
      <c r="AH750">
        <f>_xlfn.XLOOKUP(Table1820[[#This Row],[Difficult Parts]],Table8[Difficult Parts],Table8[Difficult Parts Factor],,0)</f>
        <v>1</v>
      </c>
      <c r="AI750">
        <f>_xlfn.XLOOKUP(Table1820[[#This Row],[High Theft Rate]],Table9[High Theft Rate],Table9[High Theft Rate Factor],,0)</f>
        <v>1</v>
      </c>
      <c r="AJ750">
        <f>_xlfn.XLOOKUP(Table1820[[#This Row],[Advanced Safety Features]],Table10[Advanced Safety Features],Table10[Advanced Safety Features Factor],,0)</f>
        <v>1</v>
      </c>
      <c r="AK750">
        <f>_xlfn.XLOOKUP(Table1820[[#This Row],[Deductible]],Table12[Deductible],Table12[Deductible Factor],,0)</f>
        <v>1</v>
      </c>
      <c r="AL750">
        <f>_xlfn.XLOOKUP(Table1820[[#This Row],[Coverage Limit]],Table13[Coverage Limit],Table13[Coverage Limit Factor],,0)</f>
        <v>0.61</v>
      </c>
      <c r="AM750">
        <f>IF(Table1820[[#This Row],[Good Student Discount]]="Yes",'Rate Book'!$D$126,1)</f>
        <v>1</v>
      </c>
      <c r="AN750">
        <f>IF(Table1820[[#This Row],[Good Driver Discount]]="Yes",'Rate Book'!$D$127,1)</f>
        <v>1</v>
      </c>
      <c r="AO750">
        <f>IF(Table1820[[#This Row],[Multi Policy Discount]]="Yes",'Rate Book'!$D$128,1)</f>
        <v>0.93</v>
      </c>
      <c r="AP750">
        <f>IF(Table1820[[#This Row],[Loyal Customer Discount]]="Yes",'Rate Book'!$D$129,1)</f>
        <v>1</v>
      </c>
      <c r="AQ750">
        <f>IF(Table1820[[#This Row],[Organization Discount]]="Yes",'Rate Book'!$D$130,1)</f>
        <v>1</v>
      </c>
      <c r="AR750" cm="1">
        <f t="array" ref="AR750">IF(Table1820[[#This Row],[Effective Date]]&gt;=RateChangeTable[Effective Date],RateChangeTable[Rate Change Factor],1)</f>
        <v>1</v>
      </c>
      <c r="AS750" s="10">
        <f>PRODUCT(Table1820[[#This Row],[Base Rate]:[Rate Change Factor]])</f>
        <v>1418.8165449547425</v>
      </c>
      <c r="AT750" s="9">
        <f>Table1820[[#This Row],[System-Generated Premium]]-Table1820[[#This Row],[Expected Premium]]</f>
        <v>0</v>
      </c>
      <c r="AU750" t="str">
        <f>IF(Table1820[[#This Row],[Difference]]=0,"PASS","FAIL")</f>
        <v>PASS</v>
      </c>
      <c r="AV750" s="9">
        <f>ABS(Table1820[[#This Row],[Difference]])</f>
        <v>0</v>
      </c>
      <c r="AW750" s="9" t="s">
        <v>1136</v>
      </c>
    </row>
    <row r="751" spans="1:49" x14ac:dyDescent="0.3">
      <c r="A751" t="s">
        <v>842</v>
      </c>
      <c r="B751" s="7">
        <v>45942</v>
      </c>
      <c r="C751" t="s">
        <v>70</v>
      </c>
      <c r="D751" t="s">
        <v>1101</v>
      </c>
      <c r="E751" s="3">
        <v>1</v>
      </c>
      <c r="F751" s="3" t="s">
        <v>7</v>
      </c>
      <c r="G751" t="s">
        <v>10</v>
      </c>
      <c r="H751" t="s">
        <v>1106</v>
      </c>
      <c r="I751" t="s">
        <v>42</v>
      </c>
      <c r="J751" t="s">
        <v>50</v>
      </c>
      <c r="K751" t="s">
        <v>10</v>
      </c>
      <c r="L751" t="s">
        <v>10</v>
      </c>
      <c r="M751" t="s">
        <v>10</v>
      </c>
      <c r="N751" t="s">
        <v>10</v>
      </c>
      <c r="O751" t="str">
        <f>INDEX(CoverageTable[Deductible Applies],MATCH(Table1820[[#This Row],[Coverage]],CoverageTable[Coverage],0))</f>
        <v>No</v>
      </c>
      <c r="P751" t="str">
        <f>INDEX(CoverageTable[Coverage Limit Applies],MATCH(Table1820[[#This Row],[Coverage]],CoverageTable[Coverage],0))</f>
        <v>Yes</v>
      </c>
      <c r="Q751" t="s">
        <v>10</v>
      </c>
      <c r="R751" t="s">
        <v>79</v>
      </c>
      <c r="S751" t="s">
        <v>10</v>
      </c>
      <c r="T751" t="s">
        <v>57</v>
      </c>
      <c r="U751" t="s">
        <v>10</v>
      </c>
      <c r="V751" t="s">
        <v>57</v>
      </c>
      <c r="W751" t="s">
        <v>10</v>
      </c>
      <c r="X751" s="11">
        <v>1821.4721843562354</v>
      </c>
      <c r="Y751">
        <f>_xlfn.XLOOKUP(Table1820[[#This Row],[Coverage]],CoverageTable[Coverage],CoverageTable[Base Rate],,0)</f>
        <v>622</v>
      </c>
      <c r="Z751">
        <f>INDEX(Table16[Ageband Factor],MATCH(Table1820[[#This Row],[Ageband]],Table16[Ageband],0))</f>
        <v>1.1200000000000001</v>
      </c>
      <c r="AA751">
        <f>VLOOKUP(Table1820[[#This Row],[Years Driving]],Table1[],2)</f>
        <v>1.64</v>
      </c>
      <c r="AB751">
        <f>_xlfn.XLOOKUP(Table1820[[#This Row],[At Fault Accidents]],Table2[At Fault Accidents],Table2[At Fault Accident Factor],,0)</f>
        <v>2.4700000000000002</v>
      </c>
      <c r="AC751">
        <f>_xlfn.XLOOKUP(Table1820[[#This Row],[Usage-Based Insurance]],Table3[Usage-Based Insurance],Table3[Usage-Based Insurance Discount],,0)</f>
        <v>1</v>
      </c>
      <c r="AD751">
        <f>_xlfn.XLOOKUP(Table1820[[#This Row],[Yearly Miles]],Table4[Yearly Miles],Table4[Yearly Miles Factor],,0)</f>
        <v>0.82</v>
      </c>
      <c r="AE751">
        <f>_xlfn.XLOOKUP(Table1820[[#This Row],[City/Zip Code]],Table5[City/Zip Code],Table5[City/Zip Code Factor],,0)</f>
        <v>1.21</v>
      </c>
      <c r="AF751">
        <f>_xlfn.XLOOKUP(Table1820[[#This Row],[Vehicle Price]],Table6[Vehicle Price],Table6[Vehicle Price Factor])</f>
        <v>1.08</v>
      </c>
      <c r="AG751">
        <f>_xlfn.XLOOKUP(Table1820[[#This Row],[Exotic Car]],Table7[Exotic Car],Table7[Exotic Car Factor],,0)</f>
        <v>1</v>
      </c>
      <c r="AH751">
        <f>_xlfn.XLOOKUP(Table1820[[#This Row],[Difficult Parts]],Table8[Difficult Parts],Table8[Difficult Parts Factor],,0)</f>
        <v>1</v>
      </c>
      <c r="AI751">
        <f>_xlfn.XLOOKUP(Table1820[[#This Row],[High Theft Rate]],Table9[High Theft Rate],Table9[High Theft Rate Factor],,0)</f>
        <v>1</v>
      </c>
      <c r="AJ751">
        <f>_xlfn.XLOOKUP(Table1820[[#This Row],[Advanced Safety Features]],Table10[Advanced Safety Features],Table10[Advanced Safety Features Factor],,0)</f>
        <v>1</v>
      </c>
      <c r="AK751">
        <f>_xlfn.XLOOKUP(Table1820[[#This Row],[Deductible]],Table12[Deductible],Table12[Deductible Factor],,0)</f>
        <v>1</v>
      </c>
      <c r="AL751">
        <f>_xlfn.XLOOKUP(Table1820[[#This Row],[Coverage Limit]],Table13[Coverage Limit],Table13[Coverage Limit Factor],,0)</f>
        <v>0.72</v>
      </c>
      <c r="AM751">
        <f>IF(Table1820[[#This Row],[Good Student Discount]]="Yes",'Rate Book'!$D$126,1)</f>
        <v>1</v>
      </c>
      <c r="AN751">
        <f>IF(Table1820[[#This Row],[Good Driver Discount]]="Yes",'Rate Book'!$D$127,1)</f>
        <v>0.89</v>
      </c>
      <c r="AO751">
        <f>IF(Table1820[[#This Row],[Multi Policy Discount]]="Yes",'Rate Book'!$D$128,1)</f>
        <v>1</v>
      </c>
      <c r="AP751">
        <f>IF(Table1820[[#This Row],[Loyal Customer Discount]]="Yes",'Rate Book'!$D$129,1)</f>
        <v>0.94</v>
      </c>
      <c r="AQ751">
        <f>IF(Table1820[[#This Row],[Organization Discount]]="Yes",'Rate Book'!$D$130,1)</f>
        <v>1</v>
      </c>
      <c r="AR751" cm="1">
        <f t="array" ref="AR751">IF(Table1820[[#This Row],[Effective Date]]&gt;=RateChangeTable[Effective Date],RateChangeTable[Rate Change Factor],1)</f>
        <v>1</v>
      </c>
      <c r="AS751" s="10">
        <f>PRODUCT(Table1820[[#This Row],[Base Rate]:[Rate Change Factor]])</f>
        <v>1821.4721843562354</v>
      </c>
      <c r="AT751" s="9">
        <f>Table1820[[#This Row],[System-Generated Premium]]-Table1820[[#This Row],[Expected Premium]]</f>
        <v>0</v>
      </c>
      <c r="AU751" t="str">
        <f>IF(Table1820[[#This Row],[Difference]]=0,"PASS","FAIL")</f>
        <v>PASS</v>
      </c>
      <c r="AV751" s="9">
        <f>ABS(Table1820[[#This Row],[Difference]])</f>
        <v>0</v>
      </c>
      <c r="AW751" s="9" t="s">
        <v>1136</v>
      </c>
    </row>
    <row r="752" spans="1:49" x14ac:dyDescent="0.3">
      <c r="A752" t="s">
        <v>843</v>
      </c>
      <c r="B752" s="7">
        <v>46048</v>
      </c>
      <c r="C752" t="s">
        <v>71</v>
      </c>
      <c r="D752" t="s">
        <v>1097</v>
      </c>
      <c r="E752" s="3">
        <v>6</v>
      </c>
      <c r="F752" s="3">
        <v>0</v>
      </c>
      <c r="G752" t="s">
        <v>10</v>
      </c>
      <c r="H752" t="s">
        <v>1106</v>
      </c>
      <c r="I752" t="s">
        <v>42</v>
      </c>
      <c r="J752" t="s">
        <v>51</v>
      </c>
      <c r="K752" t="s">
        <v>10</v>
      </c>
      <c r="L752" t="s">
        <v>57</v>
      </c>
      <c r="M752" t="s">
        <v>10</v>
      </c>
      <c r="N752" t="s">
        <v>57</v>
      </c>
      <c r="O752" t="str">
        <f>INDEX(CoverageTable[Deductible Applies],MATCH(Table1820[[#This Row],[Coverage]],CoverageTable[Coverage],0))</f>
        <v>Yes</v>
      </c>
      <c r="P752" t="str">
        <f>INDEX(CoverageTable[Coverage Limit Applies],MATCH(Table1820[[#This Row],[Coverage]],CoverageTable[Coverage],0))</f>
        <v>No</v>
      </c>
      <c r="Q752" t="s">
        <v>78</v>
      </c>
      <c r="R752" t="s">
        <v>10</v>
      </c>
      <c r="S752" t="s">
        <v>10</v>
      </c>
      <c r="T752" t="s">
        <v>57</v>
      </c>
      <c r="U752" t="s">
        <v>10</v>
      </c>
      <c r="V752" t="s">
        <v>10</v>
      </c>
      <c r="W752" t="s">
        <v>10</v>
      </c>
      <c r="X752" s="11">
        <v>724.71766141629701</v>
      </c>
      <c r="Y752">
        <f>_xlfn.XLOOKUP(Table1820[[#This Row],[Coverage]],CoverageTable[Coverage],CoverageTable[Base Rate],,0)</f>
        <v>453</v>
      </c>
      <c r="Z752">
        <f>INDEX(Table16[Ageband Factor],MATCH(Table1820[[#This Row],[Ageband]],Table16[Ageband],0))</f>
        <v>1.32</v>
      </c>
      <c r="AA752">
        <f>VLOOKUP(Table1820[[#This Row],[Years Driving]],Table1[],2)</f>
        <v>1</v>
      </c>
      <c r="AB752">
        <f>_xlfn.XLOOKUP(Table1820[[#This Row],[At Fault Accidents]],Table2[At Fault Accidents],Table2[At Fault Accident Factor],,0)</f>
        <v>1</v>
      </c>
      <c r="AC752">
        <f>_xlfn.XLOOKUP(Table1820[[#This Row],[Usage-Based Insurance]],Table3[Usage-Based Insurance],Table3[Usage-Based Insurance Discount],,0)</f>
        <v>1</v>
      </c>
      <c r="AD752">
        <f>_xlfn.XLOOKUP(Table1820[[#This Row],[Yearly Miles]],Table4[Yearly Miles],Table4[Yearly Miles Factor],,0)</f>
        <v>0.82</v>
      </c>
      <c r="AE752">
        <f>_xlfn.XLOOKUP(Table1820[[#This Row],[City/Zip Code]],Table5[City/Zip Code],Table5[City/Zip Code Factor],,0)</f>
        <v>1.21</v>
      </c>
      <c r="AF752">
        <f>_xlfn.XLOOKUP(Table1820[[#This Row],[Vehicle Price]],Table6[Vehicle Price],Table6[Vehicle Price Factor])</f>
        <v>1.28</v>
      </c>
      <c r="AG752">
        <f>_xlfn.XLOOKUP(Table1820[[#This Row],[Exotic Car]],Table7[Exotic Car],Table7[Exotic Car Factor],,0)</f>
        <v>1</v>
      </c>
      <c r="AH752">
        <f>_xlfn.XLOOKUP(Table1820[[#This Row],[Difficult Parts]],Table8[Difficult Parts],Table8[Difficult Parts Factor],,0)</f>
        <v>1.21</v>
      </c>
      <c r="AI752">
        <f>_xlfn.XLOOKUP(Table1820[[#This Row],[High Theft Rate]],Table9[High Theft Rate],Table9[High Theft Rate Factor],,0)</f>
        <v>1</v>
      </c>
      <c r="AJ752">
        <f>_xlfn.XLOOKUP(Table1820[[#This Row],[Advanced Safety Features]],Table10[Advanced Safety Features],Table10[Advanced Safety Features Factor],,0)</f>
        <v>0.88</v>
      </c>
      <c r="AK752">
        <f>_xlfn.XLOOKUP(Table1820[[#This Row],[Deductible]],Table12[Deductible],Table12[Deductible Factor],,0)</f>
        <v>0.95</v>
      </c>
      <c r="AL752">
        <f>_xlfn.XLOOKUP(Table1820[[#This Row],[Coverage Limit]],Table13[Coverage Limit],Table13[Coverage Limit Factor],,0)</f>
        <v>1</v>
      </c>
      <c r="AM752">
        <f>IF(Table1820[[#This Row],[Good Student Discount]]="Yes",'Rate Book'!$D$126,1)</f>
        <v>1</v>
      </c>
      <c r="AN752">
        <f>IF(Table1820[[#This Row],[Good Driver Discount]]="Yes",'Rate Book'!$D$127,1)</f>
        <v>0.89</v>
      </c>
      <c r="AO752">
        <f>IF(Table1820[[#This Row],[Multi Policy Discount]]="Yes",'Rate Book'!$D$128,1)</f>
        <v>1</v>
      </c>
      <c r="AP752">
        <f>IF(Table1820[[#This Row],[Loyal Customer Discount]]="Yes",'Rate Book'!$D$129,1)</f>
        <v>1</v>
      </c>
      <c r="AQ752">
        <f>IF(Table1820[[#This Row],[Organization Discount]]="Yes",'Rate Book'!$D$130,1)</f>
        <v>1</v>
      </c>
      <c r="AR752" cm="1">
        <f t="array" ref="AR752">IF(Table1820[[#This Row],[Effective Date]]&gt;=RateChangeTable[Effective Date],RateChangeTable[Rate Change Factor],1)</f>
        <v>1.06</v>
      </c>
      <c r="AS752" s="10">
        <f>PRODUCT(Table1820[[#This Row],[Base Rate]:[Rate Change Factor]])</f>
        <v>724.71766141629701</v>
      </c>
      <c r="AT752" s="9">
        <f>Table1820[[#This Row],[System-Generated Premium]]-Table1820[[#This Row],[Expected Premium]]</f>
        <v>0</v>
      </c>
      <c r="AU752" t="str">
        <f>IF(Table1820[[#This Row],[Difference]]=0,"PASS","FAIL")</f>
        <v>PASS</v>
      </c>
      <c r="AV752" s="9">
        <f>ABS(Table1820[[#This Row],[Difference]])</f>
        <v>0</v>
      </c>
      <c r="AW752" s="9" t="s">
        <v>1136</v>
      </c>
    </row>
    <row r="753" spans="1:49" x14ac:dyDescent="0.3">
      <c r="A753" t="s">
        <v>844</v>
      </c>
      <c r="B753" s="7">
        <v>45827</v>
      </c>
      <c r="C753" t="s">
        <v>74</v>
      </c>
      <c r="D753" t="s">
        <v>1097</v>
      </c>
      <c r="E753" s="3">
        <v>6</v>
      </c>
      <c r="F753" s="3">
        <v>0</v>
      </c>
      <c r="G753" t="s">
        <v>10</v>
      </c>
      <c r="H753" t="s">
        <v>1107</v>
      </c>
      <c r="I753" t="s">
        <v>42</v>
      </c>
      <c r="J753" t="s">
        <v>49</v>
      </c>
      <c r="K753" t="s">
        <v>10</v>
      </c>
      <c r="L753" t="s">
        <v>10</v>
      </c>
      <c r="M753" t="s">
        <v>10</v>
      </c>
      <c r="N753" t="s">
        <v>10</v>
      </c>
      <c r="O753" t="str">
        <f>INDEX(CoverageTable[Deductible Applies],MATCH(Table1820[[#This Row],[Coverage]],CoverageTable[Coverage],0))</f>
        <v>No</v>
      </c>
      <c r="P753" t="str">
        <f>INDEX(CoverageTable[Coverage Limit Applies],MATCH(Table1820[[#This Row],[Coverage]],CoverageTable[Coverage],0))</f>
        <v>Yes</v>
      </c>
      <c r="Q753" t="s">
        <v>10</v>
      </c>
      <c r="R753" t="s">
        <v>79</v>
      </c>
      <c r="S753" t="s">
        <v>57</v>
      </c>
      <c r="T753" t="s">
        <v>10</v>
      </c>
      <c r="U753" t="s">
        <v>10</v>
      </c>
      <c r="V753" t="s">
        <v>10</v>
      </c>
      <c r="W753" t="s">
        <v>10</v>
      </c>
      <c r="X753" s="11">
        <v>39.130749364608008</v>
      </c>
      <c r="Y753">
        <f>_xlfn.XLOOKUP(Table1820[[#This Row],[Coverage]],CoverageTable[Coverage],CoverageTable[Base Rate],,0)</f>
        <v>41</v>
      </c>
      <c r="Z753">
        <f>INDEX(Table16[Ageband Factor],MATCH(Table1820[[#This Row],[Ageband]],Table16[Ageband],0))</f>
        <v>1.32</v>
      </c>
      <c r="AA753">
        <f>VLOOKUP(Table1820[[#This Row],[Years Driving]],Table1[],2)</f>
        <v>1</v>
      </c>
      <c r="AB753">
        <f>_xlfn.XLOOKUP(Table1820[[#This Row],[At Fault Accidents]],Table2[At Fault Accidents],Table2[At Fault Accident Factor],,0)</f>
        <v>1</v>
      </c>
      <c r="AC753">
        <f>_xlfn.XLOOKUP(Table1820[[#This Row],[Usage-Based Insurance]],Table3[Usage-Based Insurance],Table3[Usage-Based Insurance Discount],,0)</f>
        <v>1</v>
      </c>
      <c r="AD753">
        <f>_xlfn.XLOOKUP(Table1820[[#This Row],[Yearly Miles]],Table4[Yearly Miles],Table4[Yearly Miles Factor],,0)</f>
        <v>0.93</v>
      </c>
      <c r="AE753">
        <f>_xlfn.XLOOKUP(Table1820[[#This Row],[City/Zip Code]],Table5[City/Zip Code],Table5[City/Zip Code Factor],,0)</f>
        <v>1.21</v>
      </c>
      <c r="AF753">
        <f>_xlfn.XLOOKUP(Table1820[[#This Row],[Vehicle Price]],Table6[Vehicle Price],Table6[Vehicle Price Factor])</f>
        <v>0.97</v>
      </c>
      <c r="AG753">
        <f>_xlfn.XLOOKUP(Table1820[[#This Row],[Exotic Car]],Table7[Exotic Car],Table7[Exotic Car Factor],,0)</f>
        <v>1</v>
      </c>
      <c r="AH753">
        <f>_xlfn.XLOOKUP(Table1820[[#This Row],[Difficult Parts]],Table8[Difficult Parts],Table8[Difficult Parts Factor],,0)</f>
        <v>1</v>
      </c>
      <c r="AI753">
        <f>_xlfn.XLOOKUP(Table1820[[#This Row],[High Theft Rate]],Table9[High Theft Rate],Table9[High Theft Rate Factor],,0)</f>
        <v>1</v>
      </c>
      <c r="AJ753">
        <f>_xlfn.XLOOKUP(Table1820[[#This Row],[Advanced Safety Features]],Table10[Advanced Safety Features],Table10[Advanced Safety Features Factor],,0)</f>
        <v>1</v>
      </c>
      <c r="AK753">
        <f>_xlfn.XLOOKUP(Table1820[[#This Row],[Deductible]],Table12[Deductible],Table12[Deductible Factor],,0)</f>
        <v>1</v>
      </c>
      <c r="AL753">
        <f>_xlfn.XLOOKUP(Table1820[[#This Row],[Coverage Limit]],Table13[Coverage Limit],Table13[Coverage Limit Factor],,0)</f>
        <v>0.72</v>
      </c>
      <c r="AM753">
        <f>IF(Table1820[[#This Row],[Good Student Discount]]="Yes",'Rate Book'!$D$126,1)</f>
        <v>0.92</v>
      </c>
      <c r="AN753">
        <f>IF(Table1820[[#This Row],[Good Driver Discount]]="Yes",'Rate Book'!$D$127,1)</f>
        <v>1</v>
      </c>
      <c r="AO753">
        <f>IF(Table1820[[#This Row],[Multi Policy Discount]]="Yes",'Rate Book'!$D$128,1)</f>
        <v>1</v>
      </c>
      <c r="AP753">
        <f>IF(Table1820[[#This Row],[Loyal Customer Discount]]="Yes",'Rate Book'!$D$129,1)</f>
        <v>1</v>
      </c>
      <c r="AQ753">
        <f>IF(Table1820[[#This Row],[Organization Discount]]="Yes",'Rate Book'!$D$130,1)</f>
        <v>1</v>
      </c>
      <c r="AR753" cm="1">
        <f t="array" ref="AR753">IF(Table1820[[#This Row],[Effective Date]]&gt;=RateChangeTable[Effective Date],RateChangeTable[Rate Change Factor],1)</f>
        <v>1</v>
      </c>
      <c r="AS753" s="10">
        <f>PRODUCT(Table1820[[#This Row],[Base Rate]:[Rate Change Factor]])</f>
        <v>39.130749364608008</v>
      </c>
      <c r="AT753" s="9">
        <f>Table1820[[#This Row],[System-Generated Premium]]-Table1820[[#This Row],[Expected Premium]]</f>
        <v>0</v>
      </c>
      <c r="AU753" t="str">
        <f>IF(Table1820[[#This Row],[Difference]]=0,"PASS","FAIL")</f>
        <v>PASS</v>
      </c>
      <c r="AV753" s="9">
        <f>ABS(Table1820[[#This Row],[Difference]])</f>
        <v>0</v>
      </c>
      <c r="AW753" s="9" t="s">
        <v>1136</v>
      </c>
    </row>
    <row r="754" spans="1:49" x14ac:dyDescent="0.3">
      <c r="A754" t="s">
        <v>845</v>
      </c>
      <c r="B754" s="7">
        <v>45907</v>
      </c>
      <c r="C754" t="s">
        <v>71</v>
      </c>
      <c r="D754" t="s">
        <v>1097</v>
      </c>
      <c r="E754" s="3">
        <v>7</v>
      </c>
      <c r="F754" s="3">
        <v>2</v>
      </c>
      <c r="G754" t="s">
        <v>13</v>
      </c>
      <c r="H754" t="s">
        <v>1108</v>
      </c>
      <c r="I754" t="s">
        <v>29</v>
      </c>
      <c r="J754" t="s">
        <v>48</v>
      </c>
      <c r="K754" t="s">
        <v>10</v>
      </c>
      <c r="L754" t="s">
        <v>10</v>
      </c>
      <c r="M754" t="s">
        <v>57</v>
      </c>
      <c r="N754" t="s">
        <v>10</v>
      </c>
      <c r="O754" t="str">
        <f>INDEX(CoverageTable[Deductible Applies],MATCH(Table1820[[#This Row],[Coverage]],CoverageTable[Coverage],0))</f>
        <v>Yes</v>
      </c>
      <c r="P754" t="str">
        <f>INDEX(CoverageTable[Coverage Limit Applies],MATCH(Table1820[[#This Row],[Coverage]],CoverageTable[Coverage],0))</f>
        <v>No</v>
      </c>
      <c r="Q754" t="s">
        <v>78</v>
      </c>
      <c r="R754" t="s">
        <v>10</v>
      </c>
      <c r="S754" t="s">
        <v>57</v>
      </c>
      <c r="T754" t="s">
        <v>57</v>
      </c>
      <c r="U754" t="s">
        <v>10</v>
      </c>
      <c r="V754" t="s">
        <v>10</v>
      </c>
      <c r="W754" t="s">
        <v>57</v>
      </c>
      <c r="X754" s="11">
        <v>447.72599101705191</v>
      </c>
      <c r="Y754">
        <f>_xlfn.XLOOKUP(Table1820[[#This Row],[Coverage]],CoverageTable[Coverage],CoverageTable[Base Rate],,0)</f>
        <v>453</v>
      </c>
      <c r="Z754">
        <f>INDEX(Table16[Ageband Factor],MATCH(Table1820[[#This Row],[Ageband]],Table16[Ageband],0))</f>
        <v>1.32</v>
      </c>
      <c r="AA754">
        <f>VLOOKUP(Table1820[[#This Row],[Years Driving]],Table1[],2)</f>
        <v>0.95</v>
      </c>
      <c r="AB754">
        <f>_xlfn.XLOOKUP(Table1820[[#This Row],[At Fault Accidents]],Table2[At Fault Accidents],Table2[At Fault Accident Factor],,0)</f>
        <v>1.55</v>
      </c>
      <c r="AC754">
        <f>_xlfn.XLOOKUP(Table1820[[#This Row],[Usage-Based Insurance]],Table3[Usage-Based Insurance],Table3[Usage-Based Insurance Discount],,0)</f>
        <v>0.65</v>
      </c>
      <c r="AD754">
        <f>_xlfn.XLOOKUP(Table1820[[#This Row],[Yearly Miles]],Table4[Yearly Miles],Table4[Yearly Miles Factor],,0)</f>
        <v>1</v>
      </c>
      <c r="AE754">
        <f>_xlfn.XLOOKUP(Table1820[[#This Row],[City/Zip Code]],Table5[City/Zip Code],Table5[City/Zip Code Factor],,0)</f>
        <v>1.0900000000000001</v>
      </c>
      <c r="AF754">
        <f>_xlfn.XLOOKUP(Table1820[[#This Row],[Vehicle Price]],Table6[Vehicle Price],Table6[Vehicle Price Factor])</f>
        <v>0.82</v>
      </c>
      <c r="AG754">
        <f>_xlfn.XLOOKUP(Table1820[[#This Row],[Exotic Car]],Table7[Exotic Car],Table7[Exotic Car Factor],,0)</f>
        <v>1</v>
      </c>
      <c r="AH754">
        <f>_xlfn.XLOOKUP(Table1820[[#This Row],[Difficult Parts]],Table8[Difficult Parts],Table8[Difficult Parts Factor],,0)</f>
        <v>1</v>
      </c>
      <c r="AI754">
        <f>_xlfn.XLOOKUP(Table1820[[#This Row],[High Theft Rate]],Table9[High Theft Rate],Table9[High Theft Rate Factor],,0)</f>
        <v>1.1599999999999999</v>
      </c>
      <c r="AJ754">
        <f>_xlfn.XLOOKUP(Table1820[[#This Row],[Advanced Safety Features]],Table10[Advanced Safety Features],Table10[Advanced Safety Features Factor],,0)</f>
        <v>1</v>
      </c>
      <c r="AK754">
        <f>_xlfn.XLOOKUP(Table1820[[#This Row],[Deductible]],Table12[Deductible],Table12[Deductible Factor],,0)</f>
        <v>0.95</v>
      </c>
      <c r="AL754">
        <f>_xlfn.XLOOKUP(Table1820[[#This Row],[Coverage Limit]],Table13[Coverage Limit],Table13[Coverage Limit Factor],,0)</f>
        <v>1</v>
      </c>
      <c r="AM754">
        <f>IF(Table1820[[#This Row],[Good Student Discount]]="Yes",'Rate Book'!$D$126,1)</f>
        <v>0.92</v>
      </c>
      <c r="AN754">
        <f>IF(Table1820[[#This Row],[Good Driver Discount]]="Yes",'Rate Book'!$D$127,1)</f>
        <v>0.89</v>
      </c>
      <c r="AO754">
        <f>IF(Table1820[[#This Row],[Multi Policy Discount]]="Yes",'Rate Book'!$D$128,1)</f>
        <v>1</v>
      </c>
      <c r="AP754">
        <f>IF(Table1820[[#This Row],[Loyal Customer Discount]]="Yes",'Rate Book'!$D$129,1)</f>
        <v>1</v>
      </c>
      <c r="AQ754">
        <f>IF(Table1820[[#This Row],[Organization Discount]]="Yes",'Rate Book'!$D$130,1)</f>
        <v>0.97</v>
      </c>
      <c r="AR754" cm="1">
        <f t="array" ref="AR754">IF(Table1820[[#This Row],[Effective Date]]&gt;=RateChangeTable[Effective Date],RateChangeTable[Rate Change Factor],1)</f>
        <v>1</v>
      </c>
      <c r="AS754" s="10">
        <f>PRODUCT(Table1820[[#This Row],[Base Rate]:[Rate Change Factor]])</f>
        <v>447.72599101705191</v>
      </c>
      <c r="AT754" s="9">
        <f>Table1820[[#This Row],[System-Generated Premium]]-Table1820[[#This Row],[Expected Premium]]</f>
        <v>0</v>
      </c>
      <c r="AU754" t="str">
        <f>IF(Table1820[[#This Row],[Difference]]=0,"PASS","FAIL")</f>
        <v>PASS</v>
      </c>
      <c r="AV754" s="9">
        <f>ABS(Table1820[[#This Row],[Difference]])</f>
        <v>0</v>
      </c>
      <c r="AW754" s="9" t="s">
        <v>1136</v>
      </c>
    </row>
    <row r="755" spans="1:49" x14ac:dyDescent="0.3">
      <c r="A755" t="s">
        <v>846</v>
      </c>
      <c r="B755" s="7">
        <v>45901</v>
      </c>
      <c r="C755" t="s">
        <v>70</v>
      </c>
      <c r="D755" t="s">
        <v>1098</v>
      </c>
      <c r="E755" s="3">
        <v>7</v>
      </c>
      <c r="F755" s="3">
        <v>0</v>
      </c>
      <c r="G755" t="s">
        <v>13</v>
      </c>
      <c r="H755" t="s">
        <v>1110</v>
      </c>
      <c r="I755" t="s">
        <v>32</v>
      </c>
      <c r="J755" t="s">
        <v>48</v>
      </c>
      <c r="K755" t="s">
        <v>10</v>
      </c>
      <c r="L755" t="s">
        <v>10</v>
      </c>
      <c r="M755" t="s">
        <v>10</v>
      </c>
      <c r="N755" t="s">
        <v>10</v>
      </c>
      <c r="O755" t="str">
        <f>INDEX(CoverageTable[Deductible Applies],MATCH(Table1820[[#This Row],[Coverage]],CoverageTable[Coverage],0))</f>
        <v>No</v>
      </c>
      <c r="P755" t="str">
        <f>INDEX(CoverageTable[Coverage Limit Applies],MATCH(Table1820[[#This Row],[Coverage]],CoverageTable[Coverage],0))</f>
        <v>Yes</v>
      </c>
      <c r="Q755" t="s">
        <v>10</v>
      </c>
      <c r="R755" t="s">
        <v>78</v>
      </c>
      <c r="S755" t="s">
        <v>10</v>
      </c>
      <c r="T755" t="s">
        <v>10</v>
      </c>
      <c r="U755" t="s">
        <v>10</v>
      </c>
      <c r="V755" t="s">
        <v>10</v>
      </c>
      <c r="W755" t="s">
        <v>10</v>
      </c>
      <c r="X755" s="11">
        <v>346.709278139952</v>
      </c>
      <c r="Y755">
        <f>_xlfn.XLOOKUP(Table1820[[#This Row],[Coverage]],CoverageTable[Coverage],CoverageTable[Base Rate],,0)</f>
        <v>622</v>
      </c>
      <c r="Z755">
        <f>INDEX(Table16[Ageband Factor],MATCH(Table1820[[#This Row],[Ageband]],Table16[Ageband],0))</f>
        <v>1.23</v>
      </c>
      <c r="AA755">
        <f>VLOOKUP(Table1820[[#This Row],[Years Driving]],Table1[],2)</f>
        <v>0.95</v>
      </c>
      <c r="AB755">
        <f>_xlfn.XLOOKUP(Table1820[[#This Row],[At Fault Accidents]],Table2[At Fault Accidents],Table2[At Fault Accident Factor],,0)</f>
        <v>1</v>
      </c>
      <c r="AC755">
        <f>_xlfn.XLOOKUP(Table1820[[#This Row],[Usage-Based Insurance]],Table3[Usage-Based Insurance],Table3[Usage-Based Insurance Discount],,0)</f>
        <v>0.65</v>
      </c>
      <c r="AD755">
        <f>_xlfn.XLOOKUP(Table1820[[#This Row],[Yearly Miles]],Table4[Yearly Miles],Table4[Yearly Miles Factor],,0)</f>
        <v>1.31</v>
      </c>
      <c r="AE755">
        <f>_xlfn.XLOOKUP(Table1820[[#This Row],[City/Zip Code]],Table5[City/Zip Code],Table5[City/Zip Code Factor],,0)</f>
        <v>1.1200000000000001</v>
      </c>
      <c r="AF755">
        <f>_xlfn.XLOOKUP(Table1820[[#This Row],[Vehicle Price]],Table6[Vehicle Price],Table6[Vehicle Price Factor])</f>
        <v>0.82</v>
      </c>
      <c r="AG755">
        <f>_xlfn.XLOOKUP(Table1820[[#This Row],[Exotic Car]],Table7[Exotic Car],Table7[Exotic Car Factor],,0)</f>
        <v>1</v>
      </c>
      <c r="AH755">
        <f>_xlfn.XLOOKUP(Table1820[[#This Row],[Difficult Parts]],Table8[Difficult Parts],Table8[Difficult Parts Factor],,0)</f>
        <v>1</v>
      </c>
      <c r="AI755">
        <f>_xlfn.XLOOKUP(Table1820[[#This Row],[High Theft Rate]],Table9[High Theft Rate],Table9[High Theft Rate Factor],,0)</f>
        <v>1</v>
      </c>
      <c r="AJ755">
        <f>_xlfn.XLOOKUP(Table1820[[#This Row],[Advanced Safety Features]],Table10[Advanced Safety Features],Table10[Advanced Safety Features Factor],,0)</f>
        <v>1</v>
      </c>
      <c r="AK755">
        <f>_xlfn.XLOOKUP(Table1820[[#This Row],[Deductible]],Table12[Deductible],Table12[Deductible Factor],,0)</f>
        <v>1</v>
      </c>
      <c r="AL755">
        <f>_xlfn.XLOOKUP(Table1820[[#This Row],[Coverage Limit]],Table13[Coverage Limit],Table13[Coverage Limit Factor],,0)</f>
        <v>0.61</v>
      </c>
      <c r="AM755">
        <f>IF(Table1820[[#This Row],[Good Student Discount]]="Yes",'Rate Book'!$D$126,1)</f>
        <v>1</v>
      </c>
      <c r="AN755">
        <f>IF(Table1820[[#This Row],[Good Driver Discount]]="Yes",'Rate Book'!$D$127,1)</f>
        <v>1</v>
      </c>
      <c r="AO755">
        <f>IF(Table1820[[#This Row],[Multi Policy Discount]]="Yes",'Rate Book'!$D$128,1)</f>
        <v>1</v>
      </c>
      <c r="AP755">
        <f>IF(Table1820[[#This Row],[Loyal Customer Discount]]="Yes",'Rate Book'!$D$129,1)</f>
        <v>1</v>
      </c>
      <c r="AQ755">
        <f>IF(Table1820[[#This Row],[Organization Discount]]="Yes",'Rate Book'!$D$130,1)</f>
        <v>1</v>
      </c>
      <c r="AR755" cm="1">
        <f t="array" ref="AR755">IF(Table1820[[#This Row],[Effective Date]]&gt;=RateChangeTable[Effective Date],RateChangeTable[Rate Change Factor],1)</f>
        <v>1</v>
      </c>
      <c r="AS755" s="10">
        <f>PRODUCT(Table1820[[#This Row],[Base Rate]:[Rate Change Factor]])</f>
        <v>346.709278139952</v>
      </c>
      <c r="AT755" s="9">
        <f>Table1820[[#This Row],[System-Generated Premium]]-Table1820[[#This Row],[Expected Premium]]</f>
        <v>0</v>
      </c>
      <c r="AU755" t="str">
        <f>IF(Table1820[[#This Row],[Difference]]=0,"PASS","FAIL")</f>
        <v>PASS</v>
      </c>
      <c r="AV755" s="9">
        <f>ABS(Table1820[[#This Row],[Difference]])</f>
        <v>0</v>
      </c>
      <c r="AW755" s="9" t="s">
        <v>1136</v>
      </c>
    </row>
    <row r="756" spans="1:49" x14ac:dyDescent="0.3">
      <c r="A756" t="s">
        <v>847</v>
      </c>
      <c r="B756" s="7">
        <v>46143</v>
      </c>
      <c r="C756" t="s">
        <v>74</v>
      </c>
      <c r="D756" t="s">
        <v>1100</v>
      </c>
      <c r="E756" s="3">
        <v>4</v>
      </c>
      <c r="F756" s="3">
        <v>0</v>
      </c>
      <c r="G756" t="s">
        <v>12</v>
      </c>
      <c r="H756" t="s">
        <v>1109</v>
      </c>
      <c r="I756" t="s">
        <v>30</v>
      </c>
      <c r="J756" t="s">
        <v>51</v>
      </c>
      <c r="K756" t="s">
        <v>10</v>
      </c>
      <c r="L756" t="s">
        <v>10</v>
      </c>
      <c r="M756" t="s">
        <v>10</v>
      </c>
      <c r="N756" t="s">
        <v>10</v>
      </c>
      <c r="O756" t="str">
        <f>INDEX(CoverageTable[Deductible Applies],MATCH(Table1820[[#This Row],[Coverage]],CoverageTable[Coverage],0))</f>
        <v>No</v>
      </c>
      <c r="P756" t="str">
        <f>INDEX(CoverageTable[Coverage Limit Applies],MATCH(Table1820[[#This Row],[Coverage]],CoverageTable[Coverage],0))</f>
        <v>Yes</v>
      </c>
      <c r="Q756" t="s">
        <v>10</v>
      </c>
      <c r="R756" t="s">
        <v>79</v>
      </c>
      <c r="S756" t="s">
        <v>10</v>
      </c>
      <c r="T756" t="s">
        <v>10</v>
      </c>
      <c r="U756" t="s">
        <v>10</v>
      </c>
      <c r="V756" t="s">
        <v>10</v>
      </c>
      <c r="W756" t="s">
        <v>10</v>
      </c>
      <c r="X756" s="11">
        <v>44.77</v>
      </c>
      <c r="Y756">
        <f>_xlfn.XLOOKUP(Table1820[[#This Row],[Coverage]],CoverageTable[Coverage],CoverageTable[Base Rate],,0)</f>
        <v>41</v>
      </c>
      <c r="Z756">
        <f>INDEX(Table16[Ageband Factor],MATCH(Table1820[[#This Row],[Ageband]],Table16[Ageband],0))</f>
        <v>1.07</v>
      </c>
      <c r="AA756">
        <f>VLOOKUP(Table1820[[#This Row],[Years Driving]],Table1[],2)</f>
        <v>1.1499999999999999</v>
      </c>
      <c r="AB756">
        <f>_xlfn.XLOOKUP(Table1820[[#This Row],[At Fault Accidents]],Table2[At Fault Accidents],Table2[At Fault Accident Factor],,0)</f>
        <v>1</v>
      </c>
      <c r="AC756">
        <f>_xlfn.XLOOKUP(Table1820[[#This Row],[Usage-Based Insurance]],Table3[Usage-Based Insurance],Table3[Usage-Based Insurance Discount],,0)</f>
        <v>0.8</v>
      </c>
      <c r="AD756">
        <f>_xlfn.XLOOKUP(Table1820[[#This Row],[Yearly Miles]],Table4[Yearly Miles],Table4[Yearly Miles Factor],,0)</f>
        <v>1.18</v>
      </c>
      <c r="AE756">
        <f>_xlfn.XLOOKUP(Table1820[[#This Row],[City/Zip Code]],Table5[City/Zip Code],Table5[City/Zip Code Factor],,0)</f>
        <v>1.02</v>
      </c>
      <c r="AF756">
        <f>_xlfn.XLOOKUP(Table1820[[#This Row],[Vehicle Price]],Table6[Vehicle Price],Table6[Vehicle Price Factor])</f>
        <v>1.28</v>
      </c>
      <c r="AG756">
        <f>_xlfn.XLOOKUP(Table1820[[#This Row],[Exotic Car]],Table7[Exotic Car],Table7[Exotic Car Factor],,0)</f>
        <v>1</v>
      </c>
      <c r="AH756">
        <f>_xlfn.XLOOKUP(Table1820[[#This Row],[Difficult Parts]],Table8[Difficult Parts],Table8[Difficult Parts Factor],,0)</f>
        <v>1</v>
      </c>
      <c r="AI756">
        <f>_xlfn.XLOOKUP(Table1820[[#This Row],[High Theft Rate]],Table9[High Theft Rate],Table9[High Theft Rate Factor],,0)</f>
        <v>1</v>
      </c>
      <c r="AJ756">
        <f>_xlfn.XLOOKUP(Table1820[[#This Row],[Advanced Safety Features]],Table10[Advanced Safety Features],Table10[Advanced Safety Features Factor],,0)</f>
        <v>1</v>
      </c>
      <c r="AK756">
        <f>_xlfn.XLOOKUP(Table1820[[#This Row],[Deductible]],Table12[Deductible],Table12[Deductible Factor],,0)</f>
        <v>1</v>
      </c>
      <c r="AL756">
        <f>_xlfn.XLOOKUP(Table1820[[#This Row],[Coverage Limit]],Table13[Coverage Limit],Table13[Coverage Limit Factor],,0)</f>
        <v>0.72</v>
      </c>
      <c r="AM756">
        <f>IF(Table1820[[#This Row],[Good Student Discount]]="Yes",'Rate Book'!$D$126,1)</f>
        <v>1</v>
      </c>
      <c r="AN756">
        <f>IF(Table1820[[#This Row],[Good Driver Discount]]="Yes",'Rate Book'!$D$127,1)</f>
        <v>1</v>
      </c>
      <c r="AO756">
        <f>IF(Table1820[[#This Row],[Multi Policy Discount]]="Yes",'Rate Book'!$D$128,1)</f>
        <v>1</v>
      </c>
      <c r="AP756">
        <f>IF(Table1820[[#This Row],[Loyal Customer Discount]]="Yes",'Rate Book'!$D$129,1)</f>
        <v>1</v>
      </c>
      <c r="AQ756">
        <f>IF(Table1820[[#This Row],[Organization Discount]]="Yes",'Rate Book'!$D$130,1)</f>
        <v>1</v>
      </c>
      <c r="AR756" cm="1">
        <f t="array" ref="AR756">IF(Table1820[[#This Row],[Effective Date]]&gt;=RateChangeTable[Effective Date],RateChangeTable[Rate Change Factor],1)</f>
        <v>1.06</v>
      </c>
      <c r="AS756" s="10">
        <f>PRODUCT(Table1820[[#This Row],[Base Rate]:[Rate Change Factor]])</f>
        <v>47.455436470026235</v>
      </c>
      <c r="AT756" s="9">
        <f>Table1820[[#This Row],[System-Generated Premium]]-Table1820[[#This Row],[Expected Premium]]</f>
        <v>-2.6854364700262323</v>
      </c>
      <c r="AU756" t="str">
        <f>IF(Table1820[[#This Row],[Difference]]=0,"PASS","FAIL")</f>
        <v>FAIL</v>
      </c>
      <c r="AV756" s="9">
        <f>ABS(Table1820[[#This Row],[Difference]])</f>
        <v>2.6854364700262323</v>
      </c>
      <c r="AW756" s="9" t="s">
        <v>1133</v>
      </c>
    </row>
    <row r="757" spans="1:49" x14ac:dyDescent="0.3">
      <c r="A757" t="s">
        <v>848</v>
      </c>
      <c r="B757" s="7">
        <v>45786</v>
      </c>
      <c r="C757" t="s">
        <v>71</v>
      </c>
      <c r="D757" t="s">
        <v>1100</v>
      </c>
      <c r="E757" s="3">
        <v>5</v>
      </c>
      <c r="F757" s="3" t="s">
        <v>7</v>
      </c>
      <c r="G757" t="s">
        <v>10</v>
      </c>
      <c r="H757" t="s">
        <v>1108</v>
      </c>
      <c r="I757" t="s">
        <v>28</v>
      </c>
      <c r="J757" t="s">
        <v>53</v>
      </c>
      <c r="K757" t="s">
        <v>10</v>
      </c>
      <c r="L757" t="s">
        <v>10</v>
      </c>
      <c r="M757" t="s">
        <v>10</v>
      </c>
      <c r="N757" t="s">
        <v>57</v>
      </c>
      <c r="O757" t="str">
        <f>INDEX(CoverageTable[Deductible Applies],MATCH(Table1820[[#This Row],[Coverage]],CoverageTable[Coverage],0))</f>
        <v>Yes</v>
      </c>
      <c r="P757" t="str">
        <f>INDEX(CoverageTable[Coverage Limit Applies],MATCH(Table1820[[#This Row],[Coverage]],CoverageTable[Coverage],0))</f>
        <v>No</v>
      </c>
      <c r="Q757" t="s">
        <v>80</v>
      </c>
      <c r="R757" t="s">
        <v>10</v>
      </c>
      <c r="S757" t="s">
        <v>10</v>
      </c>
      <c r="T757" t="s">
        <v>10</v>
      </c>
      <c r="U757" t="s">
        <v>10</v>
      </c>
      <c r="V757" t="s">
        <v>10</v>
      </c>
      <c r="W757" t="s">
        <v>57</v>
      </c>
      <c r="X757" s="11">
        <v>1510.8612691546409</v>
      </c>
      <c r="Y757">
        <f>_xlfn.XLOOKUP(Table1820[[#This Row],[Coverage]],CoverageTable[Coverage],CoverageTable[Base Rate],,0)</f>
        <v>453</v>
      </c>
      <c r="Z757">
        <f>INDEX(Table16[Ageband Factor],MATCH(Table1820[[#This Row],[Ageband]],Table16[Ageband],0))</f>
        <v>1.07</v>
      </c>
      <c r="AA757">
        <f>VLOOKUP(Table1820[[#This Row],[Years Driving]],Table1[],2)</f>
        <v>1.07</v>
      </c>
      <c r="AB757">
        <f>_xlfn.XLOOKUP(Table1820[[#This Row],[At Fault Accidents]],Table2[At Fault Accidents],Table2[At Fault Accident Factor],,0)</f>
        <v>2.4700000000000002</v>
      </c>
      <c r="AC757">
        <f>_xlfn.XLOOKUP(Table1820[[#This Row],[Usage-Based Insurance]],Table3[Usage-Based Insurance],Table3[Usage-Based Insurance Discount],,0)</f>
        <v>1</v>
      </c>
      <c r="AD757">
        <f>_xlfn.XLOOKUP(Table1820[[#This Row],[Yearly Miles]],Table4[Yearly Miles],Table4[Yearly Miles Factor],,0)</f>
        <v>1</v>
      </c>
      <c r="AE757">
        <f>_xlfn.XLOOKUP(Table1820[[#This Row],[City/Zip Code]],Table5[City/Zip Code],Table5[City/Zip Code Factor],,0)</f>
        <v>0.95</v>
      </c>
      <c r="AF757">
        <f>_xlfn.XLOOKUP(Table1820[[#This Row],[Vehicle Price]],Table6[Vehicle Price],Table6[Vehicle Price Factor])</f>
        <v>2.02</v>
      </c>
      <c r="AG757">
        <f>_xlfn.XLOOKUP(Table1820[[#This Row],[Exotic Car]],Table7[Exotic Car],Table7[Exotic Car Factor],,0)</f>
        <v>1</v>
      </c>
      <c r="AH757">
        <f>_xlfn.XLOOKUP(Table1820[[#This Row],[Difficult Parts]],Table8[Difficult Parts],Table8[Difficult Parts Factor],,0)</f>
        <v>1</v>
      </c>
      <c r="AI757">
        <f>_xlfn.XLOOKUP(Table1820[[#This Row],[High Theft Rate]],Table9[High Theft Rate],Table9[High Theft Rate Factor],,0)</f>
        <v>1</v>
      </c>
      <c r="AJ757">
        <f>_xlfn.XLOOKUP(Table1820[[#This Row],[Advanced Safety Features]],Table10[Advanced Safety Features],Table10[Advanced Safety Features Factor],,0)</f>
        <v>0.88</v>
      </c>
      <c r="AK757">
        <f>_xlfn.XLOOKUP(Table1820[[#This Row],[Deductible]],Table12[Deductible],Table12[Deductible Factor],,0)</f>
        <v>0.72</v>
      </c>
      <c r="AL757">
        <f>_xlfn.XLOOKUP(Table1820[[#This Row],[Coverage Limit]],Table13[Coverage Limit],Table13[Coverage Limit Factor],,0)</f>
        <v>1</v>
      </c>
      <c r="AM757">
        <f>IF(Table1820[[#This Row],[Good Student Discount]]="Yes",'Rate Book'!$D$126,1)</f>
        <v>1</v>
      </c>
      <c r="AN757">
        <f>IF(Table1820[[#This Row],[Good Driver Discount]]="Yes",'Rate Book'!$D$127,1)</f>
        <v>1</v>
      </c>
      <c r="AO757">
        <f>IF(Table1820[[#This Row],[Multi Policy Discount]]="Yes",'Rate Book'!$D$128,1)</f>
        <v>1</v>
      </c>
      <c r="AP757">
        <f>IF(Table1820[[#This Row],[Loyal Customer Discount]]="Yes",'Rate Book'!$D$129,1)</f>
        <v>1</v>
      </c>
      <c r="AQ757">
        <f>IF(Table1820[[#This Row],[Organization Discount]]="Yes",'Rate Book'!$D$130,1)</f>
        <v>0.97</v>
      </c>
      <c r="AR757" cm="1">
        <f t="array" ref="AR757">IF(Table1820[[#This Row],[Effective Date]]&gt;=RateChangeTable[Effective Date],RateChangeTable[Rate Change Factor],1)</f>
        <v>1</v>
      </c>
      <c r="AS757" s="10">
        <f>PRODUCT(Table1820[[#This Row],[Base Rate]:[Rate Change Factor]])</f>
        <v>1510.8612691546409</v>
      </c>
      <c r="AT757" s="9">
        <f>Table1820[[#This Row],[System-Generated Premium]]-Table1820[[#This Row],[Expected Premium]]</f>
        <v>0</v>
      </c>
      <c r="AU757" t="str">
        <f>IF(Table1820[[#This Row],[Difference]]=0,"PASS","FAIL")</f>
        <v>PASS</v>
      </c>
      <c r="AV757" s="9">
        <f>ABS(Table1820[[#This Row],[Difference]])</f>
        <v>0</v>
      </c>
      <c r="AW757" s="9" t="s">
        <v>1136</v>
      </c>
    </row>
    <row r="758" spans="1:49" x14ac:dyDescent="0.3">
      <c r="A758" t="s">
        <v>849</v>
      </c>
      <c r="B758" s="7">
        <v>45955</v>
      </c>
      <c r="C758" t="s">
        <v>71</v>
      </c>
      <c r="D758" t="s">
        <v>1101</v>
      </c>
      <c r="E758" s="3">
        <v>4</v>
      </c>
      <c r="F758" s="3">
        <v>0</v>
      </c>
      <c r="G758" t="s">
        <v>12</v>
      </c>
      <c r="H758" t="s">
        <v>1107</v>
      </c>
      <c r="I758" t="s">
        <v>34</v>
      </c>
      <c r="J758" t="s">
        <v>54</v>
      </c>
      <c r="K758" t="s">
        <v>10</v>
      </c>
      <c r="L758" t="s">
        <v>10</v>
      </c>
      <c r="M758" t="s">
        <v>10</v>
      </c>
      <c r="N758" t="s">
        <v>57</v>
      </c>
      <c r="O758" t="str">
        <f>INDEX(CoverageTable[Deductible Applies],MATCH(Table1820[[#This Row],[Coverage]],CoverageTable[Coverage],0))</f>
        <v>Yes</v>
      </c>
      <c r="P758" t="str">
        <f>INDEX(CoverageTable[Coverage Limit Applies],MATCH(Table1820[[#This Row],[Coverage]],CoverageTable[Coverage],0))</f>
        <v>No</v>
      </c>
      <c r="Q758" t="s">
        <v>78</v>
      </c>
      <c r="R758" t="s">
        <v>10</v>
      </c>
      <c r="S758" t="s">
        <v>57</v>
      </c>
      <c r="T758" t="s">
        <v>57</v>
      </c>
      <c r="U758" t="s">
        <v>57</v>
      </c>
      <c r="V758" t="s">
        <v>57</v>
      </c>
      <c r="W758" t="s">
        <v>57</v>
      </c>
      <c r="X758" s="11">
        <v>1128.1325848586534</v>
      </c>
      <c r="Y758">
        <f>_xlfn.XLOOKUP(Table1820[[#This Row],[Coverage]],CoverageTable[Coverage],CoverageTable[Base Rate],,0)</f>
        <v>453</v>
      </c>
      <c r="Z758">
        <f>INDEX(Table16[Ageband Factor],MATCH(Table1820[[#This Row],[Ageband]],Table16[Ageband],0))</f>
        <v>1.1200000000000001</v>
      </c>
      <c r="AA758">
        <f>VLOOKUP(Table1820[[#This Row],[Years Driving]],Table1[],2)</f>
        <v>1.1499999999999999</v>
      </c>
      <c r="AB758">
        <f>_xlfn.XLOOKUP(Table1820[[#This Row],[At Fault Accidents]],Table2[At Fault Accidents],Table2[At Fault Accident Factor],,0)</f>
        <v>1</v>
      </c>
      <c r="AC758">
        <f>_xlfn.XLOOKUP(Table1820[[#This Row],[Usage-Based Insurance]],Table3[Usage-Based Insurance],Table3[Usage-Based Insurance Discount],,0)</f>
        <v>0.8</v>
      </c>
      <c r="AD758">
        <f>_xlfn.XLOOKUP(Table1820[[#This Row],[Yearly Miles]],Table4[Yearly Miles],Table4[Yearly Miles Factor],,0)</f>
        <v>0.93</v>
      </c>
      <c r="AE758">
        <f>_xlfn.XLOOKUP(Table1820[[#This Row],[City/Zip Code]],Table5[City/Zip Code],Table5[City/Zip Code Factor],,0)</f>
        <v>1.56</v>
      </c>
      <c r="AF758">
        <f>_xlfn.XLOOKUP(Table1820[[#This Row],[Vehicle Price]],Table6[Vehicle Price],Table6[Vehicle Price Factor])</f>
        <v>2.87</v>
      </c>
      <c r="AG758">
        <f>_xlfn.XLOOKUP(Table1820[[#This Row],[Exotic Car]],Table7[Exotic Car],Table7[Exotic Car Factor],,0)</f>
        <v>1</v>
      </c>
      <c r="AH758">
        <f>_xlfn.XLOOKUP(Table1820[[#This Row],[Difficult Parts]],Table8[Difficult Parts],Table8[Difficult Parts Factor],,0)</f>
        <v>1</v>
      </c>
      <c r="AI758">
        <f>_xlfn.XLOOKUP(Table1820[[#This Row],[High Theft Rate]],Table9[High Theft Rate],Table9[High Theft Rate Factor],,0)</f>
        <v>1</v>
      </c>
      <c r="AJ758">
        <f>_xlfn.XLOOKUP(Table1820[[#This Row],[Advanced Safety Features]],Table10[Advanced Safety Features],Table10[Advanced Safety Features Factor],,0)</f>
        <v>0.88</v>
      </c>
      <c r="AK758">
        <f>_xlfn.XLOOKUP(Table1820[[#This Row],[Deductible]],Table12[Deductible],Table12[Deductible Factor],,0)</f>
        <v>0.95</v>
      </c>
      <c r="AL758">
        <f>_xlfn.XLOOKUP(Table1820[[#This Row],[Coverage Limit]],Table13[Coverage Limit],Table13[Coverage Limit Factor],,0)</f>
        <v>1</v>
      </c>
      <c r="AM758">
        <f>IF(Table1820[[#This Row],[Good Student Discount]]="Yes",'Rate Book'!$D$126,1)</f>
        <v>0.92</v>
      </c>
      <c r="AN758">
        <f>IF(Table1820[[#This Row],[Good Driver Discount]]="Yes",'Rate Book'!$D$127,1)</f>
        <v>0.89</v>
      </c>
      <c r="AO758">
        <f>IF(Table1820[[#This Row],[Multi Policy Discount]]="Yes",'Rate Book'!$D$128,1)</f>
        <v>0.93</v>
      </c>
      <c r="AP758">
        <f>IF(Table1820[[#This Row],[Loyal Customer Discount]]="Yes",'Rate Book'!$D$129,1)</f>
        <v>0.94</v>
      </c>
      <c r="AQ758">
        <f>IF(Table1820[[#This Row],[Organization Discount]]="Yes",'Rate Book'!$D$130,1)</f>
        <v>0.97</v>
      </c>
      <c r="AR758" cm="1">
        <f t="array" ref="AR758">IF(Table1820[[#This Row],[Effective Date]]&gt;=RateChangeTable[Effective Date],RateChangeTable[Rate Change Factor],1)</f>
        <v>1</v>
      </c>
      <c r="AS758" s="10">
        <f>PRODUCT(Table1820[[#This Row],[Base Rate]:[Rate Change Factor]])</f>
        <v>1128.1325848586534</v>
      </c>
      <c r="AT758" s="9">
        <f>Table1820[[#This Row],[System-Generated Premium]]-Table1820[[#This Row],[Expected Premium]]</f>
        <v>0</v>
      </c>
      <c r="AU758" t="str">
        <f>IF(Table1820[[#This Row],[Difference]]=0,"PASS","FAIL")</f>
        <v>PASS</v>
      </c>
      <c r="AV758" s="9">
        <f>ABS(Table1820[[#This Row],[Difference]])</f>
        <v>0</v>
      </c>
      <c r="AW758" s="9" t="s">
        <v>1136</v>
      </c>
    </row>
    <row r="759" spans="1:49" x14ac:dyDescent="0.3">
      <c r="A759" t="s">
        <v>850</v>
      </c>
      <c r="B759" s="7">
        <v>45960</v>
      </c>
      <c r="C759" t="s">
        <v>70</v>
      </c>
      <c r="D759" t="s">
        <v>1102</v>
      </c>
      <c r="E759" s="3">
        <v>2</v>
      </c>
      <c r="F759" s="3">
        <v>0</v>
      </c>
      <c r="G759" t="s">
        <v>10</v>
      </c>
      <c r="H759" t="s">
        <v>1108</v>
      </c>
      <c r="I759" t="s">
        <v>29</v>
      </c>
      <c r="J759" t="s">
        <v>49</v>
      </c>
      <c r="K759" t="s">
        <v>10</v>
      </c>
      <c r="L759" t="s">
        <v>10</v>
      </c>
      <c r="M759" t="s">
        <v>10</v>
      </c>
      <c r="N759" t="s">
        <v>57</v>
      </c>
      <c r="O759" t="str">
        <f>INDEX(CoverageTable[Deductible Applies],MATCH(Table1820[[#This Row],[Coverage]],CoverageTable[Coverage],0))</f>
        <v>No</v>
      </c>
      <c r="P759" t="str">
        <f>INDEX(CoverageTable[Coverage Limit Applies],MATCH(Table1820[[#This Row],[Coverage]],CoverageTable[Coverage],0))</f>
        <v>Yes</v>
      </c>
      <c r="Q759" t="s">
        <v>10</v>
      </c>
      <c r="R759" t="s">
        <v>78</v>
      </c>
      <c r="S759" t="s">
        <v>10</v>
      </c>
      <c r="T759" t="s">
        <v>57</v>
      </c>
      <c r="U759" t="s">
        <v>57</v>
      </c>
      <c r="V759" t="s">
        <v>10</v>
      </c>
      <c r="W759" t="s">
        <v>10</v>
      </c>
      <c r="X759" s="11">
        <v>523.23515174373586</v>
      </c>
      <c r="Y759">
        <f>_xlfn.XLOOKUP(Table1820[[#This Row],[Coverage]],CoverageTable[Coverage],CoverageTable[Base Rate],,0)</f>
        <v>622</v>
      </c>
      <c r="Z759">
        <f>INDEX(Table16[Ageband Factor],MATCH(Table1820[[#This Row],[Ageband]],Table16[Ageband],0))</f>
        <v>1.27</v>
      </c>
      <c r="AA759">
        <f>VLOOKUP(Table1820[[#This Row],[Years Driving]],Table1[],2)</f>
        <v>1.41</v>
      </c>
      <c r="AB759">
        <f>_xlfn.XLOOKUP(Table1820[[#This Row],[At Fault Accidents]],Table2[At Fault Accidents],Table2[At Fault Accident Factor],,0)</f>
        <v>1</v>
      </c>
      <c r="AC759">
        <f>_xlfn.XLOOKUP(Table1820[[#This Row],[Usage-Based Insurance]],Table3[Usage-Based Insurance],Table3[Usage-Based Insurance Discount],,0)</f>
        <v>1</v>
      </c>
      <c r="AD759">
        <f>_xlfn.XLOOKUP(Table1820[[#This Row],[Yearly Miles]],Table4[Yearly Miles],Table4[Yearly Miles Factor],,0)</f>
        <v>1</v>
      </c>
      <c r="AE759">
        <f>_xlfn.XLOOKUP(Table1820[[#This Row],[City/Zip Code]],Table5[City/Zip Code],Table5[City/Zip Code Factor],,0)</f>
        <v>1.0900000000000001</v>
      </c>
      <c r="AF759">
        <f>_xlfn.XLOOKUP(Table1820[[#This Row],[Vehicle Price]],Table6[Vehicle Price],Table6[Vehicle Price Factor])</f>
        <v>0.97</v>
      </c>
      <c r="AG759">
        <f>_xlfn.XLOOKUP(Table1820[[#This Row],[Exotic Car]],Table7[Exotic Car],Table7[Exotic Car Factor],,0)</f>
        <v>1</v>
      </c>
      <c r="AH759">
        <f>_xlfn.XLOOKUP(Table1820[[#This Row],[Difficult Parts]],Table8[Difficult Parts],Table8[Difficult Parts Factor],,0)</f>
        <v>1</v>
      </c>
      <c r="AI759">
        <f>_xlfn.XLOOKUP(Table1820[[#This Row],[High Theft Rate]],Table9[High Theft Rate],Table9[High Theft Rate Factor],,0)</f>
        <v>1</v>
      </c>
      <c r="AJ759">
        <f>_xlfn.XLOOKUP(Table1820[[#This Row],[Advanced Safety Features]],Table10[Advanced Safety Features],Table10[Advanced Safety Features Factor],,0)</f>
        <v>0.88</v>
      </c>
      <c r="AK759">
        <f>_xlfn.XLOOKUP(Table1820[[#This Row],[Deductible]],Table12[Deductible],Table12[Deductible Factor],,0)</f>
        <v>1</v>
      </c>
      <c r="AL759">
        <f>_xlfn.XLOOKUP(Table1820[[#This Row],[Coverage Limit]],Table13[Coverage Limit],Table13[Coverage Limit Factor],,0)</f>
        <v>0.61</v>
      </c>
      <c r="AM759">
        <f>IF(Table1820[[#This Row],[Good Student Discount]]="Yes",'Rate Book'!$D$126,1)</f>
        <v>1</v>
      </c>
      <c r="AN759">
        <f>IF(Table1820[[#This Row],[Good Driver Discount]]="Yes",'Rate Book'!$D$127,1)</f>
        <v>0.89</v>
      </c>
      <c r="AO759">
        <f>IF(Table1820[[#This Row],[Multi Policy Discount]]="Yes",'Rate Book'!$D$128,1)</f>
        <v>0.93</v>
      </c>
      <c r="AP759">
        <f>IF(Table1820[[#This Row],[Loyal Customer Discount]]="Yes",'Rate Book'!$D$129,1)</f>
        <v>1</v>
      </c>
      <c r="AQ759">
        <f>IF(Table1820[[#This Row],[Organization Discount]]="Yes",'Rate Book'!$D$130,1)</f>
        <v>1</v>
      </c>
      <c r="AR759" cm="1">
        <f t="array" ref="AR759">IF(Table1820[[#This Row],[Effective Date]]&gt;=RateChangeTable[Effective Date],RateChangeTable[Rate Change Factor],1)</f>
        <v>1</v>
      </c>
      <c r="AS759" s="10">
        <f>PRODUCT(Table1820[[#This Row],[Base Rate]:[Rate Change Factor]])</f>
        <v>523.23515174373586</v>
      </c>
      <c r="AT759" s="9">
        <f>Table1820[[#This Row],[System-Generated Premium]]-Table1820[[#This Row],[Expected Premium]]</f>
        <v>0</v>
      </c>
      <c r="AU759" t="str">
        <f>IF(Table1820[[#This Row],[Difference]]=0,"PASS","FAIL")</f>
        <v>PASS</v>
      </c>
      <c r="AV759" s="9">
        <f>ABS(Table1820[[#This Row],[Difference]])</f>
        <v>0</v>
      </c>
      <c r="AW759" s="9" t="s">
        <v>1136</v>
      </c>
    </row>
    <row r="760" spans="1:49" x14ac:dyDescent="0.3">
      <c r="A760" t="s">
        <v>851</v>
      </c>
      <c r="B760" s="7">
        <v>46004</v>
      </c>
      <c r="C760" t="s">
        <v>73</v>
      </c>
      <c r="D760" t="s">
        <v>1099</v>
      </c>
      <c r="E760" s="3">
        <v>1</v>
      </c>
      <c r="F760" s="3" t="s">
        <v>7</v>
      </c>
      <c r="G760" t="s">
        <v>12</v>
      </c>
      <c r="H760" t="s">
        <v>1110</v>
      </c>
      <c r="I760" t="s">
        <v>27</v>
      </c>
      <c r="J760" t="s">
        <v>54</v>
      </c>
      <c r="K760" t="s">
        <v>10</v>
      </c>
      <c r="L760" t="s">
        <v>57</v>
      </c>
      <c r="M760" t="s">
        <v>10</v>
      </c>
      <c r="N760" t="s">
        <v>57</v>
      </c>
      <c r="O760" t="str">
        <f>INDEX(CoverageTable[Deductible Applies],MATCH(Table1820[[#This Row],[Coverage]],CoverageTable[Coverage],0))</f>
        <v>No</v>
      </c>
      <c r="P760" t="str">
        <f>INDEX(CoverageTable[Coverage Limit Applies],MATCH(Table1820[[#This Row],[Coverage]],CoverageTable[Coverage],0))</f>
        <v>Yes</v>
      </c>
      <c r="Q760" t="s">
        <v>10</v>
      </c>
      <c r="R760" t="s">
        <v>80</v>
      </c>
      <c r="S760" t="s">
        <v>57</v>
      </c>
      <c r="T760" t="s">
        <v>57</v>
      </c>
      <c r="U760" t="s">
        <v>10</v>
      </c>
      <c r="V760" t="s">
        <v>57</v>
      </c>
      <c r="W760" t="s">
        <v>10</v>
      </c>
      <c r="X760" s="11">
        <v>614.97782064158548</v>
      </c>
      <c r="Y760">
        <f>_xlfn.XLOOKUP(Table1820[[#This Row],[Coverage]],CoverageTable[Coverage],CoverageTable[Base Rate],,0)</f>
        <v>78</v>
      </c>
      <c r="Z760">
        <f>INDEX(Table16[Ageband Factor],MATCH(Table1820[[#This Row],[Ageband]],Table16[Ageband],0))</f>
        <v>1</v>
      </c>
      <c r="AA760">
        <f>VLOOKUP(Table1820[[#This Row],[Years Driving]],Table1[],2)</f>
        <v>1.64</v>
      </c>
      <c r="AB760">
        <f>_xlfn.XLOOKUP(Table1820[[#This Row],[At Fault Accidents]],Table2[At Fault Accidents],Table2[At Fault Accident Factor],,0)</f>
        <v>2.4700000000000002</v>
      </c>
      <c r="AC760">
        <f>_xlfn.XLOOKUP(Table1820[[#This Row],[Usage-Based Insurance]],Table3[Usage-Based Insurance],Table3[Usage-Based Insurance Discount],,0)</f>
        <v>0.8</v>
      </c>
      <c r="AD760">
        <f>_xlfn.XLOOKUP(Table1820[[#This Row],[Yearly Miles]],Table4[Yearly Miles],Table4[Yearly Miles Factor],,0)</f>
        <v>1.31</v>
      </c>
      <c r="AE760">
        <f>_xlfn.XLOOKUP(Table1820[[#This Row],[City/Zip Code]],Table5[City/Zip Code],Table5[City/Zip Code Factor],,0)</f>
        <v>0.94</v>
      </c>
      <c r="AF760">
        <f>_xlfn.XLOOKUP(Table1820[[#This Row],[Vehicle Price]],Table6[Vehicle Price],Table6[Vehicle Price Factor])</f>
        <v>2.87</v>
      </c>
      <c r="AG760">
        <f>_xlfn.XLOOKUP(Table1820[[#This Row],[Exotic Car]],Table7[Exotic Car],Table7[Exotic Car Factor],,0)</f>
        <v>1</v>
      </c>
      <c r="AH760">
        <f>_xlfn.XLOOKUP(Table1820[[#This Row],[Difficult Parts]],Table8[Difficult Parts],Table8[Difficult Parts Factor],,0)</f>
        <v>1.21</v>
      </c>
      <c r="AI760">
        <f>_xlfn.XLOOKUP(Table1820[[#This Row],[High Theft Rate]],Table9[High Theft Rate],Table9[High Theft Rate Factor],,0)</f>
        <v>1</v>
      </c>
      <c r="AJ760">
        <f>_xlfn.XLOOKUP(Table1820[[#This Row],[Advanced Safety Features]],Table10[Advanced Safety Features],Table10[Advanced Safety Features Factor],,0)</f>
        <v>0.88</v>
      </c>
      <c r="AK760">
        <f>_xlfn.XLOOKUP(Table1820[[#This Row],[Deductible]],Table12[Deductible],Table12[Deductible Factor],,0)</f>
        <v>1</v>
      </c>
      <c r="AL760">
        <f>_xlfn.XLOOKUP(Table1820[[#This Row],[Coverage Limit]],Table13[Coverage Limit],Table13[Coverage Limit Factor],,0)</f>
        <v>0.84</v>
      </c>
      <c r="AM760">
        <f>IF(Table1820[[#This Row],[Good Student Discount]]="Yes",'Rate Book'!$D$126,1)</f>
        <v>0.92</v>
      </c>
      <c r="AN760">
        <f>IF(Table1820[[#This Row],[Good Driver Discount]]="Yes",'Rate Book'!$D$127,1)</f>
        <v>0.89</v>
      </c>
      <c r="AO760">
        <f>IF(Table1820[[#This Row],[Multi Policy Discount]]="Yes",'Rate Book'!$D$128,1)</f>
        <v>1</v>
      </c>
      <c r="AP760">
        <f>IF(Table1820[[#This Row],[Loyal Customer Discount]]="Yes",'Rate Book'!$D$129,1)</f>
        <v>0.94</v>
      </c>
      <c r="AQ760">
        <f>IF(Table1820[[#This Row],[Organization Discount]]="Yes",'Rate Book'!$D$130,1)</f>
        <v>1</v>
      </c>
      <c r="AR760" cm="1">
        <f t="array" ref="AR760">IF(Table1820[[#This Row],[Effective Date]]&gt;=RateChangeTable[Effective Date],RateChangeTable[Rate Change Factor],1)</f>
        <v>1</v>
      </c>
      <c r="AS760" s="10">
        <f>PRODUCT(Table1820[[#This Row],[Base Rate]:[Rate Change Factor]])</f>
        <v>614.97782064158548</v>
      </c>
      <c r="AT760" s="9">
        <f>Table1820[[#This Row],[System-Generated Premium]]-Table1820[[#This Row],[Expected Premium]]</f>
        <v>0</v>
      </c>
      <c r="AU760" t="str">
        <f>IF(Table1820[[#This Row],[Difference]]=0,"PASS","FAIL")</f>
        <v>PASS</v>
      </c>
      <c r="AV760" s="9">
        <f>ABS(Table1820[[#This Row],[Difference]])</f>
        <v>0</v>
      </c>
      <c r="AW760" s="9" t="s">
        <v>1136</v>
      </c>
    </row>
    <row r="761" spans="1:49" x14ac:dyDescent="0.3">
      <c r="A761" t="s">
        <v>852</v>
      </c>
      <c r="B761" s="7">
        <v>46052</v>
      </c>
      <c r="C761" t="s">
        <v>73</v>
      </c>
      <c r="D761" t="s">
        <v>1101</v>
      </c>
      <c r="E761" s="3">
        <v>4</v>
      </c>
      <c r="F761" s="3">
        <v>4</v>
      </c>
      <c r="G761" t="s">
        <v>13</v>
      </c>
      <c r="H761" t="s">
        <v>1106</v>
      </c>
      <c r="I761" t="s">
        <v>22</v>
      </c>
      <c r="J761" t="s">
        <v>50</v>
      </c>
      <c r="K761" t="s">
        <v>10</v>
      </c>
      <c r="L761" t="s">
        <v>10</v>
      </c>
      <c r="M761" t="s">
        <v>10</v>
      </c>
      <c r="N761" t="s">
        <v>10</v>
      </c>
      <c r="O761" t="str">
        <f>INDEX(CoverageTable[Deductible Applies],MATCH(Table1820[[#This Row],[Coverage]],CoverageTable[Coverage],0))</f>
        <v>No</v>
      </c>
      <c r="P761" t="str">
        <f>INDEX(CoverageTable[Coverage Limit Applies],MATCH(Table1820[[#This Row],[Coverage]],CoverageTable[Coverage],0))</f>
        <v>Yes</v>
      </c>
      <c r="Q761" t="s">
        <v>10</v>
      </c>
      <c r="R761" t="s">
        <v>80</v>
      </c>
      <c r="S761" t="s">
        <v>10</v>
      </c>
      <c r="T761" t="s">
        <v>10</v>
      </c>
      <c r="U761" t="s">
        <v>10</v>
      </c>
      <c r="V761" t="s">
        <v>10</v>
      </c>
      <c r="W761" t="s">
        <v>10</v>
      </c>
      <c r="X761" s="11">
        <v>132.08935296236362</v>
      </c>
      <c r="Y761">
        <f>_xlfn.XLOOKUP(Table1820[[#This Row],[Coverage]],CoverageTable[Coverage],CoverageTable[Base Rate],,0)</f>
        <v>78</v>
      </c>
      <c r="Z761">
        <f>INDEX(Table16[Ageband Factor],MATCH(Table1820[[#This Row],[Ageband]],Table16[Ageband],0))</f>
        <v>1.1200000000000001</v>
      </c>
      <c r="AA761">
        <f>VLOOKUP(Table1820[[#This Row],[Years Driving]],Table1[],2)</f>
        <v>1.1499999999999999</v>
      </c>
      <c r="AB761">
        <f>_xlfn.XLOOKUP(Table1820[[#This Row],[At Fault Accidents]],Table2[At Fault Accidents],Table2[At Fault Accident Factor],,0)</f>
        <v>2.12</v>
      </c>
      <c r="AC761">
        <f>_xlfn.XLOOKUP(Table1820[[#This Row],[Usage-Based Insurance]],Table3[Usage-Based Insurance],Table3[Usage-Based Insurance Discount],,0)</f>
        <v>0.65</v>
      </c>
      <c r="AD761">
        <f>_xlfn.XLOOKUP(Table1820[[#This Row],[Yearly Miles]],Table4[Yearly Miles],Table4[Yearly Miles Factor],,0)</f>
        <v>0.82</v>
      </c>
      <c r="AE761">
        <f>_xlfn.XLOOKUP(Table1820[[#This Row],[City/Zip Code]],Table5[City/Zip Code],Table5[City/Zip Code Factor],,0)</f>
        <v>1.21</v>
      </c>
      <c r="AF761">
        <f>_xlfn.XLOOKUP(Table1820[[#This Row],[Vehicle Price]],Table6[Vehicle Price],Table6[Vehicle Price Factor])</f>
        <v>1.08</v>
      </c>
      <c r="AG761">
        <f>_xlfn.XLOOKUP(Table1820[[#This Row],[Exotic Car]],Table7[Exotic Car],Table7[Exotic Car Factor],,0)</f>
        <v>1</v>
      </c>
      <c r="AH761">
        <f>_xlfn.XLOOKUP(Table1820[[#This Row],[Difficult Parts]],Table8[Difficult Parts],Table8[Difficult Parts Factor],,0)</f>
        <v>1</v>
      </c>
      <c r="AI761">
        <f>_xlfn.XLOOKUP(Table1820[[#This Row],[High Theft Rate]],Table9[High Theft Rate],Table9[High Theft Rate Factor],,0)</f>
        <v>1</v>
      </c>
      <c r="AJ761">
        <f>_xlfn.XLOOKUP(Table1820[[#This Row],[Advanced Safety Features]],Table10[Advanced Safety Features],Table10[Advanced Safety Features Factor],,0)</f>
        <v>1</v>
      </c>
      <c r="AK761">
        <f>_xlfn.XLOOKUP(Table1820[[#This Row],[Deductible]],Table12[Deductible],Table12[Deductible Factor],,0)</f>
        <v>1</v>
      </c>
      <c r="AL761">
        <f>_xlfn.XLOOKUP(Table1820[[#This Row],[Coverage Limit]],Table13[Coverage Limit],Table13[Coverage Limit Factor],,0)</f>
        <v>0.84</v>
      </c>
      <c r="AM761">
        <f>IF(Table1820[[#This Row],[Good Student Discount]]="Yes",'Rate Book'!$D$126,1)</f>
        <v>1</v>
      </c>
      <c r="AN761">
        <f>IF(Table1820[[#This Row],[Good Driver Discount]]="Yes",'Rate Book'!$D$127,1)</f>
        <v>1</v>
      </c>
      <c r="AO761">
        <f>IF(Table1820[[#This Row],[Multi Policy Discount]]="Yes",'Rate Book'!$D$128,1)</f>
        <v>1</v>
      </c>
      <c r="AP761">
        <f>IF(Table1820[[#This Row],[Loyal Customer Discount]]="Yes",'Rate Book'!$D$129,1)</f>
        <v>1</v>
      </c>
      <c r="AQ761">
        <f>IF(Table1820[[#This Row],[Organization Discount]]="Yes",'Rate Book'!$D$130,1)</f>
        <v>1</v>
      </c>
      <c r="AR761" cm="1">
        <f t="array" ref="AR761">IF(Table1820[[#This Row],[Effective Date]]&gt;=RateChangeTable[Effective Date],RateChangeTable[Rate Change Factor],1)</f>
        <v>1.06</v>
      </c>
      <c r="AS761" s="10">
        <f>PRODUCT(Table1820[[#This Row],[Base Rate]:[Rate Change Factor]])</f>
        <v>132.08935296236362</v>
      </c>
      <c r="AT761" s="9">
        <f>Table1820[[#This Row],[System-Generated Premium]]-Table1820[[#This Row],[Expected Premium]]</f>
        <v>0</v>
      </c>
      <c r="AU761" t="str">
        <f>IF(Table1820[[#This Row],[Difference]]=0,"PASS","FAIL")</f>
        <v>PASS</v>
      </c>
      <c r="AV761" s="9">
        <f>ABS(Table1820[[#This Row],[Difference]])</f>
        <v>0</v>
      </c>
      <c r="AW761" s="9" t="s">
        <v>1136</v>
      </c>
    </row>
    <row r="762" spans="1:49" x14ac:dyDescent="0.3">
      <c r="A762" t="s">
        <v>853</v>
      </c>
      <c r="B762" s="7">
        <v>45823</v>
      </c>
      <c r="C762" t="s">
        <v>73</v>
      </c>
      <c r="D762" t="s">
        <v>1100</v>
      </c>
      <c r="E762" s="3">
        <v>4</v>
      </c>
      <c r="F762" s="3">
        <v>1</v>
      </c>
      <c r="G762" t="s">
        <v>11</v>
      </c>
      <c r="H762" t="s">
        <v>1107</v>
      </c>
      <c r="I762" t="s">
        <v>23</v>
      </c>
      <c r="J762" t="s">
        <v>48</v>
      </c>
      <c r="K762" t="s">
        <v>10</v>
      </c>
      <c r="L762" t="s">
        <v>10</v>
      </c>
      <c r="M762" t="s">
        <v>10</v>
      </c>
      <c r="N762" t="s">
        <v>57</v>
      </c>
      <c r="O762" t="str">
        <f>INDEX(CoverageTable[Deductible Applies],MATCH(Table1820[[#This Row],[Coverage]],CoverageTable[Coverage],0))</f>
        <v>No</v>
      </c>
      <c r="P762" t="str">
        <f>INDEX(CoverageTable[Coverage Limit Applies],MATCH(Table1820[[#This Row],[Coverage]],CoverageTable[Coverage],0))</f>
        <v>Yes</v>
      </c>
      <c r="Q762" t="s">
        <v>10</v>
      </c>
      <c r="R762" t="s">
        <v>79</v>
      </c>
      <c r="S762" t="s">
        <v>57</v>
      </c>
      <c r="T762" t="s">
        <v>10</v>
      </c>
      <c r="U762" t="s">
        <v>10</v>
      </c>
      <c r="V762" t="s">
        <v>10</v>
      </c>
      <c r="W762" t="s">
        <v>10</v>
      </c>
      <c r="X762" s="11">
        <v>49.968032411974328</v>
      </c>
      <c r="Y762">
        <f>_xlfn.XLOOKUP(Table1820[[#This Row],[Coverage]],CoverageTable[Coverage],CoverageTable[Base Rate],,0)</f>
        <v>78</v>
      </c>
      <c r="Z762">
        <f>INDEX(Table16[Ageband Factor],MATCH(Table1820[[#This Row],[Ageband]],Table16[Ageband],0))</f>
        <v>1.07</v>
      </c>
      <c r="AA762">
        <f>VLOOKUP(Table1820[[#This Row],[Years Driving]],Table1[],2)</f>
        <v>1.1499999999999999</v>
      </c>
      <c r="AB762">
        <f>_xlfn.XLOOKUP(Table1820[[#This Row],[At Fault Accidents]],Table2[At Fault Accidents],Table2[At Fault Accident Factor],,0)</f>
        <v>1.34</v>
      </c>
      <c r="AC762">
        <f>_xlfn.XLOOKUP(Table1820[[#This Row],[Usage-Based Insurance]],Table3[Usage-Based Insurance],Table3[Usage-Based Insurance Discount],,0)</f>
        <v>0.95</v>
      </c>
      <c r="AD762">
        <f>_xlfn.XLOOKUP(Table1820[[#This Row],[Yearly Miles]],Table4[Yearly Miles],Table4[Yearly Miles Factor],,0)</f>
        <v>0.93</v>
      </c>
      <c r="AE762">
        <f>_xlfn.XLOOKUP(Table1820[[#This Row],[City/Zip Code]],Table5[City/Zip Code],Table5[City/Zip Code Factor],,0)</f>
        <v>0.92</v>
      </c>
      <c r="AF762">
        <f>_xlfn.XLOOKUP(Table1820[[#This Row],[Vehicle Price]],Table6[Vehicle Price],Table6[Vehicle Price Factor])</f>
        <v>0.82</v>
      </c>
      <c r="AG762">
        <f>_xlfn.XLOOKUP(Table1820[[#This Row],[Exotic Car]],Table7[Exotic Car],Table7[Exotic Car Factor],,0)</f>
        <v>1</v>
      </c>
      <c r="AH762">
        <f>_xlfn.XLOOKUP(Table1820[[#This Row],[Difficult Parts]],Table8[Difficult Parts],Table8[Difficult Parts Factor],,0)</f>
        <v>1</v>
      </c>
      <c r="AI762">
        <f>_xlfn.XLOOKUP(Table1820[[#This Row],[High Theft Rate]],Table9[High Theft Rate],Table9[High Theft Rate Factor],,0)</f>
        <v>1</v>
      </c>
      <c r="AJ762">
        <f>_xlfn.XLOOKUP(Table1820[[#This Row],[Advanced Safety Features]],Table10[Advanced Safety Features],Table10[Advanced Safety Features Factor],,0)</f>
        <v>0.88</v>
      </c>
      <c r="AK762">
        <f>_xlfn.XLOOKUP(Table1820[[#This Row],[Deductible]],Table12[Deductible],Table12[Deductible Factor],,0)</f>
        <v>1</v>
      </c>
      <c r="AL762">
        <f>_xlfn.XLOOKUP(Table1820[[#This Row],[Coverage Limit]],Table13[Coverage Limit],Table13[Coverage Limit Factor],,0)</f>
        <v>0.72</v>
      </c>
      <c r="AM762">
        <f>IF(Table1820[[#This Row],[Good Student Discount]]="Yes",'Rate Book'!$D$126,1)</f>
        <v>0.92</v>
      </c>
      <c r="AN762">
        <f>IF(Table1820[[#This Row],[Good Driver Discount]]="Yes",'Rate Book'!$D$127,1)</f>
        <v>1</v>
      </c>
      <c r="AO762">
        <f>IF(Table1820[[#This Row],[Multi Policy Discount]]="Yes",'Rate Book'!$D$128,1)</f>
        <v>1</v>
      </c>
      <c r="AP762">
        <f>IF(Table1820[[#This Row],[Loyal Customer Discount]]="Yes",'Rate Book'!$D$129,1)</f>
        <v>1</v>
      </c>
      <c r="AQ762">
        <f>IF(Table1820[[#This Row],[Organization Discount]]="Yes",'Rate Book'!$D$130,1)</f>
        <v>1</v>
      </c>
      <c r="AR762" cm="1">
        <f t="array" ref="AR762">IF(Table1820[[#This Row],[Effective Date]]&gt;=RateChangeTable[Effective Date],RateChangeTable[Rate Change Factor],1)</f>
        <v>1</v>
      </c>
      <c r="AS762" s="10">
        <f>PRODUCT(Table1820[[#This Row],[Base Rate]:[Rate Change Factor]])</f>
        <v>49.968032411974328</v>
      </c>
      <c r="AT762" s="9">
        <f>Table1820[[#This Row],[System-Generated Premium]]-Table1820[[#This Row],[Expected Premium]]</f>
        <v>0</v>
      </c>
      <c r="AU762" t="str">
        <f>IF(Table1820[[#This Row],[Difference]]=0,"PASS","FAIL")</f>
        <v>PASS</v>
      </c>
      <c r="AV762" s="9">
        <f>ABS(Table1820[[#This Row],[Difference]])</f>
        <v>0</v>
      </c>
      <c r="AW762" s="9" t="s">
        <v>1136</v>
      </c>
    </row>
    <row r="763" spans="1:49" x14ac:dyDescent="0.3">
      <c r="A763" t="s">
        <v>854</v>
      </c>
      <c r="B763" s="7">
        <v>46059</v>
      </c>
      <c r="C763" t="s">
        <v>73</v>
      </c>
      <c r="D763" t="s">
        <v>1100</v>
      </c>
      <c r="E763" s="3">
        <v>4</v>
      </c>
      <c r="F763" s="3">
        <v>0</v>
      </c>
      <c r="G763" t="s">
        <v>13</v>
      </c>
      <c r="H763" t="s">
        <v>1107</v>
      </c>
      <c r="I763" t="s">
        <v>43</v>
      </c>
      <c r="J763" t="s">
        <v>50</v>
      </c>
      <c r="K763" t="s">
        <v>10</v>
      </c>
      <c r="L763" t="s">
        <v>57</v>
      </c>
      <c r="M763" t="s">
        <v>10</v>
      </c>
      <c r="N763" t="s">
        <v>10</v>
      </c>
      <c r="O763" t="str">
        <f>INDEX(CoverageTable[Deductible Applies],MATCH(Table1820[[#This Row],[Coverage]],CoverageTable[Coverage],0))</f>
        <v>No</v>
      </c>
      <c r="P763" t="str">
        <f>INDEX(CoverageTable[Coverage Limit Applies],MATCH(Table1820[[#This Row],[Coverage]],CoverageTable[Coverage],0))</f>
        <v>Yes</v>
      </c>
      <c r="Q763" t="s">
        <v>10</v>
      </c>
      <c r="R763" t="s">
        <v>80</v>
      </c>
      <c r="S763" t="s">
        <v>10</v>
      </c>
      <c r="T763" t="s">
        <v>10</v>
      </c>
      <c r="U763" t="s">
        <v>10</v>
      </c>
      <c r="V763" t="s">
        <v>10</v>
      </c>
      <c r="W763" t="s">
        <v>10</v>
      </c>
      <c r="X763" s="11">
        <v>79.661560639073215</v>
      </c>
      <c r="Y763">
        <f>_xlfn.XLOOKUP(Table1820[[#This Row],[Coverage]],CoverageTable[Coverage],CoverageTable[Base Rate],,0)</f>
        <v>78</v>
      </c>
      <c r="Z763">
        <f>INDEX(Table16[Ageband Factor],MATCH(Table1820[[#This Row],[Ageband]],Table16[Ageband],0))</f>
        <v>1.07</v>
      </c>
      <c r="AA763">
        <f>VLOOKUP(Table1820[[#This Row],[Years Driving]],Table1[],2)</f>
        <v>1.1499999999999999</v>
      </c>
      <c r="AB763">
        <f>_xlfn.XLOOKUP(Table1820[[#This Row],[At Fault Accidents]],Table2[At Fault Accidents],Table2[At Fault Accident Factor],,0)</f>
        <v>1</v>
      </c>
      <c r="AC763">
        <f>_xlfn.XLOOKUP(Table1820[[#This Row],[Usage-Based Insurance]],Table3[Usage-Based Insurance],Table3[Usage-Based Insurance Discount],,0)</f>
        <v>0.65</v>
      </c>
      <c r="AD763">
        <f>_xlfn.XLOOKUP(Table1820[[#This Row],[Yearly Miles]],Table4[Yearly Miles],Table4[Yearly Miles Factor],,0)</f>
        <v>0.93</v>
      </c>
      <c r="AE763">
        <f>_xlfn.XLOOKUP(Table1820[[#This Row],[City/Zip Code]],Table5[City/Zip Code],Table5[City/Zip Code Factor],,0)</f>
        <v>1.18</v>
      </c>
      <c r="AF763">
        <f>_xlfn.XLOOKUP(Table1820[[#This Row],[Vehicle Price]],Table6[Vehicle Price],Table6[Vehicle Price Factor])</f>
        <v>1.08</v>
      </c>
      <c r="AG763">
        <f>_xlfn.XLOOKUP(Table1820[[#This Row],[Exotic Car]],Table7[Exotic Car],Table7[Exotic Car Factor],,0)</f>
        <v>1</v>
      </c>
      <c r="AH763">
        <f>_xlfn.XLOOKUP(Table1820[[#This Row],[Difficult Parts]],Table8[Difficult Parts],Table8[Difficult Parts Factor],,0)</f>
        <v>1.21</v>
      </c>
      <c r="AI763">
        <f>_xlfn.XLOOKUP(Table1820[[#This Row],[High Theft Rate]],Table9[High Theft Rate],Table9[High Theft Rate Factor],,0)</f>
        <v>1</v>
      </c>
      <c r="AJ763">
        <f>_xlfn.XLOOKUP(Table1820[[#This Row],[Advanced Safety Features]],Table10[Advanced Safety Features],Table10[Advanced Safety Features Factor],,0)</f>
        <v>1</v>
      </c>
      <c r="AK763">
        <f>_xlfn.XLOOKUP(Table1820[[#This Row],[Deductible]],Table12[Deductible],Table12[Deductible Factor],,0)</f>
        <v>1</v>
      </c>
      <c r="AL763">
        <f>_xlfn.XLOOKUP(Table1820[[#This Row],[Coverage Limit]],Table13[Coverage Limit],Table13[Coverage Limit Factor],,0)</f>
        <v>0.84</v>
      </c>
      <c r="AM763">
        <f>IF(Table1820[[#This Row],[Good Student Discount]]="Yes",'Rate Book'!$D$126,1)</f>
        <v>1</v>
      </c>
      <c r="AN763">
        <f>IF(Table1820[[#This Row],[Good Driver Discount]]="Yes",'Rate Book'!$D$127,1)</f>
        <v>1</v>
      </c>
      <c r="AO763">
        <f>IF(Table1820[[#This Row],[Multi Policy Discount]]="Yes",'Rate Book'!$D$128,1)</f>
        <v>1</v>
      </c>
      <c r="AP763">
        <f>IF(Table1820[[#This Row],[Loyal Customer Discount]]="Yes",'Rate Book'!$D$129,1)</f>
        <v>1</v>
      </c>
      <c r="AQ763">
        <f>IF(Table1820[[#This Row],[Organization Discount]]="Yes",'Rate Book'!$D$130,1)</f>
        <v>1</v>
      </c>
      <c r="AR763" cm="1">
        <f t="array" ref="AR763">IF(Table1820[[#This Row],[Effective Date]]&gt;=RateChangeTable[Effective Date],RateChangeTable[Rate Change Factor],1)</f>
        <v>1.06</v>
      </c>
      <c r="AS763" s="10">
        <f>PRODUCT(Table1820[[#This Row],[Base Rate]:[Rate Change Factor]])</f>
        <v>79.661560639073215</v>
      </c>
      <c r="AT763" s="9">
        <f>Table1820[[#This Row],[System-Generated Premium]]-Table1820[[#This Row],[Expected Premium]]</f>
        <v>0</v>
      </c>
      <c r="AU763" t="str">
        <f>IF(Table1820[[#This Row],[Difference]]=0,"PASS","FAIL")</f>
        <v>PASS</v>
      </c>
      <c r="AV763" s="9">
        <f>ABS(Table1820[[#This Row],[Difference]])</f>
        <v>0</v>
      </c>
      <c r="AW763" s="9" t="s">
        <v>1136</v>
      </c>
    </row>
    <row r="764" spans="1:49" x14ac:dyDescent="0.3">
      <c r="A764" t="s">
        <v>855</v>
      </c>
      <c r="B764" s="7">
        <v>45855</v>
      </c>
      <c r="C764" t="s">
        <v>70</v>
      </c>
      <c r="D764" t="s">
        <v>1099</v>
      </c>
      <c r="E764" s="3">
        <v>2</v>
      </c>
      <c r="F764" s="3">
        <v>0</v>
      </c>
      <c r="G764" t="s">
        <v>10</v>
      </c>
      <c r="H764" t="s">
        <v>1110</v>
      </c>
      <c r="I764" t="s">
        <v>30</v>
      </c>
      <c r="J764" t="s">
        <v>53</v>
      </c>
      <c r="K764" t="s">
        <v>10</v>
      </c>
      <c r="L764" t="s">
        <v>57</v>
      </c>
      <c r="M764" t="s">
        <v>10</v>
      </c>
      <c r="N764" t="s">
        <v>10</v>
      </c>
      <c r="O764" t="str">
        <f>INDEX(CoverageTable[Deductible Applies],MATCH(Table1820[[#This Row],[Coverage]],CoverageTable[Coverage],0))</f>
        <v>No</v>
      </c>
      <c r="P764" t="str">
        <f>INDEX(CoverageTable[Coverage Limit Applies],MATCH(Table1820[[#This Row],[Coverage]],CoverageTable[Coverage],0))</f>
        <v>Yes</v>
      </c>
      <c r="Q764" t="s">
        <v>10</v>
      </c>
      <c r="R764" t="s">
        <v>80</v>
      </c>
      <c r="S764" t="s">
        <v>10</v>
      </c>
      <c r="T764" t="s">
        <v>10</v>
      </c>
      <c r="U764" t="s">
        <v>10</v>
      </c>
      <c r="V764" t="s">
        <v>10</v>
      </c>
      <c r="W764" t="s">
        <v>10</v>
      </c>
      <c r="X764" s="11">
        <v>2406.0075764598728</v>
      </c>
      <c r="Y764">
        <f>_xlfn.XLOOKUP(Table1820[[#This Row],[Coverage]],CoverageTable[Coverage],CoverageTable[Base Rate],,0)</f>
        <v>622</v>
      </c>
      <c r="Z764">
        <f>INDEX(Table16[Ageband Factor],MATCH(Table1820[[#This Row],[Ageband]],Table16[Ageband],0))</f>
        <v>1</v>
      </c>
      <c r="AA764">
        <f>VLOOKUP(Table1820[[#This Row],[Years Driving]],Table1[],2)</f>
        <v>1.41</v>
      </c>
      <c r="AB764">
        <f>_xlfn.XLOOKUP(Table1820[[#This Row],[At Fault Accidents]],Table2[At Fault Accidents],Table2[At Fault Accident Factor],,0)</f>
        <v>1</v>
      </c>
      <c r="AC764">
        <f>_xlfn.XLOOKUP(Table1820[[#This Row],[Usage-Based Insurance]],Table3[Usage-Based Insurance],Table3[Usage-Based Insurance Discount],,0)</f>
        <v>1</v>
      </c>
      <c r="AD764">
        <f>_xlfn.XLOOKUP(Table1820[[#This Row],[Yearly Miles]],Table4[Yearly Miles],Table4[Yearly Miles Factor],,0)</f>
        <v>1.31</v>
      </c>
      <c r="AE764">
        <f>_xlfn.XLOOKUP(Table1820[[#This Row],[City/Zip Code]],Table5[City/Zip Code],Table5[City/Zip Code Factor],,0)</f>
        <v>1.02</v>
      </c>
      <c r="AF764">
        <f>_xlfn.XLOOKUP(Table1820[[#This Row],[Vehicle Price]],Table6[Vehicle Price],Table6[Vehicle Price Factor])</f>
        <v>2.02</v>
      </c>
      <c r="AG764">
        <f>_xlfn.XLOOKUP(Table1820[[#This Row],[Exotic Car]],Table7[Exotic Car],Table7[Exotic Car Factor],,0)</f>
        <v>1</v>
      </c>
      <c r="AH764">
        <f>_xlfn.XLOOKUP(Table1820[[#This Row],[Difficult Parts]],Table8[Difficult Parts],Table8[Difficult Parts Factor],,0)</f>
        <v>1.21</v>
      </c>
      <c r="AI764">
        <f>_xlfn.XLOOKUP(Table1820[[#This Row],[High Theft Rate]],Table9[High Theft Rate],Table9[High Theft Rate Factor],,0)</f>
        <v>1</v>
      </c>
      <c r="AJ764">
        <f>_xlfn.XLOOKUP(Table1820[[#This Row],[Advanced Safety Features]],Table10[Advanced Safety Features],Table10[Advanced Safety Features Factor],,0)</f>
        <v>1</v>
      </c>
      <c r="AK764">
        <f>_xlfn.XLOOKUP(Table1820[[#This Row],[Deductible]],Table12[Deductible],Table12[Deductible Factor],,0)</f>
        <v>1</v>
      </c>
      <c r="AL764">
        <f>_xlfn.XLOOKUP(Table1820[[#This Row],[Coverage Limit]],Table13[Coverage Limit],Table13[Coverage Limit Factor],,0)</f>
        <v>0.84</v>
      </c>
      <c r="AM764">
        <f>IF(Table1820[[#This Row],[Good Student Discount]]="Yes",'Rate Book'!$D$126,1)</f>
        <v>1</v>
      </c>
      <c r="AN764">
        <f>IF(Table1820[[#This Row],[Good Driver Discount]]="Yes",'Rate Book'!$D$127,1)</f>
        <v>1</v>
      </c>
      <c r="AO764">
        <f>IF(Table1820[[#This Row],[Multi Policy Discount]]="Yes",'Rate Book'!$D$128,1)</f>
        <v>1</v>
      </c>
      <c r="AP764">
        <f>IF(Table1820[[#This Row],[Loyal Customer Discount]]="Yes",'Rate Book'!$D$129,1)</f>
        <v>1</v>
      </c>
      <c r="AQ764">
        <f>IF(Table1820[[#This Row],[Organization Discount]]="Yes",'Rate Book'!$D$130,1)</f>
        <v>1</v>
      </c>
      <c r="AR764" cm="1">
        <f t="array" ref="AR764">IF(Table1820[[#This Row],[Effective Date]]&gt;=RateChangeTable[Effective Date],RateChangeTable[Rate Change Factor],1)</f>
        <v>1</v>
      </c>
      <c r="AS764" s="10">
        <f>PRODUCT(Table1820[[#This Row],[Base Rate]:[Rate Change Factor]])</f>
        <v>2406.0075764598728</v>
      </c>
      <c r="AT764" s="9">
        <f>Table1820[[#This Row],[System-Generated Premium]]-Table1820[[#This Row],[Expected Premium]]</f>
        <v>0</v>
      </c>
      <c r="AU764" t="str">
        <f>IF(Table1820[[#This Row],[Difference]]=0,"PASS","FAIL")</f>
        <v>PASS</v>
      </c>
      <c r="AV764" s="9">
        <f>ABS(Table1820[[#This Row],[Difference]])</f>
        <v>0</v>
      </c>
      <c r="AW764" s="9" t="s">
        <v>1136</v>
      </c>
    </row>
    <row r="765" spans="1:49" x14ac:dyDescent="0.3">
      <c r="A765" t="s">
        <v>856</v>
      </c>
      <c r="B765" s="7">
        <v>45833</v>
      </c>
      <c r="C765" t="s">
        <v>73</v>
      </c>
      <c r="D765" t="s">
        <v>1097</v>
      </c>
      <c r="E765" s="3">
        <v>1</v>
      </c>
      <c r="F765" s="3" t="s">
        <v>7</v>
      </c>
      <c r="G765" t="s">
        <v>11</v>
      </c>
      <c r="H765" t="s">
        <v>1109</v>
      </c>
      <c r="I765" t="s">
        <v>28</v>
      </c>
      <c r="J765" t="s">
        <v>48</v>
      </c>
      <c r="K765" t="s">
        <v>10</v>
      </c>
      <c r="L765" t="s">
        <v>10</v>
      </c>
      <c r="M765" t="s">
        <v>57</v>
      </c>
      <c r="N765" t="s">
        <v>57</v>
      </c>
      <c r="O765" t="str">
        <f>INDEX(CoverageTable[Deductible Applies],MATCH(Table1820[[#This Row],[Coverage]],CoverageTable[Coverage],0))</f>
        <v>No</v>
      </c>
      <c r="P765" t="str">
        <f>INDEX(CoverageTable[Coverage Limit Applies],MATCH(Table1820[[#This Row],[Coverage]],CoverageTable[Coverage],0))</f>
        <v>Yes</v>
      </c>
      <c r="Q765" t="s">
        <v>10</v>
      </c>
      <c r="R765" t="s">
        <v>79</v>
      </c>
      <c r="S765" t="s">
        <v>10</v>
      </c>
      <c r="T765" t="s">
        <v>57</v>
      </c>
      <c r="U765" t="s">
        <v>10</v>
      </c>
      <c r="V765" t="s">
        <v>10</v>
      </c>
      <c r="W765" t="s">
        <v>10</v>
      </c>
      <c r="X765" s="11">
        <v>238.2404879606182</v>
      </c>
      <c r="Y765">
        <f>_xlfn.XLOOKUP(Table1820[[#This Row],[Coverage]],CoverageTable[Coverage],CoverageTable[Base Rate],,0)</f>
        <v>78</v>
      </c>
      <c r="Z765">
        <f>INDEX(Table16[Ageband Factor],MATCH(Table1820[[#This Row],[Ageband]],Table16[Ageband],0))</f>
        <v>1.32</v>
      </c>
      <c r="AA765">
        <f>VLOOKUP(Table1820[[#This Row],[Years Driving]],Table1[],2)</f>
        <v>1.64</v>
      </c>
      <c r="AB765">
        <f>_xlfn.XLOOKUP(Table1820[[#This Row],[At Fault Accidents]],Table2[At Fault Accidents],Table2[At Fault Accident Factor],,0)</f>
        <v>2.4700000000000002</v>
      </c>
      <c r="AC765">
        <f>_xlfn.XLOOKUP(Table1820[[#This Row],[Usage-Based Insurance]],Table3[Usage-Based Insurance],Table3[Usage-Based Insurance Discount],,0)</f>
        <v>0.95</v>
      </c>
      <c r="AD765">
        <f>_xlfn.XLOOKUP(Table1820[[#This Row],[Yearly Miles]],Table4[Yearly Miles],Table4[Yearly Miles Factor],,0)</f>
        <v>1.18</v>
      </c>
      <c r="AE765">
        <f>_xlfn.XLOOKUP(Table1820[[#This Row],[City/Zip Code]],Table5[City/Zip Code],Table5[City/Zip Code Factor],,0)</f>
        <v>0.95</v>
      </c>
      <c r="AF765">
        <f>_xlfn.XLOOKUP(Table1820[[#This Row],[Vehicle Price]],Table6[Vehicle Price],Table6[Vehicle Price Factor])</f>
        <v>0.82</v>
      </c>
      <c r="AG765">
        <f>_xlfn.XLOOKUP(Table1820[[#This Row],[Exotic Car]],Table7[Exotic Car],Table7[Exotic Car Factor],,0)</f>
        <v>1</v>
      </c>
      <c r="AH765">
        <f>_xlfn.XLOOKUP(Table1820[[#This Row],[Difficult Parts]],Table8[Difficult Parts],Table8[Difficult Parts Factor],,0)</f>
        <v>1</v>
      </c>
      <c r="AI765">
        <f>_xlfn.XLOOKUP(Table1820[[#This Row],[High Theft Rate]],Table9[High Theft Rate],Table9[High Theft Rate Factor],,0)</f>
        <v>1.1599999999999999</v>
      </c>
      <c r="AJ765">
        <f>_xlfn.XLOOKUP(Table1820[[#This Row],[Advanced Safety Features]],Table10[Advanced Safety Features],Table10[Advanced Safety Features Factor],,0)</f>
        <v>0.88</v>
      </c>
      <c r="AK765">
        <f>_xlfn.XLOOKUP(Table1820[[#This Row],[Deductible]],Table12[Deductible],Table12[Deductible Factor],,0)</f>
        <v>1</v>
      </c>
      <c r="AL765">
        <f>_xlfn.XLOOKUP(Table1820[[#This Row],[Coverage Limit]],Table13[Coverage Limit],Table13[Coverage Limit Factor],,0)</f>
        <v>0.72</v>
      </c>
      <c r="AM765">
        <f>IF(Table1820[[#This Row],[Good Student Discount]]="Yes",'Rate Book'!$D$126,1)</f>
        <v>1</v>
      </c>
      <c r="AN765">
        <f>IF(Table1820[[#This Row],[Good Driver Discount]]="Yes",'Rate Book'!$D$127,1)</f>
        <v>0.89</v>
      </c>
      <c r="AO765">
        <f>IF(Table1820[[#This Row],[Multi Policy Discount]]="Yes",'Rate Book'!$D$128,1)</f>
        <v>1</v>
      </c>
      <c r="AP765">
        <f>IF(Table1820[[#This Row],[Loyal Customer Discount]]="Yes",'Rate Book'!$D$129,1)</f>
        <v>1</v>
      </c>
      <c r="AQ765">
        <f>IF(Table1820[[#This Row],[Organization Discount]]="Yes",'Rate Book'!$D$130,1)</f>
        <v>1</v>
      </c>
      <c r="AR765" cm="1">
        <f t="array" ref="AR765">IF(Table1820[[#This Row],[Effective Date]]&gt;=RateChangeTable[Effective Date],RateChangeTable[Rate Change Factor],1)</f>
        <v>1</v>
      </c>
      <c r="AS765" s="10">
        <f>PRODUCT(Table1820[[#This Row],[Base Rate]:[Rate Change Factor]])</f>
        <v>238.2404879606182</v>
      </c>
      <c r="AT765" s="9">
        <f>Table1820[[#This Row],[System-Generated Premium]]-Table1820[[#This Row],[Expected Premium]]</f>
        <v>0</v>
      </c>
      <c r="AU765" t="str">
        <f>IF(Table1820[[#This Row],[Difference]]=0,"PASS","FAIL")</f>
        <v>PASS</v>
      </c>
      <c r="AV765" s="9">
        <f>ABS(Table1820[[#This Row],[Difference]])</f>
        <v>0</v>
      </c>
      <c r="AW765" s="9" t="s">
        <v>1136</v>
      </c>
    </row>
    <row r="766" spans="1:49" x14ac:dyDescent="0.3">
      <c r="A766" t="s">
        <v>857</v>
      </c>
      <c r="B766" s="7">
        <v>45859</v>
      </c>
      <c r="C766" t="s">
        <v>71</v>
      </c>
      <c r="D766" t="s">
        <v>1101</v>
      </c>
      <c r="E766" s="3">
        <v>2</v>
      </c>
      <c r="F766" s="3">
        <v>2</v>
      </c>
      <c r="G766" t="s">
        <v>11</v>
      </c>
      <c r="H766" t="s">
        <v>1110</v>
      </c>
      <c r="I766" t="s">
        <v>39</v>
      </c>
      <c r="J766" t="s">
        <v>48</v>
      </c>
      <c r="K766" t="s">
        <v>10</v>
      </c>
      <c r="L766" t="s">
        <v>10</v>
      </c>
      <c r="M766" t="s">
        <v>57</v>
      </c>
      <c r="N766" t="s">
        <v>57</v>
      </c>
      <c r="O766" t="str">
        <f>INDEX(CoverageTable[Deductible Applies],MATCH(Table1820[[#This Row],[Coverage]],CoverageTable[Coverage],0))</f>
        <v>Yes</v>
      </c>
      <c r="P766" t="str">
        <f>INDEX(CoverageTable[Coverage Limit Applies],MATCH(Table1820[[#This Row],[Coverage]],CoverageTable[Coverage],0))</f>
        <v>No</v>
      </c>
      <c r="Q766" t="s">
        <v>80</v>
      </c>
      <c r="R766" t="s">
        <v>10</v>
      </c>
      <c r="S766" t="s">
        <v>10</v>
      </c>
      <c r="T766" t="s">
        <v>10</v>
      </c>
      <c r="U766" t="s">
        <v>10</v>
      </c>
      <c r="V766" t="s">
        <v>10</v>
      </c>
      <c r="W766" t="s">
        <v>10</v>
      </c>
      <c r="X766" s="11">
        <v>898.19927904369717</v>
      </c>
      <c r="Y766">
        <f>_xlfn.XLOOKUP(Table1820[[#This Row],[Coverage]],CoverageTable[Coverage],CoverageTable[Base Rate],,0)</f>
        <v>453</v>
      </c>
      <c r="Z766">
        <f>INDEX(Table16[Ageband Factor],MATCH(Table1820[[#This Row],[Ageband]],Table16[Ageband],0))</f>
        <v>1.1200000000000001</v>
      </c>
      <c r="AA766">
        <f>VLOOKUP(Table1820[[#This Row],[Years Driving]],Table1[],2)</f>
        <v>1.41</v>
      </c>
      <c r="AB766">
        <f>_xlfn.XLOOKUP(Table1820[[#This Row],[At Fault Accidents]],Table2[At Fault Accidents],Table2[At Fault Accident Factor],,0)</f>
        <v>1.55</v>
      </c>
      <c r="AC766">
        <f>_xlfn.XLOOKUP(Table1820[[#This Row],[Usage-Based Insurance]],Table3[Usage-Based Insurance],Table3[Usage-Based Insurance Discount],,0)</f>
        <v>0.95</v>
      </c>
      <c r="AD766">
        <f>_xlfn.XLOOKUP(Table1820[[#This Row],[Yearly Miles]],Table4[Yearly Miles],Table4[Yearly Miles Factor],,0)</f>
        <v>1.31</v>
      </c>
      <c r="AE766">
        <f>_xlfn.XLOOKUP(Table1820[[#This Row],[City/Zip Code]],Table5[City/Zip Code],Table5[City/Zip Code Factor],,0)</f>
        <v>1.08</v>
      </c>
      <c r="AF766">
        <f>_xlfn.XLOOKUP(Table1820[[#This Row],[Vehicle Price]],Table6[Vehicle Price],Table6[Vehicle Price Factor])</f>
        <v>0.82</v>
      </c>
      <c r="AG766">
        <f>_xlfn.XLOOKUP(Table1820[[#This Row],[Exotic Car]],Table7[Exotic Car],Table7[Exotic Car Factor],,0)</f>
        <v>1</v>
      </c>
      <c r="AH766">
        <f>_xlfn.XLOOKUP(Table1820[[#This Row],[Difficult Parts]],Table8[Difficult Parts],Table8[Difficult Parts Factor],,0)</f>
        <v>1</v>
      </c>
      <c r="AI766">
        <f>_xlfn.XLOOKUP(Table1820[[#This Row],[High Theft Rate]],Table9[High Theft Rate],Table9[High Theft Rate Factor],,0)</f>
        <v>1.1599999999999999</v>
      </c>
      <c r="AJ766">
        <f>_xlfn.XLOOKUP(Table1820[[#This Row],[Advanced Safety Features]],Table10[Advanced Safety Features],Table10[Advanced Safety Features Factor],,0)</f>
        <v>0.88</v>
      </c>
      <c r="AK766">
        <f>_xlfn.XLOOKUP(Table1820[[#This Row],[Deductible]],Table12[Deductible],Table12[Deductible Factor],,0)</f>
        <v>0.72</v>
      </c>
      <c r="AL766">
        <f>_xlfn.XLOOKUP(Table1820[[#This Row],[Coverage Limit]],Table13[Coverage Limit],Table13[Coverage Limit Factor],,0)</f>
        <v>1</v>
      </c>
      <c r="AM766">
        <f>IF(Table1820[[#This Row],[Good Student Discount]]="Yes",'Rate Book'!$D$126,1)</f>
        <v>1</v>
      </c>
      <c r="AN766">
        <f>IF(Table1820[[#This Row],[Good Driver Discount]]="Yes",'Rate Book'!$D$127,1)</f>
        <v>1</v>
      </c>
      <c r="AO766">
        <f>IF(Table1820[[#This Row],[Multi Policy Discount]]="Yes",'Rate Book'!$D$128,1)</f>
        <v>1</v>
      </c>
      <c r="AP766">
        <f>IF(Table1820[[#This Row],[Loyal Customer Discount]]="Yes",'Rate Book'!$D$129,1)</f>
        <v>1</v>
      </c>
      <c r="AQ766">
        <f>IF(Table1820[[#This Row],[Organization Discount]]="Yes",'Rate Book'!$D$130,1)</f>
        <v>1</v>
      </c>
      <c r="AR766" cm="1">
        <f t="array" ref="AR766">IF(Table1820[[#This Row],[Effective Date]]&gt;=RateChangeTable[Effective Date],RateChangeTable[Rate Change Factor],1)</f>
        <v>1</v>
      </c>
      <c r="AS766" s="10">
        <f>PRODUCT(Table1820[[#This Row],[Base Rate]:[Rate Change Factor]])</f>
        <v>898.19927904369717</v>
      </c>
      <c r="AT766" s="9">
        <f>Table1820[[#This Row],[System-Generated Premium]]-Table1820[[#This Row],[Expected Premium]]</f>
        <v>0</v>
      </c>
      <c r="AU766" t="str">
        <f>IF(Table1820[[#This Row],[Difference]]=0,"PASS","FAIL")</f>
        <v>PASS</v>
      </c>
      <c r="AV766" s="9">
        <f>ABS(Table1820[[#This Row],[Difference]])</f>
        <v>0</v>
      </c>
      <c r="AW766" s="9" t="s">
        <v>1136</v>
      </c>
    </row>
    <row r="767" spans="1:49" x14ac:dyDescent="0.3">
      <c r="A767" t="s">
        <v>858</v>
      </c>
      <c r="B767" s="7">
        <v>46123</v>
      </c>
      <c r="C767" t="s">
        <v>70</v>
      </c>
      <c r="D767" t="s">
        <v>1098</v>
      </c>
      <c r="E767" s="3" t="s">
        <v>1103</v>
      </c>
      <c r="F767" s="3">
        <v>3</v>
      </c>
      <c r="G767" t="s">
        <v>11</v>
      </c>
      <c r="H767" t="s">
        <v>1109</v>
      </c>
      <c r="I767" t="s">
        <v>28</v>
      </c>
      <c r="J767" t="s">
        <v>49</v>
      </c>
      <c r="K767" t="s">
        <v>10</v>
      </c>
      <c r="L767" t="s">
        <v>10</v>
      </c>
      <c r="M767" t="s">
        <v>10</v>
      </c>
      <c r="N767" t="s">
        <v>10</v>
      </c>
      <c r="O767" t="str">
        <f>INDEX(CoverageTable[Deductible Applies],MATCH(Table1820[[#This Row],[Coverage]],CoverageTable[Coverage],0))</f>
        <v>No</v>
      </c>
      <c r="P767" t="str">
        <f>INDEX(CoverageTable[Coverage Limit Applies],MATCH(Table1820[[#This Row],[Coverage]],CoverageTable[Coverage],0))</f>
        <v>Yes</v>
      </c>
      <c r="Q767" t="s">
        <v>10</v>
      </c>
      <c r="R767" t="s">
        <v>79</v>
      </c>
      <c r="S767" t="s">
        <v>57</v>
      </c>
      <c r="T767" t="s">
        <v>10</v>
      </c>
      <c r="U767" t="s">
        <v>10</v>
      </c>
      <c r="V767" t="s">
        <v>10</v>
      </c>
      <c r="W767" t="s">
        <v>10</v>
      </c>
      <c r="X767" s="11">
        <v>939.24085208199472</v>
      </c>
      <c r="Y767">
        <f>_xlfn.XLOOKUP(Table1820[[#This Row],[Coverage]],CoverageTable[Coverage],CoverageTable[Base Rate],,0)</f>
        <v>622</v>
      </c>
      <c r="Z767">
        <f>INDEX(Table16[Ageband Factor],MATCH(Table1820[[#This Row],[Ageband]],Table16[Ageband],0))</f>
        <v>1.23</v>
      </c>
      <c r="AA767">
        <f>VLOOKUP(Table1820[[#This Row],[Years Driving]],Table1[],2)</f>
        <v>0.93</v>
      </c>
      <c r="AB767">
        <f>_xlfn.XLOOKUP(Table1820[[#This Row],[At Fault Accidents]],Table2[At Fault Accidents],Table2[At Fault Accident Factor],,0)</f>
        <v>1.82</v>
      </c>
      <c r="AC767">
        <f>_xlfn.XLOOKUP(Table1820[[#This Row],[Usage-Based Insurance]],Table3[Usage-Based Insurance],Table3[Usage-Based Insurance Discount],,0)</f>
        <v>0.95</v>
      </c>
      <c r="AD767">
        <f>_xlfn.XLOOKUP(Table1820[[#This Row],[Yearly Miles]],Table4[Yearly Miles],Table4[Yearly Miles Factor],,0)</f>
        <v>1.18</v>
      </c>
      <c r="AE767">
        <f>_xlfn.XLOOKUP(Table1820[[#This Row],[City/Zip Code]],Table5[City/Zip Code],Table5[City/Zip Code Factor],,0)</f>
        <v>0.95</v>
      </c>
      <c r="AF767">
        <f>_xlfn.XLOOKUP(Table1820[[#This Row],[Vehicle Price]],Table6[Vehicle Price],Table6[Vehicle Price Factor])</f>
        <v>0.97</v>
      </c>
      <c r="AG767">
        <f>_xlfn.XLOOKUP(Table1820[[#This Row],[Exotic Car]],Table7[Exotic Car],Table7[Exotic Car Factor],,0)</f>
        <v>1</v>
      </c>
      <c r="AH767">
        <f>_xlfn.XLOOKUP(Table1820[[#This Row],[Difficult Parts]],Table8[Difficult Parts],Table8[Difficult Parts Factor],,0)</f>
        <v>1</v>
      </c>
      <c r="AI767">
        <f>_xlfn.XLOOKUP(Table1820[[#This Row],[High Theft Rate]],Table9[High Theft Rate],Table9[High Theft Rate Factor],,0)</f>
        <v>1</v>
      </c>
      <c r="AJ767">
        <f>_xlfn.XLOOKUP(Table1820[[#This Row],[Advanced Safety Features]],Table10[Advanced Safety Features],Table10[Advanced Safety Features Factor],,0)</f>
        <v>1</v>
      </c>
      <c r="AK767">
        <f>_xlfn.XLOOKUP(Table1820[[#This Row],[Deductible]],Table12[Deductible],Table12[Deductible Factor],,0)</f>
        <v>1</v>
      </c>
      <c r="AL767">
        <f>_xlfn.XLOOKUP(Table1820[[#This Row],[Coverage Limit]],Table13[Coverage Limit],Table13[Coverage Limit Factor],,0)</f>
        <v>0.72</v>
      </c>
      <c r="AM767">
        <f>IF(Table1820[[#This Row],[Good Student Discount]]="Yes",'Rate Book'!$D$126,1)</f>
        <v>0.92</v>
      </c>
      <c r="AN767">
        <f>IF(Table1820[[#This Row],[Good Driver Discount]]="Yes",'Rate Book'!$D$127,1)</f>
        <v>1</v>
      </c>
      <c r="AO767">
        <f>IF(Table1820[[#This Row],[Multi Policy Discount]]="Yes",'Rate Book'!$D$128,1)</f>
        <v>1</v>
      </c>
      <c r="AP767">
        <f>IF(Table1820[[#This Row],[Loyal Customer Discount]]="Yes",'Rate Book'!$D$129,1)</f>
        <v>1</v>
      </c>
      <c r="AQ767">
        <f>IF(Table1820[[#This Row],[Organization Discount]]="Yes",'Rate Book'!$D$130,1)</f>
        <v>1</v>
      </c>
      <c r="AR767" cm="1">
        <f t="array" ref="AR767">IF(Table1820[[#This Row],[Effective Date]]&gt;=RateChangeTable[Effective Date],RateChangeTable[Rate Change Factor],1)</f>
        <v>1.06</v>
      </c>
      <c r="AS767" s="10">
        <f>PRODUCT(Table1820[[#This Row],[Base Rate]:[Rate Change Factor]])</f>
        <v>939.24085208199472</v>
      </c>
      <c r="AT767" s="9">
        <f>Table1820[[#This Row],[System-Generated Premium]]-Table1820[[#This Row],[Expected Premium]]</f>
        <v>0</v>
      </c>
      <c r="AU767" t="str">
        <f>IF(Table1820[[#This Row],[Difference]]=0,"PASS","FAIL")</f>
        <v>PASS</v>
      </c>
      <c r="AV767" s="9">
        <f>ABS(Table1820[[#This Row],[Difference]])</f>
        <v>0</v>
      </c>
      <c r="AW767" s="9" t="s">
        <v>1136</v>
      </c>
    </row>
    <row r="768" spans="1:49" x14ac:dyDescent="0.3">
      <c r="A768" t="s">
        <v>859</v>
      </c>
      <c r="B768" s="7">
        <v>45963</v>
      </c>
      <c r="C768" t="s">
        <v>71</v>
      </c>
      <c r="D768" t="s">
        <v>1099</v>
      </c>
      <c r="E768" s="3">
        <v>7</v>
      </c>
      <c r="F768" s="3">
        <v>3</v>
      </c>
      <c r="G768" t="s">
        <v>10</v>
      </c>
      <c r="H768" t="s">
        <v>1106</v>
      </c>
      <c r="I768" t="s">
        <v>25</v>
      </c>
      <c r="J768" t="s">
        <v>51</v>
      </c>
      <c r="K768" t="s">
        <v>57</v>
      </c>
      <c r="L768" t="s">
        <v>10</v>
      </c>
      <c r="M768" t="s">
        <v>10</v>
      </c>
      <c r="N768" t="s">
        <v>10</v>
      </c>
      <c r="O768" t="str">
        <f>INDEX(CoverageTable[Deductible Applies],MATCH(Table1820[[#This Row],[Coverage]],CoverageTable[Coverage],0))</f>
        <v>Yes</v>
      </c>
      <c r="P768" t="str">
        <f>INDEX(CoverageTable[Coverage Limit Applies],MATCH(Table1820[[#This Row],[Coverage]],CoverageTable[Coverage],0))</f>
        <v>No</v>
      </c>
      <c r="Q768" t="s">
        <v>79</v>
      </c>
      <c r="R768" t="s">
        <v>10</v>
      </c>
      <c r="S768" t="s">
        <v>10</v>
      </c>
      <c r="T768" t="s">
        <v>57</v>
      </c>
      <c r="U768" t="s">
        <v>57</v>
      </c>
      <c r="V768" t="s">
        <v>57</v>
      </c>
      <c r="W768" t="s">
        <v>10</v>
      </c>
      <c r="X768" s="11">
        <v>797.7468004941594</v>
      </c>
      <c r="Y768">
        <f>_xlfn.XLOOKUP(Table1820[[#This Row],[Coverage]],CoverageTable[Coverage],CoverageTable[Base Rate],,0)</f>
        <v>453</v>
      </c>
      <c r="Z768">
        <f>INDEX(Table16[Ageband Factor],MATCH(Table1820[[#This Row],[Ageband]],Table16[Ageband],0))</f>
        <v>1</v>
      </c>
      <c r="AA768">
        <f>VLOOKUP(Table1820[[#This Row],[Years Driving]],Table1[],2)</f>
        <v>0.95</v>
      </c>
      <c r="AB768">
        <f>_xlfn.XLOOKUP(Table1820[[#This Row],[At Fault Accidents]],Table2[At Fault Accidents],Table2[At Fault Accident Factor],,0)</f>
        <v>1.82</v>
      </c>
      <c r="AC768">
        <f>_xlfn.XLOOKUP(Table1820[[#This Row],[Usage-Based Insurance]],Table3[Usage-Based Insurance],Table3[Usage-Based Insurance Discount],,0)</f>
        <v>1</v>
      </c>
      <c r="AD768">
        <f>_xlfn.XLOOKUP(Table1820[[#This Row],[Yearly Miles]],Table4[Yearly Miles],Table4[Yearly Miles Factor],,0)</f>
        <v>0.82</v>
      </c>
      <c r="AE768">
        <f>_xlfn.XLOOKUP(Table1820[[#This Row],[City/Zip Code]],Table5[City/Zip Code],Table5[City/Zip Code Factor],,0)</f>
        <v>1.1599999999999999</v>
      </c>
      <c r="AF768">
        <f>_xlfn.XLOOKUP(Table1820[[#This Row],[Vehicle Price]],Table6[Vehicle Price],Table6[Vehicle Price Factor])</f>
        <v>1.28</v>
      </c>
      <c r="AG768">
        <f>_xlfn.XLOOKUP(Table1820[[#This Row],[Exotic Car]],Table7[Exotic Car],Table7[Exotic Car Factor],,0)</f>
        <v>1.28</v>
      </c>
      <c r="AH768">
        <f>_xlfn.XLOOKUP(Table1820[[#This Row],[Difficult Parts]],Table8[Difficult Parts],Table8[Difficult Parts Factor],,0)</f>
        <v>1</v>
      </c>
      <c r="AI768">
        <f>_xlfn.XLOOKUP(Table1820[[#This Row],[High Theft Rate]],Table9[High Theft Rate],Table9[High Theft Rate Factor],,0)</f>
        <v>1</v>
      </c>
      <c r="AJ768">
        <f>_xlfn.XLOOKUP(Table1820[[#This Row],[Advanced Safety Features]],Table10[Advanced Safety Features],Table10[Advanced Safety Features Factor],,0)</f>
        <v>1</v>
      </c>
      <c r="AK768">
        <f>_xlfn.XLOOKUP(Table1820[[#This Row],[Deductible]],Table12[Deductible],Table12[Deductible Factor],,0)</f>
        <v>0.84</v>
      </c>
      <c r="AL768">
        <f>_xlfn.XLOOKUP(Table1820[[#This Row],[Coverage Limit]],Table13[Coverage Limit],Table13[Coverage Limit Factor],,0)</f>
        <v>1</v>
      </c>
      <c r="AM768">
        <f>IF(Table1820[[#This Row],[Good Student Discount]]="Yes",'Rate Book'!$D$126,1)</f>
        <v>1</v>
      </c>
      <c r="AN768">
        <f>IF(Table1820[[#This Row],[Good Driver Discount]]="Yes",'Rate Book'!$D$127,1)</f>
        <v>0.89</v>
      </c>
      <c r="AO768">
        <f>IF(Table1820[[#This Row],[Multi Policy Discount]]="Yes",'Rate Book'!$D$128,1)</f>
        <v>0.93</v>
      </c>
      <c r="AP768">
        <f>IF(Table1820[[#This Row],[Loyal Customer Discount]]="Yes",'Rate Book'!$D$129,1)</f>
        <v>0.94</v>
      </c>
      <c r="AQ768">
        <f>IF(Table1820[[#This Row],[Organization Discount]]="Yes",'Rate Book'!$D$130,1)</f>
        <v>1</v>
      </c>
      <c r="AR768" cm="1">
        <f t="array" ref="AR768">IF(Table1820[[#This Row],[Effective Date]]&gt;=RateChangeTable[Effective Date],RateChangeTable[Rate Change Factor],1)</f>
        <v>1</v>
      </c>
      <c r="AS768" s="10">
        <f>PRODUCT(Table1820[[#This Row],[Base Rate]:[Rate Change Factor]])</f>
        <v>797.7468004941594</v>
      </c>
      <c r="AT768" s="9">
        <f>Table1820[[#This Row],[System-Generated Premium]]-Table1820[[#This Row],[Expected Premium]]</f>
        <v>0</v>
      </c>
      <c r="AU768" t="str">
        <f>IF(Table1820[[#This Row],[Difference]]=0,"PASS","FAIL")</f>
        <v>PASS</v>
      </c>
      <c r="AV768" s="9">
        <f>ABS(Table1820[[#This Row],[Difference]])</f>
        <v>0</v>
      </c>
      <c r="AW768" s="9" t="s">
        <v>1136</v>
      </c>
    </row>
    <row r="769" spans="1:49" x14ac:dyDescent="0.3">
      <c r="A769" t="s">
        <v>860</v>
      </c>
      <c r="B769" s="7">
        <v>45782</v>
      </c>
      <c r="C769" t="s">
        <v>73</v>
      </c>
      <c r="D769" t="s">
        <v>1101</v>
      </c>
      <c r="E769" s="3">
        <v>4</v>
      </c>
      <c r="F769" s="3">
        <v>3</v>
      </c>
      <c r="G769" t="s">
        <v>12</v>
      </c>
      <c r="H769" t="s">
        <v>1110</v>
      </c>
      <c r="I769" t="s">
        <v>36</v>
      </c>
      <c r="J769" t="s">
        <v>50</v>
      </c>
      <c r="K769" t="s">
        <v>10</v>
      </c>
      <c r="L769" t="s">
        <v>10</v>
      </c>
      <c r="M769" t="s">
        <v>10</v>
      </c>
      <c r="N769" t="s">
        <v>10</v>
      </c>
      <c r="O769" t="str">
        <f>INDEX(CoverageTable[Deductible Applies],MATCH(Table1820[[#This Row],[Coverage]],CoverageTable[Coverage],0))</f>
        <v>No</v>
      </c>
      <c r="P769" t="str">
        <f>INDEX(CoverageTable[Coverage Limit Applies],MATCH(Table1820[[#This Row],[Coverage]],CoverageTable[Coverage],0))</f>
        <v>Yes</v>
      </c>
      <c r="Q769" t="s">
        <v>10</v>
      </c>
      <c r="R769" t="s">
        <v>79</v>
      </c>
      <c r="S769" t="s">
        <v>57</v>
      </c>
      <c r="T769" t="s">
        <v>57</v>
      </c>
      <c r="U769" t="s">
        <v>10</v>
      </c>
      <c r="V769" t="s">
        <v>10</v>
      </c>
      <c r="W769" t="s">
        <v>57</v>
      </c>
      <c r="X769" s="11">
        <v>115.97784430880589</v>
      </c>
      <c r="Y769">
        <f>_xlfn.XLOOKUP(Table1820[[#This Row],[Coverage]],CoverageTable[Coverage],CoverageTable[Base Rate],,0)</f>
        <v>78</v>
      </c>
      <c r="Z769">
        <f>INDEX(Table16[Ageband Factor],MATCH(Table1820[[#This Row],[Ageband]],Table16[Ageband],0))</f>
        <v>1.1200000000000001</v>
      </c>
      <c r="AA769">
        <f>VLOOKUP(Table1820[[#This Row],[Years Driving]],Table1[],2)</f>
        <v>1.1499999999999999</v>
      </c>
      <c r="AB769">
        <f>_xlfn.XLOOKUP(Table1820[[#This Row],[At Fault Accidents]],Table2[At Fault Accidents],Table2[At Fault Accident Factor],,0)</f>
        <v>1.82</v>
      </c>
      <c r="AC769">
        <f>_xlfn.XLOOKUP(Table1820[[#This Row],[Usage-Based Insurance]],Table3[Usage-Based Insurance],Table3[Usage-Based Insurance Discount],,0)</f>
        <v>0.8</v>
      </c>
      <c r="AD769">
        <f>_xlfn.XLOOKUP(Table1820[[#This Row],[Yearly Miles]],Table4[Yearly Miles],Table4[Yearly Miles Factor],,0)</f>
        <v>1.31</v>
      </c>
      <c r="AE769">
        <f>_xlfn.XLOOKUP(Table1820[[#This Row],[City/Zip Code]],Table5[City/Zip Code],Table5[City/Zip Code Factor],,0)</f>
        <v>0.98</v>
      </c>
      <c r="AF769">
        <f>_xlfn.XLOOKUP(Table1820[[#This Row],[Vehicle Price]],Table6[Vehicle Price],Table6[Vehicle Price Factor])</f>
        <v>1.08</v>
      </c>
      <c r="AG769">
        <f>_xlfn.XLOOKUP(Table1820[[#This Row],[Exotic Car]],Table7[Exotic Car],Table7[Exotic Car Factor],,0)</f>
        <v>1</v>
      </c>
      <c r="AH769">
        <f>_xlfn.XLOOKUP(Table1820[[#This Row],[Difficult Parts]],Table8[Difficult Parts],Table8[Difficult Parts Factor],,0)</f>
        <v>1</v>
      </c>
      <c r="AI769">
        <f>_xlfn.XLOOKUP(Table1820[[#This Row],[High Theft Rate]],Table9[High Theft Rate],Table9[High Theft Rate Factor],,0)</f>
        <v>1</v>
      </c>
      <c r="AJ769">
        <f>_xlfn.XLOOKUP(Table1820[[#This Row],[Advanced Safety Features]],Table10[Advanced Safety Features],Table10[Advanced Safety Features Factor],,0)</f>
        <v>1</v>
      </c>
      <c r="AK769">
        <f>_xlfn.XLOOKUP(Table1820[[#This Row],[Deductible]],Table12[Deductible],Table12[Deductible Factor],,0)</f>
        <v>1</v>
      </c>
      <c r="AL769">
        <f>_xlfn.XLOOKUP(Table1820[[#This Row],[Coverage Limit]],Table13[Coverage Limit],Table13[Coverage Limit Factor],,0)</f>
        <v>0.72</v>
      </c>
      <c r="AM769">
        <f>IF(Table1820[[#This Row],[Good Student Discount]]="Yes",'Rate Book'!$D$126,1)</f>
        <v>0.92</v>
      </c>
      <c r="AN769">
        <f>IF(Table1820[[#This Row],[Good Driver Discount]]="Yes",'Rate Book'!$D$127,1)</f>
        <v>0.89</v>
      </c>
      <c r="AO769">
        <f>IF(Table1820[[#This Row],[Multi Policy Discount]]="Yes",'Rate Book'!$D$128,1)</f>
        <v>1</v>
      </c>
      <c r="AP769">
        <f>IF(Table1820[[#This Row],[Loyal Customer Discount]]="Yes",'Rate Book'!$D$129,1)</f>
        <v>1</v>
      </c>
      <c r="AQ769">
        <f>IF(Table1820[[#This Row],[Organization Discount]]="Yes",'Rate Book'!$D$130,1)</f>
        <v>0.97</v>
      </c>
      <c r="AR769" cm="1">
        <f t="array" ref="AR769">IF(Table1820[[#This Row],[Effective Date]]&gt;=RateChangeTable[Effective Date],RateChangeTable[Rate Change Factor],1)</f>
        <v>1</v>
      </c>
      <c r="AS769" s="10">
        <f>PRODUCT(Table1820[[#This Row],[Base Rate]:[Rate Change Factor]])</f>
        <v>115.97784430880589</v>
      </c>
      <c r="AT769" s="9">
        <f>Table1820[[#This Row],[System-Generated Premium]]-Table1820[[#This Row],[Expected Premium]]</f>
        <v>0</v>
      </c>
      <c r="AU769" t="str">
        <f>IF(Table1820[[#This Row],[Difference]]=0,"PASS","FAIL")</f>
        <v>PASS</v>
      </c>
      <c r="AV769" s="9">
        <f>ABS(Table1820[[#This Row],[Difference]])</f>
        <v>0</v>
      </c>
      <c r="AW769" s="9" t="s">
        <v>1136</v>
      </c>
    </row>
    <row r="770" spans="1:49" x14ac:dyDescent="0.3">
      <c r="A770" t="s">
        <v>861</v>
      </c>
      <c r="B770" s="7">
        <v>45900</v>
      </c>
      <c r="C770" t="s">
        <v>71</v>
      </c>
      <c r="D770" t="s">
        <v>1099</v>
      </c>
      <c r="E770" s="3">
        <v>1</v>
      </c>
      <c r="F770" s="3">
        <v>0</v>
      </c>
      <c r="G770" t="s">
        <v>13</v>
      </c>
      <c r="H770" t="s">
        <v>1108</v>
      </c>
      <c r="I770" t="s">
        <v>32</v>
      </c>
      <c r="J770" t="s">
        <v>51</v>
      </c>
      <c r="K770" t="s">
        <v>57</v>
      </c>
      <c r="L770" t="s">
        <v>10</v>
      </c>
      <c r="M770" t="s">
        <v>10</v>
      </c>
      <c r="N770" t="s">
        <v>57</v>
      </c>
      <c r="O770" t="str">
        <f>INDEX(CoverageTable[Deductible Applies],MATCH(Table1820[[#This Row],[Coverage]],CoverageTable[Coverage],0))</f>
        <v>Yes</v>
      </c>
      <c r="P770" t="str">
        <f>INDEX(CoverageTable[Coverage Limit Applies],MATCH(Table1820[[#This Row],[Coverage]],CoverageTable[Coverage],0))</f>
        <v>No</v>
      </c>
      <c r="Q770" t="s">
        <v>79</v>
      </c>
      <c r="R770" t="s">
        <v>10</v>
      </c>
      <c r="S770" t="s">
        <v>57</v>
      </c>
      <c r="T770" t="s">
        <v>10</v>
      </c>
      <c r="U770" t="s">
        <v>57</v>
      </c>
      <c r="V770" t="s">
        <v>10</v>
      </c>
      <c r="W770" t="s">
        <v>10</v>
      </c>
      <c r="X770" s="11">
        <v>560.43610073273999</v>
      </c>
      <c r="Y770">
        <f>_xlfn.XLOOKUP(Table1820[[#This Row],[Coverage]],CoverageTable[Coverage],CoverageTable[Base Rate],,0)</f>
        <v>453</v>
      </c>
      <c r="Z770">
        <f>INDEX(Table16[Ageband Factor],MATCH(Table1820[[#This Row],[Ageband]],Table16[Ageband],0))</f>
        <v>1</v>
      </c>
      <c r="AA770">
        <f>VLOOKUP(Table1820[[#This Row],[Years Driving]],Table1[],2)</f>
        <v>1.64</v>
      </c>
      <c r="AB770">
        <f>_xlfn.XLOOKUP(Table1820[[#This Row],[At Fault Accidents]],Table2[At Fault Accidents],Table2[At Fault Accident Factor],,0)</f>
        <v>1</v>
      </c>
      <c r="AC770">
        <f>_xlfn.XLOOKUP(Table1820[[#This Row],[Usage-Based Insurance]],Table3[Usage-Based Insurance],Table3[Usage-Based Insurance Discount],,0)</f>
        <v>0.65</v>
      </c>
      <c r="AD770">
        <f>_xlfn.XLOOKUP(Table1820[[#This Row],[Yearly Miles]],Table4[Yearly Miles],Table4[Yearly Miles Factor],,0)</f>
        <v>1</v>
      </c>
      <c r="AE770">
        <f>_xlfn.XLOOKUP(Table1820[[#This Row],[City/Zip Code]],Table5[City/Zip Code],Table5[City/Zip Code Factor],,0)</f>
        <v>1.1200000000000001</v>
      </c>
      <c r="AF770">
        <f>_xlfn.XLOOKUP(Table1820[[#This Row],[Vehicle Price]],Table6[Vehicle Price],Table6[Vehicle Price Factor])</f>
        <v>1.28</v>
      </c>
      <c r="AG770">
        <f>_xlfn.XLOOKUP(Table1820[[#This Row],[Exotic Car]],Table7[Exotic Car],Table7[Exotic Car Factor],,0)</f>
        <v>1.28</v>
      </c>
      <c r="AH770">
        <f>_xlfn.XLOOKUP(Table1820[[#This Row],[Difficult Parts]],Table8[Difficult Parts],Table8[Difficult Parts Factor],,0)</f>
        <v>1</v>
      </c>
      <c r="AI770">
        <f>_xlfn.XLOOKUP(Table1820[[#This Row],[High Theft Rate]],Table9[High Theft Rate],Table9[High Theft Rate Factor],,0)</f>
        <v>1</v>
      </c>
      <c r="AJ770">
        <f>_xlfn.XLOOKUP(Table1820[[#This Row],[Advanced Safety Features]],Table10[Advanced Safety Features],Table10[Advanced Safety Features Factor],,0)</f>
        <v>0.88</v>
      </c>
      <c r="AK770">
        <f>_xlfn.XLOOKUP(Table1820[[#This Row],[Deductible]],Table12[Deductible],Table12[Deductible Factor],,0)</f>
        <v>0.84</v>
      </c>
      <c r="AL770">
        <f>_xlfn.XLOOKUP(Table1820[[#This Row],[Coverage Limit]],Table13[Coverage Limit],Table13[Coverage Limit Factor],,0)</f>
        <v>1</v>
      </c>
      <c r="AM770">
        <f>IF(Table1820[[#This Row],[Good Student Discount]]="Yes",'Rate Book'!$D$126,1)</f>
        <v>0.92</v>
      </c>
      <c r="AN770">
        <f>IF(Table1820[[#This Row],[Good Driver Discount]]="Yes",'Rate Book'!$D$127,1)</f>
        <v>1</v>
      </c>
      <c r="AO770">
        <f>IF(Table1820[[#This Row],[Multi Policy Discount]]="Yes",'Rate Book'!$D$128,1)</f>
        <v>0.93</v>
      </c>
      <c r="AP770">
        <f>IF(Table1820[[#This Row],[Loyal Customer Discount]]="Yes",'Rate Book'!$D$129,1)</f>
        <v>1</v>
      </c>
      <c r="AQ770">
        <f>IF(Table1820[[#This Row],[Organization Discount]]="Yes",'Rate Book'!$D$130,1)</f>
        <v>1</v>
      </c>
      <c r="AR770" cm="1">
        <f t="array" ref="AR770">IF(Table1820[[#This Row],[Effective Date]]&gt;=RateChangeTable[Effective Date],RateChangeTable[Rate Change Factor],1)</f>
        <v>1</v>
      </c>
      <c r="AS770" s="10">
        <f>PRODUCT(Table1820[[#This Row],[Base Rate]:[Rate Change Factor]])</f>
        <v>560.43610073273999</v>
      </c>
      <c r="AT770" s="9">
        <f>Table1820[[#This Row],[System-Generated Premium]]-Table1820[[#This Row],[Expected Premium]]</f>
        <v>0</v>
      </c>
      <c r="AU770" t="str">
        <f>IF(Table1820[[#This Row],[Difference]]=0,"PASS","FAIL")</f>
        <v>PASS</v>
      </c>
      <c r="AV770" s="9">
        <f>ABS(Table1820[[#This Row],[Difference]])</f>
        <v>0</v>
      </c>
      <c r="AW770" s="9" t="s">
        <v>1136</v>
      </c>
    </row>
    <row r="771" spans="1:49" x14ac:dyDescent="0.3">
      <c r="A771" t="s">
        <v>862</v>
      </c>
      <c r="B771" s="7">
        <v>46063</v>
      </c>
      <c r="C771" t="s">
        <v>70</v>
      </c>
      <c r="D771" t="s">
        <v>1100</v>
      </c>
      <c r="E771" s="3">
        <v>5</v>
      </c>
      <c r="F771" s="3">
        <v>3</v>
      </c>
      <c r="G771" t="s">
        <v>10</v>
      </c>
      <c r="H771" t="s">
        <v>1108</v>
      </c>
      <c r="I771" t="s">
        <v>22</v>
      </c>
      <c r="J771" t="s">
        <v>49</v>
      </c>
      <c r="K771" t="s">
        <v>10</v>
      </c>
      <c r="L771" t="s">
        <v>10</v>
      </c>
      <c r="M771" t="s">
        <v>10</v>
      </c>
      <c r="N771" t="s">
        <v>10</v>
      </c>
      <c r="O771" t="str">
        <f>INDEX(CoverageTable[Deductible Applies],MATCH(Table1820[[#This Row],[Coverage]],CoverageTable[Coverage],0))</f>
        <v>No</v>
      </c>
      <c r="P771" t="str">
        <f>INDEX(CoverageTable[Coverage Limit Applies],MATCH(Table1820[[#This Row],[Coverage]],CoverageTable[Coverage],0))</f>
        <v>Yes</v>
      </c>
      <c r="Q771" t="s">
        <v>10</v>
      </c>
      <c r="R771" t="s">
        <v>79</v>
      </c>
      <c r="S771" t="s">
        <v>10</v>
      </c>
      <c r="T771" t="s">
        <v>10</v>
      </c>
      <c r="U771" t="s">
        <v>57</v>
      </c>
      <c r="V771" t="s">
        <v>10</v>
      </c>
      <c r="W771" t="s">
        <v>10</v>
      </c>
      <c r="X771" s="11">
        <v>1079.711539315965</v>
      </c>
      <c r="Y771">
        <f>_xlfn.XLOOKUP(Table1820[[#This Row],[Coverage]],CoverageTable[Coverage],CoverageTable[Base Rate],,0)</f>
        <v>622</v>
      </c>
      <c r="Z771">
        <f>INDEX(Table16[Ageband Factor],MATCH(Table1820[[#This Row],[Ageband]],Table16[Ageband],0))</f>
        <v>1.07</v>
      </c>
      <c r="AA771">
        <f>VLOOKUP(Table1820[[#This Row],[Years Driving]],Table1[],2)</f>
        <v>1.07</v>
      </c>
      <c r="AB771">
        <f>_xlfn.XLOOKUP(Table1820[[#This Row],[At Fault Accidents]],Table2[At Fault Accidents],Table2[At Fault Accident Factor],,0)</f>
        <v>1.82</v>
      </c>
      <c r="AC771">
        <f>_xlfn.XLOOKUP(Table1820[[#This Row],[Usage-Based Insurance]],Table3[Usage-Based Insurance],Table3[Usage-Based Insurance Discount],,0)</f>
        <v>1</v>
      </c>
      <c r="AD771">
        <f>_xlfn.XLOOKUP(Table1820[[#This Row],[Yearly Miles]],Table4[Yearly Miles],Table4[Yearly Miles Factor],,0)</f>
        <v>1</v>
      </c>
      <c r="AE771">
        <f>_xlfn.XLOOKUP(Table1820[[#This Row],[City/Zip Code]],Table5[City/Zip Code],Table5[City/Zip Code Factor],,0)</f>
        <v>1.21</v>
      </c>
      <c r="AF771">
        <f>_xlfn.XLOOKUP(Table1820[[#This Row],[Vehicle Price]],Table6[Vehicle Price],Table6[Vehicle Price Factor])</f>
        <v>0.97</v>
      </c>
      <c r="AG771">
        <f>_xlfn.XLOOKUP(Table1820[[#This Row],[Exotic Car]],Table7[Exotic Car],Table7[Exotic Car Factor],,0)</f>
        <v>1</v>
      </c>
      <c r="AH771">
        <f>_xlfn.XLOOKUP(Table1820[[#This Row],[Difficult Parts]],Table8[Difficult Parts],Table8[Difficult Parts Factor],,0)</f>
        <v>1</v>
      </c>
      <c r="AI771">
        <f>_xlfn.XLOOKUP(Table1820[[#This Row],[High Theft Rate]],Table9[High Theft Rate],Table9[High Theft Rate Factor],,0)</f>
        <v>1</v>
      </c>
      <c r="AJ771">
        <f>_xlfn.XLOOKUP(Table1820[[#This Row],[Advanced Safety Features]],Table10[Advanced Safety Features],Table10[Advanced Safety Features Factor],,0)</f>
        <v>1</v>
      </c>
      <c r="AK771">
        <f>_xlfn.XLOOKUP(Table1820[[#This Row],[Deductible]],Table12[Deductible],Table12[Deductible Factor],,0)</f>
        <v>1</v>
      </c>
      <c r="AL771">
        <f>_xlfn.XLOOKUP(Table1820[[#This Row],[Coverage Limit]],Table13[Coverage Limit],Table13[Coverage Limit Factor],,0)</f>
        <v>0.72</v>
      </c>
      <c r="AM771">
        <f>IF(Table1820[[#This Row],[Good Student Discount]]="Yes",'Rate Book'!$D$126,1)</f>
        <v>1</v>
      </c>
      <c r="AN771">
        <f>IF(Table1820[[#This Row],[Good Driver Discount]]="Yes",'Rate Book'!$D$127,1)</f>
        <v>1</v>
      </c>
      <c r="AO771">
        <f>IF(Table1820[[#This Row],[Multi Policy Discount]]="Yes",'Rate Book'!$D$128,1)</f>
        <v>0.93</v>
      </c>
      <c r="AP771">
        <f>IF(Table1820[[#This Row],[Loyal Customer Discount]]="Yes",'Rate Book'!$D$129,1)</f>
        <v>1</v>
      </c>
      <c r="AQ771">
        <f>IF(Table1820[[#This Row],[Organization Discount]]="Yes",'Rate Book'!$D$130,1)</f>
        <v>1</v>
      </c>
      <c r="AR771" cm="1">
        <f t="array" ref="AR771">IF(Table1820[[#This Row],[Effective Date]]&gt;=RateChangeTable[Effective Date],RateChangeTable[Rate Change Factor],1)</f>
        <v>1.06</v>
      </c>
      <c r="AS771" s="10">
        <f>PRODUCT(Table1820[[#This Row],[Base Rate]:[Rate Change Factor]])</f>
        <v>1079.711539315965</v>
      </c>
      <c r="AT771" s="9">
        <f>Table1820[[#This Row],[System-Generated Premium]]-Table1820[[#This Row],[Expected Premium]]</f>
        <v>0</v>
      </c>
      <c r="AU771" t="str">
        <f>IF(Table1820[[#This Row],[Difference]]=0,"PASS","FAIL")</f>
        <v>PASS</v>
      </c>
      <c r="AV771" s="9">
        <f>ABS(Table1820[[#This Row],[Difference]])</f>
        <v>0</v>
      </c>
      <c r="AW771" s="9" t="s">
        <v>1136</v>
      </c>
    </row>
    <row r="772" spans="1:49" x14ac:dyDescent="0.3">
      <c r="A772" t="s">
        <v>863</v>
      </c>
      <c r="B772" s="7">
        <v>45916</v>
      </c>
      <c r="C772" t="s">
        <v>70</v>
      </c>
      <c r="D772" t="s">
        <v>1102</v>
      </c>
      <c r="E772" s="3">
        <v>1</v>
      </c>
      <c r="F772" s="3">
        <v>1</v>
      </c>
      <c r="G772" t="s">
        <v>10</v>
      </c>
      <c r="H772" t="s">
        <v>1109</v>
      </c>
      <c r="I772" t="s">
        <v>38</v>
      </c>
      <c r="J772" t="s">
        <v>48</v>
      </c>
      <c r="K772" t="s">
        <v>57</v>
      </c>
      <c r="L772" t="s">
        <v>10</v>
      </c>
      <c r="M772" t="s">
        <v>10</v>
      </c>
      <c r="N772" t="s">
        <v>10</v>
      </c>
      <c r="O772" t="str">
        <f>INDEX(CoverageTable[Deductible Applies],MATCH(Table1820[[#This Row],[Coverage]],CoverageTable[Coverage],0))</f>
        <v>No</v>
      </c>
      <c r="P772" t="str">
        <f>INDEX(CoverageTable[Coverage Limit Applies],MATCH(Table1820[[#This Row],[Coverage]],CoverageTable[Coverage],0))</f>
        <v>Yes</v>
      </c>
      <c r="Q772" t="s">
        <v>10</v>
      </c>
      <c r="R772" t="s">
        <v>80</v>
      </c>
      <c r="S772" t="s">
        <v>10</v>
      </c>
      <c r="T772" t="s">
        <v>57</v>
      </c>
      <c r="U772" t="s">
        <v>57</v>
      </c>
      <c r="V772" t="s">
        <v>10</v>
      </c>
      <c r="W772" t="s">
        <v>10</v>
      </c>
      <c r="X772" s="11">
        <v>1674.2443627681291</v>
      </c>
      <c r="Y772">
        <f>_xlfn.XLOOKUP(Table1820[[#This Row],[Coverage]],CoverageTable[Coverage],CoverageTable[Base Rate],,0)</f>
        <v>622</v>
      </c>
      <c r="Z772">
        <f>INDEX(Table16[Ageband Factor],MATCH(Table1820[[#This Row],[Ageband]],Table16[Ageband],0))</f>
        <v>1.27</v>
      </c>
      <c r="AA772">
        <f>VLOOKUP(Table1820[[#This Row],[Years Driving]],Table1[],2)</f>
        <v>1.64</v>
      </c>
      <c r="AB772">
        <f>_xlfn.XLOOKUP(Table1820[[#This Row],[At Fault Accidents]],Table2[At Fault Accidents],Table2[At Fault Accident Factor],,0)</f>
        <v>1.34</v>
      </c>
      <c r="AC772">
        <f>_xlfn.XLOOKUP(Table1820[[#This Row],[Usage-Based Insurance]],Table3[Usage-Based Insurance],Table3[Usage-Based Insurance Discount],,0)</f>
        <v>1</v>
      </c>
      <c r="AD772">
        <f>_xlfn.XLOOKUP(Table1820[[#This Row],[Yearly Miles]],Table4[Yearly Miles],Table4[Yearly Miles Factor],,0)</f>
        <v>1.18</v>
      </c>
      <c r="AE772">
        <f>_xlfn.XLOOKUP(Table1820[[#This Row],[City/Zip Code]],Table5[City/Zip Code],Table5[City/Zip Code Factor],,0)</f>
        <v>1.1200000000000001</v>
      </c>
      <c r="AF772">
        <f>_xlfn.XLOOKUP(Table1820[[#This Row],[Vehicle Price]],Table6[Vehicle Price],Table6[Vehicle Price Factor])</f>
        <v>0.82</v>
      </c>
      <c r="AG772">
        <f>_xlfn.XLOOKUP(Table1820[[#This Row],[Exotic Car]],Table7[Exotic Car],Table7[Exotic Car Factor],,0)</f>
        <v>1.28</v>
      </c>
      <c r="AH772">
        <f>_xlfn.XLOOKUP(Table1820[[#This Row],[Difficult Parts]],Table8[Difficult Parts],Table8[Difficult Parts Factor],,0)</f>
        <v>1</v>
      </c>
      <c r="AI772">
        <f>_xlfn.XLOOKUP(Table1820[[#This Row],[High Theft Rate]],Table9[High Theft Rate],Table9[High Theft Rate Factor],,0)</f>
        <v>1</v>
      </c>
      <c r="AJ772">
        <f>_xlfn.XLOOKUP(Table1820[[#This Row],[Advanced Safety Features]],Table10[Advanced Safety Features],Table10[Advanced Safety Features Factor],,0)</f>
        <v>1</v>
      </c>
      <c r="AK772">
        <f>_xlfn.XLOOKUP(Table1820[[#This Row],[Deductible]],Table12[Deductible],Table12[Deductible Factor],,0)</f>
        <v>1</v>
      </c>
      <c r="AL772">
        <f>_xlfn.XLOOKUP(Table1820[[#This Row],[Coverage Limit]],Table13[Coverage Limit],Table13[Coverage Limit Factor],,0)</f>
        <v>0.84</v>
      </c>
      <c r="AM772">
        <f>IF(Table1820[[#This Row],[Good Student Discount]]="Yes",'Rate Book'!$D$126,1)</f>
        <v>1</v>
      </c>
      <c r="AN772">
        <f>IF(Table1820[[#This Row],[Good Driver Discount]]="Yes",'Rate Book'!$D$127,1)</f>
        <v>0.89</v>
      </c>
      <c r="AO772">
        <f>IF(Table1820[[#This Row],[Multi Policy Discount]]="Yes",'Rate Book'!$D$128,1)</f>
        <v>0.93</v>
      </c>
      <c r="AP772">
        <f>IF(Table1820[[#This Row],[Loyal Customer Discount]]="Yes",'Rate Book'!$D$129,1)</f>
        <v>1</v>
      </c>
      <c r="AQ772">
        <f>IF(Table1820[[#This Row],[Organization Discount]]="Yes",'Rate Book'!$D$130,1)</f>
        <v>1</v>
      </c>
      <c r="AR772" cm="1">
        <f t="array" ref="AR772">IF(Table1820[[#This Row],[Effective Date]]&gt;=RateChangeTable[Effective Date],RateChangeTable[Rate Change Factor],1)</f>
        <v>1</v>
      </c>
      <c r="AS772" s="10">
        <f>PRODUCT(Table1820[[#This Row],[Base Rate]:[Rate Change Factor]])</f>
        <v>1674.2443627681291</v>
      </c>
      <c r="AT772" s="9">
        <f>Table1820[[#This Row],[System-Generated Premium]]-Table1820[[#This Row],[Expected Premium]]</f>
        <v>0</v>
      </c>
      <c r="AU772" t="str">
        <f>IF(Table1820[[#This Row],[Difference]]=0,"PASS","FAIL")</f>
        <v>PASS</v>
      </c>
      <c r="AV772" s="9">
        <f>ABS(Table1820[[#This Row],[Difference]])</f>
        <v>0</v>
      </c>
      <c r="AW772" s="9" t="s">
        <v>1136</v>
      </c>
    </row>
    <row r="773" spans="1:49" x14ac:dyDescent="0.3">
      <c r="A773" t="s">
        <v>864</v>
      </c>
      <c r="B773" s="7">
        <v>45805</v>
      </c>
      <c r="C773" t="s">
        <v>71</v>
      </c>
      <c r="D773" t="s">
        <v>1101</v>
      </c>
      <c r="E773" s="3" t="s">
        <v>1103</v>
      </c>
      <c r="F773" s="3">
        <v>4</v>
      </c>
      <c r="G773" t="s">
        <v>11</v>
      </c>
      <c r="H773" t="s">
        <v>1106</v>
      </c>
      <c r="I773" t="s">
        <v>28</v>
      </c>
      <c r="J773" t="s">
        <v>49</v>
      </c>
      <c r="K773" t="s">
        <v>10</v>
      </c>
      <c r="L773" t="s">
        <v>10</v>
      </c>
      <c r="M773" t="s">
        <v>57</v>
      </c>
      <c r="N773" t="s">
        <v>57</v>
      </c>
      <c r="O773" t="str">
        <f>INDEX(CoverageTable[Deductible Applies],MATCH(Table1820[[#This Row],[Coverage]],CoverageTable[Coverage],0))</f>
        <v>Yes</v>
      </c>
      <c r="P773" t="str">
        <f>INDEX(CoverageTable[Coverage Limit Applies],MATCH(Table1820[[#This Row],[Coverage]],CoverageTable[Coverage],0))</f>
        <v>No</v>
      </c>
      <c r="Q773" t="s">
        <v>78</v>
      </c>
      <c r="R773" t="s">
        <v>10</v>
      </c>
      <c r="S773" t="s">
        <v>57</v>
      </c>
      <c r="T773" t="s">
        <v>57</v>
      </c>
      <c r="U773" t="s">
        <v>10</v>
      </c>
      <c r="V773" t="s">
        <v>10</v>
      </c>
      <c r="W773" t="s">
        <v>10</v>
      </c>
      <c r="X773" s="11">
        <v>570.17731173879667</v>
      </c>
      <c r="Y773">
        <f>_xlfn.XLOOKUP(Table1820[[#This Row],[Coverage]],CoverageTable[Coverage],CoverageTable[Base Rate],,0)</f>
        <v>453</v>
      </c>
      <c r="Z773">
        <f>INDEX(Table16[Ageband Factor],MATCH(Table1820[[#This Row],[Ageband]],Table16[Ageband],0))</f>
        <v>1.1200000000000001</v>
      </c>
      <c r="AA773">
        <f>VLOOKUP(Table1820[[#This Row],[Years Driving]],Table1[],2)</f>
        <v>0.93</v>
      </c>
      <c r="AB773">
        <f>_xlfn.XLOOKUP(Table1820[[#This Row],[At Fault Accidents]],Table2[At Fault Accidents],Table2[At Fault Accident Factor],,0)</f>
        <v>2.12</v>
      </c>
      <c r="AC773">
        <f>_xlfn.XLOOKUP(Table1820[[#This Row],[Usage-Based Insurance]],Table3[Usage-Based Insurance],Table3[Usage-Based Insurance Discount],,0)</f>
        <v>0.95</v>
      </c>
      <c r="AD773">
        <f>_xlfn.XLOOKUP(Table1820[[#This Row],[Yearly Miles]],Table4[Yearly Miles],Table4[Yearly Miles Factor],,0)</f>
        <v>0.82</v>
      </c>
      <c r="AE773">
        <f>_xlfn.XLOOKUP(Table1820[[#This Row],[City/Zip Code]],Table5[City/Zip Code],Table5[City/Zip Code Factor],,0)</f>
        <v>0.95</v>
      </c>
      <c r="AF773">
        <f>_xlfn.XLOOKUP(Table1820[[#This Row],[Vehicle Price]],Table6[Vehicle Price],Table6[Vehicle Price Factor])</f>
        <v>0.97</v>
      </c>
      <c r="AG773">
        <f>_xlfn.XLOOKUP(Table1820[[#This Row],[Exotic Car]],Table7[Exotic Car],Table7[Exotic Car Factor],,0)</f>
        <v>1</v>
      </c>
      <c r="AH773">
        <f>_xlfn.XLOOKUP(Table1820[[#This Row],[Difficult Parts]],Table8[Difficult Parts],Table8[Difficult Parts Factor],,0)</f>
        <v>1</v>
      </c>
      <c r="AI773">
        <f>_xlfn.XLOOKUP(Table1820[[#This Row],[High Theft Rate]],Table9[High Theft Rate],Table9[High Theft Rate Factor],,0)</f>
        <v>1.1599999999999999</v>
      </c>
      <c r="AJ773">
        <f>_xlfn.XLOOKUP(Table1820[[#This Row],[Advanced Safety Features]],Table10[Advanced Safety Features],Table10[Advanced Safety Features Factor],,0)</f>
        <v>0.88</v>
      </c>
      <c r="AK773">
        <f>_xlfn.XLOOKUP(Table1820[[#This Row],[Deductible]],Table12[Deductible],Table12[Deductible Factor],,0)</f>
        <v>0.95</v>
      </c>
      <c r="AL773">
        <f>_xlfn.XLOOKUP(Table1820[[#This Row],[Coverage Limit]],Table13[Coverage Limit],Table13[Coverage Limit Factor],,0)</f>
        <v>1</v>
      </c>
      <c r="AM773">
        <f>IF(Table1820[[#This Row],[Good Student Discount]]="Yes",'Rate Book'!$D$126,1)</f>
        <v>0.92</v>
      </c>
      <c r="AN773">
        <f>IF(Table1820[[#This Row],[Good Driver Discount]]="Yes",'Rate Book'!$D$127,1)</f>
        <v>0.89</v>
      </c>
      <c r="AO773">
        <f>IF(Table1820[[#This Row],[Multi Policy Discount]]="Yes",'Rate Book'!$D$128,1)</f>
        <v>1</v>
      </c>
      <c r="AP773">
        <f>IF(Table1820[[#This Row],[Loyal Customer Discount]]="Yes",'Rate Book'!$D$129,1)</f>
        <v>1</v>
      </c>
      <c r="AQ773">
        <f>IF(Table1820[[#This Row],[Organization Discount]]="Yes",'Rate Book'!$D$130,1)</f>
        <v>1</v>
      </c>
      <c r="AR773" cm="1">
        <f t="array" ref="AR773">IF(Table1820[[#This Row],[Effective Date]]&gt;=RateChangeTable[Effective Date],RateChangeTable[Rate Change Factor],1)</f>
        <v>1</v>
      </c>
      <c r="AS773" s="10">
        <f>PRODUCT(Table1820[[#This Row],[Base Rate]:[Rate Change Factor]])</f>
        <v>570.17731173879667</v>
      </c>
      <c r="AT773" s="9">
        <f>Table1820[[#This Row],[System-Generated Premium]]-Table1820[[#This Row],[Expected Premium]]</f>
        <v>0</v>
      </c>
      <c r="AU773" t="str">
        <f>IF(Table1820[[#This Row],[Difference]]=0,"PASS","FAIL")</f>
        <v>PASS</v>
      </c>
      <c r="AV773" s="9">
        <f>ABS(Table1820[[#This Row],[Difference]])</f>
        <v>0</v>
      </c>
      <c r="AW773" s="9" t="s">
        <v>1136</v>
      </c>
    </row>
    <row r="774" spans="1:49" x14ac:dyDescent="0.3">
      <c r="A774" t="s">
        <v>865</v>
      </c>
      <c r="B774" s="7">
        <v>45988</v>
      </c>
      <c r="C774" t="s">
        <v>70</v>
      </c>
      <c r="D774" t="s">
        <v>1102</v>
      </c>
      <c r="E774" s="3">
        <v>4</v>
      </c>
      <c r="F774" s="3">
        <v>4</v>
      </c>
      <c r="G774" t="s">
        <v>10</v>
      </c>
      <c r="H774" t="s">
        <v>1108</v>
      </c>
      <c r="I774" t="s">
        <v>25</v>
      </c>
      <c r="J774" t="s">
        <v>53</v>
      </c>
      <c r="K774" t="s">
        <v>10</v>
      </c>
      <c r="L774" t="s">
        <v>57</v>
      </c>
      <c r="M774" t="s">
        <v>10</v>
      </c>
      <c r="N774" t="s">
        <v>57</v>
      </c>
      <c r="O774" t="str">
        <f>INDEX(CoverageTable[Deductible Applies],MATCH(Table1820[[#This Row],[Coverage]],CoverageTable[Coverage],0))</f>
        <v>No</v>
      </c>
      <c r="P774" t="str">
        <f>INDEX(CoverageTable[Coverage Limit Applies],MATCH(Table1820[[#This Row],[Coverage]],CoverageTable[Coverage],0))</f>
        <v>Yes</v>
      </c>
      <c r="Q774" t="s">
        <v>10</v>
      </c>
      <c r="R774" t="s">
        <v>78</v>
      </c>
      <c r="S774" t="s">
        <v>10</v>
      </c>
      <c r="T774" t="s">
        <v>10</v>
      </c>
      <c r="U774" t="s">
        <v>10</v>
      </c>
      <c r="V774" t="s">
        <v>57</v>
      </c>
      <c r="W774" t="s">
        <v>10</v>
      </c>
      <c r="X774" s="11">
        <v>2755.261962754968</v>
      </c>
      <c r="Y774">
        <f>_xlfn.XLOOKUP(Table1820[[#This Row],[Coverage]],CoverageTable[Coverage],CoverageTable[Base Rate],,0)</f>
        <v>622</v>
      </c>
      <c r="Z774">
        <f>INDEX(Table16[Ageband Factor],MATCH(Table1820[[#This Row],[Ageband]],Table16[Ageband],0))</f>
        <v>1.27</v>
      </c>
      <c r="AA774">
        <f>VLOOKUP(Table1820[[#This Row],[Years Driving]],Table1[],2)</f>
        <v>1.1499999999999999</v>
      </c>
      <c r="AB774">
        <f>_xlfn.XLOOKUP(Table1820[[#This Row],[At Fault Accidents]],Table2[At Fault Accidents],Table2[At Fault Accident Factor],,0)</f>
        <v>2.12</v>
      </c>
      <c r="AC774">
        <f>_xlfn.XLOOKUP(Table1820[[#This Row],[Usage-Based Insurance]],Table3[Usage-Based Insurance],Table3[Usage-Based Insurance Discount],,0)</f>
        <v>1</v>
      </c>
      <c r="AD774">
        <f>_xlfn.XLOOKUP(Table1820[[#This Row],[Yearly Miles]],Table4[Yearly Miles],Table4[Yearly Miles Factor],,0)</f>
        <v>1</v>
      </c>
      <c r="AE774">
        <f>_xlfn.XLOOKUP(Table1820[[#This Row],[City/Zip Code]],Table5[City/Zip Code],Table5[City/Zip Code Factor],,0)</f>
        <v>1.1599999999999999</v>
      </c>
      <c r="AF774">
        <f>_xlfn.XLOOKUP(Table1820[[#This Row],[Vehicle Price]],Table6[Vehicle Price],Table6[Vehicle Price Factor])</f>
        <v>2.02</v>
      </c>
      <c r="AG774">
        <f>_xlfn.XLOOKUP(Table1820[[#This Row],[Exotic Car]],Table7[Exotic Car],Table7[Exotic Car Factor],,0)</f>
        <v>1</v>
      </c>
      <c r="AH774">
        <f>_xlfn.XLOOKUP(Table1820[[#This Row],[Difficult Parts]],Table8[Difficult Parts],Table8[Difficult Parts Factor],,0)</f>
        <v>1.21</v>
      </c>
      <c r="AI774">
        <f>_xlfn.XLOOKUP(Table1820[[#This Row],[High Theft Rate]],Table9[High Theft Rate],Table9[High Theft Rate Factor],,0)</f>
        <v>1</v>
      </c>
      <c r="AJ774">
        <f>_xlfn.XLOOKUP(Table1820[[#This Row],[Advanced Safety Features]],Table10[Advanced Safety Features],Table10[Advanced Safety Features Factor],,0)</f>
        <v>0.88</v>
      </c>
      <c r="AK774">
        <f>_xlfn.XLOOKUP(Table1820[[#This Row],[Deductible]],Table12[Deductible],Table12[Deductible Factor],,0)</f>
        <v>1</v>
      </c>
      <c r="AL774">
        <f>_xlfn.XLOOKUP(Table1820[[#This Row],[Coverage Limit]],Table13[Coverage Limit],Table13[Coverage Limit Factor],,0)</f>
        <v>0.61</v>
      </c>
      <c r="AM774">
        <f>IF(Table1820[[#This Row],[Good Student Discount]]="Yes",'Rate Book'!$D$126,1)</f>
        <v>1</v>
      </c>
      <c r="AN774">
        <f>IF(Table1820[[#This Row],[Good Driver Discount]]="Yes",'Rate Book'!$D$127,1)</f>
        <v>1</v>
      </c>
      <c r="AO774">
        <f>IF(Table1820[[#This Row],[Multi Policy Discount]]="Yes",'Rate Book'!$D$128,1)</f>
        <v>1</v>
      </c>
      <c r="AP774">
        <f>IF(Table1820[[#This Row],[Loyal Customer Discount]]="Yes",'Rate Book'!$D$129,1)</f>
        <v>0.94</v>
      </c>
      <c r="AQ774">
        <f>IF(Table1820[[#This Row],[Organization Discount]]="Yes",'Rate Book'!$D$130,1)</f>
        <v>1</v>
      </c>
      <c r="AR774" cm="1">
        <f t="array" ref="AR774">IF(Table1820[[#This Row],[Effective Date]]&gt;=RateChangeTable[Effective Date],RateChangeTable[Rate Change Factor],1)</f>
        <v>1</v>
      </c>
      <c r="AS774" s="10">
        <f>PRODUCT(Table1820[[#This Row],[Base Rate]:[Rate Change Factor]])</f>
        <v>2755.261962754968</v>
      </c>
      <c r="AT774" s="9">
        <f>Table1820[[#This Row],[System-Generated Premium]]-Table1820[[#This Row],[Expected Premium]]</f>
        <v>0</v>
      </c>
      <c r="AU774" t="str">
        <f>IF(Table1820[[#This Row],[Difference]]=0,"PASS","FAIL")</f>
        <v>PASS</v>
      </c>
      <c r="AV774" s="9">
        <f>ABS(Table1820[[#This Row],[Difference]])</f>
        <v>0</v>
      </c>
      <c r="AW774" s="9" t="s">
        <v>1136</v>
      </c>
    </row>
    <row r="775" spans="1:49" x14ac:dyDescent="0.3">
      <c r="A775" t="s">
        <v>866</v>
      </c>
      <c r="B775" s="7">
        <v>46008</v>
      </c>
      <c r="C775" t="s">
        <v>70</v>
      </c>
      <c r="D775" t="s">
        <v>1102</v>
      </c>
      <c r="E775" s="3">
        <v>5</v>
      </c>
      <c r="F775" s="3">
        <v>1</v>
      </c>
      <c r="G775" t="s">
        <v>10</v>
      </c>
      <c r="H775" t="s">
        <v>1108</v>
      </c>
      <c r="I775" t="s">
        <v>25</v>
      </c>
      <c r="J775" t="s">
        <v>53</v>
      </c>
      <c r="K775" t="s">
        <v>57</v>
      </c>
      <c r="L775" t="s">
        <v>10</v>
      </c>
      <c r="M775" t="s">
        <v>10</v>
      </c>
      <c r="N775" t="s">
        <v>10</v>
      </c>
      <c r="O775" t="str">
        <f>INDEX(CoverageTable[Deductible Applies],MATCH(Table1820[[#This Row],[Coverage]],CoverageTable[Coverage],0))</f>
        <v>No</v>
      </c>
      <c r="P775" t="str">
        <f>INDEX(CoverageTable[Coverage Limit Applies],MATCH(Table1820[[#This Row],[Coverage]],CoverageTable[Coverage],0))</f>
        <v>Yes</v>
      </c>
      <c r="Q775" t="s">
        <v>10</v>
      </c>
      <c r="R775" t="s">
        <v>79</v>
      </c>
      <c r="S775" t="s">
        <v>57</v>
      </c>
      <c r="T775" t="s">
        <v>10</v>
      </c>
      <c r="U775" t="s">
        <v>10</v>
      </c>
      <c r="V775" t="s">
        <v>57</v>
      </c>
      <c r="W775" t="s">
        <v>10</v>
      </c>
      <c r="X775" s="11">
        <v>2115.1939099729102</v>
      </c>
      <c r="Y775">
        <f>_xlfn.XLOOKUP(Table1820[[#This Row],[Coverage]],CoverageTable[Coverage],CoverageTable[Base Rate],,0)</f>
        <v>622</v>
      </c>
      <c r="Z775">
        <f>INDEX(Table16[Ageband Factor],MATCH(Table1820[[#This Row],[Ageband]],Table16[Ageband],0))</f>
        <v>1.27</v>
      </c>
      <c r="AA775">
        <f>VLOOKUP(Table1820[[#This Row],[Years Driving]],Table1[],2)</f>
        <v>1.07</v>
      </c>
      <c r="AB775">
        <f>_xlfn.XLOOKUP(Table1820[[#This Row],[At Fault Accidents]],Table2[At Fault Accidents],Table2[At Fault Accident Factor],,0)</f>
        <v>1.34</v>
      </c>
      <c r="AC775">
        <f>_xlfn.XLOOKUP(Table1820[[#This Row],[Usage-Based Insurance]],Table3[Usage-Based Insurance],Table3[Usage-Based Insurance Discount],,0)</f>
        <v>1</v>
      </c>
      <c r="AD775">
        <f>_xlfn.XLOOKUP(Table1820[[#This Row],[Yearly Miles]],Table4[Yearly Miles],Table4[Yearly Miles Factor],,0)</f>
        <v>1</v>
      </c>
      <c r="AE775">
        <f>_xlfn.XLOOKUP(Table1820[[#This Row],[City/Zip Code]],Table5[City/Zip Code],Table5[City/Zip Code Factor],,0)</f>
        <v>1.1599999999999999</v>
      </c>
      <c r="AF775">
        <f>_xlfn.XLOOKUP(Table1820[[#This Row],[Vehicle Price]],Table6[Vehicle Price],Table6[Vehicle Price Factor])</f>
        <v>2.02</v>
      </c>
      <c r="AG775">
        <f>_xlfn.XLOOKUP(Table1820[[#This Row],[Exotic Car]],Table7[Exotic Car],Table7[Exotic Car Factor],,0)</f>
        <v>1.28</v>
      </c>
      <c r="AH775">
        <f>_xlfn.XLOOKUP(Table1820[[#This Row],[Difficult Parts]],Table8[Difficult Parts],Table8[Difficult Parts Factor],,0)</f>
        <v>1</v>
      </c>
      <c r="AI775">
        <f>_xlfn.XLOOKUP(Table1820[[#This Row],[High Theft Rate]],Table9[High Theft Rate],Table9[High Theft Rate Factor],,0)</f>
        <v>1</v>
      </c>
      <c r="AJ775">
        <f>_xlfn.XLOOKUP(Table1820[[#This Row],[Advanced Safety Features]],Table10[Advanced Safety Features],Table10[Advanced Safety Features Factor],,0)</f>
        <v>1</v>
      </c>
      <c r="AK775">
        <f>_xlfn.XLOOKUP(Table1820[[#This Row],[Deductible]],Table12[Deductible],Table12[Deductible Factor],,0)</f>
        <v>1</v>
      </c>
      <c r="AL775">
        <f>_xlfn.XLOOKUP(Table1820[[#This Row],[Coverage Limit]],Table13[Coverage Limit],Table13[Coverage Limit Factor],,0)</f>
        <v>0.72</v>
      </c>
      <c r="AM775">
        <f>IF(Table1820[[#This Row],[Good Student Discount]]="Yes",'Rate Book'!$D$126,1)</f>
        <v>0.92</v>
      </c>
      <c r="AN775">
        <f>IF(Table1820[[#This Row],[Good Driver Discount]]="Yes",'Rate Book'!$D$127,1)</f>
        <v>1</v>
      </c>
      <c r="AO775">
        <f>IF(Table1820[[#This Row],[Multi Policy Discount]]="Yes",'Rate Book'!$D$128,1)</f>
        <v>1</v>
      </c>
      <c r="AP775">
        <f>IF(Table1820[[#This Row],[Loyal Customer Discount]]="Yes",'Rate Book'!$D$129,1)</f>
        <v>0.94</v>
      </c>
      <c r="AQ775">
        <f>IF(Table1820[[#This Row],[Organization Discount]]="Yes",'Rate Book'!$D$130,1)</f>
        <v>1</v>
      </c>
      <c r="AR775" cm="1">
        <f t="array" ref="AR775">IF(Table1820[[#This Row],[Effective Date]]&gt;=RateChangeTable[Effective Date],RateChangeTable[Rate Change Factor],1)</f>
        <v>1</v>
      </c>
      <c r="AS775" s="10">
        <f>PRODUCT(Table1820[[#This Row],[Base Rate]:[Rate Change Factor]])</f>
        <v>2115.1939099729102</v>
      </c>
      <c r="AT775" s="9">
        <f>Table1820[[#This Row],[System-Generated Premium]]-Table1820[[#This Row],[Expected Premium]]</f>
        <v>0</v>
      </c>
      <c r="AU775" t="str">
        <f>IF(Table1820[[#This Row],[Difference]]=0,"PASS","FAIL")</f>
        <v>PASS</v>
      </c>
      <c r="AV775" s="9">
        <f>ABS(Table1820[[#This Row],[Difference]])</f>
        <v>0</v>
      </c>
      <c r="AW775" s="9" t="s">
        <v>1136</v>
      </c>
    </row>
    <row r="776" spans="1:49" x14ac:dyDescent="0.3">
      <c r="A776" t="s">
        <v>867</v>
      </c>
      <c r="B776" s="7">
        <v>46100</v>
      </c>
      <c r="C776" t="s">
        <v>70</v>
      </c>
      <c r="D776" t="s">
        <v>1097</v>
      </c>
      <c r="E776" s="3">
        <v>3</v>
      </c>
      <c r="F776" s="3">
        <v>0</v>
      </c>
      <c r="G776" t="s">
        <v>11</v>
      </c>
      <c r="H776" t="s">
        <v>1106</v>
      </c>
      <c r="I776" t="s">
        <v>21</v>
      </c>
      <c r="J776" t="s">
        <v>49</v>
      </c>
      <c r="K776" t="s">
        <v>10</v>
      </c>
      <c r="L776" t="s">
        <v>10</v>
      </c>
      <c r="M776" t="s">
        <v>57</v>
      </c>
      <c r="N776" t="s">
        <v>57</v>
      </c>
      <c r="O776" t="str">
        <f>INDEX(CoverageTable[Deductible Applies],MATCH(Table1820[[#This Row],[Coverage]],CoverageTable[Coverage],0))</f>
        <v>No</v>
      </c>
      <c r="P776" t="str">
        <f>INDEX(CoverageTable[Coverage Limit Applies],MATCH(Table1820[[#This Row],[Coverage]],CoverageTable[Coverage],0))</f>
        <v>Yes</v>
      </c>
      <c r="Q776" t="s">
        <v>10</v>
      </c>
      <c r="R776" t="s">
        <v>78</v>
      </c>
      <c r="S776" t="s">
        <v>10</v>
      </c>
      <c r="T776" t="s">
        <v>57</v>
      </c>
      <c r="U776" t="s">
        <v>10</v>
      </c>
      <c r="V776" t="s">
        <v>10</v>
      </c>
      <c r="W776" t="s">
        <v>57</v>
      </c>
      <c r="X776" s="11">
        <v>543.42796823235949</v>
      </c>
      <c r="Y776">
        <f>_xlfn.XLOOKUP(Table1820[[#This Row],[Coverage]],CoverageTable[Coverage],CoverageTable[Base Rate],,0)</f>
        <v>622</v>
      </c>
      <c r="Z776">
        <f>INDEX(Table16[Ageband Factor],MATCH(Table1820[[#This Row],[Ageband]],Table16[Ageband],0))</f>
        <v>1.32</v>
      </c>
      <c r="AA776">
        <f>VLOOKUP(Table1820[[#This Row],[Years Driving]],Table1[],2)</f>
        <v>1.22</v>
      </c>
      <c r="AB776">
        <f>_xlfn.XLOOKUP(Table1820[[#This Row],[At Fault Accidents]],Table2[At Fault Accidents],Table2[At Fault Accident Factor],,0)</f>
        <v>1</v>
      </c>
      <c r="AC776">
        <f>_xlfn.XLOOKUP(Table1820[[#This Row],[Usage-Based Insurance]],Table3[Usage-Based Insurance],Table3[Usage-Based Insurance Discount],,0)</f>
        <v>0.95</v>
      </c>
      <c r="AD776">
        <f>_xlfn.XLOOKUP(Table1820[[#This Row],[Yearly Miles]],Table4[Yearly Miles],Table4[Yearly Miles Factor],,0)</f>
        <v>0.82</v>
      </c>
      <c r="AE776">
        <f>_xlfn.XLOOKUP(Table1820[[#This Row],[City/Zip Code]],Table5[City/Zip Code],Table5[City/Zip Code Factor],,0)</f>
        <v>1.26</v>
      </c>
      <c r="AF776">
        <f>_xlfn.XLOOKUP(Table1820[[#This Row],[Vehicle Price]],Table6[Vehicle Price],Table6[Vehicle Price Factor])</f>
        <v>0.97</v>
      </c>
      <c r="AG776">
        <f>_xlfn.XLOOKUP(Table1820[[#This Row],[Exotic Car]],Table7[Exotic Car],Table7[Exotic Car Factor],,0)</f>
        <v>1</v>
      </c>
      <c r="AH776">
        <f>_xlfn.XLOOKUP(Table1820[[#This Row],[Difficult Parts]],Table8[Difficult Parts],Table8[Difficult Parts Factor],,0)</f>
        <v>1</v>
      </c>
      <c r="AI776">
        <f>_xlfn.XLOOKUP(Table1820[[#This Row],[High Theft Rate]],Table9[High Theft Rate],Table9[High Theft Rate Factor],,0)</f>
        <v>1.1599999999999999</v>
      </c>
      <c r="AJ776">
        <f>_xlfn.XLOOKUP(Table1820[[#This Row],[Advanced Safety Features]],Table10[Advanced Safety Features],Table10[Advanced Safety Features Factor],,0)</f>
        <v>0.88</v>
      </c>
      <c r="AK776">
        <f>_xlfn.XLOOKUP(Table1820[[#This Row],[Deductible]],Table12[Deductible],Table12[Deductible Factor],,0)</f>
        <v>1</v>
      </c>
      <c r="AL776">
        <f>_xlfn.XLOOKUP(Table1820[[#This Row],[Coverage Limit]],Table13[Coverage Limit],Table13[Coverage Limit Factor],,0)</f>
        <v>0.61</v>
      </c>
      <c r="AM776">
        <f>IF(Table1820[[#This Row],[Good Student Discount]]="Yes",'Rate Book'!$D$126,1)</f>
        <v>1</v>
      </c>
      <c r="AN776">
        <f>IF(Table1820[[#This Row],[Good Driver Discount]]="Yes",'Rate Book'!$D$127,1)</f>
        <v>0.89</v>
      </c>
      <c r="AO776">
        <f>IF(Table1820[[#This Row],[Multi Policy Discount]]="Yes",'Rate Book'!$D$128,1)</f>
        <v>1</v>
      </c>
      <c r="AP776">
        <f>IF(Table1820[[#This Row],[Loyal Customer Discount]]="Yes",'Rate Book'!$D$129,1)</f>
        <v>1</v>
      </c>
      <c r="AQ776">
        <f>IF(Table1820[[#This Row],[Organization Discount]]="Yes",'Rate Book'!$D$130,1)</f>
        <v>0.97</v>
      </c>
      <c r="AR776" cm="1">
        <f t="array" ref="AR776">IF(Table1820[[#This Row],[Effective Date]]&gt;=RateChangeTable[Effective Date],RateChangeTable[Rate Change Factor],1)</f>
        <v>1.06</v>
      </c>
      <c r="AS776" s="10">
        <f>PRODUCT(Table1820[[#This Row],[Base Rate]:[Rate Change Factor]])</f>
        <v>543.42796823235949</v>
      </c>
      <c r="AT776" s="9">
        <f>Table1820[[#This Row],[System-Generated Premium]]-Table1820[[#This Row],[Expected Premium]]</f>
        <v>0</v>
      </c>
      <c r="AU776" t="str">
        <f>IF(Table1820[[#This Row],[Difference]]=0,"PASS","FAIL")</f>
        <v>PASS</v>
      </c>
      <c r="AV776" s="9">
        <f>ABS(Table1820[[#This Row],[Difference]])</f>
        <v>0</v>
      </c>
      <c r="AW776" s="9" t="s">
        <v>1136</v>
      </c>
    </row>
    <row r="777" spans="1:49" x14ac:dyDescent="0.3">
      <c r="A777" t="s">
        <v>868</v>
      </c>
      <c r="B777" s="7">
        <v>45908</v>
      </c>
      <c r="C777" t="s">
        <v>71</v>
      </c>
      <c r="D777" t="s">
        <v>1101</v>
      </c>
      <c r="E777" s="3">
        <v>7</v>
      </c>
      <c r="F777" s="3">
        <v>4</v>
      </c>
      <c r="G777" t="s">
        <v>13</v>
      </c>
      <c r="H777" t="s">
        <v>1107</v>
      </c>
      <c r="I777" t="s">
        <v>35</v>
      </c>
      <c r="J777" t="s">
        <v>53</v>
      </c>
      <c r="K777" t="s">
        <v>10</v>
      </c>
      <c r="L777" t="s">
        <v>10</v>
      </c>
      <c r="M777" t="s">
        <v>10</v>
      </c>
      <c r="N777" t="s">
        <v>57</v>
      </c>
      <c r="O777" t="str">
        <f>INDEX(CoverageTable[Deductible Applies],MATCH(Table1820[[#This Row],[Coverage]],CoverageTable[Coverage],0))</f>
        <v>Yes</v>
      </c>
      <c r="P777" t="str">
        <f>INDEX(CoverageTable[Coverage Limit Applies],MATCH(Table1820[[#This Row],[Coverage]],CoverageTable[Coverage],0))</f>
        <v>No</v>
      </c>
      <c r="Q777" t="s">
        <v>79</v>
      </c>
      <c r="R777" t="s">
        <v>10</v>
      </c>
      <c r="S777" t="s">
        <v>10</v>
      </c>
      <c r="T777" t="s">
        <v>10</v>
      </c>
      <c r="U777" t="s">
        <v>10</v>
      </c>
      <c r="V777" t="s">
        <v>10</v>
      </c>
      <c r="W777" t="s">
        <v>10</v>
      </c>
      <c r="X777" s="11">
        <v>1033.0071949784533</v>
      </c>
      <c r="Y777">
        <f>_xlfn.XLOOKUP(Table1820[[#This Row],[Coverage]],CoverageTable[Coverage],CoverageTable[Base Rate],,0)</f>
        <v>453</v>
      </c>
      <c r="Z777">
        <f>INDEX(Table16[Ageband Factor],MATCH(Table1820[[#This Row],[Ageband]],Table16[Ageband],0))</f>
        <v>1.1200000000000001</v>
      </c>
      <c r="AA777">
        <f>VLOOKUP(Table1820[[#This Row],[Years Driving]],Table1[],2)</f>
        <v>0.95</v>
      </c>
      <c r="AB777">
        <f>_xlfn.XLOOKUP(Table1820[[#This Row],[At Fault Accidents]],Table2[At Fault Accidents],Table2[At Fault Accident Factor],,0)</f>
        <v>2.12</v>
      </c>
      <c r="AC777">
        <f>_xlfn.XLOOKUP(Table1820[[#This Row],[Usage-Based Insurance]],Table3[Usage-Based Insurance],Table3[Usage-Based Insurance Discount],,0)</f>
        <v>0.65</v>
      </c>
      <c r="AD777">
        <f>_xlfn.XLOOKUP(Table1820[[#This Row],[Yearly Miles]],Table4[Yearly Miles],Table4[Yearly Miles Factor],,0)</f>
        <v>0.93</v>
      </c>
      <c r="AE777">
        <f>_xlfn.XLOOKUP(Table1820[[#This Row],[City/Zip Code]],Table5[City/Zip Code],Table5[City/Zip Code Factor],,0)</f>
        <v>1.1200000000000001</v>
      </c>
      <c r="AF777">
        <f>_xlfn.XLOOKUP(Table1820[[#This Row],[Vehicle Price]],Table6[Vehicle Price],Table6[Vehicle Price Factor])</f>
        <v>2.02</v>
      </c>
      <c r="AG777">
        <f>_xlfn.XLOOKUP(Table1820[[#This Row],[Exotic Car]],Table7[Exotic Car],Table7[Exotic Car Factor],,0)</f>
        <v>1</v>
      </c>
      <c r="AH777">
        <f>_xlfn.XLOOKUP(Table1820[[#This Row],[Difficult Parts]],Table8[Difficult Parts],Table8[Difficult Parts Factor],,0)</f>
        <v>1</v>
      </c>
      <c r="AI777">
        <f>_xlfn.XLOOKUP(Table1820[[#This Row],[High Theft Rate]],Table9[High Theft Rate],Table9[High Theft Rate Factor],,0)</f>
        <v>1</v>
      </c>
      <c r="AJ777">
        <f>_xlfn.XLOOKUP(Table1820[[#This Row],[Advanced Safety Features]],Table10[Advanced Safety Features],Table10[Advanced Safety Features Factor],,0)</f>
        <v>0.88</v>
      </c>
      <c r="AK777">
        <f>_xlfn.XLOOKUP(Table1820[[#This Row],[Deductible]],Table12[Deductible],Table12[Deductible Factor],,0)</f>
        <v>0.84</v>
      </c>
      <c r="AL777">
        <f>_xlfn.XLOOKUP(Table1820[[#This Row],[Coverage Limit]],Table13[Coverage Limit],Table13[Coverage Limit Factor],,0)</f>
        <v>1</v>
      </c>
      <c r="AM777">
        <f>IF(Table1820[[#This Row],[Good Student Discount]]="Yes",'Rate Book'!$D$126,1)</f>
        <v>1</v>
      </c>
      <c r="AN777">
        <f>IF(Table1820[[#This Row],[Good Driver Discount]]="Yes",'Rate Book'!$D$127,1)</f>
        <v>1</v>
      </c>
      <c r="AO777">
        <f>IF(Table1820[[#This Row],[Multi Policy Discount]]="Yes",'Rate Book'!$D$128,1)</f>
        <v>1</v>
      </c>
      <c r="AP777">
        <f>IF(Table1820[[#This Row],[Loyal Customer Discount]]="Yes",'Rate Book'!$D$129,1)</f>
        <v>1</v>
      </c>
      <c r="AQ777">
        <f>IF(Table1820[[#This Row],[Organization Discount]]="Yes",'Rate Book'!$D$130,1)</f>
        <v>1</v>
      </c>
      <c r="AR777" cm="1">
        <f t="array" ref="AR777">IF(Table1820[[#This Row],[Effective Date]]&gt;=RateChangeTable[Effective Date],RateChangeTable[Rate Change Factor],1)</f>
        <v>1</v>
      </c>
      <c r="AS777" s="10">
        <f>PRODUCT(Table1820[[#This Row],[Base Rate]:[Rate Change Factor]])</f>
        <v>1033.0071949784533</v>
      </c>
      <c r="AT777" s="9">
        <f>Table1820[[#This Row],[System-Generated Premium]]-Table1820[[#This Row],[Expected Premium]]</f>
        <v>0</v>
      </c>
      <c r="AU777" t="str">
        <f>IF(Table1820[[#This Row],[Difference]]=0,"PASS","FAIL")</f>
        <v>PASS</v>
      </c>
      <c r="AV777" s="9">
        <f>ABS(Table1820[[#This Row],[Difference]])</f>
        <v>0</v>
      </c>
      <c r="AW777" s="9" t="s">
        <v>1136</v>
      </c>
    </row>
    <row r="778" spans="1:49" x14ac:dyDescent="0.3">
      <c r="A778" t="s">
        <v>869</v>
      </c>
      <c r="B778" s="7">
        <v>46071</v>
      </c>
      <c r="C778" t="s">
        <v>70</v>
      </c>
      <c r="D778" t="s">
        <v>1102</v>
      </c>
      <c r="E778" s="3">
        <v>5</v>
      </c>
      <c r="F778" s="3">
        <v>4</v>
      </c>
      <c r="G778" t="s">
        <v>10</v>
      </c>
      <c r="H778" t="s">
        <v>1110</v>
      </c>
      <c r="I778" t="s">
        <v>24</v>
      </c>
      <c r="J778" t="s">
        <v>48</v>
      </c>
      <c r="K778" t="s">
        <v>57</v>
      </c>
      <c r="L778" t="s">
        <v>10</v>
      </c>
      <c r="M778" t="s">
        <v>10</v>
      </c>
      <c r="N778" t="s">
        <v>57</v>
      </c>
      <c r="O778" t="str">
        <f>INDEX(CoverageTable[Deductible Applies],MATCH(Table1820[[#This Row],[Coverage]],CoverageTable[Coverage],0))</f>
        <v>No</v>
      </c>
      <c r="P778" t="str">
        <f>INDEX(CoverageTable[Coverage Limit Applies],MATCH(Table1820[[#This Row],[Coverage]],CoverageTable[Coverage],0))</f>
        <v>Yes</v>
      </c>
      <c r="Q778" t="s">
        <v>10</v>
      </c>
      <c r="R778" t="s">
        <v>80</v>
      </c>
      <c r="S778" t="s">
        <v>10</v>
      </c>
      <c r="T778" t="s">
        <v>10</v>
      </c>
      <c r="U778" t="s">
        <v>10</v>
      </c>
      <c r="V778" t="s">
        <v>10</v>
      </c>
      <c r="W778" t="s">
        <v>10</v>
      </c>
      <c r="X778" s="11">
        <v>2297.3313907118536</v>
      </c>
      <c r="Y778">
        <f>_xlfn.XLOOKUP(Table1820[[#This Row],[Coverage]],CoverageTable[Coverage],CoverageTable[Base Rate],,0)</f>
        <v>622</v>
      </c>
      <c r="Z778">
        <f>INDEX(Table16[Ageband Factor],MATCH(Table1820[[#This Row],[Ageband]],Table16[Ageband],0))</f>
        <v>1.27</v>
      </c>
      <c r="AA778">
        <f>VLOOKUP(Table1820[[#This Row],[Years Driving]],Table1[],2)</f>
        <v>1.07</v>
      </c>
      <c r="AB778">
        <f>_xlfn.XLOOKUP(Table1820[[#This Row],[At Fault Accidents]],Table2[At Fault Accidents],Table2[At Fault Accident Factor],,0)</f>
        <v>2.12</v>
      </c>
      <c r="AC778">
        <f>_xlfn.XLOOKUP(Table1820[[#This Row],[Usage-Based Insurance]],Table3[Usage-Based Insurance],Table3[Usage-Based Insurance Discount],,0)</f>
        <v>1</v>
      </c>
      <c r="AD778">
        <f>_xlfn.XLOOKUP(Table1820[[#This Row],[Yearly Miles]],Table4[Yearly Miles],Table4[Yearly Miles Factor],,0)</f>
        <v>1.31</v>
      </c>
      <c r="AE778">
        <f>_xlfn.XLOOKUP(Table1820[[#This Row],[City/Zip Code]],Table5[City/Zip Code],Table5[City/Zip Code Factor],,0)</f>
        <v>1.19</v>
      </c>
      <c r="AF778">
        <f>_xlfn.XLOOKUP(Table1820[[#This Row],[Vehicle Price]],Table6[Vehicle Price],Table6[Vehicle Price Factor])</f>
        <v>0.82</v>
      </c>
      <c r="AG778">
        <f>_xlfn.XLOOKUP(Table1820[[#This Row],[Exotic Car]],Table7[Exotic Car],Table7[Exotic Car Factor],,0)</f>
        <v>1.28</v>
      </c>
      <c r="AH778">
        <f>_xlfn.XLOOKUP(Table1820[[#This Row],[Difficult Parts]],Table8[Difficult Parts],Table8[Difficult Parts Factor],,0)</f>
        <v>1</v>
      </c>
      <c r="AI778">
        <f>_xlfn.XLOOKUP(Table1820[[#This Row],[High Theft Rate]],Table9[High Theft Rate],Table9[High Theft Rate Factor],,0)</f>
        <v>1</v>
      </c>
      <c r="AJ778">
        <f>_xlfn.XLOOKUP(Table1820[[#This Row],[Advanced Safety Features]],Table10[Advanced Safety Features],Table10[Advanced Safety Features Factor],,0)</f>
        <v>0.88</v>
      </c>
      <c r="AK778">
        <f>_xlfn.XLOOKUP(Table1820[[#This Row],[Deductible]],Table12[Deductible],Table12[Deductible Factor],,0)</f>
        <v>1</v>
      </c>
      <c r="AL778">
        <f>_xlfn.XLOOKUP(Table1820[[#This Row],[Coverage Limit]],Table13[Coverage Limit],Table13[Coverage Limit Factor],,0)</f>
        <v>0.84</v>
      </c>
      <c r="AM778">
        <f>IF(Table1820[[#This Row],[Good Student Discount]]="Yes",'Rate Book'!$D$126,1)</f>
        <v>1</v>
      </c>
      <c r="AN778">
        <f>IF(Table1820[[#This Row],[Good Driver Discount]]="Yes",'Rate Book'!$D$127,1)</f>
        <v>1</v>
      </c>
      <c r="AO778">
        <f>IF(Table1820[[#This Row],[Multi Policy Discount]]="Yes",'Rate Book'!$D$128,1)</f>
        <v>1</v>
      </c>
      <c r="AP778">
        <f>IF(Table1820[[#This Row],[Loyal Customer Discount]]="Yes",'Rate Book'!$D$129,1)</f>
        <v>1</v>
      </c>
      <c r="AQ778">
        <f>IF(Table1820[[#This Row],[Organization Discount]]="Yes",'Rate Book'!$D$130,1)</f>
        <v>1</v>
      </c>
      <c r="AR778" cm="1">
        <f t="array" ref="AR778">IF(Table1820[[#This Row],[Effective Date]]&gt;=RateChangeTable[Effective Date],RateChangeTable[Rate Change Factor],1)</f>
        <v>1.06</v>
      </c>
      <c r="AS778" s="10">
        <f>PRODUCT(Table1820[[#This Row],[Base Rate]:[Rate Change Factor]])</f>
        <v>2297.3313907118536</v>
      </c>
      <c r="AT778" s="9">
        <f>Table1820[[#This Row],[System-Generated Premium]]-Table1820[[#This Row],[Expected Premium]]</f>
        <v>0</v>
      </c>
      <c r="AU778" t="str">
        <f>IF(Table1820[[#This Row],[Difference]]=0,"PASS","FAIL")</f>
        <v>PASS</v>
      </c>
      <c r="AV778" s="9">
        <f>ABS(Table1820[[#This Row],[Difference]])</f>
        <v>0</v>
      </c>
      <c r="AW778" s="9" t="s">
        <v>1136</v>
      </c>
    </row>
    <row r="779" spans="1:49" x14ac:dyDescent="0.3">
      <c r="A779" t="s">
        <v>870</v>
      </c>
      <c r="B779" s="7">
        <v>46001</v>
      </c>
      <c r="C779" t="s">
        <v>70</v>
      </c>
      <c r="D779" t="s">
        <v>1099</v>
      </c>
      <c r="E779" s="3">
        <v>6</v>
      </c>
      <c r="F779" s="3">
        <v>0</v>
      </c>
      <c r="G779" t="s">
        <v>10</v>
      </c>
      <c r="H779" t="s">
        <v>1110</v>
      </c>
      <c r="I779" t="s">
        <v>34</v>
      </c>
      <c r="J779" t="s">
        <v>52</v>
      </c>
      <c r="K779" t="s">
        <v>10</v>
      </c>
      <c r="L779" t="s">
        <v>10</v>
      </c>
      <c r="M779" t="s">
        <v>10</v>
      </c>
      <c r="N779" t="s">
        <v>57</v>
      </c>
      <c r="O779" t="str">
        <f>INDEX(CoverageTable[Deductible Applies],MATCH(Table1820[[#This Row],[Coverage]],CoverageTable[Coverage],0))</f>
        <v>No</v>
      </c>
      <c r="P779" t="str">
        <f>INDEX(CoverageTable[Coverage Limit Applies],MATCH(Table1820[[#This Row],[Coverage]],CoverageTable[Coverage],0))</f>
        <v>Yes</v>
      </c>
      <c r="Q779" t="s">
        <v>10</v>
      </c>
      <c r="R779" t="s">
        <v>79</v>
      </c>
      <c r="S779" t="s">
        <v>10</v>
      </c>
      <c r="T779" t="s">
        <v>57</v>
      </c>
      <c r="U779" t="s">
        <v>10</v>
      </c>
      <c r="V779" t="s">
        <v>10</v>
      </c>
      <c r="W779" t="s">
        <v>10</v>
      </c>
      <c r="X779" s="11">
        <v>1125.3590461301762</v>
      </c>
      <c r="Y779">
        <f>_xlfn.XLOOKUP(Table1820[[#This Row],[Coverage]],CoverageTable[Coverage],CoverageTable[Base Rate],,0)</f>
        <v>622</v>
      </c>
      <c r="Z779">
        <f>INDEX(Table16[Ageband Factor],MATCH(Table1820[[#This Row],[Ageband]],Table16[Ageband],0))</f>
        <v>1</v>
      </c>
      <c r="AA779">
        <f>VLOOKUP(Table1820[[#This Row],[Years Driving]],Table1[],2)</f>
        <v>1</v>
      </c>
      <c r="AB779">
        <f>_xlfn.XLOOKUP(Table1820[[#This Row],[At Fault Accidents]],Table2[At Fault Accidents],Table2[At Fault Accident Factor],,0)</f>
        <v>1</v>
      </c>
      <c r="AC779">
        <f>_xlfn.XLOOKUP(Table1820[[#This Row],[Usage-Based Insurance]],Table3[Usage-Based Insurance],Table3[Usage-Based Insurance Discount],,0)</f>
        <v>1</v>
      </c>
      <c r="AD779">
        <f>_xlfn.XLOOKUP(Table1820[[#This Row],[Yearly Miles]],Table4[Yearly Miles],Table4[Yearly Miles Factor],,0)</f>
        <v>1.31</v>
      </c>
      <c r="AE779">
        <f>_xlfn.XLOOKUP(Table1820[[#This Row],[City/Zip Code]],Table5[City/Zip Code],Table5[City/Zip Code Factor],,0)</f>
        <v>1.56</v>
      </c>
      <c r="AF779">
        <f>_xlfn.XLOOKUP(Table1820[[#This Row],[Vehicle Price]],Table6[Vehicle Price],Table6[Vehicle Price Factor])</f>
        <v>1.57</v>
      </c>
      <c r="AG779">
        <f>_xlfn.XLOOKUP(Table1820[[#This Row],[Exotic Car]],Table7[Exotic Car],Table7[Exotic Car Factor],,0)</f>
        <v>1</v>
      </c>
      <c r="AH779">
        <f>_xlfn.XLOOKUP(Table1820[[#This Row],[Difficult Parts]],Table8[Difficult Parts],Table8[Difficult Parts Factor],,0)</f>
        <v>1</v>
      </c>
      <c r="AI779">
        <f>_xlfn.XLOOKUP(Table1820[[#This Row],[High Theft Rate]],Table9[High Theft Rate],Table9[High Theft Rate Factor],,0)</f>
        <v>1</v>
      </c>
      <c r="AJ779">
        <f>_xlfn.XLOOKUP(Table1820[[#This Row],[Advanced Safety Features]],Table10[Advanced Safety Features],Table10[Advanced Safety Features Factor],,0)</f>
        <v>0.88</v>
      </c>
      <c r="AK779">
        <f>_xlfn.XLOOKUP(Table1820[[#This Row],[Deductible]],Table12[Deductible],Table12[Deductible Factor],,0)</f>
        <v>1</v>
      </c>
      <c r="AL779">
        <f>_xlfn.XLOOKUP(Table1820[[#This Row],[Coverage Limit]],Table13[Coverage Limit],Table13[Coverage Limit Factor],,0)</f>
        <v>0.72</v>
      </c>
      <c r="AM779">
        <f>IF(Table1820[[#This Row],[Good Student Discount]]="Yes",'Rate Book'!$D$126,1)</f>
        <v>1</v>
      </c>
      <c r="AN779">
        <f>IF(Table1820[[#This Row],[Good Driver Discount]]="Yes",'Rate Book'!$D$127,1)</f>
        <v>0.89</v>
      </c>
      <c r="AO779">
        <f>IF(Table1820[[#This Row],[Multi Policy Discount]]="Yes",'Rate Book'!$D$128,1)</f>
        <v>1</v>
      </c>
      <c r="AP779">
        <f>IF(Table1820[[#This Row],[Loyal Customer Discount]]="Yes",'Rate Book'!$D$129,1)</f>
        <v>1</v>
      </c>
      <c r="AQ779">
        <f>IF(Table1820[[#This Row],[Organization Discount]]="Yes",'Rate Book'!$D$130,1)</f>
        <v>1</v>
      </c>
      <c r="AR779" cm="1">
        <f t="array" ref="AR779">IF(Table1820[[#This Row],[Effective Date]]&gt;=RateChangeTable[Effective Date],RateChangeTable[Rate Change Factor],1)</f>
        <v>1</v>
      </c>
      <c r="AS779" s="10">
        <f>PRODUCT(Table1820[[#This Row],[Base Rate]:[Rate Change Factor]])</f>
        <v>1125.3590461301762</v>
      </c>
      <c r="AT779" s="9">
        <f>Table1820[[#This Row],[System-Generated Premium]]-Table1820[[#This Row],[Expected Premium]]</f>
        <v>0</v>
      </c>
      <c r="AU779" t="str">
        <f>IF(Table1820[[#This Row],[Difference]]=0,"PASS","FAIL")</f>
        <v>PASS</v>
      </c>
      <c r="AV779" s="9">
        <f>ABS(Table1820[[#This Row],[Difference]])</f>
        <v>0</v>
      </c>
      <c r="AW779" s="9" t="s">
        <v>1136</v>
      </c>
    </row>
    <row r="780" spans="1:49" x14ac:dyDescent="0.3">
      <c r="A780" t="s">
        <v>871</v>
      </c>
      <c r="B780" s="7">
        <v>45976</v>
      </c>
      <c r="C780" t="s">
        <v>70</v>
      </c>
      <c r="D780" t="s">
        <v>1101</v>
      </c>
      <c r="E780" s="3">
        <v>2</v>
      </c>
      <c r="F780" s="3">
        <v>3</v>
      </c>
      <c r="G780" t="s">
        <v>12</v>
      </c>
      <c r="H780" t="s">
        <v>1108</v>
      </c>
      <c r="I780" t="s">
        <v>34</v>
      </c>
      <c r="J780" t="s">
        <v>48</v>
      </c>
      <c r="K780" t="s">
        <v>10</v>
      </c>
      <c r="L780" t="s">
        <v>10</v>
      </c>
      <c r="M780" t="s">
        <v>57</v>
      </c>
      <c r="N780" t="s">
        <v>10</v>
      </c>
      <c r="O780" t="str">
        <f>INDEX(CoverageTable[Deductible Applies],MATCH(Table1820[[#This Row],[Coverage]],CoverageTable[Coverage],0))</f>
        <v>No</v>
      </c>
      <c r="P780" t="str">
        <f>INDEX(CoverageTable[Coverage Limit Applies],MATCH(Table1820[[#This Row],[Coverage]],CoverageTable[Coverage],0))</f>
        <v>Yes</v>
      </c>
      <c r="Q780" t="s">
        <v>10</v>
      </c>
      <c r="R780" t="s">
        <v>78</v>
      </c>
      <c r="S780" t="s">
        <v>10</v>
      </c>
      <c r="T780" t="s">
        <v>10</v>
      </c>
      <c r="U780" t="s">
        <v>10</v>
      </c>
      <c r="V780" t="s">
        <v>10</v>
      </c>
      <c r="W780" t="s">
        <v>10</v>
      </c>
      <c r="X780" s="11">
        <v>1294.539093014889</v>
      </c>
      <c r="Y780">
        <f>_xlfn.XLOOKUP(Table1820[[#This Row],[Coverage]],CoverageTable[Coverage],CoverageTable[Base Rate],,0)</f>
        <v>622</v>
      </c>
      <c r="Z780">
        <f>INDEX(Table16[Ageband Factor],MATCH(Table1820[[#This Row],[Ageband]],Table16[Ageband],0))</f>
        <v>1.1200000000000001</v>
      </c>
      <c r="AA780">
        <f>VLOOKUP(Table1820[[#This Row],[Years Driving]],Table1[],2)</f>
        <v>1.41</v>
      </c>
      <c r="AB780">
        <f>_xlfn.XLOOKUP(Table1820[[#This Row],[At Fault Accidents]],Table2[At Fault Accidents],Table2[At Fault Accident Factor],,0)</f>
        <v>1.82</v>
      </c>
      <c r="AC780">
        <f>_xlfn.XLOOKUP(Table1820[[#This Row],[Usage-Based Insurance]],Table3[Usage-Based Insurance],Table3[Usage-Based Insurance Discount],,0)</f>
        <v>0.8</v>
      </c>
      <c r="AD780">
        <f>_xlfn.XLOOKUP(Table1820[[#This Row],[Yearly Miles]],Table4[Yearly Miles],Table4[Yearly Miles Factor],,0)</f>
        <v>1</v>
      </c>
      <c r="AE780">
        <f>_xlfn.XLOOKUP(Table1820[[#This Row],[City/Zip Code]],Table5[City/Zip Code],Table5[City/Zip Code Factor],,0)</f>
        <v>1.56</v>
      </c>
      <c r="AF780">
        <f>_xlfn.XLOOKUP(Table1820[[#This Row],[Vehicle Price]],Table6[Vehicle Price],Table6[Vehicle Price Factor])</f>
        <v>0.82</v>
      </c>
      <c r="AG780">
        <f>_xlfn.XLOOKUP(Table1820[[#This Row],[Exotic Car]],Table7[Exotic Car],Table7[Exotic Car Factor],,0)</f>
        <v>1</v>
      </c>
      <c r="AH780">
        <f>_xlfn.XLOOKUP(Table1820[[#This Row],[Difficult Parts]],Table8[Difficult Parts],Table8[Difficult Parts Factor],,0)</f>
        <v>1</v>
      </c>
      <c r="AI780">
        <f>_xlfn.XLOOKUP(Table1820[[#This Row],[High Theft Rate]],Table9[High Theft Rate],Table9[High Theft Rate Factor],,0)</f>
        <v>1.1599999999999999</v>
      </c>
      <c r="AJ780">
        <f>_xlfn.XLOOKUP(Table1820[[#This Row],[Advanced Safety Features]],Table10[Advanced Safety Features],Table10[Advanced Safety Features Factor],,0)</f>
        <v>1</v>
      </c>
      <c r="AK780">
        <f>_xlfn.XLOOKUP(Table1820[[#This Row],[Deductible]],Table12[Deductible],Table12[Deductible Factor],,0)</f>
        <v>1</v>
      </c>
      <c r="AL780">
        <f>_xlfn.XLOOKUP(Table1820[[#This Row],[Coverage Limit]],Table13[Coverage Limit],Table13[Coverage Limit Factor],,0)</f>
        <v>0.61</v>
      </c>
      <c r="AM780">
        <f>IF(Table1820[[#This Row],[Good Student Discount]]="Yes",'Rate Book'!$D$126,1)</f>
        <v>1</v>
      </c>
      <c r="AN780">
        <f>IF(Table1820[[#This Row],[Good Driver Discount]]="Yes",'Rate Book'!$D$127,1)</f>
        <v>1</v>
      </c>
      <c r="AO780">
        <f>IF(Table1820[[#This Row],[Multi Policy Discount]]="Yes",'Rate Book'!$D$128,1)</f>
        <v>1</v>
      </c>
      <c r="AP780">
        <f>IF(Table1820[[#This Row],[Loyal Customer Discount]]="Yes",'Rate Book'!$D$129,1)</f>
        <v>1</v>
      </c>
      <c r="AQ780">
        <f>IF(Table1820[[#This Row],[Organization Discount]]="Yes",'Rate Book'!$D$130,1)</f>
        <v>1</v>
      </c>
      <c r="AR780" cm="1">
        <f t="array" ref="AR780">IF(Table1820[[#This Row],[Effective Date]]&gt;=RateChangeTable[Effective Date],RateChangeTable[Rate Change Factor],1)</f>
        <v>1</v>
      </c>
      <c r="AS780" s="10">
        <f>PRODUCT(Table1820[[#This Row],[Base Rate]:[Rate Change Factor]])</f>
        <v>1294.539093014889</v>
      </c>
      <c r="AT780" s="9">
        <f>Table1820[[#This Row],[System-Generated Premium]]-Table1820[[#This Row],[Expected Premium]]</f>
        <v>0</v>
      </c>
      <c r="AU780" t="str">
        <f>IF(Table1820[[#This Row],[Difference]]=0,"PASS","FAIL")</f>
        <v>PASS</v>
      </c>
      <c r="AV780" s="9">
        <f>ABS(Table1820[[#This Row],[Difference]])</f>
        <v>0</v>
      </c>
      <c r="AW780" s="9" t="s">
        <v>1136</v>
      </c>
    </row>
    <row r="781" spans="1:49" x14ac:dyDescent="0.3">
      <c r="A781" t="s">
        <v>872</v>
      </c>
      <c r="B781" s="7">
        <v>46030</v>
      </c>
      <c r="C781" t="s">
        <v>73</v>
      </c>
      <c r="D781" t="s">
        <v>1100</v>
      </c>
      <c r="E781" s="3">
        <v>5</v>
      </c>
      <c r="F781" s="3">
        <v>0</v>
      </c>
      <c r="G781" t="s">
        <v>10</v>
      </c>
      <c r="H781" t="s">
        <v>1109</v>
      </c>
      <c r="I781" t="s">
        <v>25</v>
      </c>
      <c r="J781" t="s">
        <v>54</v>
      </c>
      <c r="K781" t="s">
        <v>10</v>
      </c>
      <c r="L781" t="s">
        <v>10</v>
      </c>
      <c r="M781" t="s">
        <v>10</v>
      </c>
      <c r="N781" t="s">
        <v>10</v>
      </c>
      <c r="O781" t="str">
        <f>INDEX(CoverageTable[Deductible Applies],MATCH(Table1820[[#This Row],[Coverage]],CoverageTable[Coverage],0))</f>
        <v>No</v>
      </c>
      <c r="P781" t="str">
        <f>INDEX(CoverageTable[Coverage Limit Applies],MATCH(Table1820[[#This Row],[Coverage]],CoverageTable[Coverage],0))</f>
        <v>Yes</v>
      </c>
      <c r="Q781" t="s">
        <v>10</v>
      </c>
      <c r="R781" t="s">
        <v>78</v>
      </c>
      <c r="S781" t="s">
        <v>10</v>
      </c>
      <c r="T781" t="s">
        <v>10</v>
      </c>
      <c r="U781" t="s">
        <v>10</v>
      </c>
      <c r="V781" t="s">
        <v>10</v>
      </c>
      <c r="W781" t="s">
        <v>10</v>
      </c>
      <c r="X781" s="11">
        <v>226.84005901650912</v>
      </c>
      <c r="Y781">
        <f>_xlfn.XLOOKUP(Table1820[[#This Row],[Coverage]],CoverageTable[Coverage],CoverageTable[Base Rate],,0)</f>
        <v>78</v>
      </c>
      <c r="Z781">
        <f>INDEX(Table16[Ageband Factor],MATCH(Table1820[[#This Row],[Ageband]],Table16[Ageband],0))</f>
        <v>1.07</v>
      </c>
      <c r="AA781">
        <f>VLOOKUP(Table1820[[#This Row],[Years Driving]],Table1[],2)</f>
        <v>1.07</v>
      </c>
      <c r="AB781">
        <f>_xlfn.XLOOKUP(Table1820[[#This Row],[At Fault Accidents]],Table2[At Fault Accidents],Table2[At Fault Accident Factor],,0)</f>
        <v>1</v>
      </c>
      <c r="AC781">
        <f>_xlfn.XLOOKUP(Table1820[[#This Row],[Usage-Based Insurance]],Table3[Usage-Based Insurance],Table3[Usage-Based Insurance Discount],,0)</f>
        <v>1</v>
      </c>
      <c r="AD781">
        <f>_xlfn.XLOOKUP(Table1820[[#This Row],[Yearly Miles]],Table4[Yearly Miles],Table4[Yearly Miles Factor],,0)</f>
        <v>1.18</v>
      </c>
      <c r="AE781">
        <f>_xlfn.XLOOKUP(Table1820[[#This Row],[City/Zip Code]],Table5[City/Zip Code],Table5[City/Zip Code Factor],,0)</f>
        <v>1.1599999999999999</v>
      </c>
      <c r="AF781">
        <f>_xlfn.XLOOKUP(Table1820[[#This Row],[Vehicle Price]],Table6[Vehicle Price],Table6[Vehicle Price Factor])</f>
        <v>2.87</v>
      </c>
      <c r="AG781">
        <f>_xlfn.XLOOKUP(Table1820[[#This Row],[Exotic Car]],Table7[Exotic Car],Table7[Exotic Car Factor],,0)</f>
        <v>1</v>
      </c>
      <c r="AH781">
        <f>_xlfn.XLOOKUP(Table1820[[#This Row],[Difficult Parts]],Table8[Difficult Parts],Table8[Difficult Parts Factor],,0)</f>
        <v>1</v>
      </c>
      <c r="AI781">
        <f>_xlfn.XLOOKUP(Table1820[[#This Row],[High Theft Rate]],Table9[High Theft Rate],Table9[High Theft Rate Factor],,0)</f>
        <v>1</v>
      </c>
      <c r="AJ781">
        <f>_xlfn.XLOOKUP(Table1820[[#This Row],[Advanced Safety Features]],Table10[Advanced Safety Features],Table10[Advanced Safety Features Factor],,0)</f>
        <v>1</v>
      </c>
      <c r="AK781">
        <f>_xlfn.XLOOKUP(Table1820[[#This Row],[Deductible]],Table12[Deductible],Table12[Deductible Factor],,0)</f>
        <v>1</v>
      </c>
      <c r="AL781">
        <f>_xlfn.XLOOKUP(Table1820[[#This Row],[Coverage Limit]],Table13[Coverage Limit],Table13[Coverage Limit Factor],,0)</f>
        <v>0.61</v>
      </c>
      <c r="AM781">
        <f>IF(Table1820[[#This Row],[Good Student Discount]]="Yes",'Rate Book'!$D$126,1)</f>
        <v>1</v>
      </c>
      <c r="AN781">
        <f>IF(Table1820[[#This Row],[Good Driver Discount]]="Yes",'Rate Book'!$D$127,1)</f>
        <v>1</v>
      </c>
      <c r="AO781">
        <f>IF(Table1820[[#This Row],[Multi Policy Discount]]="Yes",'Rate Book'!$D$128,1)</f>
        <v>1</v>
      </c>
      <c r="AP781">
        <f>IF(Table1820[[#This Row],[Loyal Customer Discount]]="Yes",'Rate Book'!$D$129,1)</f>
        <v>1</v>
      </c>
      <c r="AQ781">
        <f>IF(Table1820[[#This Row],[Organization Discount]]="Yes",'Rate Book'!$D$130,1)</f>
        <v>1</v>
      </c>
      <c r="AR781" cm="1">
        <f t="array" ref="AR781">IF(Table1820[[#This Row],[Effective Date]]&gt;=RateChangeTable[Effective Date],RateChangeTable[Rate Change Factor],1)</f>
        <v>1.06</v>
      </c>
      <c r="AS781" s="10">
        <f>PRODUCT(Table1820[[#This Row],[Base Rate]:[Rate Change Factor]])</f>
        <v>226.84005901650912</v>
      </c>
      <c r="AT781" s="9">
        <f>Table1820[[#This Row],[System-Generated Premium]]-Table1820[[#This Row],[Expected Premium]]</f>
        <v>0</v>
      </c>
      <c r="AU781" t="str">
        <f>IF(Table1820[[#This Row],[Difference]]=0,"PASS","FAIL")</f>
        <v>PASS</v>
      </c>
      <c r="AV781" s="9">
        <f>ABS(Table1820[[#This Row],[Difference]])</f>
        <v>0</v>
      </c>
      <c r="AW781" s="9" t="s">
        <v>1136</v>
      </c>
    </row>
    <row r="782" spans="1:49" x14ac:dyDescent="0.3">
      <c r="A782" t="s">
        <v>873</v>
      </c>
      <c r="B782" s="7">
        <v>45958</v>
      </c>
      <c r="C782" t="s">
        <v>70</v>
      </c>
      <c r="D782" t="s">
        <v>1101</v>
      </c>
      <c r="E782" s="3">
        <v>5</v>
      </c>
      <c r="F782" s="3">
        <v>0</v>
      </c>
      <c r="G782" t="s">
        <v>10</v>
      </c>
      <c r="H782" t="s">
        <v>1110</v>
      </c>
      <c r="I782" t="s">
        <v>43</v>
      </c>
      <c r="J782" t="s">
        <v>48</v>
      </c>
      <c r="K782" t="s">
        <v>10</v>
      </c>
      <c r="L782" t="s">
        <v>10</v>
      </c>
      <c r="M782" t="s">
        <v>10</v>
      </c>
      <c r="N782" t="s">
        <v>57</v>
      </c>
      <c r="O782" t="str">
        <f>INDEX(CoverageTable[Deductible Applies],MATCH(Table1820[[#This Row],[Coverage]],CoverageTable[Coverage],0))</f>
        <v>No</v>
      </c>
      <c r="P782" t="str">
        <f>INDEX(CoverageTable[Coverage Limit Applies],MATCH(Table1820[[#This Row],[Coverage]],CoverageTable[Coverage],0))</f>
        <v>Yes</v>
      </c>
      <c r="Q782" t="s">
        <v>10</v>
      </c>
      <c r="R782" t="s">
        <v>80</v>
      </c>
      <c r="S782" t="s">
        <v>10</v>
      </c>
      <c r="T782" t="s">
        <v>57</v>
      </c>
      <c r="U782" t="s">
        <v>57</v>
      </c>
      <c r="V782" t="s">
        <v>10</v>
      </c>
      <c r="W782" t="s">
        <v>57</v>
      </c>
      <c r="X782" s="11">
        <v>560.74574664681097</v>
      </c>
      <c r="Y782">
        <f>_xlfn.XLOOKUP(Table1820[[#This Row],[Coverage]],CoverageTable[Coverage],CoverageTable[Base Rate],,0)</f>
        <v>622</v>
      </c>
      <c r="Z782">
        <f>INDEX(Table16[Ageband Factor],MATCH(Table1820[[#This Row],[Ageband]],Table16[Ageband],0))</f>
        <v>1.1200000000000001</v>
      </c>
      <c r="AA782">
        <f>VLOOKUP(Table1820[[#This Row],[Years Driving]],Table1[],2)</f>
        <v>1.07</v>
      </c>
      <c r="AB782">
        <f>_xlfn.XLOOKUP(Table1820[[#This Row],[At Fault Accidents]],Table2[At Fault Accidents],Table2[At Fault Accident Factor],,0)</f>
        <v>1</v>
      </c>
      <c r="AC782">
        <f>_xlfn.XLOOKUP(Table1820[[#This Row],[Usage-Based Insurance]],Table3[Usage-Based Insurance],Table3[Usage-Based Insurance Discount],,0)</f>
        <v>1</v>
      </c>
      <c r="AD782">
        <f>_xlfn.XLOOKUP(Table1820[[#This Row],[Yearly Miles]],Table4[Yearly Miles],Table4[Yearly Miles Factor],,0)</f>
        <v>1.31</v>
      </c>
      <c r="AE782">
        <f>_xlfn.XLOOKUP(Table1820[[#This Row],[City/Zip Code]],Table5[City/Zip Code],Table5[City/Zip Code Factor],,0)</f>
        <v>1.18</v>
      </c>
      <c r="AF782">
        <f>_xlfn.XLOOKUP(Table1820[[#This Row],[Vehicle Price]],Table6[Vehicle Price],Table6[Vehicle Price Factor])</f>
        <v>0.82</v>
      </c>
      <c r="AG782">
        <f>_xlfn.XLOOKUP(Table1820[[#This Row],[Exotic Car]],Table7[Exotic Car],Table7[Exotic Car Factor],,0)</f>
        <v>1</v>
      </c>
      <c r="AH782">
        <f>_xlfn.XLOOKUP(Table1820[[#This Row],[Difficult Parts]],Table8[Difficult Parts],Table8[Difficult Parts Factor],,0)</f>
        <v>1</v>
      </c>
      <c r="AI782">
        <f>_xlfn.XLOOKUP(Table1820[[#This Row],[High Theft Rate]],Table9[High Theft Rate],Table9[High Theft Rate Factor],,0)</f>
        <v>1</v>
      </c>
      <c r="AJ782">
        <f>_xlfn.XLOOKUP(Table1820[[#This Row],[Advanced Safety Features]],Table10[Advanced Safety Features],Table10[Advanced Safety Features Factor],,0)</f>
        <v>0.88</v>
      </c>
      <c r="AK782">
        <f>_xlfn.XLOOKUP(Table1820[[#This Row],[Deductible]],Table12[Deductible],Table12[Deductible Factor],,0)</f>
        <v>1</v>
      </c>
      <c r="AL782">
        <f>_xlfn.XLOOKUP(Table1820[[#This Row],[Coverage Limit]],Table13[Coverage Limit],Table13[Coverage Limit Factor],,0)</f>
        <v>0.84</v>
      </c>
      <c r="AM782">
        <f>IF(Table1820[[#This Row],[Good Student Discount]]="Yes",'Rate Book'!$D$126,1)</f>
        <v>1</v>
      </c>
      <c r="AN782">
        <f>IF(Table1820[[#This Row],[Good Driver Discount]]="Yes",'Rate Book'!$D$127,1)</f>
        <v>0.89</v>
      </c>
      <c r="AO782">
        <f>IF(Table1820[[#This Row],[Multi Policy Discount]]="Yes",'Rate Book'!$D$128,1)</f>
        <v>0.93</v>
      </c>
      <c r="AP782">
        <f>IF(Table1820[[#This Row],[Loyal Customer Discount]]="Yes",'Rate Book'!$D$129,1)</f>
        <v>1</v>
      </c>
      <c r="AQ782">
        <f>IF(Table1820[[#This Row],[Organization Discount]]="Yes",'Rate Book'!$D$130,1)</f>
        <v>0.97</v>
      </c>
      <c r="AR782" cm="1">
        <f t="array" ref="AR782">IF(Table1820[[#This Row],[Effective Date]]&gt;=RateChangeTable[Effective Date],RateChangeTable[Rate Change Factor],1)</f>
        <v>1</v>
      </c>
      <c r="AS782" s="10">
        <f>PRODUCT(Table1820[[#This Row],[Base Rate]:[Rate Change Factor]])</f>
        <v>560.74574664681097</v>
      </c>
      <c r="AT782" s="9">
        <f>Table1820[[#This Row],[System-Generated Premium]]-Table1820[[#This Row],[Expected Premium]]</f>
        <v>0</v>
      </c>
      <c r="AU782" t="str">
        <f>IF(Table1820[[#This Row],[Difference]]=0,"PASS","FAIL")</f>
        <v>PASS</v>
      </c>
      <c r="AV782" s="9">
        <f>ABS(Table1820[[#This Row],[Difference]])</f>
        <v>0</v>
      </c>
      <c r="AW782" s="9" t="s">
        <v>1136</v>
      </c>
    </row>
    <row r="783" spans="1:49" x14ac:dyDescent="0.3">
      <c r="A783" t="s">
        <v>874</v>
      </c>
      <c r="B783" s="7">
        <v>46055</v>
      </c>
      <c r="C783" t="s">
        <v>70</v>
      </c>
      <c r="D783" t="s">
        <v>1099</v>
      </c>
      <c r="E783" s="3">
        <v>2</v>
      </c>
      <c r="F783" s="3">
        <v>4</v>
      </c>
      <c r="G783" t="s">
        <v>13</v>
      </c>
      <c r="H783" t="s">
        <v>1110</v>
      </c>
      <c r="I783" t="s">
        <v>34</v>
      </c>
      <c r="J783" t="s">
        <v>52</v>
      </c>
      <c r="K783" t="s">
        <v>10</v>
      </c>
      <c r="L783" t="s">
        <v>10</v>
      </c>
      <c r="M783" t="s">
        <v>10</v>
      </c>
      <c r="N783" t="s">
        <v>57</v>
      </c>
      <c r="O783" t="str">
        <f>INDEX(CoverageTable[Deductible Applies],MATCH(Table1820[[#This Row],[Coverage]],CoverageTable[Coverage],0))</f>
        <v>No</v>
      </c>
      <c r="P783" t="str">
        <f>INDEX(CoverageTable[Coverage Limit Applies],MATCH(Table1820[[#This Row],[Coverage]],CoverageTable[Coverage],0))</f>
        <v>Yes</v>
      </c>
      <c r="Q783" t="s">
        <v>10</v>
      </c>
      <c r="R783" t="s">
        <v>79</v>
      </c>
      <c r="S783" t="s">
        <v>57</v>
      </c>
      <c r="T783" t="s">
        <v>57</v>
      </c>
      <c r="U783" t="s">
        <v>57</v>
      </c>
      <c r="V783" t="s">
        <v>57</v>
      </c>
      <c r="W783" t="s">
        <v>10</v>
      </c>
      <c r="X783" s="11">
        <v>2867.82</v>
      </c>
      <c r="Y783">
        <f>_xlfn.XLOOKUP(Table1820[[#This Row],[Coverage]],CoverageTable[Coverage],CoverageTable[Base Rate],,0)</f>
        <v>622</v>
      </c>
      <c r="Z783">
        <f>INDEX(Table16[Ageband Factor],MATCH(Table1820[[#This Row],[Ageband]],Table16[Ageband],0))</f>
        <v>1</v>
      </c>
      <c r="AA783">
        <f>VLOOKUP(Table1820[[#This Row],[Years Driving]],Table1[],2)</f>
        <v>1.41</v>
      </c>
      <c r="AB783">
        <f>_xlfn.XLOOKUP(Table1820[[#This Row],[At Fault Accidents]],Table2[At Fault Accidents],Table2[At Fault Accident Factor],,0)</f>
        <v>2.12</v>
      </c>
      <c r="AC783">
        <f>_xlfn.XLOOKUP(Table1820[[#This Row],[Usage-Based Insurance]],Table3[Usage-Based Insurance],Table3[Usage-Based Insurance Discount],,0)</f>
        <v>0.65</v>
      </c>
      <c r="AD783">
        <f>_xlfn.XLOOKUP(Table1820[[#This Row],[Yearly Miles]],Table4[Yearly Miles],Table4[Yearly Miles Factor],,0)</f>
        <v>1.31</v>
      </c>
      <c r="AE783">
        <f>_xlfn.XLOOKUP(Table1820[[#This Row],[City/Zip Code]],Table5[City/Zip Code],Table5[City/Zip Code Factor],,0)</f>
        <v>1.56</v>
      </c>
      <c r="AF783">
        <f>_xlfn.XLOOKUP(Table1820[[#This Row],[Vehicle Price]],Table6[Vehicle Price],Table6[Vehicle Price Factor])</f>
        <v>1.57</v>
      </c>
      <c r="AG783">
        <f>_xlfn.XLOOKUP(Table1820[[#This Row],[Exotic Car]],Table7[Exotic Car],Table7[Exotic Car Factor],,0)</f>
        <v>1</v>
      </c>
      <c r="AH783">
        <f>_xlfn.XLOOKUP(Table1820[[#This Row],[Difficult Parts]],Table8[Difficult Parts],Table8[Difficult Parts Factor],,0)</f>
        <v>1</v>
      </c>
      <c r="AI783">
        <f>_xlfn.XLOOKUP(Table1820[[#This Row],[High Theft Rate]],Table9[High Theft Rate],Table9[High Theft Rate Factor],,0)</f>
        <v>1</v>
      </c>
      <c r="AJ783">
        <f>_xlfn.XLOOKUP(Table1820[[#This Row],[Advanced Safety Features]],Table10[Advanced Safety Features],Table10[Advanced Safety Features Factor],,0)</f>
        <v>0.88</v>
      </c>
      <c r="AK783">
        <f>_xlfn.XLOOKUP(Table1820[[#This Row],[Deductible]],Table12[Deductible],Table12[Deductible Factor],,0)</f>
        <v>1</v>
      </c>
      <c r="AL783">
        <f>_xlfn.XLOOKUP(Table1820[[#This Row],[Coverage Limit]],Table13[Coverage Limit],Table13[Coverage Limit Factor],,0)</f>
        <v>0.72</v>
      </c>
      <c r="AM783">
        <f>IF(Table1820[[#This Row],[Good Student Discount]]="Yes",'Rate Book'!$D$126,1)</f>
        <v>0.92</v>
      </c>
      <c r="AN783">
        <f>IF(Table1820[[#This Row],[Good Driver Discount]]="Yes",'Rate Book'!$D$127,1)</f>
        <v>0.89</v>
      </c>
      <c r="AO783">
        <f>IF(Table1820[[#This Row],[Multi Policy Discount]]="Yes",'Rate Book'!$D$128,1)</f>
        <v>0.93</v>
      </c>
      <c r="AP783">
        <f>IF(Table1820[[#This Row],[Loyal Customer Discount]]="Yes",'Rate Book'!$D$129,1)</f>
        <v>0.94</v>
      </c>
      <c r="AQ783">
        <f>IF(Table1820[[#This Row],[Organization Discount]]="Yes",'Rate Book'!$D$130,1)</f>
        <v>1</v>
      </c>
      <c r="AR783" cm="1">
        <f t="array" ref="AR783">IF(Table1820[[#This Row],[Effective Date]]&gt;=RateChangeTable[Effective Date],RateChangeTable[Rate Change Factor],1)</f>
        <v>1.06</v>
      </c>
      <c r="AS783" s="10">
        <f>PRODUCT(Table1820[[#This Row],[Base Rate]:[Rate Change Factor]])</f>
        <v>1864.0773579855033</v>
      </c>
      <c r="AT783" s="9">
        <f>Table1820[[#This Row],[System-Generated Premium]]-Table1820[[#This Row],[Expected Premium]]</f>
        <v>1003.7426420144968</v>
      </c>
      <c r="AU783" t="str">
        <f>IF(Table1820[[#This Row],[Difference]]=0,"PASS","FAIL")</f>
        <v>FAIL</v>
      </c>
      <c r="AV783" s="9">
        <f>ABS(Table1820[[#This Row],[Difference]])</f>
        <v>1003.7426420144968</v>
      </c>
      <c r="AW783" s="9" t="s">
        <v>1145</v>
      </c>
    </row>
    <row r="784" spans="1:49" x14ac:dyDescent="0.3">
      <c r="A784" t="s">
        <v>875</v>
      </c>
      <c r="B784" s="7">
        <v>46109</v>
      </c>
      <c r="C784" t="s">
        <v>71</v>
      </c>
      <c r="D784" t="s">
        <v>1099</v>
      </c>
      <c r="E784" s="3">
        <v>4</v>
      </c>
      <c r="F784" s="3">
        <v>0</v>
      </c>
      <c r="G784" t="s">
        <v>10</v>
      </c>
      <c r="H784" t="s">
        <v>1106</v>
      </c>
      <c r="I784" t="s">
        <v>36</v>
      </c>
      <c r="J784" t="s">
        <v>50</v>
      </c>
      <c r="K784" t="s">
        <v>10</v>
      </c>
      <c r="L784" t="s">
        <v>10</v>
      </c>
      <c r="M784" t="s">
        <v>10</v>
      </c>
      <c r="N784" t="s">
        <v>57</v>
      </c>
      <c r="O784" t="str">
        <f>INDEX(CoverageTable[Deductible Applies],MATCH(Table1820[[#This Row],[Coverage]],CoverageTable[Coverage],0))</f>
        <v>Yes</v>
      </c>
      <c r="P784" t="str">
        <f>INDEX(CoverageTable[Coverage Limit Applies],MATCH(Table1820[[#This Row],[Coverage]],CoverageTable[Coverage],0))</f>
        <v>No</v>
      </c>
      <c r="Q784" t="s">
        <v>78</v>
      </c>
      <c r="R784" t="s">
        <v>10</v>
      </c>
      <c r="S784" t="s">
        <v>10</v>
      </c>
      <c r="T784" t="s">
        <v>10</v>
      </c>
      <c r="U784" t="s">
        <v>10</v>
      </c>
      <c r="V784" t="s">
        <v>10</v>
      </c>
      <c r="W784" t="s">
        <v>10</v>
      </c>
      <c r="X784" s="11">
        <v>400.65620089017591</v>
      </c>
      <c r="Y784">
        <f>_xlfn.XLOOKUP(Table1820[[#This Row],[Coverage]],CoverageTable[Coverage],CoverageTable[Base Rate],,0)</f>
        <v>453</v>
      </c>
      <c r="Z784">
        <f>INDEX(Table16[Ageband Factor],MATCH(Table1820[[#This Row],[Ageband]],Table16[Ageband],0))</f>
        <v>1</v>
      </c>
      <c r="AA784">
        <f>VLOOKUP(Table1820[[#This Row],[Years Driving]],Table1[],2)</f>
        <v>1.1499999999999999</v>
      </c>
      <c r="AB784">
        <f>_xlfn.XLOOKUP(Table1820[[#This Row],[At Fault Accidents]],Table2[At Fault Accidents],Table2[At Fault Accident Factor],,0)</f>
        <v>1</v>
      </c>
      <c r="AC784">
        <f>_xlfn.XLOOKUP(Table1820[[#This Row],[Usage-Based Insurance]],Table3[Usage-Based Insurance],Table3[Usage-Based Insurance Discount],,0)</f>
        <v>1</v>
      </c>
      <c r="AD784">
        <f>_xlfn.XLOOKUP(Table1820[[#This Row],[Yearly Miles]],Table4[Yearly Miles],Table4[Yearly Miles Factor],,0)</f>
        <v>0.82</v>
      </c>
      <c r="AE784">
        <f>_xlfn.XLOOKUP(Table1820[[#This Row],[City/Zip Code]],Table5[City/Zip Code],Table5[City/Zip Code Factor],,0)</f>
        <v>0.98</v>
      </c>
      <c r="AF784">
        <f>_xlfn.XLOOKUP(Table1820[[#This Row],[Vehicle Price]],Table6[Vehicle Price],Table6[Vehicle Price Factor])</f>
        <v>1.08</v>
      </c>
      <c r="AG784">
        <f>_xlfn.XLOOKUP(Table1820[[#This Row],[Exotic Car]],Table7[Exotic Car],Table7[Exotic Car Factor],,0)</f>
        <v>1</v>
      </c>
      <c r="AH784">
        <f>_xlfn.XLOOKUP(Table1820[[#This Row],[Difficult Parts]],Table8[Difficult Parts],Table8[Difficult Parts Factor],,0)</f>
        <v>1</v>
      </c>
      <c r="AI784">
        <f>_xlfn.XLOOKUP(Table1820[[#This Row],[High Theft Rate]],Table9[High Theft Rate],Table9[High Theft Rate Factor],,0)</f>
        <v>1</v>
      </c>
      <c r="AJ784">
        <f>_xlfn.XLOOKUP(Table1820[[#This Row],[Advanced Safety Features]],Table10[Advanced Safety Features],Table10[Advanced Safety Features Factor],,0)</f>
        <v>0.88</v>
      </c>
      <c r="AK784">
        <f>_xlfn.XLOOKUP(Table1820[[#This Row],[Deductible]],Table12[Deductible],Table12[Deductible Factor],,0)</f>
        <v>0.95</v>
      </c>
      <c r="AL784">
        <f>_xlfn.XLOOKUP(Table1820[[#This Row],[Coverage Limit]],Table13[Coverage Limit],Table13[Coverage Limit Factor],,0)</f>
        <v>1</v>
      </c>
      <c r="AM784">
        <f>IF(Table1820[[#This Row],[Good Student Discount]]="Yes",'Rate Book'!$D$126,1)</f>
        <v>1</v>
      </c>
      <c r="AN784">
        <f>IF(Table1820[[#This Row],[Good Driver Discount]]="Yes",'Rate Book'!$D$127,1)</f>
        <v>1</v>
      </c>
      <c r="AO784">
        <f>IF(Table1820[[#This Row],[Multi Policy Discount]]="Yes",'Rate Book'!$D$128,1)</f>
        <v>1</v>
      </c>
      <c r="AP784">
        <f>IF(Table1820[[#This Row],[Loyal Customer Discount]]="Yes",'Rate Book'!$D$129,1)</f>
        <v>1</v>
      </c>
      <c r="AQ784">
        <f>IF(Table1820[[#This Row],[Organization Discount]]="Yes",'Rate Book'!$D$130,1)</f>
        <v>1</v>
      </c>
      <c r="AR784" cm="1">
        <f t="array" ref="AR784">IF(Table1820[[#This Row],[Effective Date]]&gt;=RateChangeTable[Effective Date],RateChangeTable[Rate Change Factor],1)</f>
        <v>1.06</v>
      </c>
      <c r="AS784" s="10">
        <f>PRODUCT(Table1820[[#This Row],[Base Rate]:[Rate Change Factor]])</f>
        <v>400.65620089017591</v>
      </c>
      <c r="AT784" s="9">
        <f>Table1820[[#This Row],[System-Generated Premium]]-Table1820[[#This Row],[Expected Premium]]</f>
        <v>0</v>
      </c>
      <c r="AU784" t="str">
        <f>IF(Table1820[[#This Row],[Difference]]=0,"PASS","FAIL")</f>
        <v>PASS</v>
      </c>
      <c r="AV784" s="9">
        <f>ABS(Table1820[[#This Row],[Difference]])</f>
        <v>0</v>
      </c>
      <c r="AW784" s="9" t="s">
        <v>1136</v>
      </c>
    </row>
    <row r="785" spans="1:49" x14ac:dyDescent="0.3">
      <c r="A785" t="s">
        <v>876</v>
      </c>
      <c r="B785" s="7">
        <v>45792</v>
      </c>
      <c r="C785" t="s">
        <v>73</v>
      </c>
      <c r="D785" t="s">
        <v>1099</v>
      </c>
      <c r="E785" s="3" t="s">
        <v>1103</v>
      </c>
      <c r="F785" s="3">
        <v>1</v>
      </c>
      <c r="G785" t="s">
        <v>13</v>
      </c>
      <c r="H785" t="s">
        <v>1107</v>
      </c>
      <c r="I785" t="s">
        <v>43</v>
      </c>
      <c r="J785" t="s">
        <v>49</v>
      </c>
      <c r="K785" t="s">
        <v>10</v>
      </c>
      <c r="L785" t="s">
        <v>10</v>
      </c>
      <c r="M785" t="s">
        <v>10</v>
      </c>
      <c r="N785" t="s">
        <v>57</v>
      </c>
      <c r="O785" t="str">
        <f>INDEX(CoverageTable[Deductible Applies],MATCH(Table1820[[#This Row],[Coverage]],CoverageTable[Coverage],0))</f>
        <v>No</v>
      </c>
      <c r="P785" t="str">
        <f>INDEX(CoverageTable[Coverage Limit Applies],MATCH(Table1820[[#This Row],[Coverage]],CoverageTable[Coverage],0))</f>
        <v>Yes</v>
      </c>
      <c r="Q785" t="s">
        <v>10</v>
      </c>
      <c r="R785" t="s">
        <v>78</v>
      </c>
      <c r="S785" t="s">
        <v>10</v>
      </c>
      <c r="T785" t="s">
        <v>10</v>
      </c>
      <c r="U785" t="s">
        <v>10</v>
      </c>
      <c r="V785" t="s">
        <v>57</v>
      </c>
      <c r="W785" t="s">
        <v>10</v>
      </c>
      <c r="X785" s="11">
        <v>33.936945979797848</v>
      </c>
      <c r="Y785">
        <f>_xlfn.XLOOKUP(Table1820[[#This Row],[Coverage]],CoverageTable[Coverage],CoverageTable[Base Rate],,0)</f>
        <v>78</v>
      </c>
      <c r="Z785">
        <f>INDEX(Table16[Ageband Factor],MATCH(Table1820[[#This Row],[Ageband]],Table16[Ageband],0))</f>
        <v>1</v>
      </c>
      <c r="AA785">
        <f>VLOOKUP(Table1820[[#This Row],[Years Driving]],Table1[],2)</f>
        <v>0.93</v>
      </c>
      <c r="AB785">
        <f>_xlfn.XLOOKUP(Table1820[[#This Row],[At Fault Accidents]],Table2[At Fault Accidents],Table2[At Fault Accident Factor],,0)</f>
        <v>1.34</v>
      </c>
      <c r="AC785">
        <f>_xlfn.XLOOKUP(Table1820[[#This Row],[Usage-Based Insurance]],Table3[Usage-Based Insurance],Table3[Usage-Based Insurance Discount],,0)</f>
        <v>0.65</v>
      </c>
      <c r="AD785">
        <f>_xlfn.XLOOKUP(Table1820[[#This Row],[Yearly Miles]],Table4[Yearly Miles],Table4[Yearly Miles Factor],,0)</f>
        <v>0.93</v>
      </c>
      <c r="AE785">
        <f>_xlfn.XLOOKUP(Table1820[[#This Row],[City/Zip Code]],Table5[City/Zip Code],Table5[City/Zip Code Factor],,0)</f>
        <v>1.18</v>
      </c>
      <c r="AF785">
        <f>_xlfn.XLOOKUP(Table1820[[#This Row],[Vehicle Price]],Table6[Vehicle Price],Table6[Vehicle Price Factor])</f>
        <v>0.97</v>
      </c>
      <c r="AG785">
        <f>_xlfn.XLOOKUP(Table1820[[#This Row],[Exotic Car]],Table7[Exotic Car],Table7[Exotic Car Factor],,0)</f>
        <v>1</v>
      </c>
      <c r="AH785">
        <f>_xlfn.XLOOKUP(Table1820[[#This Row],[Difficult Parts]],Table8[Difficult Parts],Table8[Difficult Parts Factor],,0)</f>
        <v>1</v>
      </c>
      <c r="AI785">
        <f>_xlfn.XLOOKUP(Table1820[[#This Row],[High Theft Rate]],Table9[High Theft Rate],Table9[High Theft Rate Factor],,0)</f>
        <v>1</v>
      </c>
      <c r="AJ785">
        <f>_xlfn.XLOOKUP(Table1820[[#This Row],[Advanced Safety Features]],Table10[Advanced Safety Features],Table10[Advanced Safety Features Factor],,0)</f>
        <v>0.88</v>
      </c>
      <c r="AK785">
        <f>_xlfn.XLOOKUP(Table1820[[#This Row],[Deductible]],Table12[Deductible],Table12[Deductible Factor],,0)</f>
        <v>1</v>
      </c>
      <c r="AL785">
        <f>_xlfn.XLOOKUP(Table1820[[#This Row],[Coverage Limit]],Table13[Coverage Limit],Table13[Coverage Limit Factor],,0)</f>
        <v>0.61</v>
      </c>
      <c r="AM785">
        <f>IF(Table1820[[#This Row],[Good Student Discount]]="Yes",'Rate Book'!$D$126,1)</f>
        <v>1</v>
      </c>
      <c r="AN785">
        <f>IF(Table1820[[#This Row],[Good Driver Discount]]="Yes",'Rate Book'!$D$127,1)</f>
        <v>1</v>
      </c>
      <c r="AO785">
        <f>IF(Table1820[[#This Row],[Multi Policy Discount]]="Yes",'Rate Book'!$D$128,1)</f>
        <v>1</v>
      </c>
      <c r="AP785">
        <f>IF(Table1820[[#This Row],[Loyal Customer Discount]]="Yes",'Rate Book'!$D$129,1)</f>
        <v>0.94</v>
      </c>
      <c r="AQ785">
        <f>IF(Table1820[[#This Row],[Organization Discount]]="Yes",'Rate Book'!$D$130,1)</f>
        <v>1</v>
      </c>
      <c r="AR785" cm="1">
        <f t="array" ref="AR785">IF(Table1820[[#This Row],[Effective Date]]&gt;=RateChangeTable[Effective Date],RateChangeTable[Rate Change Factor],1)</f>
        <v>1</v>
      </c>
      <c r="AS785" s="10">
        <f>PRODUCT(Table1820[[#This Row],[Base Rate]:[Rate Change Factor]])</f>
        <v>33.936945979797848</v>
      </c>
      <c r="AT785" s="9">
        <f>Table1820[[#This Row],[System-Generated Premium]]-Table1820[[#This Row],[Expected Premium]]</f>
        <v>0</v>
      </c>
      <c r="AU785" t="str">
        <f>IF(Table1820[[#This Row],[Difference]]=0,"PASS","FAIL")</f>
        <v>PASS</v>
      </c>
      <c r="AV785" s="9">
        <f>ABS(Table1820[[#This Row],[Difference]])</f>
        <v>0</v>
      </c>
      <c r="AW785" s="9" t="s">
        <v>1136</v>
      </c>
    </row>
    <row r="786" spans="1:49" x14ac:dyDescent="0.3">
      <c r="A786" t="s">
        <v>877</v>
      </c>
      <c r="B786" s="7">
        <v>45866</v>
      </c>
      <c r="C786" t="s">
        <v>74</v>
      </c>
      <c r="D786" t="s">
        <v>1101</v>
      </c>
      <c r="E786" s="3" t="s">
        <v>1103</v>
      </c>
      <c r="F786" s="3">
        <v>4</v>
      </c>
      <c r="G786" t="s">
        <v>12</v>
      </c>
      <c r="H786" t="s">
        <v>1109</v>
      </c>
      <c r="I786" t="s">
        <v>42</v>
      </c>
      <c r="J786" t="s">
        <v>51</v>
      </c>
      <c r="K786" t="s">
        <v>10</v>
      </c>
      <c r="L786" t="s">
        <v>10</v>
      </c>
      <c r="M786" t="s">
        <v>57</v>
      </c>
      <c r="N786" t="s">
        <v>57</v>
      </c>
      <c r="O786" t="str">
        <f>INDEX(CoverageTable[Deductible Applies],MATCH(Table1820[[#This Row],[Coverage]],CoverageTable[Coverage],0))</f>
        <v>No</v>
      </c>
      <c r="P786" t="str">
        <f>INDEX(CoverageTable[Coverage Limit Applies],MATCH(Table1820[[#This Row],[Coverage]],CoverageTable[Coverage],0))</f>
        <v>Yes</v>
      </c>
      <c r="Q786" t="s">
        <v>10</v>
      </c>
      <c r="R786" t="s">
        <v>79</v>
      </c>
      <c r="S786" t="s">
        <v>10</v>
      </c>
      <c r="T786" t="s">
        <v>57</v>
      </c>
      <c r="U786" t="s">
        <v>10</v>
      </c>
      <c r="V786" t="s">
        <v>10</v>
      </c>
      <c r="W786" t="s">
        <v>10</v>
      </c>
      <c r="X786" s="11">
        <v>86.586699900181799</v>
      </c>
      <c r="Y786">
        <f>_xlfn.XLOOKUP(Table1820[[#This Row],[Coverage]],CoverageTable[Coverage],CoverageTable[Base Rate],,0)</f>
        <v>41</v>
      </c>
      <c r="Z786">
        <f>INDEX(Table16[Ageband Factor],MATCH(Table1820[[#This Row],[Ageband]],Table16[Ageband],0))</f>
        <v>1.1200000000000001</v>
      </c>
      <c r="AA786">
        <f>VLOOKUP(Table1820[[#This Row],[Years Driving]],Table1[],2)</f>
        <v>0.93</v>
      </c>
      <c r="AB786">
        <f>_xlfn.XLOOKUP(Table1820[[#This Row],[At Fault Accidents]],Table2[At Fault Accidents],Table2[At Fault Accident Factor],,0)</f>
        <v>2.12</v>
      </c>
      <c r="AC786">
        <f>_xlfn.XLOOKUP(Table1820[[#This Row],[Usage-Based Insurance]],Table3[Usage-Based Insurance],Table3[Usage-Based Insurance Discount],,0)</f>
        <v>0.8</v>
      </c>
      <c r="AD786">
        <f>_xlfn.XLOOKUP(Table1820[[#This Row],[Yearly Miles]],Table4[Yearly Miles],Table4[Yearly Miles Factor],,0)</f>
        <v>1.18</v>
      </c>
      <c r="AE786">
        <f>_xlfn.XLOOKUP(Table1820[[#This Row],[City/Zip Code]],Table5[City/Zip Code],Table5[City/Zip Code Factor],,0)</f>
        <v>1.21</v>
      </c>
      <c r="AF786">
        <f>_xlfn.XLOOKUP(Table1820[[#This Row],[Vehicle Price]],Table6[Vehicle Price],Table6[Vehicle Price Factor])</f>
        <v>1.28</v>
      </c>
      <c r="AG786">
        <f>_xlfn.XLOOKUP(Table1820[[#This Row],[Exotic Car]],Table7[Exotic Car],Table7[Exotic Car Factor],,0)</f>
        <v>1</v>
      </c>
      <c r="AH786">
        <f>_xlfn.XLOOKUP(Table1820[[#This Row],[Difficult Parts]],Table8[Difficult Parts],Table8[Difficult Parts Factor],,0)</f>
        <v>1</v>
      </c>
      <c r="AI786">
        <f>_xlfn.XLOOKUP(Table1820[[#This Row],[High Theft Rate]],Table9[High Theft Rate],Table9[High Theft Rate Factor],,0)</f>
        <v>1.1599999999999999</v>
      </c>
      <c r="AJ786">
        <f>_xlfn.XLOOKUP(Table1820[[#This Row],[Advanced Safety Features]],Table10[Advanced Safety Features],Table10[Advanced Safety Features Factor],,0)</f>
        <v>0.88</v>
      </c>
      <c r="AK786">
        <f>_xlfn.XLOOKUP(Table1820[[#This Row],[Deductible]],Table12[Deductible],Table12[Deductible Factor],,0)</f>
        <v>1</v>
      </c>
      <c r="AL786">
        <f>_xlfn.XLOOKUP(Table1820[[#This Row],[Coverage Limit]],Table13[Coverage Limit],Table13[Coverage Limit Factor],,0)</f>
        <v>0.72</v>
      </c>
      <c r="AM786">
        <f>IF(Table1820[[#This Row],[Good Student Discount]]="Yes",'Rate Book'!$D$126,1)</f>
        <v>1</v>
      </c>
      <c r="AN786">
        <f>IF(Table1820[[#This Row],[Good Driver Discount]]="Yes",'Rate Book'!$D$127,1)</f>
        <v>0.89</v>
      </c>
      <c r="AO786">
        <f>IF(Table1820[[#This Row],[Multi Policy Discount]]="Yes",'Rate Book'!$D$128,1)</f>
        <v>1</v>
      </c>
      <c r="AP786">
        <f>IF(Table1820[[#This Row],[Loyal Customer Discount]]="Yes",'Rate Book'!$D$129,1)</f>
        <v>1</v>
      </c>
      <c r="AQ786">
        <f>IF(Table1820[[#This Row],[Organization Discount]]="Yes",'Rate Book'!$D$130,1)</f>
        <v>1</v>
      </c>
      <c r="AR786" cm="1">
        <f t="array" ref="AR786">IF(Table1820[[#This Row],[Effective Date]]&gt;=RateChangeTable[Effective Date],RateChangeTable[Rate Change Factor],1)</f>
        <v>1</v>
      </c>
      <c r="AS786" s="10">
        <f>PRODUCT(Table1820[[#This Row],[Base Rate]:[Rate Change Factor]])</f>
        <v>86.586699900181799</v>
      </c>
      <c r="AT786" s="9">
        <f>Table1820[[#This Row],[System-Generated Premium]]-Table1820[[#This Row],[Expected Premium]]</f>
        <v>0</v>
      </c>
      <c r="AU786" t="str">
        <f>IF(Table1820[[#This Row],[Difference]]=0,"PASS","FAIL")</f>
        <v>PASS</v>
      </c>
      <c r="AV786" s="9">
        <f>ABS(Table1820[[#This Row],[Difference]])</f>
        <v>0</v>
      </c>
      <c r="AW786" s="9" t="s">
        <v>1136</v>
      </c>
    </row>
    <row r="787" spans="1:49" x14ac:dyDescent="0.3">
      <c r="A787" t="s">
        <v>878</v>
      </c>
      <c r="B787" s="7">
        <v>45798</v>
      </c>
      <c r="C787" t="s">
        <v>70</v>
      </c>
      <c r="D787" t="s">
        <v>1099</v>
      </c>
      <c r="E787" s="3">
        <v>4</v>
      </c>
      <c r="F787" s="3">
        <v>4</v>
      </c>
      <c r="G787" t="s">
        <v>10</v>
      </c>
      <c r="H787" t="s">
        <v>1109</v>
      </c>
      <c r="I787" t="s">
        <v>39</v>
      </c>
      <c r="J787" t="s">
        <v>53</v>
      </c>
      <c r="K787" t="s">
        <v>10</v>
      </c>
      <c r="L787" t="s">
        <v>10</v>
      </c>
      <c r="M787" t="s">
        <v>10</v>
      </c>
      <c r="N787" t="s">
        <v>10</v>
      </c>
      <c r="O787" t="str">
        <f>INDEX(CoverageTable[Deductible Applies],MATCH(Table1820[[#This Row],[Coverage]],CoverageTable[Coverage],0))</f>
        <v>No</v>
      </c>
      <c r="P787" t="str">
        <f>INDEX(CoverageTable[Coverage Limit Applies],MATCH(Table1820[[#This Row],[Coverage]],CoverageTable[Coverage],0))</f>
        <v>Yes</v>
      </c>
      <c r="Q787" t="s">
        <v>10</v>
      </c>
      <c r="R787" t="s">
        <v>78</v>
      </c>
      <c r="S787" t="s">
        <v>57</v>
      </c>
      <c r="T787" t="s">
        <v>10</v>
      </c>
      <c r="U787" t="s">
        <v>10</v>
      </c>
      <c r="V787" t="s">
        <v>57</v>
      </c>
      <c r="W787" t="s">
        <v>10</v>
      </c>
      <c r="X787" s="11">
        <v>2059.3337360210517</v>
      </c>
      <c r="Y787">
        <f>_xlfn.XLOOKUP(Table1820[[#This Row],[Coverage]],CoverageTable[Coverage],CoverageTable[Base Rate],,0)</f>
        <v>622</v>
      </c>
      <c r="Z787">
        <f>INDEX(Table16[Ageband Factor],MATCH(Table1820[[#This Row],[Ageband]],Table16[Ageband],0))</f>
        <v>1</v>
      </c>
      <c r="AA787">
        <f>VLOOKUP(Table1820[[#This Row],[Years Driving]],Table1[],2)</f>
        <v>1.1499999999999999</v>
      </c>
      <c r="AB787">
        <f>_xlfn.XLOOKUP(Table1820[[#This Row],[At Fault Accidents]],Table2[At Fault Accidents],Table2[At Fault Accident Factor],,0)</f>
        <v>2.12</v>
      </c>
      <c r="AC787">
        <f>_xlfn.XLOOKUP(Table1820[[#This Row],[Usage-Based Insurance]],Table3[Usage-Based Insurance],Table3[Usage-Based Insurance Discount],,0)</f>
        <v>1</v>
      </c>
      <c r="AD787">
        <f>_xlfn.XLOOKUP(Table1820[[#This Row],[Yearly Miles]],Table4[Yearly Miles],Table4[Yearly Miles Factor],,0)</f>
        <v>1.18</v>
      </c>
      <c r="AE787">
        <f>_xlfn.XLOOKUP(Table1820[[#This Row],[City/Zip Code]],Table5[City/Zip Code],Table5[City/Zip Code Factor],,0)</f>
        <v>1.08</v>
      </c>
      <c r="AF787">
        <f>_xlfn.XLOOKUP(Table1820[[#This Row],[Vehicle Price]],Table6[Vehicle Price],Table6[Vehicle Price Factor])</f>
        <v>2.02</v>
      </c>
      <c r="AG787">
        <f>_xlfn.XLOOKUP(Table1820[[#This Row],[Exotic Car]],Table7[Exotic Car],Table7[Exotic Car Factor],,0)</f>
        <v>1</v>
      </c>
      <c r="AH787">
        <f>_xlfn.XLOOKUP(Table1820[[#This Row],[Difficult Parts]],Table8[Difficult Parts],Table8[Difficult Parts Factor],,0)</f>
        <v>1</v>
      </c>
      <c r="AI787">
        <f>_xlfn.XLOOKUP(Table1820[[#This Row],[High Theft Rate]],Table9[High Theft Rate],Table9[High Theft Rate Factor],,0)</f>
        <v>1</v>
      </c>
      <c r="AJ787">
        <f>_xlfn.XLOOKUP(Table1820[[#This Row],[Advanced Safety Features]],Table10[Advanced Safety Features],Table10[Advanced Safety Features Factor],,0)</f>
        <v>1</v>
      </c>
      <c r="AK787">
        <f>_xlfn.XLOOKUP(Table1820[[#This Row],[Deductible]],Table12[Deductible],Table12[Deductible Factor],,0)</f>
        <v>1</v>
      </c>
      <c r="AL787">
        <f>_xlfn.XLOOKUP(Table1820[[#This Row],[Coverage Limit]],Table13[Coverage Limit],Table13[Coverage Limit Factor],,0)</f>
        <v>0.61</v>
      </c>
      <c r="AM787">
        <f>IF(Table1820[[#This Row],[Good Student Discount]]="Yes",'Rate Book'!$D$126,1)</f>
        <v>0.92</v>
      </c>
      <c r="AN787">
        <f>IF(Table1820[[#This Row],[Good Driver Discount]]="Yes",'Rate Book'!$D$127,1)</f>
        <v>1</v>
      </c>
      <c r="AO787">
        <f>IF(Table1820[[#This Row],[Multi Policy Discount]]="Yes",'Rate Book'!$D$128,1)</f>
        <v>1</v>
      </c>
      <c r="AP787">
        <f>IF(Table1820[[#This Row],[Loyal Customer Discount]]="Yes",'Rate Book'!$D$129,1)</f>
        <v>0.94</v>
      </c>
      <c r="AQ787">
        <f>IF(Table1820[[#This Row],[Organization Discount]]="Yes",'Rate Book'!$D$130,1)</f>
        <v>1</v>
      </c>
      <c r="AR787" cm="1">
        <f t="array" ref="AR787">IF(Table1820[[#This Row],[Effective Date]]&gt;=RateChangeTable[Effective Date],RateChangeTable[Rate Change Factor],1)</f>
        <v>1</v>
      </c>
      <c r="AS787" s="10">
        <f>PRODUCT(Table1820[[#This Row],[Base Rate]:[Rate Change Factor]])</f>
        <v>2059.3337360210517</v>
      </c>
      <c r="AT787" s="9">
        <f>Table1820[[#This Row],[System-Generated Premium]]-Table1820[[#This Row],[Expected Premium]]</f>
        <v>0</v>
      </c>
      <c r="AU787" t="str">
        <f>IF(Table1820[[#This Row],[Difference]]=0,"PASS","FAIL")</f>
        <v>PASS</v>
      </c>
      <c r="AV787" s="9">
        <f>ABS(Table1820[[#This Row],[Difference]])</f>
        <v>0</v>
      </c>
      <c r="AW787" s="9" t="s">
        <v>1136</v>
      </c>
    </row>
    <row r="788" spans="1:49" x14ac:dyDescent="0.3">
      <c r="A788" t="s">
        <v>879</v>
      </c>
      <c r="B788" s="7">
        <v>45838</v>
      </c>
      <c r="C788" t="s">
        <v>73</v>
      </c>
      <c r="D788" t="s">
        <v>1099</v>
      </c>
      <c r="E788" s="3" t="s">
        <v>1103</v>
      </c>
      <c r="F788" s="3">
        <v>3</v>
      </c>
      <c r="G788" t="s">
        <v>11</v>
      </c>
      <c r="H788" t="s">
        <v>1106</v>
      </c>
      <c r="I788" t="s">
        <v>31</v>
      </c>
      <c r="J788" t="s">
        <v>54</v>
      </c>
      <c r="K788" t="s">
        <v>10</v>
      </c>
      <c r="L788" t="s">
        <v>10</v>
      </c>
      <c r="M788" t="s">
        <v>57</v>
      </c>
      <c r="N788" t="s">
        <v>10</v>
      </c>
      <c r="O788" t="str">
        <f>INDEX(CoverageTable[Deductible Applies],MATCH(Table1820[[#This Row],[Coverage]],CoverageTable[Coverage],0))</f>
        <v>No</v>
      </c>
      <c r="P788" t="str">
        <f>INDEX(CoverageTable[Coverage Limit Applies],MATCH(Table1820[[#This Row],[Coverage]],CoverageTable[Coverage],0))</f>
        <v>Yes</v>
      </c>
      <c r="Q788" t="s">
        <v>10</v>
      </c>
      <c r="R788" t="s">
        <v>78</v>
      </c>
      <c r="S788" t="s">
        <v>10</v>
      </c>
      <c r="T788" t="s">
        <v>10</v>
      </c>
      <c r="U788" t="s">
        <v>10</v>
      </c>
      <c r="V788" t="s">
        <v>10</v>
      </c>
      <c r="W788" t="s">
        <v>10</v>
      </c>
      <c r="X788" s="11">
        <v>231.83505065344482</v>
      </c>
      <c r="Y788">
        <f>_xlfn.XLOOKUP(Table1820[[#This Row],[Coverage]],CoverageTable[Coverage],CoverageTable[Base Rate],,0)</f>
        <v>78</v>
      </c>
      <c r="Z788">
        <f>INDEX(Table16[Ageband Factor],MATCH(Table1820[[#This Row],[Ageband]],Table16[Ageband],0))</f>
        <v>1</v>
      </c>
      <c r="AA788">
        <f>VLOOKUP(Table1820[[#This Row],[Years Driving]],Table1[],2)</f>
        <v>0.93</v>
      </c>
      <c r="AB788">
        <f>_xlfn.XLOOKUP(Table1820[[#This Row],[At Fault Accidents]],Table2[At Fault Accidents],Table2[At Fault Accident Factor],,0)</f>
        <v>1.82</v>
      </c>
      <c r="AC788">
        <f>_xlfn.XLOOKUP(Table1820[[#This Row],[Usage-Based Insurance]],Table3[Usage-Based Insurance],Table3[Usage-Based Insurance Discount],,0)</f>
        <v>0.95</v>
      </c>
      <c r="AD788">
        <f>_xlfn.XLOOKUP(Table1820[[#This Row],[Yearly Miles]],Table4[Yearly Miles],Table4[Yearly Miles Factor],,0)</f>
        <v>0.82</v>
      </c>
      <c r="AE788">
        <f>_xlfn.XLOOKUP(Table1820[[#This Row],[City/Zip Code]],Table5[City/Zip Code],Table5[City/Zip Code Factor],,0)</f>
        <v>1.1100000000000001</v>
      </c>
      <c r="AF788">
        <f>_xlfn.XLOOKUP(Table1820[[#This Row],[Vehicle Price]],Table6[Vehicle Price],Table6[Vehicle Price Factor])</f>
        <v>2.87</v>
      </c>
      <c r="AG788">
        <f>_xlfn.XLOOKUP(Table1820[[#This Row],[Exotic Car]],Table7[Exotic Car],Table7[Exotic Car Factor],,0)</f>
        <v>1</v>
      </c>
      <c r="AH788">
        <f>_xlfn.XLOOKUP(Table1820[[#This Row],[Difficult Parts]],Table8[Difficult Parts],Table8[Difficult Parts Factor],,0)</f>
        <v>1</v>
      </c>
      <c r="AI788">
        <f>_xlfn.XLOOKUP(Table1820[[#This Row],[High Theft Rate]],Table9[High Theft Rate],Table9[High Theft Rate Factor],,0)</f>
        <v>1.1599999999999999</v>
      </c>
      <c r="AJ788">
        <f>_xlfn.XLOOKUP(Table1820[[#This Row],[Advanced Safety Features]],Table10[Advanced Safety Features],Table10[Advanced Safety Features Factor],,0)</f>
        <v>1</v>
      </c>
      <c r="AK788">
        <f>_xlfn.XLOOKUP(Table1820[[#This Row],[Deductible]],Table12[Deductible],Table12[Deductible Factor],,0)</f>
        <v>1</v>
      </c>
      <c r="AL788">
        <f>_xlfn.XLOOKUP(Table1820[[#This Row],[Coverage Limit]],Table13[Coverage Limit],Table13[Coverage Limit Factor],,0)</f>
        <v>0.61</v>
      </c>
      <c r="AM788">
        <f>IF(Table1820[[#This Row],[Good Student Discount]]="Yes",'Rate Book'!$D$126,1)</f>
        <v>1</v>
      </c>
      <c r="AN788">
        <f>IF(Table1820[[#This Row],[Good Driver Discount]]="Yes",'Rate Book'!$D$127,1)</f>
        <v>1</v>
      </c>
      <c r="AO788">
        <f>IF(Table1820[[#This Row],[Multi Policy Discount]]="Yes",'Rate Book'!$D$128,1)</f>
        <v>1</v>
      </c>
      <c r="AP788">
        <f>IF(Table1820[[#This Row],[Loyal Customer Discount]]="Yes",'Rate Book'!$D$129,1)</f>
        <v>1</v>
      </c>
      <c r="AQ788">
        <f>IF(Table1820[[#This Row],[Organization Discount]]="Yes",'Rate Book'!$D$130,1)</f>
        <v>1</v>
      </c>
      <c r="AR788" cm="1">
        <f t="array" ref="AR788">IF(Table1820[[#This Row],[Effective Date]]&gt;=RateChangeTable[Effective Date],RateChangeTable[Rate Change Factor],1)</f>
        <v>1</v>
      </c>
      <c r="AS788" s="10">
        <f>PRODUCT(Table1820[[#This Row],[Base Rate]:[Rate Change Factor]])</f>
        <v>231.83505065344482</v>
      </c>
      <c r="AT788" s="9">
        <f>Table1820[[#This Row],[System-Generated Premium]]-Table1820[[#This Row],[Expected Premium]]</f>
        <v>0</v>
      </c>
      <c r="AU788" t="str">
        <f>IF(Table1820[[#This Row],[Difference]]=0,"PASS","FAIL")</f>
        <v>PASS</v>
      </c>
      <c r="AV788" s="9">
        <f>ABS(Table1820[[#This Row],[Difference]])</f>
        <v>0</v>
      </c>
      <c r="AW788" s="9" t="s">
        <v>1136</v>
      </c>
    </row>
    <row r="789" spans="1:49" x14ac:dyDescent="0.3">
      <c r="A789" t="s">
        <v>880</v>
      </c>
      <c r="B789" s="7">
        <v>46005</v>
      </c>
      <c r="C789" t="s">
        <v>70</v>
      </c>
      <c r="D789" t="s">
        <v>1102</v>
      </c>
      <c r="E789" s="3">
        <v>6</v>
      </c>
      <c r="F789" s="3">
        <v>0</v>
      </c>
      <c r="G789" t="s">
        <v>10</v>
      </c>
      <c r="H789" t="s">
        <v>1106</v>
      </c>
      <c r="I789" t="s">
        <v>39</v>
      </c>
      <c r="J789" t="s">
        <v>49</v>
      </c>
      <c r="K789" t="s">
        <v>10</v>
      </c>
      <c r="L789" t="s">
        <v>57</v>
      </c>
      <c r="M789" t="s">
        <v>10</v>
      </c>
      <c r="N789" t="s">
        <v>10</v>
      </c>
      <c r="O789" t="str">
        <f>INDEX(CoverageTable[Deductible Applies],MATCH(Table1820[[#This Row],[Coverage]],CoverageTable[Coverage],0))</f>
        <v>No</v>
      </c>
      <c r="P789" t="str">
        <f>INDEX(CoverageTable[Coverage Limit Applies],MATCH(Table1820[[#This Row],[Coverage]],CoverageTable[Coverage],0))</f>
        <v>Yes</v>
      </c>
      <c r="Q789" t="s">
        <v>10</v>
      </c>
      <c r="R789" t="s">
        <v>79</v>
      </c>
      <c r="S789" t="s">
        <v>57</v>
      </c>
      <c r="T789" t="s">
        <v>10</v>
      </c>
      <c r="U789" t="s">
        <v>57</v>
      </c>
      <c r="V789" t="s">
        <v>10</v>
      </c>
      <c r="W789" t="s">
        <v>57</v>
      </c>
      <c r="X789" s="11">
        <v>490.64098628431782</v>
      </c>
      <c r="Y789">
        <f>_xlfn.XLOOKUP(Table1820[[#This Row],[Coverage]],CoverageTable[Coverage],CoverageTable[Base Rate],,0)</f>
        <v>622</v>
      </c>
      <c r="Z789">
        <f>INDEX(Table16[Ageband Factor],MATCH(Table1820[[#This Row],[Ageband]],Table16[Ageband],0))</f>
        <v>1.27</v>
      </c>
      <c r="AA789">
        <f>VLOOKUP(Table1820[[#This Row],[Years Driving]],Table1[],2)</f>
        <v>1</v>
      </c>
      <c r="AB789">
        <f>_xlfn.XLOOKUP(Table1820[[#This Row],[At Fault Accidents]],Table2[At Fault Accidents],Table2[At Fault Accident Factor],,0)</f>
        <v>1</v>
      </c>
      <c r="AC789">
        <f>_xlfn.XLOOKUP(Table1820[[#This Row],[Usage-Based Insurance]],Table3[Usage-Based Insurance],Table3[Usage-Based Insurance Discount],,0)</f>
        <v>1</v>
      </c>
      <c r="AD789">
        <f>_xlfn.XLOOKUP(Table1820[[#This Row],[Yearly Miles]],Table4[Yearly Miles],Table4[Yearly Miles Factor],,0)</f>
        <v>0.82</v>
      </c>
      <c r="AE789">
        <f>_xlfn.XLOOKUP(Table1820[[#This Row],[City/Zip Code]],Table5[City/Zip Code],Table5[City/Zip Code Factor],,0)</f>
        <v>1.08</v>
      </c>
      <c r="AF789">
        <f>_xlfn.XLOOKUP(Table1820[[#This Row],[Vehicle Price]],Table6[Vehicle Price],Table6[Vehicle Price Factor])</f>
        <v>0.97</v>
      </c>
      <c r="AG789">
        <f>_xlfn.XLOOKUP(Table1820[[#This Row],[Exotic Car]],Table7[Exotic Car],Table7[Exotic Car Factor],,0)</f>
        <v>1</v>
      </c>
      <c r="AH789">
        <f>_xlfn.XLOOKUP(Table1820[[#This Row],[Difficult Parts]],Table8[Difficult Parts],Table8[Difficult Parts Factor],,0)</f>
        <v>1.21</v>
      </c>
      <c r="AI789">
        <f>_xlfn.XLOOKUP(Table1820[[#This Row],[High Theft Rate]],Table9[High Theft Rate],Table9[High Theft Rate Factor],,0)</f>
        <v>1</v>
      </c>
      <c r="AJ789">
        <f>_xlfn.XLOOKUP(Table1820[[#This Row],[Advanced Safety Features]],Table10[Advanced Safety Features],Table10[Advanced Safety Features Factor],,0)</f>
        <v>1</v>
      </c>
      <c r="AK789">
        <f>_xlfn.XLOOKUP(Table1820[[#This Row],[Deductible]],Table12[Deductible],Table12[Deductible Factor],,0)</f>
        <v>1</v>
      </c>
      <c r="AL789">
        <f>_xlfn.XLOOKUP(Table1820[[#This Row],[Coverage Limit]],Table13[Coverage Limit],Table13[Coverage Limit Factor],,0)</f>
        <v>0.72</v>
      </c>
      <c r="AM789">
        <f>IF(Table1820[[#This Row],[Good Student Discount]]="Yes",'Rate Book'!$D$126,1)</f>
        <v>0.92</v>
      </c>
      <c r="AN789">
        <f>IF(Table1820[[#This Row],[Good Driver Discount]]="Yes",'Rate Book'!$D$127,1)</f>
        <v>1</v>
      </c>
      <c r="AO789">
        <f>IF(Table1820[[#This Row],[Multi Policy Discount]]="Yes",'Rate Book'!$D$128,1)</f>
        <v>0.93</v>
      </c>
      <c r="AP789">
        <f>IF(Table1820[[#This Row],[Loyal Customer Discount]]="Yes",'Rate Book'!$D$129,1)</f>
        <v>1</v>
      </c>
      <c r="AQ789">
        <f>IF(Table1820[[#This Row],[Organization Discount]]="Yes",'Rate Book'!$D$130,1)</f>
        <v>0.97</v>
      </c>
      <c r="AR789" cm="1">
        <f t="array" ref="AR789">IF(Table1820[[#This Row],[Effective Date]]&gt;=RateChangeTable[Effective Date],RateChangeTable[Rate Change Factor],1)</f>
        <v>1</v>
      </c>
      <c r="AS789" s="10">
        <f>PRODUCT(Table1820[[#This Row],[Base Rate]:[Rate Change Factor]])</f>
        <v>490.64098628431782</v>
      </c>
      <c r="AT789" s="9">
        <f>Table1820[[#This Row],[System-Generated Premium]]-Table1820[[#This Row],[Expected Premium]]</f>
        <v>0</v>
      </c>
      <c r="AU789" t="str">
        <f>IF(Table1820[[#This Row],[Difference]]=0,"PASS","FAIL")</f>
        <v>PASS</v>
      </c>
      <c r="AV789" s="9">
        <f>ABS(Table1820[[#This Row],[Difference]])</f>
        <v>0</v>
      </c>
      <c r="AW789" s="9" t="s">
        <v>1136</v>
      </c>
    </row>
    <row r="790" spans="1:49" x14ac:dyDescent="0.3">
      <c r="A790" t="s">
        <v>881</v>
      </c>
      <c r="B790" s="7">
        <v>45861</v>
      </c>
      <c r="C790" t="s">
        <v>71</v>
      </c>
      <c r="D790" t="s">
        <v>1100</v>
      </c>
      <c r="E790" s="3">
        <v>5</v>
      </c>
      <c r="F790" s="3" t="s">
        <v>7</v>
      </c>
      <c r="G790" t="s">
        <v>10</v>
      </c>
      <c r="H790" t="s">
        <v>1106</v>
      </c>
      <c r="I790" t="s">
        <v>36</v>
      </c>
      <c r="J790" t="s">
        <v>48</v>
      </c>
      <c r="K790" t="s">
        <v>10</v>
      </c>
      <c r="L790" t="s">
        <v>57</v>
      </c>
      <c r="M790" t="s">
        <v>10</v>
      </c>
      <c r="N790" t="s">
        <v>10</v>
      </c>
      <c r="O790" t="str">
        <f>INDEX(CoverageTable[Deductible Applies],MATCH(Table1820[[#This Row],[Coverage]],CoverageTable[Coverage],0))</f>
        <v>Yes</v>
      </c>
      <c r="P790" t="str">
        <f>INDEX(CoverageTable[Coverage Limit Applies],MATCH(Table1820[[#This Row],[Coverage]],CoverageTable[Coverage],0))</f>
        <v>No</v>
      </c>
      <c r="Q790" t="s">
        <v>80</v>
      </c>
      <c r="R790" t="s">
        <v>10</v>
      </c>
      <c r="S790" t="s">
        <v>10</v>
      </c>
      <c r="T790" t="s">
        <v>57</v>
      </c>
      <c r="U790" t="s">
        <v>10</v>
      </c>
      <c r="V790" t="s">
        <v>57</v>
      </c>
      <c r="W790" t="s">
        <v>10</v>
      </c>
      <c r="X790" s="11">
        <v>615.25084393701218</v>
      </c>
      <c r="Y790">
        <f>_xlfn.XLOOKUP(Table1820[[#This Row],[Coverage]],CoverageTable[Coverage],CoverageTable[Base Rate],,0)</f>
        <v>453</v>
      </c>
      <c r="Z790">
        <f>INDEX(Table16[Ageband Factor],MATCH(Table1820[[#This Row],[Ageband]],Table16[Ageband],0))</f>
        <v>1.07</v>
      </c>
      <c r="AA790">
        <f>VLOOKUP(Table1820[[#This Row],[Years Driving]],Table1[],2)</f>
        <v>1.07</v>
      </c>
      <c r="AB790">
        <f>_xlfn.XLOOKUP(Table1820[[#This Row],[At Fault Accidents]],Table2[At Fault Accidents],Table2[At Fault Accident Factor],,0)</f>
        <v>2.4700000000000002</v>
      </c>
      <c r="AC790">
        <f>_xlfn.XLOOKUP(Table1820[[#This Row],[Usage-Based Insurance]],Table3[Usage-Based Insurance],Table3[Usage-Based Insurance Discount],,0)</f>
        <v>1</v>
      </c>
      <c r="AD790">
        <f>_xlfn.XLOOKUP(Table1820[[#This Row],[Yearly Miles]],Table4[Yearly Miles],Table4[Yearly Miles Factor],,0)</f>
        <v>0.82</v>
      </c>
      <c r="AE790">
        <f>_xlfn.XLOOKUP(Table1820[[#This Row],[City/Zip Code]],Table5[City/Zip Code],Table5[City/Zip Code Factor],,0)</f>
        <v>0.98</v>
      </c>
      <c r="AF790">
        <f>_xlfn.XLOOKUP(Table1820[[#This Row],[Vehicle Price]],Table6[Vehicle Price],Table6[Vehicle Price Factor])</f>
        <v>0.82</v>
      </c>
      <c r="AG790">
        <f>_xlfn.XLOOKUP(Table1820[[#This Row],[Exotic Car]],Table7[Exotic Car],Table7[Exotic Car Factor],,0)</f>
        <v>1</v>
      </c>
      <c r="AH790">
        <f>_xlfn.XLOOKUP(Table1820[[#This Row],[Difficult Parts]],Table8[Difficult Parts],Table8[Difficult Parts Factor],,0)</f>
        <v>1.21</v>
      </c>
      <c r="AI790">
        <f>_xlfn.XLOOKUP(Table1820[[#This Row],[High Theft Rate]],Table9[High Theft Rate],Table9[High Theft Rate Factor],,0)</f>
        <v>1</v>
      </c>
      <c r="AJ790">
        <f>_xlfn.XLOOKUP(Table1820[[#This Row],[Advanced Safety Features]],Table10[Advanced Safety Features],Table10[Advanced Safety Features Factor],,0)</f>
        <v>1</v>
      </c>
      <c r="AK790">
        <f>_xlfn.XLOOKUP(Table1820[[#This Row],[Deductible]],Table12[Deductible],Table12[Deductible Factor],,0)</f>
        <v>0.72</v>
      </c>
      <c r="AL790">
        <f>_xlfn.XLOOKUP(Table1820[[#This Row],[Coverage Limit]],Table13[Coverage Limit],Table13[Coverage Limit Factor],,0)</f>
        <v>1</v>
      </c>
      <c r="AM790">
        <f>IF(Table1820[[#This Row],[Good Student Discount]]="Yes",'Rate Book'!$D$126,1)</f>
        <v>1</v>
      </c>
      <c r="AN790">
        <f>IF(Table1820[[#This Row],[Good Driver Discount]]="Yes",'Rate Book'!$D$127,1)</f>
        <v>0.89</v>
      </c>
      <c r="AO790">
        <f>IF(Table1820[[#This Row],[Multi Policy Discount]]="Yes",'Rate Book'!$D$128,1)</f>
        <v>1</v>
      </c>
      <c r="AP790">
        <f>IF(Table1820[[#This Row],[Loyal Customer Discount]]="Yes",'Rate Book'!$D$129,1)</f>
        <v>0.94</v>
      </c>
      <c r="AQ790">
        <f>IF(Table1820[[#This Row],[Organization Discount]]="Yes",'Rate Book'!$D$130,1)</f>
        <v>1</v>
      </c>
      <c r="AR790" cm="1">
        <f t="array" ref="AR790">IF(Table1820[[#This Row],[Effective Date]]&gt;=RateChangeTable[Effective Date],RateChangeTable[Rate Change Factor],1)</f>
        <v>1</v>
      </c>
      <c r="AS790" s="10">
        <f>PRODUCT(Table1820[[#This Row],[Base Rate]:[Rate Change Factor]])</f>
        <v>615.25084393701218</v>
      </c>
      <c r="AT790" s="9">
        <f>Table1820[[#This Row],[System-Generated Premium]]-Table1820[[#This Row],[Expected Premium]]</f>
        <v>0</v>
      </c>
      <c r="AU790" t="str">
        <f>IF(Table1820[[#This Row],[Difference]]=0,"PASS","FAIL")</f>
        <v>PASS</v>
      </c>
      <c r="AV790" s="9">
        <f>ABS(Table1820[[#This Row],[Difference]])</f>
        <v>0</v>
      </c>
      <c r="AW790" s="9" t="s">
        <v>1136</v>
      </c>
    </row>
    <row r="791" spans="1:49" x14ac:dyDescent="0.3">
      <c r="A791" t="s">
        <v>882</v>
      </c>
      <c r="B791" s="7">
        <v>46033</v>
      </c>
      <c r="C791" t="s">
        <v>72</v>
      </c>
      <c r="D791" t="s">
        <v>1097</v>
      </c>
      <c r="E791" s="3">
        <v>4</v>
      </c>
      <c r="F791" s="3" t="s">
        <v>7</v>
      </c>
      <c r="G791" t="s">
        <v>10</v>
      </c>
      <c r="H791" t="s">
        <v>1107</v>
      </c>
      <c r="I791" t="s">
        <v>43</v>
      </c>
      <c r="J791" t="s">
        <v>52</v>
      </c>
      <c r="K791" t="s">
        <v>10</v>
      </c>
      <c r="L791" t="s">
        <v>10</v>
      </c>
      <c r="M791" t="s">
        <v>10</v>
      </c>
      <c r="N791" t="s">
        <v>57</v>
      </c>
      <c r="O791" t="str">
        <f>INDEX(CoverageTable[Deductible Applies],MATCH(Table1820[[#This Row],[Coverage]],CoverageTable[Coverage],0))</f>
        <v>Yes</v>
      </c>
      <c r="P791" t="str">
        <f>INDEX(CoverageTable[Coverage Limit Applies],MATCH(Table1820[[#This Row],[Coverage]],CoverageTable[Coverage],0))</f>
        <v>No</v>
      </c>
      <c r="Q791" t="s">
        <v>78</v>
      </c>
      <c r="R791" t="s">
        <v>10</v>
      </c>
      <c r="S791" t="s">
        <v>10</v>
      </c>
      <c r="T791" t="s">
        <v>10</v>
      </c>
      <c r="U791" t="s">
        <v>10</v>
      </c>
      <c r="V791" t="s">
        <v>10</v>
      </c>
      <c r="W791" t="s">
        <v>57</v>
      </c>
      <c r="X791" s="11">
        <v>671.89681186137898</v>
      </c>
      <c r="Y791">
        <f>_xlfn.XLOOKUP(Table1820[[#This Row],[Coverage]],CoverageTable[Coverage],CoverageTable[Base Rate],,0)</f>
        <v>121</v>
      </c>
      <c r="Z791">
        <f>INDEX(Table16[Ageband Factor],MATCH(Table1820[[#This Row],[Ageband]],Table16[Ageband],0))</f>
        <v>1.32</v>
      </c>
      <c r="AA791">
        <f>VLOOKUP(Table1820[[#This Row],[Years Driving]],Table1[],2)</f>
        <v>1.1499999999999999</v>
      </c>
      <c r="AB791">
        <f>_xlfn.XLOOKUP(Table1820[[#This Row],[At Fault Accidents]],Table2[At Fault Accidents],Table2[At Fault Accident Factor],,0)</f>
        <v>2.4700000000000002</v>
      </c>
      <c r="AC791">
        <f>_xlfn.XLOOKUP(Table1820[[#This Row],[Usage-Based Insurance]],Table3[Usage-Based Insurance],Table3[Usage-Based Insurance Discount],,0)</f>
        <v>1</v>
      </c>
      <c r="AD791">
        <f>_xlfn.XLOOKUP(Table1820[[#This Row],[Yearly Miles]],Table4[Yearly Miles],Table4[Yearly Miles Factor],,0)</f>
        <v>0.93</v>
      </c>
      <c r="AE791">
        <f>_xlfn.XLOOKUP(Table1820[[#This Row],[City/Zip Code]],Table5[City/Zip Code],Table5[City/Zip Code Factor],,0)</f>
        <v>1.18</v>
      </c>
      <c r="AF791">
        <f>_xlfn.XLOOKUP(Table1820[[#This Row],[Vehicle Price]],Table6[Vehicle Price],Table6[Vehicle Price Factor])</f>
        <v>1.57</v>
      </c>
      <c r="AG791">
        <f>_xlfn.XLOOKUP(Table1820[[#This Row],[Exotic Car]],Table7[Exotic Car],Table7[Exotic Car Factor],,0)</f>
        <v>1</v>
      </c>
      <c r="AH791">
        <f>_xlfn.XLOOKUP(Table1820[[#This Row],[Difficult Parts]],Table8[Difficult Parts],Table8[Difficult Parts Factor],,0)</f>
        <v>1</v>
      </c>
      <c r="AI791">
        <f>_xlfn.XLOOKUP(Table1820[[#This Row],[High Theft Rate]],Table9[High Theft Rate],Table9[High Theft Rate Factor],,0)</f>
        <v>1</v>
      </c>
      <c r="AJ791">
        <f>_xlfn.XLOOKUP(Table1820[[#This Row],[Advanced Safety Features]],Table10[Advanced Safety Features],Table10[Advanced Safety Features Factor],,0)</f>
        <v>0.88</v>
      </c>
      <c r="AK791">
        <f>_xlfn.XLOOKUP(Table1820[[#This Row],[Deductible]],Table12[Deductible],Table12[Deductible Factor],,0)</f>
        <v>0.95</v>
      </c>
      <c r="AL791">
        <f>_xlfn.XLOOKUP(Table1820[[#This Row],[Coverage Limit]],Table13[Coverage Limit],Table13[Coverage Limit Factor],,0)</f>
        <v>1</v>
      </c>
      <c r="AM791">
        <f>IF(Table1820[[#This Row],[Good Student Discount]]="Yes",'Rate Book'!$D$126,1)</f>
        <v>1</v>
      </c>
      <c r="AN791">
        <f>IF(Table1820[[#This Row],[Good Driver Discount]]="Yes",'Rate Book'!$D$127,1)</f>
        <v>1</v>
      </c>
      <c r="AO791">
        <f>IF(Table1820[[#This Row],[Multi Policy Discount]]="Yes",'Rate Book'!$D$128,1)</f>
        <v>1</v>
      </c>
      <c r="AP791">
        <f>IF(Table1820[[#This Row],[Loyal Customer Discount]]="Yes",'Rate Book'!$D$129,1)</f>
        <v>1</v>
      </c>
      <c r="AQ791">
        <f>IF(Table1820[[#This Row],[Organization Discount]]="Yes",'Rate Book'!$D$130,1)</f>
        <v>0.97</v>
      </c>
      <c r="AR791" cm="1">
        <f t="array" ref="AR791">IF(Table1820[[#This Row],[Effective Date]]&gt;=RateChangeTable[Effective Date],RateChangeTable[Rate Change Factor],1)</f>
        <v>1.06</v>
      </c>
      <c r="AS791" s="10">
        <f>PRODUCT(Table1820[[#This Row],[Base Rate]:[Rate Change Factor]])</f>
        <v>671.89681186137898</v>
      </c>
      <c r="AT791" s="9">
        <f>Table1820[[#This Row],[System-Generated Premium]]-Table1820[[#This Row],[Expected Premium]]</f>
        <v>0</v>
      </c>
      <c r="AU791" t="str">
        <f>IF(Table1820[[#This Row],[Difference]]=0,"PASS","FAIL")</f>
        <v>PASS</v>
      </c>
      <c r="AV791" s="9">
        <f>ABS(Table1820[[#This Row],[Difference]])</f>
        <v>0</v>
      </c>
      <c r="AW791" s="9" t="s">
        <v>1136</v>
      </c>
    </row>
    <row r="792" spans="1:49" x14ac:dyDescent="0.3">
      <c r="A792" t="s">
        <v>883</v>
      </c>
      <c r="B792" s="7">
        <v>46007</v>
      </c>
      <c r="C792" t="s">
        <v>70</v>
      </c>
      <c r="D792" t="s">
        <v>1102</v>
      </c>
      <c r="E792" s="3">
        <v>4</v>
      </c>
      <c r="F792" s="3">
        <v>0</v>
      </c>
      <c r="G792" t="s">
        <v>11</v>
      </c>
      <c r="H792" t="s">
        <v>1106</v>
      </c>
      <c r="I792" t="s">
        <v>29</v>
      </c>
      <c r="J792" t="s">
        <v>54</v>
      </c>
      <c r="K792" t="s">
        <v>57</v>
      </c>
      <c r="L792" t="s">
        <v>10</v>
      </c>
      <c r="M792" t="s">
        <v>10</v>
      </c>
      <c r="N792" t="s">
        <v>57</v>
      </c>
      <c r="O792" t="str">
        <f>INDEX(CoverageTable[Deductible Applies],MATCH(Table1820[[#This Row],[Coverage]],CoverageTable[Coverage],0))</f>
        <v>No</v>
      </c>
      <c r="P792" t="str">
        <f>INDEX(CoverageTable[Coverage Limit Applies],MATCH(Table1820[[#This Row],[Coverage]],CoverageTable[Coverage],0))</f>
        <v>Yes</v>
      </c>
      <c r="Q792" t="s">
        <v>10</v>
      </c>
      <c r="R792" t="s">
        <v>79</v>
      </c>
      <c r="S792" t="s">
        <v>10</v>
      </c>
      <c r="T792" t="s">
        <v>10</v>
      </c>
      <c r="U792" t="s">
        <v>10</v>
      </c>
      <c r="V792" t="s">
        <v>10</v>
      </c>
      <c r="W792" t="s">
        <v>10</v>
      </c>
      <c r="X792" s="11">
        <v>1795.4070929446775</v>
      </c>
      <c r="Y792">
        <f>_xlfn.XLOOKUP(Table1820[[#This Row],[Coverage]],CoverageTable[Coverage],CoverageTable[Base Rate],,0)</f>
        <v>622</v>
      </c>
      <c r="Z792">
        <f>INDEX(Table16[Ageband Factor],MATCH(Table1820[[#This Row],[Ageband]],Table16[Ageband],0))</f>
        <v>1.27</v>
      </c>
      <c r="AA792">
        <f>VLOOKUP(Table1820[[#This Row],[Years Driving]],Table1[],2)</f>
        <v>1.1499999999999999</v>
      </c>
      <c r="AB792">
        <f>_xlfn.XLOOKUP(Table1820[[#This Row],[At Fault Accidents]],Table2[At Fault Accidents],Table2[At Fault Accident Factor],,0)</f>
        <v>1</v>
      </c>
      <c r="AC792">
        <f>_xlfn.XLOOKUP(Table1820[[#This Row],[Usage-Based Insurance]],Table3[Usage-Based Insurance],Table3[Usage-Based Insurance Discount],,0)</f>
        <v>0.95</v>
      </c>
      <c r="AD792">
        <f>_xlfn.XLOOKUP(Table1820[[#This Row],[Yearly Miles]],Table4[Yearly Miles],Table4[Yearly Miles Factor],,0)</f>
        <v>0.82</v>
      </c>
      <c r="AE792">
        <f>_xlfn.XLOOKUP(Table1820[[#This Row],[City/Zip Code]],Table5[City/Zip Code],Table5[City/Zip Code Factor],,0)</f>
        <v>1.0900000000000001</v>
      </c>
      <c r="AF792">
        <f>_xlfn.XLOOKUP(Table1820[[#This Row],[Vehicle Price]],Table6[Vehicle Price],Table6[Vehicle Price Factor])</f>
        <v>2.87</v>
      </c>
      <c r="AG792">
        <f>_xlfn.XLOOKUP(Table1820[[#This Row],[Exotic Car]],Table7[Exotic Car],Table7[Exotic Car Factor],,0)</f>
        <v>1.28</v>
      </c>
      <c r="AH792">
        <f>_xlfn.XLOOKUP(Table1820[[#This Row],[Difficult Parts]],Table8[Difficult Parts],Table8[Difficult Parts Factor],,0)</f>
        <v>1</v>
      </c>
      <c r="AI792">
        <f>_xlfn.XLOOKUP(Table1820[[#This Row],[High Theft Rate]],Table9[High Theft Rate],Table9[High Theft Rate Factor],,0)</f>
        <v>1</v>
      </c>
      <c r="AJ792">
        <f>_xlfn.XLOOKUP(Table1820[[#This Row],[Advanced Safety Features]],Table10[Advanced Safety Features],Table10[Advanced Safety Features Factor],,0)</f>
        <v>0.88</v>
      </c>
      <c r="AK792">
        <f>_xlfn.XLOOKUP(Table1820[[#This Row],[Deductible]],Table12[Deductible],Table12[Deductible Factor],,0)</f>
        <v>1</v>
      </c>
      <c r="AL792">
        <f>_xlfn.XLOOKUP(Table1820[[#This Row],[Coverage Limit]],Table13[Coverage Limit],Table13[Coverage Limit Factor],,0)</f>
        <v>0.72</v>
      </c>
      <c r="AM792">
        <f>IF(Table1820[[#This Row],[Good Student Discount]]="Yes",'Rate Book'!$D$126,1)</f>
        <v>1</v>
      </c>
      <c r="AN792">
        <f>IF(Table1820[[#This Row],[Good Driver Discount]]="Yes",'Rate Book'!$D$127,1)</f>
        <v>1</v>
      </c>
      <c r="AO792">
        <f>IF(Table1820[[#This Row],[Multi Policy Discount]]="Yes",'Rate Book'!$D$128,1)</f>
        <v>1</v>
      </c>
      <c r="AP792">
        <f>IF(Table1820[[#This Row],[Loyal Customer Discount]]="Yes",'Rate Book'!$D$129,1)</f>
        <v>1</v>
      </c>
      <c r="AQ792">
        <f>IF(Table1820[[#This Row],[Organization Discount]]="Yes",'Rate Book'!$D$130,1)</f>
        <v>1</v>
      </c>
      <c r="AR792" cm="1">
        <f t="array" ref="AR792">IF(Table1820[[#This Row],[Effective Date]]&gt;=RateChangeTable[Effective Date],RateChangeTable[Rate Change Factor],1)</f>
        <v>1</v>
      </c>
      <c r="AS792" s="10">
        <f>PRODUCT(Table1820[[#This Row],[Base Rate]:[Rate Change Factor]])</f>
        <v>1795.4070929446775</v>
      </c>
      <c r="AT792" s="9">
        <f>Table1820[[#This Row],[System-Generated Premium]]-Table1820[[#This Row],[Expected Premium]]</f>
        <v>0</v>
      </c>
      <c r="AU792" t="str">
        <f>IF(Table1820[[#This Row],[Difference]]=0,"PASS","FAIL")</f>
        <v>PASS</v>
      </c>
      <c r="AV792" s="9">
        <f>ABS(Table1820[[#This Row],[Difference]])</f>
        <v>0</v>
      </c>
      <c r="AW792" s="9" t="s">
        <v>1136</v>
      </c>
    </row>
    <row r="793" spans="1:49" x14ac:dyDescent="0.3">
      <c r="A793" t="s">
        <v>884</v>
      </c>
      <c r="B793" s="7">
        <v>45940</v>
      </c>
      <c r="C793" t="s">
        <v>70</v>
      </c>
      <c r="D793" t="s">
        <v>1099</v>
      </c>
      <c r="E793" s="3" t="s">
        <v>1103</v>
      </c>
      <c r="F793" s="3">
        <v>0</v>
      </c>
      <c r="G793" t="s">
        <v>10</v>
      </c>
      <c r="H793" t="s">
        <v>1106</v>
      </c>
      <c r="I793" t="s">
        <v>31</v>
      </c>
      <c r="J793" t="s">
        <v>51</v>
      </c>
      <c r="K793" t="s">
        <v>10</v>
      </c>
      <c r="L793" t="s">
        <v>10</v>
      </c>
      <c r="M793" t="s">
        <v>10</v>
      </c>
      <c r="N793" t="s">
        <v>10</v>
      </c>
      <c r="O793" t="str">
        <f>INDEX(CoverageTable[Deductible Applies],MATCH(Table1820[[#This Row],[Coverage]],CoverageTable[Coverage],0))</f>
        <v>No</v>
      </c>
      <c r="P793" t="str">
        <f>INDEX(CoverageTable[Coverage Limit Applies],MATCH(Table1820[[#This Row],[Coverage]],CoverageTable[Coverage],0))</f>
        <v>Yes</v>
      </c>
      <c r="Q793" t="s">
        <v>10</v>
      </c>
      <c r="R793" t="s">
        <v>78</v>
      </c>
      <c r="S793" t="s">
        <v>10</v>
      </c>
      <c r="T793" t="s">
        <v>57</v>
      </c>
      <c r="U793" t="s">
        <v>10</v>
      </c>
      <c r="V793" t="s">
        <v>10</v>
      </c>
      <c r="W793" t="s">
        <v>10</v>
      </c>
      <c r="X793" s="11">
        <v>365.88109968230401</v>
      </c>
      <c r="Y793">
        <f>_xlfn.XLOOKUP(Table1820[[#This Row],[Coverage]],CoverageTable[Coverage],CoverageTable[Base Rate],,0)</f>
        <v>622</v>
      </c>
      <c r="Z793">
        <f>INDEX(Table16[Ageband Factor],MATCH(Table1820[[#This Row],[Ageband]],Table16[Ageband],0))</f>
        <v>1</v>
      </c>
      <c r="AA793">
        <f>VLOOKUP(Table1820[[#This Row],[Years Driving]],Table1[],2)</f>
        <v>0.93</v>
      </c>
      <c r="AB793">
        <f>_xlfn.XLOOKUP(Table1820[[#This Row],[At Fault Accidents]],Table2[At Fault Accidents],Table2[At Fault Accident Factor],,0)</f>
        <v>1</v>
      </c>
      <c r="AC793">
        <f>_xlfn.XLOOKUP(Table1820[[#This Row],[Usage-Based Insurance]],Table3[Usage-Based Insurance],Table3[Usage-Based Insurance Discount],,0)</f>
        <v>1</v>
      </c>
      <c r="AD793">
        <f>_xlfn.XLOOKUP(Table1820[[#This Row],[Yearly Miles]],Table4[Yearly Miles],Table4[Yearly Miles Factor],,0)</f>
        <v>0.82</v>
      </c>
      <c r="AE793">
        <f>_xlfn.XLOOKUP(Table1820[[#This Row],[City/Zip Code]],Table5[City/Zip Code],Table5[City/Zip Code Factor],,0)</f>
        <v>1.1100000000000001</v>
      </c>
      <c r="AF793">
        <f>_xlfn.XLOOKUP(Table1820[[#This Row],[Vehicle Price]],Table6[Vehicle Price],Table6[Vehicle Price Factor])</f>
        <v>1.28</v>
      </c>
      <c r="AG793">
        <f>_xlfn.XLOOKUP(Table1820[[#This Row],[Exotic Car]],Table7[Exotic Car],Table7[Exotic Car Factor],,0)</f>
        <v>1</v>
      </c>
      <c r="AH793">
        <f>_xlfn.XLOOKUP(Table1820[[#This Row],[Difficult Parts]],Table8[Difficult Parts],Table8[Difficult Parts Factor],,0)</f>
        <v>1</v>
      </c>
      <c r="AI793">
        <f>_xlfn.XLOOKUP(Table1820[[#This Row],[High Theft Rate]],Table9[High Theft Rate],Table9[High Theft Rate Factor],,0)</f>
        <v>1</v>
      </c>
      <c r="AJ793">
        <f>_xlfn.XLOOKUP(Table1820[[#This Row],[Advanced Safety Features]],Table10[Advanced Safety Features],Table10[Advanced Safety Features Factor],,0)</f>
        <v>1</v>
      </c>
      <c r="AK793">
        <f>_xlfn.XLOOKUP(Table1820[[#This Row],[Deductible]],Table12[Deductible],Table12[Deductible Factor],,0)</f>
        <v>1</v>
      </c>
      <c r="AL793">
        <f>_xlfn.XLOOKUP(Table1820[[#This Row],[Coverage Limit]],Table13[Coverage Limit],Table13[Coverage Limit Factor],,0)</f>
        <v>0.61</v>
      </c>
      <c r="AM793">
        <f>IF(Table1820[[#This Row],[Good Student Discount]]="Yes",'Rate Book'!$D$126,1)</f>
        <v>1</v>
      </c>
      <c r="AN793">
        <f>IF(Table1820[[#This Row],[Good Driver Discount]]="Yes",'Rate Book'!$D$127,1)</f>
        <v>0.89</v>
      </c>
      <c r="AO793">
        <f>IF(Table1820[[#This Row],[Multi Policy Discount]]="Yes",'Rate Book'!$D$128,1)</f>
        <v>1</v>
      </c>
      <c r="AP793">
        <f>IF(Table1820[[#This Row],[Loyal Customer Discount]]="Yes",'Rate Book'!$D$129,1)</f>
        <v>1</v>
      </c>
      <c r="AQ793">
        <f>IF(Table1820[[#This Row],[Organization Discount]]="Yes",'Rate Book'!$D$130,1)</f>
        <v>1</v>
      </c>
      <c r="AR793" cm="1">
        <f t="array" ref="AR793">IF(Table1820[[#This Row],[Effective Date]]&gt;=RateChangeTable[Effective Date],RateChangeTable[Rate Change Factor],1)</f>
        <v>1</v>
      </c>
      <c r="AS793" s="10">
        <f>PRODUCT(Table1820[[#This Row],[Base Rate]:[Rate Change Factor]])</f>
        <v>365.88109968230401</v>
      </c>
      <c r="AT793" s="9">
        <f>Table1820[[#This Row],[System-Generated Premium]]-Table1820[[#This Row],[Expected Premium]]</f>
        <v>0</v>
      </c>
      <c r="AU793" t="str">
        <f>IF(Table1820[[#This Row],[Difference]]=0,"PASS","FAIL")</f>
        <v>PASS</v>
      </c>
      <c r="AV793" s="9">
        <f>ABS(Table1820[[#This Row],[Difference]])</f>
        <v>0</v>
      </c>
      <c r="AW793" s="9" t="s">
        <v>1136</v>
      </c>
    </row>
    <row r="794" spans="1:49" x14ac:dyDescent="0.3">
      <c r="A794" t="s">
        <v>885</v>
      </c>
      <c r="B794" s="7">
        <v>46109</v>
      </c>
      <c r="C794" t="s">
        <v>71</v>
      </c>
      <c r="D794" t="s">
        <v>1102</v>
      </c>
      <c r="E794" s="3">
        <v>3</v>
      </c>
      <c r="F794" s="3">
        <v>1</v>
      </c>
      <c r="G794" t="s">
        <v>10</v>
      </c>
      <c r="H794" t="s">
        <v>1108</v>
      </c>
      <c r="I794" t="s">
        <v>39</v>
      </c>
      <c r="J794" t="s">
        <v>50</v>
      </c>
      <c r="K794" t="s">
        <v>10</v>
      </c>
      <c r="L794" t="s">
        <v>10</v>
      </c>
      <c r="M794" t="s">
        <v>10</v>
      </c>
      <c r="N794" t="s">
        <v>57</v>
      </c>
      <c r="O794" t="str">
        <f>INDEX(CoverageTable[Deductible Applies],MATCH(Table1820[[#This Row],[Coverage]],CoverageTable[Coverage],0))</f>
        <v>Yes</v>
      </c>
      <c r="P794" t="str">
        <f>INDEX(CoverageTable[Coverage Limit Applies],MATCH(Table1820[[#This Row],[Coverage]],CoverageTable[Coverage],0))</f>
        <v>No</v>
      </c>
      <c r="Q794" t="s">
        <v>80</v>
      </c>
      <c r="R794" t="s">
        <v>10</v>
      </c>
      <c r="S794" t="s">
        <v>10</v>
      </c>
      <c r="T794" t="s">
        <v>10</v>
      </c>
      <c r="U794" t="s">
        <v>10</v>
      </c>
      <c r="V794" t="s">
        <v>57</v>
      </c>
      <c r="W794" t="s">
        <v>10</v>
      </c>
      <c r="X794" s="11">
        <v>692.56884401319667</v>
      </c>
      <c r="Y794">
        <f>_xlfn.XLOOKUP(Table1820[[#This Row],[Coverage]],CoverageTable[Coverage],CoverageTable[Base Rate],,0)</f>
        <v>453</v>
      </c>
      <c r="Z794">
        <f>INDEX(Table16[Ageband Factor],MATCH(Table1820[[#This Row],[Ageband]],Table16[Ageband],0))</f>
        <v>1.27</v>
      </c>
      <c r="AA794">
        <f>VLOOKUP(Table1820[[#This Row],[Years Driving]],Table1[],2)</f>
        <v>1.22</v>
      </c>
      <c r="AB794">
        <f>_xlfn.XLOOKUP(Table1820[[#This Row],[At Fault Accidents]],Table2[At Fault Accidents],Table2[At Fault Accident Factor],,0)</f>
        <v>1.34</v>
      </c>
      <c r="AC794">
        <f>_xlfn.XLOOKUP(Table1820[[#This Row],[Usage-Based Insurance]],Table3[Usage-Based Insurance],Table3[Usage-Based Insurance Discount],,0)</f>
        <v>1</v>
      </c>
      <c r="AD794">
        <f>_xlfn.XLOOKUP(Table1820[[#This Row],[Yearly Miles]],Table4[Yearly Miles],Table4[Yearly Miles Factor],,0)</f>
        <v>1</v>
      </c>
      <c r="AE794">
        <f>_xlfn.XLOOKUP(Table1820[[#This Row],[City/Zip Code]],Table5[City/Zip Code],Table5[City/Zip Code Factor],,0)</f>
        <v>1.08</v>
      </c>
      <c r="AF794">
        <f>_xlfn.XLOOKUP(Table1820[[#This Row],[Vehicle Price]],Table6[Vehicle Price],Table6[Vehicle Price Factor])</f>
        <v>1.08</v>
      </c>
      <c r="AG794">
        <f>_xlfn.XLOOKUP(Table1820[[#This Row],[Exotic Car]],Table7[Exotic Car],Table7[Exotic Car Factor],,0)</f>
        <v>1</v>
      </c>
      <c r="AH794">
        <f>_xlfn.XLOOKUP(Table1820[[#This Row],[Difficult Parts]],Table8[Difficult Parts],Table8[Difficult Parts Factor],,0)</f>
        <v>1</v>
      </c>
      <c r="AI794">
        <f>_xlfn.XLOOKUP(Table1820[[#This Row],[High Theft Rate]],Table9[High Theft Rate],Table9[High Theft Rate Factor],,0)</f>
        <v>1</v>
      </c>
      <c r="AJ794">
        <f>_xlfn.XLOOKUP(Table1820[[#This Row],[Advanced Safety Features]],Table10[Advanced Safety Features],Table10[Advanced Safety Features Factor],,0)</f>
        <v>0.88</v>
      </c>
      <c r="AK794">
        <f>_xlfn.XLOOKUP(Table1820[[#This Row],[Deductible]],Table12[Deductible],Table12[Deductible Factor],,0)</f>
        <v>0.72</v>
      </c>
      <c r="AL794">
        <f>_xlfn.XLOOKUP(Table1820[[#This Row],[Coverage Limit]],Table13[Coverage Limit],Table13[Coverage Limit Factor],,0)</f>
        <v>1</v>
      </c>
      <c r="AM794">
        <f>IF(Table1820[[#This Row],[Good Student Discount]]="Yes",'Rate Book'!$D$126,1)</f>
        <v>1</v>
      </c>
      <c r="AN794">
        <f>IF(Table1820[[#This Row],[Good Driver Discount]]="Yes",'Rate Book'!$D$127,1)</f>
        <v>1</v>
      </c>
      <c r="AO794">
        <f>IF(Table1820[[#This Row],[Multi Policy Discount]]="Yes",'Rate Book'!$D$128,1)</f>
        <v>1</v>
      </c>
      <c r="AP794">
        <f>IF(Table1820[[#This Row],[Loyal Customer Discount]]="Yes",'Rate Book'!$D$129,1)</f>
        <v>0.94</v>
      </c>
      <c r="AQ794">
        <f>IF(Table1820[[#This Row],[Organization Discount]]="Yes",'Rate Book'!$D$130,1)</f>
        <v>1</v>
      </c>
      <c r="AR794" cm="1">
        <f t="array" ref="AR794">IF(Table1820[[#This Row],[Effective Date]]&gt;=RateChangeTable[Effective Date],RateChangeTable[Rate Change Factor],1)</f>
        <v>1.06</v>
      </c>
      <c r="AS794" s="10">
        <f>PRODUCT(Table1820[[#This Row],[Base Rate]:[Rate Change Factor]])</f>
        <v>692.56884401319667</v>
      </c>
      <c r="AT794" s="9">
        <f>Table1820[[#This Row],[System-Generated Premium]]-Table1820[[#This Row],[Expected Premium]]</f>
        <v>0</v>
      </c>
      <c r="AU794" t="str">
        <f>IF(Table1820[[#This Row],[Difference]]=0,"PASS","FAIL")</f>
        <v>PASS</v>
      </c>
      <c r="AV794" s="9">
        <f>ABS(Table1820[[#This Row],[Difference]])</f>
        <v>0</v>
      </c>
      <c r="AW794" s="9" t="s">
        <v>1136</v>
      </c>
    </row>
    <row r="795" spans="1:49" x14ac:dyDescent="0.3">
      <c r="A795" t="s">
        <v>886</v>
      </c>
      <c r="B795" s="7">
        <v>45815</v>
      </c>
      <c r="C795" t="s">
        <v>70</v>
      </c>
      <c r="D795" t="s">
        <v>1102</v>
      </c>
      <c r="E795" s="3">
        <v>7</v>
      </c>
      <c r="F795" s="3" t="s">
        <v>7</v>
      </c>
      <c r="G795" t="s">
        <v>10</v>
      </c>
      <c r="H795" t="s">
        <v>1109</v>
      </c>
      <c r="I795" t="s">
        <v>26</v>
      </c>
      <c r="J795" t="s">
        <v>53</v>
      </c>
      <c r="K795" t="s">
        <v>10</v>
      </c>
      <c r="L795" t="s">
        <v>57</v>
      </c>
      <c r="M795" t="s">
        <v>10</v>
      </c>
      <c r="N795" t="s">
        <v>57</v>
      </c>
      <c r="O795" t="str">
        <f>INDEX(CoverageTable[Deductible Applies],MATCH(Table1820[[#This Row],[Coverage]],CoverageTable[Coverage],0))</f>
        <v>No</v>
      </c>
      <c r="P795" t="str">
        <f>INDEX(CoverageTable[Coverage Limit Applies],MATCH(Table1820[[#This Row],[Coverage]],CoverageTable[Coverage],0))</f>
        <v>Yes</v>
      </c>
      <c r="Q795" t="s">
        <v>10</v>
      </c>
      <c r="R795" t="s">
        <v>80</v>
      </c>
      <c r="S795" t="s">
        <v>10</v>
      </c>
      <c r="T795" t="s">
        <v>57</v>
      </c>
      <c r="U795" t="s">
        <v>57</v>
      </c>
      <c r="V795" t="s">
        <v>10</v>
      </c>
      <c r="W795" t="s">
        <v>57</v>
      </c>
      <c r="X795" s="11">
        <v>3648.6978376167367</v>
      </c>
      <c r="Y795">
        <f>_xlfn.XLOOKUP(Table1820[[#This Row],[Coverage]],CoverageTable[Coverage],CoverageTable[Base Rate],,0)</f>
        <v>622</v>
      </c>
      <c r="Z795">
        <f>INDEX(Table16[Ageband Factor],MATCH(Table1820[[#This Row],[Ageband]],Table16[Ageband],0))</f>
        <v>1.27</v>
      </c>
      <c r="AA795">
        <f>VLOOKUP(Table1820[[#This Row],[Years Driving]],Table1[],2)</f>
        <v>0.95</v>
      </c>
      <c r="AB795">
        <f>_xlfn.XLOOKUP(Table1820[[#This Row],[At Fault Accidents]],Table2[At Fault Accidents],Table2[At Fault Accident Factor],,0)</f>
        <v>2.4700000000000002</v>
      </c>
      <c r="AC795">
        <f>_xlfn.XLOOKUP(Table1820[[#This Row],[Usage-Based Insurance]],Table3[Usage-Based Insurance],Table3[Usage-Based Insurance Discount],,0)</f>
        <v>1</v>
      </c>
      <c r="AD795">
        <f>_xlfn.XLOOKUP(Table1820[[#This Row],[Yearly Miles]],Table4[Yearly Miles],Table4[Yearly Miles Factor],,0)</f>
        <v>1.18</v>
      </c>
      <c r="AE795">
        <f>_xlfn.XLOOKUP(Table1820[[#This Row],[City/Zip Code]],Table5[City/Zip Code],Table5[City/Zip Code Factor],,0)</f>
        <v>1.1499999999999999</v>
      </c>
      <c r="AF795">
        <f>_xlfn.XLOOKUP(Table1820[[#This Row],[Vehicle Price]],Table6[Vehicle Price],Table6[Vehicle Price Factor])</f>
        <v>2.02</v>
      </c>
      <c r="AG795">
        <f>_xlfn.XLOOKUP(Table1820[[#This Row],[Exotic Car]],Table7[Exotic Car],Table7[Exotic Car Factor],,0)</f>
        <v>1</v>
      </c>
      <c r="AH795">
        <f>_xlfn.XLOOKUP(Table1820[[#This Row],[Difficult Parts]],Table8[Difficult Parts],Table8[Difficult Parts Factor],,0)</f>
        <v>1.21</v>
      </c>
      <c r="AI795">
        <f>_xlfn.XLOOKUP(Table1820[[#This Row],[High Theft Rate]],Table9[High Theft Rate],Table9[High Theft Rate Factor],,0)</f>
        <v>1</v>
      </c>
      <c r="AJ795">
        <f>_xlfn.XLOOKUP(Table1820[[#This Row],[Advanced Safety Features]],Table10[Advanced Safety Features],Table10[Advanced Safety Features Factor],,0)</f>
        <v>0.88</v>
      </c>
      <c r="AK795">
        <f>_xlfn.XLOOKUP(Table1820[[#This Row],[Deductible]],Table12[Deductible],Table12[Deductible Factor],,0)</f>
        <v>1</v>
      </c>
      <c r="AL795">
        <f>_xlfn.XLOOKUP(Table1820[[#This Row],[Coverage Limit]],Table13[Coverage Limit],Table13[Coverage Limit Factor],,0)</f>
        <v>0.84</v>
      </c>
      <c r="AM795">
        <f>IF(Table1820[[#This Row],[Good Student Discount]]="Yes",'Rate Book'!$D$126,1)</f>
        <v>1</v>
      </c>
      <c r="AN795">
        <f>IF(Table1820[[#This Row],[Good Driver Discount]]="Yes",'Rate Book'!$D$127,1)</f>
        <v>0.89</v>
      </c>
      <c r="AO795">
        <f>IF(Table1820[[#This Row],[Multi Policy Discount]]="Yes",'Rate Book'!$D$128,1)</f>
        <v>0.93</v>
      </c>
      <c r="AP795">
        <f>IF(Table1820[[#This Row],[Loyal Customer Discount]]="Yes",'Rate Book'!$D$129,1)</f>
        <v>1</v>
      </c>
      <c r="AQ795">
        <f>IF(Table1820[[#This Row],[Organization Discount]]="Yes",'Rate Book'!$D$130,1)</f>
        <v>0.97</v>
      </c>
      <c r="AR795" cm="1">
        <f t="array" ref="AR795">IF(Table1820[[#This Row],[Effective Date]]&gt;=RateChangeTable[Effective Date],RateChangeTable[Rate Change Factor],1)</f>
        <v>1</v>
      </c>
      <c r="AS795" s="10">
        <f>PRODUCT(Table1820[[#This Row],[Base Rate]:[Rate Change Factor]])</f>
        <v>3648.6978376167367</v>
      </c>
      <c r="AT795" s="9">
        <f>Table1820[[#This Row],[System-Generated Premium]]-Table1820[[#This Row],[Expected Premium]]</f>
        <v>0</v>
      </c>
      <c r="AU795" t="str">
        <f>IF(Table1820[[#This Row],[Difference]]=0,"PASS","FAIL")</f>
        <v>PASS</v>
      </c>
      <c r="AV795" s="9">
        <f>ABS(Table1820[[#This Row],[Difference]])</f>
        <v>0</v>
      </c>
      <c r="AW795" s="9" t="s">
        <v>1136</v>
      </c>
    </row>
    <row r="796" spans="1:49" x14ac:dyDescent="0.3">
      <c r="A796" t="s">
        <v>887</v>
      </c>
      <c r="B796" s="7">
        <v>45809</v>
      </c>
      <c r="C796" t="s">
        <v>70</v>
      </c>
      <c r="D796" t="s">
        <v>1101</v>
      </c>
      <c r="E796" s="3">
        <v>4</v>
      </c>
      <c r="F796" s="3">
        <v>1</v>
      </c>
      <c r="G796" t="s">
        <v>11</v>
      </c>
      <c r="H796" t="s">
        <v>1110</v>
      </c>
      <c r="I796" t="s">
        <v>35</v>
      </c>
      <c r="J796" t="s">
        <v>51</v>
      </c>
      <c r="K796" t="s">
        <v>10</v>
      </c>
      <c r="L796" t="s">
        <v>10</v>
      </c>
      <c r="M796" t="s">
        <v>10</v>
      </c>
      <c r="N796" t="s">
        <v>57</v>
      </c>
      <c r="O796" t="str">
        <f>INDEX(CoverageTable[Deductible Applies],MATCH(Table1820[[#This Row],[Coverage]],CoverageTable[Coverage],0))</f>
        <v>No</v>
      </c>
      <c r="P796" t="str">
        <f>INDEX(CoverageTable[Coverage Limit Applies],MATCH(Table1820[[#This Row],[Coverage]],CoverageTable[Coverage],0))</f>
        <v>Yes</v>
      </c>
      <c r="Q796" t="s">
        <v>10</v>
      </c>
      <c r="R796" t="s">
        <v>78</v>
      </c>
      <c r="S796" t="s">
        <v>10</v>
      </c>
      <c r="T796" t="s">
        <v>57</v>
      </c>
      <c r="U796" t="s">
        <v>10</v>
      </c>
      <c r="V796" t="s">
        <v>10</v>
      </c>
      <c r="W796" t="s">
        <v>10</v>
      </c>
      <c r="X796" s="11">
        <v>915.03236008895055</v>
      </c>
      <c r="Y796">
        <f>_xlfn.XLOOKUP(Table1820[[#This Row],[Coverage]],CoverageTable[Coverage],CoverageTable[Base Rate],,0)</f>
        <v>622</v>
      </c>
      <c r="Z796">
        <f>INDEX(Table16[Ageband Factor],MATCH(Table1820[[#This Row],[Ageband]],Table16[Ageband],0))</f>
        <v>1.1200000000000001</v>
      </c>
      <c r="AA796">
        <f>VLOOKUP(Table1820[[#This Row],[Years Driving]],Table1[],2)</f>
        <v>1.1499999999999999</v>
      </c>
      <c r="AB796">
        <f>_xlfn.XLOOKUP(Table1820[[#This Row],[At Fault Accidents]],Table2[At Fault Accidents],Table2[At Fault Accident Factor],,0)</f>
        <v>1.34</v>
      </c>
      <c r="AC796">
        <f>_xlfn.XLOOKUP(Table1820[[#This Row],[Usage-Based Insurance]],Table3[Usage-Based Insurance],Table3[Usage-Based Insurance Discount],,0)</f>
        <v>0.95</v>
      </c>
      <c r="AD796">
        <f>_xlfn.XLOOKUP(Table1820[[#This Row],[Yearly Miles]],Table4[Yearly Miles],Table4[Yearly Miles Factor],,0)</f>
        <v>1.31</v>
      </c>
      <c r="AE796">
        <f>_xlfn.XLOOKUP(Table1820[[#This Row],[City/Zip Code]],Table5[City/Zip Code],Table5[City/Zip Code Factor],,0)</f>
        <v>1.1200000000000001</v>
      </c>
      <c r="AF796">
        <f>_xlfn.XLOOKUP(Table1820[[#This Row],[Vehicle Price]],Table6[Vehicle Price],Table6[Vehicle Price Factor])</f>
        <v>1.28</v>
      </c>
      <c r="AG796">
        <f>_xlfn.XLOOKUP(Table1820[[#This Row],[Exotic Car]],Table7[Exotic Car],Table7[Exotic Car Factor],,0)</f>
        <v>1</v>
      </c>
      <c r="AH796">
        <f>_xlfn.XLOOKUP(Table1820[[#This Row],[Difficult Parts]],Table8[Difficult Parts],Table8[Difficult Parts Factor],,0)</f>
        <v>1</v>
      </c>
      <c r="AI796">
        <f>_xlfn.XLOOKUP(Table1820[[#This Row],[High Theft Rate]],Table9[High Theft Rate],Table9[High Theft Rate Factor],,0)</f>
        <v>1</v>
      </c>
      <c r="AJ796">
        <f>_xlfn.XLOOKUP(Table1820[[#This Row],[Advanced Safety Features]],Table10[Advanced Safety Features],Table10[Advanced Safety Features Factor],,0)</f>
        <v>0.88</v>
      </c>
      <c r="AK796">
        <f>_xlfn.XLOOKUP(Table1820[[#This Row],[Deductible]],Table12[Deductible],Table12[Deductible Factor],,0)</f>
        <v>1</v>
      </c>
      <c r="AL796">
        <f>_xlfn.XLOOKUP(Table1820[[#This Row],[Coverage Limit]],Table13[Coverage Limit],Table13[Coverage Limit Factor],,0)</f>
        <v>0.61</v>
      </c>
      <c r="AM796">
        <f>IF(Table1820[[#This Row],[Good Student Discount]]="Yes",'Rate Book'!$D$126,1)</f>
        <v>1</v>
      </c>
      <c r="AN796">
        <f>IF(Table1820[[#This Row],[Good Driver Discount]]="Yes",'Rate Book'!$D$127,1)</f>
        <v>0.89</v>
      </c>
      <c r="AO796">
        <f>IF(Table1820[[#This Row],[Multi Policy Discount]]="Yes",'Rate Book'!$D$128,1)</f>
        <v>1</v>
      </c>
      <c r="AP796">
        <f>IF(Table1820[[#This Row],[Loyal Customer Discount]]="Yes",'Rate Book'!$D$129,1)</f>
        <v>1</v>
      </c>
      <c r="AQ796">
        <f>IF(Table1820[[#This Row],[Organization Discount]]="Yes",'Rate Book'!$D$130,1)</f>
        <v>1</v>
      </c>
      <c r="AR796" cm="1">
        <f t="array" ref="AR796">IF(Table1820[[#This Row],[Effective Date]]&gt;=RateChangeTable[Effective Date],RateChangeTable[Rate Change Factor],1)</f>
        <v>1</v>
      </c>
      <c r="AS796" s="10">
        <f>PRODUCT(Table1820[[#This Row],[Base Rate]:[Rate Change Factor]])</f>
        <v>915.03236008895055</v>
      </c>
      <c r="AT796" s="9">
        <f>Table1820[[#This Row],[System-Generated Premium]]-Table1820[[#This Row],[Expected Premium]]</f>
        <v>0</v>
      </c>
      <c r="AU796" t="str">
        <f>IF(Table1820[[#This Row],[Difference]]=0,"PASS","FAIL")</f>
        <v>PASS</v>
      </c>
      <c r="AV796" s="9">
        <f>ABS(Table1820[[#This Row],[Difference]])</f>
        <v>0</v>
      </c>
      <c r="AW796" s="9" t="s">
        <v>1136</v>
      </c>
    </row>
    <row r="797" spans="1:49" x14ac:dyDescent="0.3">
      <c r="A797" t="s">
        <v>888</v>
      </c>
      <c r="B797" s="7">
        <v>46030</v>
      </c>
      <c r="C797" t="s">
        <v>71</v>
      </c>
      <c r="D797" t="s">
        <v>1100</v>
      </c>
      <c r="E797" s="3">
        <v>6</v>
      </c>
      <c r="F797" s="3">
        <v>4</v>
      </c>
      <c r="G797" t="s">
        <v>10</v>
      </c>
      <c r="H797" t="s">
        <v>1109</v>
      </c>
      <c r="I797" t="s">
        <v>33</v>
      </c>
      <c r="J797" t="s">
        <v>49</v>
      </c>
      <c r="K797" t="s">
        <v>10</v>
      </c>
      <c r="L797" t="s">
        <v>10</v>
      </c>
      <c r="M797" t="s">
        <v>10</v>
      </c>
      <c r="N797" t="s">
        <v>10</v>
      </c>
      <c r="O797" t="str">
        <f>INDEX(CoverageTable[Deductible Applies],MATCH(Table1820[[#This Row],[Coverage]],CoverageTable[Coverage],0))</f>
        <v>Yes</v>
      </c>
      <c r="P797" t="str">
        <f>INDEX(CoverageTable[Coverage Limit Applies],MATCH(Table1820[[#This Row],[Coverage]],CoverageTable[Coverage],0))</f>
        <v>No</v>
      </c>
      <c r="Q797" t="s">
        <v>80</v>
      </c>
      <c r="R797" t="s">
        <v>10</v>
      </c>
      <c r="S797" t="s">
        <v>10</v>
      </c>
      <c r="T797" t="s">
        <v>57</v>
      </c>
      <c r="U797" t="s">
        <v>10</v>
      </c>
      <c r="V797" t="s">
        <v>10</v>
      </c>
      <c r="W797" t="s">
        <v>10</v>
      </c>
      <c r="X797" s="11">
        <v>814.89212769627272</v>
      </c>
      <c r="Y797">
        <f>_xlfn.XLOOKUP(Table1820[[#This Row],[Coverage]],CoverageTable[Coverage],CoverageTable[Base Rate],,0)</f>
        <v>453</v>
      </c>
      <c r="Z797">
        <f>INDEX(Table16[Ageband Factor],MATCH(Table1820[[#This Row],[Ageband]],Table16[Ageband],0))</f>
        <v>1.07</v>
      </c>
      <c r="AA797">
        <f>VLOOKUP(Table1820[[#This Row],[Years Driving]],Table1[],2)</f>
        <v>1</v>
      </c>
      <c r="AB797">
        <f>_xlfn.XLOOKUP(Table1820[[#This Row],[At Fault Accidents]],Table2[At Fault Accidents],Table2[At Fault Accident Factor],,0)</f>
        <v>2.12</v>
      </c>
      <c r="AC797">
        <f>_xlfn.XLOOKUP(Table1820[[#This Row],[Usage-Based Insurance]],Table3[Usage-Based Insurance],Table3[Usage-Based Insurance Discount],,0)</f>
        <v>1</v>
      </c>
      <c r="AD797">
        <f>_xlfn.XLOOKUP(Table1820[[#This Row],[Yearly Miles]],Table4[Yearly Miles],Table4[Yearly Miles Factor],,0)</f>
        <v>1.18</v>
      </c>
      <c r="AE797">
        <f>_xlfn.XLOOKUP(Table1820[[#This Row],[City/Zip Code]],Table5[City/Zip Code],Table5[City/Zip Code Factor],,0)</f>
        <v>1.02</v>
      </c>
      <c r="AF797">
        <f>_xlfn.XLOOKUP(Table1820[[#This Row],[Vehicle Price]],Table6[Vehicle Price],Table6[Vehicle Price Factor])</f>
        <v>0.97</v>
      </c>
      <c r="AG797">
        <f>_xlfn.XLOOKUP(Table1820[[#This Row],[Exotic Car]],Table7[Exotic Car],Table7[Exotic Car Factor],,0)</f>
        <v>1</v>
      </c>
      <c r="AH797">
        <f>_xlfn.XLOOKUP(Table1820[[#This Row],[Difficult Parts]],Table8[Difficult Parts],Table8[Difficult Parts Factor],,0)</f>
        <v>1</v>
      </c>
      <c r="AI797">
        <f>_xlfn.XLOOKUP(Table1820[[#This Row],[High Theft Rate]],Table9[High Theft Rate],Table9[High Theft Rate Factor],,0)</f>
        <v>1</v>
      </c>
      <c r="AJ797">
        <f>_xlfn.XLOOKUP(Table1820[[#This Row],[Advanced Safety Features]],Table10[Advanced Safety Features],Table10[Advanced Safety Features Factor],,0)</f>
        <v>1</v>
      </c>
      <c r="AK797">
        <f>_xlfn.XLOOKUP(Table1820[[#This Row],[Deductible]],Table12[Deductible],Table12[Deductible Factor],,0)</f>
        <v>0.72</v>
      </c>
      <c r="AL797">
        <f>_xlfn.XLOOKUP(Table1820[[#This Row],[Coverage Limit]],Table13[Coverage Limit],Table13[Coverage Limit Factor],,0)</f>
        <v>1</v>
      </c>
      <c r="AM797">
        <f>IF(Table1820[[#This Row],[Good Student Discount]]="Yes",'Rate Book'!$D$126,1)</f>
        <v>1</v>
      </c>
      <c r="AN797">
        <f>IF(Table1820[[#This Row],[Good Driver Discount]]="Yes",'Rate Book'!$D$127,1)</f>
        <v>0.89</v>
      </c>
      <c r="AO797">
        <f>IF(Table1820[[#This Row],[Multi Policy Discount]]="Yes",'Rate Book'!$D$128,1)</f>
        <v>1</v>
      </c>
      <c r="AP797">
        <f>IF(Table1820[[#This Row],[Loyal Customer Discount]]="Yes",'Rate Book'!$D$129,1)</f>
        <v>1</v>
      </c>
      <c r="AQ797">
        <f>IF(Table1820[[#This Row],[Organization Discount]]="Yes",'Rate Book'!$D$130,1)</f>
        <v>1</v>
      </c>
      <c r="AR797" cm="1">
        <f t="array" ref="AR797">IF(Table1820[[#This Row],[Effective Date]]&gt;=RateChangeTable[Effective Date],RateChangeTable[Rate Change Factor],1)</f>
        <v>1.06</v>
      </c>
      <c r="AS797" s="10">
        <f>PRODUCT(Table1820[[#This Row],[Base Rate]:[Rate Change Factor]])</f>
        <v>814.89212769627272</v>
      </c>
      <c r="AT797" s="9">
        <f>Table1820[[#This Row],[System-Generated Premium]]-Table1820[[#This Row],[Expected Premium]]</f>
        <v>0</v>
      </c>
      <c r="AU797" t="str">
        <f>IF(Table1820[[#This Row],[Difference]]=0,"PASS","FAIL")</f>
        <v>PASS</v>
      </c>
      <c r="AV797" s="9">
        <f>ABS(Table1820[[#This Row],[Difference]])</f>
        <v>0</v>
      </c>
      <c r="AW797" s="9" t="s">
        <v>1136</v>
      </c>
    </row>
    <row r="798" spans="1:49" x14ac:dyDescent="0.3">
      <c r="A798" t="s">
        <v>889</v>
      </c>
      <c r="B798" s="7">
        <v>46048</v>
      </c>
      <c r="C798" t="s">
        <v>71</v>
      </c>
      <c r="D798" t="s">
        <v>1099</v>
      </c>
      <c r="E798" s="3">
        <v>5</v>
      </c>
      <c r="F798" s="3">
        <v>4</v>
      </c>
      <c r="G798" t="s">
        <v>11</v>
      </c>
      <c r="H798" t="s">
        <v>1107</v>
      </c>
      <c r="I798" t="s">
        <v>40</v>
      </c>
      <c r="J798" t="s">
        <v>49</v>
      </c>
      <c r="K798" t="s">
        <v>10</v>
      </c>
      <c r="L798" t="s">
        <v>10</v>
      </c>
      <c r="M798" t="s">
        <v>10</v>
      </c>
      <c r="N798" t="s">
        <v>10</v>
      </c>
      <c r="O798" t="str">
        <f>INDEX(CoverageTable[Deductible Applies],MATCH(Table1820[[#This Row],[Coverage]],CoverageTable[Coverage],0))</f>
        <v>Yes</v>
      </c>
      <c r="P798" t="str">
        <f>INDEX(CoverageTable[Coverage Limit Applies],MATCH(Table1820[[#This Row],[Coverage]],CoverageTable[Coverage],0))</f>
        <v>No</v>
      </c>
      <c r="Q798" t="s">
        <v>80</v>
      </c>
      <c r="R798" t="s">
        <v>10</v>
      </c>
      <c r="S798" t="s">
        <v>10</v>
      </c>
      <c r="T798" t="s">
        <v>10</v>
      </c>
      <c r="U798" t="s">
        <v>57</v>
      </c>
      <c r="V798" t="s">
        <v>10</v>
      </c>
      <c r="W798" t="s">
        <v>10</v>
      </c>
      <c r="X798" s="11">
        <v>681.30870346702045</v>
      </c>
      <c r="Y798">
        <f>_xlfn.XLOOKUP(Table1820[[#This Row],[Coverage]],CoverageTable[Coverage],CoverageTable[Base Rate],,0)</f>
        <v>453</v>
      </c>
      <c r="Z798">
        <f>INDEX(Table16[Ageband Factor],MATCH(Table1820[[#This Row],[Ageband]],Table16[Ageband],0))</f>
        <v>1</v>
      </c>
      <c r="AA798">
        <f>VLOOKUP(Table1820[[#This Row],[Years Driving]],Table1[],2)</f>
        <v>1.07</v>
      </c>
      <c r="AB798">
        <f>_xlfn.XLOOKUP(Table1820[[#This Row],[At Fault Accidents]],Table2[At Fault Accidents],Table2[At Fault Accident Factor],,0)</f>
        <v>2.12</v>
      </c>
      <c r="AC798">
        <f>_xlfn.XLOOKUP(Table1820[[#This Row],[Usage-Based Insurance]],Table3[Usage-Based Insurance],Table3[Usage-Based Insurance Discount],,0)</f>
        <v>0.95</v>
      </c>
      <c r="AD798">
        <f>_xlfn.XLOOKUP(Table1820[[#This Row],[Yearly Miles]],Table4[Yearly Miles],Table4[Yearly Miles Factor],,0)</f>
        <v>0.93</v>
      </c>
      <c r="AE798">
        <f>_xlfn.XLOOKUP(Table1820[[#This Row],[City/Zip Code]],Table5[City/Zip Code],Table5[City/Zip Code Factor],,0)</f>
        <v>1.0900000000000001</v>
      </c>
      <c r="AF798">
        <f>_xlfn.XLOOKUP(Table1820[[#This Row],[Vehicle Price]],Table6[Vehicle Price],Table6[Vehicle Price Factor])</f>
        <v>0.97</v>
      </c>
      <c r="AG798">
        <f>_xlfn.XLOOKUP(Table1820[[#This Row],[Exotic Car]],Table7[Exotic Car],Table7[Exotic Car Factor],,0)</f>
        <v>1</v>
      </c>
      <c r="AH798">
        <f>_xlfn.XLOOKUP(Table1820[[#This Row],[Difficult Parts]],Table8[Difficult Parts],Table8[Difficult Parts Factor],,0)</f>
        <v>1</v>
      </c>
      <c r="AI798">
        <f>_xlfn.XLOOKUP(Table1820[[#This Row],[High Theft Rate]],Table9[High Theft Rate],Table9[High Theft Rate Factor],,0)</f>
        <v>1</v>
      </c>
      <c r="AJ798">
        <f>_xlfn.XLOOKUP(Table1820[[#This Row],[Advanced Safety Features]],Table10[Advanced Safety Features],Table10[Advanced Safety Features Factor],,0)</f>
        <v>1</v>
      </c>
      <c r="AK798">
        <f>_xlfn.XLOOKUP(Table1820[[#This Row],[Deductible]],Table12[Deductible],Table12[Deductible Factor],,0)</f>
        <v>0.72</v>
      </c>
      <c r="AL798">
        <f>_xlfn.XLOOKUP(Table1820[[#This Row],[Coverage Limit]],Table13[Coverage Limit],Table13[Coverage Limit Factor],,0)</f>
        <v>1</v>
      </c>
      <c r="AM798">
        <f>IF(Table1820[[#This Row],[Good Student Discount]]="Yes",'Rate Book'!$D$126,1)</f>
        <v>1</v>
      </c>
      <c r="AN798">
        <f>IF(Table1820[[#This Row],[Good Driver Discount]]="Yes",'Rate Book'!$D$127,1)</f>
        <v>1</v>
      </c>
      <c r="AO798">
        <f>IF(Table1820[[#This Row],[Multi Policy Discount]]="Yes",'Rate Book'!$D$128,1)</f>
        <v>0.93</v>
      </c>
      <c r="AP798">
        <f>IF(Table1820[[#This Row],[Loyal Customer Discount]]="Yes",'Rate Book'!$D$129,1)</f>
        <v>1</v>
      </c>
      <c r="AQ798">
        <f>IF(Table1820[[#This Row],[Organization Discount]]="Yes",'Rate Book'!$D$130,1)</f>
        <v>1</v>
      </c>
      <c r="AR798" cm="1">
        <f t="array" ref="AR798">IF(Table1820[[#This Row],[Effective Date]]&gt;=RateChangeTable[Effective Date],RateChangeTable[Rate Change Factor],1)</f>
        <v>1.06</v>
      </c>
      <c r="AS798" s="10">
        <f>PRODUCT(Table1820[[#This Row],[Base Rate]:[Rate Change Factor]])</f>
        <v>681.30870346702045</v>
      </c>
      <c r="AT798" s="9">
        <f>Table1820[[#This Row],[System-Generated Premium]]-Table1820[[#This Row],[Expected Premium]]</f>
        <v>0</v>
      </c>
      <c r="AU798" t="str">
        <f>IF(Table1820[[#This Row],[Difference]]=0,"PASS","FAIL")</f>
        <v>PASS</v>
      </c>
      <c r="AV798" s="9">
        <f>ABS(Table1820[[#This Row],[Difference]])</f>
        <v>0</v>
      </c>
      <c r="AW798" s="9" t="s">
        <v>1136</v>
      </c>
    </row>
    <row r="799" spans="1:49" x14ac:dyDescent="0.3">
      <c r="A799" t="s">
        <v>890</v>
      </c>
      <c r="B799" s="7">
        <v>45901</v>
      </c>
      <c r="C799" t="s">
        <v>73</v>
      </c>
      <c r="D799" t="s">
        <v>1099</v>
      </c>
      <c r="E799" s="3">
        <v>6</v>
      </c>
      <c r="F799" s="3">
        <v>1</v>
      </c>
      <c r="G799" t="s">
        <v>12</v>
      </c>
      <c r="H799" t="s">
        <v>1106</v>
      </c>
      <c r="I799" t="s">
        <v>35</v>
      </c>
      <c r="J799" t="s">
        <v>50</v>
      </c>
      <c r="K799" t="s">
        <v>10</v>
      </c>
      <c r="L799" t="s">
        <v>10</v>
      </c>
      <c r="M799" t="s">
        <v>10</v>
      </c>
      <c r="N799" t="s">
        <v>10</v>
      </c>
      <c r="O799" t="str">
        <f>INDEX(CoverageTable[Deductible Applies],MATCH(Table1820[[#This Row],[Coverage]],CoverageTable[Coverage],0))</f>
        <v>No</v>
      </c>
      <c r="P799" t="str">
        <f>INDEX(CoverageTable[Coverage Limit Applies],MATCH(Table1820[[#This Row],[Coverage]],CoverageTable[Coverage],0))</f>
        <v>Yes</v>
      </c>
      <c r="Q799" t="s">
        <v>10</v>
      </c>
      <c r="R799" t="s">
        <v>78</v>
      </c>
      <c r="S799" t="s">
        <v>10</v>
      </c>
      <c r="T799" t="s">
        <v>10</v>
      </c>
      <c r="U799" t="s">
        <v>10</v>
      </c>
      <c r="V799" t="s">
        <v>10</v>
      </c>
      <c r="W799" t="s">
        <v>10</v>
      </c>
      <c r="X799" s="11">
        <v>50.591185182720018</v>
      </c>
      <c r="Y799">
        <f>_xlfn.XLOOKUP(Table1820[[#This Row],[Coverage]],CoverageTable[Coverage],CoverageTable[Base Rate],,0)</f>
        <v>78</v>
      </c>
      <c r="Z799">
        <f>INDEX(Table16[Ageband Factor],MATCH(Table1820[[#This Row],[Ageband]],Table16[Ageband],0))</f>
        <v>1</v>
      </c>
      <c r="AA799">
        <f>VLOOKUP(Table1820[[#This Row],[Years Driving]],Table1[],2)</f>
        <v>1</v>
      </c>
      <c r="AB799">
        <f>_xlfn.XLOOKUP(Table1820[[#This Row],[At Fault Accidents]],Table2[At Fault Accidents],Table2[At Fault Accident Factor],,0)</f>
        <v>1.34</v>
      </c>
      <c r="AC799">
        <f>_xlfn.XLOOKUP(Table1820[[#This Row],[Usage-Based Insurance]],Table3[Usage-Based Insurance],Table3[Usage-Based Insurance Discount],,0)</f>
        <v>0.8</v>
      </c>
      <c r="AD799">
        <f>_xlfn.XLOOKUP(Table1820[[#This Row],[Yearly Miles]],Table4[Yearly Miles],Table4[Yearly Miles Factor],,0)</f>
        <v>0.82</v>
      </c>
      <c r="AE799">
        <f>_xlfn.XLOOKUP(Table1820[[#This Row],[City/Zip Code]],Table5[City/Zip Code],Table5[City/Zip Code Factor],,0)</f>
        <v>1.1200000000000001</v>
      </c>
      <c r="AF799">
        <f>_xlfn.XLOOKUP(Table1820[[#This Row],[Vehicle Price]],Table6[Vehicle Price],Table6[Vehicle Price Factor])</f>
        <v>1.08</v>
      </c>
      <c r="AG799">
        <f>_xlfn.XLOOKUP(Table1820[[#This Row],[Exotic Car]],Table7[Exotic Car],Table7[Exotic Car Factor],,0)</f>
        <v>1</v>
      </c>
      <c r="AH799">
        <f>_xlfn.XLOOKUP(Table1820[[#This Row],[Difficult Parts]],Table8[Difficult Parts],Table8[Difficult Parts Factor],,0)</f>
        <v>1</v>
      </c>
      <c r="AI799">
        <f>_xlfn.XLOOKUP(Table1820[[#This Row],[High Theft Rate]],Table9[High Theft Rate],Table9[High Theft Rate Factor],,0)</f>
        <v>1</v>
      </c>
      <c r="AJ799">
        <f>_xlfn.XLOOKUP(Table1820[[#This Row],[Advanced Safety Features]],Table10[Advanced Safety Features],Table10[Advanced Safety Features Factor],,0)</f>
        <v>1</v>
      </c>
      <c r="AK799">
        <f>_xlfn.XLOOKUP(Table1820[[#This Row],[Deductible]],Table12[Deductible],Table12[Deductible Factor],,0)</f>
        <v>1</v>
      </c>
      <c r="AL799">
        <f>_xlfn.XLOOKUP(Table1820[[#This Row],[Coverage Limit]],Table13[Coverage Limit],Table13[Coverage Limit Factor],,0)</f>
        <v>0.61</v>
      </c>
      <c r="AM799">
        <f>IF(Table1820[[#This Row],[Good Student Discount]]="Yes",'Rate Book'!$D$126,1)</f>
        <v>1</v>
      </c>
      <c r="AN799">
        <f>IF(Table1820[[#This Row],[Good Driver Discount]]="Yes",'Rate Book'!$D$127,1)</f>
        <v>1</v>
      </c>
      <c r="AO799">
        <f>IF(Table1820[[#This Row],[Multi Policy Discount]]="Yes",'Rate Book'!$D$128,1)</f>
        <v>1</v>
      </c>
      <c r="AP799">
        <f>IF(Table1820[[#This Row],[Loyal Customer Discount]]="Yes",'Rate Book'!$D$129,1)</f>
        <v>1</v>
      </c>
      <c r="AQ799">
        <f>IF(Table1820[[#This Row],[Organization Discount]]="Yes",'Rate Book'!$D$130,1)</f>
        <v>1</v>
      </c>
      <c r="AR799" cm="1">
        <f t="array" ref="AR799">IF(Table1820[[#This Row],[Effective Date]]&gt;=RateChangeTable[Effective Date],RateChangeTable[Rate Change Factor],1)</f>
        <v>1</v>
      </c>
      <c r="AS799" s="10">
        <f>PRODUCT(Table1820[[#This Row],[Base Rate]:[Rate Change Factor]])</f>
        <v>50.591185182720018</v>
      </c>
      <c r="AT799" s="9">
        <f>Table1820[[#This Row],[System-Generated Premium]]-Table1820[[#This Row],[Expected Premium]]</f>
        <v>0</v>
      </c>
      <c r="AU799" t="str">
        <f>IF(Table1820[[#This Row],[Difference]]=0,"PASS","FAIL")</f>
        <v>PASS</v>
      </c>
      <c r="AV799" s="9">
        <f>ABS(Table1820[[#This Row],[Difference]])</f>
        <v>0</v>
      </c>
      <c r="AW799" s="9" t="s">
        <v>1136</v>
      </c>
    </row>
    <row r="800" spans="1:49" x14ac:dyDescent="0.3">
      <c r="A800" t="s">
        <v>891</v>
      </c>
      <c r="B800" s="7">
        <v>45819</v>
      </c>
      <c r="C800" t="s">
        <v>73</v>
      </c>
      <c r="D800" t="s">
        <v>1101</v>
      </c>
      <c r="E800" s="3">
        <v>2</v>
      </c>
      <c r="F800" s="3">
        <v>2</v>
      </c>
      <c r="G800" t="s">
        <v>10</v>
      </c>
      <c r="H800" t="s">
        <v>1107</v>
      </c>
      <c r="I800" t="s">
        <v>32</v>
      </c>
      <c r="J800" t="s">
        <v>51</v>
      </c>
      <c r="K800" t="s">
        <v>10</v>
      </c>
      <c r="L800" t="s">
        <v>10</v>
      </c>
      <c r="M800" t="s">
        <v>10</v>
      </c>
      <c r="N800" t="s">
        <v>57</v>
      </c>
      <c r="O800" t="str">
        <f>INDEX(CoverageTable[Deductible Applies],MATCH(Table1820[[#This Row],[Coverage]],CoverageTable[Coverage],0))</f>
        <v>No</v>
      </c>
      <c r="P800" t="str">
        <f>INDEX(CoverageTable[Coverage Limit Applies],MATCH(Table1820[[#This Row],[Coverage]],CoverageTable[Coverage],0))</f>
        <v>Yes</v>
      </c>
      <c r="Q800" t="s">
        <v>10</v>
      </c>
      <c r="R800" t="s">
        <v>78</v>
      </c>
      <c r="S800" t="s">
        <v>10</v>
      </c>
      <c r="T800" t="s">
        <v>10</v>
      </c>
      <c r="U800" t="s">
        <v>10</v>
      </c>
      <c r="V800" t="s">
        <v>10</v>
      </c>
      <c r="W800" t="s">
        <v>10</v>
      </c>
      <c r="X800" s="11">
        <v>136.64284137042742</v>
      </c>
      <c r="Y800">
        <f>_xlfn.XLOOKUP(Table1820[[#This Row],[Coverage]],CoverageTable[Coverage],CoverageTable[Base Rate],,0)</f>
        <v>78</v>
      </c>
      <c r="Z800">
        <f>INDEX(Table16[Ageband Factor],MATCH(Table1820[[#This Row],[Ageband]],Table16[Ageband],0))</f>
        <v>1.1200000000000001</v>
      </c>
      <c r="AA800">
        <f>VLOOKUP(Table1820[[#This Row],[Years Driving]],Table1[],2)</f>
        <v>1.41</v>
      </c>
      <c r="AB800">
        <f>_xlfn.XLOOKUP(Table1820[[#This Row],[At Fault Accidents]],Table2[At Fault Accidents],Table2[At Fault Accident Factor],,0)</f>
        <v>1.55</v>
      </c>
      <c r="AC800">
        <f>_xlfn.XLOOKUP(Table1820[[#This Row],[Usage-Based Insurance]],Table3[Usage-Based Insurance],Table3[Usage-Based Insurance Discount],,0)</f>
        <v>1</v>
      </c>
      <c r="AD800">
        <f>_xlfn.XLOOKUP(Table1820[[#This Row],[Yearly Miles]],Table4[Yearly Miles],Table4[Yearly Miles Factor],,0)</f>
        <v>0.93</v>
      </c>
      <c r="AE800">
        <f>_xlfn.XLOOKUP(Table1820[[#This Row],[City/Zip Code]],Table5[City/Zip Code],Table5[City/Zip Code Factor],,0)</f>
        <v>1.1200000000000001</v>
      </c>
      <c r="AF800">
        <f>_xlfn.XLOOKUP(Table1820[[#This Row],[Vehicle Price]],Table6[Vehicle Price],Table6[Vehicle Price Factor])</f>
        <v>1.28</v>
      </c>
      <c r="AG800">
        <f>_xlfn.XLOOKUP(Table1820[[#This Row],[Exotic Car]],Table7[Exotic Car],Table7[Exotic Car Factor],,0)</f>
        <v>1</v>
      </c>
      <c r="AH800">
        <f>_xlfn.XLOOKUP(Table1820[[#This Row],[Difficult Parts]],Table8[Difficult Parts],Table8[Difficult Parts Factor],,0)</f>
        <v>1</v>
      </c>
      <c r="AI800">
        <f>_xlfn.XLOOKUP(Table1820[[#This Row],[High Theft Rate]],Table9[High Theft Rate],Table9[High Theft Rate Factor],,0)</f>
        <v>1</v>
      </c>
      <c r="AJ800">
        <f>_xlfn.XLOOKUP(Table1820[[#This Row],[Advanced Safety Features]],Table10[Advanced Safety Features],Table10[Advanced Safety Features Factor],,0)</f>
        <v>0.88</v>
      </c>
      <c r="AK800">
        <f>_xlfn.XLOOKUP(Table1820[[#This Row],[Deductible]],Table12[Deductible],Table12[Deductible Factor],,0)</f>
        <v>1</v>
      </c>
      <c r="AL800">
        <f>_xlfn.XLOOKUP(Table1820[[#This Row],[Coverage Limit]],Table13[Coverage Limit],Table13[Coverage Limit Factor],,0)</f>
        <v>0.61</v>
      </c>
      <c r="AM800">
        <f>IF(Table1820[[#This Row],[Good Student Discount]]="Yes",'Rate Book'!$D$126,1)</f>
        <v>1</v>
      </c>
      <c r="AN800">
        <f>IF(Table1820[[#This Row],[Good Driver Discount]]="Yes",'Rate Book'!$D$127,1)</f>
        <v>1</v>
      </c>
      <c r="AO800">
        <f>IF(Table1820[[#This Row],[Multi Policy Discount]]="Yes",'Rate Book'!$D$128,1)</f>
        <v>1</v>
      </c>
      <c r="AP800">
        <f>IF(Table1820[[#This Row],[Loyal Customer Discount]]="Yes",'Rate Book'!$D$129,1)</f>
        <v>1</v>
      </c>
      <c r="AQ800">
        <f>IF(Table1820[[#This Row],[Organization Discount]]="Yes",'Rate Book'!$D$130,1)</f>
        <v>1</v>
      </c>
      <c r="AR800" cm="1">
        <f t="array" ref="AR800">IF(Table1820[[#This Row],[Effective Date]]&gt;=RateChangeTable[Effective Date],RateChangeTable[Rate Change Factor],1)</f>
        <v>1</v>
      </c>
      <c r="AS800" s="10">
        <f>PRODUCT(Table1820[[#This Row],[Base Rate]:[Rate Change Factor]])</f>
        <v>136.64284137042742</v>
      </c>
      <c r="AT800" s="9">
        <f>Table1820[[#This Row],[System-Generated Premium]]-Table1820[[#This Row],[Expected Premium]]</f>
        <v>0</v>
      </c>
      <c r="AU800" t="str">
        <f>IF(Table1820[[#This Row],[Difference]]=0,"PASS","FAIL")</f>
        <v>PASS</v>
      </c>
      <c r="AV800" s="9">
        <f>ABS(Table1820[[#This Row],[Difference]])</f>
        <v>0</v>
      </c>
      <c r="AW800" s="9" t="s">
        <v>1136</v>
      </c>
    </row>
    <row r="801" spans="1:49" x14ac:dyDescent="0.3">
      <c r="A801" t="s">
        <v>892</v>
      </c>
      <c r="B801" s="7">
        <v>45790</v>
      </c>
      <c r="C801" t="s">
        <v>74</v>
      </c>
      <c r="D801" t="s">
        <v>1101</v>
      </c>
      <c r="E801" s="3">
        <v>1</v>
      </c>
      <c r="F801" s="3">
        <v>1</v>
      </c>
      <c r="G801" t="s">
        <v>11</v>
      </c>
      <c r="H801" t="s">
        <v>1110</v>
      </c>
      <c r="I801" t="s">
        <v>32</v>
      </c>
      <c r="J801" t="s">
        <v>48</v>
      </c>
      <c r="K801" t="s">
        <v>10</v>
      </c>
      <c r="L801" t="s">
        <v>10</v>
      </c>
      <c r="M801" t="s">
        <v>10</v>
      </c>
      <c r="N801" t="s">
        <v>57</v>
      </c>
      <c r="O801" t="str">
        <f>INDEX(CoverageTable[Deductible Applies],MATCH(Table1820[[#This Row],[Coverage]],CoverageTable[Coverage],0))</f>
        <v>No</v>
      </c>
      <c r="P801" t="str">
        <f>INDEX(CoverageTable[Coverage Limit Applies],MATCH(Table1820[[#This Row],[Coverage]],CoverageTable[Coverage],0))</f>
        <v>Yes</v>
      </c>
      <c r="Q801" t="s">
        <v>10</v>
      </c>
      <c r="R801" t="s">
        <v>80</v>
      </c>
      <c r="S801" t="s">
        <v>57</v>
      </c>
      <c r="T801" t="s">
        <v>57</v>
      </c>
      <c r="U801" t="s">
        <v>10</v>
      </c>
      <c r="V801" t="s">
        <v>10</v>
      </c>
      <c r="W801" t="s">
        <v>10</v>
      </c>
      <c r="X801" s="11">
        <v>69.80991255513689</v>
      </c>
      <c r="Y801">
        <f>_xlfn.XLOOKUP(Table1820[[#This Row],[Coverage]],CoverageTable[Coverage],CoverageTable[Base Rate],,0)</f>
        <v>41</v>
      </c>
      <c r="Z801">
        <f>INDEX(Table16[Ageband Factor],MATCH(Table1820[[#This Row],[Ageband]],Table16[Ageband],0))</f>
        <v>1.1200000000000001</v>
      </c>
      <c r="AA801">
        <f>VLOOKUP(Table1820[[#This Row],[Years Driving]],Table1[],2)</f>
        <v>1.64</v>
      </c>
      <c r="AB801">
        <f>_xlfn.XLOOKUP(Table1820[[#This Row],[At Fault Accidents]],Table2[At Fault Accidents],Table2[At Fault Accident Factor],,0)</f>
        <v>1.34</v>
      </c>
      <c r="AC801">
        <f>_xlfn.XLOOKUP(Table1820[[#This Row],[Usage-Based Insurance]],Table3[Usage-Based Insurance],Table3[Usage-Based Insurance Discount],,0)</f>
        <v>0.95</v>
      </c>
      <c r="AD801">
        <f>_xlfn.XLOOKUP(Table1820[[#This Row],[Yearly Miles]],Table4[Yearly Miles],Table4[Yearly Miles Factor],,0)</f>
        <v>1.31</v>
      </c>
      <c r="AE801">
        <f>_xlfn.XLOOKUP(Table1820[[#This Row],[City/Zip Code]],Table5[City/Zip Code],Table5[City/Zip Code Factor],,0)</f>
        <v>1.1200000000000001</v>
      </c>
      <c r="AF801">
        <f>_xlfn.XLOOKUP(Table1820[[#This Row],[Vehicle Price]],Table6[Vehicle Price],Table6[Vehicle Price Factor])</f>
        <v>0.82</v>
      </c>
      <c r="AG801">
        <f>_xlfn.XLOOKUP(Table1820[[#This Row],[Exotic Car]],Table7[Exotic Car],Table7[Exotic Car Factor],,0)</f>
        <v>1</v>
      </c>
      <c r="AH801">
        <f>_xlfn.XLOOKUP(Table1820[[#This Row],[Difficult Parts]],Table8[Difficult Parts],Table8[Difficult Parts Factor],,0)</f>
        <v>1</v>
      </c>
      <c r="AI801">
        <f>_xlfn.XLOOKUP(Table1820[[#This Row],[High Theft Rate]],Table9[High Theft Rate],Table9[High Theft Rate Factor],,0)</f>
        <v>1</v>
      </c>
      <c r="AJ801">
        <f>_xlfn.XLOOKUP(Table1820[[#This Row],[Advanced Safety Features]],Table10[Advanced Safety Features],Table10[Advanced Safety Features Factor],,0)</f>
        <v>0.88</v>
      </c>
      <c r="AK801">
        <f>_xlfn.XLOOKUP(Table1820[[#This Row],[Deductible]],Table12[Deductible],Table12[Deductible Factor],,0)</f>
        <v>1</v>
      </c>
      <c r="AL801">
        <f>_xlfn.XLOOKUP(Table1820[[#This Row],[Coverage Limit]],Table13[Coverage Limit],Table13[Coverage Limit Factor],,0)</f>
        <v>0.84</v>
      </c>
      <c r="AM801">
        <f>IF(Table1820[[#This Row],[Good Student Discount]]="Yes",'Rate Book'!$D$126,1)</f>
        <v>0.92</v>
      </c>
      <c r="AN801">
        <f>IF(Table1820[[#This Row],[Good Driver Discount]]="Yes",'Rate Book'!$D$127,1)</f>
        <v>0.89</v>
      </c>
      <c r="AO801">
        <f>IF(Table1820[[#This Row],[Multi Policy Discount]]="Yes",'Rate Book'!$D$128,1)</f>
        <v>1</v>
      </c>
      <c r="AP801">
        <f>IF(Table1820[[#This Row],[Loyal Customer Discount]]="Yes",'Rate Book'!$D$129,1)</f>
        <v>1</v>
      </c>
      <c r="AQ801">
        <f>IF(Table1820[[#This Row],[Organization Discount]]="Yes",'Rate Book'!$D$130,1)</f>
        <v>1</v>
      </c>
      <c r="AR801" cm="1">
        <f t="array" ref="AR801">IF(Table1820[[#This Row],[Effective Date]]&gt;=RateChangeTable[Effective Date],RateChangeTable[Rate Change Factor],1)</f>
        <v>1</v>
      </c>
      <c r="AS801" s="10">
        <f>PRODUCT(Table1820[[#This Row],[Base Rate]:[Rate Change Factor]])</f>
        <v>69.80991255513689</v>
      </c>
      <c r="AT801" s="9">
        <f>Table1820[[#This Row],[System-Generated Premium]]-Table1820[[#This Row],[Expected Premium]]</f>
        <v>0</v>
      </c>
      <c r="AU801" t="str">
        <f>IF(Table1820[[#This Row],[Difference]]=0,"PASS","FAIL")</f>
        <v>PASS</v>
      </c>
      <c r="AV801" s="9">
        <f>ABS(Table1820[[#This Row],[Difference]])</f>
        <v>0</v>
      </c>
      <c r="AW801" s="9" t="s">
        <v>1136</v>
      </c>
    </row>
    <row r="802" spans="1:49" x14ac:dyDescent="0.3">
      <c r="A802" t="s">
        <v>893</v>
      </c>
      <c r="B802" s="7">
        <v>46079</v>
      </c>
      <c r="C802" t="s">
        <v>70</v>
      </c>
      <c r="D802" t="s">
        <v>1102</v>
      </c>
      <c r="E802" s="3">
        <v>3</v>
      </c>
      <c r="F802" s="3">
        <v>4</v>
      </c>
      <c r="G802" t="s">
        <v>12</v>
      </c>
      <c r="H802" t="s">
        <v>1108</v>
      </c>
      <c r="I802" t="s">
        <v>29</v>
      </c>
      <c r="J802" t="s">
        <v>48</v>
      </c>
      <c r="K802" t="s">
        <v>10</v>
      </c>
      <c r="L802" t="s">
        <v>10</v>
      </c>
      <c r="M802" t="s">
        <v>57</v>
      </c>
      <c r="N802" t="s">
        <v>57</v>
      </c>
      <c r="O802" t="str">
        <f>INDEX(CoverageTable[Deductible Applies],MATCH(Table1820[[#This Row],[Coverage]],CoverageTable[Coverage],0))</f>
        <v>No</v>
      </c>
      <c r="P802" t="str">
        <f>INDEX(CoverageTable[Coverage Limit Applies],MATCH(Table1820[[#This Row],[Coverage]],CoverageTable[Coverage],0))</f>
        <v>Yes</v>
      </c>
      <c r="Q802" t="s">
        <v>10</v>
      </c>
      <c r="R802" t="s">
        <v>80</v>
      </c>
      <c r="S802" t="s">
        <v>10</v>
      </c>
      <c r="T802" t="s">
        <v>10</v>
      </c>
      <c r="U802" t="s">
        <v>10</v>
      </c>
      <c r="V802" t="s">
        <v>57</v>
      </c>
      <c r="W802" t="s">
        <v>10</v>
      </c>
      <c r="X802" s="11">
        <v>1177.52</v>
      </c>
      <c r="Y802">
        <f>_xlfn.XLOOKUP(Table1820[[#This Row],[Coverage]],CoverageTable[Coverage],CoverageTable[Base Rate],,0)</f>
        <v>622</v>
      </c>
      <c r="Z802">
        <f>INDEX(Table16[Ageband Factor],MATCH(Table1820[[#This Row],[Ageband]],Table16[Ageband],0))</f>
        <v>1.27</v>
      </c>
      <c r="AA802">
        <f>VLOOKUP(Table1820[[#This Row],[Years Driving]],Table1[],2)</f>
        <v>1.22</v>
      </c>
      <c r="AB802">
        <f>_xlfn.XLOOKUP(Table1820[[#This Row],[At Fault Accidents]],Table2[At Fault Accidents],Table2[At Fault Accident Factor],,0)</f>
        <v>2.12</v>
      </c>
      <c r="AC802">
        <f>_xlfn.XLOOKUP(Table1820[[#This Row],[Usage-Based Insurance]],Table3[Usage-Based Insurance],Table3[Usage-Based Insurance Discount],,0)</f>
        <v>0.8</v>
      </c>
      <c r="AD802">
        <f>_xlfn.XLOOKUP(Table1820[[#This Row],[Yearly Miles]],Table4[Yearly Miles],Table4[Yearly Miles Factor],,0)</f>
        <v>1</v>
      </c>
      <c r="AE802">
        <f>_xlfn.XLOOKUP(Table1820[[#This Row],[City/Zip Code]],Table5[City/Zip Code],Table5[City/Zip Code Factor],,0)</f>
        <v>1.0900000000000001</v>
      </c>
      <c r="AF802">
        <f>_xlfn.XLOOKUP(Table1820[[#This Row],[Vehicle Price]],Table6[Vehicle Price],Table6[Vehicle Price Factor])</f>
        <v>0.82</v>
      </c>
      <c r="AG802">
        <f>_xlfn.XLOOKUP(Table1820[[#This Row],[Exotic Car]],Table7[Exotic Car],Table7[Exotic Car Factor],,0)</f>
        <v>1</v>
      </c>
      <c r="AH802">
        <f>_xlfn.XLOOKUP(Table1820[[#This Row],[Difficult Parts]],Table8[Difficult Parts],Table8[Difficult Parts Factor],,0)</f>
        <v>1</v>
      </c>
      <c r="AI802">
        <f>_xlfn.XLOOKUP(Table1820[[#This Row],[High Theft Rate]],Table9[High Theft Rate],Table9[High Theft Rate Factor],,0)</f>
        <v>1.1599999999999999</v>
      </c>
      <c r="AJ802">
        <f>_xlfn.XLOOKUP(Table1820[[#This Row],[Advanced Safety Features]],Table10[Advanced Safety Features],Table10[Advanced Safety Features Factor],,0)</f>
        <v>0.88</v>
      </c>
      <c r="AK802">
        <f>_xlfn.XLOOKUP(Table1820[[#This Row],[Deductible]],Table12[Deductible],Table12[Deductible Factor],,0)</f>
        <v>1</v>
      </c>
      <c r="AL802">
        <f>_xlfn.XLOOKUP(Table1820[[#This Row],[Coverage Limit]],Table13[Coverage Limit],Table13[Coverage Limit Factor],,0)</f>
        <v>0.84</v>
      </c>
      <c r="AM802">
        <f>IF(Table1820[[#This Row],[Good Student Discount]]="Yes",'Rate Book'!$D$126,1)</f>
        <v>1</v>
      </c>
      <c r="AN802">
        <f>IF(Table1820[[#This Row],[Good Driver Discount]]="Yes",'Rate Book'!$D$127,1)</f>
        <v>1</v>
      </c>
      <c r="AO802">
        <f>IF(Table1820[[#This Row],[Multi Policy Discount]]="Yes",'Rate Book'!$D$128,1)</f>
        <v>1</v>
      </c>
      <c r="AP802">
        <f>IF(Table1820[[#This Row],[Loyal Customer Discount]]="Yes",'Rate Book'!$D$129,1)</f>
        <v>0.94</v>
      </c>
      <c r="AQ802">
        <f>IF(Table1820[[#This Row],[Organization Discount]]="Yes",'Rate Book'!$D$130,1)</f>
        <v>1</v>
      </c>
      <c r="AR802" cm="1">
        <f t="array" ref="AR802">IF(Table1820[[#This Row],[Effective Date]]&gt;=RateChangeTable[Effective Date],RateChangeTable[Rate Change Factor],1)</f>
        <v>1.06</v>
      </c>
      <c r="AS802" s="10">
        <f>PRODUCT(Table1820[[#This Row],[Base Rate]:[Rate Change Factor]])</f>
        <v>1248.1701748811113</v>
      </c>
      <c r="AT802" s="9">
        <f>Table1820[[#This Row],[System-Generated Premium]]-Table1820[[#This Row],[Expected Premium]]</f>
        <v>-70.650174881111298</v>
      </c>
      <c r="AU802" t="str">
        <f>IF(Table1820[[#This Row],[Difference]]=0,"PASS","FAIL")</f>
        <v>FAIL</v>
      </c>
      <c r="AV802" s="9">
        <f>ABS(Table1820[[#This Row],[Difference]])</f>
        <v>70.650174881111298</v>
      </c>
      <c r="AW802" s="9" t="s">
        <v>1133</v>
      </c>
    </row>
    <row r="803" spans="1:49" x14ac:dyDescent="0.3">
      <c r="A803" t="s">
        <v>894</v>
      </c>
      <c r="B803" s="7">
        <v>46131</v>
      </c>
      <c r="C803" t="s">
        <v>71</v>
      </c>
      <c r="D803" t="s">
        <v>1098</v>
      </c>
      <c r="E803" s="3">
        <v>3</v>
      </c>
      <c r="F803" s="3">
        <v>3</v>
      </c>
      <c r="G803" t="s">
        <v>12</v>
      </c>
      <c r="H803" t="s">
        <v>1106</v>
      </c>
      <c r="I803" t="s">
        <v>27</v>
      </c>
      <c r="J803" t="s">
        <v>51</v>
      </c>
      <c r="K803" t="s">
        <v>10</v>
      </c>
      <c r="L803" t="s">
        <v>10</v>
      </c>
      <c r="M803" t="s">
        <v>10</v>
      </c>
      <c r="N803" t="s">
        <v>10</v>
      </c>
      <c r="O803" t="str">
        <f>INDEX(CoverageTable[Deductible Applies],MATCH(Table1820[[#This Row],[Coverage]],CoverageTable[Coverage],0))</f>
        <v>Yes</v>
      </c>
      <c r="P803" t="str">
        <f>INDEX(CoverageTable[Coverage Limit Applies],MATCH(Table1820[[#This Row],[Coverage]],CoverageTable[Coverage],0))</f>
        <v>No</v>
      </c>
      <c r="Q803" t="s">
        <v>79</v>
      </c>
      <c r="R803" t="s">
        <v>10</v>
      </c>
      <c r="S803" t="s">
        <v>10</v>
      </c>
      <c r="T803" t="s">
        <v>10</v>
      </c>
      <c r="U803" t="s">
        <v>10</v>
      </c>
      <c r="V803" t="s">
        <v>57</v>
      </c>
      <c r="W803" t="s">
        <v>57</v>
      </c>
      <c r="X803" s="11">
        <v>792.79505741261323</v>
      </c>
      <c r="Y803">
        <f>_xlfn.XLOOKUP(Table1820[[#This Row],[Coverage]],CoverageTable[Coverage],CoverageTable[Base Rate],,0)</f>
        <v>453</v>
      </c>
      <c r="Z803">
        <f>INDEX(Table16[Ageband Factor],MATCH(Table1820[[#This Row],[Ageband]],Table16[Ageband],0))</f>
        <v>1.23</v>
      </c>
      <c r="AA803">
        <f>VLOOKUP(Table1820[[#This Row],[Years Driving]],Table1[],2)</f>
        <v>1.22</v>
      </c>
      <c r="AB803">
        <f>_xlfn.XLOOKUP(Table1820[[#This Row],[At Fault Accidents]],Table2[At Fault Accidents],Table2[At Fault Accident Factor],,0)</f>
        <v>1.82</v>
      </c>
      <c r="AC803">
        <f>_xlfn.XLOOKUP(Table1820[[#This Row],[Usage-Based Insurance]],Table3[Usage-Based Insurance],Table3[Usage-Based Insurance Discount],,0)</f>
        <v>0.8</v>
      </c>
      <c r="AD803">
        <f>_xlfn.XLOOKUP(Table1820[[#This Row],[Yearly Miles]],Table4[Yearly Miles],Table4[Yearly Miles Factor],,0)</f>
        <v>0.82</v>
      </c>
      <c r="AE803">
        <f>_xlfn.XLOOKUP(Table1820[[#This Row],[City/Zip Code]],Table5[City/Zip Code],Table5[City/Zip Code Factor],,0)</f>
        <v>0.94</v>
      </c>
      <c r="AF803">
        <f>_xlfn.XLOOKUP(Table1820[[#This Row],[Vehicle Price]],Table6[Vehicle Price],Table6[Vehicle Price Factor])</f>
        <v>1.28</v>
      </c>
      <c r="AG803">
        <f>_xlfn.XLOOKUP(Table1820[[#This Row],[Exotic Car]],Table7[Exotic Car],Table7[Exotic Car Factor],,0)</f>
        <v>1</v>
      </c>
      <c r="AH803">
        <f>_xlfn.XLOOKUP(Table1820[[#This Row],[Difficult Parts]],Table8[Difficult Parts],Table8[Difficult Parts Factor],,0)</f>
        <v>1</v>
      </c>
      <c r="AI803">
        <f>_xlfn.XLOOKUP(Table1820[[#This Row],[High Theft Rate]],Table9[High Theft Rate],Table9[High Theft Rate Factor],,0)</f>
        <v>1</v>
      </c>
      <c r="AJ803">
        <f>_xlfn.XLOOKUP(Table1820[[#This Row],[Advanced Safety Features]],Table10[Advanced Safety Features],Table10[Advanced Safety Features Factor],,0)</f>
        <v>1</v>
      </c>
      <c r="AK803">
        <f>_xlfn.XLOOKUP(Table1820[[#This Row],[Deductible]],Table12[Deductible],Table12[Deductible Factor],,0)</f>
        <v>0.84</v>
      </c>
      <c r="AL803">
        <f>_xlfn.XLOOKUP(Table1820[[#This Row],[Coverage Limit]],Table13[Coverage Limit],Table13[Coverage Limit Factor],,0)</f>
        <v>1</v>
      </c>
      <c r="AM803">
        <f>IF(Table1820[[#This Row],[Good Student Discount]]="Yes",'Rate Book'!$D$126,1)</f>
        <v>1</v>
      </c>
      <c r="AN803">
        <f>IF(Table1820[[#This Row],[Good Driver Discount]]="Yes",'Rate Book'!$D$127,1)</f>
        <v>1</v>
      </c>
      <c r="AO803">
        <f>IF(Table1820[[#This Row],[Multi Policy Discount]]="Yes",'Rate Book'!$D$128,1)</f>
        <v>1</v>
      </c>
      <c r="AP803">
        <f>IF(Table1820[[#This Row],[Loyal Customer Discount]]="Yes",'Rate Book'!$D$129,1)</f>
        <v>0.94</v>
      </c>
      <c r="AQ803">
        <f>IF(Table1820[[#This Row],[Organization Discount]]="Yes",'Rate Book'!$D$130,1)</f>
        <v>0.97</v>
      </c>
      <c r="AR803" cm="1">
        <f t="array" ref="AR803">IF(Table1820[[#This Row],[Effective Date]]&gt;=RateChangeTable[Effective Date],RateChangeTable[Rate Change Factor],1)</f>
        <v>1.06</v>
      </c>
      <c r="AS803" s="10">
        <f>PRODUCT(Table1820[[#This Row],[Base Rate]:[Rate Change Factor]])</f>
        <v>792.79505741261323</v>
      </c>
      <c r="AT803" s="9">
        <f>Table1820[[#This Row],[System-Generated Premium]]-Table1820[[#This Row],[Expected Premium]]</f>
        <v>0</v>
      </c>
      <c r="AU803" t="str">
        <f>IF(Table1820[[#This Row],[Difference]]=0,"PASS","FAIL")</f>
        <v>PASS</v>
      </c>
      <c r="AV803" s="9">
        <f>ABS(Table1820[[#This Row],[Difference]])</f>
        <v>0</v>
      </c>
      <c r="AW803" s="9" t="s">
        <v>1136</v>
      </c>
    </row>
    <row r="804" spans="1:49" x14ac:dyDescent="0.3">
      <c r="A804" t="s">
        <v>895</v>
      </c>
      <c r="B804" s="7">
        <v>46010</v>
      </c>
      <c r="C804" t="s">
        <v>70</v>
      </c>
      <c r="D804" t="s">
        <v>1097</v>
      </c>
      <c r="E804" s="3">
        <v>4</v>
      </c>
      <c r="F804" s="3">
        <v>3</v>
      </c>
      <c r="G804" t="s">
        <v>12</v>
      </c>
      <c r="H804" t="s">
        <v>1110</v>
      </c>
      <c r="I804" t="s">
        <v>29</v>
      </c>
      <c r="J804" t="s">
        <v>51</v>
      </c>
      <c r="K804" t="s">
        <v>10</v>
      </c>
      <c r="L804" t="s">
        <v>10</v>
      </c>
      <c r="M804" t="s">
        <v>10</v>
      </c>
      <c r="N804" t="s">
        <v>57</v>
      </c>
      <c r="O804" t="str">
        <f>INDEX(CoverageTable[Deductible Applies],MATCH(Table1820[[#This Row],[Coverage]],CoverageTable[Coverage],0))</f>
        <v>No</v>
      </c>
      <c r="P804" t="str">
        <f>INDEX(CoverageTable[Coverage Limit Applies],MATCH(Table1820[[#This Row],[Coverage]],CoverageTable[Coverage],0))</f>
        <v>Yes</v>
      </c>
      <c r="Q804" t="s">
        <v>10</v>
      </c>
      <c r="R804" t="s">
        <v>79</v>
      </c>
      <c r="S804" t="s">
        <v>57</v>
      </c>
      <c r="T804" t="s">
        <v>57</v>
      </c>
      <c r="U804" t="s">
        <v>10</v>
      </c>
      <c r="V804" t="s">
        <v>57</v>
      </c>
      <c r="W804" t="s">
        <v>10</v>
      </c>
      <c r="X804" s="11">
        <v>1225.3274158089282</v>
      </c>
      <c r="Y804">
        <f>_xlfn.XLOOKUP(Table1820[[#This Row],[Coverage]],CoverageTable[Coverage],CoverageTable[Base Rate],,0)</f>
        <v>622</v>
      </c>
      <c r="Z804">
        <f>INDEX(Table16[Ageband Factor],MATCH(Table1820[[#This Row],[Ageband]],Table16[Ageband],0))</f>
        <v>1.32</v>
      </c>
      <c r="AA804">
        <f>VLOOKUP(Table1820[[#This Row],[Years Driving]],Table1[],2)</f>
        <v>1.1499999999999999</v>
      </c>
      <c r="AB804">
        <f>_xlfn.XLOOKUP(Table1820[[#This Row],[At Fault Accidents]],Table2[At Fault Accidents],Table2[At Fault Accident Factor],,0)</f>
        <v>1.82</v>
      </c>
      <c r="AC804">
        <f>_xlfn.XLOOKUP(Table1820[[#This Row],[Usage-Based Insurance]],Table3[Usage-Based Insurance],Table3[Usage-Based Insurance Discount],,0)</f>
        <v>0.8</v>
      </c>
      <c r="AD804">
        <f>_xlfn.XLOOKUP(Table1820[[#This Row],[Yearly Miles]],Table4[Yearly Miles],Table4[Yearly Miles Factor],,0)</f>
        <v>1.31</v>
      </c>
      <c r="AE804">
        <f>_xlfn.XLOOKUP(Table1820[[#This Row],[City/Zip Code]],Table5[City/Zip Code],Table5[City/Zip Code Factor],,0)</f>
        <v>1.0900000000000001</v>
      </c>
      <c r="AF804">
        <f>_xlfn.XLOOKUP(Table1820[[#This Row],[Vehicle Price]],Table6[Vehicle Price],Table6[Vehicle Price Factor])</f>
        <v>1.28</v>
      </c>
      <c r="AG804">
        <f>_xlfn.XLOOKUP(Table1820[[#This Row],[Exotic Car]],Table7[Exotic Car],Table7[Exotic Car Factor],,0)</f>
        <v>1</v>
      </c>
      <c r="AH804">
        <f>_xlfn.XLOOKUP(Table1820[[#This Row],[Difficult Parts]],Table8[Difficult Parts],Table8[Difficult Parts Factor],,0)</f>
        <v>1</v>
      </c>
      <c r="AI804">
        <f>_xlfn.XLOOKUP(Table1820[[#This Row],[High Theft Rate]],Table9[High Theft Rate],Table9[High Theft Rate Factor],,0)</f>
        <v>1</v>
      </c>
      <c r="AJ804">
        <f>_xlfn.XLOOKUP(Table1820[[#This Row],[Advanced Safety Features]],Table10[Advanced Safety Features],Table10[Advanced Safety Features Factor],,0)</f>
        <v>0.88</v>
      </c>
      <c r="AK804">
        <f>_xlfn.XLOOKUP(Table1820[[#This Row],[Deductible]],Table12[Deductible],Table12[Deductible Factor],,0)</f>
        <v>1</v>
      </c>
      <c r="AL804">
        <f>_xlfn.XLOOKUP(Table1820[[#This Row],[Coverage Limit]],Table13[Coverage Limit],Table13[Coverage Limit Factor],,0)</f>
        <v>0.72</v>
      </c>
      <c r="AM804">
        <f>IF(Table1820[[#This Row],[Good Student Discount]]="Yes",'Rate Book'!$D$126,1)</f>
        <v>0.92</v>
      </c>
      <c r="AN804">
        <f>IF(Table1820[[#This Row],[Good Driver Discount]]="Yes",'Rate Book'!$D$127,1)</f>
        <v>0.89</v>
      </c>
      <c r="AO804">
        <f>IF(Table1820[[#This Row],[Multi Policy Discount]]="Yes",'Rate Book'!$D$128,1)</f>
        <v>1</v>
      </c>
      <c r="AP804">
        <f>IF(Table1820[[#This Row],[Loyal Customer Discount]]="Yes",'Rate Book'!$D$129,1)</f>
        <v>0.94</v>
      </c>
      <c r="AQ804">
        <f>IF(Table1820[[#This Row],[Organization Discount]]="Yes",'Rate Book'!$D$130,1)</f>
        <v>1</v>
      </c>
      <c r="AR804" cm="1">
        <f t="array" ref="AR804">IF(Table1820[[#This Row],[Effective Date]]&gt;=RateChangeTable[Effective Date],RateChangeTable[Rate Change Factor],1)</f>
        <v>1</v>
      </c>
      <c r="AS804" s="10">
        <f>PRODUCT(Table1820[[#This Row],[Base Rate]:[Rate Change Factor]])</f>
        <v>1225.3274158089282</v>
      </c>
      <c r="AT804" s="9">
        <f>Table1820[[#This Row],[System-Generated Premium]]-Table1820[[#This Row],[Expected Premium]]</f>
        <v>0</v>
      </c>
      <c r="AU804" t="str">
        <f>IF(Table1820[[#This Row],[Difference]]=0,"PASS","FAIL")</f>
        <v>PASS</v>
      </c>
      <c r="AV804" s="9">
        <f>ABS(Table1820[[#This Row],[Difference]])</f>
        <v>0</v>
      </c>
      <c r="AW804" s="9" t="s">
        <v>1136</v>
      </c>
    </row>
    <row r="805" spans="1:49" x14ac:dyDescent="0.3">
      <c r="A805" t="s">
        <v>896</v>
      </c>
      <c r="B805" s="7">
        <v>46102</v>
      </c>
      <c r="C805" t="s">
        <v>73</v>
      </c>
      <c r="D805" t="s">
        <v>1101</v>
      </c>
      <c r="E805" s="3">
        <v>2</v>
      </c>
      <c r="F805" s="3">
        <v>1</v>
      </c>
      <c r="G805" t="s">
        <v>10</v>
      </c>
      <c r="H805" t="s">
        <v>1108</v>
      </c>
      <c r="I805" t="s">
        <v>35</v>
      </c>
      <c r="J805" t="s">
        <v>53</v>
      </c>
      <c r="K805" t="s">
        <v>10</v>
      </c>
      <c r="L805" t="s">
        <v>10</v>
      </c>
      <c r="M805" t="s">
        <v>10</v>
      </c>
      <c r="N805" t="s">
        <v>10</v>
      </c>
      <c r="O805" t="str">
        <f>INDEX(CoverageTable[Deductible Applies],MATCH(Table1820[[#This Row],[Coverage]],CoverageTable[Coverage],0))</f>
        <v>No</v>
      </c>
      <c r="P805" t="str">
        <f>INDEX(CoverageTable[Coverage Limit Applies],MATCH(Table1820[[#This Row],[Coverage]],CoverageTable[Coverage],0))</f>
        <v>Yes</v>
      </c>
      <c r="Q805" t="s">
        <v>10</v>
      </c>
      <c r="R805" t="s">
        <v>78</v>
      </c>
      <c r="S805" t="s">
        <v>10</v>
      </c>
      <c r="T805" t="s">
        <v>10</v>
      </c>
      <c r="U805" t="s">
        <v>57</v>
      </c>
      <c r="V805" t="s">
        <v>57</v>
      </c>
      <c r="W805" t="s">
        <v>57</v>
      </c>
      <c r="X805" s="11">
        <v>204.750120108022</v>
      </c>
      <c r="Y805">
        <f>_xlfn.XLOOKUP(Table1820[[#This Row],[Coverage]],CoverageTable[Coverage],CoverageTable[Base Rate],,0)</f>
        <v>78</v>
      </c>
      <c r="Z805">
        <f>INDEX(Table16[Ageband Factor],MATCH(Table1820[[#This Row],[Ageband]],Table16[Ageband],0))</f>
        <v>1.1200000000000001</v>
      </c>
      <c r="AA805">
        <f>VLOOKUP(Table1820[[#This Row],[Years Driving]],Table1[],2)</f>
        <v>1.41</v>
      </c>
      <c r="AB805">
        <f>_xlfn.XLOOKUP(Table1820[[#This Row],[At Fault Accidents]],Table2[At Fault Accidents],Table2[At Fault Accident Factor],,0)</f>
        <v>1.34</v>
      </c>
      <c r="AC805">
        <f>_xlfn.XLOOKUP(Table1820[[#This Row],[Usage-Based Insurance]],Table3[Usage-Based Insurance],Table3[Usage-Based Insurance Discount],,0)</f>
        <v>1</v>
      </c>
      <c r="AD805">
        <f>_xlfn.XLOOKUP(Table1820[[#This Row],[Yearly Miles]],Table4[Yearly Miles],Table4[Yearly Miles Factor],,0)</f>
        <v>1</v>
      </c>
      <c r="AE805">
        <f>_xlfn.XLOOKUP(Table1820[[#This Row],[City/Zip Code]],Table5[City/Zip Code],Table5[City/Zip Code Factor],,0)</f>
        <v>1.1200000000000001</v>
      </c>
      <c r="AF805">
        <f>_xlfn.XLOOKUP(Table1820[[#This Row],[Vehicle Price]],Table6[Vehicle Price],Table6[Vehicle Price Factor])</f>
        <v>2.02</v>
      </c>
      <c r="AG805">
        <f>_xlfn.XLOOKUP(Table1820[[#This Row],[Exotic Car]],Table7[Exotic Car],Table7[Exotic Car Factor],,0)</f>
        <v>1</v>
      </c>
      <c r="AH805">
        <f>_xlfn.XLOOKUP(Table1820[[#This Row],[Difficult Parts]],Table8[Difficult Parts],Table8[Difficult Parts Factor],,0)</f>
        <v>1</v>
      </c>
      <c r="AI805">
        <f>_xlfn.XLOOKUP(Table1820[[#This Row],[High Theft Rate]],Table9[High Theft Rate],Table9[High Theft Rate Factor],,0)</f>
        <v>1</v>
      </c>
      <c r="AJ805">
        <f>_xlfn.XLOOKUP(Table1820[[#This Row],[Advanced Safety Features]],Table10[Advanced Safety Features],Table10[Advanced Safety Features Factor],,0)</f>
        <v>1</v>
      </c>
      <c r="AK805">
        <f>_xlfn.XLOOKUP(Table1820[[#This Row],[Deductible]],Table12[Deductible],Table12[Deductible Factor],,0)</f>
        <v>1</v>
      </c>
      <c r="AL805">
        <f>_xlfn.XLOOKUP(Table1820[[#This Row],[Coverage Limit]],Table13[Coverage Limit],Table13[Coverage Limit Factor],,0)</f>
        <v>0.61</v>
      </c>
      <c r="AM805">
        <f>IF(Table1820[[#This Row],[Good Student Discount]]="Yes",'Rate Book'!$D$126,1)</f>
        <v>1</v>
      </c>
      <c r="AN805">
        <f>IF(Table1820[[#This Row],[Good Driver Discount]]="Yes",'Rate Book'!$D$127,1)</f>
        <v>1</v>
      </c>
      <c r="AO805">
        <f>IF(Table1820[[#This Row],[Multi Policy Discount]]="Yes",'Rate Book'!$D$128,1)</f>
        <v>0.93</v>
      </c>
      <c r="AP805">
        <f>IF(Table1820[[#This Row],[Loyal Customer Discount]]="Yes",'Rate Book'!$D$129,1)</f>
        <v>0.94</v>
      </c>
      <c r="AQ805">
        <f>IF(Table1820[[#This Row],[Organization Discount]]="Yes",'Rate Book'!$D$130,1)</f>
        <v>0.97</v>
      </c>
      <c r="AR805" cm="1">
        <f t="array" ref="AR805">IF(Table1820[[#This Row],[Effective Date]]&gt;=RateChangeTable[Effective Date],RateChangeTable[Rate Change Factor],1)</f>
        <v>1.06</v>
      </c>
      <c r="AS805" s="10">
        <f>PRODUCT(Table1820[[#This Row],[Base Rate]:[Rate Change Factor]])</f>
        <v>204.750120108022</v>
      </c>
      <c r="AT805" s="9">
        <f>Table1820[[#This Row],[System-Generated Premium]]-Table1820[[#This Row],[Expected Premium]]</f>
        <v>0</v>
      </c>
      <c r="AU805" t="str">
        <f>IF(Table1820[[#This Row],[Difference]]=0,"PASS","FAIL")</f>
        <v>PASS</v>
      </c>
      <c r="AV805" s="9">
        <f>ABS(Table1820[[#This Row],[Difference]])</f>
        <v>0</v>
      </c>
      <c r="AW805" s="9" t="s">
        <v>1136</v>
      </c>
    </row>
    <row r="806" spans="1:49" x14ac:dyDescent="0.3">
      <c r="A806" t="s">
        <v>897</v>
      </c>
      <c r="B806" s="7">
        <v>45782</v>
      </c>
      <c r="C806" t="s">
        <v>70</v>
      </c>
      <c r="D806" t="s">
        <v>1101</v>
      </c>
      <c r="E806" s="3">
        <v>2</v>
      </c>
      <c r="F806" s="3">
        <v>0</v>
      </c>
      <c r="G806" t="s">
        <v>10</v>
      </c>
      <c r="H806" t="s">
        <v>1110</v>
      </c>
      <c r="I806" t="s">
        <v>40</v>
      </c>
      <c r="J806" t="s">
        <v>54</v>
      </c>
      <c r="K806" t="s">
        <v>10</v>
      </c>
      <c r="L806" t="s">
        <v>10</v>
      </c>
      <c r="M806" t="s">
        <v>10</v>
      </c>
      <c r="N806" t="s">
        <v>10</v>
      </c>
      <c r="O806" t="str">
        <f>INDEX(CoverageTable[Deductible Applies],MATCH(Table1820[[#This Row],[Coverage]],CoverageTable[Coverage],0))</f>
        <v>No</v>
      </c>
      <c r="P806" t="str">
        <f>INDEX(CoverageTable[Coverage Limit Applies],MATCH(Table1820[[#This Row],[Coverage]],CoverageTable[Coverage],0))</f>
        <v>Yes</v>
      </c>
      <c r="Q806" t="s">
        <v>10</v>
      </c>
      <c r="R806" t="s">
        <v>80</v>
      </c>
      <c r="S806" t="s">
        <v>57</v>
      </c>
      <c r="T806" t="s">
        <v>10</v>
      </c>
      <c r="U806" t="s">
        <v>57</v>
      </c>
      <c r="V806" t="s">
        <v>57</v>
      </c>
      <c r="W806" t="s">
        <v>10</v>
      </c>
      <c r="X806" s="11">
        <v>2719.4753455656819</v>
      </c>
      <c r="Y806">
        <f>_xlfn.XLOOKUP(Table1820[[#This Row],[Coverage]],CoverageTable[Coverage],CoverageTable[Base Rate],,0)</f>
        <v>622</v>
      </c>
      <c r="Z806">
        <f>INDEX(Table16[Ageband Factor],MATCH(Table1820[[#This Row],[Ageband]],Table16[Ageband],0))</f>
        <v>1.1200000000000001</v>
      </c>
      <c r="AA806">
        <f>VLOOKUP(Table1820[[#This Row],[Years Driving]],Table1[],2)</f>
        <v>1.41</v>
      </c>
      <c r="AB806">
        <f>_xlfn.XLOOKUP(Table1820[[#This Row],[At Fault Accidents]],Table2[At Fault Accidents],Table2[At Fault Accident Factor],,0)</f>
        <v>1</v>
      </c>
      <c r="AC806">
        <f>_xlfn.XLOOKUP(Table1820[[#This Row],[Usage-Based Insurance]],Table3[Usage-Based Insurance],Table3[Usage-Based Insurance Discount],,0)</f>
        <v>1</v>
      </c>
      <c r="AD806">
        <f>_xlfn.XLOOKUP(Table1820[[#This Row],[Yearly Miles]],Table4[Yearly Miles],Table4[Yearly Miles Factor],,0)</f>
        <v>1.31</v>
      </c>
      <c r="AE806">
        <f>_xlfn.XLOOKUP(Table1820[[#This Row],[City/Zip Code]],Table5[City/Zip Code],Table5[City/Zip Code Factor],,0)</f>
        <v>1.0900000000000001</v>
      </c>
      <c r="AF806">
        <f>_xlfn.XLOOKUP(Table1820[[#This Row],[Vehicle Price]],Table6[Vehicle Price],Table6[Vehicle Price Factor])</f>
        <v>2.87</v>
      </c>
      <c r="AG806">
        <f>_xlfn.XLOOKUP(Table1820[[#This Row],[Exotic Car]],Table7[Exotic Car],Table7[Exotic Car Factor],,0)</f>
        <v>1</v>
      </c>
      <c r="AH806">
        <f>_xlfn.XLOOKUP(Table1820[[#This Row],[Difficult Parts]],Table8[Difficult Parts],Table8[Difficult Parts Factor],,0)</f>
        <v>1</v>
      </c>
      <c r="AI806">
        <f>_xlfn.XLOOKUP(Table1820[[#This Row],[High Theft Rate]],Table9[High Theft Rate],Table9[High Theft Rate Factor],,0)</f>
        <v>1</v>
      </c>
      <c r="AJ806">
        <f>_xlfn.XLOOKUP(Table1820[[#This Row],[Advanced Safety Features]],Table10[Advanced Safety Features],Table10[Advanced Safety Features Factor],,0)</f>
        <v>1</v>
      </c>
      <c r="AK806">
        <f>_xlfn.XLOOKUP(Table1820[[#This Row],[Deductible]],Table12[Deductible],Table12[Deductible Factor],,0)</f>
        <v>1</v>
      </c>
      <c r="AL806">
        <f>_xlfn.XLOOKUP(Table1820[[#This Row],[Coverage Limit]],Table13[Coverage Limit],Table13[Coverage Limit Factor],,0)</f>
        <v>0.84</v>
      </c>
      <c r="AM806">
        <f>IF(Table1820[[#This Row],[Good Student Discount]]="Yes",'Rate Book'!$D$126,1)</f>
        <v>0.92</v>
      </c>
      <c r="AN806">
        <f>IF(Table1820[[#This Row],[Good Driver Discount]]="Yes",'Rate Book'!$D$127,1)</f>
        <v>1</v>
      </c>
      <c r="AO806">
        <f>IF(Table1820[[#This Row],[Multi Policy Discount]]="Yes",'Rate Book'!$D$128,1)</f>
        <v>0.93</v>
      </c>
      <c r="AP806">
        <f>IF(Table1820[[#This Row],[Loyal Customer Discount]]="Yes",'Rate Book'!$D$129,1)</f>
        <v>0.94</v>
      </c>
      <c r="AQ806">
        <f>IF(Table1820[[#This Row],[Organization Discount]]="Yes",'Rate Book'!$D$130,1)</f>
        <v>1</v>
      </c>
      <c r="AR806" cm="1">
        <f t="array" ref="AR806">IF(Table1820[[#This Row],[Effective Date]]&gt;=RateChangeTable[Effective Date],RateChangeTable[Rate Change Factor],1)</f>
        <v>1</v>
      </c>
      <c r="AS806" s="10">
        <f>PRODUCT(Table1820[[#This Row],[Base Rate]:[Rate Change Factor]])</f>
        <v>2719.4753455656819</v>
      </c>
      <c r="AT806" s="9">
        <f>Table1820[[#This Row],[System-Generated Premium]]-Table1820[[#This Row],[Expected Premium]]</f>
        <v>0</v>
      </c>
      <c r="AU806" t="str">
        <f>IF(Table1820[[#This Row],[Difference]]=0,"PASS","FAIL")</f>
        <v>PASS</v>
      </c>
      <c r="AV806" s="9">
        <f>ABS(Table1820[[#This Row],[Difference]])</f>
        <v>0</v>
      </c>
      <c r="AW806" s="9" t="s">
        <v>1136</v>
      </c>
    </row>
    <row r="807" spans="1:49" x14ac:dyDescent="0.3">
      <c r="A807" t="s">
        <v>898</v>
      </c>
      <c r="B807" s="7">
        <v>45988</v>
      </c>
      <c r="C807" t="s">
        <v>70</v>
      </c>
      <c r="D807" t="s">
        <v>1097</v>
      </c>
      <c r="E807" s="3">
        <v>5</v>
      </c>
      <c r="F807" s="3">
        <v>0</v>
      </c>
      <c r="G807" t="s">
        <v>10</v>
      </c>
      <c r="H807" t="s">
        <v>1107</v>
      </c>
      <c r="I807" t="s">
        <v>32</v>
      </c>
      <c r="J807" t="s">
        <v>51</v>
      </c>
      <c r="K807" t="s">
        <v>10</v>
      </c>
      <c r="L807" t="s">
        <v>10</v>
      </c>
      <c r="M807" t="s">
        <v>10</v>
      </c>
      <c r="N807" t="s">
        <v>57</v>
      </c>
      <c r="O807" t="str">
        <f>INDEX(CoverageTable[Deductible Applies],MATCH(Table1820[[#This Row],[Coverage]],CoverageTable[Coverage],0))</f>
        <v>No</v>
      </c>
      <c r="P807" t="str">
        <f>INDEX(CoverageTable[Coverage Limit Applies],MATCH(Table1820[[#This Row],[Coverage]],CoverageTable[Coverage],0))</f>
        <v>Yes</v>
      </c>
      <c r="Q807" t="s">
        <v>10</v>
      </c>
      <c r="R807" t="s">
        <v>80</v>
      </c>
      <c r="S807" t="s">
        <v>10</v>
      </c>
      <c r="T807" t="s">
        <v>10</v>
      </c>
      <c r="U807" t="s">
        <v>10</v>
      </c>
      <c r="V807" t="s">
        <v>10</v>
      </c>
      <c r="W807" t="s">
        <v>57</v>
      </c>
      <c r="X807" s="11">
        <v>839.83259648325065</v>
      </c>
      <c r="Y807">
        <f>_xlfn.XLOOKUP(Table1820[[#This Row],[Coverage]],CoverageTable[Coverage],CoverageTable[Base Rate],,0)</f>
        <v>622</v>
      </c>
      <c r="Z807">
        <f>INDEX(Table16[Ageband Factor],MATCH(Table1820[[#This Row],[Ageband]],Table16[Ageband],0))</f>
        <v>1.32</v>
      </c>
      <c r="AA807">
        <f>VLOOKUP(Table1820[[#This Row],[Years Driving]],Table1[],2)</f>
        <v>1.07</v>
      </c>
      <c r="AB807">
        <f>_xlfn.XLOOKUP(Table1820[[#This Row],[At Fault Accidents]],Table2[At Fault Accidents],Table2[At Fault Accident Factor],,0)</f>
        <v>1</v>
      </c>
      <c r="AC807">
        <f>_xlfn.XLOOKUP(Table1820[[#This Row],[Usage-Based Insurance]],Table3[Usage-Based Insurance],Table3[Usage-Based Insurance Discount],,0)</f>
        <v>1</v>
      </c>
      <c r="AD807">
        <f>_xlfn.XLOOKUP(Table1820[[#This Row],[Yearly Miles]],Table4[Yearly Miles],Table4[Yearly Miles Factor],,0)</f>
        <v>0.93</v>
      </c>
      <c r="AE807">
        <f>_xlfn.XLOOKUP(Table1820[[#This Row],[City/Zip Code]],Table5[City/Zip Code],Table5[City/Zip Code Factor],,0)</f>
        <v>1.1200000000000001</v>
      </c>
      <c r="AF807">
        <f>_xlfn.XLOOKUP(Table1820[[#This Row],[Vehicle Price]],Table6[Vehicle Price],Table6[Vehicle Price Factor])</f>
        <v>1.28</v>
      </c>
      <c r="AG807">
        <f>_xlfn.XLOOKUP(Table1820[[#This Row],[Exotic Car]],Table7[Exotic Car],Table7[Exotic Car Factor],,0)</f>
        <v>1</v>
      </c>
      <c r="AH807">
        <f>_xlfn.XLOOKUP(Table1820[[#This Row],[Difficult Parts]],Table8[Difficult Parts],Table8[Difficult Parts Factor],,0)</f>
        <v>1</v>
      </c>
      <c r="AI807">
        <f>_xlfn.XLOOKUP(Table1820[[#This Row],[High Theft Rate]],Table9[High Theft Rate],Table9[High Theft Rate Factor],,0)</f>
        <v>1</v>
      </c>
      <c r="AJ807">
        <f>_xlfn.XLOOKUP(Table1820[[#This Row],[Advanced Safety Features]],Table10[Advanced Safety Features],Table10[Advanced Safety Features Factor],,0)</f>
        <v>0.88</v>
      </c>
      <c r="AK807">
        <f>_xlfn.XLOOKUP(Table1820[[#This Row],[Deductible]],Table12[Deductible],Table12[Deductible Factor],,0)</f>
        <v>1</v>
      </c>
      <c r="AL807">
        <f>_xlfn.XLOOKUP(Table1820[[#This Row],[Coverage Limit]],Table13[Coverage Limit],Table13[Coverage Limit Factor],,0)</f>
        <v>0.84</v>
      </c>
      <c r="AM807">
        <f>IF(Table1820[[#This Row],[Good Student Discount]]="Yes",'Rate Book'!$D$126,1)</f>
        <v>1</v>
      </c>
      <c r="AN807">
        <f>IF(Table1820[[#This Row],[Good Driver Discount]]="Yes",'Rate Book'!$D$127,1)</f>
        <v>1</v>
      </c>
      <c r="AO807">
        <f>IF(Table1820[[#This Row],[Multi Policy Discount]]="Yes",'Rate Book'!$D$128,1)</f>
        <v>1</v>
      </c>
      <c r="AP807">
        <f>IF(Table1820[[#This Row],[Loyal Customer Discount]]="Yes",'Rate Book'!$D$129,1)</f>
        <v>1</v>
      </c>
      <c r="AQ807">
        <f>IF(Table1820[[#This Row],[Organization Discount]]="Yes",'Rate Book'!$D$130,1)</f>
        <v>0.97</v>
      </c>
      <c r="AR807" cm="1">
        <f t="array" ref="AR807">IF(Table1820[[#This Row],[Effective Date]]&gt;=RateChangeTable[Effective Date],RateChangeTable[Rate Change Factor],1)</f>
        <v>1</v>
      </c>
      <c r="AS807" s="10">
        <f>PRODUCT(Table1820[[#This Row],[Base Rate]:[Rate Change Factor]])</f>
        <v>839.83259648325065</v>
      </c>
      <c r="AT807" s="9">
        <f>Table1820[[#This Row],[System-Generated Premium]]-Table1820[[#This Row],[Expected Premium]]</f>
        <v>0</v>
      </c>
      <c r="AU807" t="str">
        <f>IF(Table1820[[#This Row],[Difference]]=0,"PASS","FAIL")</f>
        <v>PASS</v>
      </c>
      <c r="AV807" s="9">
        <f>ABS(Table1820[[#This Row],[Difference]])</f>
        <v>0</v>
      </c>
      <c r="AW807" s="9" t="s">
        <v>1136</v>
      </c>
    </row>
    <row r="808" spans="1:49" x14ac:dyDescent="0.3">
      <c r="A808" t="s">
        <v>899</v>
      </c>
      <c r="B808" s="7">
        <v>46076</v>
      </c>
      <c r="C808" t="s">
        <v>70</v>
      </c>
      <c r="D808" t="s">
        <v>1099</v>
      </c>
      <c r="E808" s="3">
        <v>7</v>
      </c>
      <c r="F808" s="3">
        <v>0</v>
      </c>
      <c r="G808" t="s">
        <v>11</v>
      </c>
      <c r="H808" t="s">
        <v>1106</v>
      </c>
      <c r="I808" t="s">
        <v>29</v>
      </c>
      <c r="J808" t="s">
        <v>48</v>
      </c>
      <c r="K808" t="s">
        <v>10</v>
      </c>
      <c r="L808" t="s">
        <v>10</v>
      </c>
      <c r="M808" t="s">
        <v>10</v>
      </c>
      <c r="N808" t="s">
        <v>57</v>
      </c>
      <c r="O808" t="str">
        <f>INDEX(CoverageTable[Deductible Applies],MATCH(Table1820[[#This Row],[Coverage]],CoverageTable[Coverage],0))</f>
        <v>No</v>
      </c>
      <c r="P808" t="str">
        <f>INDEX(CoverageTable[Coverage Limit Applies],MATCH(Table1820[[#This Row],[Coverage]],CoverageTable[Coverage],0))</f>
        <v>Yes</v>
      </c>
      <c r="Q808" t="s">
        <v>10</v>
      </c>
      <c r="R808" t="s">
        <v>78</v>
      </c>
      <c r="S808" t="s">
        <v>57</v>
      </c>
      <c r="T808" t="s">
        <v>10</v>
      </c>
      <c r="U808" t="s">
        <v>10</v>
      </c>
      <c r="V808" t="s">
        <v>10</v>
      </c>
      <c r="W808" t="s">
        <v>10</v>
      </c>
      <c r="X808" s="11">
        <v>215.37634260231664</v>
      </c>
      <c r="Y808">
        <f>_xlfn.XLOOKUP(Table1820[[#This Row],[Coverage]],CoverageTable[Coverage],CoverageTable[Base Rate],,0)</f>
        <v>622</v>
      </c>
      <c r="Z808">
        <f>INDEX(Table16[Ageband Factor],MATCH(Table1820[[#This Row],[Ageband]],Table16[Ageband],0))</f>
        <v>1</v>
      </c>
      <c r="AA808">
        <f>VLOOKUP(Table1820[[#This Row],[Years Driving]],Table1[],2)</f>
        <v>0.95</v>
      </c>
      <c r="AB808">
        <f>_xlfn.XLOOKUP(Table1820[[#This Row],[At Fault Accidents]],Table2[At Fault Accidents],Table2[At Fault Accident Factor],,0)</f>
        <v>1</v>
      </c>
      <c r="AC808">
        <f>_xlfn.XLOOKUP(Table1820[[#This Row],[Usage-Based Insurance]],Table3[Usage-Based Insurance],Table3[Usage-Based Insurance Discount],,0)</f>
        <v>0.95</v>
      </c>
      <c r="AD808">
        <f>_xlfn.XLOOKUP(Table1820[[#This Row],[Yearly Miles]],Table4[Yearly Miles],Table4[Yearly Miles Factor],,0)</f>
        <v>0.82</v>
      </c>
      <c r="AE808">
        <f>_xlfn.XLOOKUP(Table1820[[#This Row],[City/Zip Code]],Table5[City/Zip Code],Table5[City/Zip Code Factor],,0)</f>
        <v>1.0900000000000001</v>
      </c>
      <c r="AF808">
        <f>_xlfn.XLOOKUP(Table1820[[#This Row],[Vehicle Price]],Table6[Vehicle Price],Table6[Vehicle Price Factor])</f>
        <v>0.82</v>
      </c>
      <c r="AG808">
        <f>_xlfn.XLOOKUP(Table1820[[#This Row],[Exotic Car]],Table7[Exotic Car],Table7[Exotic Car Factor],,0)</f>
        <v>1</v>
      </c>
      <c r="AH808">
        <f>_xlfn.XLOOKUP(Table1820[[#This Row],[Difficult Parts]],Table8[Difficult Parts],Table8[Difficult Parts Factor],,0)</f>
        <v>1</v>
      </c>
      <c r="AI808">
        <f>_xlfn.XLOOKUP(Table1820[[#This Row],[High Theft Rate]],Table9[High Theft Rate],Table9[High Theft Rate Factor],,0)</f>
        <v>1</v>
      </c>
      <c r="AJ808">
        <f>_xlfn.XLOOKUP(Table1820[[#This Row],[Advanced Safety Features]],Table10[Advanced Safety Features],Table10[Advanced Safety Features Factor],,0)</f>
        <v>0.88</v>
      </c>
      <c r="AK808">
        <f>_xlfn.XLOOKUP(Table1820[[#This Row],[Deductible]],Table12[Deductible],Table12[Deductible Factor],,0)</f>
        <v>1</v>
      </c>
      <c r="AL808">
        <f>_xlfn.XLOOKUP(Table1820[[#This Row],[Coverage Limit]],Table13[Coverage Limit],Table13[Coverage Limit Factor],,0)</f>
        <v>0.61</v>
      </c>
      <c r="AM808">
        <f>IF(Table1820[[#This Row],[Good Student Discount]]="Yes",'Rate Book'!$D$126,1)</f>
        <v>0.92</v>
      </c>
      <c r="AN808">
        <f>IF(Table1820[[#This Row],[Good Driver Discount]]="Yes",'Rate Book'!$D$127,1)</f>
        <v>1</v>
      </c>
      <c r="AO808">
        <f>IF(Table1820[[#This Row],[Multi Policy Discount]]="Yes",'Rate Book'!$D$128,1)</f>
        <v>1</v>
      </c>
      <c r="AP808">
        <f>IF(Table1820[[#This Row],[Loyal Customer Discount]]="Yes",'Rate Book'!$D$129,1)</f>
        <v>1</v>
      </c>
      <c r="AQ808">
        <f>IF(Table1820[[#This Row],[Organization Discount]]="Yes",'Rate Book'!$D$130,1)</f>
        <v>1</v>
      </c>
      <c r="AR808" cm="1">
        <f t="array" ref="AR808">IF(Table1820[[#This Row],[Effective Date]]&gt;=RateChangeTable[Effective Date],RateChangeTable[Rate Change Factor],1)</f>
        <v>1.06</v>
      </c>
      <c r="AS808" s="10">
        <f>PRODUCT(Table1820[[#This Row],[Base Rate]:[Rate Change Factor]])</f>
        <v>215.37634260231664</v>
      </c>
      <c r="AT808" s="9">
        <f>Table1820[[#This Row],[System-Generated Premium]]-Table1820[[#This Row],[Expected Premium]]</f>
        <v>0</v>
      </c>
      <c r="AU808" t="str">
        <f>IF(Table1820[[#This Row],[Difference]]=0,"PASS","FAIL")</f>
        <v>PASS</v>
      </c>
      <c r="AV808" s="9">
        <f>ABS(Table1820[[#This Row],[Difference]])</f>
        <v>0</v>
      </c>
      <c r="AW808" s="9" t="s">
        <v>1136</v>
      </c>
    </row>
    <row r="809" spans="1:49" x14ac:dyDescent="0.3">
      <c r="A809" t="s">
        <v>900</v>
      </c>
      <c r="B809" s="7">
        <v>45842</v>
      </c>
      <c r="C809" t="s">
        <v>71</v>
      </c>
      <c r="D809" t="s">
        <v>1101</v>
      </c>
      <c r="E809" s="3">
        <v>1</v>
      </c>
      <c r="F809" s="3">
        <v>2</v>
      </c>
      <c r="G809" t="s">
        <v>10</v>
      </c>
      <c r="H809" t="s">
        <v>1109</v>
      </c>
      <c r="I809" t="s">
        <v>40</v>
      </c>
      <c r="J809" t="s">
        <v>52</v>
      </c>
      <c r="K809" t="s">
        <v>10</v>
      </c>
      <c r="L809" t="s">
        <v>10</v>
      </c>
      <c r="M809" t="s">
        <v>57</v>
      </c>
      <c r="N809" t="s">
        <v>10</v>
      </c>
      <c r="O809" t="str">
        <f>INDEX(CoverageTable[Deductible Applies],MATCH(Table1820[[#This Row],[Coverage]],CoverageTable[Coverage],0))</f>
        <v>Yes</v>
      </c>
      <c r="P809" t="str">
        <f>INDEX(CoverageTable[Coverage Limit Applies],MATCH(Table1820[[#This Row],[Coverage]],CoverageTable[Coverage],0))</f>
        <v>No</v>
      </c>
      <c r="Q809" t="s">
        <v>80</v>
      </c>
      <c r="R809" t="s">
        <v>10</v>
      </c>
      <c r="S809" t="s">
        <v>10</v>
      </c>
      <c r="T809" t="s">
        <v>10</v>
      </c>
      <c r="U809" t="s">
        <v>10</v>
      </c>
      <c r="V809" t="s">
        <v>10</v>
      </c>
      <c r="W809" t="s">
        <v>10</v>
      </c>
      <c r="X809" s="11">
        <v>2175.1560232605025</v>
      </c>
      <c r="Y809">
        <f>_xlfn.XLOOKUP(Table1820[[#This Row],[Coverage]],CoverageTable[Coverage],CoverageTable[Base Rate],,0)</f>
        <v>453</v>
      </c>
      <c r="Z809">
        <f>INDEX(Table16[Ageband Factor],MATCH(Table1820[[#This Row],[Ageband]],Table16[Ageband],0))</f>
        <v>1.1200000000000001</v>
      </c>
      <c r="AA809">
        <f>VLOOKUP(Table1820[[#This Row],[Years Driving]],Table1[],2)</f>
        <v>1.64</v>
      </c>
      <c r="AB809">
        <f>_xlfn.XLOOKUP(Table1820[[#This Row],[At Fault Accidents]],Table2[At Fault Accidents],Table2[At Fault Accident Factor],,0)</f>
        <v>1.55</v>
      </c>
      <c r="AC809">
        <f>_xlfn.XLOOKUP(Table1820[[#This Row],[Usage-Based Insurance]],Table3[Usage-Based Insurance],Table3[Usage-Based Insurance Discount],,0)</f>
        <v>1</v>
      </c>
      <c r="AD809">
        <f>_xlfn.XLOOKUP(Table1820[[#This Row],[Yearly Miles]],Table4[Yearly Miles],Table4[Yearly Miles Factor],,0)</f>
        <v>1.18</v>
      </c>
      <c r="AE809">
        <f>_xlfn.XLOOKUP(Table1820[[#This Row],[City/Zip Code]],Table5[City/Zip Code],Table5[City/Zip Code Factor],,0)</f>
        <v>1.0900000000000001</v>
      </c>
      <c r="AF809">
        <f>_xlfn.XLOOKUP(Table1820[[#This Row],[Vehicle Price]],Table6[Vehicle Price],Table6[Vehicle Price Factor])</f>
        <v>1.57</v>
      </c>
      <c r="AG809">
        <f>_xlfn.XLOOKUP(Table1820[[#This Row],[Exotic Car]],Table7[Exotic Car],Table7[Exotic Car Factor],,0)</f>
        <v>1</v>
      </c>
      <c r="AH809">
        <f>_xlfn.XLOOKUP(Table1820[[#This Row],[Difficult Parts]],Table8[Difficult Parts],Table8[Difficult Parts Factor],,0)</f>
        <v>1</v>
      </c>
      <c r="AI809">
        <f>_xlfn.XLOOKUP(Table1820[[#This Row],[High Theft Rate]],Table9[High Theft Rate],Table9[High Theft Rate Factor],,0)</f>
        <v>1.1599999999999999</v>
      </c>
      <c r="AJ809">
        <f>_xlfn.XLOOKUP(Table1820[[#This Row],[Advanced Safety Features]],Table10[Advanced Safety Features],Table10[Advanced Safety Features Factor],,0)</f>
        <v>1</v>
      </c>
      <c r="AK809">
        <f>_xlfn.XLOOKUP(Table1820[[#This Row],[Deductible]],Table12[Deductible],Table12[Deductible Factor],,0)</f>
        <v>0.72</v>
      </c>
      <c r="AL809">
        <f>_xlfn.XLOOKUP(Table1820[[#This Row],[Coverage Limit]],Table13[Coverage Limit],Table13[Coverage Limit Factor],,0)</f>
        <v>1</v>
      </c>
      <c r="AM809">
        <f>IF(Table1820[[#This Row],[Good Student Discount]]="Yes",'Rate Book'!$D$126,1)</f>
        <v>1</v>
      </c>
      <c r="AN809">
        <f>IF(Table1820[[#This Row],[Good Driver Discount]]="Yes",'Rate Book'!$D$127,1)</f>
        <v>1</v>
      </c>
      <c r="AO809">
        <f>IF(Table1820[[#This Row],[Multi Policy Discount]]="Yes",'Rate Book'!$D$128,1)</f>
        <v>1</v>
      </c>
      <c r="AP809">
        <f>IF(Table1820[[#This Row],[Loyal Customer Discount]]="Yes",'Rate Book'!$D$129,1)</f>
        <v>1</v>
      </c>
      <c r="AQ809">
        <f>IF(Table1820[[#This Row],[Organization Discount]]="Yes",'Rate Book'!$D$130,1)</f>
        <v>1</v>
      </c>
      <c r="AR809" cm="1">
        <f t="array" ref="AR809">IF(Table1820[[#This Row],[Effective Date]]&gt;=RateChangeTable[Effective Date],RateChangeTable[Rate Change Factor],1)</f>
        <v>1</v>
      </c>
      <c r="AS809" s="10">
        <f>PRODUCT(Table1820[[#This Row],[Base Rate]:[Rate Change Factor]])</f>
        <v>2175.1560232605025</v>
      </c>
      <c r="AT809" s="9">
        <f>Table1820[[#This Row],[System-Generated Premium]]-Table1820[[#This Row],[Expected Premium]]</f>
        <v>0</v>
      </c>
      <c r="AU809" t="str">
        <f>IF(Table1820[[#This Row],[Difference]]=0,"PASS","FAIL")</f>
        <v>PASS</v>
      </c>
      <c r="AV809" s="9">
        <f>ABS(Table1820[[#This Row],[Difference]])</f>
        <v>0</v>
      </c>
      <c r="AW809" s="9" t="s">
        <v>1136</v>
      </c>
    </row>
    <row r="810" spans="1:49" x14ac:dyDescent="0.3">
      <c r="A810" t="s">
        <v>901</v>
      </c>
      <c r="B810" s="7">
        <v>46138</v>
      </c>
      <c r="C810" t="s">
        <v>72</v>
      </c>
      <c r="D810" t="s">
        <v>1099</v>
      </c>
      <c r="E810" s="3">
        <v>1</v>
      </c>
      <c r="F810" s="3">
        <v>3</v>
      </c>
      <c r="G810" t="s">
        <v>10</v>
      </c>
      <c r="H810" t="s">
        <v>1109</v>
      </c>
      <c r="I810" t="s">
        <v>42</v>
      </c>
      <c r="J810" t="s">
        <v>51</v>
      </c>
      <c r="K810" t="s">
        <v>10</v>
      </c>
      <c r="L810" t="s">
        <v>10</v>
      </c>
      <c r="M810" t="s">
        <v>57</v>
      </c>
      <c r="N810" t="s">
        <v>57</v>
      </c>
      <c r="O810" t="str">
        <f>INDEX(CoverageTable[Deductible Applies],MATCH(Table1820[[#This Row],[Coverage]],CoverageTable[Coverage],0))</f>
        <v>Yes</v>
      </c>
      <c r="P810" t="str">
        <f>INDEX(CoverageTable[Coverage Limit Applies],MATCH(Table1820[[#This Row],[Coverage]],CoverageTable[Coverage],0))</f>
        <v>No</v>
      </c>
      <c r="Q810" t="s">
        <v>79</v>
      </c>
      <c r="R810" t="s">
        <v>10</v>
      </c>
      <c r="S810" t="s">
        <v>57</v>
      </c>
      <c r="T810" t="s">
        <v>10</v>
      </c>
      <c r="U810" t="s">
        <v>10</v>
      </c>
      <c r="V810" t="s">
        <v>57</v>
      </c>
      <c r="W810" t="s">
        <v>10</v>
      </c>
      <c r="X810" s="11">
        <v>518.82327079133665</v>
      </c>
      <c r="Y810">
        <f>_xlfn.XLOOKUP(Table1820[[#This Row],[Coverage]],CoverageTable[Coverage],CoverageTable[Base Rate],,0)</f>
        <v>121</v>
      </c>
      <c r="Z810">
        <f>INDEX(Table16[Ageband Factor],MATCH(Table1820[[#This Row],[Ageband]],Table16[Ageband],0))</f>
        <v>1</v>
      </c>
      <c r="AA810">
        <f>VLOOKUP(Table1820[[#This Row],[Years Driving]],Table1[],2)</f>
        <v>1.64</v>
      </c>
      <c r="AB810">
        <f>_xlfn.XLOOKUP(Table1820[[#This Row],[At Fault Accidents]],Table2[At Fault Accidents],Table2[At Fault Accident Factor],,0)</f>
        <v>1.82</v>
      </c>
      <c r="AC810">
        <f>_xlfn.XLOOKUP(Table1820[[#This Row],[Usage-Based Insurance]],Table3[Usage-Based Insurance],Table3[Usage-Based Insurance Discount],,0)</f>
        <v>1</v>
      </c>
      <c r="AD810">
        <f>_xlfn.XLOOKUP(Table1820[[#This Row],[Yearly Miles]],Table4[Yearly Miles],Table4[Yearly Miles Factor],,0)</f>
        <v>1.18</v>
      </c>
      <c r="AE810">
        <f>_xlfn.XLOOKUP(Table1820[[#This Row],[City/Zip Code]],Table5[City/Zip Code],Table5[City/Zip Code Factor],,0)</f>
        <v>1.21</v>
      </c>
      <c r="AF810">
        <f>_xlfn.XLOOKUP(Table1820[[#This Row],[Vehicle Price]],Table6[Vehicle Price],Table6[Vehicle Price Factor])</f>
        <v>1.28</v>
      </c>
      <c r="AG810">
        <f>_xlfn.XLOOKUP(Table1820[[#This Row],[Exotic Car]],Table7[Exotic Car],Table7[Exotic Car Factor],,0)</f>
        <v>1</v>
      </c>
      <c r="AH810">
        <f>_xlfn.XLOOKUP(Table1820[[#This Row],[Difficult Parts]],Table8[Difficult Parts],Table8[Difficult Parts Factor],,0)</f>
        <v>1</v>
      </c>
      <c r="AI810">
        <f>_xlfn.XLOOKUP(Table1820[[#This Row],[High Theft Rate]],Table9[High Theft Rate],Table9[High Theft Rate Factor],,0)</f>
        <v>1.1599999999999999</v>
      </c>
      <c r="AJ810">
        <f>_xlfn.XLOOKUP(Table1820[[#This Row],[Advanced Safety Features]],Table10[Advanced Safety Features],Table10[Advanced Safety Features Factor],,0)</f>
        <v>0.88</v>
      </c>
      <c r="AK810">
        <f>_xlfn.XLOOKUP(Table1820[[#This Row],[Deductible]],Table12[Deductible],Table12[Deductible Factor],,0)</f>
        <v>0.84</v>
      </c>
      <c r="AL810">
        <f>_xlfn.XLOOKUP(Table1820[[#This Row],[Coverage Limit]],Table13[Coverage Limit],Table13[Coverage Limit Factor],,0)</f>
        <v>1</v>
      </c>
      <c r="AM810">
        <f>IF(Table1820[[#This Row],[Good Student Discount]]="Yes",'Rate Book'!$D$126,1)</f>
        <v>0.92</v>
      </c>
      <c r="AN810">
        <f>IF(Table1820[[#This Row],[Good Driver Discount]]="Yes",'Rate Book'!$D$127,1)</f>
        <v>1</v>
      </c>
      <c r="AO810">
        <f>IF(Table1820[[#This Row],[Multi Policy Discount]]="Yes",'Rate Book'!$D$128,1)</f>
        <v>1</v>
      </c>
      <c r="AP810">
        <f>IF(Table1820[[#This Row],[Loyal Customer Discount]]="Yes",'Rate Book'!$D$129,1)</f>
        <v>0.94</v>
      </c>
      <c r="AQ810">
        <f>IF(Table1820[[#This Row],[Organization Discount]]="Yes",'Rate Book'!$D$130,1)</f>
        <v>1</v>
      </c>
      <c r="AR810" cm="1">
        <f t="array" ref="AR810">IF(Table1820[[#This Row],[Effective Date]]&gt;=RateChangeTable[Effective Date],RateChangeTable[Rate Change Factor],1)</f>
        <v>1.06</v>
      </c>
      <c r="AS810" s="10">
        <f>PRODUCT(Table1820[[#This Row],[Base Rate]:[Rate Change Factor]])</f>
        <v>518.82327079133665</v>
      </c>
      <c r="AT810" s="9">
        <f>Table1820[[#This Row],[System-Generated Premium]]-Table1820[[#This Row],[Expected Premium]]</f>
        <v>0</v>
      </c>
      <c r="AU810" t="str">
        <f>IF(Table1820[[#This Row],[Difference]]=0,"PASS","FAIL")</f>
        <v>PASS</v>
      </c>
      <c r="AV810" s="9">
        <f>ABS(Table1820[[#This Row],[Difference]])</f>
        <v>0</v>
      </c>
      <c r="AW810" s="9" t="s">
        <v>1136</v>
      </c>
    </row>
    <row r="811" spans="1:49" x14ac:dyDescent="0.3">
      <c r="A811" t="s">
        <v>902</v>
      </c>
      <c r="B811" s="7">
        <v>46067</v>
      </c>
      <c r="C811" t="s">
        <v>71</v>
      </c>
      <c r="D811" t="s">
        <v>1099</v>
      </c>
      <c r="E811" s="3">
        <v>4</v>
      </c>
      <c r="F811" s="3">
        <v>3</v>
      </c>
      <c r="G811" t="s">
        <v>13</v>
      </c>
      <c r="H811" t="s">
        <v>1107</v>
      </c>
      <c r="I811" t="s">
        <v>42</v>
      </c>
      <c r="J811" t="s">
        <v>51</v>
      </c>
      <c r="K811" t="s">
        <v>10</v>
      </c>
      <c r="L811" t="s">
        <v>10</v>
      </c>
      <c r="M811" t="s">
        <v>10</v>
      </c>
      <c r="N811" t="s">
        <v>57</v>
      </c>
      <c r="O811" t="str">
        <f>INDEX(CoverageTable[Deductible Applies],MATCH(Table1820[[#This Row],[Coverage]],CoverageTable[Coverage],0))</f>
        <v>Yes</v>
      </c>
      <c r="P811" t="str">
        <f>INDEX(CoverageTable[Coverage Limit Applies],MATCH(Table1820[[#This Row],[Coverage]],CoverageTable[Coverage],0))</f>
        <v>No</v>
      </c>
      <c r="Q811" t="s">
        <v>80</v>
      </c>
      <c r="R811" t="s">
        <v>10</v>
      </c>
      <c r="S811" t="s">
        <v>57</v>
      </c>
      <c r="T811" t="s">
        <v>10</v>
      </c>
      <c r="U811" t="s">
        <v>57</v>
      </c>
      <c r="V811" t="s">
        <v>10</v>
      </c>
      <c r="W811" t="s">
        <v>10</v>
      </c>
      <c r="X811" s="11">
        <v>510.09478705921248</v>
      </c>
      <c r="Y811">
        <f>_xlfn.XLOOKUP(Table1820[[#This Row],[Coverage]],CoverageTable[Coverage],CoverageTable[Base Rate],,0)</f>
        <v>453</v>
      </c>
      <c r="Z811">
        <f>INDEX(Table16[Ageband Factor],MATCH(Table1820[[#This Row],[Ageband]],Table16[Ageband],0))</f>
        <v>1</v>
      </c>
      <c r="AA811">
        <f>VLOOKUP(Table1820[[#This Row],[Years Driving]],Table1[],2)</f>
        <v>1.1499999999999999</v>
      </c>
      <c r="AB811">
        <f>_xlfn.XLOOKUP(Table1820[[#This Row],[At Fault Accidents]],Table2[At Fault Accidents],Table2[At Fault Accident Factor],,0)</f>
        <v>1.82</v>
      </c>
      <c r="AC811">
        <f>_xlfn.XLOOKUP(Table1820[[#This Row],[Usage-Based Insurance]],Table3[Usage-Based Insurance],Table3[Usage-Based Insurance Discount],,0)</f>
        <v>0.65</v>
      </c>
      <c r="AD811">
        <f>_xlfn.XLOOKUP(Table1820[[#This Row],[Yearly Miles]],Table4[Yearly Miles],Table4[Yearly Miles Factor],,0)</f>
        <v>0.93</v>
      </c>
      <c r="AE811">
        <f>_xlfn.XLOOKUP(Table1820[[#This Row],[City/Zip Code]],Table5[City/Zip Code],Table5[City/Zip Code Factor],,0)</f>
        <v>1.21</v>
      </c>
      <c r="AF811">
        <f>_xlfn.XLOOKUP(Table1820[[#This Row],[Vehicle Price]],Table6[Vehicle Price],Table6[Vehicle Price Factor])</f>
        <v>1.28</v>
      </c>
      <c r="AG811">
        <f>_xlfn.XLOOKUP(Table1820[[#This Row],[Exotic Car]],Table7[Exotic Car],Table7[Exotic Car Factor],,0)</f>
        <v>1</v>
      </c>
      <c r="AH811">
        <f>_xlfn.XLOOKUP(Table1820[[#This Row],[Difficult Parts]],Table8[Difficult Parts],Table8[Difficult Parts Factor],,0)</f>
        <v>1</v>
      </c>
      <c r="AI811">
        <f>_xlfn.XLOOKUP(Table1820[[#This Row],[High Theft Rate]],Table9[High Theft Rate],Table9[High Theft Rate Factor],,0)</f>
        <v>1</v>
      </c>
      <c r="AJ811">
        <f>_xlfn.XLOOKUP(Table1820[[#This Row],[Advanced Safety Features]],Table10[Advanced Safety Features],Table10[Advanced Safety Features Factor],,0)</f>
        <v>0.88</v>
      </c>
      <c r="AK811">
        <f>_xlfn.XLOOKUP(Table1820[[#This Row],[Deductible]],Table12[Deductible],Table12[Deductible Factor],,0)</f>
        <v>0.72</v>
      </c>
      <c r="AL811">
        <f>_xlfn.XLOOKUP(Table1820[[#This Row],[Coverage Limit]],Table13[Coverage Limit],Table13[Coverage Limit Factor],,0)</f>
        <v>1</v>
      </c>
      <c r="AM811">
        <f>IF(Table1820[[#This Row],[Good Student Discount]]="Yes",'Rate Book'!$D$126,1)</f>
        <v>0.92</v>
      </c>
      <c r="AN811">
        <f>IF(Table1820[[#This Row],[Good Driver Discount]]="Yes",'Rate Book'!$D$127,1)</f>
        <v>1</v>
      </c>
      <c r="AO811">
        <f>IF(Table1820[[#This Row],[Multi Policy Discount]]="Yes",'Rate Book'!$D$128,1)</f>
        <v>0.93</v>
      </c>
      <c r="AP811">
        <f>IF(Table1820[[#This Row],[Loyal Customer Discount]]="Yes",'Rate Book'!$D$129,1)</f>
        <v>1</v>
      </c>
      <c r="AQ811">
        <f>IF(Table1820[[#This Row],[Organization Discount]]="Yes",'Rate Book'!$D$130,1)</f>
        <v>1</v>
      </c>
      <c r="AR811" cm="1">
        <f t="array" ref="AR811">IF(Table1820[[#This Row],[Effective Date]]&gt;=RateChangeTable[Effective Date],RateChangeTable[Rate Change Factor],1)</f>
        <v>1.06</v>
      </c>
      <c r="AS811" s="10">
        <f>PRODUCT(Table1820[[#This Row],[Base Rate]:[Rate Change Factor]])</f>
        <v>510.09478705921248</v>
      </c>
      <c r="AT811" s="9">
        <f>Table1820[[#This Row],[System-Generated Premium]]-Table1820[[#This Row],[Expected Premium]]</f>
        <v>0</v>
      </c>
      <c r="AU811" t="str">
        <f>IF(Table1820[[#This Row],[Difference]]=0,"PASS","FAIL")</f>
        <v>PASS</v>
      </c>
      <c r="AV811" s="9">
        <f>ABS(Table1820[[#This Row],[Difference]])</f>
        <v>0</v>
      </c>
      <c r="AW811" s="9" t="s">
        <v>1136</v>
      </c>
    </row>
    <row r="812" spans="1:49" x14ac:dyDescent="0.3">
      <c r="A812" t="s">
        <v>903</v>
      </c>
      <c r="B812" s="7">
        <v>46120</v>
      </c>
      <c r="C812" t="s">
        <v>70</v>
      </c>
      <c r="D812" t="s">
        <v>1099</v>
      </c>
      <c r="E812" s="3">
        <v>5</v>
      </c>
      <c r="F812" s="3">
        <v>0</v>
      </c>
      <c r="G812" t="s">
        <v>10</v>
      </c>
      <c r="H812" t="s">
        <v>1108</v>
      </c>
      <c r="I812" t="s">
        <v>25</v>
      </c>
      <c r="J812" t="s">
        <v>54</v>
      </c>
      <c r="K812" t="s">
        <v>10</v>
      </c>
      <c r="L812" t="s">
        <v>10</v>
      </c>
      <c r="M812" t="s">
        <v>57</v>
      </c>
      <c r="N812" t="s">
        <v>57</v>
      </c>
      <c r="O812" t="str">
        <f>INDEX(CoverageTable[Deductible Applies],MATCH(Table1820[[#This Row],[Coverage]],CoverageTable[Coverage],0))</f>
        <v>No</v>
      </c>
      <c r="P812" t="str">
        <f>INDEX(CoverageTable[Coverage Limit Applies],MATCH(Table1820[[#This Row],[Coverage]],CoverageTable[Coverage],0))</f>
        <v>Yes</v>
      </c>
      <c r="Q812" t="s">
        <v>10</v>
      </c>
      <c r="R812" t="s">
        <v>78</v>
      </c>
      <c r="S812" t="s">
        <v>10</v>
      </c>
      <c r="T812" t="s">
        <v>57</v>
      </c>
      <c r="U812" t="s">
        <v>57</v>
      </c>
      <c r="V812" t="s">
        <v>10</v>
      </c>
      <c r="W812" t="s">
        <v>10</v>
      </c>
      <c r="X812" s="11">
        <v>1210.4960181291176</v>
      </c>
      <c r="Y812">
        <f>_xlfn.XLOOKUP(Table1820[[#This Row],[Coverage]],CoverageTable[Coverage],CoverageTable[Base Rate],,0)</f>
        <v>622</v>
      </c>
      <c r="Z812">
        <f>INDEX(Table16[Ageband Factor],MATCH(Table1820[[#This Row],[Ageband]],Table16[Ageband],0))</f>
        <v>1</v>
      </c>
      <c r="AA812">
        <f>VLOOKUP(Table1820[[#This Row],[Years Driving]],Table1[],2)</f>
        <v>1.07</v>
      </c>
      <c r="AB812">
        <f>_xlfn.XLOOKUP(Table1820[[#This Row],[At Fault Accidents]],Table2[At Fault Accidents],Table2[At Fault Accident Factor],,0)</f>
        <v>1</v>
      </c>
      <c r="AC812">
        <f>_xlfn.XLOOKUP(Table1820[[#This Row],[Usage-Based Insurance]],Table3[Usage-Based Insurance],Table3[Usage-Based Insurance Discount],,0)</f>
        <v>1</v>
      </c>
      <c r="AD812">
        <f>_xlfn.XLOOKUP(Table1820[[#This Row],[Yearly Miles]],Table4[Yearly Miles],Table4[Yearly Miles Factor],,0)</f>
        <v>1</v>
      </c>
      <c r="AE812">
        <f>_xlfn.XLOOKUP(Table1820[[#This Row],[City/Zip Code]],Table5[City/Zip Code],Table5[City/Zip Code Factor],,0)</f>
        <v>1.1599999999999999</v>
      </c>
      <c r="AF812">
        <f>_xlfn.XLOOKUP(Table1820[[#This Row],[Vehicle Price]],Table6[Vehicle Price],Table6[Vehicle Price Factor])</f>
        <v>2.87</v>
      </c>
      <c r="AG812">
        <f>_xlfn.XLOOKUP(Table1820[[#This Row],[Exotic Car]],Table7[Exotic Car],Table7[Exotic Car Factor],,0)</f>
        <v>1</v>
      </c>
      <c r="AH812">
        <f>_xlfn.XLOOKUP(Table1820[[#This Row],[Difficult Parts]],Table8[Difficult Parts],Table8[Difficult Parts Factor],,0)</f>
        <v>1</v>
      </c>
      <c r="AI812">
        <f>_xlfn.XLOOKUP(Table1820[[#This Row],[High Theft Rate]],Table9[High Theft Rate],Table9[High Theft Rate Factor],,0)</f>
        <v>1.1599999999999999</v>
      </c>
      <c r="AJ812">
        <f>_xlfn.XLOOKUP(Table1820[[#This Row],[Advanced Safety Features]],Table10[Advanced Safety Features],Table10[Advanced Safety Features Factor],,0)</f>
        <v>0.88</v>
      </c>
      <c r="AK812">
        <f>_xlfn.XLOOKUP(Table1820[[#This Row],[Deductible]],Table12[Deductible],Table12[Deductible Factor],,0)</f>
        <v>1</v>
      </c>
      <c r="AL812">
        <f>_xlfn.XLOOKUP(Table1820[[#This Row],[Coverage Limit]],Table13[Coverage Limit],Table13[Coverage Limit Factor],,0)</f>
        <v>0.61</v>
      </c>
      <c r="AM812">
        <f>IF(Table1820[[#This Row],[Good Student Discount]]="Yes",'Rate Book'!$D$126,1)</f>
        <v>1</v>
      </c>
      <c r="AN812">
        <f>IF(Table1820[[#This Row],[Good Driver Discount]]="Yes",'Rate Book'!$D$127,1)</f>
        <v>0.89</v>
      </c>
      <c r="AO812">
        <f>IF(Table1820[[#This Row],[Multi Policy Discount]]="Yes",'Rate Book'!$D$128,1)</f>
        <v>0.93</v>
      </c>
      <c r="AP812">
        <f>IF(Table1820[[#This Row],[Loyal Customer Discount]]="Yes",'Rate Book'!$D$129,1)</f>
        <v>1</v>
      </c>
      <c r="AQ812">
        <f>IF(Table1820[[#This Row],[Organization Discount]]="Yes",'Rate Book'!$D$130,1)</f>
        <v>1</v>
      </c>
      <c r="AR812" cm="1">
        <f t="array" ref="AR812">IF(Table1820[[#This Row],[Effective Date]]&gt;=RateChangeTable[Effective Date],RateChangeTable[Rate Change Factor],1)</f>
        <v>1.06</v>
      </c>
      <c r="AS812" s="10">
        <f>PRODUCT(Table1820[[#This Row],[Base Rate]:[Rate Change Factor]])</f>
        <v>1210.4960181291176</v>
      </c>
      <c r="AT812" s="9">
        <f>Table1820[[#This Row],[System-Generated Premium]]-Table1820[[#This Row],[Expected Premium]]</f>
        <v>0</v>
      </c>
      <c r="AU812" t="str">
        <f>IF(Table1820[[#This Row],[Difference]]=0,"PASS","FAIL")</f>
        <v>PASS</v>
      </c>
      <c r="AV812" s="9">
        <f>ABS(Table1820[[#This Row],[Difference]])</f>
        <v>0</v>
      </c>
      <c r="AW812" s="9" t="s">
        <v>1136</v>
      </c>
    </row>
    <row r="813" spans="1:49" x14ac:dyDescent="0.3">
      <c r="A813" t="s">
        <v>904</v>
      </c>
      <c r="B813" s="7">
        <v>45886</v>
      </c>
      <c r="C813" t="s">
        <v>70</v>
      </c>
      <c r="D813" t="s">
        <v>1100</v>
      </c>
      <c r="E813" s="3">
        <v>4</v>
      </c>
      <c r="F813" s="3">
        <v>0</v>
      </c>
      <c r="G813" t="s">
        <v>10</v>
      </c>
      <c r="H813" t="s">
        <v>1109</v>
      </c>
      <c r="I813" t="s">
        <v>37</v>
      </c>
      <c r="J813" t="s">
        <v>54</v>
      </c>
      <c r="K813" t="s">
        <v>10</v>
      </c>
      <c r="L813" t="s">
        <v>57</v>
      </c>
      <c r="M813" t="s">
        <v>10</v>
      </c>
      <c r="N813" t="s">
        <v>57</v>
      </c>
      <c r="O813" t="str">
        <f>INDEX(CoverageTable[Deductible Applies],MATCH(Table1820[[#This Row],[Coverage]],CoverageTable[Coverage],0))</f>
        <v>No</v>
      </c>
      <c r="P813" t="str">
        <f>INDEX(CoverageTable[Coverage Limit Applies],MATCH(Table1820[[#This Row],[Coverage]],CoverageTable[Coverage],0))</f>
        <v>Yes</v>
      </c>
      <c r="Q813" t="s">
        <v>10</v>
      </c>
      <c r="R813" t="s">
        <v>80</v>
      </c>
      <c r="S813" t="s">
        <v>57</v>
      </c>
      <c r="T813" t="s">
        <v>10</v>
      </c>
      <c r="U813" t="s">
        <v>57</v>
      </c>
      <c r="V813" t="s">
        <v>10</v>
      </c>
      <c r="W813" t="s">
        <v>10</v>
      </c>
      <c r="X813" s="11">
        <v>2162.1235597967398</v>
      </c>
      <c r="Y813">
        <f>_xlfn.XLOOKUP(Table1820[[#This Row],[Coverage]],CoverageTable[Coverage],CoverageTable[Base Rate],,0)</f>
        <v>622</v>
      </c>
      <c r="Z813">
        <f>INDEX(Table16[Ageband Factor],MATCH(Table1820[[#This Row],[Ageband]],Table16[Ageband],0))</f>
        <v>1.07</v>
      </c>
      <c r="AA813">
        <f>VLOOKUP(Table1820[[#This Row],[Years Driving]],Table1[],2)</f>
        <v>1.1499999999999999</v>
      </c>
      <c r="AB813">
        <f>_xlfn.XLOOKUP(Table1820[[#This Row],[At Fault Accidents]],Table2[At Fault Accidents],Table2[At Fault Accident Factor],,0)</f>
        <v>1</v>
      </c>
      <c r="AC813">
        <f>_xlfn.XLOOKUP(Table1820[[#This Row],[Usage-Based Insurance]],Table3[Usage-Based Insurance],Table3[Usage-Based Insurance Discount],,0)</f>
        <v>1</v>
      </c>
      <c r="AD813">
        <f>_xlfn.XLOOKUP(Table1820[[#This Row],[Yearly Miles]],Table4[Yearly Miles],Table4[Yearly Miles Factor],,0)</f>
        <v>1.18</v>
      </c>
      <c r="AE813">
        <f>_xlfn.XLOOKUP(Table1820[[#This Row],[City/Zip Code]],Table5[City/Zip Code],Table5[City/Zip Code Factor],,0)</f>
        <v>1.0900000000000001</v>
      </c>
      <c r="AF813">
        <f>_xlfn.XLOOKUP(Table1820[[#This Row],[Vehicle Price]],Table6[Vehicle Price],Table6[Vehicle Price Factor])</f>
        <v>2.87</v>
      </c>
      <c r="AG813">
        <f>_xlfn.XLOOKUP(Table1820[[#This Row],[Exotic Car]],Table7[Exotic Car],Table7[Exotic Car Factor],,0)</f>
        <v>1</v>
      </c>
      <c r="AH813">
        <f>_xlfn.XLOOKUP(Table1820[[#This Row],[Difficult Parts]],Table8[Difficult Parts],Table8[Difficult Parts Factor],,0)</f>
        <v>1.21</v>
      </c>
      <c r="AI813">
        <f>_xlfn.XLOOKUP(Table1820[[#This Row],[High Theft Rate]],Table9[High Theft Rate],Table9[High Theft Rate Factor],,0)</f>
        <v>1</v>
      </c>
      <c r="AJ813">
        <f>_xlfn.XLOOKUP(Table1820[[#This Row],[Advanced Safety Features]],Table10[Advanced Safety Features],Table10[Advanced Safety Features Factor],,0)</f>
        <v>0.88</v>
      </c>
      <c r="AK813">
        <f>_xlfn.XLOOKUP(Table1820[[#This Row],[Deductible]],Table12[Deductible],Table12[Deductible Factor],,0)</f>
        <v>1</v>
      </c>
      <c r="AL813">
        <f>_xlfn.XLOOKUP(Table1820[[#This Row],[Coverage Limit]],Table13[Coverage Limit],Table13[Coverage Limit Factor],,0)</f>
        <v>0.84</v>
      </c>
      <c r="AM813">
        <f>IF(Table1820[[#This Row],[Good Student Discount]]="Yes",'Rate Book'!$D$126,1)</f>
        <v>0.92</v>
      </c>
      <c r="AN813">
        <f>IF(Table1820[[#This Row],[Good Driver Discount]]="Yes",'Rate Book'!$D$127,1)</f>
        <v>1</v>
      </c>
      <c r="AO813">
        <f>IF(Table1820[[#This Row],[Multi Policy Discount]]="Yes",'Rate Book'!$D$128,1)</f>
        <v>0.93</v>
      </c>
      <c r="AP813">
        <f>IF(Table1820[[#This Row],[Loyal Customer Discount]]="Yes",'Rate Book'!$D$129,1)</f>
        <v>1</v>
      </c>
      <c r="AQ813">
        <f>IF(Table1820[[#This Row],[Organization Discount]]="Yes",'Rate Book'!$D$130,1)</f>
        <v>1</v>
      </c>
      <c r="AR813" cm="1">
        <f t="array" ref="AR813">IF(Table1820[[#This Row],[Effective Date]]&gt;=RateChangeTable[Effective Date],RateChangeTable[Rate Change Factor],1)</f>
        <v>1</v>
      </c>
      <c r="AS813" s="10">
        <f>PRODUCT(Table1820[[#This Row],[Base Rate]:[Rate Change Factor]])</f>
        <v>2162.1235597967398</v>
      </c>
      <c r="AT813" s="9">
        <f>Table1820[[#This Row],[System-Generated Premium]]-Table1820[[#This Row],[Expected Premium]]</f>
        <v>0</v>
      </c>
      <c r="AU813" t="str">
        <f>IF(Table1820[[#This Row],[Difference]]=0,"PASS","FAIL")</f>
        <v>PASS</v>
      </c>
      <c r="AV813" s="9">
        <f>ABS(Table1820[[#This Row],[Difference]])</f>
        <v>0</v>
      </c>
      <c r="AW813" s="9" t="s">
        <v>1136</v>
      </c>
    </row>
    <row r="814" spans="1:49" x14ac:dyDescent="0.3">
      <c r="A814" t="s">
        <v>905</v>
      </c>
      <c r="B814" s="7">
        <v>45968</v>
      </c>
      <c r="C814" t="s">
        <v>72</v>
      </c>
      <c r="D814" t="s">
        <v>1100</v>
      </c>
      <c r="E814" s="3">
        <v>5</v>
      </c>
      <c r="F814" s="3" t="s">
        <v>7</v>
      </c>
      <c r="G814" t="s">
        <v>10</v>
      </c>
      <c r="H814" t="s">
        <v>1110</v>
      </c>
      <c r="I814" t="s">
        <v>23</v>
      </c>
      <c r="J814" t="s">
        <v>50</v>
      </c>
      <c r="K814" t="s">
        <v>10</v>
      </c>
      <c r="L814" t="s">
        <v>57</v>
      </c>
      <c r="M814" t="s">
        <v>10</v>
      </c>
      <c r="N814" t="s">
        <v>57</v>
      </c>
      <c r="O814" t="str">
        <f>INDEX(CoverageTable[Deductible Applies],MATCH(Table1820[[#This Row],[Coverage]],CoverageTable[Coverage],0))</f>
        <v>Yes</v>
      </c>
      <c r="P814" t="str">
        <f>INDEX(CoverageTable[Coverage Limit Applies],MATCH(Table1820[[#This Row],[Coverage]],CoverageTable[Coverage],0))</f>
        <v>No</v>
      </c>
      <c r="Q814" t="s">
        <v>80</v>
      </c>
      <c r="R814" t="s">
        <v>10</v>
      </c>
      <c r="S814" t="s">
        <v>10</v>
      </c>
      <c r="T814" t="s">
        <v>10</v>
      </c>
      <c r="U814" t="s">
        <v>10</v>
      </c>
      <c r="V814" t="s">
        <v>10</v>
      </c>
      <c r="W814" t="s">
        <v>10</v>
      </c>
      <c r="X814" s="11">
        <v>341.45485829238635</v>
      </c>
      <c r="Y814">
        <f>_xlfn.XLOOKUP(Table1820[[#This Row],[Coverage]],CoverageTable[Coverage],CoverageTable[Base Rate],,0)</f>
        <v>121</v>
      </c>
      <c r="Z814">
        <f>INDEX(Table16[Ageband Factor],MATCH(Table1820[[#This Row],[Ageband]],Table16[Ageband],0))</f>
        <v>1.07</v>
      </c>
      <c r="AA814">
        <f>VLOOKUP(Table1820[[#This Row],[Years Driving]],Table1[],2)</f>
        <v>1.07</v>
      </c>
      <c r="AB814">
        <f>_xlfn.XLOOKUP(Table1820[[#This Row],[At Fault Accidents]],Table2[At Fault Accidents],Table2[At Fault Accident Factor],,0)</f>
        <v>2.4700000000000002</v>
      </c>
      <c r="AC814">
        <f>_xlfn.XLOOKUP(Table1820[[#This Row],[Usage-Based Insurance]],Table3[Usage-Based Insurance],Table3[Usage-Based Insurance Discount],,0)</f>
        <v>1</v>
      </c>
      <c r="AD814">
        <f>_xlfn.XLOOKUP(Table1820[[#This Row],[Yearly Miles]],Table4[Yearly Miles],Table4[Yearly Miles Factor],,0)</f>
        <v>1.31</v>
      </c>
      <c r="AE814">
        <f>_xlfn.XLOOKUP(Table1820[[#This Row],[City/Zip Code]],Table5[City/Zip Code],Table5[City/Zip Code Factor],,0)</f>
        <v>0.92</v>
      </c>
      <c r="AF814">
        <f>_xlfn.XLOOKUP(Table1820[[#This Row],[Vehicle Price]],Table6[Vehicle Price],Table6[Vehicle Price Factor])</f>
        <v>1.08</v>
      </c>
      <c r="AG814">
        <f>_xlfn.XLOOKUP(Table1820[[#This Row],[Exotic Car]],Table7[Exotic Car],Table7[Exotic Car Factor],,0)</f>
        <v>1</v>
      </c>
      <c r="AH814">
        <f>_xlfn.XLOOKUP(Table1820[[#This Row],[Difficult Parts]],Table8[Difficult Parts],Table8[Difficult Parts Factor],,0)</f>
        <v>1.21</v>
      </c>
      <c r="AI814">
        <f>_xlfn.XLOOKUP(Table1820[[#This Row],[High Theft Rate]],Table9[High Theft Rate],Table9[High Theft Rate Factor],,0)</f>
        <v>1</v>
      </c>
      <c r="AJ814">
        <f>_xlfn.XLOOKUP(Table1820[[#This Row],[Advanced Safety Features]],Table10[Advanced Safety Features],Table10[Advanced Safety Features Factor],,0)</f>
        <v>0.88</v>
      </c>
      <c r="AK814">
        <f>_xlfn.XLOOKUP(Table1820[[#This Row],[Deductible]],Table12[Deductible],Table12[Deductible Factor],,0)</f>
        <v>0.72</v>
      </c>
      <c r="AL814">
        <f>_xlfn.XLOOKUP(Table1820[[#This Row],[Coverage Limit]],Table13[Coverage Limit],Table13[Coverage Limit Factor],,0)</f>
        <v>1</v>
      </c>
      <c r="AM814">
        <f>IF(Table1820[[#This Row],[Good Student Discount]]="Yes",'Rate Book'!$D$126,1)</f>
        <v>1</v>
      </c>
      <c r="AN814">
        <f>IF(Table1820[[#This Row],[Good Driver Discount]]="Yes",'Rate Book'!$D$127,1)</f>
        <v>1</v>
      </c>
      <c r="AO814">
        <f>IF(Table1820[[#This Row],[Multi Policy Discount]]="Yes",'Rate Book'!$D$128,1)</f>
        <v>1</v>
      </c>
      <c r="AP814">
        <f>IF(Table1820[[#This Row],[Loyal Customer Discount]]="Yes",'Rate Book'!$D$129,1)</f>
        <v>1</v>
      </c>
      <c r="AQ814">
        <f>IF(Table1820[[#This Row],[Organization Discount]]="Yes",'Rate Book'!$D$130,1)</f>
        <v>1</v>
      </c>
      <c r="AR814" cm="1">
        <f t="array" ref="AR814">IF(Table1820[[#This Row],[Effective Date]]&gt;=RateChangeTable[Effective Date],RateChangeTable[Rate Change Factor],1)</f>
        <v>1</v>
      </c>
      <c r="AS814" s="10">
        <f>PRODUCT(Table1820[[#This Row],[Base Rate]:[Rate Change Factor]])</f>
        <v>341.45485829238635</v>
      </c>
      <c r="AT814" s="9">
        <f>Table1820[[#This Row],[System-Generated Premium]]-Table1820[[#This Row],[Expected Premium]]</f>
        <v>0</v>
      </c>
      <c r="AU814" t="str">
        <f>IF(Table1820[[#This Row],[Difference]]=0,"PASS","FAIL")</f>
        <v>PASS</v>
      </c>
      <c r="AV814" s="9">
        <f>ABS(Table1820[[#This Row],[Difference]])</f>
        <v>0</v>
      </c>
      <c r="AW814" s="9" t="s">
        <v>1136</v>
      </c>
    </row>
    <row r="815" spans="1:49" x14ac:dyDescent="0.3">
      <c r="A815" t="s">
        <v>906</v>
      </c>
      <c r="B815" s="7">
        <v>45829</v>
      </c>
      <c r="C815" t="s">
        <v>71</v>
      </c>
      <c r="D815" t="s">
        <v>1102</v>
      </c>
      <c r="E815" s="3">
        <v>5</v>
      </c>
      <c r="F815" s="3">
        <v>3</v>
      </c>
      <c r="G815" t="s">
        <v>12</v>
      </c>
      <c r="H815" t="s">
        <v>1109</v>
      </c>
      <c r="I815" t="s">
        <v>27</v>
      </c>
      <c r="J815" t="s">
        <v>54</v>
      </c>
      <c r="K815" t="s">
        <v>10</v>
      </c>
      <c r="L815" t="s">
        <v>10</v>
      </c>
      <c r="M815" t="s">
        <v>10</v>
      </c>
      <c r="N815" t="s">
        <v>10</v>
      </c>
      <c r="O815" t="str">
        <f>INDEX(CoverageTable[Deductible Applies],MATCH(Table1820[[#This Row],[Coverage]],CoverageTable[Coverage],0))</f>
        <v>Yes</v>
      </c>
      <c r="P815" t="str">
        <f>INDEX(CoverageTable[Coverage Limit Applies],MATCH(Table1820[[#This Row],[Coverage]],CoverageTable[Coverage],0))</f>
        <v>No</v>
      </c>
      <c r="Q815" t="s">
        <v>78</v>
      </c>
      <c r="R815" t="s">
        <v>10</v>
      </c>
      <c r="S815" t="s">
        <v>10</v>
      </c>
      <c r="T815" t="s">
        <v>10</v>
      </c>
      <c r="U815" t="s">
        <v>57</v>
      </c>
      <c r="V815" t="s">
        <v>57</v>
      </c>
      <c r="W815" t="s">
        <v>57</v>
      </c>
      <c r="X815" s="11">
        <v>2298.5024710299426</v>
      </c>
      <c r="Y815">
        <f>_xlfn.XLOOKUP(Table1820[[#This Row],[Coverage]],CoverageTable[Coverage],CoverageTable[Base Rate],,0)</f>
        <v>453</v>
      </c>
      <c r="Z815">
        <f>INDEX(Table16[Ageband Factor],MATCH(Table1820[[#This Row],[Ageband]],Table16[Ageband],0))</f>
        <v>1.27</v>
      </c>
      <c r="AA815">
        <f>VLOOKUP(Table1820[[#This Row],[Years Driving]],Table1[],2)</f>
        <v>1.07</v>
      </c>
      <c r="AB815">
        <f>_xlfn.XLOOKUP(Table1820[[#This Row],[At Fault Accidents]],Table2[At Fault Accidents],Table2[At Fault Accident Factor],,0)</f>
        <v>1.82</v>
      </c>
      <c r="AC815">
        <f>_xlfn.XLOOKUP(Table1820[[#This Row],[Usage-Based Insurance]],Table3[Usage-Based Insurance],Table3[Usage-Based Insurance Discount],,0)</f>
        <v>0.8</v>
      </c>
      <c r="AD815">
        <f>_xlfn.XLOOKUP(Table1820[[#This Row],[Yearly Miles]],Table4[Yearly Miles],Table4[Yearly Miles Factor],,0)</f>
        <v>1.18</v>
      </c>
      <c r="AE815">
        <f>_xlfn.XLOOKUP(Table1820[[#This Row],[City/Zip Code]],Table5[City/Zip Code],Table5[City/Zip Code Factor],,0)</f>
        <v>0.94</v>
      </c>
      <c r="AF815">
        <f>_xlfn.XLOOKUP(Table1820[[#This Row],[Vehicle Price]],Table6[Vehicle Price],Table6[Vehicle Price Factor])</f>
        <v>2.87</v>
      </c>
      <c r="AG815">
        <f>_xlfn.XLOOKUP(Table1820[[#This Row],[Exotic Car]],Table7[Exotic Car],Table7[Exotic Car Factor],,0)</f>
        <v>1</v>
      </c>
      <c r="AH815">
        <f>_xlfn.XLOOKUP(Table1820[[#This Row],[Difficult Parts]],Table8[Difficult Parts],Table8[Difficult Parts Factor],,0)</f>
        <v>1</v>
      </c>
      <c r="AI815">
        <f>_xlfn.XLOOKUP(Table1820[[#This Row],[High Theft Rate]],Table9[High Theft Rate],Table9[High Theft Rate Factor],,0)</f>
        <v>1</v>
      </c>
      <c r="AJ815">
        <f>_xlfn.XLOOKUP(Table1820[[#This Row],[Advanced Safety Features]],Table10[Advanced Safety Features],Table10[Advanced Safety Features Factor],,0)</f>
        <v>1</v>
      </c>
      <c r="AK815">
        <f>_xlfn.XLOOKUP(Table1820[[#This Row],[Deductible]],Table12[Deductible],Table12[Deductible Factor],,0)</f>
        <v>0.95</v>
      </c>
      <c r="AL815">
        <f>_xlfn.XLOOKUP(Table1820[[#This Row],[Coverage Limit]],Table13[Coverage Limit],Table13[Coverage Limit Factor],,0)</f>
        <v>1</v>
      </c>
      <c r="AM815">
        <f>IF(Table1820[[#This Row],[Good Student Discount]]="Yes",'Rate Book'!$D$126,1)</f>
        <v>1</v>
      </c>
      <c r="AN815">
        <f>IF(Table1820[[#This Row],[Good Driver Discount]]="Yes",'Rate Book'!$D$127,1)</f>
        <v>1</v>
      </c>
      <c r="AO815">
        <f>IF(Table1820[[#This Row],[Multi Policy Discount]]="Yes",'Rate Book'!$D$128,1)</f>
        <v>0.93</v>
      </c>
      <c r="AP815">
        <f>IF(Table1820[[#This Row],[Loyal Customer Discount]]="Yes",'Rate Book'!$D$129,1)</f>
        <v>0.94</v>
      </c>
      <c r="AQ815">
        <f>IF(Table1820[[#This Row],[Organization Discount]]="Yes",'Rate Book'!$D$130,1)</f>
        <v>0.97</v>
      </c>
      <c r="AR815" cm="1">
        <f t="array" ref="AR815">IF(Table1820[[#This Row],[Effective Date]]&gt;=RateChangeTable[Effective Date],RateChangeTable[Rate Change Factor],1)</f>
        <v>1</v>
      </c>
      <c r="AS815" s="10">
        <f>PRODUCT(Table1820[[#This Row],[Base Rate]:[Rate Change Factor]])</f>
        <v>2298.5024710299426</v>
      </c>
      <c r="AT815" s="9">
        <f>Table1820[[#This Row],[System-Generated Premium]]-Table1820[[#This Row],[Expected Premium]]</f>
        <v>0</v>
      </c>
      <c r="AU815" t="str">
        <f>IF(Table1820[[#This Row],[Difference]]=0,"PASS","FAIL")</f>
        <v>PASS</v>
      </c>
      <c r="AV815" s="9">
        <f>ABS(Table1820[[#This Row],[Difference]])</f>
        <v>0</v>
      </c>
      <c r="AW815" s="9" t="s">
        <v>1136</v>
      </c>
    </row>
    <row r="816" spans="1:49" x14ac:dyDescent="0.3">
      <c r="A816" t="s">
        <v>907</v>
      </c>
      <c r="B816" s="7">
        <v>45963</v>
      </c>
      <c r="C816" t="s">
        <v>71</v>
      </c>
      <c r="D816" t="s">
        <v>1098</v>
      </c>
      <c r="E816" s="3">
        <v>7</v>
      </c>
      <c r="F816" s="3" t="s">
        <v>7</v>
      </c>
      <c r="G816" t="s">
        <v>13</v>
      </c>
      <c r="H816" t="s">
        <v>1107</v>
      </c>
      <c r="I816" t="s">
        <v>25</v>
      </c>
      <c r="J816" t="s">
        <v>48</v>
      </c>
      <c r="K816" t="s">
        <v>10</v>
      </c>
      <c r="L816" t="s">
        <v>57</v>
      </c>
      <c r="M816" t="s">
        <v>10</v>
      </c>
      <c r="N816" t="s">
        <v>10</v>
      </c>
      <c r="O816" t="str">
        <f>INDEX(CoverageTable[Deductible Applies],MATCH(Table1820[[#This Row],[Coverage]],CoverageTable[Coverage],0))</f>
        <v>Yes</v>
      </c>
      <c r="P816" t="str">
        <f>INDEX(CoverageTable[Coverage Limit Applies],MATCH(Table1820[[#This Row],[Coverage]],CoverageTable[Coverage],0))</f>
        <v>No</v>
      </c>
      <c r="Q816" t="s">
        <v>79</v>
      </c>
      <c r="R816" t="s">
        <v>10</v>
      </c>
      <c r="S816" t="s">
        <v>10</v>
      </c>
      <c r="T816" t="s">
        <v>10</v>
      </c>
      <c r="U816" t="s">
        <v>10</v>
      </c>
      <c r="V816" t="s">
        <v>10</v>
      </c>
      <c r="W816" t="s">
        <v>10</v>
      </c>
      <c r="X816" s="11">
        <v>764.1113931194318</v>
      </c>
      <c r="Y816">
        <f>_xlfn.XLOOKUP(Table1820[[#This Row],[Coverage]],CoverageTable[Coverage],CoverageTable[Base Rate],,0)</f>
        <v>453</v>
      </c>
      <c r="Z816">
        <f>INDEX(Table16[Ageband Factor],MATCH(Table1820[[#This Row],[Ageband]],Table16[Ageband],0))</f>
        <v>1.23</v>
      </c>
      <c r="AA816">
        <f>VLOOKUP(Table1820[[#This Row],[Years Driving]],Table1[],2)</f>
        <v>0.95</v>
      </c>
      <c r="AB816">
        <f>_xlfn.XLOOKUP(Table1820[[#This Row],[At Fault Accidents]],Table2[At Fault Accidents],Table2[At Fault Accident Factor],,0)</f>
        <v>2.4700000000000002</v>
      </c>
      <c r="AC816">
        <f>_xlfn.XLOOKUP(Table1820[[#This Row],[Usage-Based Insurance]],Table3[Usage-Based Insurance],Table3[Usage-Based Insurance Discount],,0)</f>
        <v>0.65</v>
      </c>
      <c r="AD816">
        <f>_xlfn.XLOOKUP(Table1820[[#This Row],[Yearly Miles]],Table4[Yearly Miles],Table4[Yearly Miles Factor],,0)</f>
        <v>0.93</v>
      </c>
      <c r="AE816">
        <f>_xlfn.XLOOKUP(Table1820[[#This Row],[City/Zip Code]],Table5[City/Zip Code],Table5[City/Zip Code Factor],,0)</f>
        <v>1.1599999999999999</v>
      </c>
      <c r="AF816">
        <f>_xlfn.XLOOKUP(Table1820[[#This Row],[Vehicle Price]],Table6[Vehicle Price],Table6[Vehicle Price Factor])</f>
        <v>0.82</v>
      </c>
      <c r="AG816">
        <f>_xlfn.XLOOKUP(Table1820[[#This Row],[Exotic Car]],Table7[Exotic Car],Table7[Exotic Car Factor],,0)</f>
        <v>1</v>
      </c>
      <c r="AH816">
        <f>_xlfn.XLOOKUP(Table1820[[#This Row],[Difficult Parts]],Table8[Difficult Parts],Table8[Difficult Parts Factor],,0)</f>
        <v>1.21</v>
      </c>
      <c r="AI816">
        <f>_xlfn.XLOOKUP(Table1820[[#This Row],[High Theft Rate]],Table9[High Theft Rate],Table9[High Theft Rate Factor],,0)</f>
        <v>1</v>
      </c>
      <c r="AJ816">
        <f>_xlfn.XLOOKUP(Table1820[[#This Row],[Advanced Safety Features]],Table10[Advanced Safety Features],Table10[Advanced Safety Features Factor],,0)</f>
        <v>1</v>
      </c>
      <c r="AK816">
        <f>_xlfn.XLOOKUP(Table1820[[#This Row],[Deductible]],Table12[Deductible],Table12[Deductible Factor],,0)</f>
        <v>0.84</v>
      </c>
      <c r="AL816">
        <f>_xlfn.XLOOKUP(Table1820[[#This Row],[Coverage Limit]],Table13[Coverage Limit],Table13[Coverage Limit Factor],,0)</f>
        <v>1</v>
      </c>
      <c r="AM816">
        <f>IF(Table1820[[#This Row],[Good Student Discount]]="Yes",'Rate Book'!$D$126,1)</f>
        <v>1</v>
      </c>
      <c r="AN816">
        <f>IF(Table1820[[#This Row],[Good Driver Discount]]="Yes",'Rate Book'!$D$127,1)</f>
        <v>1</v>
      </c>
      <c r="AO816">
        <f>IF(Table1820[[#This Row],[Multi Policy Discount]]="Yes",'Rate Book'!$D$128,1)</f>
        <v>1</v>
      </c>
      <c r="AP816">
        <f>IF(Table1820[[#This Row],[Loyal Customer Discount]]="Yes",'Rate Book'!$D$129,1)</f>
        <v>1</v>
      </c>
      <c r="AQ816">
        <f>IF(Table1820[[#This Row],[Organization Discount]]="Yes",'Rate Book'!$D$130,1)</f>
        <v>1</v>
      </c>
      <c r="AR816" cm="1">
        <f t="array" ref="AR816">IF(Table1820[[#This Row],[Effective Date]]&gt;=RateChangeTable[Effective Date],RateChangeTable[Rate Change Factor],1)</f>
        <v>1</v>
      </c>
      <c r="AS816" s="10">
        <f>PRODUCT(Table1820[[#This Row],[Base Rate]:[Rate Change Factor]])</f>
        <v>764.1113931194318</v>
      </c>
      <c r="AT816" s="9">
        <f>Table1820[[#This Row],[System-Generated Premium]]-Table1820[[#This Row],[Expected Premium]]</f>
        <v>0</v>
      </c>
      <c r="AU816" t="str">
        <f>IF(Table1820[[#This Row],[Difference]]=0,"PASS","FAIL")</f>
        <v>PASS</v>
      </c>
      <c r="AV816" s="9">
        <f>ABS(Table1820[[#This Row],[Difference]])</f>
        <v>0</v>
      </c>
      <c r="AW816" s="9" t="s">
        <v>1136</v>
      </c>
    </row>
    <row r="817" spans="1:49" x14ac:dyDescent="0.3">
      <c r="A817" t="s">
        <v>908</v>
      </c>
      <c r="B817" s="7">
        <v>46043</v>
      </c>
      <c r="C817" t="s">
        <v>70</v>
      </c>
      <c r="D817" t="s">
        <v>1102</v>
      </c>
      <c r="E817" s="3">
        <v>3</v>
      </c>
      <c r="F817" s="3" t="s">
        <v>7</v>
      </c>
      <c r="G817" t="s">
        <v>10</v>
      </c>
      <c r="H817" t="s">
        <v>1110</v>
      </c>
      <c r="I817" t="s">
        <v>23</v>
      </c>
      <c r="J817" t="s">
        <v>53</v>
      </c>
      <c r="K817" t="s">
        <v>57</v>
      </c>
      <c r="L817" t="s">
        <v>10</v>
      </c>
      <c r="M817" t="s">
        <v>10</v>
      </c>
      <c r="N817" t="s">
        <v>57</v>
      </c>
      <c r="O817" t="str">
        <f>INDEX(CoverageTable[Deductible Applies],MATCH(Table1820[[#This Row],[Coverage]],CoverageTable[Coverage],0))</f>
        <v>No</v>
      </c>
      <c r="P817" t="str">
        <f>INDEX(CoverageTable[Coverage Limit Applies],MATCH(Table1820[[#This Row],[Coverage]],CoverageTable[Coverage],0))</f>
        <v>Yes</v>
      </c>
      <c r="Q817" t="s">
        <v>10</v>
      </c>
      <c r="R817" t="s">
        <v>78</v>
      </c>
      <c r="S817" t="s">
        <v>10</v>
      </c>
      <c r="T817" t="s">
        <v>10</v>
      </c>
      <c r="U817" t="s">
        <v>57</v>
      </c>
      <c r="V817" t="s">
        <v>10</v>
      </c>
      <c r="W817" t="s">
        <v>57</v>
      </c>
      <c r="X817" s="11">
        <v>3592.02</v>
      </c>
      <c r="Y817">
        <f>_xlfn.XLOOKUP(Table1820[[#This Row],[Coverage]],CoverageTable[Coverage],CoverageTable[Base Rate],,0)</f>
        <v>622</v>
      </c>
      <c r="Z817">
        <f>INDEX(Table16[Ageband Factor],MATCH(Table1820[[#This Row],[Ageband]],Table16[Ageband],0))</f>
        <v>1.27</v>
      </c>
      <c r="AA817">
        <f>VLOOKUP(Table1820[[#This Row],[Years Driving]],Table1[],2)</f>
        <v>1.22</v>
      </c>
      <c r="AB817">
        <f>_xlfn.XLOOKUP(Table1820[[#This Row],[At Fault Accidents]],Table2[At Fault Accidents],Table2[At Fault Accident Factor],,0)</f>
        <v>2.4700000000000002</v>
      </c>
      <c r="AC817">
        <f>_xlfn.XLOOKUP(Table1820[[#This Row],[Usage-Based Insurance]],Table3[Usage-Based Insurance],Table3[Usage-Based Insurance Discount],,0)</f>
        <v>1</v>
      </c>
      <c r="AD817">
        <f>_xlfn.XLOOKUP(Table1820[[#This Row],[Yearly Miles]],Table4[Yearly Miles],Table4[Yearly Miles Factor],,0)</f>
        <v>1.31</v>
      </c>
      <c r="AE817">
        <f>_xlfn.XLOOKUP(Table1820[[#This Row],[City/Zip Code]],Table5[City/Zip Code],Table5[City/Zip Code Factor],,0)</f>
        <v>0.92</v>
      </c>
      <c r="AF817">
        <f>_xlfn.XLOOKUP(Table1820[[#This Row],[Vehicle Price]],Table6[Vehicle Price],Table6[Vehicle Price Factor])</f>
        <v>2.02</v>
      </c>
      <c r="AG817">
        <f>_xlfn.XLOOKUP(Table1820[[#This Row],[Exotic Car]],Table7[Exotic Car],Table7[Exotic Car Factor],,0)</f>
        <v>1.28</v>
      </c>
      <c r="AH817">
        <f>_xlfn.XLOOKUP(Table1820[[#This Row],[Difficult Parts]],Table8[Difficult Parts],Table8[Difficult Parts Factor],,0)</f>
        <v>1</v>
      </c>
      <c r="AI817">
        <f>_xlfn.XLOOKUP(Table1820[[#This Row],[High Theft Rate]],Table9[High Theft Rate],Table9[High Theft Rate Factor],,0)</f>
        <v>1</v>
      </c>
      <c r="AJ817">
        <f>_xlfn.XLOOKUP(Table1820[[#This Row],[Advanced Safety Features]],Table10[Advanced Safety Features],Table10[Advanced Safety Features Factor],,0)</f>
        <v>0.88</v>
      </c>
      <c r="AK817">
        <f>_xlfn.XLOOKUP(Table1820[[#This Row],[Deductible]],Table12[Deductible],Table12[Deductible Factor],,0)</f>
        <v>1</v>
      </c>
      <c r="AL817">
        <f>_xlfn.XLOOKUP(Table1820[[#This Row],[Coverage Limit]],Table13[Coverage Limit],Table13[Coverage Limit Factor],,0)</f>
        <v>0.61</v>
      </c>
      <c r="AM817">
        <f>IF(Table1820[[#This Row],[Good Student Discount]]="Yes",'Rate Book'!$D$126,1)</f>
        <v>1</v>
      </c>
      <c r="AN817">
        <f>IF(Table1820[[#This Row],[Good Driver Discount]]="Yes",'Rate Book'!$D$127,1)</f>
        <v>1</v>
      </c>
      <c r="AO817">
        <f>IF(Table1820[[#This Row],[Multi Policy Discount]]="Yes",'Rate Book'!$D$128,1)</f>
        <v>0.93</v>
      </c>
      <c r="AP817">
        <f>IF(Table1820[[#This Row],[Loyal Customer Discount]]="Yes",'Rate Book'!$D$129,1)</f>
        <v>1</v>
      </c>
      <c r="AQ817">
        <f>IF(Table1820[[#This Row],[Organization Discount]]="Yes",'Rate Book'!$D$130,1)</f>
        <v>0.97</v>
      </c>
      <c r="AR817" cm="1">
        <f t="array" ref="AR817">IF(Table1820[[#This Row],[Effective Date]]&gt;=RateChangeTable[Effective Date],RateChangeTable[Rate Change Factor],1)</f>
        <v>1.06</v>
      </c>
      <c r="AS817" s="10">
        <f>PRODUCT(Table1820[[#This Row],[Base Rate]:[Rate Change Factor]])</f>
        <v>3807.5394075389108</v>
      </c>
      <c r="AT817" s="9">
        <f>Table1820[[#This Row],[System-Generated Premium]]-Table1820[[#This Row],[Expected Premium]]</f>
        <v>-215.51940753891085</v>
      </c>
      <c r="AU817" t="str">
        <f>IF(Table1820[[#This Row],[Difference]]=0,"PASS","FAIL")</f>
        <v>FAIL</v>
      </c>
      <c r="AV817" s="9">
        <f>ABS(Table1820[[#This Row],[Difference]])</f>
        <v>215.51940753891085</v>
      </c>
      <c r="AW817" s="9" t="s">
        <v>1133</v>
      </c>
    </row>
    <row r="818" spans="1:49" x14ac:dyDescent="0.3">
      <c r="A818" t="s">
        <v>909</v>
      </c>
      <c r="B818" s="7">
        <v>45920</v>
      </c>
      <c r="C818" t="s">
        <v>70</v>
      </c>
      <c r="D818" t="s">
        <v>1101</v>
      </c>
      <c r="E818" s="3">
        <v>7</v>
      </c>
      <c r="F818" s="3">
        <v>1</v>
      </c>
      <c r="G818" t="s">
        <v>12</v>
      </c>
      <c r="H818" t="s">
        <v>1106</v>
      </c>
      <c r="I818" t="s">
        <v>26</v>
      </c>
      <c r="J818" t="s">
        <v>51</v>
      </c>
      <c r="K818" t="s">
        <v>10</v>
      </c>
      <c r="L818" t="s">
        <v>10</v>
      </c>
      <c r="M818" t="s">
        <v>10</v>
      </c>
      <c r="N818" t="s">
        <v>10</v>
      </c>
      <c r="O818" t="str">
        <f>INDEX(CoverageTable[Deductible Applies],MATCH(Table1820[[#This Row],[Coverage]],CoverageTable[Coverage],0))</f>
        <v>No</v>
      </c>
      <c r="P818" t="str">
        <f>INDEX(CoverageTable[Coverage Limit Applies],MATCH(Table1820[[#This Row],[Coverage]],CoverageTable[Coverage],0))</f>
        <v>Yes</v>
      </c>
      <c r="Q818" t="s">
        <v>10</v>
      </c>
      <c r="R818" t="s">
        <v>78</v>
      </c>
      <c r="S818" t="s">
        <v>10</v>
      </c>
      <c r="T818" t="s">
        <v>10</v>
      </c>
      <c r="U818" t="s">
        <v>10</v>
      </c>
      <c r="V818" t="s">
        <v>10</v>
      </c>
      <c r="W818" t="s">
        <v>10</v>
      </c>
      <c r="X818" s="11">
        <v>522.37008202301456</v>
      </c>
      <c r="Y818">
        <f>_xlfn.XLOOKUP(Table1820[[#This Row],[Coverage]],CoverageTable[Coverage],CoverageTable[Base Rate],,0)</f>
        <v>622</v>
      </c>
      <c r="Z818">
        <f>INDEX(Table16[Ageband Factor],MATCH(Table1820[[#This Row],[Ageband]],Table16[Ageband],0))</f>
        <v>1.1200000000000001</v>
      </c>
      <c r="AA818">
        <f>VLOOKUP(Table1820[[#This Row],[Years Driving]],Table1[],2)</f>
        <v>0.95</v>
      </c>
      <c r="AB818">
        <f>_xlfn.XLOOKUP(Table1820[[#This Row],[At Fault Accidents]],Table2[At Fault Accidents],Table2[At Fault Accident Factor],,0)</f>
        <v>1.34</v>
      </c>
      <c r="AC818">
        <f>_xlfn.XLOOKUP(Table1820[[#This Row],[Usage-Based Insurance]],Table3[Usage-Based Insurance],Table3[Usage-Based Insurance Discount],,0)</f>
        <v>0.8</v>
      </c>
      <c r="AD818">
        <f>_xlfn.XLOOKUP(Table1820[[#This Row],[Yearly Miles]],Table4[Yearly Miles],Table4[Yearly Miles Factor],,0)</f>
        <v>0.82</v>
      </c>
      <c r="AE818">
        <f>_xlfn.XLOOKUP(Table1820[[#This Row],[City/Zip Code]],Table5[City/Zip Code],Table5[City/Zip Code Factor],,0)</f>
        <v>1.1499999999999999</v>
      </c>
      <c r="AF818">
        <f>_xlfn.XLOOKUP(Table1820[[#This Row],[Vehicle Price]],Table6[Vehicle Price],Table6[Vehicle Price Factor])</f>
        <v>1.28</v>
      </c>
      <c r="AG818">
        <f>_xlfn.XLOOKUP(Table1820[[#This Row],[Exotic Car]],Table7[Exotic Car],Table7[Exotic Car Factor],,0)</f>
        <v>1</v>
      </c>
      <c r="AH818">
        <f>_xlfn.XLOOKUP(Table1820[[#This Row],[Difficult Parts]],Table8[Difficult Parts],Table8[Difficult Parts Factor],,0)</f>
        <v>1</v>
      </c>
      <c r="AI818">
        <f>_xlfn.XLOOKUP(Table1820[[#This Row],[High Theft Rate]],Table9[High Theft Rate],Table9[High Theft Rate Factor],,0)</f>
        <v>1</v>
      </c>
      <c r="AJ818">
        <f>_xlfn.XLOOKUP(Table1820[[#This Row],[Advanced Safety Features]],Table10[Advanced Safety Features],Table10[Advanced Safety Features Factor],,0)</f>
        <v>1</v>
      </c>
      <c r="AK818">
        <f>_xlfn.XLOOKUP(Table1820[[#This Row],[Deductible]],Table12[Deductible],Table12[Deductible Factor],,0)</f>
        <v>1</v>
      </c>
      <c r="AL818">
        <f>_xlfn.XLOOKUP(Table1820[[#This Row],[Coverage Limit]],Table13[Coverage Limit],Table13[Coverage Limit Factor],,0)</f>
        <v>0.61</v>
      </c>
      <c r="AM818">
        <f>IF(Table1820[[#This Row],[Good Student Discount]]="Yes",'Rate Book'!$D$126,1)</f>
        <v>1</v>
      </c>
      <c r="AN818">
        <f>IF(Table1820[[#This Row],[Good Driver Discount]]="Yes",'Rate Book'!$D$127,1)</f>
        <v>1</v>
      </c>
      <c r="AO818">
        <f>IF(Table1820[[#This Row],[Multi Policy Discount]]="Yes",'Rate Book'!$D$128,1)</f>
        <v>1</v>
      </c>
      <c r="AP818">
        <f>IF(Table1820[[#This Row],[Loyal Customer Discount]]="Yes",'Rate Book'!$D$129,1)</f>
        <v>1</v>
      </c>
      <c r="AQ818">
        <f>IF(Table1820[[#This Row],[Organization Discount]]="Yes",'Rate Book'!$D$130,1)</f>
        <v>1</v>
      </c>
      <c r="AR818" cm="1">
        <f t="array" ref="AR818">IF(Table1820[[#This Row],[Effective Date]]&gt;=RateChangeTable[Effective Date],RateChangeTable[Rate Change Factor],1)</f>
        <v>1</v>
      </c>
      <c r="AS818" s="10">
        <f>PRODUCT(Table1820[[#This Row],[Base Rate]:[Rate Change Factor]])</f>
        <v>522.37008202301456</v>
      </c>
      <c r="AT818" s="9">
        <f>Table1820[[#This Row],[System-Generated Premium]]-Table1820[[#This Row],[Expected Premium]]</f>
        <v>0</v>
      </c>
      <c r="AU818" t="str">
        <f>IF(Table1820[[#This Row],[Difference]]=0,"PASS","FAIL")</f>
        <v>PASS</v>
      </c>
      <c r="AV818" s="9">
        <f>ABS(Table1820[[#This Row],[Difference]])</f>
        <v>0</v>
      </c>
      <c r="AW818" s="9" t="s">
        <v>1136</v>
      </c>
    </row>
    <row r="819" spans="1:49" x14ac:dyDescent="0.3">
      <c r="A819" t="s">
        <v>910</v>
      </c>
      <c r="B819" s="7">
        <v>46084</v>
      </c>
      <c r="C819" t="s">
        <v>70</v>
      </c>
      <c r="D819" t="s">
        <v>1101</v>
      </c>
      <c r="E819" s="3">
        <v>2</v>
      </c>
      <c r="F819" s="3">
        <v>0</v>
      </c>
      <c r="G819" t="s">
        <v>12</v>
      </c>
      <c r="H819" t="s">
        <v>1109</v>
      </c>
      <c r="I819" t="s">
        <v>34</v>
      </c>
      <c r="J819" t="s">
        <v>50</v>
      </c>
      <c r="K819" t="s">
        <v>10</v>
      </c>
      <c r="L819" t="s">
        <v>10</v>
      </c>
      <c r="M819" t="s">
        <v>10</v>
      </c>
      <c r="N819" t="s">
        <v>57</v>
      </c>
      <c r="O819" t="str">
        <f>INDEX(CoverageTable[Deductible Applies],MATCH(Table1820[[#This Row],[Coverage]],CoverageTable[Coverage],0))</f>
        <v>No</v>
      </c>
      <c r="P819" t="str">
        <f>INDEX(CoverageTable[Coverage Limit Applies],MATCH(Table1820[[#This Row],[Coverage]],CoverageTable[Coverage],0))</f>
        <v>Yes</v>
      </c>
      <c r="Q819" t="s">
        <v>10</v>
      </c>
      <c r="R819" t="s">
        <v>79</v>
      </c>
      <c r="S819" t="s">
        <v>10</v>
      </c>
      <c r="T819" t="s">
        <v>57</v>
      </c>
      <c r="U819" t="s">
        <v>10</v>
      </c>
      <c r="V819" t="s">
        <v>10</v>
      </c>
      <c r="W819" t="s">
        <v>10</v>
      </c>
      <c r="X819" s="11">
        <v>933.81083480088535</v>
      </c>
      <c r="Y819">
        <f>_xlfn.XLOOKUP(Table1820[[#This Row],[Coverage]],CoverageTable[Coverage],CoverageTable[Base Rate],,0)</f>
        <v>622</v>
      </c>
      <c r="Z819">
        <f>INDEX(Table16[Ageband Factor],MATCH(Table1820[[#This Row],[Ageband]],Table16[Ageband],0))</f>
        <v>1.1200000000000001</v>
      </c>
      <c r="AA819">
        <f>VLOOKUP(Table1820[[#This Row],[Years Driving]],Table1[],2)</f>
        <v>1.41</v>
      </c>
      <c r="AB819">
        <f>_xlfn.XLOOKUP(Table1820[[#This Row],[At Fault Accidents]],Table2[At Fault Accidents],Table2[At Fault Accident Factor],,0)</f>
        <v>1</v>
      </c>
      <c r="AC819">
        <f>_xlfn.XLOOKUP(Table1820[[#This Row],[Usage-Based Insurance]],Table3[Usage-Based Insurance],Table3[Usage-Based Insurance Discount],,0)</f>
        <v>0.8</v>
      </c>
      <c r="AD819">
        <f>_xlfn.XLOOKUP(Table1820[[#This Row],[Yearly Miles]],Table4[Yearly Miles],Table4[Yearly Miles Factor],,0)</f>
        <v>1.18</v>
      </c>
      <c r="AE819">
        <f>_xlfn.XLOOKUP(Table1820[[#This Row],[City/Zip Code]],Table5[City/Zip Code],Table5[City/Zip Code Factor],,0)</f>
        <v>1.56</v>
      </c>
      <c r="AF819">
        <f>_xlfn.XLOOKUP(Table1820[[#This Row],[Vehicle Price]],Table6[Vehicle Price],Table6[Vehicle Price Factor])</f>
        <v>1.08</v>
      </c>
      <c r="AG819">
        <f>_xlfn.XLOOKUP(Table1820[[#This Row],[Exotic Car]],Table7[Exotic Car],Table7[Exotic Car Factor],,0)</f>
        <v>1</v>
      </c>
      <c r="AH819">
        <f>_xlfn.XLOOKUP(Table1820[[#This Row],[Difficult Parts]],Table8[Difficult Parts],Table8[Difficult Parts Factor],,0)</f>
        <v>1</v>
      </c>
      <c r="AI819">
        <f>_xlfn.XLOOKUP(Table1820[[#This Row],[High Theft Rate]],Table9[High Theft Rate],Table9[High Theft Rate Factor],,0)</f>
        <v>1</v>
      </c>
      <c r="AJ819">
        <f>_xlfn.XLOOKUP(Table1820[[#This Row],[Advanced Safety Features]],Table10[Advanced Safety Features],Table10[Advanced Safety Features Factor],,0)</f>
        <v>0.88</v>
      </c>
      <c r="AK819">
        <f>_xlfn.XLOOKUP(Table1820[[#This Row],[Deductible]],Table12[Deductible],Table12[Deductible Factor],,0)</f>
        <v>1</v>
      </c>
      <c r="AL819">
        <f>_xlfn.XLOOKUP(Table1820[[#This Row],[Coverage Limit]],Table13[Coverage Limit],Table13[Coverage Limit Factor],,0)</f>
        <v>0.72</v>
      </c>
      <c r="AM819">
        <f>IF(Table1820[[#This Row],[Good Student Discount]]="Yes",'Rate Book'!$D$126,1)</f>
        <v>1</v>
      </c>
      <c r="AN819">
        <f>IF(Table1820[[#This Row],[Good Driver Discount]]="Yes",'Rate Book'!$D$127,1)</f>
        <v>0.89</v>
      </c>
      <c r="AO819">
        <f>IF(Table1820[[#This Row],[Multi Policy Discount]]="Yes",'Rate Book'!$D$128,1)</f>
        <v>1</v>
      </c>
      <c r="AP819">
        <f>IF(Table1820[[#This Row],[Loyal Customer Discount]]="Yes",'Rate Book'!$D$129,1)</f>
        <v>1</v>
      </c>
      <c r="AQ819">
        <f>IF(Table1820[[#This Row],[Organization Discount]]="Yes",'Rate Book'!$D$130,1)</f>
        <v>1</v>
      </c>
      <c r="AR819" cm="1">
        <f t="array" ref="AR819">IF(Table1820[[#This Row],[Effective Date]]&gt;=RateChangeTable[Effective Date],RateChangeTable[Rate Change Factor],1)</f>
        <v>1.06</v>
      </c>
      <c r="AS819" s="10">
        <f>PRODUCT(Table1820[[#This Row],[Base Rate]:[Rate Change Factor]])</f>
        <v>933.81083480088535</v>
      </c>
      <c r="AT819" s="9">
        <f>Table1820[[#This Row],[System-Generated Premium]]-Table1820[[#This Row],[Expected Premium]]</f>
        <v>0</v>
      </c>
      <c r="AU819" t="str">
        <f>IF(Table1820[[#This Row],[Difference]]=0,"PASS","FAIL")</f>
        <v>PASS</v>
      </c>
      <c r="AV819" s="9">
        <f>ABS(Table1820[[#This Row],[Difference]])</f>
        <v>0</v>
      </c>
      <c r="AW819" s="9" t="s">
        <v>1136</v>
      </c>
    </row>
    <row r="820" spans="1:49" x14ac:dyDescent="0.3">
      <c r="A820" t="s">
        <v>911</v>
      </c>
      <c r="B820" s="7">
        <v>46051</v>
      </c>
      <c r="C820" t="s">
        <v>70</v>
      </c>
      <c r="D820" t="s">
        <v>1102</v>
      </c>
      <c r="E820" s="3">
        <v>7</v>
      </c>
      <c r="F820" s="3">
        <v>1</v>
      </c>
      <c r="G820" t="s">
        <v>10</v>
      </c>
      <c r="H820" t="s">
        <v>1108</v>
      </c>
      <c r="I820" t="s">
        <v>39</v>
      </c>
      <c r="J820" t="s">
        <v>54</v>
      </c>
      <c r="K820" t="s">
        <v>10</v>
      </c>
      <c r="L820" t="s">
        <v>10</v>
      </c>
      <c r="M820" t="s">
        <v>10</v>
      </c>
      <c r="N820" t="s">
        <v>10</v>
      </c>
      <c r="O820" t="str">
        <f>INDEX(CoverageTable[Deductible Applies],MATCH(Table1820[[#This Row],[Coverage]],CoverageTable[Coverage],0))</f>
        <v>No</v>
      </c>
      <c r="P820" t="str">
        <f>INDEX(CoverageTable[Coverage Limit Applies],MATCH(Table1820[[#This Row],[Coverage]],CoverageTable[Coverage],0))</f>
        <v>Yes</v>
      </c>
      <c r="Q820" t="s">
        <v>10</v>
      </c>
      <c r="R820" t="s">
        <v>78</v>
      </c>
      <c r="S820" t="s">
        <v>10</v>
      </c>
      <c r="T820" t="s">
        <v>10</v>
      </c>
      <c r="U820" t="s">
        <v>57</v>
      </c>
      <c r="V820" t="s">
        <v>57</v>
      </c>
      <c r="W820" t="s">
        <v>10</v>
      </c>
      <c r="X820" s="11">
        <v>1761.8732585292589</v>
      </c>
      <c r="Y820">
        <f>_xlfn.XLOOKUP(Table1820[[#This Row],[Coverage]],CoverageTable[Coverage],CoverageTable[Base Rate],,0)</f>
        <v>622</v>
      </c>
      <c r="Z820">
        <f>INDEX(Table16[Ageband Factor],MATCH(Table1820[[#This Row],[Ageband]],Table16[Ageband],0))</f>
        <v>1.27</v>
      </c>
      <c r="AA820">
        <f>VLOOKUP(Table1820[[#This Row],[Years Driving]],Table1[],2)</f>
        <v>0.95</v>
      </c>
      <c r="AB820">
        <f>_xlfn.XLOOKUP(Table1820[[#This Row],[At Fault Accidents]],Table2[At Fault Accidents],Table2[At Fault Accident Factor],,0)</f>
        <v>1.34</v>
      </c>
      <c r="AC820">
        <f>_xlfn.XLOOKUP(Table1820[[#This Row],[Usage-Based Insurance]],Table3[Usage-Based Insurance],Table3[Usage-Based Insurance Discount],,0)</f>
        <v>1</v>
      </c>
      <c r="AD820">
        <f>_xlfn.XLOOKUP(Table1820[[#This Row],[Yearly Miles]],Table4[Yearly Miles],Table4[Yearly Miles Factor],,0)</f>
        <v>1</v>
      </c>
      <c r="AE820">
        <f>_xlfn.XLOOKUP(Table1820[[#This Row],[City/Zip Code]],Table5[City/Zip Code],Table5[City/Zip Code Factor],,0)</f>
        <v>1.08</v>
      </c>
      <c r="AF820">
        <f>_xlfn.XLOOKUP(Table1820[[#This Row],[Vehicle Price]],Table6[Vehicle Price],Table6[Vehicle Price Factor])</f>
        <v>2.87</v>
      </c>
      <c r="AG820">
        <f>_xlfn.XLOOKUP(Table1820[[#This Row],[Exotic Car]],Table7[Exotic Car],Table7[Exotic Car Factor],,0)</f>
        <v>1</v>
      </c>
      <c r="AH820">
        <f>_xlfn.XLOOKUP(Table1820[[#This Row],[Difficult Parts]],Table8[Difficult Parts],Table8[Difficult Parts Factor],,0)</f>
        <v>1</v>
      </c>
      <c r="AI820">
        <f>_xlfn.XLOOKUP(Table1820[[#This Row],[High Theft Rate]],Table9[High Theft Rate],Table9[High Theft Rate Factor],,0)</f>
        <v>1</v>
      </c>
      <c r="AJ820">
        <f>_xlfn.XLOOKUP(Table1820[[#This Row],[Advanced Safety Features]],Table10[Advanced Safety Features],Table10[Advanced Safety Features Factor],,0)</f>
        <v>1</v>
      </c>
      <c r="AK820">
        <f>_xlfn.XLOOKUP(Table1820[[#This Row],[Deductible]],Table12[Deductible],Table12[Deductible Factor],,0)</f>
        <v>1</v>
      </c>
      <c r="AL820">
        <f>_xlfn.XLOOKUP(Table1820[[#This Row],[Coverage Limit]],Table13[Coverage Limit],Table13[Coverage Limit Factor],,0)</f>
        <v>0.61</v>
      </c>
      <c r="AM820">
        <f>IF(Table1820[[#This Row],[Good Student Discount]]="Yes",'Rate Book'!$D$126,1)</f>
        <v>1</v>
      </c>
      <c r="AN820">
        <f>IF(Table1820[[#This Row],[Good Driver Discount]]="Yes",'Rate Book'!$D$127,1)</f>
        <v>1</v>
      </c>
      <c r="AO820">
        <f>IF(Table1820[[#This Row],[Multi Policy Discount]]="Yes",'Rate Book'!$D$128,1)</f>
        <v>0.93</v>
      </c>
      <c r="AP820">
        <f>IF(Table1820[[#This Row],[Loyal Customer Discount]]="Yes",'Rate Book'!$D$129,1)</f>
        <v>0.94</v>
      </c>
      <c r="AQ820">
        <f>IF(Table1820[[#This Row],[Organization Discount]]="Yes",'Rate Book'!$D$130,1)</f>
        <v>1</v>
      </c>
      <c r="AR820" cm="1">
        <f t="array" ref="AR820">IF(Table1820[[#This Row],[Effective Date]]&gt;=RateChangeTable[Effective Date],RateChangeTable[Rate Change Factor],1)</f>
        <v>1.06</v>
      </c>
      <c r="AS820" s="10">
        <f>PRODUCT(Table1820[[#This Row],[Base Rate]:[Rate Change Factor]])</f>
        <v>1761.8732585292589</v>
      </c>
      <c r="AT820" s="9">
        <f>Table1820[[#This Row],[System-Generated Premium]]-Table1820[[#This Row],[Expected Premium]]</f>
        <v>0</v>
      </c>
      <c r="AU820" t="str">
        <f>IF(Table1820[[#This Row],[Difference]]=0,"PASS","FAIL")</f>
        <v>PASS</v>
      </c>
      <c r="AV820" s="9">
        <f>ABS(Table1820[[#This Row],[Difference]])</f>
        <v>0</v>
      </c>
      <c r="AW820" s="9" t="s">
        <v>1136</v>
      </c>
    </row>
    <row r="821" spans="1:49" x14ac:dyDescent="0.3">
      <c r="A821" t="s">
        <v>912</v>
      </c>
      <c r="B821" s="7">
        <v>46021</v>
      </c>
      <c r="C821" t="s">
        <v>74</v>
      </c>
      <c r="D821" t="s">
        <v>1100</v>
      </c>
      <c r="E821" s="3">
        <v>3</v>
      </c>
      <c r="F821" s="3">
        <v>3</v>
      </c>
      <c r="G821" t="s">
        <v>10</v>
      </c>
      <c r="H821" t="s">
        <v>1106</v>
      </c>
      <c r="I821" t="s">
        <v>29</v>
      </c>
      <c r="J821" t="s">
        <v>53</v>
      </c>
      <c r="K821" t="s">
        <v>10</v>
      </c>
      <c r="L821" t="s">
        <v>10</v>
      </c>
      <c r="M821" t="s">
        <v>10</v>
      </c>
      <c r="N821" t="s">
        <v>10</v>
      </c>
      <c r="O821" t="str">
        <f>INDEX(CoverageTable[Deductible Applies],MATCH(Table1820[[#This Row],[Coverage]],CoverageTable[Coverage],0))</f>
        <v>No</v>
      </c>
      <c r="P821" t="str">
        <f>INDEX(CoverageTable[Coverage Limit Applies],MATCH(Table1820[[#This Row],[Coverage]],CoverageTable[Coverage],0))</f>
        <v>Yes</v>
      </c>
      <c r="Q821" t="s">
        <v>10</v>
      </c>
      <c r="R821" t="s">
        <v>78</v>
      </c>
      <c r="S821" t="s">
        <v>10</v>
      </c>
      <c r="T821" t="s">
        <v>57</v>
      </c>
      <c r="U821" t="s">
        <v>10</v>
      </c>
      <c r="V821" t="s">
        <v>57</v>
      </c>
      <c r="W821" t="s">
        <v>10</v>
      </c>
      <c r="X821" s="11">
        <v>89.75078754041904</v>
      </c>
      <c r="Y821">
        <f>_xlfn.XLOOKUP(Table1820[[#This Row],[Coverage]],CoverageTable[Coverage],CoverageTable[Base Rate],,0)</f>
        <v>41</v>
      </c>
      <c r="Z821">
        <f>INDEX(Table16[Ageband Factor],MATCH(Table1820[[#This Row],[Ageband]],Table16[Ageband],0))</f>
        <v>1.07</v>
      </c>
      <c r="AA821">
        <f>VLOOKUP(Table1820[[#This Row],[Years Driving]],Table1[],2)</f>
        <v>1.22</v>
      </c>
      <c r="AB821">
        <f>_xlfn.XLOOKUP(Table1820[[#This Row],[At Fault Accidents]],Table2[At Fault Accidents],Table2[At Fault Accident Factor],,0)</f>
        <v>1.82</v>
      </c>
      <c r="AC821">
        <f>_xlfn.XLOOKUP(Table1820[[#This Row],[Usage-Based Insurance]],Table3[Usage-Based Insurance],Table3[Usage-Based Insurance Discount],,0)</f>
        <v>1</v>
      </c>
      <c r="AD821">
        <f>_xlfn.XLOOKUP(Table1820[[#This Row],[Yearly Miles]],Table4[Yearly Miles],Table4[Yearly Miles Factor],,0)</f>
        <v>0.82</v>
      </c>
      <c r="AE821">
        <f>_xlfn.XLOOKUP(Table1820[[#This Row],[City/Zip Code]],Table5[City/Zip Code],Table5[City/Zip Code Factor],,0)</f>
        <v>1.0900000000000001</v>
      </c>
      <c r="AF821">
        <f>_xlfn.XLOOKUP(Table1820[[#This Row],[Vehicle Price]],Table6[Vehicle Price],Table6[Vehicle Price Factor])</f>
        <v>2.02</v>
      </c>
      <c r="AG821">
        <f>_xlfn.XLOOKUP(Table1820[[#This Row],[Exotic Car]],Table7[Exotic Car],Table7[Exotic Car Factor],,0)</f>
        <v>1</v>
      </c>
      <c r="AH821">
        <f>_xlfn.XLOOKUP(Table1820[[#This Row],[Difficult Parts]],Table8[Difficult Parts],Table8[Difficult Parts Factor],,0)</f>
        <v>1</v>
      </c>
      <c r="AI821">
        <f>_xlfn.XLOOKUP(Table1820[[#This Row],[High Theft Rate]],Table9[High Theft Rate],Table9[High Theft Rate Factor],,0)</f>
        <v>1</v>
      </c>
      <c r="AJ821">
        <f>_xlfn.XLOOKUP(Table1820[[#This Row],[Advanced Safety Features]],Table10[Advanced Safety Features],Table10[Advanced Safety Features Factor],,0)</f>
        <v>1</v>
      </c>
      <c r="AK821">
        <f>_xlfn.XLOOKUP(Table1820[[#This Row],[Deductible]],Table12[Deductible],Table12[Deductible Factor],,0)</f>
        <v>1</v>
      </c>
      <c r="AL821">
        <f>_xlfn.XLOOKUP(Table1820[[#This Row],[Coverage Limit]],Table13[Coverage Limit],Table13[Coverage Limit Factor],,0)</f>
        <v>0.61</v>
      </c>
      <c r="AM821">
        <f>IF(Table1820[[#This Row],[Good Student Discount]]="Yes",'Rate Book'!$D$126,1)</f>
        <v>1</v>
      </c>
      <c r="AN821">
        <f>IF(Table1820[[#This Row],[Good Driver Discount]]="Yes",'Rate Book'!$D$127,1)</f>
        <v>0.89</v>
      </c>
      <c r="AO821">
        <f>IF(Table1820[[#This Row],[Multi Policy Discount]]="Yes",'Rate Book'!$D$128,1)</f>
        <v>1</v>
      </c>
      <c r="AP821">
        <f>IF(Table1820[[#This Row],[Loyal Customer Discount]]="Yes",'Rate Book'!$D$129,1)</f>
        <v>0.94</v>
      </c>
      <c r="AQ821">
        <f>IF(Table1820[[#This Row],[Organization Discount]]="Yes",'Rate Book'!$D$130,1)</f>
        <v>1</v>
      </c>
      <c r="AR821" cm="1">
        <f t="array" ref="AR821">IF(Table1820[[#This Row],[Effective Date]]&gt;=RateChangeTable[Effective Date],RateChangeTable[Rate Change Factor],1)</f>
        <v>1</v>
      </c>
      <c r="AS821" s="10">
        <f>PRODUCT(Table1820[[#This Row],[Base Rate]:[Rate Change Factor]])</f>
        <v>89.75078754041904</v>
      </c>
      <c r="AT821" s="9">
        <f>Table1820[[#This Row],[System-Generated Premium]]-Table1820[[#This Row],[Expected Premium]]</f>
        <v>0</v>
      </c>
      <c r="AU821" t="str">
        <f>IF(Table1820[[#This Row],[Difference]]=0,"PASS","FAIL")</f>
        <v>PASS</v>
      </c>
      <c r="AV821" s="9">
        <f>ABS(Table1820[[#This Row],[Difference]])</f>
        <v>0</v>
      </c>
      <c r="AW821" s="9" t="s">
        <v>1136</v>
      </c>
    </row>
    <row r="822" spans="1:49" x14ac:dyDescent="0.3">
      <c r="A822" t="s">
        <v>913</v>
      </c>
      <c r="B822" s="7">
        <v>46131</v>
      </c>
      <c r="C822" t="s">
        <v>70</v>
      </c>
      <c r="D822" t="s">
        <v>1101</v>
      </c>
      <c r="E822" s="3" t="s">
        <v>1103</v>
      </c>
      <c r="F822" s="3">
        <v>4</v>
      </c>
      <c r="G822" t="s">
        <v>13</v>
      </c>
      <c r="H822" t="s">
        <v>1108</v>
      </c>
      <c r="I822" t="s">
        <v>35</v>
      </c>
      <c r="J822" t="s">
        <v>50</v>
      </c>
      <c r="K822" t="s">
        <v>10</v>
      </c>
      <c r="L822" t="s">
        <v>10</v>
      </c>
      <c r="M822" t="s">
        <v>10</v>
      </c>
      <c r="N822" t="s">
        <v>10</v>
      </c>
      <c r="O822" t="str">
        <f>INDEX(CoverageTable[Deductible Applies],MATCH(Table1820[[#This Row],[Coverage]],CoverageTable[Coverage],0))</f>
        <v>No</v>
      </c>
      <c r="P822" t="str">
        <f>INDEX(CoverageTable[Coverage Limit Applies],MATCH(Table1820[[#This Row],[Coverage]],CoverageTable[Coverage],0))</f>
        <v>Yes</v>
      </c>
      <c r="Q822" t="s">
        <v>10</v>
      </c>
      <c r="R822" t="s">
        <v>78</v>
      </c>
      <c r="S822" t="s">
        <v>57</v>
      </c>
      <c r="T822" t="s">
        <v>10</v>
      </c>
      <c r="U822" t="s">
        <v>10</v>
      </c>
      <c r="V822" t="s">
        <v>10</v>
      </c>
      <c r="W822" t="s">
        <v>10</v>
      </c>
      <c r="X822" s="11">
        <v>642.40051326723051</v>
      </c>
      <c r="Y822">
        <f>_xlfn.XLOOKUP(Table1820[[#This Row],[Coverage]],CoverageTable[Coverage],CoverageTable[Base Rate],,0)</f>
        <v>622</v>
      </c>
      <c r="Z822">
        <f>INDEX(Table16[Ageband Factor],MATCH(Table1820[[#This Row],[Ageband]],Table16[Ageband],0))</f>
        <v>1.1200000000000001</v>
      </c>
      <c r="AA822">
        <f>VLOOKUP(Table1820[[#This Row],[Years Driving]],Table1[],2)</f>
        <v>0.93</v>
      </c>
      <c r="AB822">
        <f>_xlfn.XLOOKUP(Table1820[[#This Row],[At Fault Accidents]],Table2[At Fault Accidents],Table2[At Fault Accident Factor],,0)</f>
        <v>2.12</v>
      </c>
      <c r="AC822">
        <f>_xlfn.XLOOKUP(Table1820[[#This Row],[Usage-Based Insurance]],Table3[Usage-Based Insurance],Table3[Usage-Based Insurance Discount],,0)</f>
        <v>0.65</v>
      </c>
      <c r="AD822">
        <f>_xlfn.XLOOKUP(Table1820[[#This Row],[Yearly Miles]],Table4[Yearly Miles],Table4[Yearly Miles Factor],,0)</f>
        <v>1</v>
      </c>
      <c r="AE822">
        <f>_xlfn.XLOOKUP(Table1820[[#This Row],[City/Zip Code]],Table5[City/Zip Code],Table5[City/Zip Code Factor],,0)</f>
        <v>1.1200000000000001</v>
      </c>
      <c r="AF822">
        <f>_xlfn.XLOOKUP(Table1820[[#This Row],[Vehicle Price]],Table6[Vehicle Price],Table6[Vehicle Price Factor])</f>
        <v>1.08</v>
      </c>
      <c r="AG822">
        <f>_xlfn.XLOOKUP(Table1820[[#This Row],[Exotic Car]],Table7[Exotic Car],Table7[Exotic Car Factor],,0)</f>
        <v>1</v>
      </c>
      <c r="AH822">
        <f>_xlfn.XLOOKUP(Table1820[[#This Row],[Difficult Parts]],Table8[Difficult Parts],Table8[Difficult Parts Factor],,0)</f>
        <v>1</v>
      </c>
      <c r="AI822">
        <f>_xlfn.XLOOKUP(Table1820[[#This Row],[High Theft Rate]],Table9[High Theft Rate],Table9[High Theft Rate Factor],,0)</f>
        <v>1</v>
      </c>
      <c r="AJ822">
        <f>_xlfn.XLOOKUP(Table1820[[#This Row],[Advanced Safety Features]],Table10[Advanced Safety Features],Table10[Advanced Safety Features Factor],,0)</f>
        <v>1</v>
      </c>
      <c r="AK822">
        <f>_xlfn.XLOOKUP(Table1820[[#This Row],[Deductible]],Table12[Deductible],Table12[Deductible Factor],,0)</f>
        <v>1</v>
      </c>
      <c r="AL822">
        <f>_xlfn.XLOOKUP(Table1820[[#This Row],[Coverage Limit]],Table13[Coverage Limit],Table13[Coverage Limit Factor],,0)</f>
        <v>0.61</v>
      </c>
      <c r="AM822">
        <f>IF(Table1820[[#This Row],[Good Student Discount]]="Yes",'Rate Book'!$D$126,1)</f>
        <v>0.92</v>
      </c>
      <c r="AN822">
        <f>IF(Table1820[[#This Row],[Good Driver Discount]]="Yes",'Rate Book'!$D$127,1)</f>
        <v>1</v>
      </c>
      <c r="AO822">
        <f>IF(Table1820[[#This Row],[Multi Policy Discount]]="Yes",'Rate Book'!$D$128,1)</f>
        <v>1</v>
      </c>
      <c r="AP822">
        <f>IF(Table1820[[#This Row],[Loyal Customer Discount]]="Yes",'Rate Book'!$D$129,1)</f>
        <v>1</v>
      </c>
      <c r="AQ822">
        <f>IF(Table1820[[#This Row],[Organization Discount]]="Yes",'Rate Book'!$D$130,1)</f>
        <v>1</v>
      </c>
      <c r="AR822" cm="1">
        <f t="array" ref="AR822">IF(Table1820[[#This Row],[Effective Date]]&gt;=RateChangeTable[Effective Date],RateChangeTable[Rate Change Factor],1)</f>
        <v>1.06</v>
      </c>
      <c r="AS822" s="10">
        <f>PRODUCT(Table1820[[#This Row],[Base Rate]:[Rate Change Factor]])</f>
        <v>642.40051326723051</v>
      </c>
      <c r="AT822" s="9">
        <f>Table1820[[#This Row],[System-Generated Premium]]-Table1820[[#This Row],[Expected Premium]]</f>
        <v>0</v>
      </c>
      <c r="AU822" t="str">
        <f>IF(Table1820[[#This Row],[Difference]]=0,"PASS","FAIL")</f>
        <v>PASS</v>
      </c>
      <c r="AV822" s="9">
        <f>ABS(Table1820[[#This Row],[Difference]])</f>
        <v>0</v>
      </c>
      <c r="AW822" s="9" t="s">
        <v>1136</v>
      </c>
    </row>
    <row r="823" spans="1:49" x14ac:dyDescent="0.3">
      <c r="A823" t="s">
        <v>914</v>
      </c>
      <c r="B823" s="7">
        <v>45968</v>
      </c>
      <c r="C823" t="s">
        <v>73</v>
      </c>
      <c r="D823" t="s">
        <v>1098</v>
      </c>
      <c r="E823" s="3">
        <v>3</v>
      </c>
      <c r="F823" s="3">
        <v>0</v>
      </c>
      <c r="G823" t="s">
        <v>12</v>
      </c>
      <c r="H823" t="s">
        <v>1110</v>
      </c>
      <c r="I823" t="s">
        <v>43</v>
      </c>
      <c r="J823" t="s">
        <v>51</v>
      </c>
      <c r="K823" t="s">
        <v>10</v>
      </c>
      <c r="L823" t="s">
        <v>10</v>
      </c>
      <c r="M823" t="s">
        <v>10</v>
      </c>
      <c r="N823" t="s">
        <v>10</v>
      </c>
      <c r="O823" t="str">
        <f>INDEX(CoverageTable[Deductible Applies],MATCH(Table1820[[#This Row],[Coverage]],CoverageTable[Coverage],0))</f>
        <v>No</v>
      </c>
      <c r="P823" t="str">
        <f>INDEX(CoverageTable[Coverage Limit Applies],MATCH(Table1820[[#This Row],[Coverage]],CoverageTable[Coverage],0))</f>
        <v>Yes</v>
      </c>
      <c r="Q823" t="s">
        <v>10</v>
      </c>
      <c r="R823" t="s">
        <v>78</v>
      </c>
      <c r="S823" t="s">
        <v>10</v>
      </c>
      <c r="T823" t="s">
        <v>57</v>
      </c>
      <c r="U823" t="s">
        <v>10</v>
      </c>
      <c r="V823" t="s">
        <v>10</v>
      </c>
      <c r="W823" t="s">
        <v>10</v>
      </c>
      <c r="X823" s="11">
        <v>100.58486701422183</v>
      </c>
      <c r="Y823">
        <f>_xlfn.XLOOKUP(Table1820[[#This Row],[Coverage]],CoverageTable[Coverage],CoverageTable[Base Rate],,0)</f>
        <v>78</v>
      </c>
      <c r="Z823">
        <f>INDEX(Table16[Ageband Factor],MATCH(Table1820[[#This Row],[Ageband]],Table16[Ageband],0))</f>
        <v>1.23</v>
      </c>
      <c r="AA823">
        <f>VLOOKUP(Table1820[[#This Row],[Years Driving]],Table1[],2)</f>
        <v>1.22</v>
      </c>
      <c r="AB823">
        <f>_xlfn.XLOOKUP(Table1820[[#This Row],[At Fault Accidents]],Table2[At Fault Accidents],Table2[At Fault Accident Factor],,0)</f>
        <v>1</v>
      </c>
      <c r="AC823">
        <f>_xlfn.XLOOKUP(Table1820[[#This Row],[Usage-Based Insurance]],Table3[Usage-Based Insurance],Table3[Usage-Based Insurance Discount],,0)</f>
        <v>0.8</v>
      </c>
      <c r="AD823">
        <f>_xlfn.XLOOKUP(Table1820[[#This Row],[Yearly Miles]],Table4[Yearly Miles],Table4[Yearly Miles Factor],,0)</f>
        <v>1.31</v>
      </c>
      <c r="AE823">
        <f>_xlfn.XLOOKUP(Table1820[[#This Row],[City/Zip Code]],Table5[City/Zip Code],Table5[City/Zip Code Factor],,0)</f>
        <v>1.18</v>
      </c>
      <c r="AF823">
        <f>_xlfn.XLOOKUP(Table1820[[#This Row],[Vehicle Price]],Table6[Vehicle Price],Table6[Vehicle Price Factor])</f>
        <v>1.28</v>
      </c>
      <c r="AG823">
        <f>_xlfn.XLOOKUP(Table1820[[#This Row],[Exotic Car]],Table7[Exotic Car],Table7[Exotic Car Factor],,0)</f>
        <v>1</v>
      </c>
      <c r="AH823">
        <f>_xlfn.XLOOKUP(Table1820[[#This Row],[Difficult Parts]],Table8[Difficult Parts],Table8[Difficult Parts Factor],,0)</f>
        <v>1</v>
      </c>
      <c r="AI823">
        <f>_xlfn.XLOOKUP(Table1820[[#This Row],[High Theft Rate]],Table9[High Theft Rate],Table9[High Theft Rate Factor],,0)</f>
        <v>1</v>
      </c>
      <c r="AJ823">
        <f>_xlfn.XLOOKUP(Table1820[[#This Row],[Advanced Safety Features]],Table10[Advanced Safety Features],Table10[Advanced Safety Features Factor],,0)</f>
        <v>1</v>
      </c>
      <c r="AK823">
        <f>_xlfn.XLOOKUP(Table1820[[#This Row],[Deductible]],Table12[Deductible],Table12[Deductible Factor],,0)</f>
        <v>1</v>
      </c>
      <c r="AL823">
        <f>_xlfn.XLOOKUP(Table1820[[#This Row],[Coverage Limit]],Table13[Coverage Limit],Table13[Coverage Limit Factor],,0)</f>
        <v>0.61</v>
      </c>
      <c r="AM823">
        <f>IF(Table1820[[#This Row],[Good Student Discount]]="Yes",'Rate Book'!$D$126,1)</f>
        <v>1</v>
      </c>
      <c r="AN823">
        <f>IF(Table1820[[#This Row],[Good Driver Discount]]="Yes",'Rate Book'!$D$127,1)</f>
        <v>0.89</v>
      </c>
      <c r="AO823">
        <f>IF(Table1820[[#This Row],[Multi Policy Discount]]="Yes",'Rate Book'!$D$128,1)</f>
        <v>1</v>
      </c>
      <c r="AP823">
        <f>IF(Table1820[[#This Row],[Loyal Customer Discount]]="Yes",'Rate Book'!$D$129,1)</f>
        <v>1</v>
      </c>
      <c r="AQ823">
        <f>IF(Table1820[[#This Row],[Organization Discount]]="Yes",'Rate Book'!$D$130,1)</f>
        <v>1</v>
      </c>
      <c r="AR823" cm="1">
        <f t="array" ref="AR823">IF(Table1820[[#This Row],[Effective Date]]&gt;=RateChangeTable[Effective Date],RateChangeTable[Rate Change Factor],1)</f>
        <v>1</v>
      </c>
      <c r="AS823" s="10">
        <f>PRODUCT(Table1820[[#This Row],[Base Rate]:[Rate Change Factor]])</f>
        <v>100.58486701422183</v>
      </c>
      <c r="AT823" s="9">
        <f>Table1820[[#This Row],[System-Generated Premium]]-Table1820[[#This Row],[Expected Premium]]</f>
        <v>0</v>
      </c>
      <c r="AU823" t="str">
        <f>IF(Table1820[[#This Row],[Difference]]=0,"PASS","FAIL")</f>
        <v>PASS</v>
      </c>
      <c r="AV823" s="9">
        <f>ABS(Table1820[[#This Row],[Difference]])</f>
        <v>0</v>
      </c>
      <c r="AW823" s="9" t="s">
        <v>1136</v>
      </c>
    </row>
    <row r="824" spans="1:49" x14ac:dyDescent="0.3">
      <c r="A824" t="s">
        <v>915</v>
      </c>
      <c r="B824" s="7">
        <v>45895</v>
      </c>
      <c r="C824" t="s">
        <v>74</v>
      </c>
      <c r="D824" t="s">
        <v>1097</v>
      </c>
      <c r="E824" s="3" t="s">
        <v>1103</v>
      </c>
      <c r="F824" s="3">
        <v>3</v>
      </c>
      <c r="G824" t="s">
        <v>11</v>
      </c>
      <c r="H824" t="s">
        <v>1109</v>
      </c>
      <c r="I824" t="s">
        <v>44</v>
      </c>
      <c r="J824" t="s">
        <v>52</v>
      </c>
      <c r="K824" t="s">
        <v>10</v>
      </c>
      <c r="L824" t="s">
        <v>10</v>
      </c>
      <c r="M824" t="s">
        <v>10</v>
      </c>
      <c r="N824" t="s">
        <v>57</v>
      </c>
      <c r="O824" t="str">
        <f>INDEX(CoverageTable[Deductible Applies],MATCH(Table1820[[#This Row],[Coverage]],CoverageTable[Coverage],0))</f>
        <v>No</v>
      </c>
      <c r="P824" t="str">
        <f>INDEX(CoverageTable[Coverage Limit Applies],MATCH(Table1820[[#This Row],[Coverage]],CoverageTable[Coverage],0))</f>
        <v>Yes</v>
      </c>
      <c r="Q824" t="s">
        <v>10</v>
      </c>
      <c r="R824" t="s">
        <v>78</v>
      </c>
      <c r="S824" t="s">
        <v>10</v>
      </c>
      <c r="T824" t="s">
        <v>57</v>
      </c>
      <c r="U824" t="s">
        <v>57</v>
      </c>
      <c r="V824" t="s">
        <v>10</v>
      </c>
      <c r="W824" t="s">
        <v>57</v>
      </c>
      <c r="X824" s="11">
        <v>80.599542250705227</v>
      </c>
      <c r="Y824">
        <f>_xlfn.XLOOKUP(Table1820[[#This Row],[Coverage]],CoverageTable[Coverage],CoverageTable[Base Rate],,0)</f>
        <v>41</v>
      </c>
      <c r="Z824">
        <f>INDEX(Table16[Ageband Factor],MATCH(Table1820[[#This Row],[Ageband]],Table16[Ageband],0))</f>
        <v>1.32</v>
      </c>
      <c r="AA824">
        <f>VLOOKUP(Table1820[[#This Row],[Years Driving]],Table1[],2)</f>
        <v>0.93</v>
      </c>
      <c r="AB824">
        <f>_xlfn.XLOOKUP(Table1820[[#This Row],[At Fault Accidents]],Table2[At Fault Accidents],Table2[At Fault Accident Factor],,0)</f>
        <v>1.82</v>
      </c>
      <c r="AC824">
        <f>_xlfn.XLOOKUP(Table1820[[#This Row],[Usage-Based Insurance]],Table3[Usage-Based Insurance],Table3[Usage-Based Insurance Discount],,0)</f>
        <v>0.95</v>
      </c>
      <c r="AD824">
        <f>_xlfn.XLOOKUP(Table1820[[#This Row],[Yearly Miles]],Table4[Yearly Miles],Table4[Yearly Miles Factor],,0)</f>
        <v>1.18</v>
      </c>
      <c r="AE824">
        <f>_xlfn.XLOOKUP(Table1820[[#This Row],[City/Zip Code]],Table5[City/Zip Code],Table5[City/Zip Code Factor],,0)</f>
        <v>1.1599999999999999</v>
      </c>
      <c r="AF824">
        <f>_xlfn.XLOOKUP(Table1820[[#This Row],[Vehicle Price]],Table6[Vehicle Price],Table6[Vehicle Price Factor])</f>
        <v>1.57</v>
      </c>
      <c r="AG824">
        <f>_xlfn.XLOOKUP(Table1820[[#This Row],[Exotic Car]],Table7[Exotic Car],Table7[Exotic Car Factor],,0)</f>
        <v>1</v>
      </c>
      <c r="AH824">
        <f>_xlfn.XLOOKUP(Table1820[[#This Row],[Difficult Parts]],Table8[Difficult Parts],Table8[Difficult Parts Factor],,0)</f>
        <v>1</v>
      </c>
      <c r="AI824">
        <f>_xlfn.XLOOKUP(Table1820[[#This Row],[High Theft Rate]],Table9[High Theft Rate],Table9[High Theft Rate Factor],,0)</f>
        <v>1</v>
      </c>
      <c r="AJ824">
        <f>_xlfn.XLOOKUP(Table1820[[#This Row],[Advanced Safety Features]],Table10[Advanced Safety Features],Table10[Advanced Safety Features Factor],,0)</f>
        <v>0.88</v>
      </c>
      <c r="AK824">
        <f>_xlfn.XLOOKUP(Table1820[[#This Row],[Deductible]],Table12[Deductible],Table12[Deductible Factor],,0)</f>
        <v>1</v>
      </c>
      <c r="AL824">
        <f>_xlfn.XLOOKUP(Table1820[[#This Row],[Coverage Limit]],Table13[Coverage Limit],Table13[Coverage Limit Factor],,0)</f>
        <v>0.61</v>
      </c>
      <c r="AM824">
        <f>IF(Table1820[[#This Row],[Good Student Discount]]="Yes",'Rate Book'!$D$126,1)</f>
        <v>1</v>
      </c>
      <c r="AN824">
        <f>IF(Table1820[[#This Row],[Good Driver Discount]]="Yes",'Rate Book'!$D$127,1)</f>
        <v>0.89</v>
      </c>
      <c r="AO824">
        <f>IF(Table1820[[#This Row],[Multi Policy Discount]]="Yes",'Rate Book'!$D$128,1)</f>
        <v>0.93</v>
      </c>
      <c r="AP824">
        <f>IF(Table1820[[#This Row],[Loyal Customer Discount]]="Yes",'Rate Book'!$D$129,1)</f>
        <v>1</v>
      </c>
      <c r="AQ824">
        <f>IF(Table1820[[#This Row],[Organization Discount]]="Yes",'Rate Book'!$D$130,1)</f>
        <v>0.97</v>
      </c>
      <c r="AR824" cm="1">
        <f t="array" ref="AR824">IF(Table1820[[#This Row],[Effective Date]]&gt;=RateChangeTable[Effective Date],RateChangeTable[Rate Change Factor],1)</f>
        <v>1</v>
      </c>
      <c r="AS824" s="10">
        <f>PRODUCT(Table1820[[#This Row],[Base Rate]:[Rate Change Factor]])</f>
        <v>80.599542250705227</v>
      </c>
      <c r="AT824" s="9">
        <f>Table1820[[#This Row],[System-Generated Premium]]-Table1820[[#This Row],[Expected Premium]]</f>
        <v>0</v>
      </c>
      <c r="AU824" t="str">
        <f>IF(Table1820[[#This Row],[Difference]]=0,"PASS","FAIL")</f>
        <v>PASS</v>
      </c>
      <c r="AV824" s="9">
        <f>ABS(Table1820[[#This Row],[Difference]])</f>
        <v>0</v>
      </c>
      <c r="AW824" s="9" t="s">
        <v>1136</v>
      </c>
    </row>
    <row r="825" spans="1:49" x14ac:dyDescent="0.3">
      <c r="A825" t="s">
        <v>916</v>
      </c>
      <c r="B825" s="7">
        <v>46043</v>
      </c>
      <c r="C825" t="s">
        <v>72</v>
      </c>
      <c r="D825" t="s">
        <v>1100</v>
      </c>
      <c r="E825" s="3">
        <v>7</v>
      </c>
      <c r="F825" s="3" t="s">
        <v>7</v>
      </c>
      <c r="G825" t="s">
        <v>13</v>
      </c>
      <c r="H825" t="s">
        <v>1109</v>
      </c>
      <c r="I825" t="s">
        <v>24</v>
      </c>
      <c r="J825" t="s">
        <v>52</v>
      </c>
      <c r="K825" t="s">
        <v>10</v>
      </c>
      <c r="L825" t="s">
        <v>10</v>
      </c>
      <c r="M825" t="s">
        <v>10</v>
      </c>
      <c r="N825" t="s">
        <v>10</v>
      </c>
      <c r="O825" t="str">
        <f>INDEX(CoverageTable[Deductible Applies],MATCH(Table1820[[#This Row],[Coverage]],CoverageTable[Coverage],0))</f>
        <v>Yes</v>
      </c>
      <c r="P825" t="str">
        <f>INDEX(CoverageTable[Coverage Limit Applies],MATCH(Table1820[[#This Row],[Coverage]],CoverageTable[Coverage],0))</f>
        <v>No</v>
      </c>
      <c r="Q825" t="s">
        <v>78</v>
      </c>
      <c r="R825" t="s">
        <v>10</v>
      </c>
      <c r="S825" t="s">
        <v>10</v>
      </c>
      <c r="T825" t="s">
        <v>10</v>
      </c>
      <c r="U825" t="s">
        <v>10</v>
      </c>
      <c r="V825" t="s">
        <v>57</v>
      </c>
      <c r="W825" t="s">
        <v>10</v>
      </c>
      <c r="X825" s="11">
        <v>412.08708946580072</v>
      </c>
      <c r="Y825">
        <f>_xlfn.XLOOKUP(Table1820[[#This Row],[Coverage]],CoverageTable[Coverage],CoverageTable[Base Rate],,0)</f>
        <v>121</v>
      </c>
      <c r="Z825">
        <f>INDEX(Table16[Ageband Factor],MATCH(Table1820[[#This Row],[Ageband]],Table16[Ageband],0))</f>
        <v>1.07</v>
      </c>
      <c r="AA825">
        <f>VLOOKUP(Table1820[[#This Row],[Years Driving]],Table1[],2)</f>
        <v>0.95</v>
      </c>
      <c r="AB825">
        <f>_xlfn.XLOOKUP(Table1820[[#This Row],[At Fault Accidents]],Table2[At Fault Accidents],Table2[At Fault Accident Factor],,0)</f>
        <v>2.4700000000000002</v>
      </c>
      <c r="AC825">
        <f>_xlfn.XLOOKUP(Table1820[[#This Row],[Usage-Based Insurance]],Table3[Usage-Based Insurance],Table3[Usage-Based Insurance Discount],,0)</f>
        <v>0.65</v>
      </c>
      <c r="AD825">
        <f>_xlfn.XLOOKUP(Table1820[[#This Row],[Yearly Miles]],Table4[Yearly Miles],Table4[Yearly Miles Factor],,0)</f>
        <v>1.18</v>
      </c>
      <c r="AE825">
        <f>_xlfn.XLOOKUP(Table1820[[#This Row],[City/Zip Code]],Table5[City/Zip Code],Table5[City/Zip Code Factor],,0)</f>
        <v>1.19</v>
      </c>
      <c r="AF825">
        <f>_xlfn.XLOOKUP(Table1820[[#This Row],[Vehicle Price]],Table6[Vehicle Price],Table6[Vehicle Price Factor])</f>
        <v>1.57</v>
      </c>
      <c r="AG825">
        <f>_xlfn.XLOOKUP(Table1820[[#This Row],[Exotic Car]],Table7[Exotic Car],Table7[Exotic Car Factor],,0)</f>
        <v>1</v>
      </c>
      <c r="AH825">
        <f>_xlfn.XLOOKUP(Table1820[[#This Row],[Difficult Parts]],Table8[Difficult Parts],Table8[Difficult Parts Factor],,0)</f>
        <v>1</v>
      </c>
      <c r="AI825">
        <f>_xlfn.XLOOKUP(Table1820[[#This Row],[High Theft Rate]],Table9[High Theft Rate],Table9[High Theft Rate Factor],,0)</f>
        <v>1</v>
      </c>
      <c r="AJ825">
        <f>_xlfn.XLOOKUP(Table1820[[#This Row],[Advanced Safety Features]],Table10[Advanced Safety Features],Table10[Advanced Safety Features Factor],,0)</f>
        <v>1</v>
      </c>
      <c r="AK825">
        <f>_xlfn.XLOOKUP(Table1820[[#This Row],[Deductible]],Table12[Deductible],Table12[Deductible Factor],,0)</f>
        <v>0.95</v>
      </c>
      <c r="AL825">
        <f>_xlfn.XLOOKUP(Table1820[[#This Row],[Coverage Limit]],Table13[Coverage Limit],Table13[Coverage Limit Factor],,0)</f>
        <v>1</v>
      </c>
      <c r="AM825">
        <f>IF(Table1820[[#This Row],[Good Student Discount]]="Yes",'Rate Book'!$D$126,1)</f>
        <v>1</v>
      </c>
      <c r="AN825">
        <f>IF(Table1820[[#This Row],[Good Driver Discount]]="Yes",'Rate Book'!$D$127,1)</f>
        <v>1</v>
      </c>
      <c r="AO825">
        <f>IF(Table1820[[#This Row],[Multi Policy Discount]]="Yes",'Rate Book'!$D$128,1)</f>
        <v>1</v>
      </c>
      <c r="AP825">
        <f>IF(Table1820[[#This Row],[Loyal Customer Discount]]="Yes",'Rate Book'!$D$129,1)</f>
        <v>0.94</v>
      </c>
      <c r="AQ825">
        <f>IF(Table1820[[#This Row],[Organization Discount]]="Yes",'Rate Book'!$D$130,1)</f>
        <v>1</v>
      </c>
      <c r="AR825" cm="1">
        <f t="array" ref="AR825">IF(Table1820[[#This Row],[Effective Date]]&gt;=RateChangeTable[Effective Date],RateChangeTable[Rate Change Factor],1)</f>
        <v>1.06</v>
      </c>
      <c r="AS825" s="10">
        <f>PRODUCT(Table1820[[#This Row],[Base Rate]:[Rate Change Factor]])</f>
        <v>412.08708946580072</v>
      </c>
      <c r="AT825" s="9">
        <f>Table1820[[#This Row],[System-Generated Premium]]-Table1820[[#This Row],[Expected Premium]]</f>
        <v>0</v>
      </c>
      <c r="AU825" t="str">
        <f>IF(Table1820[[#This Row],[Difference]]=0,"PASS","FAIL")</f>
        <v>PASS</v>
      </c>
      <c r="AV825" s="9">
        <f>ABS(Table1820[[#This Row],[Difference]])</f>
        <v>0</v>
      </c>
      <c r="AW825" s="9" t="s">
        <v>1136</v>
      </c>
    </row>
    <row r="826" spans="1:49" x14ac:dyDescent="0.3">
      <c r="A826" t="s">
        <v>917</v>
      </c>
      <c r="B826" s="7">
        <v>46010</v>
      </c>
      <c r="C826" t="s">
        <v>71</v>
      </c>
      <c r="D826" t="s">
        <v>1100</v>
      </c>
      <c r="E826" s="3" t="s">
        <v>1103</v>
      </c>
      <c r="F826" s="3">
        <v>3</v>
      </c>
      <c r="G826" t="s">
        <v>10</v>
      </c>
      <c r="H826" t="s">
        <v>1110</v>
      </c>
      <c r="I826" t="s">
        <v>30</v>
      </c>
      <c r="J826" t="s">
        <v>54</v>
      </c>
      <c r="K826" t="s">
        <v>10</v>
      </c>
      <c r="L826" t="s">
        <v>10</v>
      </c>
      <c r="M826" t="s">
        <v>57</v>
      </c>
      <c r="N826" t="s">
        <v>10</v>
      </c>
      <c r="O826" t="str">
        <f>INDEX(CoverageTable[Deductible Applies],MATCH(Table1820[[#This Row],[Coverage]],CoverageTable[Coverage],0))</f>
        <v>Yes</v>
      </c>
      <c r="P826" t="str">
        <f>INDEX(CoverageTable[Coverage Limit Applies],MATCH(Table1820[[#This Row],[Coverage]],CoverageTable[Coverage],0))</f>
        <v>No</v>
      </c>
      <c r="Q826" t="s">
        <v>79</v>
      </c>
      <c r="R826" t="s">
        <v>10</v>
      </c>
      <c r="S826" t="s">
        <v>10</v>
      </c>
      <c r="T826" t="s">
        <v>57</v>
      </c>
      <c r="U826" t="s">
        <v>10</v>
      </c>
      <c r="V826" t="s">
        <v>57</v>
      </c>
      <c r="W826" t="s">
        <v>10</v>
      </c>
      <c r="X826" s="11">
        <v>2564.7486856252626</v>
      </c>
      <c r="Y826">
        <f>_xlfn.XLOOKUP(Table1820[[#This Row],[Coverage]],CoverageTable[Coverage],CoverageTable[Base Rate],,0)</f>
        <v>453</v>
      </c>
      <c r="Z826">
        <f>INDEX(Table16[Ageband Factor],MATCH(Table1820[[#This Row],[Ageband]],Table16[Ageband],0))</f>
        <v>1.07</v>
      </c>
      <c r="AA826">
        <f>VLOOKUP(Table1820[[#This Row],[Years Driving]],Table1[],2)</f>
        <v>0.93</v>
      </c>
      <c r="AB826">
        <f>_xlfn.XLOOKUP(Table1820[[#This Row],[At Fault Accidents]],Table2[At Fault Accidents],Table2[At Fault Accident Factor],,0)</f>
        <v>1.82</v>
      </c>
      <c r="AC826">
        <f>_xlfn.XLOOKUP(Table1820[[#This Row],[Usage-Based Insurance]],Table3[Usage-Based Insurance],Table3[Usage-Based Insurance Discount],,0)</f>
        <v>1</v>
      </c>
      <c r="AD826">
        <f>_xlfn.XLOOKUP(Table1820[[#This Row],[Yearly Miles]],Table4[Yearly Miles],Table4[Yearly Miles Factor],,0)</f>
        <v>1.31</v>
      </c>
      <c r="AE826">
        <f>_xlfn.XLOOKUP(Table1820[[#This Row],[City/Zip Code]],Table5[City/Zip Code],Table5[City/Zip Code Factor],,0)</f>
        <v>1.02</v>
      </c>
      <c r="AF826">
        <f>_xlfn.XLOOKUP(Table1820[[#This Row],[Vehicle Price]],Table6[Vehicle Price],Table6[Vehicle Price Factor])</f>
        <v>2.87</v>
      </c>
      <c r="AG826">
        <f>_xlfn.XLOOKUP(Table1820[[#This Row],[Exotic Car]],Table7[Exotic Car],Table7[Exotic Car Factor],,0)</f>
        <v>1</v>
      </c>
      <c r="AH826">
        <f>_xlfn.XLOOKUP(Table1820[[#This Row],[Difficult Parts]],Table8[Difficult Parts],Table8[Difficult Parts Factor],,0)</f>
        <v>1</v>
      </c>
      <c r="AI826">
        <f>_xlfn.XLOOKUP(Table1820[[#This Row],[High Theft Rate]],Table9[High Theft Rate],Table9[High Theft Rate Factor],,0)</f>
        <v>1.1599999999999999</v>
      </c>
      <c r="AJ826">
        <f>_xlfn.XLOOKUP(Table1820[[#This Row],[Advanced Safety Features]],Table10[Advanced Safety Features],Table10[Advanced Safety Features Factor],,0)</f>
        <v>1</v>
      </c>
      <c r="AK826">
        <f>_xlfn.XLOOKUP(Table1820[[#This Row],[Deductible]],Table12[Deductible],Table12[Deductible Factor],,0)</f>
        <v>0.84</v>
      </c>
      <c r="AL826">
        <f>_xlfn.XLOOKUP(Table1820[[#This Row],[Coverage Limit]],Table13[Coverage Limit],Table13[Coverage Limit Factor],,0)</f>
        <v>1</v>
      </c>
      <c r="AM826">
        <f>IF(Table1820[[#This Row],[Good Student Discount]]="Yes",'Rate Book'!$D$126,1)</f>
        <v>1</v>
      </c>
      <c r="AN826">
        <f>IF(Table1820[[#This Row],[Good Driver Discount]]="Yes",'Rate Book'!$D$127,1)</f>
        <v>0.89</v>
      </c>
      <c r="AO826">
        <f>IF(Table1820[[#This Row],[Multi Policy Discount]]="Yes",'Rate Book'!$D$128,1)</f>
        <v>1</v>
      </c>
      <c r="AP826">
        <f>IF(Table1820[[#This Row],[Loyal Customer Discount]]="Yes",'Rate Book'!$D$129,1)</f>
        <v>0.94</v>
      </c>
      <c r="AQ826">
        <f>IF(Table1820[[#This Row],[Organization Discount]]="Yes",'Rate Book'!$D$130,1)</f>
        <v>1</v>
      </c>
      <c r="AR826" cm="1">
        <f t="array" ref="AR826">IF(Table1820[[#This Row],[Effective Date]]&gt;=RateChangeTable[Effective Date],RateChangeTable[Rate Change Factor],1)</f>
        <v>1</v>
      </c>
      <c r="AS826" s="10">
        <f>PRODUCT(Table1820[[#This Row],[Base Rate]:[Rate Change Factor]])</f>
        <v>2564.7486856252626</v>
      </c>
      <c r="AT826" s="9">
        <f>Table1820[[#This Row],[System-Generated Premium]]-Table1820[[#This Row],[Expected Premium]]</f>
        <v>0</v>
      </c>
      <c r="AU826" t="str">
        <f>IF(Table1820[[#This Row],[Difference]]=0,"PASS","FAIL")</f>
        <v>PASS</v>
      </c>
      <c r="AV826" s="9">
        <f>ABS(Table1820[[#This Row],[Difference]])</f>
        <v>0</v>
      </c>
      <c r="AW826" s="9" t="s">
        <v>1136</v>
      </c>
    </row>
    <row r="827" spans="1:49" x14ac:dyDescent="0.3">
      <c r="A827" t="s">
        <v>918</v>
      </c>
      <c r="B827" s="7">
        <v>45839</v>
      </c>
      <c r="C827" t="s">
        <v>70</v>
      </c>
      <c r="D827" t="s">
        <v>1102</v>
      </c>
      <c r="E827" s="3">
        <v>7</v>
      </c>
      <c r="F827" s="3" t="s">
        <v>7</v>
      </c>
      <c r="G827" t="s">
        <v>13</v>
      </c>
      <c r="H827" t="s">
        <v>1108</v>
      </c>
      <c r="I827" t="s">
        <v>33</v>
      </c>
      <c r="J827" t="s">
        <v>52</v>
      </c>
      <c r="K827" t="s">
        <v>10</v>
      </c>
      <c r="L827" t="s">
        <v>10</v>
      </c>
      <c r="M827" t="s">
        <v>10</v>
      </c>
      <c r="N827" t="s">
        <v>10</v>
      </c>
      <c r="O827" t="str">
        <f>INDEX(CoverageTable[Deductible Applies],MATCH(Table1820[[#This Row],[Coverage]],CoverageTable[Coverage],0))</f>
        <v>No</v>
      </c>
      <c r="P827" t="str">
        <f>INDEX(CoverageTable[Coverage Limit Applies],MATCH(Table1820[[#This Row],[Coverage]],CoverageTable[Coverage],0))</f>
        <v>Yes</v>
      </c>
      <c r="Q827" t="s">
        <v>10</v>
      </c>
      <c r="R827" t="s">
        <v>79</v>
      </c>
      <c r="S827" t="s">
        <v>10</v>
      </c>
      <c r="T827" t="s">
        <v>10</v>
      </c>
      <c r="U827" t="s">
        <v>10</v>
      </c>
      <c r="V827" t="s">
        <v>57</v>
      </c>
      <c r="W827" t="s">
        <v>10</v>
      </c>
      <c r="X827" s="11">
        <v>1305.8346702119288</v>
      </c>
      <c r="Y827">
        <f>_xlfn.XLOOKUP(Table1820[[#This Row],[Coverage]],CoverageTable[Coverage],CoverageTable[Base Rate],,0)</f>
        <v>622</v>
      </c>
      <c r="Z827">
        <f>INDEX(Table16[Ageband Factor],MATCH(Table1820[[#This Row],[Ageband]],Table16[Ageband],0))</f>
        <v>1.27</v>
      </c>
      <c r="AA827">
        <f>VLOOKUP(Table1820[[#This Row],[Years Driving]],Table1[],2)</f>
        <v>0.95</v>
      </c>
      <c r="AB827">
        <f>_xlfn.XLOOKUP(Table1820[[#This Row],[At Fault Accidents]],Table2[At Fault Accidents],Table2[At Fault Accident Factor],,0)</f>
        <v>2.4700000000000002</v>
      </c>
      <c r="AC827">
        <f>_xlfn.XLOOKUP(Table1820[[#This Row],[Usage-Based Insurance]],Table3[Usage-Based Insurance],Table3[Usage-Based Insurance Discount],,0)</f>
        <v>0.65</v>
      </c>
      <c r="AD827">
        <f>_xlfn.XLOOKUP(Table1820[[#This Row],[Yearly Miles]],Table4[Yearly Miles],Table4[Yearly Miles Factor],,0)</f>
        <v>1</v>
      </c>
      <c r="AE827">
        <f>_xlfn.XLOOKUP(Table1820[[#This Row],[City/Zip Code]],Table5[City/Zip Code],Table5[City/Zip Code Factor],,0)</f>
        <v>1.02</v>
      </c>
      <c r="AF827">
        <f>_xlfn.XLOOKUP(Table1820[[#This Row],[Vehicle Price]],Table6[Vehicle Price],Table6[Vehicle Price Factor])</f>
        <v>1.57</v>
      </c>
      <c r="AG827">
        <f>_xlfn.XLOOKUP(Table1820[[#This Row],[Exotic Car]],Table7[Exotic Car],Table7[Exotic Car Factor],,0)</f>
        <v>1</v>
      </c>
      <c r="AH827">
        <f>_xlfn.XLOOKUP(Table1820[[#This Row],[Difficult Parts]],Table8[Difficult Parts],Table8[Difficult Parts Factor],,0)</f>
        <v>1</v>
      </c>
      <c r="AI827">
        <f>_xlfn.XLOOKUP(Table1820[[#This Row],[High Theft Rate]],Table9[High Theft Rate],Table9[High Theft Rate Factor],,0)</f>
        <v>1</v>
      </c>
      <c r="AJ827">
        <f>_xlfn.XLOOKUP(Table1820[[#This Row],[Advanced Safety Features]],Table10[Advanced Safety Features],Table10[Advanced Safety Features Factor],,0)</f>
        <v>1</v>
      </c>
      <c r="AK827">
        <f>_xlfn.XLOOKUP(Table1820[[#This Row],[Deductible]],Table12[Deductible],Table12[Deductible Factor],,0)</f>
        <v>1</v>
      </c>
      <c r="AL827">
        <f>_xlfn.XLOOKUP(Table1820[[#This Row],[Coverage Limit]],Table13[Coverage Limit],Table13[Coverage Limit Factor],,0)</f>
        <v>0.72</v>
      </c>
      <c r="AM827">
        <f>IF(Table1820[[#This Row],[Good Student Discount]]="Yes",'Rate Book'!$D$126,1)</f>
        <v>1</v>
      </c>
      <c r="AN827">
        <f>IF(Table1820[[#This Row],[Good Driver Discount]]="Yes",'Rate Book'!$D$127,1)</f>
        <v>1</v>
      </c>
      <c r="AO827">
        <f>IF(Table1820[[#This Row],[Multi Policy Discount]]="Yes",'Rate Book'!$D$128,1)</f>
        <v>1</v>
      </c>
      <c r="AP827">
        <f>IF(Table1820[[#This Row],[Loyal Customer Discount]]="Yes",'Rate Book'!$D$129,1)</f>
        <v>0.94</v>
      </c>
      <c r="AQ827">
        <f>IF(Table1820[[#This Row],[Organization Discount]]="Yes",'Rate Book'!$D$130,1)</f>
        <v>1</v>
      </c>
      <c r="AR827" cm="1">
        <f t="array" ref="AR827">IF(Table1820[[#This Row],[Effective Date]]&gt;=RateChangeTable[Effective Date],RateChangeTable[Rate Change Factor],1)</f>
        <v>1</v>
      </c>
      <c r="AS827" s="10">
        <f>PRODUCT(Table1820[[#This Row],[Base Rate]:[Rate Change Factor]])</f>
        <v>1305.8346702119288</v>
      </c>
      <c r="AT827" s="9">
        <f>Table1820[[#This Row],[System-Generated Premium]]-Table1820[[#This Row],[Expected Premium]]</f>
        <v>0</v>
      </c>
      <c r="AU827" t="str">
        <f>IF(Table1820[[#This Row],[Difference]]=0,"PASS","FAIL")</f>
        <v>PASS</v>
      </c>
      <c r="AV827" s="9">
        <f>ABS(Table1820[[#This Row],[Difference]])</f>
        <v>0</v>
      </c>
      <c r="AW827" s="9" t="s">
        <v>1136</v>
      </c>
    </row>
    <row r="828" spans="1:49" x14ac:dyDescent="0.3">
      <c r="A828" t="s">
        <v>919</v>
      </c>
      <c r="B828" s="7">
        <v>45910</v>
      </c>
      <c r="C828" t="s">
        <v>70</v>
      </c>
      <c r="D828" t="s">
        <v>1102</v>
      </c>
      <c r="E828" s="3">
        <v>2</v>
      </c>
      <c r="F828" s="3">
        <v>0</v>
      </c>
      <c r="G828" t="s">
        <v>10</v>
      </c>
      <c r="H828" t="s">
        <v>1108</v>
      </c>
      <c r="I828" t="s">
        <v>33</v>
      </c>
      <c r="J828" t="s">
        <v>50</v>
      </c>
      <c r="K828" t="s">
        <v>10</v>
      </c>
      <c r="L828" t="s">
        <v>10</v>
      </c>
      <c r="M828" t="s">
        <v>10</v>
      </c>
      <c r="N828" t="s">
        <v>57</v>
      </c>
      <c r="O828" t="str">
        <f>INDEX(CoverageTable[Deductible Applies],MATCH(Table1820[[#This Row],[Coverage]],CoverageTable[Coverage],0))</f>
        <v>No</v>
      </c>
      <c r="P828" t="str">
        <f>INDEX(CoverageTable[Coverage Limit Applies],MATCH(Table1820[[#This Row],[Coverage]],CoverageTable[Coverage],0))</f>
        <v>Yes</v>
      </c>
      <c r="Q828" t="s">
        <v>10</v>
      </c>
      <c r="R828" t="s">
        <v>79</v>
      </c>
      <c r="S828" t="s">
        <v>10</v>
      </c>
      <c r="T828" t="s">
        <v>10</v>
      </c>
      <c r="U828" t="s">
        <v>57</v>
      </c>
      <c r="V828" t="s">
        <v>10</v>
      </c>
      <c r="W828" t="s">
        <v>10</v>
      </c>
      <c r="X828" s="11">
        <v>722.99494809603084</v>
      </c>
      <c r="Y828">
        <f>_xlfn.XLOOKUP(Table1820[[#This Row],[Coverage]],CoverageTable[Coverage],CoverageTable[Base Rate],,0)</f>
        <v>622</v>
      </c>
      <c r="Z828">
        <f>INDEX(Table16[Ageband Factor],MATCH(Table1820[[#This Row],[Ageband]],Table16[Ageband],0))</f>
        <v>1.27</v>
      </c>
      <c r="AA828">
        <f>VLOOKUP(Table1820[[#This Row],[Years Driving]],Table1[],2)</f>
        <v>1.41</v>
      </c>
      <c r="AB828">
        <f>_xlfn.XLOOKUP(Table1820[[#This Row],[At Fault Accidents]],Table2[At Fault Accidents],Table2[At Fault Accident Factor],,0)</f>
        <v>1</v>
      </c>
      <c r="AC828">
        <f>_xlfn.XLOOKUP(Table1820[[#This Row],[Usage-Based Insurance]],Table3[Usage-Based Insurance],Table3[Usage-Based Insurance Discount],,0)</f>
        <v>1</v>
      </c>
      <c r="AD828">
        <f>_xlfn.XLOOKUP(Table1820[[#This Row],[Yearly Miles]],Table4[Yearly Miles],Table4[Yearly Miles Factor],,0)</f>
        <v>1</v>
      </c>
      <c r="AE828">
        <f>_xlfn.XLOOKUP(Table1820[[#This Row],[City/Zip Code]],Table5[City/Zip Code],Table5[City/Zip Code Factor],,0)</f>
        <v>1.02</v>
      </c>
      <c r="AF828">
        <f>_xlfn.XLOOKUP(Table1820[[#This Row],[Vehicle Price]],Table6[Vehicle Price],Table6[Vehicle Price Factor])</f>
        <v>1.08</v>
      </c>
      <c r="AG828">
        <f>_xlfn.XLOOKUP(Table1820[[#This Row],[Exotic Car]],Table7[Exotic Car],Table7[Exotic Car Factor],,0)</f>
        <v>1</v>
      </c>
      <c r="AH828">
        <f>_xlfn.XLOOKUP(Table1820[[#This Row],[Difficult Parts]],Table8[Difficult Parts],Table8[Difficult Parts Factor],,0)</f>
        <v>1</v>
      </c>
      <c r="AI828">
        <f>_xlfn.XLOOKUP(Table1820[[#This Row],[High Theft Rate]],Table9[High Theft Rate],Table9[High Theft Rate Factor],,0)</f>
        <v>1</v>
      </c>
      <c r="AJ828">
        <f>_xlfn.XLOOKUP(Table1820[[#This Row],[Advanced Safety Features]],Table10[Advanced Safety Features],Table10[Advanced Safety Features Factor],,0)</f>
        <v>0.88</v>
      </c>
      <c r="AK828">
        <f>_xlfn.XLOOKUP(Table1820[[#This Row],[Deductible]],Table12[Deductible],Table12[Deductible Factor],,0)</f>
        <v>1</v>
      </c>
      <c r="AL828">
        <f>_xlfn.XLOOKUP(Table1820[[#This Row],[Coverage Limit]],Table13[Coverage Limit],Table13[Coverage Limit Factor],,0)</f>
        <v>0.72</v>
      </c>
      <c r="AM828">
        <f>IF(Table1820[[#This Row],[Good Student Discount]]="Yes",'Rate Book'!$D$126,1)</f>
        <v>1</v>
      </c>
      <c r="AN828">
        <f>IF(Table1820[[#This Row],[Good Driver Discount]]="Yes",'Rate Book'!$D$127,1)</f>
        <v>1</v>
      </c>
      <c r="AO828">
        <f>IF(Table1820[[#This Row],[Multi Policy Discount]]="Yes",'Rate Book'!$D$128,1)</f>
        <v>0.93</v>
      </c>
      <c r="AP828">
        <f>IF(Table1820[[#This Row],[Loyal Customer Discount]]="Yes",'Rate Book'!$D$129,1)</f>
        <v>1</v>
      </c>
      <c r="AQ828">
        <f>IF(Table1820[[#This Row],[Organization Discount]]="Yes",'Rate Book'!$D$130,1)</f>
        <v>1</v>
      </c>
      <c r="AR828" cm="1">
        <f t="array" ref="AR828">IF(Table1820[[#This Row],[Effective Date]]&gt;=RateChangeTable[Effective Date],RateChangeTable[Rate Change Factor],1)</f>
        <v>1</v>
      </c>
      <c r="AS828" s="10">
        <f>PRODUCT(Table1820[[#This Row],[Base Rate]:[Rate Change Factor]])</f>
        <v>722.99494809603084</v>
      </c>
      <c r="AT828" s="9">
        <f>Table1820[[#This Row],[System-Generated Premium]]-Table1820[[#This Row],[Expected Premium]]</f>
        <v>0</v>
      </c>
      <c r="AU828" t="str">
        <f>IF(Table1820[[#This Row],[Difference]]=0,"PASS","FAIL")</f>
        <v>PASS</v>
      </c>
      <c r="AV828" s="9">
        <f>ABS(Table1820[[#This Row],[Difference]])</f>
        <v>0</v>
      </c>
      <c r="AW828" s="9" t="s">
        <v>1136</v>
      </c>
    </row>
    <row r="829" spans="1:49" x14ac:dyDescent="0.3">
      <c r="A829" t="s">
        <v>920</v>
      </c>
      <c r="B829" s="7">
        <v>45913</v>
      </c>
      <c r="C829" t="s">
        <v>70</v>
      </c>
      <c r="D829" t="s">
        <v>1100</v>
      </c>
      <c r="E829" s="3">
        <v>2</v>
      </c>
      <c r="F829" s="3">
        <v>3</v>
      </c>
      <c r="G829" t="s">
        <v>11</v>
      </c>
      <c r="H829" t="s">
        <v>1108</v>
      </c>
      <c r="I829" t="s">
        <v>33</v>
      </c>
      <c r="J829" t="s">
        <v>50</v>
      </c>
      <c r="K829" t="s">
        <v>10</v>
      </c>
      <c r="L829" t="s">
        <v>10</v>
      </c>
      <c r="M829" t="s">
        <v>10</v>
      </c>
      <c r="N829" t="s">
        <v>10</v>
      </c>
      <c r="O829" t="str">
        <f>INDEX(CoverageTable[Deductible Applies],MATCH(Table1820[[#This Row],[Coverage]],CoverageTable[Coverage],0))</f>
        <v>No</v>
      </c>
      <c r="P829" t="str">
        <f>INDEX(CoverageTable[Coverage Limit Applies],MATCH(Table1820[[#This Row],[Coverage]],CoverageTable[Coverage],0))</f>
        <v>Yes</v>
      </c>
      <c r="Q829" t="s">
        <v>10</v>
      </c>
      <c r="R829" t="s">
        <v>78</v>
      </c>
      <c r="S829" t="s">
        <v>57</v>
      </c>
      <c r="T829" t="s">
        <v>57</v>
      </c>
      <c r="U829" t="s">
        <v>10</v>
      </c>
      <c r="V829" t="s">
        <v>10</v>
      </c>
      <c r="W829" t="s">
        <v>57</v>
      </c>
      <c r="X829" s="11">
        <v>865.94757193761359</v>
      </c>
      <c r="Y829">
        <f>_xlfn.XLOOKUP(Table1820[[#This Row],[Coverage]],CoverageTable[Coverage],CoverageTable[Base Rate],,0)</f>
        <v>622</v>
      </c>
      <c r="Z829">
        <f>INDEX(Table16[Ageband Factor],MATCH(Table1820[[#This Row],[Ageband]],Table16[Ageband],0))</f>
        <v>1.07</v>
      </c>
      <c r="AA829">
        <f>VLOOKUP(Table1820[[#This Row],[Years Driving]],Table1[],2)</f>
        <v>1.41</v>
      </c>
      <c r="AB829">
        <f>_xlfn.XLOOKUP(Table1820[[#This Row],[At Fault Accidents]],Table2[At Fault Accidents],Table2[At Fault Accident Factor],,0)</f>
        <v>1.82</v>
      </c>
      <c r="AC829">
        <f>_xlfn.XLOOKUP(Table1820[[#This Row],[Usage-Based Insurance]],Table3[Usage-Based Insurance],Table3[Usage-Based Insurance Discount],,0)</f>
        <v>0.95</v>
      </c>
      <c r="AD829">
        <f>_xlfn.XLOOKUP(Table1820[[#This Row],[Yearly Miles]],Table4[Yearly Miles],Table4[Yearly Miles Factor],,0)</f>
        <v>1</v>
      </c>
      <c r="AE829">
        <f>_xlfn.XLOOKUP(Table1820[[#This Row],[City/Zip Code]],Table5[City/Zip Code],Table5[City/Zip Code Factor],,0)</f>
        <v>1.02</v>
      </c>
      <c r="AF829">
        <f>_xlfn.XLOOKUP(Table1820[[#This Row],[Vehicle Price]],Table6[Vehicle Price],Table6[Vehicle Price Factor])</f>
        <v>1.08</v>
      </c>
      <c r="AG829">
        <f>_xlfn.XLOOKUP(Table1820[[#This Row],[Exotic Car]],Table7[Exotic Car],Table7[Exotic Car Factor],,0)</f>
        <v>1</v>
      </c>
      <c r="AH829">
        <f>_xlfn.XLOOKUP(Table1820[[#This Row],[Difficult Parts]],Table8[Difficult Parts],Table8[Difficult Parts Factor],,0)</f>
        <v>1</v>
      </c>
      <c r="AI829">
        <f>_xlfn.XLOOKUP(Table1820[[#This Row],[High Theft Rate]],Table9[High Theft Rate],Table9[High Theft Rate Factor],,0)</f>
        <v>1</v>
      </c>
      <c r="AJ829">
        <f>_xlfn.XLOOKUP(Table1820[[#This Row],[Advanced Safety Features]],Table10[Advanced Safety Features],Table10[Advanced Safety Features Factor],,0)</f>
        <v>1</v>
      </c>
      <c r="AK829">
        <f>_xlfn.XLOOKUP(Table1820[[#This Row],[Deductible]],Table12[Deductible],Table12[Deductible Factor],,0)</f>
        <v>1</v>
      </c>
      <c r="AL829">
        <f>_xlfn.XLOOKUP(Table1820[[#This Row],[Coverage Limit]],Table13[Coverage Limit],Table13[Coverage Limit Factor],,0)</f>
        <v>0.61</v>
      </c>
      <c r="AM829">
        <f>IF(Table1820[[#This Row],[Good Student Discount]]="Yes",'Rate Book'!$D$126,1)</f>
        <v>0.92</v>
      </c>
      <c r="AN829">
        <f>IF(Table1820[[#This Row],[Good Driver Discount]]="Yes",'Rate Book'!$D$127,1)</f>
        <v>0.89</v>
      </c>
      <c r="AO829">
        <f>IF(Table1820[[#This Row],[Multi Policy Discount]]="Yes",'Rate Book'!$D$128,1)</f>
        <v>1</v>
      </c>
      <c r="AP829">
        <f>IF(Table1820[[#This Row],[Loyal Customer Discount]]="Yes",'Rate Book'!$D$129,1)</f>
        <v>1</v>
      </c>
      <c r="AQ829">
        <f>IF(Table1820[[#This Row],[Organization Discount]]="Yes",'Rate Book'!$D$130,1)</f>
        <v>0.97</v>
      </c>
      <c r="AR829" cm="1">
        <f t="array" ref="AR829">IF(Table1820[[#This Row],[Effective Date]]&gt;=RateChangeTable[Effective Date],RateChangeTable[Rate Change Factor],1)</f>
        <v>1</v>
      </c>
      <c r="AS829" s="10">
        <f>PRODUCT(Table1820[[#This Row],[Base Rate]:[Rate Change Factor]])</f>
        <v>865.94757193761359</v>
      </c>
      <c r="AT829" s="9">
        <f>Table1820[[#This Row],[System-Generated Premium]]-Table1820[[#This Row],[Expected Premium]]</f>
        <v>0</v>
      </c>
      <c r="AU829" t="str">
        <f>IF(Table1820[[#This Row],[Difference]]=0,"PASS","FAIL")</f>
        <v>PASS</v>
      </c>
      <c r="AV829" s="9">
        <f>ABS(Table1820[[#This Row],[Difference]])</f>
        <v>0</v>
      </c>
      <c r="AW829" s="9" t="s">
        <v>1136</v>
      </c>
    </row>
    <row r="830" spans="1:49" x14ac:dyDescent="0.3">
      <c r="A830" t="s">
        <v>921</v>
      </c>
      <c r="B830" s="7">
        <v>45950</v>
      </c>
      <c r="C830" t="s">
        <v>74</v>
      </c>
      <c r="D830" t="s">
        <v>1100</v>
      </c>
      <c r="E830" s="3">
        <v>2</v>
      </c>
      <c r="F830" s="3">
        <v>1</v>
      </c>
      <c r="G830" t="s">
        <v>10</v>
      </c>
      <c r="H830" t="s">
        <v>1110</v>
      </c>
      <c r="I830" t="s">
        <v>38</v>
      </c>
      <c r="J830" t="s">
        <v>48</v>
      </c>
      <c r="K830" t="s">
        <v>10</v>
      </c>
      <c r="L830" t="s">
        <v>10</v>
      </c>
      <c r="M830" t="s">
        <v>10</v>
      </c>
      <c r="N830" t="s">
        <v>10</v>
      </c>
      <c r="O830" t="str">
        <f>INDEX(CoverageTable[Deductible Applies],MATCH(Table1820[[#This Row],[Coverage]],CoverageTable[Coverage],0))</f>
        <v>No</v>
      </c>
      <c r="P830" t="str">
        <f>INDEX(CoverageTable[Coverage Limit Applies],MATCH(Table1820[[#This Row],[Coverage]],CoverageTable[Coverage],0))</f>
        <v>Yes</v>
      </c>
      <c r="Q830" t="s">
        <v>10</v>
      </c>
      <c r="R830" t="s">
        <v>80</v>
      </c>
      <c r="S830" t="s">
        <v>10</v>
      </c>
      <c r="T830" t="s">
        <v>57</v>
      </c>
      <c r="U830" t="s">
        <v>10</v>
      </c>
      <c r="V830" t="s">
        <v>10</v>
      </c>
      <c r="W830" t="s">
        <v>57</v>
      </c>
      <c r="X830" s="11">
        <v>72.316224297247203</v>
      </c>
      <c r="Y830">
        <f>_xlfn.XLOOKUP(Table1820[[#This Row],[Coverage]],CoverageTable[Coverage],CoverageTable[Base Rate],,0)</f>
        <v>41</v>
      </c>
      <c r="Z830">
        <f>INDEX(Table16[Ageband Factor],MATCH(Table1820[[#This Row],[Ageband]],Table16[Ageband],0))</f>
        <v>1.07</v>
      </c>
      <c r="AA830">
        <f>VLOOKUP(Table1820[[#This Row],[Years Driving]],Table1[],2)</f>
        <v>1.41</v>
      </c>
      <c r="AB830">
        <f>_xlfn.XLOOKUP(Table1820[[#This Row],[At Fault Accidents]],Table2[At Fault Accidents],Table2[At Fault Accident Factor],,0)</f>
        <v>1.34</v>
      </c>
      <c r="AC830">
        <f>_xlfn.XLOOKUP(Table1820[[#This Row],[Usage-Based Insurance]],Table3[Usage-Based Insurance],Table3[Usage-Based Insurance Discount],,0)</f>
        <v>1</v>
      </c>
      <c r="AD830">
        <f>_xlfn.XLOOKUP(Table1820[[#This Row],[Yearly Miles]],Table4[Yearly Miles],Table4[Yearly Miles Factor],,0)</f>
        <v>1.31</v>
      </c>
      <c r="AE830">
        <f>_xlfn.XLOOKUP(Table1820[[#This Row],[City/Zip Code]],Table5[City/Zip Code],Table5[City/Zip Code Factor],,0)</f>
        <v>1.1200000000000001</v>
      </c>
      <c r="AF830">
        <f>_xlfn.XLOOKUP(Table1820[[#This Row],[Vehicle Price]],Table6[Vehicle Price],Table6[Vehicle Price Factor])</f>
        <v>0.82</v>
      </c>
      <c r="AG830">
        <f>_xlfn.XLOOKUP(Table1820[[#This Row],[Exotic Car]],Table7[Exotic Car],Table7[Exotic Car Factor],,0)</f>
        <v>1</v>
      </c>
      <c r="AH830">
        <f>_xlfn.XLOOKUP(Table1820[[#This Row],[Difficult Parts]],Table8[Difficult Parts],Table8[Difficult Parts Factor],,0)</f>
        <v>1</v>
      </c>
      <c r="AI830">
        <f>_xlfn.XLOOKUP(Table1820[[#This Row],[High Theft Rate]],Table9[High Theft Rate],Table9[High Theft Rate Factor],,0)</f>
        <v>1</v>
      </c>
      <c r="AJ830">
        <f>_xlfn.XLOOKUP(Table1820[[#This Row],[Advanced Safety Features]],Table10[Advanced Safety Features],Table10[Advanced Safety Features Factor],,0)</f>
        <v>1</v>
      </c>
      <c r="AK830">
        <f>_xlfn.XLOOKUP(Table1820[[#This Row],[Deductible]],Table12[Deductible],Table12[Deductible Factor],,0)</f>
        <v>1</v>
      </c>
      <c r="AL830">
        <f>_xlfn.XLOOKUP(Table1820[[#This Row],[Coverage Limit]],Table13[Coverage Limit],Table13[Coverage Limit Factor],,0)</f>
        <v>0.84</v>
      </c>
      <c r="AM830">
        <f>IF(Table1820[[#This Row],[Good Student Discount]]="Yes",'Rate Book'!$D$126,1)</f>
        <v>1</v>
      </c>
      <c r="AN830">
        <f>IF(Table1820[[#This Row],[Good Driver Discount]]="Yes",'Rate Book'!$D$127,1)</f>
        <v>0.89</v>
      </c>
      <c r="AO830">
        <f>IF(Table1820[[#This Row],[Multi Policy Discount]]="Yes",'Rate Book'!$D$128,1)</f>
        <v>1</v>
      </c>
      <c r="AP830">
        <f>IF(Table1820[[#This Row],[Loyal Customer Discount]]="Yes",'Rate Book'!$D$129,1)</f>
        <v>1</v>
      </c>
      <c r="AQ830">
        <f>IF(Table1820[[#This Row],[Organization Discount]]="Yes",'Rate Book'!$D$130,1)</f>
        <v>0.97</v>
      </c>
      <c r="AR830" cm="1">
        <f t="array" ref="AR830">IF(Table1820[[#This Row],[Effective Date]]&gt;=RateChangeTable[Effective Date],RateChangeTable[Rate Change Factor],1)</f>
        <v>1</v>
      </c>
      <c r="AS830" s="10">
        <f>PRODUCT(Table1820[[#This Row],[Base Rate]:[Rate Change Factor]])</f>
        <v>72.316224297247203</v>
      </c>
      <c r="AT830" s="9">
        <f>Table1820[[#This Row],[System-Generated Premium]]-Table1820[[#This Row],[Expected Premium]]</f>
        <v>0</v>
      </c>
      <c r="AU830" t="str">
        <f>IF(Table1820[[#This Row],[Difference]]=0,"PASS","FAIL")</f>
        <v>PASS</v>
      </c>
      <c r="AV830" s="9">
        <f>ABS(Table1820[[#This Row],[Difference]])</f>
        <v>0</v>
      </c>
      <c r="AW830" s="9" t="s">
        <v>1136</v>
      </c>
    </row>
    <row r="831" spans="1:49" x14ac:dyDescent="0.3">
      <c r="A831" t="s">
        <v>922</v>
      </c>
      <c r="B831" s="7">
        <v>45880</v>
      </c>
      <c r="C831" t="s">
        <v>72</v>
      </c>
      <c r="D831" t="s">
        <v>1102</v>
      </c>
      <c r="E831" s="3">
        <v>3</v>
      </c>
      <c r="F831" s="3">
        <v>2</v>
      </c>
      <c r="G831" t="s">
        <v>10</v>
      </c>
      <c r="H831" t="s">
        <v>1110</v>
      </c>
      <c r="I831" t="s">
        <v>41</v>
      </c>
      <c r="J831" t="s">
        <v>51</v>
      </c>
      <c r="K831" t="s">
        <v>10</v>
      </c>
      <c r="L831" t="s">
        <v>10</v>
      </c>
      <c r="M831" t="s">
        <v>10</v>
      </c>
      <c r="N831" t="s">
        <v>10</v>
      </c>
      <c r="O831" t="str">
        <f>INDEX(CoverageTable[Deductible Applies],MATCH(Table1820[[#This Row],[Coverage]],CoverageTable[Coverage],0))</f>
        <v>Yes</v>
      </c>
      <c r="P831" t="str">
        <f>INDEX(CoverageTable[Coverage Limit Applies],MATCH(Table1820[[#This Row],[Coverage]],CoverageTable[Coverage],0))</f>
        <v>No</v>
      </c>
      <c r="Q831" t="s">
        <v>80</v>
      </c>
      <c r="R831" t="s">
        <v>10</v>
      </c>
      <c r="S831" t="s">
        <v>10</v>
      </c>
      <c r="T831" t="s">
        <v>10</v>
      </c>
      <c r="U831" t="s">
        <v>57</v>
      </c>
      <c r="V831" t="s">
        <v>10</v>
      </c>
      <c r="W831" t="s">
        <v>57</v>
      </c>
      <c r="X831" s="11">
        <v>363.95434209769627</v>
      </c>
      <c r="Y831">
        <f>_xlfn.XLOOKUP(Table1820[[#This Row],[Coverage]],CoverageTable[Coverage],CoverageTable[Base Rate],,0)</f>
        <v>121</v>
      </c>
      <c r="Z831">
        <f>INDEX(Table16[Ageband Factor],MATCH(Table1820[[#This Row],[Ageband]],Table16[Ageband],0))</f>
        <v>1.27</v>
      </c>
      <c r="AA831">
        <f>VLOOKUP(Table1820[[#This Row],[Years Driving]],Table1[],2)</f>
        <v>1.22</v>
      </c>
      <c r="AB831">
        <f>_xlfn.XLOOKUP(Table1820[[#This Row],[At Fault Accidents]],Table2[At Fault Accidents],Table2[At Fault Accident Factor],,0)</f>
        <v>1.55</v>
      </c>
      <c r="AC831">
        <f>_xlfn.XLOOKUP(Table1820[[#This Row],[Usage-Based Insurance]],Table3[Usage-Based Insurance],Table3[Usage-Based Insurance Discount],,0)</f>
        <v>1</v>
      </c>
      <c r="AD831">
        <f>_xlfn.XLOOKUP(Table1820[[#This Row],[Yearly Miles]],Table4[Yearly Miles],Table4[Yearly Miles Factor],,0)</f>
        <v>1.31</v>
      </c>
      <c r="AE831">
        <f>_xlfn.XLOOKUP(Table1820[[#This Row],[City/Zip Code]],Table5[City/Zip Code],Table5[City/Zip Code Factor],,0)</f>
        <v>1.1499999999999999</v>
      </c>
      <c r="AF831">
        <f>_xlfn.XLOOKUP(Table1820[[#This Row],[Vehicle Price]],Table6[Vehicle Price],Table6[Vehicle Price Factor])</f>
        <v>1.28</v>
      </c>
      <c r="AG831">
        <f>_xlfn.XLOOKUP(Table1820[[#This Row],[Exotic Car]],Table7[Exotic Car],Table7[Exotic Car Factor],,0)</f>
        <v>1</v>
      </c>
      <c r="AH831">
        <f>_xlfn.XLOOKUP(Table1820[[#This Row],[Difficult Parts]],Table8[Difficult Parts],Table8[Difficult Parts Factor],,0)</f>
        <v>1</v>
      </c>
      <c r="AI831">
        <f>_xlfn.XLOOKUP(Table1820[[#This Row],[High Theft Rate]],Table9[High Theft Rate],Table9[High Theft Rate Factor],,0)</f>
        <v>1</v>
      </c>
      <c r="AJ831">
        <f>_xlfn.XLOOKUP(Table1820[[#This Row],[Advanced Safety Features]],Table10[Advanced Safety Features],Table10[Advanced Safety Features Factor],,0)</f>
        <v>1</v>
      </c>
      <c r="AK831">
        <f>_xlfn.XLOOKUP(Table1820[[#This Row],[Deductible]],Table12[Deductible],Table12[Deductible Factor],,0)</f>
        <v>0.72</v>
      </c>
      <c r="AL831">
        <f>_xlfn.XLOOKUP(Table1820[[#This Row],[Coverage Limit]],Table13[Coverage Limit],Table13[Coverage Limit Factor],,0)</f>
        <v>1</v>
      </c>
      <c r="AM831">
        <f>IF(Table1820[[#This Row],[Good Student Discount]]="Yes",'Rate Book'!$D$126,1)</f>
        <v>1</v>
      </c>
      <c r="AN831">
        <f>IF(Table1820[[#This Row],[Good Driver Discount]]="Yes",'Rate Book'!$D$127,1)</f>
        <v>1</v>
      </c>
      <c r="AO831">
        <f>IF(Table1820[[#This Row],[Multi Policy Discount]]="Yes",'Rate Book'!$D$128,1)</f>
        <v>0.93</v>
      </c>
      <c r="AP831">
        <f>IF(Table1820[[#This Row],[Loyal Customer Discount]]="Yes",'Rate Book'!$D$129,1)</f>
        <v>1</v>
      </c>
      <c r="AQ831">
        <f>IF(Table1820[[#This Row],[Organization Discount]]="Yes",'Rate Book'!$D$130,1)</f>
        <v>0.97</v>
      </c>
      <c r="AR831" cm="1">
        <f t="array" ref="AR831">IF(Table1820[[#This Row],[Effective Date]]&gt;=RateChangeTable[Effective Date],RateChangeTable[Rate Change Factor],1)</f>
        <v>1</v>
      </c>
      <c r="AS831" s="10">
        <f>PRODUCT(Table1820[[#This Row],[Base Rate]:[Rate Change Factor]])</f>
        <v>363.95434209769627</v>
      </c>
      <c r="AT831" s="9">
        <f>Table1820[[#This Row],[System-Generated Premium]]-Table1820[[#This Row],[Expected Premium]]</f>
        <v>0</v>
      </c>
      <c r="AU831" t="str">
        <f>IF(Table1820[[#This Row],[Difference]]=0,"PASS","FAIL")</f>
        <v>PASS</v>
      </c>
      <c r="AV831" s="9">
        <f>ABS(Table1820[[#This Row],[Difference]])</f>
        <v>0</v>
      </c>
      <c r="AW831" s="9" t="s">
        <v>1136</v>
      </c>
    </row>
    <row r="832" spans="1:49" x14ac:dyDescent="0.3">
      <c r="A832" t="s">
        <v>923</v>
      </c>
      <c r="B832" s="7">
        <v>46098</v>
      </c>
      <c r="C832" t="s">
        <v>70</v>
      </c>
      <c r="D832" t="s">
        <v>1101</v>
      </c>
      <c r="E832" s="3">
        <v>4</v>
      </c>
      <c r="F832" s="3">
        <v>0</v>
      </c>
      <c r="G832" t="s">
        <v>10</v>
      </c>
      <c r="H832" t="s">
        <v>1107</v>
      </c>
      <c r="I832" t="s">
        <v>34</v>
      </c>
      <c r="J832" t="s">
        <v>49</v>
      </c>
      <c r="K832" t="s">
        <v>10</v>
      </c>
      <c r="L832" t="s">
        <v>57</v>
      </c>
      <c r="M832" t="s">
        <v>57</v>
      </c>
      <c r="N832" t="s">
        <v>57</v>
      </c>
      <c r="O832" t="str">
        <f>INDEX(CoverageTable[Deductible Applies],MATCH(Table1820[[#This Row],[Coverage]],CoverageTable[Coverage],0))</f>
        <v>No</v>
      </c>
      <c r="P832" t="str">
        <f>INDEX(CoverageTable[Coverage Limit Applies],MATCH(Table1820[[#This Row],[Coverage]],CoverageTable[Coverage],0))</f>
        <v>Yes</v>
      </c>
      <c r="Q832" t="s">
        <v>10</v>
      </c>
      <c r="R832" t="s">
        <v>80</v>
      </c>
      <c r="S832" t="s">
        <v>10</v>
      </c>
      <c r="T832" t="s">
        <v>10</v>
      </c>
      <c r="U832" t="s">
        <v>10</v>
      </c>
      <c r="V832" t="s">
        <v>10</v>
      </c>
      <c r="W832" t="s">
        <v>57</v>
      </c>
      <c r="X832" s="11">
        <v>1202.7308373325161</v>
      </c>
      <c r="Y832">
        <f>_xlfn.XLOOKUP(Table1820[[#This Row],[Coverage]],CoverageTable[Coverage],CoverageTable[Base Rate],,0)</f>
        <v>622</v>
      </c>
      <c r="Z832">
        <f>INDEX(Table16[Ageband Factor],MATCH(Table1820[[#This Row],[Ageband]],Table16[Ageband],0))</f>
        <v>1.1200000000000001</v>
      </c>
      <c r="AA832">
        <f>VLOOKUP(Table1820[[#This Row],[Years Driving]],Table1[],2)</f>
        <v>1.1499999999999999</v>
      </c>
      <c r="AB832">
        <f>_xlfn.XLOOKUP(Table1820[[#This Row],[At Fault Accidents]],Table2[At Fault Accidents],Table2[At Fault Accident Factor],,0)</f>
        <v>1</v>
      </c>
      <c r="AC832">
        <f>_xlfn.XLOOKUP(Table1820[[#This Row],[Usage-Based Insurance]],Table3[Usage-Based Insurance],Table3[Usage-Based Insurance Discount],,0)</f>
        <v>1</v>
      </c>
      <c r="AD832">
        <f>_xlfn.XLOOKUP(Table1820[[#This Row],[Yearly Miles]],Table4[Yearly Miles],Table4[Yearly Miles Factor],,0)</f>
        <v>0.93</v>
      </c>
      <c r="AE832">
        <f>_xlfn.XLOOKUP(Table1820[[#This Row],[City/Zip Code]],Table5[City/Zip Code],Table5[City/Zip Code Factor],,0)</f>
        <v>1.56</v>
      </c>
      <c r="AF832">
        <f>_xlfn.XLOOKUP(Table1820[[#This Row],[Vehicle Price]],Table6[Vehicle Price],Table6[Vehicle Price Factor])</f>
        <v>0.97</v>
      </c>
      <c r="AG832">
        <f>_xlfn.XLOOKUP(Table1820[[#This Row],[Exotic Car]],Table7[Exotic Car],Table7[Exotic Car Factor],,0)</f>
        <v>1</v>
      </c>
      <c r="AH832">
        <f>_xlfn.XLOOKUP(Table1820[[#This Row],[Difficult Parts]],Table8[Difficult Parts],Table8[Difficult Parts Factor],,0)</f>
        <v>1.21</v>
      </c>
      <c r="AI832">
        <f>_xlfn.XLOOKUP(Table1820[[#This Row],[High Theft Rate]],Table9[High Theft Rate],Table9[High Theft Rate Factor],,0)</f>
        <v>1.1599999999999999</v>
      </c>
      <c r="AJ832">
        <f>_xlfn.XLOOKUP(Table1820[[#This Row],[Advanced Safety Features]],Table10[Advanced Safety Features],Table10[Advanced Safety Features Factor],,0)</f>
        <v>0.88</v>
      </c>
      <c r="AK832">
        <f>_xlfn.XLOOKUP(Table1820[[#This Row],[Deductible]],Table12[Deductible],Table12[Deductible Factor],,0)</f>
        <v>1</v>
      </c>
      <c r="AL832">
        <f>_xlfn.XLOOKUP(Table1820[[#This Row],[Coverage Limit]],Table13[Coverage Limit],Table13[Coverage Limit Factor],,0)</f>
        <v>0.84</v>
      </c>
      <c r="AM832">
        <f>IF(Table1820[[#This Row],[Good Student Discount]]="Yes",'Rate Book'!$D$126,1)</f>
        <v>1</v>
      </c>
      <c r="AN832">
        <f>IF(Table1820[[#This Row],[Good Driver Discount]]="Yes",'Rate Book'!$D$127,1)</f>
        <v>1</v>
      </c>
      <c r="AO832">
        <f>IF(Table1820[[#This Row],[Multi Policy Discount]]="Yes",'Rate Book'!$D$128,1)</f>
        <v>1</v>
      </c>
      <c r="AP832">
        <f>IF(Table1820[[#This Row],[Loyal Customer Discount]]="Yes",'Rate Book'!$D$129,1)</f>
        <v>1</v>
      </c>
      <c r="AQ832">
        <f>IF(Table1820[[#This Row],[Organization Discount]]="Yes",'Rate Book'!$D$130,1)</f>
        <v>0.97</v>
      </c>
      <c r="AR832" cm="1">
        <f t="array" ref="AR832">IF(Table1820[[#This Row],[Effective Date]]&gt;=RateChangeTable[Effective Date],RateChangeTable[Rate Change Factor],1)</f>
        <v>1.06</v>
      </c>
      <c r="AS832" s="10">
        <f>PRODUCT(Table1820[[#This Row],[Base Rate]:[Rate Change Factor]])</f>
        <v>1202.7308373325161</v>
      </c>
      <c r="AT832" s="9">
        <f>Table1820[[#This Row],[System-Generated Premium]]-Table1820[[#This Row],[Expected Premium]]</f>
        <v>0</v>
      </c>
      <c r="AU832" t="str">
        <f>IF(Table1820[[#This Row],[Difference]]=0,"PASS","FAIL")</f>
        <v>PASS</v>
      </c>
      <c r="AV832" s="9">
        <f>ABS(Table1820[[#This Row],[Difference]])</f>
        <v>0</v>
      </c>
      <c r="AW832" s="9" t="s">
        <v>1136</v>
      </c>
    </row>
    <row r="833" spans="1:49" x14ac:dyDescent="0.3">
      <c r="A833" t="s">
        <v>924</v>
      </c>
      <c r="B833" s="7">
        <v>46052</v>
      </c>
      <c r="C833" t="s">
        <v>71</v>
      </c>
      <c r="D833" t="s">
        <v>1099</v>
      </c>
      <c r="E833" s="3">
        <v>2</v>
      </c>
      <c r="F833" s="3">
        <v>3</v>
      </c>
      <c r="G833" t="s">
        <v>10</v>
      </c>
      <c r="H833" t="s">
        <v>1107</v>
      </c>
      <c r="I833" t="s">
        <v>27</v>
      </c>
      <c r="J833" t="s">
        <v>54</v>
      </c>
      <c r="K833" t="s">
        <v>57</v>
      </c>
      <c r="L833" t="s">
        <v>57</v>
      </c>
      <c r="M833" t="s">
        <v>10</v>
      </c>
      <c r="N833" t="s">
        <v>10</v>
      </c>
      <c r="O833" t="str">
        <f>INDEX(CoverageTable[Deductible Applies],MATCH(Table1820[[#This Row],[Coverage]],CoverageTable[Coverage],0))</f>
        <v>Yes</v>
      </c>
      <c r="P833" t="str">
        <f>INDEX(CoverageTable[Coverage Limit Applies],MATCH(Table1820[[#This Row],[Coverage]],CoverageTable[Coverage],0))</f>
        <v>No</v>
      </c>
      <c r="Q833" t="s">
        <v>79</v>
      </c>
      <c r="R833" t="s">
        <v>10</v>
      </c>
      <c r="S833" t="s">
        <v>10</v>
      </c>
      <c r="T833" t="s">
        <v>10</v>
      </c>
      <c r="U833" t="s">
        <v>10</v>
      </c>
      <c r="V833" t="s">
        <v>57</v>
      </c>
      <c r="W833" t="s">
        <v>10</v>
      </c>
      <c r="X833" s="11">
        <v>3566.84</v>
      </c>
      <c r="Y833">
        <f>_xlfn.XLOOKUP(Table1820[[#This Row],[Coverage]],CoverageTable[Coverage],CoverageTable[Base Rate],,0)</f>
        <v>453</v>
      </c>
      <c r="Z833">
        <f>INDEX(Table16[Ageband Factor],MATCH(Table1820[[#This Row],[Ageband]],Table16[Ageband],0))</f>
        <v>1</v>
      </c>
      <c r="AA833">
        <f>VLOOKUP(Table1820[[#This Row],[Years Driving]],Table1[],2)</f>
        <v>1.41</v>
      </c>
      <c r="AB833">
        <f>_xlfn.XLOOKUP(Table1820[[#This Row],[At Fault Accidents]],Table2[At Fault Accidents],Table2[At Fault Accident Factor],,0)</f>
        <v>1.82</v>
      </c>
      <c r="AC833">
        <f>_xlfn.XLOOKUP(Table1820[[#This Row],[Usage-Based Insurance]],Table3[Usage-Based Insurance],Table3[Usage-Based Insurance Discount],,0)</f>
        <v>1</v>
      </c>
      <c r="AD833">
        <f>_xlfn.XLOOKUP(Table1820[[#This Row],[Yearly Miles]],Table4[Yearly Miles],Table4[Yearly Miles Factor],,0)</f>
        <v>0.93</v>
      </c>
      <c r="AE833">
        <f>_xlfn.XLOOKUP(Table1820[[#This Row],[City/Zip Code]],Table5[City/Zip Code],Table5[City/Zip Code Factor],,0)</f>
        <v>0.94</v>
      </c>
      <c r="AF833">
        <f>_xlfn.XLOOKUP(Table1820[[#This Row],[Vehicle Price]],Table6[Vehicle Price],Table6[Vehicle Price Factor])</f>
        <v>2.87</v>
      </c>
      <c r="AG833">
        <f>_xlfn.XLOOKUP(Table1820[[#This Row],[Exotic Car]],Table7[Exotic Car],Table7[Exotic Car Factor],,0)</f>
        <v>1.28</v>
      </c>
      <c r="AH833">
        <f>_xlfn.XLOOKUP(Table1820[[#This Row],[Difficult Parts]],Table8[Difficult Parts],Table8[Difficult Parts Factor],,0)</f>
        <v>1.21</v>
      </c>
      <c r="AI833">
        <f>_xlfn.XLOOKUP(Table1820[[#This Row],[High Theft Rate]],Table9[High Theft Rate],Table9[High Theft Rate Factor],,0)</f>
        <v>1</v>
      </c>
      <c r="AJ833">
        <f>_xlfn.XLOOKUP(Table1820[[#This Row],[Advanced Safety Features]],Table10[Advanced Safety Features],Table10[Advanced Safety Features Factor],,0)</f>
        <v>1</v>
      </c>
      <c r="AK833">
        <f>_xlfn.XLOOKUP(Table1820[[#This Row],[Deductible]],Table12[Deductible],Table12[Deductible Factor],,0)</f>
        <v>0.84</v>
      </c>
      <c r="AL833">
        <f>_xlfn.XLOOKUP(Table1820[[#This Row],[Coverage Limit]],Table13[Coverage Limit],Table13[Coverage Limit Factor],,0)</f>
        <v>1</v>
      </c>
      <c r="AM833">
        <f>IF(Table1820[[#This Row],[Good Student Discount]]="Yes",'Rate Book'!$D$126,1)</f>
        <v>1</v>
      </c>
      <c r="AN833">
        <f>IF(Table1820[[#This Row],[Good Driver Discount]]="Yes",'Rate Book'!$D$127,1)</f>
        <v>1</v>
      </c>
      <c r="AO833">
        <f>IF(Table1820[[#This Row],[Multi Policy Discount]]="Yes",'Rate Book'!$D$128,1)</f>
        <v>1</v>
      </c>
      <c r="AP833">
        <f>IF(Table1820[[#This Row],[Loyal Customer Discount]]="Yes",'Rate Book'!$D$129,1)</f>
        <v>0.94</v>
      </c>
      <c r="AQ833">
        <f>IF(Table1820[[#This Row],[Organization Discount]]="Yes",'Rate Book'!$D$130,1)</f>
        <v>1</v>
      </c>
      <c r="AR833" cm="1">
        <f t="array" ref="AR833">IF(Table1820[[#This Row],[Effective Date]]&gt;=RateChangeTable[Effective Date],RateChangeTable[Rate Change Factor],1)</f>
        <v>1.06</v>
      </c>
      <c r="AS833" s="10">
        <f>PRODUCT(Table1820[[#This Row],[Base Rate]:[Rate Change Factor]])</f>
        <v>3780.8526009314078</v>
      </c>
      <c r="AT833" s="9">
        <f>Table1820[[#This Row],[System-Generated Premium]]-Table1820[[#This Row],[Expected Premium]]</f>
        <v>-214.01260093140763</v>
      </c>
      <c r="AU833" t="str">
        <f>IF(Table1820[[#This Row],[Difference]]=0,"PASS","FAIL")</f>
        <v>FAIL</v>
      </c>
      <c r="AV833" s="9">
        <f>ABS(Table1820[[#This Row],[Difference]])</f>
        <v>214.01260093140763</v>
      </c>
      <c r="AW833" s="9" t="s">
        <v>1133</v>
      </c>
    </row>
    <row r="834" spans="1:49" x14ac:dyDescent="0.3">
      <c r="A834" t="s">
        <v>925</v>
      </c>
      <c r="B834" s="7">
        <v>46126</v>
      </c>
      <c r="C834" t="s">
        <v>72</v>
      </c>
      <c r="D834" t="s">
        <v>1101</v>
      </c>
      <c r="E834" s="3">
        <v>6</v>
      </c>
      <c r="F834" s="3" t="s">
        <v>7</v>
      </c>
      <c r="G834" t="s">
        <v>13</v>
      </c>
      <c r="H834" t="s">
        <v>1110</v>
      </c>
      <c r="I834" t="s">
        <v>33</v>
      </c>
      <c r="J834" t="s">
        <v>54</v>
      </c>
      <c r="K834" t="s">
        <v>10</v>
      </c>
      <c r="L834" t="s">
        <v>10</v>
      </c>
      <c r="M834" t="s">
        <v>10</v>
      </c>
      <c r="N834" t="s">
        <v>57</v>
      </c>
      <c r="O834" t="str">
        <f>INDEX(CoverageTable[Deductible Applies],MATCH(Table1820[[#This Row],[Coverage]],CoverageTable[Coverage],0))</f>
        <v>Yes</v>
      </c>
      <c r="P834" t="str">
        <f>INDEX(CoverageTable[Coverage Limit Applies],MATCH(Table1820[[#This Row],[Coverage]],CoverageTable[Coverage],0))</f>
        <v>No</v>
      </c>
      <c r="Q834" t="s">
        <v>78</v>
      </c>
      <c r="R834" t="s">
        <v>10</v>
      </c>
      <c r="S834" t="s">
        <v>10</v>
      </c>
      <c r="T834" t="s">
        <v>57</v>
      </c>
      <c r="U834" t="s">
        <v>10</v>
      </c>
      <c r="V834" t="s">
        <v>10</v>
      </c>
      <c r="W834" t="s">
        <v>10</v>
      </c>
      <c r="X834" s="11">
        <v>658.06564165417558</v>
      </c>
      <c r="Y834">
        <f>_xlfn.XLOOKUP(Table1820[[#This Row],[Coverage]],CoverageTable[Coverage],CoverageTable[Base Rate],,0)</f>
        <v>121</v>
      </c>
      <c r="Z834">
        <f>INDEX(Table16[Ageband Factor],MATCH(Table1820[[#This Row],[Ageband]],Table16[Ageband],0))</f>
        <v>1.1200000000000001</v>
      </c>
      <c r="AA834">
        <f>VLOOKUP(Table1820[[#This Row],[Years Driving]],Table1[],2)</f>
        <v>1</v>
      </c>
      <c r="AB834">
        <f>_xlfn.XLOOKUP(Table1820[[#This Row],[At Fault Accidents]],Table2[At Fault Accidents],Table2[At Fault Accident Factor],,0)</f>
        <v>2.4700000000000002</v>
      </c>
      <c r="AC834">
        <f>_xlfn.XLOOKUP(Table1820[[#This Row],[Usage-Based Insurance]],Table3[Usage-Based Insurance],Table3[Usage-Based Insurance Discount],,0)</f>
        <v>0.65</v>
      </c>
      <c r="AD834">
        <f>_xlfn.XLOOKUP(Table1820[[#This Row],[Yearly Miles]],Table4[Yearly Miles],Table4[Yearly Miles Factor],,0)</f>
        <v>1.31</v>
      </c>
      <c r="AE834">
        <f>_xlfn.XLOOKUP(Table1820[[#This Row],[City/Zip Code]],Table5[City/Zip Code],Table5[City/Zip Code Factor],,0)</f>
        <v>1.02</v>
      </c>
      <c r="AF834">
        <f>_xlfn.XLOOKUP(Table1820[[#This Row],[Vehicle Price]],Table6[Vehicle Price],Table6[Vehicle Price Factor])</f>
        <v>2.87</v>
      </c>
      <c r="AG834">
        <f>_xlfn.XLOOKUP(Table1820[[#This Row],[Exotic Car]],Table7[Exotic Car],Table7[Exotic Car Factor],,0)</f>
        <v>1</v>
      </c>
      <c r="AH834">
        <f>_xlfn.XLOOKUP(Table1820[[#This Row],[Difficult Parts]],Table8[Difficult Parts],Table8[Difficult Parts Factor],,0)</f>
        <v>1</v>
      </c>
      <c r="AI834">
        <f>_xlfn.XLOOKUP(Table1820[[#This Row],[High Theft Rate]],Table9[High Theft Rate],Table9[High Theft Rate Factor],,0)</f>
        <v>1</v>
      </c>
      <c r="AJ834">
        <f>_xlfn.XLOOKUP(Table1820[[#This Row],[Advanced Safety Features]],Table10[Advanced Safety Features],Table10[Advanced Safety Features Factor],,0)</f>
        <v>0.88</v>
      </c>
      <c r="AK834">
        <f>_xlfn.XLOOKUP(Table1820[[#This Row],[Deductible]],Table12[Deductible],Table12[Deductible Factor],,0)</f>
        <v>0.95</v>
      </c>
      <c r="AL834">
        <f>_xlfn.XLOOKUP(Table1820[[#This Row],[Coverage Limit]],Table13[Coverage Limit],Table13[Coverage Limit Factor],,0)</f>
        <v>1</v>
      </c>
      <c r="AM834">
        <f>IF(Table1820[[#This Row],[Good Student Discount]]="Yes",'Rate Book'!$D$126,1)</f>
        <v>1</v>
      </c>
      <c r="AN834">
        <f>IF(Table1820[[#This Row],[Good Driver Discount]]="Yes",'Rate Book'!$D$127,1)</f>
        <v>0.89</v>
      </c>
      <c r="AO834">
        <f>IF(Table1820[[#This Row],[Multi Policy Discount]]="Yes",'Rate Book'!$D$128,1)</f>
        <v>1</v>
      </c>
      <c r="AP834">
        <f>IF(Table1820[[#This Row],[Loyal Customer Discount]]="Yes",'Rate Book'!$D$129,1)</f>
        <v>1</v>
      </c>
      <c r="AQ834">
        <f>IF(Table1820[[#This Row],[Organization Discount]]="Yes",'Rate Book'!$D$130,1)</f>
        <v>1</v>
      </c>
      <c r="AR834" cm="1">
        <f t="array" ref="AR834">IF(Table1820[[#This Row],[Effective Date]]&gt;=RateChangeTable[Effective Date],RateChangeTable[Rate Change Factor],1)</f>
        <v>1.06</v>
      </c>
      <c r="AS834" s="10">
        <f>PRODUCT(Table1820[[#This Row],[Base Rate]:[Rate Change Factor]])</f>
        <v>658.06564165417558</v>
      </c>
      <c r="AT834" s="9">
        <f>Table1820[[#This Row],[System-Generated Premium]]-Table1820[[#This Row],[Expected Premium]]</f>
        <v>0</v>
      </c>
      <c r="AU834" t="str">
        <f>IF(Table1820[[#This Row],[Difference]]=0,"PASS","FAIL")</f>
        <v>PASS</v>
      </c>
      <c r="AV834" s="9">
        <f>ABS(Table1820[[#This Row],[Difference]])</f>
        <v>0</v>
      </c>
      <c r="AW834" s="9" t="s">
        <v>1136</v>
      </c>
    </row>
    <row r="835" spans="1:49" x14ac:dyDescent="0.3">
      <c r="A835" t="s">
        <v>926</v>
      </c>
      <c r="B835" s="7">
        <v>46040</v>
      </c>
      <c r="C835" t="s">
        <v>70</v>
      </c>
      <c r="D835" t="s">
        <v>1099</v>
      </c>
      <c r="E835" s="3">
        <v>7</v>
      </c>
      <c r="F835" s="3">
        <v>1</v>
      </c>
      <c r="G835" t="s">
        <v>13</v>
      </c>
      <c r="H835" t="s">
        <v>1109</v>
      </c>
      <c r="I835" t="s">
        <v>28</v>
      </c>
      <c r="J835" t="s">
        <v>54</v>
      </c>
      <c r="K835" t="s">
        <v>10</v>
      </c>
      <c r="L835" t="s">
        <v>10</v>
      </c>
      <c r="M835" t="s">
        <v>10</v>
      </c>
      <c r="N835" t="s">
        <v>57</v>
      </c>
      <c r="O835" t="str">
        <f>INDEX(CoverageTable[Deductible Applies],MATCH(Table1820[[#This Row],[Coverage]],CoverageTable[Coverage],0))</f>
        <v>No</v>
      </c>
      <c r="P835" t="str">
        <f>INDEX(CoverageTable[Coverage Limit Applies],MATCH(Table1820[[#This Row],[Coverage]],CoverageTable[Coverage],0))</f>
        <v>Yes</v>
      </c>
      <c r="Q835" t="s">
        <v>10</v>
      </c>
      <c r="R835" t="s">
        <v>78</v>
      </c>
      <c r="S835" t="s">
        <v>10</v>
      </c>
      <c r="T835" t="s">
        <v>10</v>
      </c>
      <c r="U835" t="s">
        <v>10</v>
      </c>
      <c r="V835" t="s">
        <v>10</v>
      </c>
      <c r="W835" t="s">
        <v>10</v>
      </c>
      <c r="X835" s="11">
        <v>942.18899386514317</v>
      </c>
      <c r="Y835">
        <f>_xlfn.XLOOKUP(Table1820[[#This Row],[Coverage]],CoverageTable[Coverage],CoverageTable[Base Rate],,0)</f>
        <v>622</v>
      </c>
      <c r="Z835">
        <f>INDEX(Table16[Ageband Factor],MATCH(Table1820[[#This Row],[Ageband]],Table16[Ageband],0))</f>
        <v>1</v>
      </c>
      <c r="AA835">
        <f>VLOOKUP(Table1820[[#This Row],[Years Driving]],Table1[],2)</f>
        <v>0.95</v>
      </c>
      <c r="AB835">
        <f>_xlfn.XLOOKUP(Table1820[[#This Row],[At Fault Accidents]],Table2[At Fault Accidents],Table2[At Fault Accident Factor],,0)</f>
        <v>1.34</v>
      </c>
      <c r="AC835">
        <f>_xlfn.XLOOKUP(Table1820[[#This Row],[Usage-Based Insurance]],Table3[Usage-Based Insurance],Table3[Usage-Based Insurance Discount],,0)</f>
        <v>0.65</v>
      </c>
      <c r="AD835">
        <f>_xlfn.XLOOKUP(Table1820[[#This Row],[Yearly Miles]],Table4[Yearly Miles],Table4[Yearly Miles Factor],,0)</f>
        <v>1.18</v>
      </c>
      <c r="AE835">
        <f>_xlfn.XLOOKUP(Table1820[[#This Row],[City/Zip Code]],Table5[City/Zip Code],Table5[City/Zip Code Factor],,0)</f>
        <v>0.95</v>
      </c>
      <c r="AF835">
        <f>_xlfn.XLOOKUP(Table1820[[#This Row],[Vehicle Price]],Table6[Vehicle Price],Table6[Vehicle Price Factor])</f>
        <v>2.87</v>
      </c>
      <c r="AG835">
        <f>_xlfn.XLOOKUP(Table1820[[#This Row],[Exotic Car]],Table7[Exotic Car],Table7[Exotic Car Factor],,0)</f>
        <v>1</v>
      </c>
      <c r="AH835">
        <f>_xlfn.XLOOKUP(Table1820[[#This Row],[Difficult Parts]],Table8[Difficult Parts],Table8[Difficult Parts Factor],,0)</f>
        <v>1</v>
      </c>
      <c r="AI835">
        <f>_xlfn.XLOOKUP(Table1820[[#This Row],[High Theft Rate]],Table9[High Theft Rate],Table9[High Theft Rate Factor],,0)</f>
        <v>1</v>
      </c>
      <c r="AJ835">
        <f>_xlfn.XLOOKUP(Table1820[[#This Row],[Advanced Safety Features]],Table10[Advanced Safety Features],Table10[Advanced Safety Features Factor],,0)</f>
        <v>0.88</v>
      </c>
      <c r="AK835">
        <f>_xlfn.XLOOKUP(Table1820[[#This Row],[Deductible]],Table12[Deductible],Table12[Deductible Factor],,0)</f>
        <v>1</v>
      </c>
      <c r="AL835">
        <f>_xlfn.XLOOKUP(Table1820[[#This Row],[Coverage Limit]],Table13[Coverage Limit],Table13[Coverage Limit Factor],,0)</f>
        <v>0.61</v>
      </c>
      <c r="AM835">
        <f>IF(Table1820[[#This Row],[Good Student Discount]]="Yes",'Rate Book'!$D$126,1)</f>
        <v>1</v>
      </c>
      <c r="AN835">
        <f>IF(Table1820[[#This Row],[Good Driver Discount]]="Yes",'Rate Book'!$D$127,1)</f>
        <v>1</v>
      </c>
      <c r="AO835">
        <f>IF(Table1820[[#This Row],[Multi Policy Discount]]="Yes",'Rate Book'!$D$128,1)</f>
        <v>1</v>
      </c>
      <c r="AP835">
        <f>IF(Table1820[[#This Row],[Loyal Customer Discount]]="Yes",'Rate Book'!$D$129,1)</f>
        <v>1</v>
      </c>
      <c r="AQ835">
        <f>IF(Table1820[[#This Row],[Organization Discount]]="Yes",'Rate Book'!$D$130,1)</f>
        <v>1</v>
      </c>
      <c r="AR835" cm="1">
        <f t="array" ref="AR835">IF(Table1820[[#This Row],[Effective Date]]&gt;=RateChangeTable[Effective Date],RateChangeTable[Rate Change Factor],1)</f>
        <v>1.06</v>
      </c>
      <c r="AS835" s="10">
        <f>PRODUCT(Table1820[[#This Row],[Base Rate]:[Rate Change Factor]])</f>
        <v>942.18899386514317</v>
      </c>
      <c r="AT835" s="9">
        <f>Table1820[[#This Row],[System-Generated Premium]]-Table1820[[#This Row],[Expected Premium]]</f>
        <v>0</v>
      </c>
      <c r="AU835" t="str">
        <f>IF(Table1820[[#This Row],[Difference]]=0,"PASS","FAIL")</f>
        <v>PASS</v>
      </c>
      <c r="AV835" s="9">
        <f>ABS(Table1820[[#This Row],[Difference]])</f>
        <v>0</v>
      </c>
      <c r="AW835" s="9" t="s">
        <v>1136</v>
      </c>
    </row>
    <row r="836" spans="1:49" x14ac:dyDescent="0.3">
      <c r="A836" t="s">
        <v>927</v>
      </c>
      <c r="B836" s="7">
        <v>46100</v>
      </c>
      <c r="C836" t="s">
        <v>71</v>
      </c>
      <c r="D836" t="s">
        <v>1099</v>
      </c>
      <c r="E836" s="3">
        <v>1</v>
      </c>
      <c r="F836" s="3">
        <v>1</v>
      </c>
      <c r="G836" t="s">
        <v>10</v>
      </c>
      <c r="H836" t="s">
        <v>1110</v>
      </c>
      <c r="I836" t="s">
        <v>36</v>
      </c>
      <c r="J836" t="s">
        <v>53</v>
      </c>
      <c r="K836" t="s">
        <v>10</v>
      </c>
      <c r="L836" t="s">
        <v>10</v>
      </c>
      <c r="M836" t="s">
        <v>10</v>
      </c>
      <c r="N836" t="s">
        <v>57</v>
      </c>
      <c r="O836" t="str">
        <f>INDEX(CoverageTable[Deductible Applies],MATCH(Table1820[[#This Row],[Coverage]],CoverageTable[Coverage],0))</f>
        <v>Yes</v>
      </c>
      <c r="P836" t="str">
        <f>INDEX(CoverageTable[Coverage Limit Applies],MATCH(Table1820[[#This Row],[Coverage]],CoverageTable[Coverage],0))</f>
        <v>No</v>
      </c>
      <c r="Q836" t="s">
        <v>79</v>
      </c>
      <c r="R836" t="s">
        <v>10</v>
      </c>
      <c r="S836" t="s">
        <v>10</v>
      </c>
      <c r="T836" t="s">
        <v>10</v>
      </c>
      <c r="U836" t="s">
        <v>10</v>
      </c>
      <c r="V836" t="s">
        <v>10</v>
      </c>
      <c r="W836" t="s">
        <v>57</v>
      </c>
      <c r="X836" s="11">
        <v>1962.1632931656236</v>
      </c>
      <c r="Y836">
        <f>_xlfn.XLOOKUP(Table1820[[#This Row],[Coverage]],CoverageTable[Coverage],CoverageTable[Base Rate],,0)</f>
        <v>453</v>
      </c>
      <c r="Z836">
        <f>INDEX(Table16[Ageband Factor],MATCH(Table1820[[#This Row],[Ageband]],Table16[Ageband],0))</f>
        <v>1</v>
      </c>
      <c r="AA836">
        <f>VLOOKUP(Table1820[[#This Row],[Years Driving]],Table1[],2)</f>
        <v>1.64</v>
      </c>
      <c r="AB836">
        <f>_xlfn.XLOOKUP(Table1820[[#This Row],[At Fault Accidents]],Table2[At Fault Accidents],Table2[At Fault Accident Factor],,0)</f>
        <v>1.34</v>
      </c>
      <c r="AC836">
        <f>_xlfn.XLOOKUP(Table1820[[#This Row],[Usage-Based Insurance]],Table3[Usage-Based Insurance],Table3[Usage-Based Insurance Discount],,0)</f>
        <v>1</v>
      </c>
      <c r="AD836">
        <f>_xlfn.XLOOKUP(Table1820[[#This Row],[Yearly Miles]],Table4[Yearly Miles],Table4[Yearly Miles Factor],,0)</f>
        <v>1.31</v>
      </c>
      <c r="AE836">
        <f>_xlfn.XLOOKUP(Table1820[[#This Row],[City/Zip Code]],Table5[City/Zip Code],Table5[City/Zip Code Factor],,0)</f>
        <v>0.98</v>
      </c>
      <c r="AF836">
        <f>_xlfn.XLOOKUP(Table1820[[#This Row],[Vehicle Price]],Table6[Vehicle Price],Table6[Vehicle Price Factor])</f>
        <v>2.02</v>
      </c>
      <c r="AG836">
        <f>_xlfn.XLOOKUP(Table1820[[#This Row],[Exotic Car]],Table7[Exotic Car],Table7[Exotic Car Factor],,0)</f>
        <v>1</v>
      </c>
      <c r="AH836">
        <f>_xlfn.XLOOKUP(Table1820[[#This Row],[Difficult Parts]],Table8[Difficult Parts],Table8[Difficult Parts Factor],,0)</f>
        <v>1</v>
      </c>
      <c r="AI836">
        <f>_xlfn.XLOOKUP(Table1820[[#This Row],[High Theft Rate]],Table9[High Theft Rate],Table9[High Theft Rate Factor],,0)</f>
        <v>1</v>
      </c>
      <c r="AJ836">
        <f>_xlfn.XLOOKUP(Table1820[[#This Row],[Advanced Safety Features]],Table10[Advanced Safety Features],Table10[Advanced Safety Features Factor],,0)</f>
        <v>0.88</v>
      </c>
      <c r="AK836">
        <f>_xlfn.XLOOKUP(Table1820[[#This Row],[Deductible]],Table12[Deductible],Table12[Deductible Factor],,0)</f>
        <v>0.84</v>
      </c>
      <c r="AL836">
        <f>_xlfn.XLOOKUP(Table1820[[#This Row],[Coverage Limit]],Table13[Coverage Limit],Table13[Coverage Limit Factor],,0)</f>
        <v>1</v>
      </c>
      <c r="AM836">
        <f>IF(Table1820[[#This Row],[Good Student Discount]]="Yes",'Rate Book'!$D$126,1)</f>
        <v>1</v>
      </c>
      <c r="AN836">
        <f>IF(Table1820[[#This Row],[Good Driver Discount]]="Yes",'Rate Book'!$D$127,1)</f>
        <v>1</v>
      </c>
      <c r="AO836">
        <f>IF(Table1820[[#This Row],[Multi Policy Discount]]="Yes",'Rate Book'!$D$128,1)</f>
        <v>1</v>
      </c>
      <c r="AP836">
        <f>IF(Table1820[[#This Row],[Loyal Customer Discount]]="Yes",'Rate Book'!$D$129,1)</f>
        <v>1</v>
      </c>
      <c r="AQ836">
        <f>IF(Table1820[[#This Row],[Organization Discount]]="Yes",'Rate Book'!$D$130,1)</f>
        <v>0.97</v>
      </c>
      <c r="AR836" cm="1">
        <f t="array" ref="AR836">IF(Table1820[[#This Row],[Effective Date]]&gt;=RateChangeTable[Effective Date],RateChangeTable[Rate Change Factor],1)</f>
        <v>1.06</v>
      </c>
      <c r="AS836" s="10">
        <f>PRODUCT(Table1820[[#This Row],[Base Rate]:[Rate Change Factor]])</f>
        <v>1962.1632931656236</v>
      </c>
      <c r="AT836" s="9">
        <f>Table1820[[#This Row],[System-Generated Premium]]-Table1820[[#This Row],[Expected Premium]]</f>
        <v>0</v>
      </c>
      <c r="AU836" t="str">
        <f>IF(Table1820[[#This Row],[Difference]]=0,"PASS","FAIL")</f>
        <v>PASS</v>
      </c>
      <c r="AV836" s="9">
        <f>ABS(Table1820[[#This Row],[Difference]])</f>
        <v>0</v>
      </c>
      <c r="AW836" s="9" t="s">
        <v>1136</v>
      </c>
    </row>
    <row r="837" spans="1:49" x14ac:dyDescent="0.3">
      <c r="A837" t="s">
        <v>928</v>
      </c>
      <c r="B837" s="7">
        <v>45836</v>
      </c>
      <c r="C837" t="s">
        <v>70</v>
      </c>
      <c r="D837" t="s">
        <v>1099</v>
      </c>
      <c r="E837" s="3">
        <v>6</v>
      </c>
      <c r="F837" s="3">
        <v>1</v>
      </c>
      <c r="G837" t="s">
        <v>13</v>
      </c>
      <c r="H837" t="s">
        <v>1106</v>
      </c>
      <c r="I837" t="s">
        <v>34</v>
      </c>
      <c r="J837" t="s">
        <v>50</v>
      </c>
      <c r="K837" t="s">
        <v>10</v>
      </c>
      <c r="L837" t="s">
        <v>57</v>
      </c>
      <c r="M837" t="s">
        <v>10</v>
      </c>
      <c r="N837" t="s">
        <v>57</v>
      </c>
      <c r="O837" t="str">
        <f>INDEX(CoverageTable[Deductible Applies],MATCH(Table1820[[#This Row],[Coverage]],CoverageTable[Coverage],0))</f>
        <v>No</v>
      </c>
      <c r="P837" t="str">
        <f>INDEX(CoverageTable[Coverage Limit Applies],MATCH(Table1820[[#This Row],[Coverage]],CoverageTable[Coverage],0))</f>
        <v>Yes</v>
      </c>
      <c r="Q837" t="s">
        <v>10</v>
      </c>
      <c r="R837" t="s">
        <v>78</v>
      </c>
      <c r="S837" t="s">
        <v>10</v>
      </c>
      <c r="T837" t="s">
        <v>57</v>
      </c>
      <c r="U837" t="s">
        <v>10</v>
      </c>
      <c r="V837" t="s">
        <v>10</v>
      </c>
      <c r="W837" t="s">
        <v>10</v>
      </c>
      <c r="X837" s="11">
        <v>432.67183953711412</v>
      </c>
      <c r="Y837">
        <f>_xlfn.XLOOKUP(Table1820[[#This Row],[Coverage]],CoverageTable[Coverage],CoverageTable[Base Rate],,0)</f>
        <v>622</v>
      </c>
      <c r="Z837">
        <f>INDEX(Table16[Ageband Factor],MATCH(Table1820[[#This Row],[Ageband]],Table16[Ageband],0))</f>
        <v>1</v>
      </c>
      <c r="AA837">
        <f>VLOOKUP(Table1820[[#This Row],[Years Driving]],Table1[],2)</f>
        <v>1</v>
      </c>
      <c r="AB837">
        <f>_xlfn.XLOOKUP(Table1820[[#This Row],[At Fault Accidents]],Table2[At Fault Accidents],Table2[At Fault Accident Factor],,0)</f>
        <v>1.34</v>
      </c>
      <c r="AC837">
        <f>_xlfn.XLOOKUP(Table1820[[#This Row],[Usage-Based Insurance]],Table3[Usage-Based Insurance],Table3[Usage-Based Insurance Discount],,0)</f>
        <v>0.65</v>
      </c>
      <c r="AD837">
        <f>_xlfn.XLOOKUP(Table1820[[#This Row],[Yearly Miles]],Table4[Yearly Miles],Table4[Yearly Miles Factor],,0)</f>
        <v>0.82</v>
      </c>
      <c r="AE837">
        <f>_xlfn.XLOOKUP(Table1820[[#This Row],[City/Zip Code]],Table5[City/Zip Code],Table5[City/Zip Code Factor],,0)</f>
        <v>1.56</v>
      </c>
      <c r="AF837">
        <f>_xlfn.XLOOKUP(Table1820[[#This Row],[Vehicle Price]],Table6[Vehicle Price],Table6[Vehicle Price Factor])</f>
        <v>1.08</v>
      </c>
      <c r="AG837">
        <f>_xlfn.XLOOKUP(Table1820[[#This Row],[Exotic Car]],Table7[Exotic Car],Table7[Exotic Car Factor],,0)</f>
        <v>1</v>
      </c>
      <c r="AH837">
        <f>_xlfn.XLOOKUP(Table1820[[#This Row],[Difficult Parts]],Table8[Difficult Parts],Table8[Difficult Parts Factor],,0)</f>
        <v>1.21</v>
      </c>
      <c r="AI837">
        <f>_xlfn.XLOOKUP(Table1820[[#This Row],[High Theft Rate]],Table9[High Theft Rate],Table9[High Theft Rate Factor],,0)</f>
        <v>1</v>
      </c>
      <c r="AJ837">
        <f>_xlfn.XLOOKUP(Table1820[[#This Row],[Advanced Safety Features]],Table10[Advanced Safety Features],Table10[Advanced Safety Features Factor],,0)</f>
        <v>0.88</v>
      </c>
      <c r="AK837">
        <f>_xlfn.XLOOKUP(Table1820[[#This Row],[Deductible]],Table12[Deductible],Table12[Deductible Factor],,0)</f>
        <v>1</v>
      </c>
      <c r="AL837">
        <f>_xlfn.XLOOKUP(Table1820[[#This Row],[Coverage Limit]],Table13[Coverage Limit],Table13[Coverage Limit Factor],,0)</f>
        <v>0.61</v>
      </c>
      <c r="AM837">
        <f>IF(Table1820[[#This Row],[Good Student Discount]]="Yes",'Rate Book'!$D$126,1)</f>
        <v>1</v>
      </c>
      <c r="AN837">
        <f>IF(Table1820[[#This Row],[Good Driver Discount]]="Yes",'Rate Book'!$D$127,1)</f>
        <v>0.89</v>
      </c>
      <c r="AO837">
        <f>IF(Table1820[[#This Row],[Multi Policy Discount]]="Yes",'Rate Book'!$D$128,1)</f>
        <v>1</v>
      </c>
      <c r="AP837">
        <f>IF(Table1820[[#This Row],[Loyal Customer Discount]]="Yes",'Rate Book'!$D$129,1)</f>
        <v>1</v>
      </c>
      <c r="AQ837">
        <f>IF(Table1820[[#This Row],[Organization Discount]]="Yes",'Rate Book'!$D$130,1)</f>
        <v>1</v>
      </c>
      <c r="AR837" cm="1">
        <f t="array" ref="AR837">IF(Table1820[[#This Row],[Effective Date]]&gt;=RateChangeTable[Effective Date],RateChangeTable[Rate Change Factor],1)</f>
        <v>1</v>
      </c>
      <c r="AS837" s="10">
        <f>PRODUCT(Table1820[[#This Row],[Base Rate]:[Rate Change Factor]])</f>
        <v>432.67183953711412</v>
      </c>
      <c r="AT837" s="9">
        <f>Table1820[[#This Row],[System-Generated Premium]]-Table1820[[#This Row],[Expected Premium]]</f>
        <v>0</v>
      </c>
      <c r="AU837" t="str">
        <f>IF(Table1820[[#This Row],[Difference]]=0,"PASS","FAIL")</f>
        <v>PASS</v>
      </c>
      <c r="AV837" s="9">
        <f>ABS(Table1820[[#This Row],[Difference]])</f>
        <v>0</v>
      </c>
      <c r="AW837" s="9" t="s">
        <v>1136</v>
      </c>
    </row>
    <row r="838" spans="1:49" x14ac:dyDescent="0.3">
      <c r="A838" t="s">
        <v>929</v>
      </c>
      <c r="B838" s="7">
        <v>46136</v>
      </c>
      <c r="C838" t="s">
        <v>71</v>
      </c>
      <c r="D838" t="s">
        <v>1097</v>
      </c>
      <c r="E838" s="3" t="s">
        <v>1103</v>
      </c>
      <c r="F838" s="3">
        <v>2</v>
      </c>
      <c r="G838" t="s">
        <v>10</v>
      </c>
      <c r="H838" t="s">
        <v>1110</v>
      </c>
      <c r="I838" t="s">
        <v>31</v>
      </c>
      <c r="J838" t="s">
        <v>54</v>
      </c>
      <c r="K838" t="s">
        <v>10</v>
      </c>
      <c r="L838" t="s">
        <v>10</v>
      </c>
      <c r="M838" t="s">
        <v>10</v>
      </c>
      <c r="N838" t="s">
        <v>10</v>
      </c>
      <c r="O838" t="str">
        <f>INDEX(CoverageTable[Deductible Applies],MATCH(Table1820[[#This Row],[Coverage]],CoverageTable[Coverage],0))</f>
        <v>Yes</v>
      </c>
      <c r="P838" t="str">
        <f>INDEX(CoverageTable[Coverage Limit Applies],MATCH(Table1820[[#This Row],[Coverage]],CoverageTable[Coverage],0))</f>
        <v>No</v>
      </c>
      <c r="Q838" t="s">
        <v>78</v>
      </c>
      <c r="R838" t="s">
        <v>10</v>
      </c>
      <c r="S838" t="s">
        <v>57</v>
      </c>
      <c r="T838" t="s">
        <v>10</v>
      </c>
      <c r="U838" t="s">
        <v>10</v>
      </c>
      <c r="V838" t="s">
        <v>10</v>
      </c>
      <c r="W838" t="s">
        <v>57</v>
      </c>
      <c r="X838" s="11">
        <v>3232.6001093376021</v>
      </c>
      <c r="Y838">
        <f>_xlfn.XLOOKUP(Table1820[[#This Row],[Coverage]],CoverageTable[Coverage],CoverageTable[Base Rate],,0)</f>
        <v>453</v>
      </c>
      <c r="Z838">
        <f>INDEX(Table16[Ageband Factor],MATCH(Table1820[[#This Row],[Ageband]],Table16[Ageband],0))</f>
        <v>1.32</v>
      </c>
      <c r="AA838">
        <f>VLOOKUP(Table1820[[#This Row],[Years Driving]],Table1[],2)</f>
        <v>0.93</v>
      </c>
      <c r="AB838">
        <f>_xlfn.XLOOKUP(Table1820[[#This Row],[At Fault Accidents]],Table2[At Fault Accidents],Table2[At Fault Accident Factor],,0)</f>
        <v>1.55</v>
      </c>
      <c r="AC838">
        <f>_xlfn.XLOOKUP(Table1820[[#This Row],[Usage-Based Insurance]],Table3[Usage-Based Insurance],Table3[Usage-Based Insurance Discount],,0)</f>
        <v>1</v>
      </c>
      <c r="AD838">
        <f>_xlfn.XLOOKUP(Table1820[[#This Row],[Yearly Miles]],Table4[Yearly Miles],Table4[Yearly Miles Factor],,0)</f>
        <v>1.31</v>
      </c>
      <c r="AE838">
        <f>_xlfn.XLOOKUP(Table1820[[#This Row],[City/Zip Code]],Table5[City/Zip Code],Table5[City/Zip Code Factor],,0)</f>
        <v>1.1100000000000001</v>
      </c>
      <c r="AF838">
        <f>_xlfn.XLOOKUP(Table1820[[#This Row],[Vehicle Price]],Table6[Vehicle Price],Table6[Vehicle Price Factor])</f>
        <v>2.87</v>
      </c>
      <c r="AG838">
        <f>_xlfn.XLOOKUP(Table1820[[#This Row],[Exotic Car]],Table7[Exotic Car],Table7[Exotic Car Factor],,0)</f>
        <v>1</v>
      </c>
      <c r="AH838">
        <f>_xlfn.XLOOKUP(Table1820[[#This Row],[Difficult Parts]],Table8[Difficult Parts],Table8[Difficult Parts Factor],,0)</f>
        <v>1</v>
      </c>
      <c r="AI838">
        <f>_xlfn.XLOOKUP(Table1820[[#This Row],[High Theft Rate]],Table9[High Theft Rate],Table9[High Theft Rate Factor],,0)</f>
        <v>1</v>
      </c>
      <c r="AJ838">
        <f>_xlfn.XLOOKUP(Table1820[[#This Row],[Advanced Safety Features]],Table10[Advanced Safety Features],Table10[Advanced Safety Features Factor],,0)</f>
        <v>1</v>
      </c>
      <c r="AK838">
        <f>_xlfn.XLOOKUP(Table1820[[#This Row],[Deductible]],Table12[Deductible],Table12[Deductible Factor],,0)</f>
        <v>0.95</v>
      </c>
      <c r="AL838">
        <f>_xlfn.XLOOKUP(Table1820[[#This Row],[Coverage Limit]],Table13[Coverage Limit],Table13[Coverage Limit Factor],,0)</f>
        <v>1</v>
      </c>
      <c r="AM838">
        <f>IF(Table1820[[#This Row],[Good Student Discount]]="Yes",'Rate Book'!$D$126,1)</f>
        <v>0.92</v>
      </c>
      <c r="AN838">
        <f>IF(Table1820[[#This Row],[Good Driver Discount]]="Yes",'Rate Book'!$D$127,1)</f>
        <v>1</v>
      </c>
      <c r="AO838">
        <f>IF(Table1820[[#This Row],[Multi Policy Discount]]="Yes",'Rate Book'!$D$128,1)</f>
        <v>1</v>
      </c>
      <c r="AP838">
        <f>IF(Table1820[[#This Row],[Loyal Customer Discount]]="Yes",'Rate Book'!$D$129,1)</f>
        <v>1</v>
      </c>
      <c r="AQ838">
        <f>IF(Table1820[[#This Row],[Organization Discount]]="Yes",'Rate Book'!$D$130,1)</f>
        <v>0.97</v>
      </c>
      <c r="AR838" cm="1">
        <f t="array" ref="AR838">IF(Table1820[[#This Row],[Effective Date]]&gt;=RateChangeTable[Effective Date],RateChangeTable[Rate Change Factor],1)</f>
        <v>1.06</v>
      </c>
      <c r="AS838" s="10">
        <f>PRODUCT(Table1820[[#This Row],[Base Rate]:[Rate Change Factor]])</f>
        <v>3232.6001093376021</v>
      </c>
      <c r="AT838" s="9">
        <f>Table1820[[#This Row],[System-Generated Premium]]-Table1820[[#This Row],[Expected Premium]]</f>
        <v>0</v>
      </c>
      <c r="AU838" t="str">
        <f>IF(Table1820[[#This Row],[Difference]]=0,"PASS","FAIL")</f>
        <v>PASS</v>
      </c>
      <c r="AV838" s="9">
        <f>ABS(Table1820[[#This Row],[Difference]])</f>
        <v>0</v>
      </c>
      <c r="AW838" s="9" t="s">
        <v>1136</v>
      </c>
    </row>
    <row r="839" spans="1:49" x14ac:dyDescent="0.3">
      <c r="A839" t="s">
        <v>930</v>
      </c>
      <c r="B839" s="7">
        <v>46117</v>
      </c>
      <c r="C839" t="s">
        <v>70</v>
      </c>
      <c r="D839" t="s">
        <v>1101</v>
      </c>
      <c r="E839" s="3">
        <v>5</v>
      </c>
      <c r="F839" s="3">
        <v>4</v>
      </c>
      <c r="G839" t="s">
        <v>10</v>
      </c>
      <c r="H839" t="s">
        <v>1108</v>
      </c>
      <c r="I839" t="s">
        <v>31</v>
      </c>
      <c r="J839" t="s">
        <v>53</v>
      </c>
      <c r="K839" t="s">
        <v>10</v>
      </c>
      <c r="L839" t="s">
        <v>10</v>
      </c>
      <c r="M839" t="s">
        <v>10</v>
      </c>
      <c r="N839" t="s">
        <v>10</v>
      </c>
      <c r="O839" t="str">
        <f>INDEX(CoverageTable[Deductible Applies],MATCH(Table1820[[#This Row],[Coverage]],CoverageTable[Coverage],0))</f>
        <v>No</v>
      </c>
      <c r="P839" t="str">
        <f>INDEX(CoverageTable[Coverage Limit Applies],MATCH(Table1820[[#This Row],[Coverage]],CoverageTable[Coverage],0))</f>
        <v>Yes</v>
      </c>
      <c r="Q839" t="s">
        <v>10</v>
      </c>
      <c r="R839" t="s">
        <v>80</v>
      </c>
      <c r="S839" t="s">
        <v>10</v>
      </c>
      <c r="T839" t="s">
        <v>10</v>
      </c>
      <c r="U839" t="s">
        <v>10</v>
      </c>
      <c r="V839" t="s">
        <v>10</v>
      </c>
      <c r="W839" t="s">
        <v>57</v>
      </c>
      <c r="X839" s="11">
        <v>3060.2667227210463</v>
      </c>
      <c r="Y839">
        <f>_xlfn.XLOOKUP(Table1820[[#This Row],[Coverage]],CoverageTable[Coverage],CoverageTable[Base Rate],,0)</f>
        <v>622</v>
      </c>
      <c r="Z839">
        <f>INDEX(Table16[Ageband Factor],MATCH(Table1820[[#This Row],[Ageband]],Table16[Ageband],0))</f>
        <v>1.1200000000000001</v>
      </c>
      <c r="AA839">
        <f>VLOOKUP(Table1820[[#This Row],[Years Driving]],Table1[],2)</f>
        <v>1.07</v>
      </c>
      <c r="AB839">
        <f>_xlfn.XLOOKUP(Table1820[[#This Row],[At Fault Accidents]],Table2[At Fault Accidents],Table2[At Fault Accident Factor],,0)</f>
        <v>2.12</v>
      </c>
      <c r="AC839">
        <f>_xlfn.XLOOKUP(Table1820[[#This Row],[Usage-Based Insurance]],Table3[Usage-Based Insurance],Table3[Usage-Based Insurance Discount],,0)</f>
        <v>1</v>
      </c>
      <c r="AD839">
        <f>_xlfn.XLOOKUP(Table1820[[#This Row],[Yearly Miles]],Table4[Yearly Miles],Table4[Yearly Miles Factor],,0)</f>
        <v>1</v>
      </c>
      <c r="AE839">
        <f>_xlfn.XLOOKUP(Table1820[[#This Row],[City/Zip Code]],Table5[City/Zip Code],Table5[City/Zip Code Factor],,0)</f>
        <v>1.1100000000000001</v>
      </c>
      <c r="AF839">
        <f>_xlfn.XLOOKUP(Table1820[[#This Row],[Vehicle Price]],Table6[Vehicle Price],Table6[Vehicle Price Factor])</f>
        <v>2.02</v>
      </c>
      <c r="AG839">
        <f>_xlfn.XLOOKUP(Table1820[[#This Row],[Exotic Car]],Table7[Exotic Car],Table7[Exotic Car Factor],,0)</f>
        <v>1</v>
      </c>
      <c r="AH839">
        <f>_xlfn.XLOOKUP(Table1820[[#This Row],[Difficult Parts]],Table8[Difficult Parts],Table8[Difficult Parts Factor],,0)</f>
        <v>1</v>
      </c>
      <c r="AI839">
        <f>_xlfn.XLOOKUP(Table1820[[#This Row],[High Theft Rate]],Table9[High Theft Rate],Table9[High Theft Rate Factor],,0)</f>
        <v>1</v>
      </c>
      <c r="AJ839">
        <f>_xlfn.XLOOKUP(Table1820[[#This Row],[Advanced Safety Features]],Table10[Advanced Safety Features],Table10[Advanced Safety Features Factor],,0)</f>
        <v>1</v>
      </c>
      <c r="AK839">
        <f>_xlfn.XLOOKUP(Table1820[[#This Row],[Deductible]],Table12[Deductible],Table12[Deductible Factor],,0)</f>
        <v>1</v>
      </c>
      <c r="AL839">
        <f>_xlfn.XLOOKUP(Table1820[[#This Row],[Coverage Limit]],Table13[Coverage Limit],Table13[Coverage Limit Factor],,0)</f>
        <v>0.84</v>
      </c>
      <c r="AM839">
        <f>IF(Table1820[[#This Row],[Good Student Discount]]="Yes",'Rate Book'!$D$126,1)</f>
        <v>1</v>
      </c>
      <c r="AN839">
        <f>IF(Table1820[[#This Row],[Good Driver Discount]]="Yes",'Rate Book'!$D$127,1)</f>
        <v>1</v>
      </c>
      <c r="AO839">
        <f>IF(Table1820[[#This Row],[Multi Policy Discount]]="Yes",'Rate Book'!$D$128,1)</f>
        <v>1</v>
      </c>
      <c r="AP839">
        <f>IF(Table1820[[#This Row],[Loyal Customer Discount]]="Yes",'Rate Book'!$D$129,1)</f>
        <v>1</v>
      </c>
      <c r="AQ839">
        <f>IF(Table1820[[#This Row],[Organization Discount]]="Yes",'Rate Book'!$D$130,1)</f>
        <v>0.97</v>
      </c>
      <c r="AR839" cm="1">
        <f t="array" ref="AR839">IF(Table1820[[#This Row],[Effective Date]]&gt;=RateChangeTable[Effective Date],RateChangeTable[Rate Change Factor],1)</f>
        <v>1.06</v>
      </c>
      <c r="AS839" s="10">
        <f>PRODUCT(Table1820[[#This Row],[Base Rate]:[Rate Change Factor]])</f>
        <v>3060.2667227210463</v>
      </c>
      <c r="AT839" s="9">
        <f>Table1820[[#This Row],[System-Generated Premium]]-Table1820[[#This Row],[Expected Premium]]</f>
        <v>0</v>
      </c>
      <c r="AU839" t="str">
        <f>IF(Table1820[[#This Row],[Difference]]=0,"PASS","FAIL")</f>
        <v>PASS</v>
      </c>
      <c r="AV839" s="9">
        <f>ABS(Table1820[[#This Row],[Difference]])</f>
        <v>0</v>
      </c>
      <c r="AW839" s="9" t="s">
        <v>1136</v>
      </c>
    </row>
    <row r="840" spans="1:49" x14ac:dyDescent="0.3">
      <c r="A840" t="s">
        <v>931</v>
      </c>
      <c r="B840" s="7">
        <v>45782</v>
      </c>
      <c r="C840" t="s">
        <v>71</v>
      </c>
      <c r="D840" t="s">
        <v>1099</v>
      </c>
      <c r="E840" s="3">
        <v>6</v>
      </c>
      <c r="F840" s="3">
        <v>4</v>
      </c>
      <c r="G840" t="s">
        <v>11</v>
      </c>
      <c r="H840" t="s">
        <v>1108</v>
      </c>
      <c r="I840" t="s">
        <v>41</v>
      </c>
      <c r="J840" t="s">
        <v>52</v>
      </c>
      <c r="K840" t="s">
        <v>10</v>
      </c>
      <c r="L840" t="s">
        <v>57</v>
      </c>
      <c r="M840" t="s">
        <v>10</v>
      </c>
      <c r="N840" t="s">
        <v>10</v>
      </c>
      <c r="O840" t="str">
        <f>INDEX(CoverageTable[Deductible Applies],MATCH(Table1820[[#This Row],[Coverage]],CoverageTable[Coverage],0))</f>
        <v>Yes</v>
      </c>
      <c r="P840" t="str">
        <f>INDEX(CoverageTable[Coverage Limit Applies],MATCH(Table1820[[#This Row],[Coverage]],CoverageTable[Coverage],0))</f>
        <v>No</v>
      </c>
      <c r="Q840" t="s">
        <v>80</v>
      </c>
      <c r="R840" t="s">
        <v>10</v>
      </c>
      <c r="S840" t="s">
        <v>10</v>
      </c>
      <c r="T840" t="s">
        <v>10</v>
      </c>
      <c r="U840" t="s">
        <v>10</v>
      </c>
      <c r="V840" t="s">
        <v>10</v>
      </c>
      <c r="W840" t="s">
        <v>10</v>
      </c>
      <c r="X840" s="11">
        <v>1435.0698086472</v>
      </c>
      <c r="Y840">
        <f>_xlfn.XLOOKUP(Table1820[[#This Row],[Coverage]],CoverageTable[Coverage],CoverageTable[Base Rate],,0)</f>
        <v>453</v>
      </c>
      <c r="Z840">
        <f>INDEX(Table16[Ageband Factor],MATCH(Table1820[[#This Row],[Ageband]],Table16[Ageband],0))</f>
        <v>1</v>
      </c>
      <c r="AA840">
        <f>VLOOKUP(Table1820[[#This Row],[Years Driving]],Table1[],2)</f>
        <v>1</v>
      </c>
      <c r="AB840">
        <f>_xlfn.XLOOKUP(Table1820[[#This Row],[At Fault Accidents]],Table2[At Fault Accidents],Table2[At Fault Accident Factor],,0)</f>
        <v>2.12</v>
      </c>
      <c r="AC840">
        <f>_xlfn.XLOOKUP(Table1820[[#This Row],[Usage-Based Insurance]],Table3[Usage-Based Insurance],Table3[Usage-Based Insurance Discount],,0)</f>
        <v>0.95</v>
      </c>
      <c r="AD840">
        <f>_xlfn.XLOOKUP(Table1820[[#This Row],[Yearly Miles]],Table4[Yearly Miles],Table4[Yearly Miles Factor],,0)</f>
        <v>1</v>
      </c>
      <c r="AE840">
        <f>_xlfn.XLOOKUP(Table1820[[#This Row],[City/Zip Code]],Table5[City/Zip Code],Table5[City/Zip Code Factor],,0)</f>
        <v>1.1499999999999999</v>
      </c>
      <c r="AF840">
        <f>_xlfn.XLOOKUP(Table1820[[#This Row],[Vehicle Price]],Table6[Vehicle Price],Table6[Vehicle Price Factor])</f>
        <v>1.57</v>
      </c>
      <c r="AG840">
        <f>_xlfn.XLOOKUP(Table1820[[#This Row],[Exotic Car]],Table7[Exotic Car],Table7[Exotic Car Factor],,0)</f>
        <v>1</v>
      </c>
      <c r="AH840">
        <f>_xlfn.XLOOKUP(Table1820[[#This Row],[Difficult Parts]],Table8[Difficult Parts],Table8[Difficult Parts Factor],,0)</f>
        <v>1.21</v>
      </c>
      <c r="AI840">
        <f>_xlfn.XLOOKUP(Table1820[[#This Row],[High Theft Rate]],Table9[High Theft Rate],Table9[High Theft Rate Factor],,0)</f>
        <v>1</v>
      </c>
      <c r="AJ840">
        <f>_xlfn.XLOOKUP(Table1820[[#This Row],[Advanced Safety Features]],Table10[Advanced Safety Features],Table10[Advanced Safety Features Factor],,0)</f>
        <v>1</v>
      </c>
      <c r="AK840">
        <f>_xlfn.XLOOKUP(Table1820[[#This Row],[Deductible]],Table12[Deductible],Table12[Deductible Factor],,0)</f>
        <v>0.72</v>
      </c>
      <c r="AL840">
        <f>_xlfn.XLOOKUP(Table1820[[#This Row],[Coverage Limit]],Table13[Coverage Limit],Table13[Coverage Limit Factor],,0)</f>
        <v>1</v>
      </c>
      <c r="AM840">
        <f>IF(Table1820[[#This Row],[Good Student Discount]]="Yes",'Rate Book'!$D$126,1)</f>
        <v>1</v>
      </c>
      <c r="AN840">
        <f>IF(Table1820[[#This Row],[Good Driver Discount]]="Yes",'Rate Book'!$D$127,1)</f>
        <v>1</v>
      </c>
      <c r="AO840">
        <f>IF(Table1820[[#This Row],[Multi Policy Discount]]="Yes",'Rate Book'!$D$128,1)</f>
        <v>1</v>
      </c>
      <c r="AP840">
        <f>IF(Table1820[[#This Row],[Loyal Customer Discount]]="Yes",'Rate Book'!$D$129,1)</f>
        <v>1</v>
      </c>
      <c r="AQ840">
        <f>IF(Table1820[[#This Row],[Organization Discount]]="Yes",'Rate Book'!$D$130,1)</f>
        <v>1</v>
      </c>
      <c r="AR840" cm="1">
        <f t="array" ref="AR840">IF(Table1820[[#This Row],[Effective Date]]&gt;=RateChangeTable[Effective Date],RateChangeTable[Rate Change Factor],1)</f>
        <v>1</v>
      </c>
      <c r="AS840" s="10">
        <f>PRODUCT(Table1820[[#This Row],[Base Rate]:[Rate Change Factor]])</f>
        <v>1435.0698086472</v>
      </c>
      <c r="AT840" s="9">
        <f>Table1820[[#This Row],[System-Generated Premium]]-Table1820[[#This Row],[Expected Premium]]</f>
        <v>0</v>
      </c>
      <c r="AU840" t="str">
        <f>IF(Table1820[[#This Row],[Difference]]=0,"PASS","FAIL")</f>
        <v>PASS</v>
      </c>
      <c r="AV840" s="9">
        <f>ABS(Table1820[[#This Row],[Difference]])</f>
        <v>0</v>
      </c>
      <c r="AW840" s="9" t="s">
        <v>1136</v>
      </c>
    </row>
    <row r="841" spans="1:49" x14ac:dyDescent="0.3">
      <c r="A841" t="s">
        <v>932</v>
      </c>
      <c r="B841" s="7">
        <v>46137</v>
      </c>
      <c r="C841" t="s">
        <v>71</v>
      </c>
      <c r="D841" t="s">
        <v>1100</v>
      </c>
      <c r="E841" s="3">
        <v>5</v>
      </c>
      <c r="F841" s="3">
        <v>4</v>
      </c>
      <c r="G841" t="s">
        <v>10</v>
      </c>
      <c r="H841" t="s">
        <v>1109</v>
      </c>
      <c r="I841" t="s">
        <v>31</v>
      </c>
      <c r="J841" t="s">
        <v>52</v>
      </c>
      <c r="K841" t="s">
        <v>10</v>
      </c>
      <c r="L841" t="s">
        <v>10</v>
      </c>
      <c r="M841" t="s">
        <v>10</v>
      </c>
      <c r="N841" t="s">
        <v>57</v>
      </c>
      <c r="O841" t="str">
        <f>INDEX(CoverageTable[Deductible Applies],MATCH(Table1820[[#This Row],[Coverage]],CoverageTable[Coverage],0))</f>
        <v>Yes</v>
      </c>
      <c r="P841" t="str">
        <f>INDEX(CoverageTable[Coverage Limit Applies],MATCH(Table1820[[#This Row],[Coverage]],CoverageTable[Coverage],0))</f>
        <v>No</v>
      </c>
      <c r="Q841" t="s">
        <v>79</v>
      </c>
      <c r="R841" t="s">
        <v>10</v>
      </c>
      <c r="S841" t="s">
        <v>10</v>
      </c>
      <c r="T841" t="s">
        <v>10</v>
      </c>
      <c r="U841" t="s">
        <v>57</v>
      </c>
      <c r="V841" t="s">
        <v>57</v>
      </c>
      <c r="W841" t="s">
        <v>10</v>
      </c>
      <c r="X841" s="11">
        <v>1548.7627063837774</v>
      </c>
      <c r="Y841">
        <f>_xlfn.XLOOKUP(Table1820[[#This Row],[Coverage]],CoverageTable[Coverage],CoverageTable[Base Rate],,0)</f>
        <v>453</v>
      </c>
      <c r="Z841">
        <f>INDEX(Table16[Ageband Factor],MATCH(Table1820[[#This Row],[Ageband]],Table16[Ageband],0))</f>
        <v>1.07</v>
      </c>
      <c r="AA841">
        <f>VLOOKUP(Table1820[[#This Row],[Years Driving]],Table1[],2)</f>
        <v>1.07</v>
      </c>
      <c r="AB841">
        <f>_xlfn.XLOOKUP(Table1820[[#This Row],[At Fault Accidents]],Table2[At Fault Accidents],Table2[At Fault Accident Factor],,0)</f>
        <v>2.12</v>
      </c>
      <c r="AC841">
        <f>_xlfn.XLOOKUP(Table1820[[#This Row],[Usage-Based Insurance]],Table3[Usage-Based Insurance],Table3[Usage-Based Insurance Discount],,0)</f>
        <v>1</v>
      </c>
      <c r="AD841">
        <f>_xlfn.XLOOKUP(Table1820[[#This Row],[Yearly Miles]],Table4[Yearly Miles],Table4[Yearly Miles Factor],,0)</f>
        <v>1.18</v>
      </c>
      <c r="AE841">
        <f>_xlfn.XLOOKUP(Table1820[[#This Row],[City/Zip Code]],Table5[City/Zip Code],Table5[City/Zip Code Factor],,0)</f>
        <v>1.1100000000000001</v>
      </c>
      <c r="AF841">
        <f>_xlfn.XLOOKUP(Table1820[[#This Row],[Vehicle Price]],Table6[Vehicle Price],Table6[Vehicle Price Factor])</f>
        <v>1.57</v>
      </c>
      <c r="AG841">
        <f>_xlfn.XLOOKUP(Table1820[[#This Row],[Exotic Car]],Table7[Exotic Car],Table7[Exotic Car Factor],,0)</f>
        <v>1</v>
      </c>
      <c r="AH841">
        <f>_xlfn.XLOOKUP(Table1820[[#This Row],[Difficult Parts]],Table8[Difficult Parts],Table8[Difficult Parts Factor],,0)</f>
        <v>1</v>
      </c>
      <c r="AI841">
        <f>_xlfn.XLOOKUP(Table1820[[#This Row],[High Theft Rate]],Table9[High Theft Rate],Table9[High Theft Rate Factor],,0)</f>
        <v>1</v>
      </c>
      <c r="AJ841">
        <f>_xlfn.XLOOKUP(Table1820[[#This Row],[Advanced Safety Features]],Table10[Advanced Safety Features],Table10[Advanced Safety Features Factor],,0)</f>
        <v>0.88</v>
      </c>
      <c r="AK841">
        <f>_xlfn.XLOOKUP(Table1820[[#This Row],[Deductible]],Table12[Deductible],Table12[Deductible Factor],,0)</f>
        <v>0.84</v>
      </c>
      <c r="AL841">
        <f>_xlfn.XLOOKUP(Table1820[[#This Row],[Coverage Limit]],Table13[Coverage Limit],Table13[Coverage Limit Factor],,0)</f>
        <v>1</v>
      </c>
      <c r="AM841">
        <f>IF(Table1820[[#This Row],[Good Student Discount]]="Yes",'Rate Book'!$D$126,1)</f>
        <v>1</v>
      </c>
      <c r="AN841">
        <f>IF(Table1820[[#This Row],[Good Driver Discount]]="Yes",'Rate Book'!$D$127,1)</f>
        <v>1</v>
      </c>
      <c r="AO841">
        <f>IF(Table1820[[#This Row],[Multi Policy Discount]]="Yes",'Rate Book'!$D$128,1)</f>
        <v>0.93</v>
      </c>
      <c r="AP841">
        <f>IF(Table1820[[#This Row],[Loyal Customer Discount]]="Yes",'Rate Book'!$D$129,1)</f>
        <v>0.94</v>
      </c>
      <c r="AQ841">
        <f>IF(Table1820[[#This Row],[Organization Discount]]="Yes",'Rate Book'!$D$130,1)</f>
        <v>1</v>
      </c>
      <c r="AR841" cm="1">
        <f t="array" ref="AR841">IF(Table1820[[#This Row],[Effective Date]]&gt;=RateChangeTable[Effective Date],RateChangeTable[Rate Change Factor],1)</f>
        <v>1.06</v>
      </c>
      <c r="AS841" s="10">
        <f>PRODUCT(Table1820[[#This Row],[Base Rate]:[Rate Change Factor]])</f>
        <v>1548.7627063837774</v>
      </c>
      <c r="AT841" s="9">
        <f>Table1820[[#This Row],[System-Generated Premium]]-Table1820[[#This Row],[Expected Premium]]</f>
        <v>0</v>
      </c>
      <c r="AU841" t="str">
        <f>IF(Table1820[[#This Row],[Difference]]=0,"PASS","FAIL")</f>
        <v>PASS</v>
      </c>
      <c r="AV841" s="9">
        <f>ABS(Table1820[[#This Row],[Difference]])</f>
        <v>0</v>
      </c>
      <c r="AW841" s="9" t="s">
        <v>1136</v>
      </c>
    </row>
    <row r="842" spans="1:49" x14ac:dyDescent="0.3">
      <c r="A842" t="s">
        <v>933</v>
      </c>
      <c r="B842" s="7">
        <v>46039</v>
      </c>
      <c r="C842" t="s">
        <v>70</v>
      </c>
      <c r="D842" t="s">
        <v>1101</v>
      </c>
      <c r="E842" s="3">
        <v>5</v>
      </c>
      <c r="F842" s="3">
        <v>4</v>
      </c>
      <c r="G842" t="s">
        <v>13</v>
      </c>
      <c r="H842" t="s">
        <v>1109</v>
      </c>
      <c r="I842" t="s">
        <v>44</v>
      </c>
      <c r="J842" t="s">
        <v>51</v>
      </c>
      <c r="K842" t="s">
        <v>10</v>
      </c>
      <c r="L842" t="s">
        <v>10</v>
      </c>
      <c r="M842" t="s">
        <v>10</v>
      </c>
      <c r="N842" t="s">
        <v>57</v>
      </c>
      <c r="O842" t="str">
        <f>INDEX(CoverageTable[Deductible Applies],MATCH(Table1820[[#This Row],[Coverage]],CoverageTable[Coverage],0))</f>
        <v>No</v>
      </c>
      <c r="P842" t="str">
        <f>INDEX(CoverageTable[Coverage Limit Applies],MATCH(Table1820[[#This Row],[Coverage]],CoverageTable[Coverage],0))</f>
        <v>Yes</v>
      </c>
      <c r="Q842" t="s">
        <v>10</v>
      </c>
      <c r="R842" t="s">
        <v>78</v>
      </c>
      <c r="S842" t="s">
        <v>10</v>
      </c>
      <c r="T842" t="s">
        <v>10</v>
      </c>
      <c r="U842" t="s">
        <v>57</v>
      </c>
      <c r="V842" t="s">
        <v>10</v>
      </c>
      <c r="W842" t="s">
        <v>10</v>
      </c>
      <c r="X842" s="11">
        <v>952.34145585768306</v>
      </c>
      <c r="Y842">
        <f>_xlfn.XLOOKUP(Table1820[[#This Row],[Coverage]],CoverageTable[Coverage],CoverageTable[Base Rate],,0)</f>
        <v>622</v>
      </c>
      <c r="Z842">
        <f>INDEX(Table16[Ageband Factor],MATCH(Table1820[[#This Row],[Ageband]],Table16[Ageband],0))</f>
        <v>1.1200000000000001</v>
      </c>
      <c r="AA842">
        <f>VLOOKUP(Table1820[[#This Row],[Years Driving]],Table1[],2)</f>
        <v>1.07</v>
      </c>
      <c r="AB842">
        <f>_xlfn.XLOOKUP(Table1820[[#This Row],[At Fault Accidents]],Table2[At Fault Accidents],Table2[At Fault Accident Factor],,0)</f>
        <v>2.12</v>
      </c>
      <c r="AC842">
        <f>_xlfn.XLOOKUP(Table1820[[#This Row],[Usage-Based Insurance]],Table3[Usage-Based Insurance],Table3[Usage-Based Insurance Discount],,0)</f>
        <v>0.65</v>
      </c>
      <c r="AD842">
        <f>_xlfn.XLOOKUP(Table1820[[#This Row],[Yearly Miles]],Table4[Yearly Miles],Table4[Yearly Miles Factor],,0)</f>
        <v>1.18</v>
      </c>
      <c r="AE842">
        <f>_xlfn.XLOOKUP(Table1820[[#This Row],[City/Zip Code]],Table5[City/Zip Code],Table5[City/Zip Code Factor],,0)</f>
        <v>1.1599999999999999</v>
      </c>
      <c r="AF842">
        <f>_xlfn.XLOOKUP(Table1820[[#This Row],[Vehicle Price]],Table6[Vehicle Price],Table6[Vehicle Price Factor])</f>
        <v>1.28</v>
      </c>
      <c r="AG842">
        <f>_xlfn.XLOOKUP(Table1820[[#This Row],[Exotic Car]],Table7[Exotic Car],Table7[Exotic Car Factor],,0)</f>
        <v>1</v>
      </c>
      <c r="AH842">
        <f>_xlfn.XLOOKUP(Table1820[[#This Row],[Difficult Parts]],Table8[Difficult Parts],Table8[Difficult Parts Factor],,0)</f>
        <v>1</v>
      </c>
      <c r="AI842">
        <f>_xlfn.XLOOKUP(Table1820[[#This Row],[High Theft Rate]],Table9[High Theft Rate],Table9[High Theft Rate Factor],,0)</f>
        <v>1</v>
      </c>
      <c r="AJ842">
        <f>_xlfn.XLOOKUP(Table1820[[#This Row],[Advanced Safety Features]],Table10[Advanced Safety Features],Table10[Advanced Safety Features Factor],,0)</f>
        <v>0.88</v>
      </c>
      <c r="AK842">
        <f>_xlfn.XLOOKUP(Table1820[[#This Row],[Deductible]],Table12[Deductible],Table12[Deductible Factor],,0)</f>
        <v>1</v>
      </c>
      <c r="AL842">
        <f>_xlfn.XLOOKUP(Table1820[[#This Row],[Coverage Limit]],Table13[Coverage Limit],Table13[Coverage Limit Factor],,0)</f>
        <v>0.61</v>
      </c>
      <c r="AM842">
        <f>IF(Table1820[[#This Row],[Good Student Discount]]="Yes",'Rate Book'!$D$126,1)</f>
        <v>1</v>
      </c>
      <c r="AN842">
        <f>IF(Table1820[[#This Row],[Good Driver Discount]]="Yes",'Rate Book'!$D$127,1)</f>
        <v>1</v>
      </c>
      <c r="AO842">
        <f>IF(Table1820[[#This Row],[Multi Policy Discount]]="Yes",'Rate Book'!$D$128,1)</f>
        <v>0.93</v>
      </c>
      <c r="AP842">
        <f>IF(Table1820[[#This Row],[Loyal Customer Discount]]="Yes",'Rate Book'!$D$129,1)</f>
        <v>1</v>
      </c>
      <c r="AQ842">
        <f>IF(Table1820[[#This Row],[Organization Discount]]="Yes",'Rate Book'!$D$130,1)</f>
        <v>1</v>
      </c>
      <c r="AR842" cm="1">
        <f t="array" ref="AR842">IF(Table1820[[#This Row],[Effective Date]]&gt;=RateChangeTable[Effective Date],RateChangeTable[Rate Change Factor],1)</f>
        <v>1.06</v>
      </c>
      <c r="AS842" s="10">
        <f>PRODUCT(Table1820[[#This Row],[Base Rate]:[Rate Change Factor]])</f>
        <v>952.34145585768306</v>
      </c>
      <c r="AT842" s="9">
        <f>Table1820[[#This Row],[System-Generated Premium]]-Table1820[[#This Row],[Expected Premium]]</f>
        <v>0</v>
      </c>
      <c r="AU842" t="str">
        <f>IF(Table1820[[#This Row],[Difference]]=0,"PASS","FAIL")</f>
        <v>PASS</v>
      </c>
      <c r="AV842" s="9">
        <f>ABS(Table1820[[#This Row],[Difference]])</f>
        <v>0</v>
      </c>
      <c r="AW842" s="9" t="s">
        <v>1136</v>
      </c>
    </row>
    <row r="843" spans="1:49" x14ac:dyDescent="0.3">
      <c r="A843" t="s">
        <v>934</v>
      </c>
      <c r="B843" s="7">
        <v>45957</v>
      </c>
      <c r="C843" t="s">
        <v>74</v>
      </c>
      <c r="D843" t="s">
        <v>1098</v>
      </c>
      <c r="E843" s="3">
        <v>3</v>
      </c>
      <c r="F843" s="3">
        <v>2</v>
      </c>
      <c r="G843" t="s">
        <v>10</v>
      </c>
      <c r="H843" t="s">
        <v>1107</v>
      </c>
      <c r="I843" t="s">
        <v>29</v>
      </c>
      <c r="J843" t="s">
        <v>53</v>
      </c>
      <c r="K843" t="s">
        <v>10</v>
      </c>
      <c r="L843" t="s">
        <v>10</v>
      </c>
      <c r="M843" t="s">
        <v>10</v>
      </c>
      <c r="N843" t="s">
        <v>57</v>
      </c>
      <c r="O843" t="str">
        <f>INDEX(CoverageTable[Deductible Applies],MATCH(Table1820[[#This Row],[Coverage]],CoverageTable[Coverage],0))</f>
        <v>No</v>
      </c>
      <c r="P843" t="str">
        <f>INDEX(CoverageTable[Coverage Limit Applies],MATCH(Table1820[[#This Row],[Coverage]],CoverageTable[Coverage],0))</f>
        <v>Yes</v>
      </c>
      <c r="Q843" t="s">
        <v>10</v>
      </c>
      <c r="R843" t="s">
        <v>80</v>
      </c>
      <c r="S843" t="s">
        <v>57</v>
      </c>
      <c r="T843" t="s">
        <v>57</v>
      </c>
      <c r="U843" t="s">
        <v>57</v>
      </c>
      <c r="V843" t="s">
        <v>10</v>
      </c>
      <c r="W843" t="s">
        <v>10</v>
      </c>
      <c r="X843" s="11">
        <v>109.91679427674492</v>
      </c>
      <c r="Y843">
        <f>_xlfn.XLOOKUP(Table1820[[#This Row],[Coverage]],CoverageTable[Coverage],CoverageTable[Base Rate],,0)</f>
        <v>41</v>
      </c>
      <c r="Z843">
        <f>INDEX(Table16[Ageband Factor],MATCH(Table1820[[#This Row],[Ageband]],Table16[Ageband],0))</f>
        <v>1.23</v>
      </c>
      <c r="AA843">
        <f>VLOOKUP(Table1820[[#This Row],[Years Driving]],Table1[],2)</f>
        <v>1.22</v>
      </c>
      <c r="AB843">
        <f>_xlfn.XLOOKUP(Table1820[[#This Row],[At Fault Accidents]],Table2[At Fault Accidents],Table2[At Fault Accident Factor],,0)</f>
        <v>1.55</v>
      </c>
      <c r="AC843">
        <f>_xlfn.XLOOKUP(Table1820[[#This Row],[Usage-Based Insurance]],Table3[Usage-Based Insurance],Table3[Usage-Based Insurance Discount],,0)</f>
        <v>1</v>
      </c>
      <c r="AD843">
        <f>_xlfn.XLOOKUP(Table1820[[#This Row],[Yearly Miles]],Table4[Yearly Miles],Table4[Yearly Miles Factor],,0)</f>
        <v>0.93</v>
      </c>
      <c r="AE843">
        <f>_xlfn.XLOOKUP(Table1820[[#This Row],[City/Zip Code]],Table5[City/Zip Code],Table5[City/Zip Code Factor],,0)</f>
        <v>1.0900000000000001</v>
      </c>
      <c r="AF843">
        <f>_xlfn.XLOOKUP(Table1820[[#This Row],[Vehicle Price]],Table6[Vehicle Price],Table6[Vehicle Price Factor])</f>
        <v>2.02</v>
      </c>
      <c r="AG843">
        <f>_xlfn.XLOOKUP(Table1820[[#This Row],[Exotic Car]],Table7[Exotic Car],Table7[Exotic Car Factor],,0)</f>
        <v>1</v>
      </c>
      <c r="AH843">
        <f>_xlfn.XLOOKUP(Table1820[[#This Row],[Difficult Parts]],Table8[Difficult Parts],Table8[Difficult Parts Factor],,0)</f>
        <v>1</v>
      </c>
      <c r="AI843">
        <f>_xlfn.XLOOKUP(Table1820[[#This Row],[High Theft Rate]],Table9[High Theft Rate],Table9[High Theft Rate Factor],,0)</f>
        <v>1</v>
      </c>
      <c r="AJ843">
        <f>_xlfn.XLOOKUP(Table1820[[#This Row],[Advanced Safety Features]],Table10[Advanced Safety Features],Table10[Advanced Safety Features Factor],,0)</f>
        <v>0.88</v>
      </c>
      <c r="AK843">
        <f>_xlfn.XLOOKUP(Table1820[[#This Row],[Deductible]],Table12[Deductible],Table12[Deductible Factor],,0)</f>
        <v>1</v>
      </c>
      <c r="AL843">
        <f>_xlfn.XLOOKUP(Table1820[[#This Row],[Coverage Limit]],Table13[Coverage Limit],Table13[Coverage Limit Factor],,0)</f>
        <v>0.84</v>
      </c>
      <c r="AM843">
        <f>IF(Table1820[[#This Row],[Good Student Discount]]="Yes",'Rate Book'!$D$126,1)</f>
        <v>0.92</v>
      </c>
      <c r="AN843">
        <f>IF(Table1820[[#This Row],[Good Driver Discount]]="Yes",'Rate Book'!$D$127,1)</f>
        <v>0.89</v>
      </c>
      <c r="AO843">
        <f>IF(Table1820[[#This Row],[Multi Policy Discount]]="Yes",'Rate Book'!$D$128,1)</f>
        <v>0.93</v>
      </c>
      <c r="AP843">
        <f>IF(Table1820[[#This Row],[Loyal Customer Discount]]="Yes",'Rate Book'!$D$129,1)</f>
        <v>1</v>
      </c>
      <c r="AQ843">
        <f>IF(Table1820[[#This Row],[Organization Discount]]="Yes",'Rate Book'!$D$130,1)</f>
        <v>1</v>
      </c>
      <c r="AR843" cm="1">
        <f t="array" ref="AR843">IF(Table1820[[#This Row],[Effective Date]]&gt;=RateChangeTable[Effective Date],RateChangeTable[Rate Change Factor],1)</f>
        <v>1</v>
      </c>
      <c r="AS843" s="10">
        <f>PRODUCT(Table1820[[#This Row],[Base Rate]:[Rate Change Factor]])</f>
        <v>109.91679427674492</v>
      </c>
      <c r="AT843" s="9">
        <f>Table1820[[#This Row],[System-Generated Premium]]-Table1820[[#This Row],[Expected Premium]]</f>
        <v>0</v>
      </c>
      <c r="AU843" t="str">
        <f>IF(Table1820[[#This Row],[Difference]]=0,"PASS","FAIL")</f>
        <v>PASS</v>
      </c>
      <c r="AV843" s="9">
        <f>ABS(Table1820[[#This Row],[Difference]])</f>
        <v>0</v>
      </c>
      <c r="AW843" s="9" t="s">
        <v>1136</v>
      </c>
    </row>
    <row r="844" spans="1:49" x14ac:dyDescent="0.3">
      <c r="A844" t="s">
        <v>935</v>
      </c>
      <c r="B844" s="7">
        <v>46129</v>
      </c>
      <c r="C844" t="s">
        <v>71</v>
      </c>
      <c r="D844" t="s">
        <v>1098</v>
      </c>
      <c r="E844" s="3">
        <v>1</v>
      </c>
      <c r="F844" s="3" t="s">
        <v>7</v>
      </c>
      <c r="G844" t="s">
        <v>10</v>
      </c>
      <c r="H844" t="s">
        <v>1109</v>
      </c>
      <c r="I844" t="s">
        <v>34</v>
      </c>
      <c r="J844" t="s">
        <v>50</v>
      </c>
      <c r="K844" t="s">
        <v>10</v>
      </c>
      <c r="L844" t="s">
        <v>10</v>
      </c>
      <c r="M844" t="s">
        <v>10</v>
      </c>
      <c r="N844" t="s">
        <v>10</v>
      </c>
      <c r="O844" t="str">
        <f>INDEX(CoverageTable[Deductible Applies],MATCH(Table1820[[#This Row],[Coverage]],CoverageTable[Coverage],0))</f>
        <v>Yes</v>
      </c>
      <c r="P844" t="str">
        <f>INDEX(CoverageTable[Coverage Limit Applies],MATCH(Table1820[[#This Row],[Coverage]],CoverageTable[Coverage],0))</f>
        <v>No</v>
      </c>
      <c r="Q844" t="s">
        <v>78</v>
      </c>
      <c r="R844" t="s">
        <v>10</v>
      </c>
      <c r="S844" t="s">
        <v>10</v>
      </c>
      <c r="T844" t="s">
        <v>57</v>
      </c>
      <c r="U844" t="s">
        <v>10</v>
      </c>
      <c r="V844" t="s">
        <v>10</v>
      </c>
      <c r="W844" t="s">
        <v>10</v>
      </c>
      <c r="X844" s="11">
        <v>4021.5544488841319</v>
      </c>
      <c r="Y844">
        <f>_xlfn.XLOOKUP(Table1820[[#This Row],[Coverage]],CoverageTable[Coverage],CoverageTable[Base Rate],,0)</f>
        <v>453</v>
      </c>
      <c r="Z844">
        <f>INDEX(Table16[Ageband Factor],MATCH(Table1820[[#This Row],[Ageband]],Table16[Ageband],0))</f>
        <v>1.23</v>
      </c>
      <c r="AA844">
        <f>VLOOKUP(Table1820[[#This Row],[Years Driving]],Table1[],2)</f>
        <v>1.64</v>
      </c>
      <c r="AB844">
        <f>_xlfn.XLOOKUP(Table1820[[#This Row],[At Fault Accidents]],Table2[At Fault Accidents],Table2[At Fault Accident Factor],,0)</f>
        <v>2.4700000000000002</v>
      </c>
      <c r="AC844">
        <f>_xlfn.XLOOKUP(Table1820[[#This Row],[Usage-Based Insurance]],Table3[Usage-Based Insurance],Table3[Usage-Based Insurance Discount],,0)</f>
        <v>1</v>
      </c>
      <c r="AD844">
        <f>_xlfn.XLOOKUP(Table1820[[#This Row],[Yearly Miles]],Table4[Yearly Miles],Table4[Yearly Miles Factor],,0)</f>
        <v>1.18</v>
      </c>
      <c r="AE844">
        <f>_xlfn.XLOOKUP(Table1820[[#This Row],[City/Zip Code]],Table5[City/Zip Code],Table5[City/Zip Code Factor],,0)</f>
        <v>1.56</v>
      </c>
      <c r="AF844">
        <f>_xlfn.XLOOKUP(Table1820[[#This Row],[Vehicle Price]],Table6[Vehicle Price],Table6[Vehicle Price Factor])</f>
        <v>1.08</v>
      </c>
      <c r="AG844">
        <f>_xlfn.XLOOKUP(Table1820[[#This Row],[Exotic Car]],Table7[Exotic Car],Table7[Exotic Car Factor],,0)</f>
        <v>1</v>
      </c>
      <c r="AH844">
        <f>_xlfn.XLOOKUP(Table1820[[#This Row],[Difficult Parts]],Table8[Difficult Parts],Table8[Difficult Parts Factor],,0)</f>
        <v>1</v>
      </c>
      <c r="AI844">
        <f>_xlfn.XLOOKUP(Table1820[[#This Row],[High Theft Rate]],Table9[High Theft Rate],Table9[High Theft Rate Factor],,0)</f>
        <v>1</v>
      </c>
      <c r="AJ844">
        <f>_xlfn.XLOOKUP(Table1820[[#This Row],[Advanced Safety Features]],Table10[Advanced Safety Features],Table10[Advanced Safety Features Factor],,0)</f>
        <v>1</v>
      </c>
      <c r="AK844">
        <f>_xlfn.XLOOKUP(Table1820[[#This Row],[Deductible]],Table12[Deductible],Table12[Deductible Factor],,0)</f>
        <v>0.95</v>
      </c>
      <c r="AL844">
        <f>_xlfn.XLOOKUP(Table1820[[#This Row],[Coverage Limit]],Table13[Coverage Limit],Table13[Coverage Limit Factor],,0)</f>
        <v>1</v>
      </c>
      <c r="AM844">
        <f>IF(Table1820[[#This Row],[Good Student Discount]]="Yes",'Rate Book'!$D$126,1)</f>
        <v>1</v>
      </c>
      <c r="AN844">
        <f>IF(Table1820[[#This Row],[Good Driver Discount]]="Yes",'Rate Book'!$D$127,1)</f>
        <v>0.89</v>
      </c>
      <c r="AO844">
        <f>IF(Table1820[[#This Row],[Multi Policy Discount]]="Yes",'Rate Book'!$D$128,1)</f>
        <v>1</v>
      </c>
      <c r="AP844">
        <f>IF(Table1820[[#This Row],[Loyal Customer Discount]]="Yes",'Rate Book'!$D$129,1)</f>
        <v>1</v>
      </c>
      <c r="AQ844">
        <f>IF(Table1820[[#This Row],[Organization Discount]]="Yes",'Rate Book'!$D$130,1)</f>
        <v>1</v>
      </c>
      <c r="AR844" cm="1">
        <f t="array" ref="AR844">IF(Table1820[[#This Row],[Effective Date]]&gt;=RateChangeTable[Effective Date],RateChangeTable[Rate Change Factor],1)</f>
        <v>1.06</v>
      </c>
      <c r="AS844" s="10">
        <f>PRODUCT(Table1820[[#This Row],[Base Rate]:[Rate Change Factor]])</f>
        <v>4021.5544488841319</v>
      </c>
      <c r="AT844" s="9">
        <f>Table1820[[#This Row],[System-Generated Premium]]-Table1820[[#This Row],[Expected Premium]]</f>
        <v>0</v>
      </c>
      <c r="AU844" t="str">
        <f>IF(Table1820[[#This Row],[Difference]]=0,"PASS","FAIL")</f>
        <v>PASS</v>
      </c>
      <c r="AV844" s="9">
        <f>ABS(Table1820[[#This Row],[Difference]])</f>
        <v>0</v>
      </c>
      <c r="AW844" s="9" t="s">
        <v>1136</v>
      </c>
    </row>
    <row r="845" spans="1:49" x14ac:dyDescent="0.3">
      <c r="A845" t="s">
        <v>936</v>
      </c>
      <c r="B845" s="7">
        <v>46091</v>
      </c>
      <c r="C845" t="s">
        <v>74</v>
      </c>
      <c r="D845" t="s">
        <v>1099</v>
      </c>
      <c r="E845" s="3">
        <v>3</v>
      </c>
      <c r="F845" s="3">
        <v>2</v>
      </c>
      <c r="G845" t="s">
        <v>10</v>
      </c>
      <c r="H845" t="s">
        <v>1107</v>
      </c>
      <c r="I845" t="s">
        <v>42</v>
      </c>
      <c r="J845" t="s">
        <v>53</v>
      </c>
      <c r="K845" t="s">
        <v>10</v>
      </c>
      <c r="L845" t="s">
        <v>10</v>
      </c>
      <c r="M845" t="s">
        <v>10</v>
      </c>
      <c r="N845" t="s">
        <v>10</v>
      </c>
      <c r="O845" t="str">
        <f>INDEX(CoverageTable[Deductible Applies],MATCH(Table1820[[#This Row],[Coverage]],CoverageTable[Coverage],0))</f>
        <v>No</v>
      </c>
      <c r="P845" t="str">
        <f>INDEX(CoverageTable[Coverage Limit Applies],MATCH(Table1820[[#This Row],[Coverage]],CoverageTable[Coverage],0))</f>
        <v>Yes</v>
      </c>
      <c r="Q845" t="s">
        <v>10</v>
      </c>
      <c r="R845" t="s">
        <v>79</v>
      </c>
      <c r="S845" t="s">
        <v>10</v>
      </c>
      <c r="T845" t="s">
        <v>57</v>
      </c>
      <c r="U845" t="s">
        <v>10</v>
      </c>
      <c r="V845" t="s">
        <v>57</v>
      </c>
      <c r="W845" t="s">
        <v>57</v>
      </c>
      <c r="X845" s="11">
        <v>102.97</v>
      </c>
      <c r="Y845">
        <f>_xlfn.XLOOKUP(Table1820[[#This Row],[Coverage]],CoverageTable[Coverage],CoverageTable[Base Rate],,0)</f>
        <v>41</v>
      </c>
      <c r="Z845">
        <f>INDEX(Table16[Ageband Factor],MATCH(Table1820[[#This Row],[Ageband]],Table16[Ageband],0))</f>
        <v>1</v>
      </c>
      <c r="AA845">
        <f>VLOOKUP(Table1820[[#This Row],[Years Driving]],Table1[],2)</f>
        <v>1.22</v>
      </c>
      <c r="AB845">
        <f>_xlfn.XLOOKUP(Table1820[[#This Row],[At Fault Accidents]],Table2[At Fault Accidents],Table2[At Fault Accident Factor],,0)</f>
        <v>1.55</v>
      </c>
      <c r="AC845">
        <f>_xlfn.XLOOKUP(Table1820[[#This Row],[Usage-Based Insurance]],Table3[Usage-Based Insurance],Table3[Usage-Based Insurance Discount],,0)</f>
        <v>1</v>
      </c>
      <c r="AD845">
        <f>_xlfn.XLOOKUP(Table1820[[#This Row],[Yearly Miles]],Table4[Yearly Miles],Table4[Yearly Miles Factor],,0)</f>
        <v>0.93</v>
      </c>
      <c r="AE845">
        <f>_xlfn.XLOOKUP(Table1820[[#This Row],[City/Zip Code]],Table5[City/Zip Code],Table5[City/Zip Code Factor],,0)</f>
        <v>1.21</v>
      </c>
      <c r="AF845">
        <f>_xlfn.XLOOKUP(Table1820[[#This Row],[Vehicle Price]],Table6[Vehicle Price],Table6[Vehicle Price Factor])</f>
        <v>2.02</v>
      </c>
      <c r="AG845">
        <f>_xlfn.XLOOKUP(Table1820[[#This Row],[Exotic Car]],Table7[Exotic Car],Table7[Exotic Car Factor],,0)</f>
        <v>1</v>
      </c>
      <c r="AH845">
        <f>_xlfn.XLOOKUP(Table1820[[#This Row],[Difficult Parts]],Table8[Difficult Parts],Table8[Difficult Parts Factor],,0)</f>
        <v>1</v>
      </c>
      <c r="AI845">
        <f>_xlfn.XLOOKUP(Table1820[[#This Row],[High Theft Rate]],Table9[High Theft Rate],Table9[High Theft Rate Factor],,0)</f>
        <v>1</v>
      </c>
      <c r="AJ845">
        <f>_xlfn.XLOOKUP(Table1820[[#This Row],[Advanced Safety Features]],Table10[Advanced Safety Features],Table10[Advanced Safety Features Factor],,0)</f>
        <v>1</v>
      </c>
      <c r="AK845">
        <f>_xlfn.XLOOKUP(Table1820[[#This Row],[Deductible]],Table12[Deductible],Table12[Deductible Factor],,0)</f>
        <v>1</v>
      </c>
      <c r="AL845">
        <f>_xlfn.XLOOKUP(Table1820[[#This Row],[Coverage Limit]],Table13[Coverage Limit],Table13[Coverage Limit Factor],,0)</f>
        <v>0.72</v>
      </c>
      <c r="AM845">
        <f>IF(Table1820[[#This Row],[Good Student Discount]]="Yes",'Rate Book'!$D$126,1)</f>
        <v>1</v>
      </c>
      <c r="AN845">
        <f>IF(Table1820[[#This Row],[Good Driver Discount]]="Yes",'Rate Book'!$D$127,1)</f>
        <v>0.89</v>
      </c>
      <c r="AO845">
        <f>IF(Table1820[[#This Row],[Multi Policy Discount]]="Yes",'Rate Book'!$D$128,1)</f>
        <v>1</v>
      </c>
      <c r="AP845">
        <f>IF(Table1820[[#This Row],[Loyal Customer Discount]]="Yes",'Rate Book'!$D$129,1)</f>
        <v>0.94</v>
      </c>
      <c r="AQ845">
        <f>IF(Table1820[[#This Row],[Organization Discount]]="Yes",'Rate Book'!$D$130,1)</f>
        <v>0.97</v>
      </c>
      <c r="AR845" cm="1">
        <f t="array" ref="AR845">IF(Table1820[[#This Row],[Effective Date]]&gt;=RateChangeTable[Effective Date],RateChangeTable[Rate Change Factor],1)</f>
        <v>1.06</v>
      </c>
      <c r="AS845" s="10">
        <f>PRODUCT(Table1820[[#This Row],[Base Rate]:[Rate Change Factor]])</f>
        <v>109.14982156879823</v>
      </c>
      <c r="AT845" s="9">
        <f>Table1820[[#This Row],[System-Generated Premium]]-Table1820[[#This Row],[Expected Premium]]</f>
        <v>-6.1798215687982321</v>
      </c>
      <c r="AU845" t="str">
        <f>IF(Table1820[[#This Row],[Difference]]=0,"PASS","FAIL")</f>
        <v>FAIL</v>
      </c>
      <c r="AV845" s="9">
        <f>ABS(Table1820[[#This Row],[Difference]])</f>
        <v>6.1798215687982321</v>
      </c>
      <c r="AW845" s="9" t="s">
        <v>1133</v>
      </c>
    </row>
    <row r="846" spans="1:49" x14ac:dyDescent="0.3">
      <c r="A846" t="s">
        <v>937</v>
      </c>
      <c r="B846" s="7">
        <v>45819</v>
      </c>
      <c r="C846" t="s">
        <v>70</v>
      </c>
      <c r="D846" t="s">
        <v>1101</v>
      </c>
      <c r="E846" s="3">
        <v>7</v>
      </c>
      <c r="F846" s="3">
        <v>0</v>
      </c>
      <c r="G846" t="s">
        <v>12</v>
      </c>
      <c r="H846" t="s">
        <v>1110</v>
      </c>
      <c r="I846" t="s">
        <v>25</v>
      </c>
      <c r="J846" t="s">
        <v>54</v>
      </c>
      <c r="K846" t="s">
        <v>10</v>
      </c>
      <c r="L846" t="s">
        <v>10</v>
      </c>
      <c r="M846" t="s">
        <v>10</v>
      </c>
      <c r="N846" t="s">
        <v>57</v>
      </c>
      <c r="O846" t="str">
        <f>INDEX(CoverageTable[Deductible Applies],MATCH(Table1820[[#This Row],[Coverage]],CoverageTable[Coverage],0))</f>
        <v>No</v>
      </c>
      <c r="P846" t="str">
        <f>INDEX(CoverageTable[Coverage Limit Applies],MATCH(Table1820[[#This Row],[Coverage]],CoverageTable[Coverage],0))</f>
        <v>Yes</v>
      </c>
      <c r="Q846" t="s">
        <v>10</v>
      </c>
      <c r="R846" t="s">
        <v>78</v>
      </c>
      <c r="S846" t="s">
        <v>10</v>
      </c>
      <c r="T846" t="s">
        <v>10</v>
      </c>
      <c r="U846" t="s">
        <v>10</v>
      </c>
      <c r="V846" t="s">
        <v>10</v>
      </c>
      <c r="W846" t="s">
        <v>57</v>
      </c>
      <c r="X846" s="11">
        <v>1202.3126670871977</v>
      </c>
      <c r="Y846">
        <f>_xlfn.XLOOKUP(Table1820[[#This Row],[Coverage]],CoverageTable[Coverage],CoverageTable[Base Rate],,0)</f>
        <v>622</v>
      </c>
      <c r="Z846">
        <f>INDEX(Table16[Ageband Factor],MATCH(Table1820[[#This Row],[Ageband]],Table16[Ageband],0))</f>
        <v>1.1200000000000001</v>
      </c>
      <c r="AA846">
        <f>VLOOKUP(Table1820[[#This Row],[Years Driving]],Table1[],2)</f>
        <v>0.95</v>
      </c>
      <c r="AB846">
        <f>_xlfn.XLOOKUP(Table1820[[#This Row],[At Fault Accidents]],Table2[At Fault Accidents],Table2[At Fault Accident Factor],,0)</f>
        <v>1</v>
      </c>
      <c r="AC846">
        <f>_xlfn.XLOOKUP(Table1820[[#This Row],[Usage-Based Insurance]],Table3[Usage-Based Insurance],Table3[Usage-Based Insurance Discount],,0)</f>
        <v>0.8</v>
      </c>
      <c r="AD846">
        <f>_xlfn.XLOOKUP(Table1820[[#This Row],[Yearly Miles]],Table4[Yearly Miles],Table4[Yearly Miles Factor],,0)</f>
        <v>1.31</v>
      </c>
      <c r="AE846">
        <f>_xlfn.XLOOKUP(Table1820[[#This Row],[City/Zip Code]],Table5[City/Zip Code],Table5[City/Zip Code Factor],,0)</f>
        <v>1.1599999999999999</v>
      </c>
      <c r="AF846">
        <f>_xlfn.XLOOKUP(Table1820[[#This Row],[Vehicle Price]],Table6[Vehicle Price],Table6[Vehicle Price Factor])</f>
        <v>2.87</v>
      </c>
      <c r="AG846">
        <f>_xlfn.XLOOKUP(Table1820[[#This Row],[Exotic Car]],Table7[Exotic Car],Table7[Exotic Car Factor],,0)</f>
        <v>1</v>
      </c>
      <c r="AH846">
        <f>_xlfn.XLOOKUP(Table1820[[#This Row],[Difficult Parts]],Table8[Difficult Parts],Table8[Difficult Parts Factor],,0)</f>
        <v>1</v>
      </c>
      <c r="AI846">
        <f>_xlfn.XLOOKUP(Table1820[[#This Row],[High Theft Rate]],Table9[High Theft Rate],Table9[High Theft Rate Factor],,0)</f>
        <v>1</v>
      </c>
      <c r="AJ846">
        <f>_xlfn.XLOOKUP(Table1820[[#This Row],[Advanced Safety Features]],Table10[Advanced Safety Features],Table10[Advanced Safety Features Factor],,0)</f>
        <v>0.88</v>
      </c>
      <c r="AK846">
        <f>_xlfn.XLOOKUP(Table1820[[#This Row],[Deductible]],Table12[Deductible],Table12[Deductible Factor],,0)</f>
        <v>1</v>
      </c>
      <c r="AL846">
        <f>_xlfn.XLOOKUP(Table1820[[#This Row],[Coverage Limit]],Table13[Coverage Limit],Table13[Coverage Limit Factor],,0)</f>
        <v>0.61</v>
      </c>
      <c r="AM846">
        <f>IF(Table1820[[#This Row],[Good Student Discount]]="Yes",'Rate Book'!$D$126,1)</f>
        <v>1</v>
      </c>
      <c r="AN846">
        <f>IF(Table1820[[#This Row],[Good Driver Discount]]="Yes",'Rate Book'!$D$127,1)</f>
        <v>1</v>
      </c>
      <c r="AO846">
        <f>IF(Table1820[[#This Row],[Multi Policy Discount]]="Yes",'Rate Book'!$D$128,1)</f>
        <v>1</v>
      </c>
      <c r="AP846">
        <f>IF(Table1820[[#This Row],[Loyal Customer Discount]]="Yes",'Rate Book'!$D$129,1)</f>
        <v>1</v>
      </c>
      <c r="AQ846">
        <f>IF(Table1820[[#This Row],[Organization Discount]]="Yes",'Rate Book'!$D$130,1)</f>
        <v>0.97</v>
      </c>
      <c r="AR846" cm="1">
        <f t="array" ref="AR846">IF(Table1820[[#This Row],[Effective Date]]&gt;=RateChangeTable[Effective Date],RateChangeTable[Rate Change Factor],1)</f>
        <v>1</v>
      </c>
      <c r="AS846" s="10">
        <f>PRODUCT(Table1820[[#This Row],[Base Rate]:[Rate Change Factor]])</f>
        <v>1202.3126670871977</v>
      </c>
      <c r="AT846" s="9">
        <f>Table1820[[#This Row],[System-Generated Premium]]-Table1820[[#This Row],[Expected Premium]]</f>
        <v>0</v>
      </c>
      <c r="AU846" t="str">
        <f>IF(Table1820[[#This Row],[Difference]]=0,"PASS","FAIL")</f>
        <v>PASS</v>
      </c>
      <c r="AV846" s="9">
        <f>ABS(Table1820[[#This Row],[Difference]])</f>
        <v>0</v>
      </c>
      <c r="AW846" s="9" t="s">
        <v>1136</v>
      </c>
    </row>
    <row r="847" spans="1:49" x14ac:dyDescent="0.3">
      <c r="A847" t="s">
        <v>938</v>
      </c>
      <c r="B847" s="7">
        <v>45961</v>
      </c>
      <c r="C847" t="s">
        <v>74</v>
      </c>
      <c r="D847" t="s">
        <v>1102</v>
      </c>
      <c r="E847" s="3">
        <v>5</v>
      </c>
      <c r="F847" s="3">
        <v>0</v>
      </c>
      <c r="G847" t="s">
        <v>13</v>
      </c>
      <c r="H847" t="s">
        <v>1107</v>
      </c>
      <c r="I847" t="s">
        <v>29</v>
      </c>
      <c r="J847" t="s">
        <v>50</v>
      </c>
      <c r="K847" t="s">
        <v>10</v>
      </c>
      <c r="L847" t="s">
        <v>10</v>
      </c>
      <c r="M847" t="s">
        <v>10</v>
      </c>
      <c r="N847" t="s">
        <v>57</v>
      </c>
      <c r="O847" t="str">
        <f>INDEX(CoverageTable[Deductible Applies],MATCH(Table1820[[#This Row],[Coverage]],CoverageTable[Coverage],0))</f>
        <v>No</v>
      </c>
      <c r="P847" t="str">
        <f>INDEX(CoverageTable[Coverage Limit Applies],MATCH(Table1820[[#This Row],[Coverage]],CoverageTable[Coverage],0))</f>
        <v>Yes</v>
      </c>
      <c r="Q847" t="s">
        <v>10</v>
      </c>
      <c r="R847" t="s">
        <v>79</v>
      </c>
      <c r="S847" t="s">
        <v>10</v>
      </c>
      <c r="T847" t="s">
        <v>57</v>
      </c>
      <c r="U847" t="s">
        <v>10</v>
      </c>
      <c r="V847" t="s">
        <v>10</v>
      </c>
      <c r="W847" t="s">
        <v>10</v>
      </c>
      <c r="X847" s="11">
        <v>22.357492267043838</v>
      </c>
      <c r="Y847">
        <f>_xlfn.XLOOKUP(Table1820[[#This Row],[Coverage]],CoverageTable[Coverage],CoverageTable[Base Rate],,0)</f>
        <v>41</v>
      </c>
      <c r="Z847">
        <f>INDEX(Table16[Ageband Factor],MATCH(Table1820[[#This Row],[Ageband]],Table16[Ageband],0))</f>
        <v>1.27</v>
      </c>
      <c r="AA847">
        <f>VLOOKUP(Table1820[[#This Row],[Years Driving]],Table1[],2)</f>
        <v>1.07</v>
      </c>
      <c r="AB847">
        <f>_xlfn.XLOOKUP(Table1820[[#This Row],[At Fault Accidents]],Table2[At Fault Accidents],Table2[At Fault Accident Factor],,0)</f>
        <v>1</v>
      </c>
      <c r="AC847">
        <f>_xlfn.XLOOKUP(Table1820[[#This Row],[Usage-Based Insurance]],Table3[Usage-Based Insurance],Table3[Usage-Based Insurance Discount],,0)</f>
        <v>0.65</v>
      </c>
      <c r="AD847">
        <f>_xlfn.XLOOKUP(Table1820[[#This Row],[Yearly Miles]],Table4[Yearly Miles],Table4[Yearly Miles Factor],,0)</f>
        <v>0.93</v>
      </c>
      <c r="AE847">
        <f>_xlfn.XLOOKUP(Table1820[[#This Row],[City/Zip Code]],Table5[City/Zip Code],Table5[City/Zip Code Factor],,0)</f>
        <v>1.0900000000000001</v>
      </c>
      <c r="AF847">
        <f>_xlfn.XLOOKUP(Table1820[[#This Row],[Vehicle Price]],Table6[Vehicle Price],Table6[Vehicle Price Factor])</f>
        <v>1.08</v>
      </c>
      <c r="AG847">
        <f>_xlfn.XLOOKUP(Table1820[[#This Row],[Exotic Car]],Table7[Exotic Car],Table7[Exotic Car Factor],,0)</f>
        <v>1</v>
      </c>
      <c r="AH847">
        <f>_xlfn.XLOOKUP(Table1820[[#This Row],[Difficult Parts]],Table8[Difficult Parts],Table8[Difficult Parts Factor],,0)</f>
        <v>1</v>
      </c>
      <c r="AI847">
        <f>_xlfn.XLOOKUP(Table1820[[#This Row],[High Theft Rate]],Table9[High Theft Rate],Table9[High Theft Rate Factor],,0)</f>
        <v>1</v>
      </c>
      <c r="AJ847">
        <f>_xlfn.XLOOKUP(Table1820[[#This Row],[Advanced Safety Features]],Table10[Advanced Safety Features],Table10[Advanced Safety Features Factor],,0)</f>
        <v>0.88</v>
      </c>
      <c r="AK847">
        <f>_xlfn.XLOOKUP(Table1820[[#This Row],[Deductible]],Table12[Deductible],Table12[Deductible Factor],,0)</f>
        <v>1</v>
      </c>
      <c r="AL847">
        <f>_xlfn.XLOOKUP(Table1820[[#This Row],[Coverage Limit]],Table13[Coverage Limit],Table13[Coverage Limit Factor],,0)</f>
        <v>0.72</v>
      </c>
      <c r="AM847">
        <f>IF(Table1820[[#This Row],[Good Student Discount]]="Yes",'Rate Book'!$D$126,1)</f>
        <v>1</v>
      </c>
      <c r="AN847">
        <f>IF(Table1820[[#This Row],[Good Driver Discount]]="Yes",'Rate Book'!$D$127,1)</f>
        <v>0.89</v>
      </c>
      <c r="AO847">
        <f>IF(Table1820[[#This Row],[Multi Policy Discount]]="Yes",'Rate Book'!$D$128,1)</f>
        <v>1</v>
      </c>
      <c r="AP847">
        <f>IF(Table1820[[#This Row],[Loyal Customer Discount]]="Yes",'Rate Book'!$D$129,1)</f>
        <v>1</v>
      </c>
      <c r="AQ847">
        <f>IF(Table1820[[#This Row],[Organization Discount]]="Yes",'Rate Book'!$D$130,1)</f>
        <v>1</v>
      </c>
      <c r="AR847" cm="1">
        <f t="array" ref="AR847">IF(Table1820[[#This Row],[Effective Date]]&gt;=RateChangeTable[Effective Date],RateChangeTable[Rate Change Factor],1)</f>
        <v>1</v>
      </c>
      <c r="AS847" s="10">
        <f>PRODUCT(Table1820[[#This Row],[Base Rate]:[Rate Change Factor]])</f>
        <v>22.357492267043838</v>
      </c>
      <c r="AT847" s="9">
        <f>Table1820[[#This Row],[System-Generated Premium]]-Table1820[[#This Row],[Expected Premium]]</f>
        <v>0</v>
      </c>
      <c r="AU847" t="str">
        <f>IF(Table1820[[#This Row],[Difference]]=0,"PASS","FAIL")</f>
        <v>PASS</v>
      </c>
      <c r="AV847" s="9">
        <f>ABS(Table1820[[#This Row],[Difference]])</f>
        <v>0</v>
      </c>
      <c r="AW847" s="9" t="s">
        <v>1136</v>
      </c>
    </row>
    <row r="848" spans="1:49" x14ac:dyDescent="0.3">
      <c r="A848" t="s">
        <v>939</v>
      </c>
      <c r="B848" s="7">
        <v>45957</v>
      </c>
      <c r="C848" t="s">
        <v>73</v>
      </c>
      <c r="D848" t="s">
        <v>1101</v>
      </c>
      <c r="E848" s="3">
        <v>5</v>
      </c>
      <c r="F848" s="3">
        <v>3</v>
      </c>
      <c r="G848" t="s">
        <v>10</v>
      </c>
      <c r="H848" t="s">
        <v>1109</v>
      </c>
      <c r="I848" t="s">
        <v>24</v>
      </c>
      <c r="J848" t="s">
        <v>54</v>
      </c>
      <c r="K848" t="s">
        <v>10</v>
      </c>
      <c r="L848" t="s">
        <v>10</v>
      </c>
      <c r="M848" t="s">
        <v>10</v>
      </c>
      <c r="N848" t="s">
        <v>57</v>
      </c>
      <c r="O848" t="str">
        <f>INDEX(CoverageTable[Deductible Applies],MATCH(Table1820[[#This Row],[Coverage]],CoverageTable[Coverage],0))</f>
        <v>No</v>
      </c>
      <c r="P848" t="str">
        <f>INDEX(CoverageTable[Coverage Limit Applies],MATCH(Table1820[[#This Row],[Coverage]],CoverageTable[Coverage],0))</f>
        <v>Yes</v>
      </c>
      <c r="Q848" t="s">
        <v>10</v>
      </c>
      <c r="R848" t="s">
        <v>78</v>
      </c>
      <c r="S848" t="s">
        <v>57</v>
      </c>
      <c r="T848" t="s">
        <v>10</v>
      </c>
      <c r="U848" t="s">
        <v>10</v>
      </c>
      <c r="V848" t="s">
        <v>10</v>
      </c>
      <c r="W848" t="s">
        <v>10</v>
      </c>
      <c r="X848" s="11">
        <v>338.59379181538469</v>
      </c>
      <c r="Y848">
        <f>_xlfn.XLOOKUP(Table1820[[#This Row],[Coverage]],CoverageTable[Coverage],CoverageTable[Base Rate],,0)</f>
        <v>78</v>
      </c>
      <c r="Z848">
        <f>INDEX(Table16[Ageband Factor],MATCH(Table1820[[#This Row],[Ageband]],Table16[Ageband],0))</f>
        <v>1.1200000000000001</v>
      </c>
      <c r="AA848">
        <f>VLOOKUP(Table1820[[#This Row],[Years Driving]],Table1[],2)</f>
        <v>1.07</v>
      </c>
      <c r="AB848">
        <f>_xlfn.XLOOKUP(Table1820[[#This Row],[At Fault Accidents]],Table2[At Fault Accidents],Table2[At Fault Accident Factor],,0)</f>
        <v>1.82</v>
      </c>
      <c r="AC848">
        <f>_xlfn.XLOOKUP(Table1820[[#This Row],[Usage-Based Insurance]],Table3[Usage-Based Insurance],Table3[Usage-Based Insurance Discount],,0)</f>
        <v>1</v>
      </c>
      <c r="AD848">
        <f>_xlfn.XLOOKUP(Table1820[[#This Row],[Yearly Miles]],Table4[Yearly Miles],Table4[Yearly Miles Factor],,0)</f>
        <v>1.18</v>
      </c>
      <c r="AE848">
        <f>_xlfn.XLOOKUP(Table1820[[#This Row],[City/Zip Code]],Table5[City/Zip Code],Table5[City/Zip Code Factor],,0)</f>
        <v>1.19</v>
      </c>
      <c r="AF848">
        <f>_xlfn.XLOOKUP(Table1820[[#This Row],[Vehicle Price]],Table6[Vehicle Price],Table6[Vehicle Price Factor])</f>
        <v>2.87</v>
      </c>
      <c r="AG848">
        <f>_xlfn.XLOOKUP(Table1820[[#This Row],[Exotic Car]],Table7[Exotic Car],Table7[Exotic Car Factor],,0)</f>
        <v>1</v>
      </c>
      <c r="AH848">
        <f>_xlfn.XLOOKUP(Table1820[[#This Row],[Difficult Parts]],Table8[Difficult Parts],Table8[Difficult Parts Factor],,0)</f>
        <v>1</v>
      </c>
      <c r="AI848">
        <f>_xlfn.XLOOKUP(Table1820[[#This Row],[High Theft Rate]],Table9[High Theft Rate],Table9[High Theft Rate Factor],,0)</f>
        <v>1</v>
      </c>
      <c r="AJ848">
        <f>_xlfn.XLOOKUP(Table1820[[#This Row],[Advanced Safety Features]],Table10[Advanced Safety Features],Table10[Advanced Safety Features Factor],,0)</f>
        <v>0.88</v>
      </c>
      <c r="AK848">
        <f>_xlfn.XLOOKUP(Table1820[[#This Row],[Deductible]],Table12[Deductible],Table12[Deductible Factor],,0)</f>
        <v>1</v>
      </c>
      <c r="AL848">
        <f>_xlfn.XLOOKUP(Table1820[[#This Row],[Coverage Limit]],Table13[Coverage Limit],Table13[Coverage Limit Factor],,0)</f>
        <v>0.61</v>
      </c>
      <c r="AM848">
        <f>IF(Table1820[[#This Row],[Good Student Discount]]="Yes",'Rate Book'!$D$126,1)</f>
        <v>0.92</v>
      </c>
      <c r="AN848">
        <f>IF(Table1820[[#This Row],[Good Driver Discount]]="Yes",'Rate Book'!$D$127,1)</f>
        <v>1</v>
      </c>
      <c r="AO848">
        <f>IF(Table1820[[#This Row],[Multi Policy Discount]]="Yes",'Rate Book'!$D$128,1)</f>
        <v>1</v>
      </c>
      <c r="AP848">
        <f>IF(Table1820[[#This Row],[Loyal Customer Discount]]="Yes",'Rate Book'!$D$129,1)</f>
        <v>1</v>
      </c>
      <c r="AQ848">
        <f>IF(Table1820[[#This Row],[Organization Discount]]="Yes",'Rate Book'!$D$130,1)</f>
        <v>1</v>
      </c>
      <c r="AR848" cm="1">
        <f t="array" ref="AR848">IF(Table1820[[#This Row],[Effective Date]]&gt;=RateChangeTable[Effective Date],RateChangeTable[Rate Change Factor],1)</f>
        <v>1</v>
      </c>
      <c r="AS848" s="10">
        <f>PRODUCT(Table1820[[#This Row],[Base Rate]:[Rate Change Factor]])</f>
        <v>338.59379181538469</v>
      </c>
      <c r="AT848" s="9">
        <f>Table1820[[#This Row],[System-Generated Premium]]-Table1820[[#This Row],[Expected Premium]]</f>
        <v>0</v>
      </c>
      <c r="AU848" t="str">
        <f>IF(Table1820[[#This Row],[Difference]]=0,"PASS","FAIL")</f>
        <v>PASS</v>
      </c>
      <c r="AV848" s="9">
        <f>ABS(Table1820[[#This Row],[Difference]])</f>
        <v>0</v>
      </c>
      <c r="AW848" s="9" t="s">
        <v>1136</v>
      </c>
    </row>
    <row r="849" spans="1:49" x14ac:dyDescent="0.3">
      <c r="A849" t="s">
        <v>940</v>
      </c>
      <c r="B849" s="7">
        <v>45829</v>
      </c>
      <c r="C849" t="s">
        <v>74</v>
      </c>
      <c r="D849" t="s">
        <v>1100</v>
      </c>
      <c r="E849" s="3" t="s">
        <v>1103</v>
      </c>
      <c r="F849" s="3" t="s">
        <v>7</v>
      </c>
      <c r="G849" t="s">
        <v>10</v>
      </c>
      <c r="H849" t="s">
        <v>1110</v>
      </c>
      <c r="I849" t="s">
        <v>21</v>
      </c>
      <c r="J849" t="s">
        <v>54</v>
      </c>
      <c r="K849" t="s">
        <v>57</v>
      </c>
      <c r="L849" t="s">
        <v>10</v>
      </c>
      <c r="M849" t="s">
        <v>10</v>
      </c>
      <c r="N849" t="s">
        <v>57</v>
      </c>
      <c r="O849" t="str">
        <f>INDEX(CoverageTable[Deductible Applies],MATCH(Table1820[[#This Row],[Coverage]],CoverageTable[Coverage],0))</f>
        <v>No</v>
      </c>
      <c r="P849" t="str">
        <f>INDEX(CoverageTable[Coverage Limit Applies],MATCH(Table1820[[#This Row],[Coverage]],CoverageTable[Coverage],0))</f>
        <v>Yes</v>
      </c>
      <c r="Q849" t="s">
        <v>10</v>
      </c>
      <c r="R849" t="s">
        <v>79</v>
      </c>
      <c r="S849" t="s">
        <v>57</v>
      </c>
      <c r="T849" t="s">
        <v>57</v>
      </c>
      <c r="U849" t="s">
        <v>10</v>
      </c>
      <c r="V849" t="s">
        <v>10</v>
      </c>
      <c r="W849" t="s">
        <v>10</v>
      </c>
      <c r="X849" s="11">
        <v>317.01093710345674</v>
      </c>
      <c r="Y849">
        <f>_xlfn.XLOOKUP(Table1820[[#This Row],[Coverage]],CoverageTable[Coverage],CoverageTable[Base Rate],,0)</f>
        <v>41</v>
      </c>
      <c r="Z849">
        <f>INDEX(Table16[Ageband Factor],MATCH(Table1820[[#This Row],[Ageband]],Table16[Ageband],0))</f>
        <v>1.07</v>
      </c>
      <c r="AA849">
        <f>VLOOKUP(Table1820[[#This Row],[Years Driving]],Table1[],2)</f>
        <v>0.93</v>
      </c>
      <c r="AB849">
        <f>_xlfn.XLOOKUP(Table1820[[#This Row],[At Fault Accidents]],Table2[At Fault Accidents],Table2[At Fault Accident Factor],,0)</f>
        <v>2.4700000000000002</v>
      </c>
      <c r="AC849">
        <f>_xlfn.XLOOKUP(Table1820[[#This Row],[Usage-Based Insurance]],Table3[Usage-Based Insurance],Table3[Usage-Based Insurance Discount],,0)</f>
        <v>1</v>
      </c>
      <c r="AD849">
        <f>_xlfn.XLOOKUP(Table1820[[#This Row],[Yearly Miles]],Table4[Yearly Miles],Table4[Yearly Miles Factor],,0)</f>
        <v>1.31</v>
      </c>
      <c r="AE849">
        <f>_xlfn.XLOOKUP(Table1820[[#This Row],[City/Zip Code]],Table5[City/Zip Code],Table5[City/Zip Code Factor],,0)</f>
        <v>1.26</v>
      </c>
      <c r="AF849">
        <f>_xlfn.XLOOKUP(Table1820[[#This Row],[Vehicle Price]],Table6[Vehicle Price],Table6[Vehicle Price Factor])</f>
        <v>2.87</v>
      </c>
      <c r="AG849">
        <f>_xlfn.XLOOKUP(Table1820[[#This Row],[Exotic Car]],Table7[Exotic Car],Table7[Exotic Car Factor],,0)</f>
        <v>1.28</v>
      </c>
      <c r="AH849">
        <f>_xlfn.XLOOKUP(Table1820[[#This Row],[Difficult Parts]],Table8[Difficult Parts],Table8[Difficult Parts Factor],,0)</f>
        <v>1</v>
      </c>
      <c r="AI849">
        <f>_xlfn.XLOOKUP(Table1820[[#This Row],[High Theft Rate]],Table9[High Theft Rate],Table9[High Theft Rate Factor],,0)</f>
        <v>1</v>
      </c>
      <c r="AJ849">
        <f>_xlfn.XLOOKUP(Table1820[[#This Row],[Advanced Safety Features]],Table10[Advanced Safety Features],Table10[Advanced Safety Features Factor],,0)</f>
        <v>0.88</v>
      </c>
      <c r="AK849">
        <f>_xlfn.XLOOKUP(Table1820[[#This Row],[Deductible]],Table12[Deductible],Table12[Deductible Factor],,0)</f>
        <v>1</v>
      </c>
      <c r="AL849">
        <f>_xlfn.XLOOKUP(Table1820[[#This Row],[Coverage Limit]],Table13[Coverage Limit],Table13[Coverage Limit Factor],,0)</f>
        <v>0.72</v>
      </c>
      <c r="AM849">
        <f>IF(Table1820[[#This Row],[Good Student Discount]]="Yes",'Rate Book'!$D$126,1)</f>
        <v>0.92</v>
      </c>
      <c r="AN849">
        <f>IF(Table1820[[#This Row],[Good Driver Discount]]="Yes",'Rate Book'!$D$127,1)</f>
        <v>0.89</v>
      </c>
      <c r="AO849">
        <f>IF(Table1820[[#This Row],[Multi Policy Discount]]="Yes",'Rate Book'!$D$128,1)</f>
        <v>1</v>
      </c>
      <c r="AP849">
        <f>IF(Table1820[[#This Row],[Loyal Customer Discount]]="Yes",'Rate Book'!$D$129,1)</f>
        <v>1</v>
      </c>
      <c r="AQ849">
        <f>IF(Table1820[[#This Row],[Organization Discount]]="Yes",'Rate Book'!$D$130,1)</f>
        <v>1</v>
      </c>
      <c r="AR849" cm="1">
        <f t="array" ref="AR849">IF(Table1820[[#This Row],[Effective Date]]&gt;=RateChangeTable[Effective Date],RateChangeTable[Rate Change Factor],1)</f>
        <v>1</v>
      </c>
      <c r="AS849" s="10">
        <f>PRODUCT(Table1820[[#This Row],[Base Rate]:[Rate Change Factor]])</f>
        <v>317.01093710345674</v>
      </c>
      <c r="AT849" s="9">
        <f>Table1820[[#This Row],[System-Generated Premium]]-Table1820[[#This Row],[Expected Premium]]</f>
        <v>0</v>
      </c>
      <c r="AU849" t="str">
        <f>IF(Table1820[[#This Row],[Difference]]=0,"PASS","FAIL")</f>
        <v>PASS</v>
      </c>
      <c r="AV849" s="9">
        <f>ABS(Table1820[[#This Row],[Difference]])</f>
        <v>0</v>
      </c>
      <c r="AW849" s="9" t="s">
        <v>1136</v>
      </c>
    </row>
    <row r="850" spans="1:49" x14ac:dyDescent="0.3">
      <c r="A850" t="s">
        <v>941</v>
      </c>
      <c r="B850" s="7">
        <v>45900</v>
      </c>
      <c r="C850" t="s">
        <v>70</v>
      </c>
      <c r="D850" t="s">
        <v>1097</v>
      </c>
      <c r="E850" s="3">
        <v>6</v>
      </c>
      <c r="F850" s="3">
        <v>3</v>
      </c>
      <c r="G850" t="s">
        <v>10</v>
      </c>
      <c r="H850" t="s">
        <v>1110</v>
      </c>
      <c r="I850" t="s">
        <v>40</v>
      </c>
      <c r="J850" t="s">
        <v>51</v>
      </c>
      <c r="K850" t="s">
        <v>57</v>
      </c>
      <c r="L850" t="s">
        <v>57</v>
      </c>
      <c r="M850" t="s">
        <v>10</v>
      </c>
      <c r="N850" t="s">
        <v>57</v>
      </c>
      <c r="O850" t="str">
        <f>INDEX(CoverageTable[Deductible Applies],MATCH(Table1820[[#This Row],[Coverage]],CoverageTable[Coverage],0))</f>
        <v>No</v>
      </c>
      <c r="P850" t="str">
        <f>INDEX(CoverageTable[Coverage Limit Applies],MATCH(Table1820[[#This Row],[Coverage]],CoverageTable[Coverage],0))</f>
        <v>Yes</v>
      </c>
      <c r="Q850" t="s">
        <v>10</v>
      </c>
      <c r="R850" t="s">
        <v>80</v>
      </c>
      <c r="S850" t="s">
        <v>10</v>
      </c>
      <c r="T850" t="s">
        <v>10</v>
      </c>
      <c r="U850" t="s">
        <v>10</v>
      </c>
      <c r="V850" t="s">
        <v>10</v>
      </c>
      <c r="W850" t="s">
        <v>57</v>
      </c>
      <c r="X850" s="11">
        <v>3033.0006233544304</v>
      </c>
      <c r="Y850">
        <f>_xlfn.XLOOKUP(Table1820[[#This Row],[Coverage]],CoverageTable[Coverage],CoverageTable[Base Rate],,0)</f>
        <v>622</v>
      </c>
      <c r="Z850">
        <f>INDEX(Table16[Ageband Factor],MATCH(Table1820[[#This Row],[Ageband]],Table16[Ageband],0))</f>
        <v>1.32</v>
      </c>
      <c r="AA850">
        <f>VLOOKUP(Table1820[[#This Row],[Years Driving]],Table1[],2)</f>
        <v>1</v>
      </c>
      <c r="AB850">
        <f>_xlfn.XLOOKUP(Table1820[[#This Row],[At Fault Accidents]],Table2[At Fault Accidents],Table2[At Fault Accident Factor],,0)</f>
        <v>1.82</v>
      </c>
      <c r="AC850">
        <f>_xlfn.XLOOKUP(Table1820[[#This Row],[Usage-Based Insurance]],Table3[Usage-Based Insurance],Table3[Usage-Based Insurance Discount],,0)</f>
        <v>1</v>
      </c>
      <c r="AD850">
        <f>_xlfn.XLOOKUP(Table1820[[#This Row],[Yearly Miles]],Table4[Yearly Miles],Table4[Yearly Miles Factor],,0)</f>
        <v>1.31</v>
      </c>
      <c r="AE850">
        <f>_xlfn.XLOOKUP(Table1820[[#This Row],[City/Zip Code]],Table5[City/Zip Code],Table5[City/Zip Code Factor],,0)</f>
        <v>1.0900000000000001</v>
      </c>
      <c r="AF850">
        <f>_xlfn.XLOOKUP(Table1820[[#This Row],[Vehicle Price]],Table6[Vehicle Price],Table6[Vehicle Price Factor])</f>
        <v>1.28</v>
      </c>
      <c r="AG850">
        <f>_xlfn.XLOOKUP(Table1820[[#This Row],[Exotic Car]],Table7[Exotic Car],Table7[Exotic Car Factor],,0)</f>
        <v>1.28</v>
      </c>
      <c r="AH850">
        <f>_xlfn.XLOOKUP(Table1820[[#This Row],[Difficult Parts]],Table8[Difficult Parts],Table8[Difficult Parts Factor],,0)</f>
        <v>1.21</v>
      </c>
      <c r="AI850">
        <f>_xlfn.XLOOKUP(Table1820[[#This Row],[High Theft Rate]],Table9[High Theft Rate],Table9[High Theft Rate Factor],,0)</f>
        <v>1</v>
      </c>
      <c r="AJ850">
        <f>_xlfn.XLOOKUP(Table1820[[#This Row],[Advanced Safety Features]],Table10[Advanced Safety Features],Table10[Advanced Safety Features Factor],,0)</f>
        <v>0.88</v>
      </c>
      <c r="AK850">
        <f>_xlfn.XLOOKUP(Table1820[[#This Row],[Deductible]],Table12[Deductible],Table12[Deductible Factor],,0)</f>
        <v>1</v>
      </c>
      <c r="AL850">
        <f>_xlfn.XLOOKUP(Table1820[[#This Row],[Coverage Limit]],Table13[Coverage Limit],Table13[Coverage Limit Factor],,0)</f>
        <v>0.84</v>
      </c>
      <c r="AM850">
        <f>IF(Table1820[[#This Row],[Good Student Discount]]="Yes",'Rate Book'!$D$126,1)</f>
        <v>1</v>
      </c>
      <c r="AN850">
        <f>IF(Table1820[[#This Row],[Good Driver Discount]]="Yes",'Rate Book'!$D$127,1)</f>
        <v>1</v>
      </c>
      <c r="AO850">
        <f>IF(Table1820[[#This Row],[Multi Policy Discount]]="Yes",'Rate Book'!$D$128,1)</f>
        <v>1</v>
      </c>
      <c r="AP850">
        <f>IF(Table1820[[#This Row],[Loyal Customer Discount]]="Yes",'Rate Book'!$D$129,1)</f>
        <v>1</v>
      </c>
      <c r="AQ850">
        <f>IF(Table1820[[#This Row],[Organization Discount]]="Yes",'Rate Book'!$D$130,1)</f>
        <v>0.97</v>
      </c>
      <c r="AR850" cm="1">
        <f t="array" ref="AR850">IF(Table1820[[#This Row],[Effective Date]]&gt;=RateChangeTable[Effective Date],RateChangeTable[Rate Change Factor],1)</f>
        <v>1</v>
      </c>
      <c r="AS850" s="10">
        <f>PRODUCT(Table1820[[#This Row],[Base Rate]:[Rate Change Factor]])</f>
        <v>3033.0006233544304</v>
      </c>
      <c r="AT850" s="9">
        <f>Table1820[[#This Row],[System-Generated Premium]]-Table1820[[#This Row],[Expected Premium]]</f>
        <v>0</v>
      </c>
      <c r="AU850" t="str">
        <f>IF(Table1820[[#This Row],[Difference]]=0,"PASS","FAIL")</f>
        <v>PASS</v>
      </c>
      <c r="AV850" s="9">
        <f>ABS(Table1820[[#This Row],[Difference]])</f>
        <v>0</v>
      </c>
      <c r="AW850" s="9" t="s">
        <v>1136</v>
      </c>
    </row>
    <row r="851" spans="1:49" x14ac:dyDescent="0.3">
      <c r="A851" t="s">
        <v>942</v>
      </c>
      <c r="B851" s="7">
        <v>46037</v>
      </c>
      <c r="C851" t="s">
        <v>72</v>
      </c>
      <c r="D851" t="s">
        <v>1098</v>
      </c>
      <c r="E851" s="3">
        <v>2</v>
      </c>
      <c r="F851" s="3">
        <v>3</v>
      </c>
      <c r="G851" t="s">
        <v>11</v>
      </c>
      <c r="H851" t="s">
        <v>1109</v>
      </c>
      <c r="I851" t="s">
        <v>34</v>
      </c>
      <c r="J851" t="s">
        <v>48</v>
      </c>
      <c r="K851" t="s">
        <v>10</v>
      </c>
      <c r="L851" t="s">
        <v>57</v>
      </c>
      <c r="M851" t="s">
        <v>10</v>
      </c>
      <c r="N851" t="s">
        <v>57</v>
      </c>
      <c r="O851" t="str">
        <f>INDEX(CoverageTable[Deductible Applies],MATCH(Table1820[[#This Row],[Coverage]],CoverageTable[Coverage],0))</f>
        <v>Yes</v>
      </c>
      <c r="P851" t="str">
        <f>INDEX(CoverageTable[Coverage Limit Applies],MATCH(Table1820[[#This Row],[Coverage]],CoverageTable[Coverage],0))</f>
        <v>No</v>
      </c>
      <c r="Q851" t="s">
        <v>78</v>
      </c>
      <c r="R851" t="s">
        <v>10</v>
      </c>
      <c r="S851" t="s">
        <v>10</v>
      </c>
      <c r="T851" t="s">
        <v>10</v>
      </c>
      <c r="U851" t="s">
        <v>10</v>
      </c>
      <c r="V851" t="s">
        <v>10</v>
      </c>
      <c r="W851" t="s">
        <v>10</v>
      </c>
      <c r="X851" s="11">
        <v>587.24936893188499</v>
      </c>
      <c r="Y851">
        <f>_xlfn.XLOOKUP(Table1820[[#This Row],[Coverage]],CoverageTable[Coverage],CoverageTable[Base Rate],,0)</f>
        <v>121</v>
      </c>
      <c r="Z851">
        <f>INDEX(Table16[Ageband Factor],MATCH(Table1820[[#This Row],[Ageband]],Table16[Ageband],0))</f>
        <v>1.23</v>
      </c>
      <c r="AA851">
        <f>VLOOKUP(Table1820[[#This Row],[Years Driving]],Table1[],2)</f>
        <v>1.41</v>
      </c>
      <c r="AB851">
        <f>_xlfn.XLOOKUP(Table1820[[#This Row],[At Fault Accidents]],Table2[At Fault Accidents],Table2[At Fault Accident Factor],,0)</f>
        <v>1.82</v>
      </c>
      <c r="AC851">
        <f>_xlfn.XLOOKUP(Table1820[[#This Row],[Usage-Based Insurance]],Table3[Usage-Based Insurance],Table3[Usage-Based Insurance Discount],,0)</f>
        <v>0.95</v>
      </c>
      <c r="AD851">
        <f>_xlfn.XLOOKUP(Table1820[[#This Row],[Yearly Miles]],Table4[Yearly Miles],Table4[Yearly Miles Factor],,0)</f>
        <v>1.18</v>
      </c>
      <c r="AE851">
        <f>_xlfn.XLOOKUP(Table1820[[#This Row],[City/Zip Code]],Table5[City/Zip Code],Table5[City/Zip Code Factor],,0)</f>
        <v>1.56</v>
      </c>
      <c r="AF851">
        <f>_xlfn.XLOOKUP(Table1820[[#This Row],[Vehicle Price]],Table6[Vehicle Price],Table6[Vehicle Price Factor])</f>
        <v>0.82</v>
      </c>
      <c r="AG851">
        <f>_xlfn.XLOOKUP(Table1820[[#This Row],[Exotic Car]],Table7[Exotic Car],Table7[Exotic Car Factor],,0)</f>
        <v>1</v>
      </c>
      <c r="AH851">
        <f>_xlfn.XLOOKUP(Table1820[[#This Row],[Difficult Parts]],Table8[Difficult Parts],Table8[Difficult Parts Factor],,0)</f>
        <v>1.21</v>
      </c>
      <c r="AI851">
        <f>_xlfn.XLOOKUP(Table1820[[#This Row],[High Theft Rate]],Table9[High Theft Rate],Table9[High Theft Rate Factor],,0)</f>
        <v>1</v>
      </c>
      <c r="AJ851">
        <f>_xlfn.XLOOKUP(Table1820[[#This Row],[Advanced Safety Features]],Table10[Advanced Safety Features],Table10[Advanced Safety Features Factor],,0)</f>
        <v>0.88</v>
      </c>
      <c r="AK851">
        <f>_xlfn.XLOOKUP(Table1820[[#This Row],[Deductible]],Table12[Deductible],Table12[Deductible Factor],,0)</f>
        <v>0.95</v>
      </c>
      <c r="AL851">
        <f>_xlfn.XLOOKUP(Table1820[[#This Row],[Coverage Limit]],Table13[Coverage Limit],Table13[Coverage Limit Factor],,0)</f>
        <v>1</v>
      </c>
      <c r="AM851">
        <f>IF(Table1820[[#This Row],[Good Student Discount]]="Yes",'Rate Book'!$D$126,1)</f>
        <v>1</v>
      </c>
      <c r="AN851">
        <f>IF(Table1820[[#This Row],[Good Driver Discount]]="Yes",'Rate Book'!$D$127,1)</f>
        <v>1</v>
      </c>
      <c r="AO851">
        <f>IF(Table1820[[#This Row],[Multi Policy Discount]]="Yes",'Rate Book'!$D$128,1)</f>
        <v>1</v>
      </c>
      <c r="AP851">
        <f>IF(Table1820[[#This Row],[Loyal Customer Discount]]="Yes",'Rate Book'!$D$129,1)</f>
        <v>1</v>
      </c>
      <c r="AQ851">
        <f>IF(Table1820[[#This Row],[Organization Discount]]="Yes",'Rate Book'!$D$130,1)</f>
        <v>1</v>
      </c>
      <c r="AR851" cm="1">
        <f t="array" ref="AR851">IF(Table1820[[#This Row],[Effective Date]]&gt;=RateChangeTable[Effective Date],RateChangeTable[Rate Change Factor],1)</f>
        <v>1.06</v>
      </c>
      <c r="AS851" s="10">
        <f>PRODUCT(Table1820[[#This Row],[Base Rate]:[Rate Change Factor]])</f>
        <v>587.24936893188499</v>
      </c>
      <c r="AT851" s="9">
        <f>Table1820[[#This Row],[System-Generated Premium]]-Table1820[[#This Row],[Expected Premium]]</f>
        <v>0</v>
      </c>
      <c r="AU851" t="str">
        <f>IF(Table1820[[#This Row],[Difference]]=0,"PASS","FAIL")</f>
        <v>PASS</v>
      </c>
      <c r="AV851" s="9">
        <f>ABS(Table1820[[#This Row],[Difference]])</f>
        <v>0</v>
      </c>
      <c r="AW851" s="9" t="s">
        <v>1136</v>
      </c>
    </row>
    <row r="852" spans="1:49" x14ac:dyDescent="0.3">
      <c r="A852" t="s">
        <v>943</v>
      </c>
      <c r="B852" s="7">
        <v>45843</v>
      </c>
      <c r="C852" t="s">
        <v>73</v>
      </c>
      <c r="D852" t="s">
        <v>1102</v>
      </c>
      <c r="E852" s="3">
        <v>7</v>
      </c>
      <c r="F852" s="3">
        <v>0</v>
      </c>
      <c r="G852" t="s">
        <v>10</v>
      </c>
      <c r="H852" t="s">
        <v>1106</v>
      </c>
      <c r="I852" t="s">
        <v>22</v>
      </c>
      <c r="J852" t="s">
        <v>51</v>
      </c>
      <c r="K852" t="s">
        <v>10</v>
      </c>
      <c r="L852" t="s">
        <v>57</v>
      </c>
      <c r="M852" t="s">
        <v>10</v>
      </c>
      <c r="N852" t="s">
        <v>57</v>
      </c>
      <c r="O852" t="str">
        <f>INDEX(CoverageTable[Deductible Applies],MATCH(Table1820[[#This Row],[Coverage]],CoverageTable[Coverage],0))</f>
        <v>No</v>
      </c>
      <c r="P852" t="str">
        <f>INDEX(CoverageTable[Coverage Limit Applies],MATCH(Table1820[[#This Row],[Coverage]],CoverageTable[Coverage],0))</f>
        <v>Yes</v>
      </c>
      <c r="Q852" t="s">
        <v>10</v>
      </c>
      <c r="R852" t="s">
        <v>80</v>
      </c>
      <c r="S852" t="s">
        <v>10</v>
      </c>
      <c r="T852" t="s">
        <v>10</v>
      </c>
      <c r="U852" t="s">
        <v>10</v>
      </c>
      <c r="V852" t="s">
        <v>10</v>
      </c>
      <c r="W852" t="s">
        <v>10</v>
      </c>
      <c r="X852" s="11">
        <v>106.90018328147555</v>
      </c>
      <c r="Y852">
        <f>_xlfn.XLOOKUP(Table1820[[#This Row],[Coverage]],CoverageTable[Coverage],CoverageTable[Base Rate],,0)</f>
        <v>78</v>
      </c>
      <c r="Z852">
        <f>INDEX(Table16[Ageband Factor],MATCH(Table1820[[#This Row],[Ageband]],Table16[Ageband],0))</f>
        <v>1.27</v>
      </c>
      <c r="AA852">
        <f>VLOOKUP(Table1820[[#This Row],[Years Driving]],Table1[],2)</f>
        <v>0.95</v>
      </c>
      <c r="AB852">
        <f>_xlfn.XLOOKUP(Table1820[[#This Row],[At Fault Accidents]],Table2[At Fault Accidents],Table2[At Fault Accident Factor],,0)</f>
        <v>1</v>
      </c>
      <c r="AC852">
        <f>_xlfn.XLOOKUP(Table1820[[#This Row],[Usage-Based Insurance]],Table3[Usage-Based Insurance],Table3[Usage-Based Insurance Discount],,0)</f>
        <v>1</v>
      </c>
      <c r="AD852">
        <f>_xlfn.XLOOKUP(Table1820[[#This Row],[Yearly Miles]],Table4[Yearly Miles],Table4[Yearly Miles Factor],,0)</f>
        <v>0.82</v>
      </c>
      <c r="AE852">
        <f>_xlfn.XLOOKUP(Table1820[[#This Row],[City/Zip Code]],Table5[City/Zip Code],Table5[City/Zip Code Factor],,0)</f>
        <v>1.21</v>
      </c>
      <c r="AF852">
        <f>_xlfn.XLOOKUP(Table1820[[#This Row],[Vehicle Price]],Table6[Vehicle Price],Table6[Vehicle Price Factor])</f>
        <v>1.28</v>
      </c>
      <c r="AG852">
        <f>_xlfn.XLOOKUP(Table1820[[#This Row],[Exotic Car]],Table7[Exotic Car],Table7[Exotic Car Factor],,0)</f>
        <v>1</v>
      </c>
      <c r="AH852">
        <f>_xlfn.XLOOKUP(Table1820[[#This Row],[Difficult Parts]],Table8[Difficult Parts],Table8[Difficult Parts Factor],,0)</f>
        <v>1.21</v>
      </c>
      <c r="AI852">
        <f>_xlfn.XLOOKUP(Table1820[[#This Row],[High Theft Rate]],Table9[High Theft Rate],Table9[High Theft Rate Factor],,0)</f>
        <v>1</v>
      </c>
      <c r="AJ852">
        <f>_xlfn.XLOOKUP(Table1820[[#This Row],[Advanced Safety Features]],Table10[Advanced Safety Features],Table10[Advanced Safety Features Factor],,0)</f>
        <v>0.88</v>
      </c>
      <c r="AK852">
        <f>_xlfn.XLOOKUP(Table1820[[#This Row],[Deductible]],Table12[Deductible],Table12[Deductible Factor],,0)</f>
        <v>1</v>
      </c>
      <c r="AL852">
        <f>_xlfn.XLOOKUP(Table1820[[#This Row],[Coverage Limit]],Table13[Coverage Limit],Table13[Coverage Limit Factor],,0)</f>
        <v>0.84</v>
      </c>
      <c r="AM852">
        <f>IF(Table1820[[#This Row],[Good Student Discount]]="Yes",'Rate Book'!$D$126,1)</f>
        <v>1</v>
      </c>
      <c r="AN852">
        <f>IF(Table1820[[#This Row],[Good Driver Discount]]="Yes",'Rate Book'!$D$127,1)</f>
        <v>1</v>
      </c>
      <c r="AO852">
        <f>IF(Table1820[[#This Row],[Multi Policy Discount]]="Yes",'Rate Book'!$D$128,1)</f>
        <v>1</v>
      </c>
      <c r="AP852">
        <f>IF(Table1820[[#This Row],[Loyal Customer Discount]]="Yes",'Rate Book'!$D$129,1)</f>
        <v>1</v>
      </c>
      <c r="AQ852">
        <f>IF(Table1820[[#This Row],[Organization Discount]]="Yes",'Rate Book'!$D$130,1)</f>
        <v>1</v>
      </c>
      <c r="AR852" cm="1">
        <f t="array" ref="AR852">IF(Table1820[[#This Row],[Effective Date]]&gt;=RateChangeTable[Effective Date],RateChangeTable[Rate Change Factor],1)</f>
        <v>1</v>
      </c>
      <c r="AS852" s="10">
        <f>PRODUCT(Table1820[[#This Row],[Base Rate]:[Rate Change Factor]])</f>
        <v>106.90018328147555</v>
      </c>
      <c r="AT852" s="9">
        <f>Table1820[[#This Row],[System-Generated Premium]]-Table1820[[#This Row],[Expected Premium]]</f>
        <v>0</v>
      </c>
      <c r="AU852" t="str">
        <f>IF(Table1820[[#This Row],[Difference]]=0,"PASS","FAIL")</f>
        <v>PASS</v>
      </c>
      <c r="AV852" s="9">
        <f>ABS(Table1820[[#This Row],[Difference]])</f>
        <v>0</v>
      </c>
      <c r="AW852" s="9" t="s">
        <v>1136</v>
      </c>
    </row>
    <row r="853" spans="1:49" x14ac:dyDescent="0.3">
      <c r="A853" t="s">
        <v>944</v>
      </c>
      <c r="B853" s="7">
        <v>45927</v>
      </c>
      <c r="C853" t="s">
        <v>70</v>
      </c>
      <c r="D853" t="s">
        <v>1099</v>
      </c>
      <c r="E853" s="3">
        <v>6</v>
      </c>
      <c r="F853" s="3">
        <v>1</v>
      </c>
      <c r="G853" t="s">
        <v>13</v>
      </c>
      <c r="H853" t="s">
        <v>1110</v>
      </c>
      <c r="I853" t="s">
        <v>23</v>
      </c>
      <c r="J853" t="s">
        <v>52</v>
      </c>
      <c r="K853" t="s">
        <v>10</v>
      </c>
      <c r="L853" t="s">
        <v>57</v>
      </c>
      <c r="M853" t="s">
        <v>10</v>
      </c>
      <c r="N853" t="s">
        <v>10</v>
      </c>
      <c r="O853" t="str">
        <f>INDEX(CoverageTable[Deductible Applies],MATCH(Table1820[[#This Row],[Coverage]],CoverageTable[Coverage],0))</f>
        <v>No</v>
      </c>
      <c r="P853" t="str">
        <f>INDEX(CoverageTable[Coverage Limit Applies],MATCH(Table1820[[#This Row],[Coverage]],CoverageTable[Coverage],0))</f>
        <v>Yes</v>
      </c>
      <c r="Q853" t="s">
        <v>10</v>
      </c>
      <c r="R853" t="s">
        <v>78</v>
      </c>
      <c r="S853" t="s">
        <v>57</v>
      </c>
      <c r="T853" t="s">
        <v>57</v>
      </c>
      <c r="U853" t="s">
        <v>57</v>
      </c>
      <c r="V853" t="s">
        <v>10</v>
      </c>
      <c r="W853" t="s">
        <v>10</v>
      </c>
      <c r="X853" s="11">
        <v>576.16026394312644</v>
      </c>
      <c r="Y853">
        <f>_xlfn.XLOOKUP(Table1820[[#This Row],[Coverage]],CoverageTable[Coverage],CoverageTable[Base Rate],,0)</f>
        <v>622</v>
      </c>
      <c r="Z853">
        <f>INDEX(Table16[Ageband Factor],MATCH(Table1820[[#This Row],[Ageband]],Table16[Ageband],0))</f>
        <v>1</v>
      </c>
      <c r="AA853">
        <f>VLOOKUP(Table1820[[#This Row],[Years Driving]],Table1[],2)</f>
        <v>1</v>
      </c>
      <c r="AB853">
        <f>_xlfn.XLOOKUP(Table1820[[#This Row],[At Fault Accidents]],Table2[At Fault Accidents],Table2[At Fault Accident Factor],,0)</f>
        <v>1.34</v>
      </c>
      <c r="AC853">
        <f>_xlfn.XLOOKUP(Table1820[[#This Row],[Usage-Based Insurance]],Table3[Usage-Based Insurance],Table3[Usage-Based Insurance Discount],,0)</f>
        <v>0.65</v>
      </c>
      <c r="AD853">
        <f>_xlfn.XLOOKUP(Table1820[[#This Row],[Yearly Miles]],Table4[Yearly Miles],Table4[Yearly Miles Factor],,0)</f>
        <v>1.31</v>
      </c>
      <c r="AE853">
        <f>_xlfn.XLOOKUP(Table1820[[#This Row],[City/Zip Code]],Table5[City/Zip Code],Table5[City/Zip Code Factor],,0)</f>
        <v>0.92</v>
      </c>
      <c r="AF853">
        <f>_xlfn.XLOOKUP(Table1820[[#This Row],[Vehicle Price]],Table6[Vehicle Price],Table6[Vehicle Price Factor])</f>
        <v>1.57</v>
      </c>
      <c r="AG853">
        <f>_xlfn.XLOOKUP(Table1820[[#This Row],[Exotic Car]],Table7[Exotic Car],Table7[Exotic Car Factor],,0)</f>
        <v>1</v>
      </c>
      <c r="AH853">
        <f>_xlfn.XLOOKUP(Table1820[[#This Row],[Difficult Parts]],Table8[Difficult Parts],Table8[Difficult Parts Factor],,0)</f>
        <v>1.21</v>
      </c>
      <c r="AI853">
        <f>_xlfn.XLOOKUP(Table1820[[#This Row],[High Theft Rate]],Table9[High Theft Rate],Table9[High Theft Rate Factor],,0)</f>
        <v>1</v>
      </c>
      <c r="AJ853">
        <f>_xlfn.XLOOKUP(Table1820[[#This Row],[Advanced Safety Features]],Table10[Advanced Safety Features],Table10[Advanced Safety Features Factor],,0)</f>
        <v>1</v>
      </c>
      <c r="AK853">
        <f>_xlfn.XLOOKUP(Table1820[[#This Row],[Deductible]],Table12[Deductible],Table12[Deductible Factor],,0)</f>
        <v>1</v>
      </c>
      <c r="AL853">
        <f>_xlfn.XLOOKUP(Table1820[[#This Row],[Coverage Limit]],Table13[Coverage Limit],Table13[Coverage Limit Factor],,0)</f>
        <v>0.61</v>
      </c>
      <c r="AM853">
        <f>IF(Table1820[[#This Row],[Good Student Discount]]="Yes",'Rate Book'!$D$126,1)</f>
        <v>0.92</v>
      </c>
      <c r="AN853">
        <f>IF(Table1820[[#This Row],[Good Driver Discount]]="Yes",'Rate Book'!$D$127,1)</f>
        <v>0.89</v>
      </c>
      <c r="AO853">
        <f>IF(Table1820[[#This Row],[Multi Policy Discount]]="Yes",'Rate Book'!$D$128,1)</f>
        <v>0.93</v>
      </c>
      <c r="AP853">
        <f>IF(Table1820[[#This Row],[Loyal Customer Discount]]="Yes",'Rate Book'!$D$129,1)</f>
        <v>1</v>
      </c>
      <c r="AQ853">
        <f>IF(Table1820[[#This Row],[Organization Discount]]="Yes",'Rate Book'!$D$130,1)</f>
        <v>1</v>
      </c>
      <c r="AR853" cm="1">
        <f t="array" ref="AR853">IF(Table1820[[#This Row],[Effective Date]]&gt;=RateChangeTable[Effective Date],RateChangeTable[Rate Change Factor],1)</f>
        <v>1</v>
      </c>
      <c r="AS853" s="10">
        <f>PRODUCT(Table1820[[#This Row],[Base Rate]:[Rate Change Factor]])</f>
        <v>576.16026394312644</v>
      </c>
      <c r="AT853" s="9">
        <f>Table1820[[#This Row],[System-Generated Premium]]-Table1820[[#This Row],[Expected Premium]]</f>
        <v>0</v>
      </c>
      <c r="AU853" t="str">
        <f>IF(Table1820[[#This Row],[Difference]]=0,"PASS","FAIL")</f>
        <v>PASS</v>
      </c>
      <c r="AV853" s="9">
        <f>ABS(Table1820[[#This Row],[Difference]])</f>
        <v>0</v>
      </c>
      <c r="AW853" s="9" t="s">
        <v>1136</v>
      </c>
    </row>
    <row r="854" spans="1:49" x14ac:dyDescent="0.3">
      <c r="A854" t="s">
        <v>945</v>
      </c>
      <c r="B854" s="7">
        <v>45980</v>
      </c>
      <c r="C854" t="s">
        <v>74</v>
      </c>
      <c r="D854" t="s">
        <v>1099</v>
      </c>
      <c r="E854" s="3">
        <v>7</v>
      </c>
      <c r="F854" s="3">
        <v>1</v>
      </c>
      <c r="G854" t="s">
        <v>10</v>
      </c>
      <c r="H854" t="s">
        <v>1107</v>
      </c>
      <c r="I854" t="s">
        <v>30</v>
      </c>
      <c r="J854" t="s">
        <v>53</v>
      </c>
      <c r="K854" t="s">
        <v>10</v>
      </c>
      <c r="L854" t="s">
        <v>10</v>
      </c>
      <c r="M854" t="s">
        <v>10</v>
      </c>
      <c r="N854" t="s">
        <v>57</v>
      </c>
      <c r="O854" t="str">
        <f>INDEX(CoverageTable[Deductible Applies],MATCH(Table1820[[#This Row],[Coverage]],CoverageTable[Coverage],0))</f>
        <v>No</v>
      </c>
      <c r="P854" t="str">
        <f>INDEX(CoverageTable[Coverage Limit Applies],MATCH(Table1820[[#This Row],[Coverage]],CoverageTable[Coverage],0))</f>
        <v>Yes</v>
      </c>
      <c r="Q854" t="s">
        <v>10</v>
      </c>
      <c r="R854" t="s">
        <v>80</v>
      </c>
      <c r="S854" t="s">
        <v>57</v>
      </c>
      <c r="T854" t="s">
        <v>10</v>
      </c>
      <c r="U854" t="s">
        <v>10</v>
      </c>
      <c r="V854" t="s">
        <v>57</v>
      </c>
      <c r="W854" t="s">
        <v>57</v>
      </c>
      <c r="X854" s="11">
        <v>62.01491082808986</v>
      </c>
      <c r="Y854">
        <f>_xlfn.XLOOKUP(Table1820[[#This Row],[Coverage]],CoverageTable[Coverage],CoverageTable[Base Rate],,0)</f>
        <v>41</v>
      </c>
      <c r="Z854">
        <f>INDEX(Table16[Ageband Factor],MATCH(Table1820[[#This Row],[Ageband]],Table16[Ageband],0))</f>
        <v>1</v>
      </c>
      <c r="AA854">
        <f>VLOOKUP(Table1820[[#This Row],[Years Driving]],Table1[],2)</f>
        <v>0.95</v>
      </c>
      <c r="AB854">
        <f>_xlfn.XLOOKUP(Table1820[[#This Row],[At Fault Accidents]],Table2[At Fault Accidents],Table2[At Fault Accident Factor],,0)</f>
        <v>1.34</v>
      </c>
      <c r="AC854">
        <f>_xlfn.XLOOKUP(Table1820[[#This Row],[Usage-Based Insurance]],Table3[Usage-Based Insurance],Table3[Usage-Based Insurance Discount],,0)</f>
        <v>1</v>
      </c>
      <c r="AD854">
        <f>_xlfn.XLOOKUP(Table1820[[#This Row],[Yearly Miles]],Table4[Yearly Miles],Table4[Yearly Miles Factor],,0)</f>
        <v>0.93</v>
      </c>
      <c r="AE854">
        <f>_xlfn.XLOOKUP(Table1820[[#This Row],[City/Zip Code]],Table5[City/Zip Code],Table5[City/Zip Code Factor],,0)</f>
        <v>1.02</v>
      </c>
      <c r="AF854">
        <f>_xlfn.XLOOKUP(Table1820[[#This Row],[Vehicle Price]],Table6[Vehicle Price],Table6[Vehicle Price Factor])</f>
        <v>2.02</v>
      </c>
      <c r="AG854">
        <f>_xlfn.XLOOKUP(Table1820[[#This Row],[Exotic Car]],Table7[Exotic Car],Table7[Exotic Car Factor],,0)</f>
        <v>1</v>
      </c>
      <c r="AH854">
        <f>_xlfn.XLOOKUP(Table1820[[#This Row],[Difficult Parts]],Table8[Difficult Parts],Table8[Difficult Parts Factor],,0)</f>
        <v>1</v>
      </c>
      <c r="AI854">
        <f>_xlfn.XLOOKUP(Table1820[[#This Row],[High Theft Rate]],Table9[High Theft Rate],Table9[High Theft Rate Factor],,0)</f>
        <v>1</v>
      </c>
      <c r="AJ854">
        <f>_xlfn.XLOOKUP(Table1820[[#This Row],[Advanced Safety Features]],Table10[Advanced Safety Features],Table10[Advanced Safety Features Factor],,0)</f>
        <v>0.88</v>
      </c>
      <c r="AK854">
        <f>_xlfn.XLOOKUP(Table1820[[#This Row],[Deductible]],Table12[Deductible],Table12[Deductible Factor],,0)</f>
        <v>1</v>
      </c>
      <c r="AL854">
        <f>_xlfn.XLOOKUP(Table1820[[#This Row],[Coverage Limit]],Table13[Coverage Limit],Table13[Coverage Limit Factor],,0)</f>
        <v>0.84</v>
      </c>
      <c r="AM854">
        <f>IF(Table1820[[#This Row],[Good Student Discount]]="Yes",'Rate Book'!$D$126,1)</f>
        <v>0.92</v>
      </c>
      <c r="AN854">
        <f>IF(Table1820[[#This Row],[Good Driver Discount]]="Yes",'Rate Book'!$D$127,1)</f>
        <v>1</v>
      </c>
      <c r="AO854">
        <f>IF(Table1820[[#This Row],[Multi Policy Discount]]="Yes",'Rate Book'!$D$128,1)</f>
        <v>1</v>
      </c>
      <c r="AP854">
        <f>IF(Table1820[[#This Row],[Loyal Customer Discount]]="Yes",'Rate Book'!$D$129,1)</f>
        <v>0.94</v>
      </c>
      <c r="AQ854">
        <f>IF(Table1820[[#This Row],[Organization Discount]]="Yes",'Rate Book'!$D$130,1)</f>
        <v>0.97</v>
      </c>
      <c r="AR854" cm="1">
        <f t="array" ref="AR854">IF(Table1820[[#This Row],[Effective Date]]&gt;=RateChangeTable[Effective Date],RateChangeTable[Rate Change Factor],1)</f>
        <v>1</v>
      </c>
      <c r="AS854" s="10">
        <f>PRODUCT(Table1820[[#This Row],[Base Rate]:[Rate Change Factor]])</f>
        <v>62.01491082808986</v>
      </c>
      <c r="AT854" s="9">
        <f>Table1820[[#This Row],[System-Generated Premium]]-Table1820[[#This Row],[Expected Premium]]</f>
        <v>0</v>
      </c>
      <c r="AU854" t="str">
        <f>IF(Table1820[[#This Row],[Difference]]=0,"PASS","FAIL")</f>
        <v>PASS</v>
      </c>
      <c r="AV854" s="9">
        <f>ABS(Table1820[[#This Row],[Difference]])</f>
        <v>0</v>
      </c>
      <c r="AW854" s="9" t="s">
        <v>1136</v>
      </c>
    </row>
    <row r="855" spans="1:49" x14ac:dyDescent="0.3">
      <c r="A855" t="s">
        <v>946</v>
      </c>
      <c r="B855" s="7">
        <v>46041</v>
      </c>
      <c r="C855" t="s">
        <v>71</v>
      </c>
      <c r="D855" t="s">
        <v>1099</v>
      </c>
      <c r="E855" s="3">
        <v>7</v>
      </c>
      <c r="F855" s="3" t="s">
        <v>7</v>
      </c>
      <c r="G855" t="s">
        <v>10</v>
      </c>
      <c r="H855" t="s">
        <v>1106</v>
      </c>
      <c r="I855" t="s">
        <v>25</v>
      </c>
      <c r="J855" t="s">
        <v>51</v>
      </c>
      <c r="K855" t="s">
        <v>10</v>
      </c>
      <c r="L855" t="s">
        <v>10</v>
      </c>
      <c r="M855" t="s">
        <v>10</v>
      </c>
      <c r="N855" t="s">
        <v>10</v>
      </c>
      <c r="O855" t="str">
        <f>INDEX(CoverageTable[Deductible Applies],MATCH(Table1820[[#This Row],[Coverage]],CoverageTable[Coverage],0))</f>
        <v>Yes</v>
      </c>
      <c r="P855" t="str">
        <f>INDEX(CoverageTable[Coverage Limit Applies],MATCH(Table1820[[#This Row],[Coverage]],CoverageTable[Coverage],0))</f>
        <v>No</v>
      </c>
      <c r="Q855" t="s">
        <v>80</v>
      </c>
      <c r="R855" t="s">
        <v>10</v>
      </c>
      <c r="S855" t="s">
        <v>10</v>
      </c>
      <c r="T855" t="s">
        <v>57</v>
      </c>
      <c r="U855" t="s">
        <v>10</v>
      </c>
      <c r="V855" t="s">
        <v>10</v>
      </c>
      <c r="W855" t="s">
        <v>10</v>
      </c>
      <c r="X855" s="11">
        <v>879.08109436676511</v>
      </c>
      <c r="Y855">
        <f>_xlfn.XLOOKUP(Table1820[[#This Row],[Coverage]],CoverageTable[Coverage],CoverageTable[Base Rate],,0)</f>
        <v>453</v>
      </c>
      <c r="Z855">
        <f>INDEX(Table16[Ageband Factor],MATCH(Table1820[[#This Row],[Ageband]],Table16[Ageband],0))</f>
        <v>1</v>
      </c>
      <c r="AA855">
        <f>VLOOKUP(Table1820[[#This Row],[Years Driving]],Table1[],2)</f>
        <v>0.95</v>
      </c>
      <c r="AB855">
        <f>_xlfn.XLOOKUP(Table1820[[#This Row],[At Fault Accidents]],Table2[At Fault Accidents],Table2[At Fault Accident Factor],,0)</f>
        <v>2.4700000000000002</v>
      </c>
      <c r="AC855">
        <f>_xlfn.XLOOKUP(Table1820[[#This Row],[Usage-Based Insurance]],Table3[Usage-Based Insurance],Table3[Usage-Based Insurance Discount],,0)</f>
        <v>1</v>
      </c>
      <c r="AD855">
        <f>_xlfn.XLOOKUP(Table1820[[#This Row],[Yearly Miles]],Table4[Yearly Miles],Table4[Yearly Miles Factor],,0)</f>
        <v>0.82</v>
      </c>
      <c r="AE855">
        <f>_xlfn.XLOOKUP(Table1820[[#This Row],[City/Zip Code]],Table5[City/Zip Code],Table5[City/Zip Code Factor],,0)</f>
        <v>1.1599999999999999</v>
      </c>
      <c r="AF855">
        <f>_xlfn.XLOOKUP(Table1820[[#This Row],[Vehicle Price]],Table6[Vehicle Price],Table6[Vehicle Price Factor])</f>
        <v>1.28</v>
      </c>
      <c r="AG855">
        <f>_xlfn.XLOOKUP(Table1820[[#This Row],[Exotic Car]],Table7[Exotic Car],Table7[Exotic Car Factor],,0)</f>
        <v>1</v>
      </c>
      <c r="AH855">
        <f>_xlfn.XLOOKUP(Table1820[[#This Row],[Difficult Parts]],Table8[Difficult Parts],Table8[Difficult Parts Factor],,0)</f>
        <v>1</v>
      </c>
      <c r="AI855">
        <f>_xlfn.XLOOKUP(Table1820[[#This Row],[High Theft Rate]],Table9[High Theft Rate],Table9[High Theft Rate Factor],,0)</f>
        <v>1</v>
      </c>
      <c r="AJ855">
        <f>_xlfn.XLOOKUP(Table1820[[#This Row],[Advanced Safety Features]],Table10[Advanced Safety Features],Table10[Advanced Safety Features Factor],,0)</f>
        <v>1</v>
      </c>
      <c r="AK855">
        <f>_xlfn.XLOOKUP(Table1820[[#This Row],[Deductible]],Table12[Deductible],Table12[Deductible Factor],,0)</f>
        <v>0.72</v>
      </c>
      <c r="AL855">
        <f>_xlfn.XLOOKUP(Table1820[[#This Row],[Coverage Limit]],Table13[Coverage Limit],Table13[Coverage Limit Factor],,0)</f>
        <v>1</v>
      </c>
      <c r="AM855">
        <f>IF(Table1820[[#This Row],[Good Student Discount]]="Yes",'Rate Book'!$D$126,1)</f>
        <v>1</v>
      </c>
      <c r="AN855">
        <f>IF(Table1820[[#This Row],[Good Driver Discount]]="Yes",'Rate Book'!$D$127,1)</f>
        <v>0.89</v>
      </c>
      <c r="AO855">
        <f>IF(Table1820[[#This Row],[Multi Policy Discount]]="Yes",'Rate Book'!$D$128,1)</f>
        <v>1</v>
      </c>
      <c r="AP855">
        <f>IF(Table1820[[#This Row],[Loyal Customer Discount]]="Yes",'Rate Book'!$D$129,1)</f>
        <v>1</v>
      </c>
      <c r="AQ855">
        <f>IF(Table1820[[#This Row],[Organization Discount]]="Yes",'Rate Book'!$D$130,1)</f>
        <v>1</v>
      </c>
      <c r="AR855" cm="1">
        <f t="array" ref="AR855">IF(Table1820[[#This Row],[Effective Date]]&gt;=RateChangeTable[Effective Date],RateChangeTable[Rate Change Factor],1)</f>
        <v>1.06</v>
      </c>
      <c r="AS855" s="10">
        <f>PRODUCT(Table1820[[#This Row],[Base Rate]:[Rate Change Factor]])</f>
        <v>879.08109436676511</v>
      </c>
      <c r="AT855" s="9">
        <f>Table1820[[#This Row],[System-Generated Premium]]-Table1820[[#This Row],[Expected Premium]]</f>
        <v>0</v>
      </c>
      <c r="AU855" t="str">
        <f>IF(Table1820[[#This Row],[Difference]]=0,"PASS","FAIL")</f>
        <v>PASS</v>
      </c>
      <c r="AV855" s="9">
        <f>ABS(Table1820[[#This Row],[Difference]])</f>
        <v>0</v>
      </c>
      <c r="AW855" s="9" t="s">
        <v>1136</v>
      </c>
    </row>
    <row r="856" spans="1:49" x14ac:dyDescent="0.3">
      <c r="A856" t="s">
        <v>947</v>
      </c>
      <c r="B856" s="7">
        <v>45849</v>
      </c>
      <c r="C856" t="s">
        <v>70</v>
      </c>
      <c r="D856" t="s">
        <v>1100</v>
      </c>
      <c r="E856" s="3">
        <v>3</v>
      </c>
      <c r="F856" s="3">
        <v>1</v>
      </c>
      <c r="G856" t="s">
        <v>13</v>
      </c>
      <c r="H856" t="s">
        <v>1110</v>
      </c>
      <c r="I856" t="s">
        <v>40</v>
      </c>
      <c r="J856" t="s">
        <v>50</v>
      </c>
      <c r="K856" t="s">
        <v>10</v>
      </c>
      <c r="L856" t="s">
        <v>10</v>
      </c>
      <c r="M856" t="s">
        <v>10</v>
      </c>
      <c r="N856" t="s">
        <v>57</v>
      </c>
      <c r="O856" t="str">
        <f>INDEX(CoverageTable[Deductible Applies],MATCH(Table1820[[#This Row],[Coverage]],CoverageTable[Coverage],0))</f>
        <v>No</v>
      </c>
      <c r="P856" t="str">
        <f>INDEX(CoverageTable[Coverage Limit Applies],MATCH(Table1820[[#This Row],[Coverage]],CoverageTable[Coverage],0))</f>
        <v>Yes</v>
      </c>
      <c r="Q856" t="s">
        <v>10</v>
      </c>
      <c r="R856" t="s">
        <v>79</v>
      </c>
      <c r="S856" t="s">
        <v>10</v>
      </c>
      <c r="T856" t="s">
        <v>10</v>
      </c>
      <c r="U856" t="s">
        <v>10</v>
      </c>
      <c r="V856" t="s">
        <v>57</v>
      </c>
      <c r="W856" t="s">
        <v>10</v>
      </c>
      <c r="X856" s="11">
        <v>649.55618035281304</v>
      </c>
      <c r="Y856">
        <f>_xlfn.XLOOKUP(Table1820[[#This Row],[Coverage]],CoverageTable[Coverage],CoverageTable[Base Rate],,0)</f>
        <v>622</v>
      </c>
      <c r="Z856">
        <f>INDEX(Table16[Ageband Factor],MATCH(Table1820[[#This Row],[Ageband]],Table16[Ageband],0))</f>
        <v>1.07</v>
      </c>
      <c r="AA856">
        <f>VLOOKUP(Table1820[[#This Row],[Years Driving]],Table1[],2)</f>
        <v>1.22</v>
      </c>
      <c r="AB856">
        <f>_xlfn.XLOOKUP(Table1820[[#This Row],[At Fault Accidents]],Table2[At Fault Accidents],Table2[At Fault Accident Factor],,0)</f>
        <v>1.34</v>
      </c>
      <c r="AC856">
        <f>_xlfn.XLOOKUP(Table1820[[#This Row],[Usage-Based Insurance]],Table3[Usage-Based Insurance],Table3[Usage-Based Insurance Discount],,0)</f>
        <v>0.65</v>
      </c>
      <c r="AD856">
        <f>_xlfn.XLOOKUP(Table1820[[#This Row],[Yearly Miles]],Table4[Yearly Miles],Table4[Yearly Miles Factor],,0)</f>
        <v>1.31</v>
      </c>
      <c r="AE856">
        <f>_xlfn.XLOOKUP(Table1820[[#This Row],[City/Zip Code]],Table5[City/Zip Code],Table5[City/Zip Code Factor],,0)</f>
        <v>1.0900000000000001</v>
      </c>
      <c r="AF856">
        <f>_xlfn.XLOOKUP(Table1820[[#This Row],[Vehicle Price]],Table6[Vehicle Price],Table6[Vehicle Price Factor])</f>
        <v>1.08</v>
      </c>
      <c r="AG856">
        <f>_xlfn.XLOOKUP(Table1820[[#This Row],[Exotic Car]],Table7[Exotic Car],Table7[Exotic Car Factor],,0)</f>
        <v>1</v>
      </c>
      <c r="AH856">
        <f>_xlfn.XLOOKUP(Table1820[[#This Row],[Difficult Parts]],Table8[Difficult Parts],Table8[Difficult Parts Factor],,0)</f>
        <v>1</v>
      </c>
      <c r="AI856">
        <f>_xlfn.XLOOKUP(Table1820[[#This Row],[High Theft Rate]],Table9[High Theft Rate],Table9[High Theft Rate Factor],,0)</f>
        <v>1</v>
      </c>
      <c r="AJ856">
        <f>_xlfn.XLOOKUP(Table1820[[#This Row],[Advanced Safety Features]],Table10[Advanced Safety Features],Table10[Advanced Safety Features Factor],,0)</f>
        <v>0.88</v>
      </c>
      <c r="AK856">
        <f>_xlfn.XLOOKUP(Table1820[[#This Row],[Deductible]],Table12[Deductible],Table12[Deductible Factor],,0)</f>
        <v>1</v>
      </c>
      <c r="AL856">
        <f>_xlfn.XLOOKUP(Table1820[[#This Row],[Coverage Limit]],Table13[Coverage Limit],Table13[Coverage Limit Factor],,0)</f>
        <v>0.72</v>
      </c>
      <c r="AM856">
        <f>IF(Table1820[[#This Row],[Good Student Discount]]="Yes",'Rate Book'!$D$126,1)</f>
        <v>1</v>
      </c>
      <c r="AN856">
        <f>IF(Table1820[[#This Row],[Good Driver Discount]]="Yes",'Rate Book'!$D$127,1)</f>
        <v>1</v>
      </c>
      <c r="AO856">
        <f>IF(Table1820[[#This Row],[Multi Policy Discount]]="Yes",'Rate Book'!$D$128,1)</f>
        <v>1</v>
      </c>
      <c r="AP856">
        <f>IF(Table1820[[#This Row],[Loyal Customer Discount]]="Yes",'Rate Book'!$D$129,1)</f>
        <v>0.94</v>
      </c>
      <c r="AQ856">
        <f>IF(Table1820[[#This Row],[Organization Discount]]="Yes",'Rate Book'!$D$130,1)</f>
        <v>1</v>
      </c>
      <c r="AR856" cm="1">
        <f t="array" ref="AR856">IF(Table1820[[#This Row],[Effective Date]]&gt;=RateChangeTable[Effective Date],RateChangeTable[Rate Change Factor],1)</f>
        <v>1</v>
      </c>
      <c r="AS856" s="10">
        <f>PRODUCT(Table1820[[#This Row],[Base Rate]:[Rate Change Factor]])</f>
        <v>649.55618035281304</v>
      </c>
      <c r="AT856" s="9">
        <f>Table1820[[#This Row],[System-Generated Premium]]-Table1820[[#This Row],[Expected Premium]]</f>
        <v>0</v>
      </c>
      <c r="AU856" t="str">
        <f>IF(Table1820[[#This Row],[Difference]]=0,"PASS","FAIL")</f>
        <v>PASS</v>
      </c>
      <c r="AV856" s="9">
        <f>ABS(Table1820[[#This Row],[Difference]])</f>
        <v>0</v>
      </c>
      <c r="AW856" s="9" t="s">
        <v>1136</v>
      </c>
    </row>
    <row r="857" spans="1:49" x14ac:dyDescent="0.3">
      <c r="A857" t="s">
        <v>948</v>
      </c>
      <c r="B857" s="7">
        <v>45948</v>
      </c>
      <c r="C857" t="s">
        <v>73</v>
      </c>
      <c r="D857" t="s">
        <v>1101</v>
      </c>
      <c r="E857" s="3">
        <v>7</v>
      </c>
      <c r="F857" s="3" t="s">
        <v>7</v>
      </c>
      <c r="G857" t="s">
        <v>10</v>
      </c>
      <c r="H857" t="s">
        <v>1107</v>
      </c>
      <c r="I857" t="s">
        <v>39</v>
      </c>
      <c r="J857" t="s">
        <v>53</v>
      </c>
      <c r="K857" t="s">
        <v>10</v>
      </c>
      <c r="L857" t="s">
        <v>10</v>
      </c>
      <c r="M857" t="s">
        <v>10</v>
      </c>
      <c r="N857" t="s">
        <v>57</v>
      </c>
      <c r="O857" t="str">
        <f>INDEX(CoverageTable[Deductible Applies],MATCH(Table1820[[#This Row],[Coverage]],CoverageTable[Coverage],0))</f>
        <v>No</v>
      </c>
      <c r="P857" t="str">
        <f>INDEX(CoverageTable[Coverage Limit Applies],MATCH(Table1820[[#This Row],[Coverage]],CoverageTable[Coverage],0))</f>
        <v>Yes</v>
      </c>
      <c r="Q857" t="s">
        <v>10</v>
      </c>
      <c r="R857" t="s">
        <v>78</v>
      </c>
      <c r="S857" t="s">
        <v>10</v>
      </c>
      <c r="T857" t="s">
        <v>10</v>
      </c>
      <c r="U857" t="s">
        <v>10</v>
      </c>
      <c r="V857" t="s">
        <v>10</v>
      </c>
      <c r="W857" t="s">
        <v>10</v>
      </c>
      <c r="X857" s="11">
        <v>223.25632138691483</v>
      </c>
      <c r="Y857">
        <f>_xlfn.XLOOKUP(Table1820[[#This Row],[Coverage]],CoverageTable[Coverage],CoverageTable[Base Rate],,0)</f>
        <v>78</v>
      </c>
      <c r="Z857">
        <f>INDEX(Table16[Ageband Factor],MATCH(Table1820[[#This Row],[Ageband]],Table16[Ageband],0))</f>
        <v>1.1200000000000001</v>
      </c>
      <c r="AA857">
        <f>VLOOKUP(Table1820[[#This Row],[Years Driving]],Table1[],2)</f>
        <v>0.95</v>
      </c>
      <c r="AB857">
        <f>_xlfn.XLOOKUP(Table1820[[#This Row],[At Fault Accidents]],Table2[At Fault Accidents],Table2[At Fault Accident Factor],,0)</f>
        <v>2.4700000000000002</v>
      </c>
      <c r="AC857">
        <f>_xlfn.XLOOKUP(Table1820[[#This Row],[Usage-Based Insurance]],Table3[Usage-Based Insurance],Table3[Usage-Based Insurance Discount],,0)</f>
        <v>1</v>
      </c>
      <c r="AD857">
        <f>_xlfn.XLOOKUP(Table1820[[#This Row],[Yearly Miles]],Table4[Yearly Miles],Table4[Yearly Miles Factor],,0)</f>
        <v>0.93</v>
      </c>
      <c r="AE857">
        <f>_xlfn.XLOOKUP(Table1820[[#This Row],[City/Zip Code]],Table5[City/Zip Code],Table5[City/Zip Code Factor],,0)</f>
        <v>1.08</v>
      </c>
      <c r="AF857">
        <f>_xlfn.XLOOKUP(Table1820[[#This Row],[Vehicle Price]],Table6[Vehicle Price],Table6[Vehicle Price Factor])</f>
        <v>2.02</v>
      </c>
      <c r="AG857">
        <f>_xlfn.XLOOKUP(Table1820[[#This Row],[Exotic Car]],Table7[Exotic Car],Table7[Exotic Car Factor],,0)</f>
        <v>1</v>
      </c>
      <c r="AH857">
        <f>_xlfn.XLOOKUP(Table1820[[#This Row],[Difficult Parts]],Table8[Difficult Parts],Table8[Difficult Parts Factor],,0)</f>
        <v>1</v>
      </c>
      <c r="AI857">
        <f>_xlfn.XLOOKUP(Table1820[[#This Row],[High Theft Rate]],Table9[High Theft Rate],Table9[High Theft Rate Factor],,0)</f>
        <v>1</v>
      </c>
      <c r="AJ857">
        <f>_xlfn.XLOOKUP(Table1820[[#This Row],[Advanced Safety Features]],Table10[Advanced Safety Features],Table10[Advanced Safety Features Factor],,0)</f>
        <v>0.88</v>
      </c>
      <c r="AK857">
        <f>_xlfn.XLOOKUP(Table1820[[#This Row],[Deductible]],Table12[Deductible],Table12[Deductible Factor],,0)</f>
        <v>1</v>
      </c>
      <c r="AL857">
        <f>_xlfn.XLOOKUP(Table1820[[#This Row],[Coverage Limit]],Table13[Coverage Limit],Table13[Coverage Limit Factor],,0)</f>
        <v>0.61</v>
      </c>
      <c r="AM857">
        <f>IF(Table1820[[#This Row],[Good Student Discount]]="Yes",'Rate Book'!$D$126,1)</f>
        <v>1</v>
      </c>
      <c r="AN857">
        <f>IF(Table1820[[#This Row],[Good Driver Discount]]="Yes",'Rate Book'!$D$127,1)</f>
        <v>1</v>
      </c>
      <c r="AO857">
        <f>IF(Table1820[[#This Row],[Multi Policy Discount]]="Yes",'Rate Book'!$D$128,1)</f>
        <v>1</v>
      </c>
      <c r="AP857">
        <f>IF(Table1820[[#This Row],[Loyal Customer Discount]]="Yes",'Rate Book'!$D$129,1)</f>
        <v>1</v>
      </c>
      <c r="AQ857">
        <f>IF(Table1820[[#This Row],[Organization Discount]]="Yes",'Rate Book'!$D$130,1)</f>
        <v>1</v>
      </c>
      <c r="AR857" cm="1">
        <f t="array" ref="AR857">IF(Table1820[[#This Row],[Effective Date]]&gt;=RateChangeTable[Effective Date],RateChangeTable[Rate Change Factor],1)</f>
        <v>1</v>
      </c>
      <c r="AS857" s="10">
        <f>PRODUCT(Table1820[[#This Row],[Base Rate]:[Rate Change Factor]])</f>
        <v>223.25632138691483</v>
      </c>
      <c r="AT857" s="9">
        <f>Table1820[[#This Row],[System-Generated Premium]]-Table1820[[#This Row],[Expected Premium]]</f>
        <v>0</v>
      </c>
      <c r="AU857" t="str">
        <f>IF(Table1820[[#This Row],[Difference]]=0,"PASS","FAIL")</f>
        <v>PASS</v>
      </c>
      <c r="AV857" s="9">
        <f>ABS(Table1820[[#This Row],[Difference]])</f>
        <v>0</v>
      </c>
      <c r="AW857" s="9" t="s">
        <v>1136</v>
      </c>
    </row>
    <row r="858" spans="1:49" x14ac:dyDescent="0.3">
      <c r="A858" t="s">
        <v>949</v>
      </c>
      <c r="B858" s="7">
        <v>45909</v>
      </c>
      <c r="C858" t="s">
        <v>72</v>
      </c>
      <c r="D858" t="s">
        <v>1100</v>
      </c>
      <c r="E858" s="3">
        <v>1</v>
      </c>
      <c r="F858" s="3">
        <v>3</v>
      </c>
      <c r="G858" t="s">
        <v>12</v>
      </c>
      <c r="H858" t="s">
        <v>1106</v>
      </c>
      <c r="I858" t="s">
        <v>21</v>
      </c>
      <c r="J858" t="s">
        <v>51</v>
      </c>
      <c r="K858" t="s">
        <v>10</v>
      </c>
      <c r="L858" t="s">
        <v>10</v>
      </c>
      <c r="M858" t="s">
        <v>10</v>
      </c>
      <c r="N858" t="s">
        <v>57</v>
      </c>
      <c r="O858" t="str">
        <f>INDEX(CoverageTable[Deductible Applies],MATCH(Table1820[[#This Row],[Coverage]],CoverageTable[Coverage],0))</f>
        <v>Yes</v>
      </c>
      <c r="P858" t="str">
        <f>INDEX(CoverageTable[Coverage Limit Applies],MATCH(Table1820[[#This Row],[Coverage]],CoverageTable[Coverage],0))</f>
        <v>No</v>
      </c>
      <c r="Q858" t="s">
        <v>79</v>
      </c>
      <c r="R858" t="s">
        <v>10</v>
      </c>
      <c r="S858" t="s">
        <v>10</v>
      </c>
      <c r="T858" t="s">
        <v>57</v>
      </c>
      <c r="U858" t="s">
        <v>57</v>
      </c>
      <c r="V858" t="s">
        <v>10</v>
      </c>
      <c r="W858" t="s">
        <v>10</v>
      </c>
      <c r="X858" s="11">
        <v>250.15181113572424</v>
      </c>
      <c r="Y858">
        <f>_xlfn.XLOOKUP(Table1820[[#This Row],[Coverage]],CoverageTable[Coverage],CoverageTable[Base Rate],,0)</f>
        <v>121</v>
      </c>
      <c r="Z858">
        <f>INDEX(Table16[Ageband Factor],MATCH(Table1820[[#This Row],[Ageband]],Table16[Ageband],0))</f>
        <v>1.07</v>
      </c>
      <c r="AA858">
        <f>VLOOKUP(Table1820[[#This Row],[Years Driving]],Table1[],2)</f>
        <v>1.64</v>
      </c>
      <c r="AB858">
        <f>_xlfn.XLOOKUP(Table1820[[#This Row],[At Fault Accidents]],Table2[At Fault Accidents],Table2[At Fault Accident Factor],,0)</f>
        <v>1.82</v>
      </c>
      <c r="AC858">
        <f>_xlfn.XLOOKUP(Table1820[[#This Row],[Usage-Based Insurance]],Table3[Usage-Based Insurance],Table3[Usage-Based Insurance Discount],,0)</f>
        <v>0.8</v>
      </c>
      <c r="AD858">
        <f>_xlfn.XLOOKUP(Table1820[[#This Row],[Yearly Miles]],Table4[Yearly Miles],Table4[Yearly Miles Factor],,0)</f>
        <v>0.82</v>
      </c>
      <c r="AE858">
        <f>_xlfn.XLOOKUP(Table1820[[#This Row],[City/Zip Code]],Table5[City/Zip Code],Table5[City/Zip Code Factor],,0)</f>
        <v>1.26</v>
      </c>
      <c r="AF858">
        <f>_xlfn.XLOOKUP(Table1820[[#This Row],[Vehicle Price]],Table6[Vehicle Price],Table6[Vehicle Price Factor])</f>
        <v>1.28</v>
      </c>
      <c r="AG858">
        <f>_xlfn.XLOOKUP(Table1820[[#This Row],[Exotic Car]],Table7[Exotic Car],Table7[Exotic Car Factor],,0)</f>
        <v>1</v>
      </c>
      <c r="AH858">
        <f>_xlfn.XLOOKUP(Table1820[[#This Row],[Difficult Parts]],Table8[Difficult Parts],Table8[Difficult Parts Factor],,0)</f>
        <v>1</v>
      </c>
      <c r="AI858">
        <f>_xlfn.XLOOKUP(Table1820[[#This Row],[High Theft Rate]],Table9[High Theft Rate],Table9[High Theft Rate Factor],,0)</f>
        <v>1</v>
      </c>
      <c r="AJ858">
        <f>_xlfn.XLOOKUP(Table1820[[#This Row],[Advanced Safety Features]],Table10[Advanced Safety Features],Table10[Advanced Safety Features Factor],,0)</f>
        <v>0.88</v>
      </c>
      <c r="AK858">
        <f>_xlfn.XLOOKUP(Table1820[[#This Row],[Deductible]],Table12[Deductible],Table12[Deductible Factor],,0)</f>
        <v>0.84</v>
      </c>
      <c r="AL858">
        <f>_xlfn.XLOOKUP(Table1820[[#This Row],[Coverage Limit]],Table13[Coverage Limit],Table13[Coverage Limit Factor],,0)</f>
        <v>1</v>
      </c>
      <c r="AM858">
        <f>IF(Table1820[[#This Row],[Good Student Discount]]="Yes",'Rate Book'!$D$126,1)</f>
        <v>1</v>
      </c>
      <c r="AN858">
        <f>IF(Table1820[[#This Row],[Good Driver Discount]]="Yes",'Rate Book'!$D$127,1)</f>
        <v>0.89</v>
      </c>
      <c r="AO858">
        <f>IF(Table1820[[#This Row],[Multi Policy Discount]]="Yes",'Rate Book'!$D$128,1)</f>
        <v>0.93</v>
      </c>
      <c r="AP858">
        <f>IF(Table1820[[#This Row],[Loyal Customer Discount]]="Yes",'Rate Book'!$D$129,1)</f>
        <v>1</v>
      </c>
      <c r="AQ858">
        <f>IF(Table1820[[#This Row],[Organization Discount]]="Yes",'Rate Book'!$D$130,1)</f>
        <v>1</v>
      </c>
      <c r="AR858" cm="1">
        <f t="array" ref="AR858">IF(Table1820[[#This Row],[Effective Date]]&gt;=RateChangeTable[Effective Date],RateChangeTable[Rate Change Factor],1)</f>
        <v>1</v>
      </c>
      <c r="AS858" s="10">
        <f>PRODUCT(Table1820[[#This Row],[Base Rate]:[Rate Change Factor]])</f>
        <v>250.15181113572424</v>
      </c>
      <c r="AT858" s="9">
        <f>Table1820[[#This Row],[System-Generated Premium]]-Table1820[[#This Row],[Expected Premium]]</f>
        <v>0</v>
      </c>
      <c r="AU858" t="str">
        <f>IF(Table1820[[#This Row],[Difference]]=0,"PASS","FAIL")</f>
        <v>PASS</v>
      </c>
      <c r="AV858" s="9">
        <f>ABS(Table1820[[#This Row],[Difference]])</f>
        <v>0</v>
      </c>
      <c r="AW858" s="9" t="s">
        <v>1136</v>
      </c>
    </row>
    <row r="859" spans="1:49" x14ac:dyDescent="0.3">
      <c r="A859" t="s">
        <v>950</v>
      </c>
      <c r="B859" s="7">
        <v>45974</v>
      </c>
      <c r="C859" t="s">
        <v>70</v>
      </c>
      <c r="D859" t="s">
        <v>1100</v>
      </c>
      <c r="E859" s="3">
        <v>7</v>
      </c>
      <c r="F859" s="3">
        <v>4</v>
      </c>
      <c r="G859" t="s">
        <v>12</v>
      </c>
      <c r="H859" t="s">
        <v>1106</v>
      </c>
      <c r="I859" t="s">
        <v>40</v>
      </c>
      <c r="J859" t="s">
        <v>54</v>
      </c>
      <c r="K859" t="s">
        <v>10</v>
      </c>
      <c r="L859" t="s">
        <v>10</v>
      </c>
      <c r="M859" t="s">
        <v>10</v>
      </c>
      <c r="N859" t="s">
        <v>57</v>
      </c>
      <c r="O859" t="str">
        <f>INDEX(CoverageTable[Deductible Applies],MATCH(Table1820[[#This Row],[Coverage]],CoverageTable[Coverage],0))</f>
        <v>No</v>
      </c>
      <c r="P859" t="str">
        <f>INDEX(CoverageTable[Coverage Limit Applies],MATCH(Table1820[[#This Row],[Coverage]],CoverageTable[Coverage],0))</f>
        <v>Yes</v>
      </c>
      <c r="Q859" t="s">
        <v>10</v>
      </c>
      <c r="R859" t="s">
        <v>80</v>
      </c>
      <c r="S859" t="s">
        <v>10</v>
      </c>
      <c r="T859" t="s">
        <v>10</v>
      </c>
      <c r="U859" t="s">
        <v>57</v>
      </c>
      <c r="V859" t="s">
        <v>10</v>
      </c>
      <c r="W859" t="s">
        <v>10</v>
      </c>
      <c r="X859" s="11">
        <v>1890.9966932791604</v>
      </c>
      <c r="Y859">
        <f>_xlfn.XLOOKUP(Table1820[[#This Row],[Coverage]],CoverageTable[Coverage],CoverageTable[Base Rate],,0)</f>
        <v>622</v>
      </c>
      <c r="Z859">
        <f>INDEX(Table16[Ageband Factor],MATCH(Table1820[[#This Row],[Ageband]],Table16[Ageband],0))</f>
        <v>1.07</v>
      </c>
      <c r="AA859">
        <f>VLOOKUP(Table1820[[#This Row],[Years Driving]],Table1[],2)</f>
        <v>0.95</v>
      </c>
      <c r="AB859">
        <f>_xlfn.XLOOKUP(Table1820[[#This Row],[At Fault Accidents]],Table2[At Fault Accidents],Table2[At Fault Accident Factor],,0)</f>
        <v>2.12</v>
      </c>
      <c r="AC859">
        <f>_xlfn.XLOOKUP(Table1820[[#This Row],[Usage-Based Insurance]],Table3[Usage-Based Insurance],Table3[Usage-Based Insurance Discount],,0)</f>
        <v>0.8</v>
      </c>
      <c r="AD859">
        <f>_xlfn.XLOOKUP(Table1820[[#This Row],[Yearly Miles]],Table4[Yearly Miles],Table4[Yearly Miles Factor],,0)</f>
        <v>0.82</v>
      </c>
      <c r="AE859">
        <f>_xlfn.XLOOKUP(Table1820[[#This Row],[City/Zip Code]],Table5[City/Zip Code],Table5[City/Zip Code Factor],,0)</f>
        <v>1.0900000000000001</v>
      </c>
      <c r="AF859">
        <f>_xlfn.XLOOKUP(Table1820[[#This Row],[Vehicle Price]],Table6[Vehicle Price],Table6[Vehicle Price Factor])</f>
        <v>2.87</v>
      </c>
      <c r="AG859">
        <f>_xlfn.XLOOKUP(Table1820[[#This Row],[Exotic Car]],Table7[Exotic Car],Table7[Exotic Car Factor],,0)</f>
        <v>1</v>
      </c>
      <c r="AH859">
        <f>_xlfn.XLOOKUP(Table1820[[#This Row],[Difficult Parts]],Table8[Difficult Parts],Table8[Difficult Parts Factor],,0)</f>
        <v>1</v>
      </c>
      <c r="AI859">
        <f>_xlfn.XLOOKUP(Table1820[[#This Row],[High Theft Rate]],Table9[High Theft Rate],Table9[High Theft Rate Factor],,0)</f>
        <v>1</v>
      </c>
      <c r="AJ859">
        <f>_xlfn.XLOOKUP(Table1820[[#This Row],[Advanced Safety Features]],Table10[Advanced Safety Features],Table10[Advanced Safety Features Factor],,0)</f>
        <v>0.88</v>
      </c>
      <c r="AK859">
        <f>_xlfn.XLOOKUP(Table1820[[#This Row],[Deductible]],Table12[Deductible],Table12[Deductible Factor],,0)</f>
        <v>1</v>
      </c>
      <c r="AL859">
        <f>_xlfn.XLOOKUP(Table1820[[#This Row],[Coverage Limit]],Table13[Coverage Limit],Table13[Coverage Limit Factor],,0)</f>
        <v>0.84</v>
      </c>
      <c r="AM859">
        <f>IF(Table1820[[#This Row],[Good Student Discount]]="Yes",'Rate Book'!$D$126,1)</f>
        <v>1</v>
      </c>
      <c r="AN859">
        <f>IF(Table1820[[#This Row],[Good Driver Discount]]="Yes",'Rate Book'!$D$127,1)</f>
        <v>1</v>
      </c>
      <c r="AO859">
        <f>IF(Table1820[[#This Row],[Multi Policy Discount]]="Yes",'Rate Book'!$D$128,1)</f>
        <v>0.93</v>
      </c>
      <c r="AP859">
        <f>IF(Table1820[[#This Row],[Loyal Customer Discount]]="Yes",'Rate Book'!$D$129,1)</f>
        <v>1</v>
      </c>
      <c r="AQ859">
        <f>IF(Table1820[[#This Row],[Organization Discount]]="Yes",'Rate Book'!$D$130,1)</f>
        <v>1</v>
      </c>
      <c r="AR859" cm="1">
        <f t="array" ref="AR859">IF(Table1820[[#This Row],[Effective Date]]&gt;=RateChangeTable[Effective Date],RateChangeTable[Rate Change Factor],1)</f>
        <v>1</v>
      </c>
      <c r="AS859" s="10">
        <f>PRODUCT(Table1820[[#This Row],[Base Rate]:[Rate Change Factor]])</f>
        <v>1890.9966932791604</v>
      </c>
      <c r="AT859" s="9">
        <f>Table1820[[#This Row],[System-Generated Premium]]-Table1820[[#This Row],[Expected Premium]]</f>
        <v>0</v>
      </c>
      <c r="AU859" t="str">
        <f>IF(Table1820[[#This Row],[Difference]]=0,"PASS","FAIL")</f>
        <v>PASS</v>
      </c>
      <c r="AV859" s="9">
        <f>ABS(Table1820[[#This Row],[Difference]])</f>
        <v>0</v>
      </c>
      <c r="AW859" s="9" t="s">
        <v>1136</v>
      </c>
    </row>
    <row r="860" spans="1:49" x14ac:dyDescent="0.3">
      <c r="A860" t="s">
        <v>951</v>
      </c>
      <c r="B860" s="7">
        <v>45860</v>
      </c>
      <c r="C860" t="s">
        <v>73</v>
      </c>
      <c r="D860" t="s">
        <v>1102</v>
      </c>
      <c r="E860" s="3" t="s">
        <v>1103</v>
      </c>
      <c r="F860" s="3">
        <v>0</v>
      </c>
      <c r="G860" t="s">
        <v>10</v>
      </c>
      <c r="H860" t="s">
        <v>1107</v>
      </c>
      <c r="I860" t="s">
        <v>29</v>
      </c>
      <c r="J860" t="s">
        <v>53</v>
      </c>
      <c r="K860" t="s">
        <v>57</v>
      </c>
      <c r="L860" t="s">
        <v>10</v>
      </c>
      <c r="M860" t="s">
        <v>10</v>
      </c>
      <c r="N860" t="s">
        <v>57</v>
      </c>
      <c r="O860" t="str">
        <f>INDEX(CoverageTable[Deductible Applies],MATCH(Table1820[[#This Row],[Coverage]],CoverageTable[Coverage],0))</f>
        <v>No</v>
      </c>
      <c r="P860" t="str">
        <f>INDEX(CoverageTable[Coverage Limit Applies],MATCH(Table1820[[#This Row],[Coverage]],CoverageTable[Coverage],0))</f>
        <v>Yes</v>
      </c>
      <c r="Q860" t="s">
        <v>10</v>
      </c>
      <c r="R860" t="s">
        <v>79</v>
      </c>
      <c r="S860" t="s">
        <v>57</v>
      </c>
      <c r="T860" t="s">
        <v>57</v>
      </c>
      <c r="U860" t="s">
        <v>57</v>
      </c>
      <c r="V860" t="s">
        <v>10</v>
      </c>
      <c r="W860" t="s">
        <v>10</v>
      </c>
      <c r="X860" s="11">
        <v>116.50055891691743</v>
      </c>
      <c r="Y860">
        <f>_xlfn.XLOOKUP(Table1820[[#This Row],[Coverage]],CoverageTable[Coverage],CoverageTable[Base Rate],,0)</f>
        <v>78</v>
      </c>
      <c r="Z860">
        <f>INDEX(Table16[Ageband Factor],MATCH(Table1820[[#This Row],[Ageband]],Table16[Ageband],0))</f>
        <v>1.27</v>
      </c>
      <c r="AA860">
        <f>VLOOKUP(Table1820[[#This Row],[Years Driving]],Table1[],2)</f>
        <v>0.93</v>
      </c>
      <c r="AB860">
        <f>_xlfn.XLOOKUP(Table1820[[#This Row],[At Fault Accidents]],Table2[At Fault Accidents],Table2[At Fault Accident Factor],,0)</f>
        <v>1</v>
      </c>
      <c r="AC860">
        <f>_xlfn.XLOOKUP(Table1820[[#This Row],[Usage-Based Insurance]],Table3[Usage-Based Insurance],Table3[Usage-Based Insurance Discount],,0)</f>
        <v>1</v>
      </c>
      <c r="AD860">
        <f>_xlfn.XLOOKUP(Table1820[[#This Row],[Yearly Miles]],Table4[Yearly Miles],Table4[Yearly Miles Factor],,0)</f>
        <v>0.93</v>
      </c>
      <c r="AE860">
        <f>_xlfn.XLOOKUP(Table1820[[#This Row],[City/Zip Code]],Table5[City/Zip Code],Table5[City/Zip Code Factor],,0)</f>
        <v>1.0900000000000001</v>
      </c>
      <c r="AF860">
        <f>_xlfn.XLOOKUP(Table1820[[#This Row],[Vehicle Price]],Table6[Vehicle Price],Table6[Vehicle Price Factor])</f>
        <v>2.02</v>
      </c>
      <c r="AG860">
        <f>_xlfn.XLOOKUP(Table1820[[#This Row],[Exotic Car]],Table7[Exotic Car],Table7[Exotic Car Factor],,0)</f>
        <v>1.28</v>
      </c>
      <c r="AH860">
        <f>_xlfn.XLOOKUP(Table1820[[#This Row],[Difficult Parts]],Table8[Difficult Parts],Table8[Difficult Parts Factor],,0)</f>
        <v>1</v>
      </c>
      <c r="AI860">
        <f>_xlfn.XLOOKUP(Table1820[[#This Row],[High Theft Rate]],Table9[High Theft Rate],Table9[High Theft Rate Factor],,0)</f>
        <v>1</v>
      </c>
      <c r="AJ860">
        <f>_xlfn.XLOOKUP(Table1820[[#This Row],[Advanced Safety Features]],Table10[Advanced Safety Features],Table10[Advanced Safety Features Factor],,0)</f>
        <v>0.88</v>
      </c>
      <c r="AK860">
        <f>_xlfn.XLOOKUP(Table1820[[#This Row],[Deductible]],Table12[Deductible],Table12[Deductible Factor],,0)</f>
        <v>1</v>
      </c>
      <c r="AL860">
        <f>_xlfn.XLOOKUP(Table1820[[#This Row],[Coverage Limit]],Table13[Coverage Limit],Table13[Coverage Limit Factor],,0)</f>
        <v>0.72</v>
      </c>
      <c r="AM860">
        <f>IF(Table1820[[#This Row],[Good Student Discount]]="Yes",'Rate Book'!$D$126,1)</f>
        <v>0.92</v>
      </c>
      <c r="AN860">
        <f>IF(Table1820[[#This Row],[Good Driver Discount]]="Yes",'Rate Book'!$D$127,1)</f>
        <v>0.89</v>
      </c>
      <c r="AO860">
        <f>IF(Table1820[[#This Row],[Multi Policy Discount]]="Yes",'Rate Book'!$D$128,1)</f>
        <v>0.93</v>
      </c>
      <c r="AP860">
        <f>IF(Table1820[[#This Row],[Loyal Customer Discount]]="Yes",'Rate Book'!$D$129,1)</f>
        <v>1</v>
      </c>
      <c r="AQ860">
        <f>IF(Table1820[[#This Row],[Organization Discount]]="Yes",'Rate Book'!$D$130,1)</f>
        <v>1</v>
      </c>
      <c r="AR860" cm="1">
        <f t="array" ref="AR860">IF(Table1820[[#This Row],[Effective Date]]&gt;=RateChangeTable[Effective Date],RateChangeTable[Rate Change Factor],1)</f>
        <v>1</v>
      </c>
      <c r="AS860" s="10">
        <f>PRODUCT(Table1820[[#This Row],[Base Rate]:[Rate Change Factor]])</f>
        <v>116.50055891691743</v>
      </c>
      <c r="AT860" s="9">
        <f>Table1820[[#This Row],[System-Generated Premium]]-Table1820[[#This Row],[Expected Premium]]</f>
        <v>0</v>
      </c>
      <c r="AU860" t="str">
        <f>IF(Table1820[[#This Row],[Difference]]=0,"PASS","FAIL")</f>
        <v>PASS</v>
      </c>
      <c r="AV860" s="9">
        <f>ABS(Table1820[[#This Row],[Difference]])</f>
        <v>0</v>
      </c>
      <c r="AW860" s="9" t="s">
        <v>1136</v>
      </c>
    </row>
    <row r="861" spans="1:49" x14ac:dyDescent="0.3">
      <c r="A861" t="s">
        <v>952</v>
      </c>
      <c r="B861" s="7">
        <v>46083</v>
      </c>
      <c r="C861" t="s">
        <v>71</v>
      </c>
      <c r="D861" t="s">
        <v>1100</v>
      </c>
      <c r="E861" s="3">
        <v>4</v>
      </c>
      <c r="F861" s="3">
        <v>3</v>
      </c>
      <c r="G861" t="s">
        <v>12</v>
      </c>
      <c r="H861" t="s">
        <v>1107</v>
      </c>
      <c r="I861" t="s">
        <v>42</v>
      </c>
      <c r="J861" t="s">
        <v>53</v>
      </c>
      <c r="K861" t="s">
        <v>57</v>
      </c>
      <c r="L861" t="s">
        <v>10</v>
      </c>
      <c r="M861" t="s">
        <v>10</v>
      </c>
      <c r="N861" t="s">
        <v>10</v>
      </c>
      <c r="O861" t="str">
        <f>INDEX(CoverageTable[Deductible Applies],MATCH(Table1820[[#This Row],[Coverage]],CoverageTable[Coverage],0))</f>
        <v>Yes</v>
      </c>
      <c r="P861" t="str">
        <f>INDEX(CoverageTable[Coverage Limit Applies],MATCH(Table1820[[#This Row],[Coverage]],CoverageTable[Coverage],0))</f>
        <v>No</v>
      </c>
      <c r="Q861" t="s">
        <v>78</v>
      </c>
      <c r="R861" t="s">
        <v>10</v>
      </c>
      <c r="S861" t="s">
        <v>10</v>
      </c>
      <c r="T861" t="s">
        <v>10</v>
      </c>
      <c r="U861" t="s">
        <v>10</v>
      </c>
      <c r="V861" t="s">
        <v>10</v>
      </c>
      <c r="W861" t="s">
        <v>57</v>
      </c>
      <c r="X861" s="11">
        <v>2306.5987790819609</v>
      </c>
      <c r="Y861">
        <f>_xlfn.XLOOKUP(Table1820[[#This Row],[Coverage]],CoverageTable[Coverage],CoverageTable[Base Rate],,0)</f>
        <v>453</v>
      </c>
      <c r="Z861">
        <f>INDEX(Table16[Ageband Factor],MATCH(Table1820[[#This Row],[Ageband]],Table16[Ageband],0))</f>
        <v>1.07</v>
      </c>
      <c r="AA861">
        <f>VLOOKUP(Table1820[[#This Row],[Years Driving]],Table1[],2)</f>
        <v>1.1499999999999999</v>
      </c>
      <c r="AB861">
        <f>_xlfn.XLOOKUP(Table1820[[#This Row],[At Fault Accidents]],Table2[At Fault Accidents],Table2[At Fault Accident Factor],,0)</f>
        <v>1.82</v>
      </c>
      <c r="AC861">
        <f>_xlfn.XLOOKUP(Table1820[[#This Row],[Usage-Based Insurance]],Table3[Usage-Based Insurance],Table3[Usage-Based Insurance Discount],,0)</f>
        <v>0.8</v>
      </c>
      <c r="AD861">
        <f>_xlfn.XLOOKUP(Table1820[[#This Row],[Yearly Miles]],Table4[Yearly Miles],Table4[Yearly Miles Factor],,0)</f>
        <v>0.93</v>
      </c>
      <c r="AE861">
        <f>_xlfn.XLOOKUP(Table1820[[#This Row],[City/Zip Code]],Table5[City/Zip Code],Table5[City/Zip Code Factor],,0)</f>
        <v>1.21</v>
      </c>
      <c r="AF861">
        <f>_xlfn.XLOOKUP(Table1820[[#This Row],[Vehicle Price]],Table6[Vehicle Price],Table6[Vehicle Price Factor])</f>
        <v>2.02</v>
      </c>
      <c r="AG861">
        <f>_xlfn.XLOOKUP(Table1820[[#This Row],[Exotic Car]],Table7[Exotic Car],Table7[Exotic Car Factor],,0)</f>
        <v>1.28</v>
      </c>
      <c r="AH861">
        <f>_xlfn.XLOOKUP(Table1820[[#This Row],[Difficult Parts]],Table8[Difficult Parts],Table8[Difficult Parts Factor],,0)</f>
        <v>1</v>
      </c>
      <c r="AI861">
        <f>_xlfn.XLOOKUP(Table1820[[#This Row],[High Theft Rate]],Table9[High Theft Rate],Table9[High Theft Rate Factor],,0)</f>
        <v>1</v>
      </c>
      <c r="AJ861">
        <f>_xlfn.XLOOKUP(Table1820[[#This Row],[Advanced Safety Features]],Table10[Advanced Safety Features],Table10[Advanced Safety Features Factor],,0)</f>
        <v>1</v>
      </c>
      <c r="AK861">
        <f>_xlfn.XLOOKUP(Table1820[[#This Row],[Deductible]],Table12[Deductible],Table12[Deductible Factor],,0)</f>
        <v>0.95</v>
      </c>
      <c r="AL861">
        <f>_xlfn.XLOOKUP(Table1820[[#This Row],[Coverage Limit]],Table13[Coverage Limit],Table13[Coverage Limit Factor],,0)</f>
        <v>1</v>
      </c>
      <c r="AM861">
        <f>IF(Table1820[[#This Row],[Good Student Discount]]="Yes",'Rate Book'!$D$126,1)</f>
        <v>1</v>
      </c>
      <c r="AN861">
        <f>IF(Table1820[[#This Row],[Good Driver Discount]]="Yes",'Rate Book'!$D$127,1)</f>
        <v>1</v>
      </c>
      <c r="AO861">
        <f>IF(Table1820[[#This Row],[Multi Policy Discount]]="Yes",'Rate Book'!$D$128,1)</f>
        <v>1</v>
      </c>
      <c r="AP861">
        <f>IF(Table1820[[#This Row],[Loyal Customer Discount]]="Yes",'Rate Book'!$D$129,1)</f>
        <v>1</v>
      </c>
      <c r="AQ861">
        <f>IF(Table1820[[#This Row],[Organization Discount]]="Yes",'Rate Book'!$D$130,1)</f>
        <v>0.97</v>
      </c>
      <c r="AR861" cm="1">
        <f t="array" ref="AR861">IF(Table1820[[#This Row],[Effective Date]]&gt;=RateChangeTable[Effective Date],RateChangeTable[Rate Change Factor],1)</f>
        <v>1.06</v>
      </c>
      <c r="AS861" s="10">
        <f>PRODUCT(Table1820[[#This Row],[Base Rate]:[Rate Change Factor]])</f>
        <v>2306.5987790819609</v>
      </c>
      <c r="AT861" s="9">
        <f>Table1820[[#This Row],[System-Generated Premium]]-Table1820[[#This Row],[Expected Premium]]</f>
        <v>0</v>
      </c>
      <c r="AU861" t="str">
        <f>IF(Table1820[[#This Row],[Difference]]=0,"PASS","FAIL")</f>
        <v>PASS</v>
      </c>
      <c r="AV861" s="9">
        <f>ABS(Table1820[[#This Row],[Difference]])</f>
        <v>0</v>
      </c>
      <c r="AW861" s="9" t="s">
        <v>1136</v>
      </c>
    </row>
    <row r="862" spans="1:49" x14ac:dyDescent="0.3">
      <c r="A862" t="s">
        <v>953</v>
      </c>
      <c r="B862" s="7">
        <v>45950</v>
      </c>
      <c r="C862" t="s">
        <v>70</v>
      </c>
      <c r="D862" t="s">
        <v>1099</v>
      </c>
      <c r="E862" s="3">
        <v>5</v>
      </c>
      <c r="F862" s="3">
        <v>0</v>
      </c>
      <c r="G862" t="s">
        <v>12</v>
      </c>
      <c r="H862" t="s">
        <v>1110</v>
      </c>
      <c r="I862" t="s">
        <v>23</v>
      </c>
      <c r="J862" t="s">
        <v>50</v>
      </c>
      <c r="K862" t="s">
        <v>10</v>
      </c>
      <c r="L862" t="s">
        <v>57</v>
      </c>
      <c r="M862" t="s">
        <v>57</v>
      </c>
      <c r="N862" t="s">
        <v>10</v>
      </c>
      <c r="O862" t="str">
        <f>INDEX(CoverageTable[Deductible Applies],MATCH(Table1820[[#This Row],[Coverage]],CoverageTable[Coverage],0))</f>
        <v>No</v>
      </c>
      <c r="P862" t="str">
        <f>INDEX(CoverageTable[Coverage Limit Applies],MATCH(Table1820[[#This Row],[Coverage]],CoverageTable[Coverage],0))</f>
        <v>Yes</v>
      </c>
      <c r="Q862" t="s">
        <v>10</v>
      </c>
      <c r="R862" t="s">
        <v>80</v>
      </c>
      <c r="S862" t="s">
        <v>10</v>
      </c>
      <c r="T862" t="s">
        <v>57</v>
      </c>
      <c r="U862" t="s">
        <v>10</v>
      </c>
      <c r="V862" t="s">
        <v>10</v>
      </c>
      <c r="W862" t="s">
        <v>57</v>
      </c>
      <c r="X862" s="11">
        <v>881.74</v>
      </c>
      <c r="Y862">
        <f>_xlfn.XLOOKUP(Table1820[[#This Row],[Coverage]],CoverageTable[Coverage],CoverageTable[Base Rate],,0)</f>
        <v>622</v>
      </c>
      <c r="Z862">
        <f>INDEX(Table16[Ageband Factor],MATCH(Table1820[[#This Row],[Ageband]],Table16[Ageband],0))</f>
        <v>1</v>
      </c>
      <c r="AA862">
        <f>VLOOKUP(Table1820[[#This Row],[Years Driving]],Table1[],2)</f>
        <v>1.07</v>
      </c>
      <c r="AB862">
        <f>_xlfn.XLOOKUP(Table1820[[#This Row],[At Fault Accidents]],Table2[At Fault Accidents],Table2[At Fault Accident Factor],,0)</f>
        <v>1</v>
      </c>
      <c r="AC862">
        <f>_xlfn.XLOOKUP(Table1820[[#This Row],[Usage-Based Insurance]],Table3[Usage-Based Insurance],Table3[Usage-Based Insurance Discount],,0)</f>
        <v>0.8</v>
      </c>
      <c r="AD862">
        <f>_xlfn.XLOOKUP(Table1820[[#This Row],[Yearly Miles]],Table4[Yearly Miles],Table4[Yearly Miles Factor],,0)</f>
        <v>1.31</v>
      </c>
      <c r="AE862">
        <f>_xlfn.XLOOKUP(Table1820[[#This Row],[City/Zip Code]],Table5[City/Zip Code],Table5[City/Zip Code Factor],,0)</f>
        <v>0.92</v>
      </c>
      <c r="AF862">
        <f>_xlfn.XLOOKUP(Table1820[[#This Row],[Vehicle Price]],Table6[Vehicle Price],Table6[Vehicle Price Factor])</f>
        <v>1.08</v>
      </c>
      <c r="AG862">
        <f>_xlfn.XLOOKUP(Table1820[[#This Row],[Exotic Car]],Table7[Exotic Car],Table7[Exotic Car Factor],,0)</f>
        <v>1</v>
      </c>
      <c r="AH862">
        <f>_xlfn.XLOOKUP(Table1820[[#This Row],[Difficult Parts]],Table8[Difficult Parts],Table8[Difficult Parts Factor],,0)</f>
        <v>1.21</v>
      </c>
      <c r="AI862">
        <f>_xlfn.XLOOKUP(Table1820[[#This Row],[High Theft Rate]],Table9[High Theft Rate],Table9[High Theft Rate Factor],,0)</f>
        <v>1.1599999999999999</v>
      </c>
      <c r="AJ862">
        <f>_xlfn.XLOOKUP(Table1820[[#This Row],[Advanced Safety Features]],Table10[Advanced Safety Features],Table10[Advanced Safety Features Factor],,0)</f>
        <v>1</v>
      </c>
      <c r="AK862">
        <f>_xlfn.XLOOKUP(Table1820[[#This Row],[Deductible]],Table12[Deductible],Table12[Deductible Factor],,0)</f>
        <v>1</v>
      </c>
      <c r="AL862">
        <f>_xlfn.XLOOKUP(Table1820[[#This Row],[Coverage Limit]],Table13[Coverage Limit],Table13[Coverage Limit Factor],,0)</f>
        <v>0.84</v>
      </c>
      <c r="AM862">
        <f>IF(Table1820[[#This Row],[Good Student Discount]]="Yes",'Rate Book'!$D$126,1)</f>
        <v>1</v>
      </c>
      <c r="AN862">
        <f>IF(Table1820[[#This Row],[Good Driver Discount]]="Yes",'Rate Book'!$D$127,1)</f>
        <v>0.89</v>
      </c>
      <c r="AO862">
        <f>IF(Table1820[[#This Row],[Multi Policy Discount]]="Yes",'Rate Book'!$D$128,1)</f>
        <v>1</v>
      </c>
      <c r="AP862">
        <f>IF(Table1820[[#This Row],[Loyal Customer Discount]]="Yes",'Rate Book'!$D$129,1)</f>
        <v>1</v>
      </c>
      <c r="AQ862">
        <f>IF(Table1820[[#This Row],[Organization Discount]]="Yes",'Rate Book'!$D$130,1)</f>
        <v>0.97</v>
      </c>
      <c r="AR862" cm="1">
        <f t="array" ref="AR862">IF(Table1820[[#This Row],[Effective Date]]&gt;=RateChangeTable[Effective Date],RateChangeTable[Rate Change Factor],1)</f>
        <v>1</v>
      </c>
      <c r="AS862" s="10">
        <f>PRODUCT(Table1820[[#This Row],[Base Rate]:[Rate Change Factor]])</f>
        <v>705.39343652933621</v>
      </c>
      <c r="AT862" s="9">
        <f>Table1820[[#This Row],[System-Generated Premium]]-Table1820[[#This Row],[Expected Premium]]</f>
        <v>176.3465634706638</v>
      </c>
      <c r="AU862" t="str">
        <f>IF(Table1820[[#This Row],[Difference]]=0,"PASS","FAIL")</f>
        <v>FAIL</v>
      </c>
      <c r="AV862" s="9">
        <f>ABS(Table1820[[#This Row],[Difference]])</f>
        <v>176.3465634706638</v>
      </c>
      <c r="AW862" s="9" t="s">
        <v>1145</v>
      </c>
    </row>
    <row r="863" spans="1:49" x14ac:dyDescent="0.3">
      <c r="A863" t="s">
        <v>954</v>
      </c>
      <c r="B863" s="7">
        <v>45829</v>
      </c>
      <c r="C863" t="s">
        <v>71</v>
      </c>
      <c r="D863" t="s">
        <v>1101</v>
      </c>
      <c r="E863" s="3">
        <v>4</v>
      </c>
      <c r="F863" s="3">
        <v>2</v>
      </c>
      <c r="G863" t="s">
        <v>13</v>
      </c>
      <c r="H863" t="s">
        <v>1106</v>
      </c>
      <c r="I863" t="s">
        <v>42</v>
      </c>
      <c r="J863" t="s">
        <v>52</v>
      </c>
      <c r="K863" t="s">
        <v>10</v>
      </c>
      <c r="L863" t="s">
        <v>10</v>
      </c>
      <c r="M863" t="s">
        <v>10</v>
      </c>
      <c r="N863" t="s">
        <v>10</v>
      </c>
      <c r="O863" t="str">
        <f>INDEX(CoverageTable[Deductible Applies],MATCH(Table1820[[#This Row],[Coverage]],CoverageTable[Coverage],0))</f>
        <v>Yes</v>
      </c>
      <c r="P863" t="str">
        <f>INDEX(CoverageTable[Coverage Limit Applies],MATCH(Table1820[[#This Row],[Coverage]],CoverageTable[Coverage],0))</f>
        <v>No</v>
      </c>
      <c r="Q863" t="s">
        <v>79</v>
      </c>
      <c r="R863" t="s">
        <v>10</v>
      </c>
      <c r="S863" t="s">
        <v>10</v>
      </c>
      <c r="T863" t="s">
        <v>10</v>
      </c>
      <c r="U863" t="s">
        <v>57</v>
      </c>
      <c r="V863" t="s">
        <v>10</v>
      </c>
      <c r="W863" t="s">
        <v>10</v>
      </c>
      <c r="X863" s="11">
        <v>715.35271465608366</v>
      </c>
      <c r="Y863">
        <f>_xlfn.XLOOKUP(Table1820[[#This Row],[Coverage]],CoverageTable[Coverage],CoverageTable[Base Rate],,0)</f>
        <v>453</v>
      </c>
      <c r="Z863">
        <f>INDEX(Table16[Ageband Factor],MATCH(Table1820[[#This Row],[Ageband]],Table16[Ageband],0))</f>
        <v>1.1200000000000001</v>
      </c>
      <c r="AA863">
        <f>VLOOKUP(Table1820[[#This Row],[Years Driving]],Table1[],2)</f>
        <v>1.1499999999999999</v>
      </c>
      <c r="AB863">
        <f>_xlfn.XLOOKUP(Table1820[[#This Row],[At Fault Accidents]],Table2[At Fault Accidents],Table2[At Fault Accident Factor],,0)</f>
        <v>1.55</v>
      </c>
      <c r="AC863">
        <f>_xlfn.XLOOKUP(Table1820[[#This Row],[Usage-Based Insurance]],Table3[Usage-Based Insurance],Table3[Usage-Based Insurance Discount],,0)</f>
        <v>0.65</v>
      </c>
      <c r="AD863">
        <f>_xlfn.XLOOKUP(Table1820[[#This Row],[Yearly Miles]],Table4[Yearly Miles],Table4[Yearly Miles Factor],,0)</f>
        <v>0.82</v>
      </c>
      <c r="AE863">
        <f>_xlfn.XLOOKUP(Table1820[[#This Row],[City/Zip Code]],Table5[City/Zip Code],Table5[City/Zip Code Factor],,0)</f>
        <v>1.21</v>
      </c>
      <c r="AF863">
        <f>_xlfn.XLOOKUP(Table1820[[#This Row],[Vehicle Price]],Table6[Vehicle Price],Table6[Vehicle Price Factor])</f>
        <v>1.57</v>
      </c>
      <c r="AG863">
        <f>_xlfn.XLOOKUP(Table1820[[#This Row],[Exotic Car]],Table7[Exotic Car],Table7[Exotic Car Factor],,0)</f>
        <v>1</v>
      </c>
      <c r="AH863">
        <f>_xlfn.XLOOKUP(Table1820[[#This Row],[Difficult Parts]],Table8[Difficult Parts],Table8[Difficult Parts Factor],,0)</f>
        <v>1</v>
      </c>
      <c r="AI863">
        <f>_xlfn.XLOOKUP(Table1820[[#This Row],[High Theft Rate]],Table9[High Theft Rate],Table9[High Theft Rate Factor],,0)</f>
        <v>1</v>
      </c>
      <c r="AJ863">
        <f>_xlfn.XLOOKUP(Table1820[[#This Row],[Advanced Safety Features]],Table10[Advanced Safety Features],Table10[Advanced Safety Features Factor],,0)</f>
        <v>1</v>
      </c>
      <c r="AK863">
        <f>_xlfn.XLOOKUP(Table1820[[#This Row],[Deductible]],Table12[Deductible],Table12[Deductible Factor],,0)</f>
        <v>0.84</v>
      </c>
      <c r="AL863">
        <f>_xlfn.XLOOKUP(Table1820[[#This Row],[Coverage Limit]],Table13[Coverage Limit],Table13[Coverage Limit Factor],,0)</f>
        <v>1</v>
      </c>
      <c r="AM863">
        <f>IF(Table1820[[#This Row],[Good Student Discount]]="Yes",'Rate Book'!$D$126,1)</f>
        <v>1</v>
      </c>
      <c r="AN863">
        <f>IF(Table1820[[#This Row],[Good Driver Discount]]="Yes",'Rate Book'!$D$127,1)</f>
        <v>1</v>
      </c>
      <c r="AO863">
        <f>IF(Table1820[[#This Row],[Multi Policy Discount]]="Yes",'Rate Book'!$D$128,1)</f>
        <v>0.93</v>
      </c>
      <c r="AP863">
        <f>IF(Table1820[[#This Row],[Loyal Customer Discount]]="Yes",'Rate Book'!$D$129,1)</f>
        <v>1</v>
      </c>
      <c r="AQ863">
        <f>IF(Table1820[[#This Row],[Organization Discount]]="Yes",'Rate Book'!$D$130,1)</f>
        <v>1</v>
      </c>
      <c r="AR863" cm="1">
        <f t="array" ref="AR863">IF(Table1820[[#This Row],[Effective Date]]&gt;=RateChangeTable[Effective Date],RateChangeTable[Rate Change Factor],1)</f>
        <v>1</v>
      </c>
      <c r="AS863" s="10">
        <f>PRODUCT(Table1820[[#This Row],[Base Rate]:[Rate Change Factor]])</f>
        <v>715.35271465608366</v>
      </c>
      <c r="AT863" s="9">
        <f>Table1820[[#This Row],[System-Generated Premium]]-Table1820[[#This Row],[Expected Premium]]</f>
        <v>0</v>
      </c>
      <c r="AU863" t="str">
        <f>IF(Table1820[[#This Row],[Difference]]=0,"PASS","FAIL")</f>
        <v>PASS</v>
      </c>
      <c r="AV863" s="9">
        <f>ABS(Table1820[[#This Row],[Difference]])</f>
        <v>0</v>
      </c>
      <c r="AW863" s="9" t="s">
        <v>1136</v>
      </c>
    </row>
    <row r="864" spans="1:49" x14ac:dyDescent="0.3">
      <c r="A864" t="s">
        <v>955</v>
      </c>
      <c r="B864" s="7">
        <v>45981</v>
      </c>
      <c r="C864" t="s">
        <v>71</v>
      </c>
      <c r="D864" t="s">
        <v>1098</v>
      </c>
      <c r="E864" s="3">
        <v>2</v>
      </c>
      <c r="F864" s="3">
        <v>1</v>
      </c>
      <c r="G864" t="s">
        <v>10</v>
      </c>
      <c r="H864" t="s">
        <v>1109</v>
      </c>
      <c r="I864" t="s">
        <v>37</v>
      </c>
      <c r="J864" t="s">
        <v>49</v>
      </c>
      <c r="K864" t="s">
        <v>10</v>
      </c>
      <c r="L864" t="s">
        <v>10</v>
      </c>
      <c r="M864" t="s">
        <v>10</v>
      </c>
      <c r="N864" t="s">
        <v>57</v>
      </c>
      <c r="O864" t="str">
        <f>INDEX(CoverageTable[Deductible Applies],MATCH(Table1820[[#This Row],[Coverage]],CoverageTable[Coverage],0))</f>
        <v>Yes</v>
      </c>
      <c r="P864" t="str">
        <f>INDEX(CoverageTable[Coverage Limit Applies],MATCH(Table1820[[#This Row],[Coverage]],CoverageTable[Coverage],0))</f>
        <v>No</v>
      </c>
      <c r="Q864" t="s">
        <v>78</v>
      </c>
      <c r="R864" t="s">
        <v>10</v>
      </c>
      <c r="S864" t="s">
        <v>10</v>
      </c>
      <c r="T864" t="s">
        <v>57</v>
      </c>
      <c r="U864" t="s">
        <v>10</v>
      </c>
      <c r="V864" t="s">
        <v>10</v>
      </c>
      <c r="W864" t="s">
        <v>10</v>
      </c>
      <c r="X864" s="11">
        <v>977.24565479235218</v>
      </c>
      <c r="Y864">
        <f>_xlfn.XLOOKUP(Table1820[[#This Row],[Coverage]],CoverageTable[Coverage],CoverageTable[Base Rate],,0)</f>
        <v>453</v>
      </c>
      <c r="Z864">
        <f>INDEX(Table16[Ageband Factor],MATCH(Table1820[[#This Row],[Ageband]],Table16[Ageband],0))</f>
        <v>1.23</v>
      </c>
      <c r="AA864">
        <f>VLOOKUP(Table1820[[#This Row],[Years Driving]],Table1[],2)</f>
        <v>1.41</v>
      </c>
      <c r="AB864">
        <f>_xlfn.XLOOKUP(Table1820[[#This Row],[At Fault Accidents]],Table2[At Fault Accidents],Table2[At Fault Accident Factor],,0)</f>
        <v>1.34</v>
      </c>
      <c r="AC864">
        <f>_xlfn.XLOOKUP(Table1820[[#This Row],[Usage-Based Insurance]],Table3[Usage-Based Insurance],Table3[Usage-Based Insurance Discount],,0)</f>
        <v>1</v>
      </c>
      <c r="AD864">
        <f>_xlfn.XLOOKUP(Table1820[[#This Row],[Yearly Miles]],Table4[Yearly Miles],Table4[Yearly Miles Factor],,0)</f>
        <v>1.18</v>
      </c>
      <c r="AE864">
        <f>_xlfn.XLOOKUP(Table1820[[#This Row],[City/Zip Code]],Table5[City/Zip Code],Table5[City/Zip Code Factor],,0)</f>
        <v>1.0900000000000001</v>
      </c>
      <c r="AF864">
        <f>_xlfn.XLOOKUP(Table1820[[#This Row],[Vehicle Price]],Table6[Vehicle Price],Table6[Vehicle Price Factor])</f>
        <v>0.97</v>
      </c>
      <c r="AG864">
        <f>_xlfn.XLOOKUP(Table1820[[#This Row],[Exotic Car]],Table7[Exotic Car],Table7[Exotic Car Factor],,0)</f>
        <v>1</v>
      </c>
      <c r="AH864">
        <f>_xlfn.XLOOKUP(Table1820[[#This Row],[Difficult Parts]],Table8[Difficult Parts],Table8[Difficult Parts Factor],,0)</f>
        <v>1</v>
      </c>
      <c r="AI864">
        <f>_xlfn.XLOOKUP(Table1820[[#This Row],[High Theft Rate]],Table9[High Theft Rate],Table9[High Theft Rate Factor],,0)</f>
        <v>1</v>
      </c>
      <c r="AJ864">
        <f>_xlfn.XLOOKUP(Table1820[[#This Row],[Advanced Safety Features]],Table10[Advanced Safety Features],Table10[Advanced Safety Features Factor],,0)</f>
        <v>0.88</v>
      </c>
      <c r="AK864">
        <f>_xlfn.XLOOKUP(Table1820[[#This Row],[Deductible]],Table12[Deductible],Table12[Deductible Factor],,0)</f>
        <v>0.95</v>
      </c>
      <c r="AL864">
        <f>_xlfn.XLOOKUP(Table1820[[#This Row],[Coverage Limit]],Table13[Coverage Limit],Table13[Coverage Limit Factor],,0)</f>
        <v>1</v>
      </c>
      <c r="AM864">
        <f>IF(Table1820[[#This Row],[Good Student Discount]]="Yes",'Rate Book'!$D$126,1)</f>
        <v>1</v>
      </c>
      <c r="AN864">
        <f>IF(Table1820[[#This Row],[Good Driver Discount]]="Yes",'Rate Book'!$D$127,1)</f>
        <v>0.89</v>
      </c>
      <c r="AO864">
        <f>IF(Table1820[[#This Row],[Multi Policy Discount]]="Yes",'Rate Book'!$D$128,1)</f>
        <v>1</v>
      </c>
      <c r="AP864">
        <f>IF(Table1820[[#This Row],[Loyal Customer Discount]]="Yes",'Rate Book'!$D$129,1)</f>
        <v>1</v>
      </c>
      <c r="AQ864">
        <f>IF(Table1820[[#This Row],[Organization Discount]]="Yes",'Rate Book'!$D$130,1)</f>
        <v>1</v>
      </c>
      <c r="AR864" cm="1">
        <f t="array" ref="AR864">IF(Table1820[[#This Row],[Effective Date]]&gt;=RateChangeTable[Effective Date],RateChangeTable[Rate Change Factor],1)</f>
        <v>1</v>
      </c>
      <c r="AS864" s="10">
        <f>PRODUCT(Table1820[[#This Row],[Base Rate]:[Rate Change Factor]])</f>
        <v>977.24565479235218</v>
      </c>
      <c r="AT864" s="9">
        <f>Table1820[[#This Row],[System-Generated Premium]]-Table1820[[#This Row],[Expected Premium]]</f>
        <v>0</v>
      </c>
      <c r="AU864" t="str">
        <f>IF(Table1820[[#This Row],[Difference]]=0,"PASS","FAIL")</f>
        <v>PASS</v>
      </c>
      <c r="AV864" s="9">
        <f>ABS(Table1820[[#This Row],[Difference]])</f>
        <v>0</v>
      </c>
      <c r="AW864" s="9" t="s">
        <v>1136</v>
      </c>
    </row>
    <row r="865" spans="1:49" x14ac:dyDescent="0.3">
      <c r="A865" t="s">
        <v>956</v>
      </c>
      <c r="B865" s="7">
        <v>45820</v>
      </c>
      <c r="C865" t="s">
        <v>70</v>
      </c>
      <c r="D865" t="s">
        <v>1102</v>
      </c>
      <c r="E865" s="3">
        <v>1</v>
      </c>
      <c r="F865" s="3">
        <v>2</v>
      </c>
      <c r="G865" t="s">
        <v>11</v>
      </c>
      <c r="H865" t="s">
        <v>1109</v>
      </c>
      <c r="I865" t="s">
        <v>25</v>
      </c>
      <c r="J865" t="s">
        <v>50</v>
      </c>
      <c r="K865" t="s">
        <v>10</v>
      </c>
      <c r="L865" t="s">
        <v>10</v>
      </c>
      <c r="M865" t="s">
        <v>10</v>
      </c>
      <c r="N865" t="s">
        <v>10</v>
      </c>
      <c r="O865" t="str">
        <f>INDEX(CoverageTable[Deductible Applies],MATCH(Table1820[[#This Row],[Coverage]],CoverageTable[Coverage],0))</f>
        <v>No</v>
      </c>
      <c r="P865" t="str">
        <f>INDEX(CoverageTable[Coverage Limit Applies],MATCH(Table1820[[#This Row],[Coverage]],CoverageTable[Coverage],0))</f>
        <v>Yes</v>
      </c>
      <c r="Q865" t="s">
        <v>10</v>
      </c>
      <c r="R865" t="s">
        <v>78</v>
      </c>
      <c r="S865" t="s">
        <v>10</v>
      </c>
      <c r="T865" t="s">
        <v>10</v>
      </c>
      <c r="U865" t="s">
        <v>57</v>
      </c>
      <c r="V865" t="s">
        <v>57</v>
      </c>
      <c r="W865" t="s">
        <v>10</v>
      </c>
      <c r="X865" s="11">
        <v>1503.8261979426386</v>
      </c>
      <c r="Y865">
        <f>_xlfn.XLOOKUP(Table1820[[#This Row],[Coverage]],CoverageTable[Coverage],CoverageTable[Base Rate],,0)</f>
        <v>622</v>
      </c>
      <c r="Z865">
        <f>INDEX(Table16[Ageband Factor],MATCH(Table1820[[#This Row],[Ageband]],Table16[Ageband],0))</f>
        <v>1.27</v>
      </c>
      <c r="AA865">
        <f>VLOOKUP(Table1820[[#This Row],[Years Driving]],Table1[],2)</f>
        <v>1.64</v>
      </c>
      <c r="AB865">
        <f>_xlfn.XLOOKUP(Table1820[[#This Row],[At Fault Accidents]],Table2[At Fault Accidents],Table2[At Fault Accident Factor],,0)</f>
        <v>1.55</v>
      </c>
      <c r="AC865">
        <f>_xlfn.XLOOKUP(Table1820[[#This Row],[Usage-Based Insurance]],Table3[Usage-Based Insurance],Table3[Usage-Based Insurance Discount],,0)</f>
        <v>0.95</v>
      </c>
      <c r="AD865">
        <f>_xlfn.XLOOKUP(Table1820[[#This Row],[Yearly Miles]],Table4[Yearly Miles],Table4[Yearly Miles Factor],,0)</f>
        <v>1.18</v>
      </c>
      <c r="AE865">
        <f>_xlfn.XLOOKUP(Table1820[[#This Row],[City/Zip Code]],Table5[City/Zip Code],Table5[City/Zip Code Factor],,0)</f>
        <v>1.1599999999999999</v>
      </c>
      <c r="AF865">
        <f>_xlfn.XLOOKUP(Table1820[[#This Row],[Vehicle Price]],Table6[Vehicle Price],Table6[Vehicle Price Factor])</f>
        <v>1.08</v>
      </c>
      <c r="AG865">
        <f>_xlfn.XLOOKUP(Table1820[[#This Row],[Exotic Car]],Table7[Exotic Car],Table7[Exotic Car Factor],,0)</f>
        <v>1</v>
      </c>
      <c r="AH865">
        <f>_xlfn.XLOOKUP(Table1820[[#This Row],[Difficult Parts]],Table8[Difficult Parts],Table8[Difficult Parts Factor],,0)</f>
        <v>1</v>
      </c>
      <c r="AI865">
        <f>_xlfn.XLOOKUP(Table1820[[#This Row],[High Theft Rate]],Table9[High Theft Rate],Table9[High Theft Rate Factor],,0)</f>
        <v>1</v>
      </c>
      <c r="AJ865">
        <f>_xlfn.XLOOKUP(Table1820[[#This Row],[Advanced Safety Features]],Table10[Advanced Safety Features],Table10[Advanced Safety Features Factor],,0)</f>
        <v>1</v>
      </c>
      <c r="AK865">
        <f>_xlfn.XLOOKUP(Table1820[[#This Row],[Deductible]],Table12[Deductible],Table12[Deductible Factor],,0)</f>
        <v>1</v>
      </c>
      <c r="AL865">
        <f>_xlfn.XLOOKUP(Table1820[[#This Row],[Coverage Limit]],Table13[Coverage Limit],Table13[Coverage Limit Factor],,0)</f>
        <v>0.61</v>
      </c>
      <c r="AM865">
        <f>IF(Table1820[[#This Row],[Good Student Discount]]="Yes",'Rate Book'!$D$126,1)</f>
        <v>1</v>
      </c>
      <c r="AN865">
        <f>IF(Table1820[[#This Row],[Good Driver Discount]]="Yes",'Rate Book'!$D$127,1)</f>
        <v>1</v>
      </c>
      <c r="AO865">
        <f>IF(Table1820[[#This Row],[Multi Policy Discount]]="Yes",'Rate Book'!$D$128,1)</f>
        <v>0.93</v>
      </c>
      <c r="AP865">
        <f>IF(Table1820[[#This Row],[Loyal Customer Discount]]="Yes",'Rate Book'!$D$129,1)</f>
        <v>0.94</v>
      </c>
      <c r="AQ865">
        <f>IF(Table1820[[#This Row],[Organization Discount]]="Yes",'Rate Book'!$D$130,1)</f>
        <v>1</v>
      </c>
      <c r="AR865" cm="1">
        <f t="array" ref="AR865">IF(Table1820[[#This Row],[Effective Date]]&gt;=RateChangeTable[Effective Date],RateChangeTable[Rate Change Factor],1)</f>
        <v>1</v>
      </c>
      <c r="AS865" s="10">
        <f>PRODUCT(Table1820[[#This Row],[Base Rate]:[Rate Change Factor]])</f>
        <v>1503.8261979426386</v>
      </c>
      <c r="AT865" s="9">
        <f>Table1820[[#This Row],[System-Generated Premium]]-Table1820[[#This Row],[Expected Premium]]</f>
        <v>0</v>
      </c>
      <c r="AU865" t="str">
        <f>IF(Table1820[[#This Row],[Difference]]=0,"PASS","FAIL")</f>
        <v>PASS</v>
      </c>
      <c r="AV865" s="9">
        <f>ABS(Table1820[[#This Row],[Difference]])</f>
        <v>0</v>
      </c>
      <c r="AW865" s="9" t="s">
        <v>1136</v>
      </c>
    </row>
    <row r="866" spans="1:49" x14ac:dyDescent="0.3">
      <c r="A866" t="s">
        <v>957</v>
      </c>
      <c r="B866" s="7">
        <v>45999</v>
      </c>
      <c r="C866" t="s">
        <v>73</v>
      </c>
      <c r="D866" t="s">
        <v>1102</v>
      </c>
      <c r="E866" s="3">
        <v>7</v>
      </c>
      <c r="F866" s="3">
        <v>1</v>
      </c>
      <c r="G866" t="s">
        <v>11</v>
      </c>
      <c r="H866" t="s">
        <v>1108</v>
      </c>
      <c r="I866" t="s">
        <v>33</v>
      </c>
      <c r="J866" t="s">
        <v>48</v>
      </c>
      <c r="K866" t="s">
        <v>57</v>
      </c>
      <c r="L866" t="s">
        <v>10</v>
      </c>
      <c r="M866" t="s">
        <v>10</v>
      </c>
      <c r="N866" t="s">
        <v>10</v>
      </c>
      <c r="O866" t="str">
        <f>INDEX(CoverageTable[Deductible Applies],MATCH(Table1820[[#This Row],[Coverage]],CoverageTable[Coverage],0))</f>
        <v>No</v>
      </c>
      <c r="P866" t="str">
        <f>INDEX(CoverageTable[Coverage Limit Applies],MATCH(Table1820[[#This Row],[Coverage]],CoverageTable[Coverage],0))</f>
        <v>Yes</v>
      </c>
      <c r="Q866" t="s">
        <v>10</v>
      </c>
      <c r="R866" t="s">
        <v>79</v>
      </c>
      <c r="S866" t="s">
        <v>10</v>
      </c>
      <c r="T866" t="s">
        <v>10</v>
      </c>
      <c r="U866" t="s">
        <v>57</v>
      </c>
      <c r="V866" t="s">
        <v>10</v>
      </c>
      <c r="W866" t="s">
        <v>10</v>
      </c>
      <c r="X866" s="11">
        <v>85.879552225786654</v>
      </c>
      <c r="Y866">
        <f>_xlfn.XLOOKUP(Table1820[[#This Row],[Coverage]],CoverageTable[Coverage],CoverageTable[Base Rate],,0)</f>
        <v>78</v>
      </c>
      <c r="Z866">
        <f>INDEX(Table16[Ageband Factor],MATCH(Table1820[[#This Row],[Ageband]],Table16[Ageband],0))</f>
        <v>1.27</v>
      </c>
      <c r="AA866">
        <f>VLOOKUP(Table1820[[#This Row],[Years Driving]],Table1[],2)</f>
        <v>0.95</v>
      </c>
      <c r="AB866">
        <f>_xlfn.XLOOKUP(Table1820[[#This Row],[At Fault Accidents]],Table2[At Fault Accidents],Table2[At Fault Accident Factor],,0)</f>
        <v>1.34</v>
      </c>
      <c r="AC866">
        <f>_xlfn.XLOOKUP(Table1820[[#This Row],[Usage-Based Insurance]],Table3[Usage-Based Insurance],Table3[Usage-Based Insurance Discount],,0)</f>
        <v>0.95</v>
      </c>
      <c r="AD866">
        <f>_xlfn.XLOOKUP(Table1820[[#This Row],[Yearly Miles]],Table4[Yearly Miles],Table4[Yearly Miles Factor],,0)</f>
        <v>1</v>
      </c>
      <c r="AE866">
        <f>_xlfn.XLOOKUP(Table1820[[#This Row],[City/Zip Code]],Table5[City/Zip Code],Table5[City/Zip Code Factor],,0)</f>
        <v>1.02</v>
      </c>
      <c r="AF866">
        <f>_xlfn.XLOOKUP(Table1820[[#This Row],[Vehicle Price]],Table6[Vehicle Price],Table6[Vehicle Price Factor])</f>
        <v>0.82</v>
      </c>
      <c r="AG866">
        <f>_xlfn.XLOOKUP(Table1820[[#This Row],[Exotic Car]],Table7[Exotic Car],Table7[Exotic Car Factor],,0)</f>
        <v>1.28</v>
      </c>
      <c r="AH866">
        <f>_xlfn.XLOOKUP(Table1820[[#This Row],[Difficult Parts]],Table8[Difficult Parts],Table8[Difficult Parts Factor],,0)</f>
        <v>1</v>
      </c>
      <c r="AI866">
        <f>_xlfn.XLOOKUP(Table1820[[#This Row],[High Theft Rate]],Table9[High Theft Rate],Table9[High Theft Rate Factor],,0)</f>
        <v>1</v>
      </c>
      <c r="AJ866">
        <f>_xlfn.XLOOKUP(Table1820[[#This Row],[Advanced Safety Features]],Table10[Advanced Safety Features],Table10[Advanced Safety Features Factor],,0)</f>
        <v>1</v>
      </c>
      <c r="AK866">
        <f>_xlfn.XLOOKUP(Table1820[[#This Row],[Deductible]],Table12[Deductible],Table12[Deductible Factor],,0)</f>
        <v>1</v>
      </c>
      <c r="AL866">
        <f>_xlfn.XLOOKUP(Table1820[[#This Row],[Coverage Limit]],Table13[Coverage Limit],Table13[Coverage Limit Factor],,0)</f>
        <v>0.72</v>
      </c>
      <c r="AM866">
        <f>IF(Table1820[[#This Row],[Good Student Discount]]="Yes",'Rate Book'!$D$126,1)</f>
        <v>1</v>
      </c>
      <c r="AN866">
        <f>IF(Table1820[[#This Row],[Good Driver Discount]]="Yes",'Rate Book'!$D$127,1)</f>
        <v>1</v>
      </c>
      <c r="AO866">
        <f>IF(Table1820[[#This Row],[Multi Policy Discount]]="Yes",'Rate Book'!$D$128,1)</f>
        <v>0.93</v>
      </c>
      <c r="AP866">
        <f>IF(Table1820[[#This Row],[Loyal Customer Discount]]="Yes",'Rate Book'!$D$129,1)</f>
        <v>1</v>
      </c>
      <c r="AQ866">
        <f>IF(Table1820[[#This Row],[Organization Discount]]="Yes",'Rate Book'!$D$130,1)</f>
        <v>1</v>
      </c>
      <c r="AR866" cm="1">
        <f t="array" ref="AR866">IF(Table1820[[#This Row],[Effective Date]]&gt;=RateChangeTable[Effective Date],RateChangeTable[Rate Change Factor],1)</f>
        <v>1</v>
      </c>
      <c r="AS866" s="10">
        <f>PRODUCT(Table1820[[#This Row],[Base Rate]:[Rate Change Factor]])</f>
        <v>85.879552225786654</v>
      </c>
      <c r="AT866" s="9">
        <f>Table1820[[#This Row],[System-Generated Premium]]-Table1820[[#This Row],[Expected Premium]]</f>
        <v>0</v>
      </c>
      <c r="AU866" t="str">
        <f>IF(Table1820[[#This Row],[Difference]]=0,"PASS","FAIL")</f>
        <v>PASS</v>
      </c>
      <c r="AV866" s="9">
        <f>ABS(Table1820[[#This Row],[Difference]])</f>
        <v>0</v>
      </c>
      <c r="AW866" s="9" t="s">
        <v>1136</v>
      </c>
    </row>
    <row r="867" spans="1:49" x14ac:dyDescent="0.3">
      <c r="A867" t="s">
        <v>958</v>
      </c>
      <c r="B867" s="7">
        <v>45942</v>
      </c>
      <c r="C867" t="s">
        <v>70</v>
      </c>
      <c r="D867" t="s">
        <v>1098</v>
      </c>
      <c r="E867" s="3">
        <v>3</v>
      </c>
      <c r="F867" s="3">
        <v>3</v>
      </c>
      <c r="G867" t="s">
        <v>11</v>
      </c>
      <c r="H867" t="s">
        <v>1107</v>
      </c>
      <c r="I867" t="s">
        <v>37</v>
      </c>
      <c r="J867" t="s">
        <v>53</v>
      </c>
      <c r="K867" t="s">
        <v>10</v>
      </c>
      <c r="L867" t="s">
        <v>10</v>
      </c>
      <c r="M867" t="s">
        <v>10</v>
      </c>
      <c r="N867" t="s">
        <v>57</v>
      </c>
      <c r="O867" t="str">
        <f>INDEX(CoverageTable[Deductible Applies],MATCH(Table1820[[#This Row],[Coverage]],CoverageTable[Coverage],0))</f>
        <v>No</v>
      </c>
      <c r="P867" t="str">
        <f>INDEX(CoverageTable[Coverage Limit Applies],MATCH(Table1820[[#This Row],[Coverage]],CoverageTable[Coverage],0))</f>
        <v>Yes</v>
      </c>
      <c r="Q867" t="s">
        <v>10</v>
      </c>
      <c r="R867" t="s">
        <v>79</v>
      </c>
      <c r="S867" t="s">
        <v>10</v>
      </c>
      <c r="T867" t="s">
        <v>57</v>
      </c>
      <c r="U867" t="s">
        <v>10</v>
      </c>
      <c r="V867" t="s">
        <v>57</v>
      </c>
      <c r="W867" t="s">
        <v>10</v>
      </c>
      <c r="X867" s="11">
        <v>1751.6372201542686</v>
      </c>
      <c r="Y867">
        <f>_xlfn.XLOOKUP(Table1820[[#This Row],[Coverage]],CoverageTable[Coverage],CoverageTable[Base Rate],,0)</f>
        <v>622</v>
      </c>
      <c r="Z867">
        <f>INDEX(Table16[Ageband Factor],MATCH(Table1820[[#This Row],[Ageband]],Table16[Ageband],0))</f>
        <v>1.23</v>
      </c>
      <c r="AA867">
        <f>VLOOKUP(Table1820[[#This Row],[Years Driving]],Table1[],2)</f>
        <v>1.22</v>
      </c>
      <c r="AB867">
        <f>_xlfn.XLOOKUP(Table1820[[#This Row],[At Fault Accidents]],Table2[At Fault Accidents],Table2[At Fault Accident Factor],,0)</f>
        <v>1.82</v>
      </c>
      <c r="AC867">
        <f>_xlfn.XLOOKUP(Table1820[[#This Row],[Usage-Based Insurance]],Table3[Usage-Based Insurance],Table3[Usage-Based Insurance Discount],,0)</f>
        <v>0.95</v>
      </c>
      <c r="AD867">
        <f>_xlfn.XLOOKUP(Table1820[[#This Row],[Yearly Miles]],Table4[Yearly Miles],Table4[Yearly Miles Factor],,0)</f>
        <v>0.93</v>
      </c>
      <c r="AE867">
        <f>_xlfn.XLOOKUP(Table1820[[#This Row],[City/Zip Code]],Table5[City/Zip Code],Table5[City/Zip Code Factor],,0)</f>
        <v>1.0900000000000001</v>
      </c>
      <c r="AF867">
        <f>_xlfn.XLOOKUP(Table1820[[#This Row],[Vehicle Price]],Table6[Vehicle Price],Table6[Vehicle Price Factor])</f>
        <v>2.02</v>
      </c>
      <c r="AG867">
        <f>_xlfn.XLOOKUP(Table1820[[#This Row],[Exotic Car]],Table7[Exotic Car],Table7[Exotic Car Factor],,0)</f>
        <v>1</v>
      </c>
      <c r="AH867">
        <f>_xlfn.XLOOKUP(Table1820[[#This Row],[Difficult Parts]],Table8[Difficult Parts],Table8[Difficult Parts Factor],,0)</f>
        <v>1</v>
      </c>
      <c r="AI867">
        <f>_xlfn.XLOOKUP(Table1820[[#This Row],[High Theft Rate]],Table9[High Theft Rate],Table9[High Theft Rate Factor],,0)</f>
        <v>1</v>
      </c>
      <c r="AJ867">
        <f>_xlfn.XLOOKUP(Table1820[[#This Row],[Advanced Safety Features]],Table10[Advanced Safety Features],Table10[Advanced Safety Features Factor],,0)</f>
        <v>0.88</v>
      </c>
      <c r="AK867">
        <f>_xlfn.XLOOKUP(Table1820[[#This Row],[Deductible]],Table12[Deductible],Table12[Deductible Factor],,0)</f>
        <v>1</v>
      </c>
      <c r="AL867">
        <f>_xlfn.XLOOKUP(Table1820[[#This Row],[Coverage Limit]],Table13[Coverage Limit],Table13[Coverage Limit Factor],,0)</f>
        <v>0.72</v>
      </c>
      <c r="AM867">
        <f>IF(Table1820[[#This Row],[Good Student Discount]]="Yes",'Rate Book'!$D$126,1)</f>
        <v>1</v>
      </c>
      <c r="AN867">
        <f>IF(Table1820[[#This Row],[Good Driver Discount]]="Yes",'Rate Book'!$D$127,1)</f>
        <v>0.89</v>
      </c>
      <c r="AO867">
        <f>IF(Table1820[[#This Row],[Multi Policy Discount]]="Yes",'Rate Book'!$D$128,1)</f>
        <v>1</v>
      </c>
      <c r="AP867">
        <f>IF(Table1820[[#This Row],[Loyal Customer Discount]]="Yes",'Rate Book'!$D$129,1)</f>
        <v>0.94</v>
      </c>
      <c r="AQ867">
        <f>IF(Table1820[[#This Row],[Organization Discount]]="Yes",'Rate Book'!$D$130,1)</f>
        <v>1</v>
      </c>
      <c r="AR867" cm="1">
        <f t="array" ref="AR867">IF(Table1820[[#This Row],[Effective Date]]&gt;=RateChangeTable[Effective Date],RateChangeTable[Rate Change Factor],1)</f>
        <v>1</v>
      </c>
      <c r="AS867" s="10">
        <f>PRODUCT(Table1820[[#This Row],[Base Rate]:[Rate Change Factor]])</f>
        <v>1751.6372201542686</v>
      </c>
      <c r="AT867" s="9">
        <f>Table1820[[#This Row],[System-Generated Premium]]-Table1820[[#This Row],[Expected Premium]]</f>
        <v>0</v>
      </c>
      <c r="AU867" t="str">
        <f>IF(Table1820[[#This Row],[Difference]]=0,"PASS","FAIL")</f>
        <v>PASS</v>
      </c>
      <c r="AV867" s="9">
        <f>ABS(Table1820[[#This Row],[Difference]])</f>
        <v>0</v>
      </c>
      <c r="AW867" s="9" t="s">
        <v>1136</v>
      </c>
    </row>
    <row r="868" spans="1:49" x14ac:dyDescent="0.3">
      <c r="A868" t="s">
        <v>959</v>
      </c>
      <c r="B868" s="7">
        <v>45933</v>
      </c>
      <c r="C868" t="s">
        <v>74</v>
      </c>
      <c r="D868" t="s">
        <v>1102</v>
      </c>
      <c r="E868" s="3">
        <v>2</v>
      </c>
      <c r="F868" s="3">
        <v>3</v>
      </c>
      <c r="G868" t="s">
        <v>10</v>
      </c>
      <c r="H868" t="s">
        <v>1108</v>
      </c>
      <c r="I868" t="s">
        <v>24</v>
      </c>
      <c r="J868" t="s">
        <v>52</v>
      </c>
      <c r="K868" t="s">
        <v>10</v>
      </c>
      <c r="L868" t="s">
        <v>10</v>
      </c>
      <c r="M868" t="s">
        <v>57</v>
      </c>
      <c r="N868" t="s">
        <v>10</v>
      </c>
      <c r="O868" t="str">
        <f>INDEX(CoverageTable[Deductible Applies],MATCH(Table1820[[#This Row],[Coverage]],CoverageTable[Coverage],0))</f>
        <v>No</v>
      </c>
      <c r="P868" t="str">
        <f>INDEX(CoverageTable[Coverage Limit Applies],MATCH(Table1820[[#This Row],[Coverage]],CoverageTable[Coverage],0))</f>
        <v>Yes</v>
      </c>
      <c r="Q868" t="s">
        <v>10</v>
      </c>
      <c r="R868" t="s">
        <v>80</v>
      </c>
      <c r="S868" t="s">
        <v>10</v>
      </c>
      <c r="T868" t="s">
        <v>57</v>
      </c>
      <c r="U868" t="s">
        <v>10</v>
      </c>
      <c r="V868" t="s">
        <v>10</v>
      </c>
      <c r="W868" t="s">
        <v>10</v>
      </c>
      <c r="X868" s="11">
        <v>216.49704553390978</v>
      </c>
      <c r="Y868">
        <f>_xlfn.XLOOKUP(Table1820[[#This Row],[Coverage]],CoverageTable[Coverage],CoverageTable[Base Rate],,0)</f>
        <v>41</v>
      </c>
      <c r="Z868">
        <f>INDEX(Table16[Ageband Factor],MATCH(Table1820[[#This Row],[Ageband]],Table16[Ageband],0))</f>
        <v>1.27</v>
      </c>
      <c r="AA868">
        <f>VLOOKUP(Table1820[[#This Row],[Years Driving]],Table1[],2)</f>
        <v>1.41</v>
      </c>
      <c r="AB868">
        <f>_xlfn.XLOOKUP(Table1820[[#This Row],[At Fault Accidents]],Table2[At Fault Accidents],Table2[At Fault Accident Factor],,0)</f>
        <v>1.82</v>
      </c>
      <c r="AC868">
        <f>_xlfn.XLOOKUP(Table1820[[#This Row],[Usage-Based Insurance]],Table3[Usage-Based Insurance],Table3[Usage-Based Insurance Discount],,0)</f>
        <v>1</v>
      </c>
      <c r="AD868">
        <f>_xlfn.XLOOKUP(Table1820[[#This Row],[Yearly Miles]],Table4[Yearly Miles],Table4[Yearly Miles Factor],,0)</f>
        <v>1</v>
      </c>
      <c r="AE868">
        <f>_xlfn.XLOOKUP(Table1820[[#This Row],[City/Zip Code]],Table5[City/Zip Code],Table5[City/Zip Code Factor],,0)</f>
        <v>1.19</v>
      </c>
      <c r="AF868">
        <f>_xlfn.XLOOKUP(Table1820[[#This Row],[Vehicle Price]],Table6[Vehicle Price],Table6[Vehicle Price Factor])</f>
        <v>1.57</v>
      </c>
      <c r="AG868">
        <f>_xlfn.XLOOKUP(Table1820[[#This Row],[Exotic Car]],Table7[Exotic Car],Table7[Exotic Car Factor],,0)</f>
        <v>1</v>
      </c>
      <c r="AH868">
        <f>_xlfn.XLOOKUP(Table1820[[#This Row],[Difficult Parts]],Table8[Difficult Parts],Table8[Difficult Parts Factor],,0)</f>
        <v>1</v>
      </c>
      <c r="AI868">
        <f>_xlfn.XLOOKUP(Table1820[[#This Row],[High Theft Rate]],Table9[High Theft Rate],Table9[High Theft Rate Factor],,0)</f>
        <v>1.1599999999999999</v>
      </c>
      <c r="AJ868">
        <f>_xlfn.XLOOKUP(Table1820[[#This Row],[Advanced Safety Features]],Table10[Advanced Safety Features],Table10[Advanced Safety Features Factor],,0)</f>
        <v>1</v>
      </c>
      <c r="AK868">
        <f>_xlfn.XLOOKUP(Table1820[[#This Row],[Deductible]],Table12[Deductible],Table12[Deductible Factor],,0)</f>
        <v>1</v>
      </c>
      <c r="AL868">
        <f>_xlfn.XLOOKUP(Table1820[[#This Row],[Coverage Limit]],Table13[Coverage Limit],Table13[Coverage Limit Factor],,0)</f>
        <v>0.84</v>
      </c>
      <c r="AM868">
        <f>IF(Table1820[[#This Row],[Good Student Discount]]="Yes",'Rate Book'!$D$126,1)</f>
        <v>1</v>
      </c>
      <c r="AN868">
        <f>IF(Table1820[[#This Row],[Good Driver Discount]]="Yes",'Rate Book'!$D$127,1)</f>
        <v>0.89</v>
      </c>
      <c r="AO868">
        <f>IF(Table1820[[#This Row],[Multi Policy Discount]]="Yes",'Rate Book'!$D$128,1)</f>
        <v>1</v>
      </c>
      <c r="AP868">
        <f>IF(Table1820[[#This Row],[Loyal Customer Discount]]="Yes",'Rate Book'!$D$129,1)</f>
        <v>1</v>
      </c>
      <c r="AQ868">
        <f>IF(Table1820[[#This Row],[Organization Discount]]="Yes",'Rate Book'!$D$130,1)</f>
        <v>1</v>
      </c>
      <c r="AR868" cm="1">
        <f t="array" ref="AR868">IF(Table1820[[#This Row],[Effective Date]]&gt;=RateChangeTable[Effective Date],RateChangeTable[Rate Change Factor],1)</f>
        <v>1</v>
      </c>
      <c r="AS868" s="10">
        <f>PRODUCT(Table1820[[#This Row],[Base Rate]:[Rate Change Factor]])</f>
        <v>216.49704553390978</v>
      </c>
      <c r="AT868" s="9">
        <f>Table1820[[#This Row],[System-Generated Premium]]-Table1820[[#This Row],[Expected Premium]]</f>
        <v>0</v>
      </c>
      <c r="AU868" t="str">
        <f>IF(Table1820[[#This Row],[Difference]]=0,"PASS","FAIL")</f>
        <v>PASS</v>
      </c>
      <c r="AV868" s="9">
        <f>ABS(Table1820[[#This Row],[Difference]])</f>
        <v>0</v>
      </c>
      <c r="AW868" s="9" t="s">
        <v>1136</v>
      </c>
    </row>
    <row r="869" spans="1:49" x14ac:dyDescent="0.3">
      <c r="A869" t="s">
        <v>960</v>
      </c>
      <c r="B869" s="7">
        <v>45958</v>
      </c>
      <c r="C869" t="s">
        <v>74</v>
      </c>
      <c r="D869" t="s">
        <v>1102</v>
      </c>
      <c r="E869" s="3" t="s">
        <v>1103</v>
      </c>
      <c r="F869" s="3">
        <v>1</v>
      </c>
      <c r="G869" t="s">
        <v>10</v>
      </c>
      <c r="H869" t="s">
        <v>1110</v>
      </c>
      <c r="I869" t="s">
        <v>22</v>
      </c>
      <c r="J869" t="s">
        <v>48</v>
      </c>
      <c r="K869" t="s">
        <v>10</v>
      </c>
      <c r="L869" t="s">
        <v>57</v>
      </c>
      <c r="M869" t="s">
        <v>10</v>
      </c>
      <c r="N869" t="s">
        <v>57</v>
      </c>
      <c r="O869" t="str">
        <f>INDEX(CoverageTable[Deductible Applies],MATCH(Table1820[[#This Row],[Coverage]],CoverageTable[Coverage],0))</f>
        <v>No</v>
      </c>
      <c r="P869" t="str">
        <f>INDEX(CoverageTable[Coverage Limit Applies],MATCH(Table1820[[#This Row],[Coverage]],CoverageTable[Coverage],0))</f>
        <v>Yes</v>
      </c>
      <c r="Q869" t="s">
        <v>10</v>
      </c>
      <c r="R869" t="s">
        <v>79</v>
      </c>
      <c r="S869" t="s">
        <v>10</v>
      </c>
      <c r="T869" t="s">
        <v>57</v>
      </c>
      <c r="U869" t="s">
        <v>10</v>
      </c>
      <c r="V869" t="s">
        <v>10</v>
      </c>
      <c r="W869" t="s">
        <v>10</v>
      </c>
      <c r="X869" s="11">
        <v>57.548815408951064</v>
      </c>
      <c r="Y869">
        <f>_xlfn.XLOOKUP(Table1820[[#This Row],[Coverage]],CoverageTable[Coverage],CoverageTable[Base Rate],,0)</f>
        <v>41</v>
      </c>
      <c r="Z869">
        <f>INDEX(Table16[Ageband Factor],MATCH(Table1820[[#This Row],[Ageband]],Table16[Ageband],0))</f>
        <v>1.27</v>
      </c>
      <c r="AA869">
        <f>VLOOKUP(Table1820[[#This Row],[Years Driving]],Table1[],2)</f>
        <v>0.93</v>
      </c>
      <c r="AB869">
        <f>_xlfn.XLOOKUP(Table1820[[#This Row],[At Fault Accidents]],Table2[At Fault Accidents],Table2[At Fault Accident Factor],,0)</f>
        <v>1.34</v>
      </c>
      <c r="AC869">
        <f>_xlfn.XLOOKUP(Table1820[[#This Row],[Usage-Based Insurance]],Table3[Usage-Based Insurance],Table3[Usage-Based Insurance Discount],,0)</f>
        <v>1</v>
      </c>
      <c r="AD869">
        <f>_xlfn.XLOOKUP(Table1820[[#This Row],[Yearly Miles]],Table4[Yearly Miles],Table4[Yearly Miles Factor],,0)</f>
        <v>1.31</v>
      </c>
      <c r="AE869">
        <f>_xlfn.XLOOKUP(Table1820[[#This Row],[City/Zip Code]],Table5[City/Zip Code],Table5[City/Zip Code Factor],,0)</f>
        <v>1.21</v>
      </c>
      <c r="AF869">
        <f>_xlfn.XLOOKUP(Table1820[[#This Row],[Vehicle Price]],Table6[Vehicle Price],Table6[Vehicle Price Factor])</f>
        <v>0.82</v>
      </c>
      <c r="AG869">
        <f>_xlfn.XLOOKUP(Table1820[[#This Row],[Exotic Car]],Table7[Exotic Car],Table7[Exotic Car Factor],,0)</f>
        <v>1</v>
      </c>
      <c r="AH869">
        <f>_xlfn.XLOOKUP(Table1820[[#This Row],[Difficult Parts]],Table8[Difficult Parts],Table8[Difficult Parts Factor],,0)</f>
        <v>1.21</v>
      </c>
      <c r="AI869">
        <f>_xlfn.XLOOKUP(Table1820[[#This Row],[High Theft Rate]],Table9[High Theft Rate],Table9[High Theft Rate Factor],,0)</f>
        <v>1</v>
      </c>
      <c r="AJ869">
        <f>_xlfn.XLOOKUP(Table1820[[#This Row],[Advanced Safety Features]],Table10[Advanced Safety Features],Table10[Advanced Safety Features Factor],,0)</f>
        <v>0.88</v>
      </c>
      <c r="AK869">
        <f>_xlfn.XLOOKUP(Table1820[[#This Row],[Deductible]],Table12[Deductible],Table12[Deductible Factor],,0)</f>
        <v>1</v>
      </c>
      <c r="AL869">
        <f>_xlfn.XLOOKUP(Table1820[[#This Row],[Coverage Limit]],Table13[Coverage Limit],Table13[Coverage Limit Factor],,0)</f>
        <v>0.72</v>
      </c>
      <c r="AM869">
        <f>IF(Table1820[[#This Row],[Good Student Discount]]="Yes",'Rate Book'!$D$126,1)</f>
        <v>1</v>
      </c>
      <c r="AN869">
        <f>IF(Table1820[[#This Row],[Good Driver Discount]]="Yes",'Rate Book'!$D$127,1)</f>
        <v>0.89</v>
      </c>
      <c r="AO869">
        <f>IF(Table1820[[#This Row],[Multi Policy Discount]]="Yes",'Rate Book'!$D$128,1)</f>
        <v>1</v>
      </c>
      <c r="AP869">
        <f>IF(Table1820[[#This Row],[Loyal Customer Discount]]="Yes",'Rate Book'!$D$129,1)</f>
        <v>1</v>
      </c>
      <c r="AQ869">
        <f>IF(Table1820[[#This Row],[Organization Discount]]="Yes",'Rate Book'!$D$130,1)</f>
        <v>1</v>
      </c>
      <c r="AR869" cm="1">
        <f t="array" ref="AR869">IF(Table1820[[#This Row],[Effective Date]]&gt;=RateChangeTable[Effective Date],RateChangeTable[Rate Change Factor],1)</f>
        <v>1</v>
      </c>
      <c r="AS869" s="10">
        <f>PRODUCT(Table1820[[#This Row],[Base Rate]:[Rate Change Factor]])</f>
        <v>57.548815408951064</v>
      </c>
      <c r="AT869" s="9">
        <f>Table1820[[#This Row],[System-Generated Premium]]-Table1820[[#This Row],[Expected Premium]]</f>
        <v>0</v>
      </c>
      <c r="AU869" t="str">
        <f>IF(Table1820[[#This Row],[Difference]]=0,"PASS","FAIL")</f>
        <v>PASS</v>
      </c>
      <c r="AV869" s="9">
        <f>ABS(Table1820[[#This Row],[Difference]])</f>
        <v>0</v>
      </c>
      <c r="AW869" s="9" t="s">
        <v>1136</v>
      </c>
    </row>
    <row r="870" spans="1:49" x14ac:dyDescent="0.3">
      <c r="A870" t="s">
        <v>961</v>
      </c>
      <c r="B870" s="7">
        <v>45970</v>
      </c>
      <c r="C870" t="s">
        <v>70</v>
      </c>
      <c r="D870" t="s">
        <v>1099</v>
      </c>
      <c r="E870" s="3">
        <v>7</v>
      </c>
      <c r="F870" s="3">
        <v>4</v>
      </c>
      <c r="G870" t="s">
        <v>10</v>
      </c>
      <c r="H870" t="s">
        <v>1109</v>
      </c>
      <c r="I870" t="s">
        <v>41</v>
      </c>
      <c r="J870" t="s">
        <v>48</v>
      </c>
      <c r="K870" t="s">
        <v>10</v>
      </c>
      <c r="L870" t="s">
        <v>57</v>
      </c>
      <c r="M870" t="s">
        <v>10</v>
      </c>
      <c r="N870" t="s">
        <v>10</v>
      </c>
      <c r="O870" t="str">
        <f>INDEX(CoverageTable[Deductible Applies],MATCH(Table1820[[#This Row],[Coverage]],CoverageTable[Coverage],0))</f>
        <v>No</v>
      </c>
      <c r="P870" t="str">
        <f>INDEX(CoverageTable[Coverage Limit Applies],MATCH(Table1820[[#This Row],[Coverage]],CoverageTable[Coverage],0))</f>
        <v>Yes</v>
      </c>
      <c r="Q870" t="s">
        <v>10</v>
      </c>
      <c r="R870" t="s">
        <v>78</v>
      </c>
      <c r="S870" t="s">
        <v>10</v>
      </c>
      <c r="T870" t="s">
        <v>10</v>
      </c>
      <c r="U870" t="s">
        <v>10</v>
      </c>
      <c r="V870" t="s">
        <v>10</v>
      </c>
      <c r="W870" t="s">
        <v>10</v>
      </c>
      <c r="X870" s="11">
        <v>1028.8658591709518</v>
      </c>
      <c r="Y870">
        <f>_xlfn.XLOOKUP(Table1820[[#This Row],[Coverage]],CoverageTable[Coverage],CoverageTable[Base Rate],,0)</f>
        <v>622</v>
      </c>
      <c r="Z870">
        <f>INDEX(Table16[Ageband Factor],MATCH(Table1820[[#This Row],[Ageband]],Table16[Ageband],0))</f>
        <v>1</v>
      </c>
      <c r="AA870">
        <f>VLOOKUP(Table1820[[#This Row],[Years Driving]],Table1[],2)</f>
        <v>0.95</v>
      </c>
      <c r="AB870">
        <f>_xlfn.XLOOKUP(Table1820[[#This Row],[At Fault Accidents]],Table2[At Fault Accidents],Table2[At Fault Accident Factor],,0)</f>
        <v>2.12</v>
      </c>
      <c r="AC870">
        <f>_xlfn.XLOOKUP(Table1820[[#This Row],[Usage-Based Insurance]],Table3[Usage-Based Insurance],Table3[Usage-Based Insurance Discount],,0)</f>
        <v>1</v>
      </c>
      <c r="AD870">
        <f>_xlfn.XLOOKUP(Table1820[[#This Row],[Yearly Miles]],Table4[Yearly Miles],Table4[Yearly Miles Factor],,0)</f>
        <v>1.18</v>
      </c>
      <c r="AE870">
        <f>_xlfn.XLOOKUP(Table1820[[#This Row],[City/Zip Code]],Table5[City/Zip Code],Table5[City/Zip Code Factor],,0)</f>
        <v>1.1499999999999999</v>
      </c>
      <c r="AF870">
        <f>_xlfn.XLOOKUP(Table1820[[#This Row],[Vehicle Price]],Table6[Vehicle Price],Table6[Vehicle Price Factor])</f>
        <v>0.82</v>
      </c>
      <c r="AG870">
        <f>_xlfn.XLOOKUP(Table1820[[#This Row],[Exotic Car]],Table7[Exotic Car],Table7[Exotic Car Factor],,0)</f>
        <v>1</v>
      </c>
      <c r="AH870">
        <f>_xlfn.XLOOKUP(Table1820[[#This Row],[Difficult Parts]],Table8[Difficult Parts],Table8[Difficult Parts Factor],,0)</f>
        <v>1.21</v>
      </c>
      <c r="AI870">
        <f>_xlfn.XLOOKUP(Table1820[[#This Row],[High Theft Rate]],Table9[High Theft Rate],Table9[High Theft Rate Factor],,0)</f>
        <v>1</v>
      </c>
      <c r="AJ870">
        <f>_xlfn.XLOOKUP(Table1820[[#This Row],[Advanced Safety Features]],Table10[Advanced Safety Features],Table10[Advanced Safety Features Factor],,0)</f>
        <v>1</v>
      </c>
      <c r="AK870">
        <f>_xlfn.XLOOKUP(Table1820[[#This Row],[Deductible]],Table12[Deductible],Table12[Deductible Factor],,0)</f>
        <v>1</v>
      </c>
      <c r="AL870">
        <f>_xlfn.XLOOKUP(Table1820[[#This Row],[Coverage Limit]],Table13[Coverage Limit],Table13[Coverage Limit Factor],,0)</f>
        <v>0.61</v>
      </c>
      <c r="AM870">
        <f>IF(Table1820[[#This Row],[Good Student Discount]]="Yes",'Rate Book'!$D$126,1)</f>
        <v>1</v>
      </c>
      <c r="AN870">
        <f>IF(Table1820[[#This Row],[Good Driver Discount]]="Yes",'Rate Book'!$D$127,1)</f>
        <v>1</v>
      </c>
      <c r="AO870">
        <f>IF(Table1820[[#This Row],[Multi Policy Discount]]="Yes",'Rate Book'!$D$128,1)</f>
        <v>1</v>
      </c>
      <c r="AP870">
        <f>IF(Table1820[[#This Row],[Loyal Customer Discount]]="Yes",'Rate Book'!$D$129,1)</f>
        <v>1</v>
      </c>
      <c r="AQ870">
        <f>IF(Table1820[[#This Row],[Organization Discount]]="Yes",'Rate Book'!$D$130,1)</f>
        <v>1</v>
      </c>
      <c r="AR870" cm="1">
        <f t="array" ref="AR870">IF(Table1820[[#This Row],[Effective Date]]&gt;=RateChangeTable[Effective Date],RateChangeTable[Rate Change Factor],1)</f>
        <v>1</v>
      </c>
      <c r="AS870" s="10">
        <f>PRODUCT(Table1820[[#This Row],[Base Rate]:[Rate Change Factor]])</f>
        <v>1028.8658591709518</v>
      </c>
      <c r="AT870" s="9">
        <f>Table1820[[#This Row],[System-Generated Premium]]-Table1820[[#This Row],[Expected Premium]]</f>
        <v>0</v>
      </c>
      <c r="AU870" t="str">
        <f>IF(Table1820[[#This Row],[Difference]]=0,"PASS","FAIL")</f>
        <v>PASS</v>
      </c>
      <c r="AV870" s="9">
        <f>ABS(Table1820[[#This Row],[Difference]])</f>
        <v>0</v>
      </c>
      <c r="AW870" s="9" t="s">
        <v>1136</v>
      </c>
    </row>
    <row r="871" spans="1:49" x14ac:dyDescent="0.3">
      <c r="A871" t="s">
        <v>962</v>
      </c>
      <c r="B871" s="7">
        <v>45906</v>
      </c>
      <c r="C871" t="s">
        <v>70</v>
      </c>
      <c r="D871" t="s">
        <v>1098</v>
      </c>
      <c r="E871" s="3">
        <v>2</v>
      </c>
      <c r="F871" s="3">
        <v>1</v>
      </c>
      <c r="G871" t="s">
        <v>13</v>
      </c>
      <c r="H871" t="s">
        <v>1107</v>
      </c>
      <c r="I871" t="s">
        <v>41</v>
      </c>
      <c r="J871" t="s">
        <v>49</v>
      </c>
      <c r="K871" t="s">
        <v>10</v>
      </c>
      <c r="L871" t="s">
        <v>10</v>
      </c>
      <c r="M871" t="s">
        <v>10</v>
      </c>
      <c r="N871" t="s">
        <v>57</v>
      </c>
      <c r="O871" t="str">
        <f>INDEX(CoverageTable[Deductible Applies],MATCH(Table1820[[#This Row],[Coverage]],CoverageTable[Coverage],0))</f>
        <v>No</v>
      </c>
      <c r="P871" t="str">
        <f>INDEX(CoverageTable[Coverage Limit Applies],MATCH(Table1820[[#This Row],[Coverage]],CoverageTable[Coverage],0))</f>
        <v>Yes</v>
      </c>
      <c r="Q871" t="s">
        <v>10</v>
      </c>
      <c r="R871" t="s">
        <v>79</v>
      </c>
      <c r="S871" t="s">
        <v>10</v>
      </c>
      <c r="T871" t="s">
        <v>10</v>
      </c>
      <c r="U871" t="s">
        <v>10</v>
      </c>
      <c r="V871" t="s">
        <v>10</v>
      </c>
      <c r="W871" t="s">
        <v>10</v>
      </c>
      <c r="X871" s="11">
        <v>617.59028476340791</v>
      </c>
      <c r="Y871">
        <f>_xlfn.XLOOKUP(Table1820[[#This Row],[Coverage]],CoverageTable[Coverage],CoverageTable[Base Rate],,0)</f>
        <v>622</v>
      </c>
      <c r="Z871">
        <f>INDEX(Table16[Ageband Factor],MATCH(Table1820[[#This Row],[Ageband]],Table16[Ageband],0))</f>
        <v>1.23</v>
      </c>
      <c r="AA871">
        <f>VLOOKUP(Table1820[[#This Row],[Years Driving]],Table1[],2)</f>
        <v>1.41</v>
      </c>
      <c r="AB871">
        <f>_xlfn.XLOOKUP(Table1820[[#This Row],[At Fault Accidents]],Table2[At Fault Accidents],Table2[At Fault Accident Factor],,0)</f>
        <v>1.34</v>
      </c>
      <c r="AC871">
        <f>_xlfn.XLOOKUP(Table1820[[#This Row],[Usage-Based Insurance]],Table3[Usage-Based Insurance],Table3[Usage-Based Insurance Discount],,0)</f>
        <v>0.65</v>
      </c>
      <c r="AD871">
        <f>_xlfn.XLOOKUP(Table1820[[#This Row],[Yearly Miles]],Table4[Yearly Miles],Table4[Yearly Miles Factor],,0)</f>
        <v>0.93</v>
      </c>
      <c r="AE871">
        <f>_xlfn.XLOOKUP(Table1820[[#This Row],[City/Zip Code]],Table5[City/Zip Code],Table5[City/Zip Code Factor],,0)</f>
        <v>1.1499999999999999</v>
      </c>
      <c r="AF871">
        <f>_xlfn.XLOOKUP(Table1820[[#This Row],[Vehicle Price]],Table6[Vehicle Price],Table6[Vehicle Price Factor])</f>
        <v>0.97</v>
      </c>
      <c r="AG871">
        <f>_xlfn.XLOOKUP(Table1820[[#This Row],[Exotic Car]],Table7[Exotic Car],Table7[Exotic Car Factor],,0)</f>
        <v>1</v>
      </c>
      <c r="AH871">
        <f>_xlfn.XLOOKUP(Table1820[[#This Row],[Difficult Parts]],Table8[Difficult Parts],Table8[Difficult Parts Factor],,0)</f>
        <v>1</v>
      </c>
      <c r="AI871">
        <f>_xlfn.XLOOKUP(Table1820[[#This Row],[High Theft Rate]],Table9[High Theft Rate],Table9[High Theft Rate Factor],,0)</f>
        <v>1</v>
      </c>
      <c r="AJ871">
        <f>_xlfn.XLOOKUP(Table1820[[#This Row],[Advanced Safety Features]],Table10[Advanced Safety Features],Table10[Advanced Safety Features Factor],,0)</f>
        <v>0.88</v>
      </c>
      <c r="AK871">
        <f>_xlfn.XLOOKUP(Table1820[[#This Row],[Deductible]],Table12[Deductible],Table12[Deductible Factor],,0)</f>
        <v>1</v>
      </c>
      <c r="AL871">
        <f>_xlfn.XLOOKUP(Table1820[[#This Row],[Coverage Limit]],Table13[Coverage Limit],Table13[Coverage Limit Factor],,0)</f>
        <v>0.72</v>
      </c>
      <c r="AM871">
        <f>IF(Table1820[[#This Row],[Good Student Discount]]="Yes",'Rate Book'!$D$126,1)</f>
        <v>1</v>
      </c>
      <c r="AN871">
        <f>IF(Table1820[[#This Row],[Good Driver Discount]]="Yes",'Rate Book'!$D$127,1)</f>
        <v>1</v>
      </c>
      <c r="AO871">
        <f>IF(Table1820[[#This Row],[Multi Policy Discount]]="Yes",'Rate Book'!$D$128,1)</f>
        <v>1</v>
      </c>
      <c r="AP871">
        <f>IF(Table1820[[#This Row],[Loyal Customer Discount]]="Yes",'Rate Book'!$D$129,1)</f>
        <v>1</v>
      </c>
      <c r="AQ871">
        <f>IF(Table1820[[#This Row],[Organization Discount]]="Yes",'Rate Book'!$D$130,1)</f>
        <v>1</v>
      </c>
      <c r="AR871" cm="1">
        <f t="array" ref="AR871">IF(Table1820[[#This Row],[Effective Date]]&gt;=RateChangeTable[Effective Date],RateChangeTable[Rate Change Factor],1)</f>
        <v>1</v>
      </c>
      <c r="AS871" s="10">
        <f>PRODUCT(Table1820[[#This Row],[Base Rate]:[Rate Change Factor]])</f>
        <v>617.59028476340791</v>
      </c>
      <c r="AT871" s="9">
        <f>Table1820[[#This Row],[System-Generated Premium]]-Table1820[[#This Row],[Expected Premium]]</f>
        <v>0</v>
      </c>
      <c r="AU871" t="str">
        <f>IF(Table1820[[#This Row],[Difference]]=0,"PASS","FAIL")</f>
        <v>PASS</v>
      </c>
      <c r="AV871" s="9">
        <f>ABS(Table1820[[#This Row],[Difference]])</f>
        <v>0</v>
      </c>
      <c r="AW871" s="9" t="s">
        <v>1136</v>
      </c>
    </row>
    <row r="872" spans="1:49" x14ac:dyDescent="0.3">
      <c r="A872" t="s">
        <v>963</v>
      </c>
      <c r="B872" s="7">
        <v>46136</v>
      </c>
      <c r="C872" t="s">
        <v>72</v>
      </c>
      <c r="D872" t="s">
        <v>1102</v>
      </c>
      <c r="E872" s="3">
        <v>7</v>
      </c>
      <c r="F872" s="3" t="s">
        <v>7</v>
      </c>
      <c r="G872" t="s">
        <v>10</v>
      </c>
      <c r="H872" t="s">
        <v>1106</v>
      </c>
      <c r="I872" t="s">
        <v>43</v>
      </c>
      <c r="J872" t="s">
        <v>49</v>
      </c>
      <c r="K872" t="s">
        <v>10</v>
      </c>
      <c r="L872" t="s">
        <v>10</v>
      </c>
      <c r="M872" t="s">
        <v>10</v>
      </c>
      <c r="N872" t="s">
        <v>10</v>
      </c>
      <c r="O872" t="str">
        <f>INDEX(CoverageTable[Deductible Applies],MATCH(Table1820[[#This Row],[Coverage]],CoverageTable[Coverage],0))</f>
        <v>Yes</v>
      </c>
      <c r="P872" t="str">
        <f>INDEX(CoverageTable[Coverage Limit Applies],MATCH(Table1820[[#This Row],[Coverage]],CoverageTable[Coverage],0))</f>
        <v>No</v>
      </c>
      <c r="Q872" t="s">
        <v>78</v>
      </c>
      <c r="R872" t="s">
        <v>10</v>
      </c>
      <c r="S872" t="s">
        <v>57</v>
      </c>
      <c r="T872" t="s">
        <v>10</v>
      </c>
      <c r="U872" t="s">
        <v>10</v>
      </c>
      <c r="V872" t="s">
        <v>10</v>
      </c>
      <c r="W872" t="s">
        <v>57</v>
      </c>
      <c r="X872" s="11">
        <v>304.13491183783105</v>
      </c>
      <c r="Y872">
        <f>_xlfn.XLOOKUP(Table1820[[#This Row],[Coverage]],CoverageTable[Coverage],CoverageTable[Base Rate],,0)</f>
        <v>121</v>
      </c>
      <c r="Z872">
        <f>INDEX(Table16[Ageband Factor],MATCH(Table1820[[#This Row],[Ageband]],Table16[Ageband],0))</f>
        <v>1.27</v>
      </c>
      <c r="AA872">
        <f>VLOOKUP(Table1820[[#This Row],[Years Driving]],Table1[],2)</f>
        <v>0.95</v>
      </c>
      <c r="AB872">
        <f>_xlfn.XLOOKUP(Table1820[[#This Row],[At Fault Accidents]],Table2[At Fault Accidents],Table2[At Fault Accident Factor],,0)</f>
        <v>2.4700000000000002</v>
      </c>
      <c r="AC872">
        <f>_xlfn.XLOOKUP(Table1820[[#This Row],[Usage-Based Insurance]],Table3[Usage-Based Insurance],Table3[Usage-Based Insurance Discount],,0)</f>
        <v>1</v>
      </c>
      <c r="AD872">
        <f>_xlfn.XLOOKUP(Table1820[[#This Row],[Yearly Miles]],Table4[Yearly Miles],Table4[Yearly Miles Factor],,0)</f>
        <v>0.82</v>
      </c>
      <c r="AE872">
        <f>_xlfn.XLOOKUP(Table1820[[#This Row],[City/Zip Code]],Table5[City/Zip Code],Table5[City/Zip Code Factor],,0)</f>
        <v>1.18</v>
      </c>
      <c r="AF872">
        <f>_xlfn.XLOOKUP(Table1820[[#This Row],[Vehicle Price]],Table6[Vehicle Price],Table6[Vehicle Price Factor])</f>
        <v>0.97</v>
      </c>
      <c r="AG872">
        <f>_xlfn.XLOOKUP(Table1820[[#This Row],[Exotic Car]],Table7[Exotic Car],Table7[Exotic Car Factor],,0)</f>
        <v>1</v>
      </c>
      <c r="AH872">
        <f>_xlfn.XLOOKUP(Table1820[[#This Row],[Difficult Parts]],Table8[Difficult Parts],Table8[Difficult Parts Factor],,0)</f>
        <v>1</v>
      </c>
      <c r="AI872">
        <f>_xlfn.XLOOKUP(Table1820[[#This Row],[High Theft Rate]],Table9[High Theft Rate],Table9[High Theft Rate Factor],,0)</f>
        <v>1</v>
      </c>
      <c r="AJ872">
        <f>_xlfn.XLOOKUP(Table1820[[#This Row],[Advanced Safety Features]],Table10[Advanced Safety Features],Table10[Advanced Safety Features Factor],,0)</f>
        <v>1</v>
      </c>
      <c r="AK872">
        <f>_xlfn.XLOOKUP(Table1820[[#This Row],[Deductible]],Table12[Deductible],Table12[Deductible Factor],,0)</f>
        <v>0.95</v>
      </c>
      <c r="AL872">
        <f>_xlfn.XLOOKUP(Table1820[[#This Row],[Coverage Limit]],Table13[Coverage Limit],Table13[Coverage Limit Factor],,0)</f>
        <v>1</v>
      </c>
      <c r="AM872">
        <f>IF(Table1820[[#This Row],[Good Student Discount]]="Yes",'Rate Book'!$D$126,1)</f>
        <v>0.92</v>
      </c>
      <c r="AN872">
        <f>IF(Table1820[[#This Row],[Good Driver Discount]]="Yes",'Rate Book'!$D$127,1)</f>
        <v>1</v>
      </c>
      <c r="AO872">
        <f>IF(Table1820[[#This Row],[Multi Policy Discount]]="Yes",'Rate Book'!$D$128,1)</f>
        <v>1</v>
      </c>
      <c r="AP872">
        <f>IF(Table1820[[#This Row],[Loyal Customer Discount]]="Yes",'Rate Book'!$D$129,1)</f>
        <v>1</v>
      </c>
      <c r="AQ872">
        <f>IF(Table1820[[#This Row],[Organization Discount]]="Yes",'Rate Book'!$D$130,1)</f>
        <v>0.97</v>
      </c>
      <c r="AR872" cm="1">
        <f t="array" ref="AR872">IF(Table1820[[#This Row],[Effective Date]]&gt;=RateChangeTable[Effective Date],RateChangeTable[Rate Change Factor],1)</f>
        <v>1.06</v>
      </c>
      <c r="AS872" s="10">
        <f>PRODUCT(Table1820[[#This Row],[Base Rate]:[Rate Change Factor]])</f>
        <v>304.13491183783105</v>
      </c>
      <c r="AT872" s="9">
        <f>Table1820[[#This Row],[System-Generated Premium]]-Table1820[[#This Row],[Expected Premium]]</f>
        <v>0</v>
      </c>
      <c r="AU872" t="str">
        <f>IF(Table1820[[#This Row],[Difference]]=0,"PASS","FAIL")</f>
        <v>PASS</v>
      </c>
      <c r="AV872" s="9">
        <f>ABS(Table1820[[#This Row],[Difference]])</f>
        <v>0</v>
      </c>
      <c r="AW872" s="9" t="s">
        <v>1136</v>
      </c>
    </row>
    <row r="873" spans="1:49" x14ac:dyDescent="0.3">
      <c r="A873" t="s">
        <v>964</v>
      </c>
      <c r="B873" s="7">
        <v>45862</v>
      </c>
      <c r="C873" t="s">
        <v>70</v>
      </c>
      <c r="D873" t="s">
        <v>1100</v>
      </c>
      <c r="E873" s="3" t="s">
        <v>1103</v>
      </c>
      <c r="F873" s="3">
        <v>0</v>
      </c>
      <c r="G873" t="s">
        <v>10</v>
      </c>
      <c r="H873" t="s">
        <v>1107</v>
      </c>
      <c r="I873" t="s">
        <v>23</v>
      </c>
      <c r="J873" t="s">
        <v>52</v>
      </c>
      <c r="K873" t="s">
        <v>10</v>
      </c>
      <c r="L873" t="s">
        <v>10</v>
      </c>
      <c r="M873" t="s">
        <v>10</v>
      </c>
      <c r="N873" t="s">
        <v>57</v>
      </c>
      <c r="O873" t="str">
        <f>INDEX(CoverageTable[Deductible Applies],MATCH(Table1820[[#This Row],[Coverage]],CoverageTable[Coverage],0))</f>
        <v>No</v>
      </c>
      <c r="P873" t="str">
        <f>INDEX(CoverageTable[Coverage Limit Applies],MATCH(Table1820[[#This Row],[Coverage]],CoverageTable[Coverage],0))</f>
        <v>Yes</v>
      </c>
      <c r="Q873" t="s">
        <v>10</v>
      </c>
      <c r="R873" t="s">
        <v>80</v>
      </c>
      <c r="S873" t="s">
        <v>10</v>
      </c>
      <c r="T873" t="s">
        <v>10</v>
      </c>
      <c r="U873" t="s">
        <v>57</v>
      </c>
      <c r="V873" t="s">
        <v>10</v>
      </c>
      <c r="W873" t="s">
        <v>10</v>
      </c>
      <c r="X873" s="11">
        <v>571.57397474095001</v>
      </c>
      <c r="Y873">
        <f>_xlfn.XLOOKUP(Table1820[[#This Row],[Coverage]],CoverageTable[Coverage],CoverageTable[Base Rate],,0)</f>
        <v>622</v>
      </c>
      <c r="Z873">
        <f>INDEX(Table16[Ageband Factor],MATCH(Table1820[[#This Row],[Ageband]],Table16[Ageband],0))</f>
        <v>1.07</v>
      </c>
      <c r="AA873">
        <f>VLOOKUP(Table1820[[#This Row],[Years Driving]],Table1[],2)</f>
        <v>0.93</v>
      </c>
      <c r="AB873">
        <f>_xlfn.XLOOKUP(Table1820[[#This Row],[At Fault Accidents]],Table2[At Fault Accidents],Table2[At Fault Accident Factor],,0)</f>
        <v>1</v>
      </c>
      <c r="AC873">
        <f>_xlfn.XLOOKUP(Table1820[[#This Row],[Usage-Based Insurance]],Table3[Usage-Based Insurance],Table3[Usage-Based Insurance Discount],,0)</f>
        <v>1</v>
      </c>
      <c r="AD873">
        <f>_xlfn.XLOOKUP(Table1820[[#This Row],[Yearly Miles]],Table4[Yearly Miles],Table4[Yearly Miles Factor],,0)</f>
        <v>0.93</v>
      </c>
      <c r="AE873">
        <f>_xlfn.XLOOKUP(Table1820[[#This Row],[City/Zip Code]],Table5[City/Zip Code],Table5[City/Zip Code Factor],,0)</f>
        <v>0.92</v>
      </c>
      <c r="AF873">
        <f>_xlfn.XLOOKUP(Table1820[[#This Row],[Vehicle Price]],Table6[Vehicle Price],Table6[Vehicle Price Factor])</f>
        <v>1.57</v>
      </c>
      <c r="AG873">
        <f>_xlfn.XLOOKUP(Table1820[[#This Row],[Exotic Car]],Table7[Exotic Car],Table7[Exotic Car Factor],,0)</f>
        <v>1</v>
      </c>
      <c r="AH873">
        <f>_xlfn.XLOOKUP(Table1820[[#This Row],[Difficult Parts]],Table8[Difficult Parts],Table8[Difficult Parts Factor],,0)</f>
        <v>1</v>
      </c>
      <c r="AI873">
        <f>_xlfn.XLOOKUP(Table1820[[#This Row],[High Theft Rate]],Table9[High Theft Rate],Table9[High Theft Rate Factor],,0)</f>
        <v>1</v>
      </c>
      <c r="AJ873">
        <f>_xlfn.XLOOKUP(Table1820[[#This Row],[Advanced Safety Features]],Table10[Advanced Safety Features],Table10[Advanced Safety Features Factor],,0)</f>
        <v>0.88</v>
      </c>
      <c r="AK873">
        <f>_xlfn.XLOOKUP(Table1820[[#This Row],[Deductible]],Table12[Deductible],Table12[Deductible Factor],,0)</f>
        <v>1</v>
      </c>
      <c r="AL873">
        <f>_xlfn.XLOOKUP(Table1820[[#This Row],[Coverage Limit]],Table13[Coverage Limit],Table13[Coverage Limit Factor],,0)</f>
        <v>0.84</v>
      </c>
      <c r="AM873">
        <f>IF(Table1820[[#This Row],[Good Student Discount]]="Yes",'Rate Book'!$D$126,1)</f>
        <v>1</v>
      </c>
      <c r="AN873">
        <f>IF(Table1820[[#This Row],[Good Driver Discount]]="Yes",'Rate Book'!$D$127,1)</f>
        <v>1</v>
      </c>
      <c r="AO873">
        <f>IF(Table1820[[#This Row],[Multi Policy Discount]]="Yes",'Rate Book'!$D$128,1)</f>
        <v>0.93</v>
      </c>
      <c r="AP873">
        <f>IF(Table1820[[#This Row],[Loyal Customer Discount]]="Yes",'Rate Book'!$D$129,1)</f>
        <v>1</v>
      </c>
      <c r="AQ873">
        <f>IF(Table1820[[#This Row],[Organization Discount]]="Yes",'Rate Book'!$D$130,1)</f>
        <v>1</v>
      </c>
      <c r="AR873" cm="1">
        <f t="array" ref="AR873">IF(Table1820[[#This Row],[Effective Date]]&gt;=RateChangeTable[Effective Date],RateChangeTable[Rate Change Factor],1)</f>
        <v>1</v>
      </c>
      <c r="AS873" s="10">
        <f>PRODUCT(Table1820[[#This Row],[Base Rate]:[Rate Change Factor]])</f>
        <v>571.57397474095001</v>
      </c>
      <c r="AT873" s="9">
        <f>Table1820[[#This Row],[System-Generated Premium]]-Table1820[[#This Row],[Expected Premium]]</f>
        <v>0</v>
      </c>
      <c r="AU873" t="str">
        <f>IF(Table1820[[#This Row],[Difference]]=0,"PASS","FAIL")</f>
        <v>PASS</v>
      </c>
      <c r="AV873" s="9">
        <f>ABS(Table1820[[#This Row],[Difference]])</f>
        <v>0</v>
      </c>
      <c r="AW873" s="9" t="s">
        <v>1136</v>
      </c>
    </row>
    <row r="874" spans="1:49" x14ac:dyDescent="0.3">
      <c r="A874" t="s">
        <v>965</v>
      </c>
      <c r="B874" s="7">
        <v>46074</v>
      </c>
      <c r="C874" t="s">
        <v>73</v>
      </c>
      <c r="D874" t="s">
        <v>1099</v>
      </c>
      <c r="E874" s="3">
        <v>1</v>
      </c>
      <c r="F874" s="3" t="s">
        <v>7</v>
      </c>
      <c r="G874" t="s">
        <v>11</v>
      </c>
      <c r="H874" t="s">
        <v>1106</v>
      </c>
      <c r="I874" t="s">
        <v>39</v>
      </c>
      <c r="J874" t="s">
        <v>50</v>
      </c>
      <c r="K874" t="s">
        <v>10</v>
      </c>
      <c r="L874" t="s">
        <v>10</v>
      </c>
      <c r="M874" t="s">
        <v>10</v>
      </c>
      <c r="N874" t="s">
        <v>57</v>
      </c>
      <c r="O874" t="str">
        <f>INDEX(CoverageTable[Deductible Applies],MATCH(Table1820[[#This Row],[Coverage]],CoverageTable[Coverage],0))</f>
        <v>No</v>
      </c>
      <c r="P874" t="str">
        <f>INDEX(CoverageTable[Coverage Limit Applies],MATCH(Table1820[[#This Row],[Coverage]],CoverageTable[Coverage],0))</f>
        <v>Yes</v>
      </c>
      <c r="Q874" t="s">
        <v>10</v>
      </c>
      <c r="R874" t="s">
        <v>79</v>
      </c>
      <c r="S874" t="s">
        <v>10</v>
      </c>
      <c r="T874" t="s">
        <v>57</v>
      </c>
      <c r="U874" t="s">
        <v>10</v>
      </c>
      <c r="V874" t="s">
        <v>10</v>
      </c>
      <c r="W874" t="s">
        <v>10</v>
      </c>
      <c r="X874" s="11">
        <v>161.9</v>
      </c>
      <c r="Y874">
        <f>_xlfn.XLOOKUP(Table1820[[#This Row],[Coverage]],CoverageTable[Coverage],CoverageTable[Base Rate],,0)</f>
        <v>78</v>
      </c>
      <c r="Z874">
        <f>INDEX(Table16[Ageband Factor],MATCH(Table1820[[#This Row],[Ageband]],Table16[Ageband],0))</f>
        <v>1</v>
      </c>
      <c r="AA874">
        <f>VLOOKUP(Table1820[[#This Row],[Years Driving]],Table1[],2)</f>
        <v>1.64</v>
      </c>
      <c r="AB874">
        <f>_xlfn.XLOOKUP(Table1820[[#This Row],[At Fault Accidents]],Table2[At Fault Accidents],Table2[At Fault Accident Factor],,0)</f>
        <v>2.4700000000000002</v>
      </c>
      <c r="AC874">
        <f>_xlfn.XLOOKUP(Table1820[[#This Row],[Usage-Based Insurance]],Table3[Usage-Based Insurance],Table3[Usage-Based Insurance Discount],,0)</f>
        <v>0.95</v>
      </c>
      <c r="AD874">
        <f>_xlfn.XLOOKUP(Table1820[[#This Row],[Yearly Miles]],Table4[Yearly Miles],Table4[Yearly Miles Factor],,0)</f>
        <v>0.82</v>
      </c>
      <c r="AE874">
        <f>_xlfn.XLOOKUP(Table1820[[#This Row],[City/Zip Code]],Table5[City/Zip Code],Table5[City/Zip Code Factor],,0)</f>
        <v>1.08</v>
      </c>
      <c r="AF874">
        <f>_xlfn.XLOOKUP(Table1820[[#This Row],[Vehicle Price]],Table6[Vehicle Price],Table6[Vehicle Price Factor])</f>
        <v>1.08</v>
      </c>
      <c r="AG874">
        <f>_xlfn.XLOOKUP(Table1820[[#This Row],[Exotic Car]],Table7[Exotic Car],Table7[Exotic Car Factor],,0)</f>
        <v>1</v>
      </c>
      <c r="AH874">
        <f>_xlfn.XLOOKUP(Table1820[[#This Row],[Difficult Parts]],Table8[Difficult Parts],Table8[Difficult Parts Factor],,0)</f>
        <v>1</v>
      </c>
      <c r="AI874">
        <f>_xlfn.XLOOKUP(Table1820[[#This Row],[High Theft Rate]],Table9[High Theft Rate],Table9[High Theft Rate Factor],,0)</f>
        <v>1</v>
      </c>
      <c r="AJ874">
        <f>_xlfn.XLOOKUP(Table1820[[#This Row],[Advanced Safety Features]],Table10[Advanced Safety Features],Table10[Advanced Safety Features Factor],,0)</f>
        <v>0.88</v>
      </c>
      <c r="AK874">
        <f>_xlfn.XLOOKUP(Table1820[[#This Row],[Deductible]],Table12[Deductible],Table12[Deductible Factor],,0)</f>
        <v>1</v>
      </c>
      <c r="AL874">
        <f>_xlfn.XLOOKUP(Table1820[[#This Row],[Coverage Limit]],Table13[Coverage Limit],Table13[Coverage Limit Factor],,0)</f>
        <v>0.72</v>
      </c>
      <c r="AM874">
        <f>IF(Table1820[[#This Row],[Good Student Discount]]="Yes",'Rate Book'!$D$126,1)</f>
        <v>1</v>
      </c>
      <c r="AN874">
        <f>IF(Table1820[[#This Row],[Good Driver Discount]]="Yes",'Rate Book'!$D$127,1)</f>
        <v>0.89</v>
      </c>
      <c r="AO874">
        <f>IF(Table1820[[#This Row],[Multi Policy Discount]]="Yes",'Rate Book'!$D$128,1)</f>
        <v>1</v>
      </c>
      <c r="AP874">
        <f>IF(Table1820[[#This Row],[Loyal Customer Discount]]="Yes",'Rate Book'!$D$129,1)</f>
        <v>1</v>
      </c>
      <c r="AQ874">
        <f>IF(Table1820[[#This Row],[Organization Discount]]="Yes",'Rate Book'!$D$130,1)</f>
        <v>1</v>
      </c>
      <c r="AR874" cm="1">
        <f t="array" ref="AR874">IF(Table1820[[#This Row],[Effective Date]]&gt;=RateChangeTable[Effective Date],RateChangeTable[Rate Change Factor],1)</f>
        <v>1.06</v>
      </c>
      <c r="AS874" s="10">
        <f>PRODUCT(Table1820[[#This Row],[Base Rate]:[Rate Change Factor]])</f>
        <v>171.60558303825252</v>
      </c>
      <c r="AT874" s="9">
        <f>Table1820[[#This Row],[System-Generated Premium]]-Table1820[[#This Row],[Expected Premium]]</f>
        <v>-9.705583038252513</v>
      </c>
      <c r="AU874" t="str">
        <f>IF(Table1820[[#This Row],[Difference]]=0,"PASS","FAIL")</f>
        <v>FAIL</v>
      </c>
      <c r="AV874" s="9">
        <f>ABS(Table1820[[#This Row],[Difference]])</f>
        <v>9.705583038252513</v>
      </c>
      <c r="AW874" s="9" t="s">
        <v>1133</v>
      </c>
    </row>
    <row r="875" spans="1:49" x14ac:dyDescent="0.3">
      <c r="A875" t="s">
        <v>966</v>
      </c>
      <c r="B875" s="7">
        <v>46038</v>
      </c>
      <c r="C875" t="s">
        <v>71</v>
      </c>
      <c r="D875" t="s">
        <v>1102</v>
      </c>
      <c r="E875" s="3">
        <v>4</v>
      </c>
      <c r="F875" s="3">
        <v>0</v>
      </c>
      <c r="G875" t="s">
        <v>10</v>
      </c>
      <c r="H875" t="s">
        <v>1109</v>
      </c>
      <c r="I875" t="s">
        <v>42</v>
      </c>
      <c r="J875" t="s">
        <v>50</v>
      </c>
      <c r="K875" t="s">
        <v>10</v>
      </c>
      <c r="L875" t="s">
        <v>10</v>
      </c>
      <c r="M875" t="s">
        <v>10</v>
      </c>
      <c r="N875" t="s">
        <v>57</v>
      </c>
      <c r="O875" t="str">
        <f>INDEX(CoverageTable[Deductible Applies],MATCH(Table1820[[#This Row],[Coverage]],CoverageTable[Coverage],0))</f>
        <v>Yes</v>
      </c>
      <c r="P875" t="str">
        <f>INDEX(CoverageTable[Coverage Limit Applies],MATCH(Table1820[[#This Row],[Coverage]],CoverageTable[Coverage],0))</f>
        <v>No</v>
      </c>
      <c r="Q875" t="s">
        <v>78</v>
      </c>
      <c r="R875" t="s">
        <v>10</v>
      </c>
      <c r="S875" t="s">
        <v>10</v>
      </c>
      <c r="T875" t="s">
        <v>10</v>
      </c>
      <c r="U875" t="s">
        <v>10</v>
      </c>
      <c r="V875" t="s">
        <v>57</v>
      </c>
      <c r="W875" t="s">
        <v>10</v>
      </c>
      <c r="X875" s="11">
        <v>849.82771955037299</v>
      </c>
      <c r="Y875">
        <f>_xlfn.XLOOKUP(Table1820[[#This Row],[Coverage]],CoverageTable[Coverage],CoverageTable[Base Rate],,0)</f>
        <v>453</v>
      </c>
      <c r="Z875">
        <f>INDEX(Table16[Ageband Factor],MATCH(Table1820[[#This Row],[Ageband]],Table16[Ageband],0))</f>
        <v>1.27</v>
      </c>
      <c r="AA875">
        <f>VLOOKUP(Table1820[[#This Row],[Years Driving]],Table1[],2)</f>
        <v>1.1499999999999999</v>
      </c>
      <c r="AB875">
        <f>_xlfn.XLOOKUP(Table1820[[#This Row],[At Fault Accidents]],Table2[At Fault Accidents],Table2[At Fault Accident Factor],,0)</f>
        <v>1</v>
      </c>
      <c r="AC875">
        <f>_xlfn.XLOOKUP(Table1820[[#This Row],[Usage-Based Insurance]],Table3[Usage-Based Insurance],Table3[Usage-Based Insurance Discount],,0)</f>
        <v>1</v>
      </c>
      <c r="AD875">
        <f>_xlfn.XLOOKUP(Table1820[[#This Row],[Yearly Miles]],Table4[Yearly Miles],Table4[Yearly Miles Factor],,0)</f>
        <v>1.18</v>
      </c>
      <c r="AE875">
        <f>_xlfn.XLOOKUP(Table1820[[#This Row],[City/Zip Code]],Table5[City/Zip Code],Table5[City/Zip Code Factor],,0)</f>
        <v>1.21</v>
      </c>
      <c r="AF875">
        <f>_xlfn.XLOOKUP(Table1820[[#This Row],[Vehicle Price]],Table6[Vehicle Price],Table6[Vehicle Price Factor])</f>
        <v>1.08</v>
      </c>
      <c r="AG875">
        <f>_xlfn.XLOOKUP(Table1820[[#This Row],[Exotic Car]],Table7[Exotic Car],Table7[Exotic Car Factor],,0)</f>
        <v>1</v>
      </c>
      <c r="AH875">
        <f>_xlfn.XLOOKUP(Table1820[[#This Row],[Difficult Parts]],Table8[Difficult Parts],Table8[Difficult Parts Factor],,0)</f>
        <v>1</v>
      </c>
      <c r="AI875">
        <f>_xlfn.XLOOKUP(Table1820[[#This Row],[High Theft Rate]],Table9[High Theft Rate],Table9[High Theft Rate Factor],,0)</f>
        <v>1</v>
      </c>
      <c r="AJ875">
        <f>_xlfn.XLOOKUP(Table1820[[#This Row],[Advanced Safety Features]],Table10[Advanced Safety Features],Table10[Advanced Safety Features Factor],,0)</f>
        <v>0.88</v>
      </c>
      <c r="AK875">
        <f>_xlfn.XLOOKUP(Table1820[[#This Row],[Deductible]],Table12[Deductible],Table12[Deductible Factor],,0)</f>
        <v>0.95</v>
      </c>
      <c r="AL875">
        <f>_xlfn.XLOOKUP(Table1820[[#This Row],[Coverage Limit]],Table13[Coverage Limit],Table13[Coverage Limit Factor],,0)</f>
        <v>1</v>
      </c>
      <c r="AM875">
        <f>IF(Table1820[[#This Row],[Good Student Discount]]="Yes",'Rate Book'!$D$126,1)</f>
        <v>1</v>
      </c>
      <c r="AN875">
        <f>IF(Table1820[[#This Row],[Good Driver Discount]]="Yes",'Rate Book'!$D$127,1)</f>
        <v>1</v>
      </c>
      <c r="AO875">
        <f>IF(Table1820[[#This Row],[Multi Policy Discount]]="Yes",'Rate Book'!$D$128,1)</f>
        <v>1</v>
      </c>
      <c r="AP875">
        <f>IF(Table1820[[#This Row],[Loyal Customer Discount]]="Yes",'Rate Book'!$D$129,1)</f>
        <v>0.94</v>
      </c>
      <c r="AQ875">
        <f>IF(Table1820[[#This Row],[Organization Discount]]="Yes",'Rate Book'!$D$130,1)</f>
        <v>1</v>
      </c>
      <c r="AR875" cm="1">
        <f t="array" ref="AR875">IF(Table1820[[#This Row],[Effective Date]]&gt;=RateChangeTable[Effective Date],RateChangeTable[Rate Change Factor],1)</f>
        <v>1.06</v>
      </c>
      <c r="AS875" s="10">
        <f>PRODUCT(Table1820[[#This Row],[Base Rate]:[Rate Change Factor]])</f>
        <v>849.82771955037299</v>
      </c>
      <c r="AT875" s="9">
        <f>Table1820[[#This Row],[System-Generated Premium]]-Table1820[[#This Row],[Expected Premium]]</f>
        <v>0</v>
      </c>
      <c r="AU875" t="str">
        <f>IF(Table1820[[#This Row],[Difference]]=0,"PASS","FAIL")</f>
        <v>PASS</v>
      </c>
      <c r="AV875" s="9">
        <f>ABS(Table1820[[#This Row],[Difference]])</f>
        <v>0</v>
      </c>
      <c r="AW875" s="9" t="s">
        <v>1136</v>
      </c>
    </row>
    <row r="876" spans="1:49" x14ac:dyDescent="0.3">
      <c r="A876" t="s">
        <v>967</v>
      </c>
      <c r="B876" s="7">
        <v>45860</v>
      </c>
      <c r="C876" t="s">
        <v>70</v>
      </c>
      <c r="D876" t="s">
        <v>1102</v>
      </c>
      <c r="E876" s="3">
        <v>7</v>
      </c>
      <c r="F876" s="3">
        <v>1</v>
      </c>
      <c r="G876" t="s">
        <v>11</v>
      </c>
      <c r="H876" t="s">
        <v>1108</v>
      </c>
      <c r="I876" t="s">
        <v>29</v>
      </c>
      <c r="J876" t="s">
        <v>49</v>
      </c>
      <c r="K876" t="s">
        <v>10</v>
      </c>
      <c r="L876" t="s">
        <v>10</v>
      </c>
      <c r="M876" t="s">
        <v>10</v>
      </c>
      <c r="N876" t="s">
        <v>57</v>
      </c>
      <c r="O876" t="str">
        <f>INDEX(CoverageTable[Deductible Applies],MATCH(Table1820[[#This Row],[Coverage]],CoverageTable[Coverage],0))</f>
        <v>No</v>
      </c>
      <c r="P876" t="str">
        <f>INDEX(CoverageTable[Coverage Limit Applies],MATCH(Table1820[[#This Row],[Coverage]],CoverageTable[Coverage],0))</f>
        <v>Yes</v>
      </c>
      <c r="Q876" t="s">
        <v>10</v>
      </c>
      <c r="R876" t="s">
        <v>78</v>
      </c>
      <c r="S876" t="s">
        <v>57</v>
      </c>
      <c r="T876" t="s">
        <v>10</v>
      </c>
      <c r="U876" t="s">
        <v>10</v>
      </c>
      <c r="V876" t="s">
        <v>10</v>
      </c>
      <c r="W876" t="s">
        <v>57</v>
      </c>
      <c r="X876" s="11">
        <v>483.85631722475642</v>
      </c>
      <c r="Y876">
        <f>_xlfn.XLOOKUP(Table1820[[#This Row],[Coverage]],CoverageTable[Coverage],CoverageTable[Base Rate],,0)</f>
        <v>622</v>
      </c>
      <c r="Z876">
        <f>INDEX(Table16[Ageband Factor],MATCH(Table1820[[#This Row],[Ageband]],Table16[Ageband],0))</f>
        <v>1.27</v>
      </c>
      <c r="AA876">
        <f>VLOOKUP(Table1820[[#This Row],[Years Driving]],Table1[],2)</f>
        <v>0.95</v>
      </c>
      <c r="AB876">
        <f>_xlfn.XLOOKUP(Table1820[[#This Row],[At Fault Accidents]],Table2[At Fault Accidents],Table2[At Fault Accident Factor],,0)</f>
        <v>1.34</v>
      </c>
      <c r="AC876">
        <f>_xlfn.XLOOKUP(Table1820[[#This Row],[Usage-Based Insurance]],Table3[Usage-Based Insurance],Table3[Usage-Based Insurance Discount],,0)</f>
        <v>0.95</v>
      </c>
      <c r="AD876">
        <f>_xlfn.XLOOKUP(Table1820[[#This Row],[Yearly Miles]],Table4[Yearly Miles],Table4[Yearly Miles Factor],,0)</f>
        <v>1</v>
      </c>
      <c r="AE876">
        <f>_xlfn.XLOOKUP(Table1820[[#This Row],[City/Zip Code]],Table5[City/Zip Code],Table5[City/Zip Code Factor],,0)</f>
        <v>1.0900000000000001</v>
      </c>
      <c r="AF876">
        <f>_xlfn.XLOOKUP(Table1820[[#This Row],[Vehicle Price]],Table6[Vehicle Price],Table6[Vehicle Price Factor])</f>
        <v>0.97</v>
      </c>
      <c r="AG876">
        <f>_xlfn.XLOOKUP(Table1820[[#This Row],[Exotic Car]],Table7[Exotic Car],Table7[Exotic Car Factor],,0)</f>
        <v>1</v>
      </c>
      <c r="AH876">
        <f>_xlfn.XLOOKUP(Table1820[[#This Row],[Difficult Parts]],Table8[Difficult Parts],Table8[Difficult Parts Factor],,0)</f>
        <v>1</v>
      </c>
      <c r="AI876">
        <f>_xlfn.XLOOKUP(Table1820[[#This Row],[High Theft Rate]],Table9[High Theft Rate],Table9[High Theft Rate Factor],,0)</f>
        <v>1</v>
      </c>
      <c r="AJ876">
        <f>_xlfn.XLOOKUP(Table1820[[#This Row],[Advanced Safety Features]],Table10[Advanced Safety Features],Table10[Advanced Safety Features Factor],,0)</f>
        <v>0.88</v>
      </c>
      <c r="AK876">
        <f>_xlfn.XLOOKUP(Table1820[[#This Row],[Deductible]],Table12[Deductible],Table12[Deductible Factor],,0)</f>
        <v>1</v>
      </c>
      <c r="AL876">
        <f>_xlfn.XLOOKUP(Table1820[[#This Row],[Coverage Limit]],Table13[Coverage Limit],Table13[Coverage Limit Factor],,0)</f>
        <v>0.61</v>
      </c>
      <c r="AM876">
        <f>IF(Table1820[[#This Row],[Good Student Discount]]="Yes",'Rate Book'!$D$126,1)</f>
        <v>0.92</v>
      </c>
      <c r="AN876">
        <f>IF(Table1820[[#This Row],[Good Driver Discount]]="Yes",'Rate Book'!$D$127,1)</f>
        <v>1</v>
      </c>
      <c r="AO876">
        <f>IF(Table1820[[#This Row],[Multi Policy Discount]]="Yes",'Rate Book'!$D$128,1)</f>
        <v>1</v>
      </c>
      <c r="AP876">
        <f>IF(Table1820[[#This Row],[Loyal Customer Discount]]="Yes",'Rate Book'!$D$129,1)</f>
        <v>1</v>
      </c>
      <c r="AQ876">
        <f>IF(Table1820[[#This Row],[Organization Discount]]="Yes",'Rate Book'!$D$130,1)</f>
        <v>0.97</v>
      </c>
      <c r="AR876" cm="1">
        <f t="array" ref="AR876">IF(Table1820[[#This Row],[Effective Date]]&gt;=RateChangeTable[Effective Date],RateChangeTable[Rate Change Factor],1)</f>
        <v>1</v>
      </c>
      <c r="AS876" s="10">
        <f>PRODUCT(Table1820[[#This Row],[Base Rate]:[Rate Change Factor]])</f>
        <v>483.85631722475642</v>
      </c>
      <c r="AT876" s="9">
        <f>Table1820[[#This Row],[System-Generated Premium]]-Table1820[[#This Row],[Expected Premium]]</f>
        <v>0</v>
      </c>
      <c r="AU876" t="str">
        <f>IF(Table1820[[#This Row],[Difference]]=0,"PASS","FAIL")</f>
        <v>PASS</v>
      </c>
      <c r="AV876" s="9">
        <f>ABS(Table1820[[#This Row],[Difference]])</f>
        <v>0</v>
      </c>
      <c r="AW876" s="9" t="s">
        <v>1136</v>
      </c>
    </row>
    <row r="877" spans="1:49" x14ac:dyDescent="0.3">
      <c r="A877" t="s">
        <v>968</v>
      </c>
      <c r="B877" s="7">
        <v>45810</v>
      </c>
      <c r="C877" t="s">
        <v>71</v>
      </c>
      <c r="D877" t="s">
        <v>1097</v>
      </c>
      <c r="E877" s="3">
        <v>4</v>
      </c>
      <c r="F877" s="3" t="s">
        <v>7</v>
      </c>
      <c r="G877" t="s">
        <v>10</v>
      </c>
      <c r="H877" t="s">
        <v>1110</v>
      </c>
      <c r="I877" t="s">
        <v>26</v>
      </c>
      <c r="J877" t="s">
        <v>53</v>
      </c>
      <c r="K877" t="s">
        <v>57</v>
      </c>
      <c r="L877" t="s">
        <v>10</v>
      </c>
      <c r="M877" t="s">
        <v>10</v>
      </c>
      <c r="N877" t="s">
        <v>10</v>
      </c>
      <c r="O877" t="str">
        <f>INDEX(CoverageTable[Deductible Applies],MATCH(Table1820[[#This Row],[Coverage]],CoverageTable[Coverage],0))</f>
        <v>Yes</v>
      </c>
      <c r="P877" t="str">
        <f>INDEX(CoverageTable[Coverage Limit Applies],MATCH(Table1820[[#This Row],[Coverage]],CoverageTable[Coverage],0))</f>
        <v>No</v>
      </c>
      <c r="Q877" t="s">
        <v>78</v>
      </c>
      <c r="R877" t="s">
        <v>10</v>
      </c>
      <c r="S877" t="s">
        <v>10</v>
      </c>
      <c r="T877" t="s">
        <v>10</v>
      </c>
      <c r="U877" t="s">
        <v>10</v>
      </c>
      <c r="V877" t="s">
        <v>10</v>
      </c>
      <c r="W877" t="s">
        <v>57</v>
      </c>
      <c r="X877" s="11">
        <v>6096.6707480215118</v>
      </c>
      <c r="Y877">
        <f>_xlfn.XLOOKUP(Table1820[[#This Row],[Coverage]],CoverageTable[Coverage],CoverageTable[Base Rate],,0)</f>
        <v>453</v>
      </c>
      <c r="Z877">
        <f>INDEX(Table16[Ageband Factor],MATCH(Table1820[[#This Row],[Ageband]],Table16[Ageband],0))</f>
        <v>1.32</v>
      </c>
      <c r="AA877">
        <f>VLOOKUP(Table1820[[#This Row],[Years Driving]],Table1[],2)</f>
        <v>1.1499999999999999</v>
      </c>
      <c r="AB877">
        <f>_xlfn.XLOOKUP(Table1820[[#This Row],[At Fault Accidents]],Table2[At Fault Accidents],Table2[At Fault Accident Factor],,0)</f>
        <v>2.4700000000000002</v>
      </c>
      <c r="AC877">
        <f>_xlfn.XLOOKUP(Table1820[[#This Row],[Usage-Based Insurance]],Table3[Usage-Based Insurance],Table3[Usage-Based Insurance Discount],,0)</f>
        <v>1</v>
      </c>
      <c r="AD877">
        <f>_xlfn.XLOOKUP(Table1820[[#This Row],[Yearly Miles]],Table4[Yearly Miles],Table4[Yearly Miles Factor],,0)</f>
        <v>1.31</v>
      </c>
      <c r="AE877">
        <f>_xlfn.XLOOKUP(Table1820[[#This Row],[City/Zip Code]],Table5[City/Zip Code],Table5[City/Zip Code Factor],,0)</f>
        <v>1.1499999999999999</v>
      </c>
      <c r="AF877">
        <f>_xlfn.XLOOKUP(Table1820[[#This Row],[Vehicle Price]],Table6[Vehicle Price],Table6[Vehicle Price Factor])</f>
        <v>2.02</v>
      </c>
      <c r="AG877">
        <f>_xlfn.XLOOKUP(Table1820[[#This Row],[Exotic Car]],Table7[Exotic Car],Table7[Exotic Car Factor],,0)</f>
        <v>1.28</v>
      </c>
      <c r="AH877">
        <f>_xlfn.XLOOKUP(Table1820[[#This Row],[Difficult Parts]],Table8[Difficult Parts],Table8[Difficult Parts Factor],,0)</f>
        <v>1</v>
      </c>
      <c r="AI877">
        <f>_xlfn.XLOOKUP(Table1820[[#This Row],[High Theft Rate]],Table9[High Theft Rate],Table9[High Theft Rate Factor],,0)</f>
        <v>1</v>
      </c>
      <c r="AJ877">
        <f>_xlfn.XLOOKUP(Table1820[[#This Row],[Advanced Safety Features]],Table10[Advanced Safety Features],Table10[Advanced Safety Features Factor],,0)</f>
        <v>1</v>
      </c>
      <c r="AK877">
        <f>_xlfn.XLOOKUP(Table1820[[#This Row],[Deductible]],Table12[Deductible],Table12[Deductible Factor],,0)</f>
        <v>0.95</v>
      </c>
      <c r="AL877">
        <f>_xlfn.XLOOKUP(Table1820[[#This Row],[Coverage Limit]],Table13[Coverage Limit],Table13[Coverage Limit Factor],,0)</f>
        <v>1</v>
      </c>
      <c r="AM877">
        <f>IF(Table1820[[#This Row],[Good Student Discount]]="Yes",'Rate Book'!$D$126,1)</f>
        <v>1</v>
      </c>
      <c r="AN877">
        <f>IF(Table1820[[#This Row],[Good Driver Discount]]="Yes",'Rate Book'!$D$127,1)</f>
        <v>1</v>
      </c>
      <c r="AO877">
        <f>IF(Table1820[[#This Row],[Multi Policy Discount]]="Yes",'Rate Book'!$D$128,1)</f>
        <v>1</v>
      </c>
      <c r="AP877">
        <f>IF(Table1820[[#This Row],[Loyal Customer Discount]]="Yes",'Rate Book'!$D$129,1)</f>
        <v>1</v>
      </c>
      <c r="AQ877">
        <f>IF(Table1820[[#This Row],[Organization Discount]]="Yes",'Rate Book'!$D$130,1)</f>
        <v>0.97</v>
      </c>
      <c r="AR877" cm="1">
        <f t="array" ref="AR877">IF(Table1820[[#This Row],[Effective Date]]&gt;=RateChangeTable[Effective Date],RateChangeTable[Rate Change Factor],1)</f>
        <v>1</v>
      </c>
      <c r="AS877" s="10">
        <f>PRODUCT(Table1820[[#This Row],[Base Rate]:[Rate Change Factor]])</f>
        <v>6096.6707480215118</v>
      </c>
      <c r="AT877" s="9">
        <f>Table1820[[#This Row],[System-Generated Premium]]-Table1820[[#This Row],[Expected Premium]]</f>
        <v>0</v>
      </c>
      <c r="AU877" t="str">
        <f>IF(Table1820[[#This Row],[Difference]]=0,"PASS","FAIL")</f>
        <v>PASS</v>
      </c>
      <c r="AV877" s="9">
        <f>ABS(Table1820[[#This Row],[Difference]])</f>
        <v>0</v>
      </c>
      <c r="AW877" s="9" t="s">
        <v>1136</v>
      </c>
    </row>
    <row r="878" spans="1:49" x14ac:dyDescent="0.3">
      <c r="A878" t="s">
        <v>969</v>
      </c>
      <c r="B878" s="7">
        <v>45922</v>
      </c>
      <c r="C878" t="s">
        <v>73</v>
      </c>
      <c r="D878" t="s">
        <v>1101</v>
      </c>
      <c r="E878" s="3">
        <v>7</v>
      </c>
      <c r="F878" s="3" t="s">
        <v>7</v>
      </c>
      <c r="G878" t="s">
        <v>10</v>
      </c>
      <c r="H878" t="s">
        <v>1110</v>
      </c>
      <c r="I878" t="s">
        <v>23</v>
      </c>
      <c r="J878" t="s">
        <v>51</v>
      </c>
      <c r="K878" t="s">
        <v>10</v>
      </c>
      <c r="L878" t="s">
        <v>10</v>
      </c>
      <c r="M878" t="s">
        <v>10</v>
      </c>
      <c r="N878" t="s">
        <v>57</v>
      </c>
      <c r="O878" t="str">
        <f>INDEX(CoverageTable[Deductible Applies],MATCH(Table1820[[#This Row],[Coverage]],CoverageTable[Coverage],0))</f>
        <v>No</v>
      </c>
      <c r="P878" t="str">
        <f>INDEX(CoverageTable[Coverage Limit Applies],MATCH(Table1820[[#This Row],[Coverage]],CoverageTable[Coverage],0))</f>
        <v>Yes</v>
      </c>
      <c r="Q878" t="s">
        <v>10</v>
      </c>
      <c r="R878" t="s">
        <v>80</v>
      </c>
      <c r="S878" t="s">
        <v>10</v>
      </c>
      <c r="T878" t="s">
        <v>10</v>
      </c>
      <c r="U878" t="s">
        <v>57</v>
      </c>
      <c r="V878" t="s">
        <v>10</v>
      </c>
      <c r="W878" t="s">
        <v>10</v>
      </c>
      <c r="X878" s="11">
        <v>217.39381468359826</v>
      </c>
      <c r="Y878">
        <f>_xlfn.XLOOKUP(Table1820[[#This Row],[Coverage]],CoverageTable[Coverage],CoverageTable[Base Rate],,0)</f>
        <v>78</v>
      </c>
      <c r="Z878">
        <f>INDEX(Table16[Ageband Factor],MATCH(Table1820[[#This Row],[Ageband]],Table16[Ageband],0))</f>
        <v>1.1200000000000001</v>
      </c>
      <c r="AA878">
        <f>VLOOKUP(Table1820[[#This Row],[Years Driving]],Table1[],2)</f>
        <v>0.95</v>
      </c>
      <c r="AB878">
        <f>_xlfn.XLOOKUP(Table1820[[#This Row],[At Fault Accidents]],Table2[At Fault Accidents],Table2[At Fault Accident Factor],,0)</f>
        <v>2.4700000000000002</v>
      </c>
      <c r="AC878">
        <f>_xlfn.XLOOKUP(Table1820[[#This Row],[Usage-Based Insurance]],Table3[Usage-Based Insurance],Table3[Usage-Based Insurance Discount],,0)</f>
        <v>1</v>
      </c>
      <c r="AD878">
        <f>_xlfn.XLOOKUP(Table1820[[#This Row],[Yearly Miles]],Table4[Yearly Miles],Table4[Yearly Miles Factor],,0)</f>
        <v>1.31</v>
      </c>
      <c r="AE878">
        <f>_xlfn.XLOOKUP(Table1820[[#This Row],[City/Zip Code]],Table5[City/Zip Code],Table5[City/Zip Code Factor],,0)</f>
        <v>0.92</v>
      </c>
      <c r="AF878">
        <f>_xlfn.XLOOKUP(Table1820[[#This Row],[Vehicle Price]],Table6[Vehicle Price],Table6[Vehicle Price Factor])</f>
        <v>1.28</v>
      </c>
      <c r="AG878">
        <f>_xlfn.XLOOKUP(Table1820[[#This Row],[Exotic Car]],Table7[Exotic Car],Table7[Exotic Car Factor],,0)</f>
        <v>1</v>
      </c>
      <c r="AH878">
        <f>_xlfn.XLOOKUP(Table1820[[#This Row],[Difficult Parts]],Table8[Difficult Parts],Table8[Difficult Parts Factor],,0)</f>
        <v>1</v>
      </c>
      <c r="AI878">
        <f>_xlfn.XLOOKUP(Table1820[[#This Row],[High Theft Rate]],Table9[High Theft Rate],Table9[High Theft Rate Factor],,0)</f>
        <v>1</v>
      </c>
      <c r="AJ878">
        <f>_xlfn.XLOOKUP(Table1820[[#This Row],[Advanced Safety Features]],Table10[Advanced Safety Features],Table10[Advanced Safety Features Factor],,0)</f>
        <v>0.88</v>
      </c>
      <c r="AK878">
        <f>_xlfn.XLOOKUP(Table1820[[#This Row],[Deductible]],Table12[Deductible],Table12[Deductible Factor],,0)</f>
        <v>1</v>
      </c>
      <c r="AL878">
        <f>_xlfn.XLOOKUP(Table1820[[#This Row],[Coverage Limit]],Table13[Coverage Limit],Table13[Coverage Limit Factor],,0)</f>
        <v>0.84</v>
      </c>
      <c r="AM878">
        <f>IF(Table1820[[#This Row],[Good Student Discount]]="Yes",'Rate Book'!$D$126,1)</f>
        <v>1</v>
      </c>
      <c r="AN878">
        <f>IF(Table1820[[#This Row],[Good Driver Discount]]="Yes",'Rate Book'!$D$127,1)</f>
        <v>1</v>
      </c>
      <c r="AO878">
        <f>IF(Table1820[[#This Row],[Multi Policy Discount]]="Yes",'Rate Book'!$D$128,1)</f>
        <v>0.93</v>
      </c>
      <c r="AP878">
        <f>IF(Table1820[[#This Row],[Loyal Customer Discount]]="Yes",'Rate Book'!$D$129,1)</f>
        <v>1</v>
      </c>
      <c r="AQ878">
        <f>IF(Table1820[[#This Row],[Organization Discount]]="Yes",'Rate Book'!$D$130,1)</f>
        <v>1</v>
      </c>
      <c r="AR878" cm="1">
        <f t="array" ref="AR878">IF(Table1820[[#This Row],[Effective Date]]&gt;=RateChangeTable[Effective Date],RateChangeTable[Rate Change Factor],1)</f>
        <v>1</v>
      </c>
      <c r="AS878" s="10">
        <f>PRODUCT(Table1820[[#This Row],[Base Rate]:[Rate Change Factor]])</f>
        <v>217.39381468359826</v>
      </c>
      <c r="AT878" s="9">
        <f>Table1820[[#This Row],[System-Generated Premium]]-Table1820[[#This Row],[Expected Premium]]</f>
        <v>0</v>
      </c>
      <c r="AU878" t="str">
        <f>IF(Table1820[[#This Row],[Difference]]=0,"PASS","FAIL")</f>
        <v>PASS</v>
      </c>
      <c r="AV878" s="9">
        <f>ABS(Table1820[[#This Row],[Difference]])</f>
        <v>0</v>
      </c>
      <c r="AW878" s="9" t="s">
        <v>1136</v>
      </c>
    </row>
    <row r="879" spans="1:49" x14ac:dyDescent="0.3">
      <c r="A879" t="s">
        <v>970</v>
      </c>
      <c r="B879" s="7">
        <v>45848</v>
      </c>
      <c r="C879" t="s">
        <v>70</v>
      </c>
      <c r="D879" t="s">
        <v>1098</v>
      </c>
      <c r="E879" s="3">
        <v>4</v>
      </c>
      <c r="F879" s="3">
        <v>0</v>
      </c>
      <c r="G879" t="s">
        <v>10</v>
      </c>
      <c r="H879" t="s">
        <v>1108</v>
      </c>
      <c r="I879" t="s">
        <v>35</v>
      </c>
      <c r="J879" t="s">
        <v>48</v>
      </c>
      <c r="K879" t="s">
        <v>10</v>
      </c>
      <c r="L879" t="s">
        <v>10</v>
      </c>
      <c r="M879" t="s">
        <v>10</v>
      </c>
      <c r="N879" t="s">
        <v>10</v>
      </c>
      <c r="O879" t="str">
        <f>INDEX(CoverageTable[Deductible Applies],MATCH(Table1820[[#This Row],[Coverage]],CoverageTable[Coverage],0))</f>
        <v>No</v>
      </c>
      <c r="P879" t="str">
        <f>INDEX(CoverageTable[Coverage Limit Applies],MATCH(Table1820[[#This Row],[Coverage]],CoverageTable[Coverage],0))</f>
        <v>Yes</v>
      </c>
      <c r="Q879" t="s">
        <v>10</v>
      </c>
      <c r="R879" t="s">
        <v>80</v>
      </c>
      <c r="S879" t="s">
        <v>10</v>
      </c>
      <c r="T879" t="s">
        <v>10</v>
      </c>
      <c r="U879" t="s">
        <v>57</v>
      </c>
      <c r="V879" t="s">
        <v>10</v>
      </c>
      <c r="W879" t="s">
        <v>10</v>
      </c>
      <c r="X879" s="11">
        <v>631.22973121151983</v>
      </c>
      <c r="Y879">
        <f>_xlfn.XLOOKUP(Table1820[[#This Row],[Coverage]],CoverageTable[Coverage],CoverageTable[Base Rate],,0)</f>
        <v>622</v>
      </c>
      <c r="Z879">
        <f>INDEX(Table16[Ageband Factor],MATCH(Table1820[[#This Row],[Ageband]],Table16[Ageband],0))</f>
        <v>1.23</v>
      </c>
      <c r="AA879">
        <f>VLOOKUP(Table1820[[#This Row],[Years Driving]],Table1[],2)</f>
        <v>1.1499999999999999</v>
      </c>
      <c r="AB879">
        <f>_xlfn.XLOOKUP(Table1820[[#This Row],[At Fault Accidents]],Table2[At Fault Accidents],Table2[At Fault Accident Factor],,0)</f>
        <v>1</v>
      </c>
      <c r="AC879">
        <f>_xlfn.XLOOKUP(Table1820[[#This Row],[Usage-Based Insurance]],Table3[Usage-Based Insurance],Table3[Usage-Based Insurance Discount],,0)</f>
        <v>1</v>
      </c>
      <c r="AD879">
        <f>_xlfn.XLOOKUP(Table1820[[#This Row],[Yearly Miles]],Table4[Yearly Miles],Table4[Yearly Miles Factor],,0)</f>
        <v>1</v>
      </c>
      <c r="AE879">
        <f>_xlfn.XLOOKUP(Table1820[[#This Row],[City/Zip Code]],Table5[City/Zip Code],Table5[City/Zip Code Factor],,0)</f>
        <v>1.1200000000000001</v>
      </c>
      <c r="AF879">
        <f>_xlfn.XLOOKUP(Table1820[[#This Row],[Vehicle Price]],Table6[Vehicle Price],Table6[Vehicle Price Factor])</f>
        <v>0.82</v>
      </c>
      <c r="AG879">
        <f>_xlfn.XLOOKUP(Table1820[[#This Row],[Exotic Car]],Table7[Exotic Car],Table7[Exotic Car Factor],,0)</f>
        <v>1</v>
      </c>
      <c r="AH879">
        <f>_xlfn.XLOOKUP(Table1820[[#This Row],[Difficult Parts]],Table8[Difficult Parts],Table8[Difficult Parts Factor],,0)</f>
        <v>1</v>
      </c>
      <c r="AI879">
        <f>_xlfn.XLOOKUP(Table1820[[#This Row],[High Theft Rate]],Table9[High Theft Rate],Table9[High Theft Rate Factor],,0)</f>
        <v>1</v>
      </c>
      <c r="AJ879">
        <f>_xlfn.XLOOKUP(Table1820[[#This Row],[Advanced Safety Features]],Table10[Advanced Safety Features],Table10[Advanced Safety Features Factor],,0)</f>
        <v>1</v>
      </c>
      <c r="AK879">
        <f>_xlfn.XLOOKUP(Table1820[[#This Row],[Deductible]],Table12[Deductible],Table12[Deductible Factor],,0)</f>
        <v>1</v>
      </c>
      <c r="AL879">
        <f>_xlfn.XLOOKUP(Table1820[[#This Row],[Coverage Limit]],Table13[Coverage Limit],Table13[Coverage Limit Factor],,0)</f>
        <v>0.84</v>
      </c>
      <c r="AM879">
        <f>IF(Table1820[[#This Row],[Good Student Discount]]="Yes",'Rate Book'!$D$126,1)</f>
        <v>1</v>
      </c>
      <c r="AN879">
        <f>IF(Table1820[[#This Row],[Good Driver Discount]]="Yes",'Rate Book'!$D$127,1)</f>
        <v>1</v>
      </c>
      <c r="AO879">
        <f>IF(Table1820[[#This Row],[Multi Policy Discount]]="Yes",'Rate Book'!$D$128,1)</f>
        <v>0.93</v>
      </c>
      <c r="AP879">
        <f>IF(Table1820[[#This Row],[Loyal Customer Discount]]="Yes",'Rate Book'!$D$129,1)</f>
        <v>1</v>
      </c>
      <c r="AQ879">
        <f>IF(Table1820[[#This Row],[Organization Discount]]="Yes",'Rate Book'!$D$130,1)</f>
        <v>1</v>
      </c>
      <c r="AR879" cm="1">
        <f t="array" ref="AR879">IF(Table1820[[#This Row],[Effective Date]]&gt;=RateChangeTable[Effective Date],RateChangeTable[Rate Change Factor],1)</f>
        <v>1</v>
      </c>
      <c r="AS879" s="10">
        <f>PRODUCT(Table1820[[#This Row],[Base Rate]:[Rate Change Factor]])</f>
        <v>631.22973121151983</v>
      </c>
      <c r="AT879" s="9">
        <f>Table1820[[#This Row],[System-Generated Premium]]-Table1820[[#This Row],[Expected Premium]]</f>
        <v>0</v>
      </c>
      <c r="AU879" t="str">
        <f>IF(Table1820[[#This Row],[Difference]]=0,"PASS","FAIL")</f>
        <v>PASS</v>
      </c>
      <c r="AV879" s="9">
        <f>ABS(Table1820[[#This Row],[Difference]])</f>
        <v>0</v>
      </c>
      <c r="AW879" s="9" t="s">
        <v>1136</v>
      </c>
    </row>
    <row r="880" spans="1:49" x14ac:dyDescent="0.3">
      <c r="A880" t="s">
        <v>971</v>
      </c>
      <c r="B880" s="7">
        <v>45821</v>
      </c>
      <c r="C880" t="s">
        <v>70</v>
      </c>
      <c r="D880" t="s">
        <v>1098</v>
      </c>
      <c r="E880" s="3">
        <v>7</v>
      </c>
      <c r="F880" s="3">
        <v>0</v>
      </c>
      <c r="G880" t="s">
        <v>11</v>
      </c>
      <c r="H880" t="s">
        <v>1107</v>
      </c>
      <c r="I880" t="s">
        <v>34</v>
      </c>
      <c r="J880" t="s">
        <v>51</v>
      </c>
      <c r="K880" t="s">
        <v>10</v>
      </c>
      <c r="L880" t="s">
        <v>10</v>
      </c>
      <c r="M880" t="s">
        <v>57</v>
      </c>
      <c r="N880" t="s">
        <v>10</v>
      </c>
      <c r="O880" t="str">
        <f>INDEX(CoverageTable[Deductible Applies],MATCH(Table1820[[#This Row],[Coverage]],CoverageTable[Coverage],0))</f>
        <v>No</v>
      </c>
      <c r="P880" t="str">
        <f>INDEX(CoverageTable[Coverage Limit Applies],MATCH(Table1820[[#This Row],[Coverage]],CoverageTable[Coverage],0))</f>
        <v>Yes</v>
      </c>
      <c r="Q880" t="s">
        <v>10</v>
      </c>
      <c r="R880" t="s">
        <v>80</v>
      </c>
      <c r="S880" t="s">
        <v>10</v>
      </c>
      <c r="T880" t="s">
        <v>10</v>
      </c>
      <c r="U880" t="s">
        <v>10</v>
      </c>
      <c r="V880" t="s">
        <v>10</v>
      </c>
      <c r="W880" t="s">
        <v>10</v>
      </c>
      <c r="X880" s="11">
        <v>1249.3884838592101</v>
      </c>
      <c r="Y880">
        <f>_xlfn.XLOOKUP(Table1820[[#This Row],[Coverage]],CoverageTable[Coverage],CoverageTable[Base Rate],,0)</f>
        <v>622</v>
      </c>
      <c r="Z880">
        <f>INDEX(Table16[Ageband Factor],MATCH(Table1820[[#This Row],[Ageband]],Table16[Ageband],0))</f>
        <v>1.23</v>
      </c>
      <c r="AA880">
        <f>VLOOKUP(Table1820[[#This Row],[Years Driving]],Table1[],2)</f>
        <v>0.95</v>
      </c>
      <c r="AB880">
        <f>_xlfn.XLOOKUP(Table1820[[#This Row],[At Fault Accidents]],Table2[At Fault Accidents],Table2[At Fault Accident Factor],,0)</f>
        <v>1</v>
      </c>
      <c r="AC880">
        <f>_xlfn.XLOOKUP(Table1820[[#This Row],[Usage-Based Insurance]],Table3[Usage-Based Insurance],Table3[Usage-Based Insurance Discount],,0)</f>
        <v>0.95</v>
      </c>
      <c r="AD880">
        <f>_xlfn.XLOOKUP(Table1820[[#This Row],[Yearly Miles]],Table4[Yearly Miles],Table4[Yearly Miles Factor],,0)</f>
        <v>0.93</v>
      </c>
      <c r="AE880">
        <f>_xlfn.XLOOKUP(Table1820[[#This Row],[City/Zip Code]],Table5[City/Zip Code],Table5[City/Zip Code Factor],,0)</f>
        <v>1.56</v>
      </c>
      <c r="AF880">
        <f>_xlfn.XLOOKUP(Table1820[[#This Row],[Vehicle Price]],Table6[Vehicle Price],Table6[Vehicle Price Factor])</f>
        <v>1.28</v>
      </c>
      <c r="AG880">
        <f>_xlfn.XLOOKUP(Table1820[[#This Row],[Exotic Car]],Table7[Exotic Car],Table7[Exotic Car Factor],,0)</f>
        <v>1</v>
      </c>
      <c r="AH880">
        <f>_xlfn.XLOOKUP(Table1820[[#This Row],[Difficult Parts]],Table8[Difficult Parts],Table8[Difficult Parts Factor],,0)</f>
        <v>1</v>
      </c>
      <c r="AI880">
        <f>_xlfn.XLOOKUP(Table1820[[#This Row],[High Theft Rate]],Table9[High Theft Rate],Table9[High Theft Rate Factor],,0)</f>
        <v>1.1599999999999999</v>
      </c>
      <c r="AJ880">
        <f>_xlfn.XLOOKUP(Table1820[[#This Row],[Advanced Safety Features]],Table10[Advanced Safety Features],Table10[Advanced Safety Features Factor],,0)</f>
        <v>1</v>
      </c>
      <c r="AK880">
        <f>_xlfn.XLOOKUP(Table1820[[#This Row],[Deductible]],Table12[Deductible],Table12[Deductible Factor],,0)</f>
        <v>1</v>
      </c>
      <c r="AL880">
        <f>_xlfn.XLOOKUP(Table1820[[#This Row],[Coverage Limit]],Table13[Coverage Limit],Table13[Coverage Limit Factor],,0)</f>
        <v>0.84</v>
      </c>
      <c r="AM880">
        <f>IF(Table1820[[#This Row],[Good Student Discount]]="Yes",'Rate Book'!$D$126,1)</f>
        <v>1</v>
      </c>
      <c r="AN880">
        <f>IF(Table1820[[#This Row],[Good Driver Discount]]="Yes",'Rate Book'!$D$127,1)</f>
        <v>1</v>
      </c>
      <c r="AO880">
        <f>IF(Table1820[[#This Row],[Multi Policy Discount]]="Yes",'Rate Book'!$D$128,1)</f>
        <v>1</v>
      </c>
      <c r="AP880">
        <f>IF(Table1820[[#This Row],[Loyal Customer Discount]]="Yes",'Rate Book'!$D$129,1)</f>
        <v>1</v>
      </c>
      <c r="AQ880">
        <f>IF(Table1820[[#This Row],[Organization Discount]]="Yes",'Rate Book'!$D$130,1)</f>
        <v>1</v>
      </c>
      <c r="AR880" cm="1">
        <f t="array" ref="AR880">IF(Table1820[[#This Row],[Effective Date]]&gt;=RateChangeTable[Effective Date],RateChangeTable[Rate Change Factor],1)</f>
        <v>1</v>
      </c>
      <c r="AS880" s="10">
        <f>PRODUCT(Table1820[[#This Row],[Base Rate]:[Rate Change Factor]])</f>
        <v>1249.3884838592101</v>
      </c>
      <c r="AT880" s="9">
        <f>Table1820[[#This Row],[System-Generated Premium]]-Table1820[[#This Row],[Expected Premium]]</f>
        <v>0</v>
      </c>
      <c r="AU880" t="str">
        <f>IF(Table1820[[#This Row],[Difference]]=0,"PASS","FAIL")</f>
        <v>PASS</v>
      </c>
      <c r="AV880" s="9">
        <f>ABS(Table1820[[#This Row],[Difference]])</f>
        <v>0</v>
      </c>
      <c r="AW880" s="9" t="s">
        <v>1136</v>
      </c>
    </row>
    <row r="881" spans="1:49" x14ac:dyDescent="0.3">
      <c r="A881" t="s">
        <v>972</v>
      </c>
      <c r="B881" s="7">
        <v>46068</v>
      </c>
      <c r="C881" t="s">
        <v>71</v>
      </c>
      <c r="D881" t="s">
        <v>1101</v>
      </c>
      <c r="E881" s="3">
        <v>4</v>
      </c>
      <c r="F881" s="3">
        <v>2</v>
      </c>
      <c r="G881" t="s">
        <v>13</v>
      </c>
      <c r="H881" t="s">
        <v>1109</v>
      </c>
      <c r="I881" t="s">
        <v>42</v>
      </c>
      <c r="J881" t="s">
        <v>54</v>
      </c>
      <c r="K881" t="s">
        <v>10</v>
      </c>
      <c r="L881" t="s">
        <v>10</v>
      </c>
      <c r="M881" t="s">
        <v>10</v>
      </c>
      <c r="N881" t="s">
        <v>10</v>
      </c>
      <c r="O881" t="str">
        <f>INDEX(CoverageTable[Deductible Applies],MATCH(Table1820[[#This Row],[Coverage]],CoverageTable[Coverage],0))</f>
        <v>Yes</v>
      </c>
      <c r="P881" t="str">
        <f>INDEX(CoverageTable[Coverage Limit Applies],MATCH(Table1820[[#This Row],[Coverage]],CoverageTable[Coverage],0))</f>
        <v>No</v>
      </c>
      <c r="Q881" t="s">
        <v>79</v>
      </c>
      <c r="R881" t="s">
        <v>10</v>
      </c>
      <c r="S881" t="s">
        <v>10</v>
      </c>
      <c r="T881" t="s">
        <v>10</v>
      </c>
      <c r="U881" t="s">
        <v>10</v>
      </c>
      <c r="V881" t="s">
        <v>10</v>
      </c>
      <c r="W881" t="s">
        <v>10</v>
      </c>
      <c r="X881" s="11">
        <v>2144.8333088291233</v>
      </c>
      <c r="Y881">
        <f>_xlfn.XLOOKUP(Table1820[[#This Row],[Coverage]],CoverageTable[Coverage],CoverageTable[Base Rate],,0)</f>
        <v>453</v>
      </c>
      <c r="Z881">
        <f>INDEX(Table16[Ageband Factor],MATCH(Table1820[[#This Row],[Ageband]],Table16[Ageband],0))</f>
        <v>1.1200000000000001</v>
      </c>
      <c r="AA881">
        <f>VLOOKUP(Table1820[[#This Row],[Years Driving]],Table1[],2)</f>
        <v>1.1499999999999999</v>
      </c>
      <c r="AB881">
        <f>_xlfn.XLOOKUP(Table1820[[#This Row],[At Fault Accidents]],Table2[At Fault Accidents],Table2[At Fault Accident Factor],,0)</f>
        <v>1.55</v>
      </c>
      <c r="AC881">
        <f>_xlfn.XLOOKUP(Table1820[[#This Row],[Usage-Based Insurance]],Table3[Usage-Based Insurance],Table3[Usage-Based Insurance Discount],,0)</f>
        <v>0.65</v>
      </c>
      <c r="AD881">
        <f>_xlfn.XLOOKUP(Table1820[[#This Row],[Yearly Miles]],Table4[Yearly Miles],Table4[Yearly Miles Factor],,0)</f>
        <v>1.18</v>
      </c>
      <c r="AE881">
        <f>_xlfn.XLOOKUP(Table1820[[#This Row],[City/Zip Code]],Table5[City/Zip Code],Table5[City/Zip Code Factor],,0)</f>
        <v>1.21</v>
      </c>
      <c r="AF881">
        <f>_xlfn.XLOOKUP(Table1820[[#This Row],[Vehicle Price]],Table6[Vehicle Price],Table6[Vehicle Price Factor])</f>
        <v>2.87</v>
      </c>
      <c r="AG881">
        <f>_xlfn.XLOOKUP(Table1820[[#This Row],[Exotic Car]],Table7[Exotic Car],Table7[Exotic Car Factor],,0)</f>
        <v>1</v>
      </c>
      <c r="AH881">
        <f>_xlfn.XLOOKUP(Table1820[[#This Row],[Difficult Parts]],Table8[Difficult Parts],Table8[Difficult Parts Factor],,0)</f>
        <v>1</v>
      </c>
      <c r="AI881">
        <f>_xlfn.XLOOKUP(Table1820[[#This Row],[High Theft Rate]],Table9[High Theft Rate],Table9[High Theft Rate Factor],,0)</f>
        <v>1</v>
      </c>
      <c r="AJ881">
        <f>_xlfn.XLOOKUP(Table1820[[#This Row],[Advanced Safety Features]],Table10[Advanced Safety Features],Table10[Advanced Safety Features Factor],,0)</f>
        <v>1</v>
      </c>
      <c r="AK881">
        <f>_xlfn.XLOOKUP(Table1820[[#This Row],[Deductible]],Table12[Deductible],Table12[Deductible Factor],,0)</f>
        <v>0.84</v>
      </c>
      <c r="AL881">
        <f>_xlfn.XLOOKUP(Table1820[[#This Row],[Coverage Limit]],Table13[Coverage Limit],Table13[Coverage Limit Factor],,0)</f>
        <v>1</v>
      </c>
      <c r="AM881">
        <f>IF(Table1820[[#This Row],[Good Student Discount]]="Yes",'Rate Book'!$D$126,1)</f>
        <v>1</v>
      </c>
      <c r="AN881">
        <f>IF(Table1820[[#This Row],[Good Driver Discount]]="Yes",'Rate Book'!$D$127,1)</f>
        <v>1</v>
      </c>
      <c r="AO881">
        <f>IF(Table1820[[#This Row],[Multi Policy Discount]]="Yes",'Rate Book'!$D$128,1)</f>
        <v>1</v>
      </c>
      <c r="AP881">
        <f>IF(Table1820[[#This Row],[Loyal Customer Discount]]="Yes",'Rate Book'!$D$129,1)</f>
        <v>1</v>
      </c>
      <c r="AQ881">
        <f>IF(Table1820[[#This Row],[Organization Discount]]="Yes",'Rate Book'!$D$130,1)</f>
        <v>1</v>
      </c>
      <c r="AR881" cm="1">
        <f t="array" ref="AR881">IF(Table1820[[#This Row],[Effective Date]]&gt;=RateChangeTable[Effective Date],RateChangeTable[Rate Change Factor],1)</f>
        <v>1.06</v>
      </c>
      <c r="AS881" s="10">
        <f>PRODUCT(Table1820[[#This Row],[Base Rate]:[Rate Change Factor]])</f>
        <v>2144.8333088291233</v>
      </c>
      <c r="AT881" s="9">
        <f>Table1820[[#This Row],[System-Generated Premium]]-Table1820[[#This Row],[Expected Premium]]</f>
        <v>0</v>
      </c>
      <c r="AU881" t="str">
        <f>IF(Table1820[[#This Row],[Difference]]=0,"PASS","FAIL")</f>
        <v>PASS</v>
      </c>
      <c r="AV881" s="9">
        <f>ABS(Table1820[[#This Row],[Difference]])</f>
        <v>0</v>
      </c>
      <c r="AW881" s="9" t="s">
        <v>1136</v>
      </c>
    </row>
    <row r="882" spans="1:49" x14ac:dyDescent="0.3">
      <c r="A882" t="s">
        <v>973</v>
      </c>
      <c r="B882" s="7">
        <v>45988</v>
      </c>
      <c r="C882" t="s">
        <v>70</v>
      </c>
      <c r="D882" t="s">
        <v>1101</v>
      </c>
      <c r="E882" s="3">
        <v>1</v>
      </c>
      <c r="F882" s="3">
        <v>4</v>
      </c>
      <c r="G882" t="s">
        <v>11</v>
      </c>
      <c r="H882" t="s">
        <v>1109</v>
      </c>
      <c r="I882" t="s">
        <v>36</v>
      </c>
      <c r="J882" t="s">
        <v>50</v>
      </c>
      <c r="K882" t="s">
        <v>10</v>
      </c>
      <c r="L882" t="s">
        <v>57</v>
      </c>
      <c r="M882" t="s">
        <v>10</v>
      </c>
      <c r="N882" t="s">
        <v>10</v>
      </c>
      <c r="O882" t="str">
        <f>INDEX(CoverageTable[Deductible Applies],MATCH(Table1820[[#This Row],[Coverage]],CoverageTable[Coverage],0))</f>
        <v>No</v>
      </c>
      <c r="P882" t="str">
        <f>INDEX(CoverageTable[Coverage Limit Applies],MATCH(Table1820[[#This Row],[Coverage]],CoverageTable[Coverage],0))</f>
        <v>Yes</v>
      </c>
      <c r="Q882" t="s">
        <v>10</v>
      </c>
      <c r="R882" t="s">
        <v>80</v>
      </c>
      <c r="S882" t="s">
        <v>10</v>
      </c>
      <c r="T882" t="s">
        <v>10</v>
      </c>
      <c r="U882" t="s">
        <v>57</v>
      </c>
      <c r="V882" t="s">
        <v>57</v>
      </c>
      <c r="W882" t="s">
        <v>10</v>
      </c>
      <c r="X882" s="11">
        <v>2553.4009677376125</v>
      </c>
      <c r="Y882">
        <f>_xlfn.XLOOKUP(Table1820[[#This Row],[Coverage]],CoverageTable[Coverage],CoverageTable[Base Rate],,0)</f>
        <v>622</v>
      </c>
      <c r="Z882">
        <f>INDEX(Table16[Ageband Factor],MATCH(Table1820[[#This Row],[Ageband]],Table16[Ageband],0))</f>
        <v>1.1200000000000001</v>
      </c>
      <c r="AA882">
        <f>VLOOKUP(Table1820[[#This Row],[Years Driving]],Table1[],2)</f>
        <v>1.64</v>
      </c>
      <c r="AB882">
        <f>_xlfn.XLOOKUP(Table1820[[#This Row],[At Fault Accidents]],Table2[At Fault Accidents],Table2[At Fault Accident Factor],,0)</f>
        <v>2.12</v>
      </c>
      <c r="AC882">
        <f>_xlfn.XLOOKUP(Table1820[[#This Row],[Usage-Based Insurance]],Table3[Usage-Based Insurance],Table3[Usage-Based Insurance Discount],,0)</f>
        <v>0.95</v>
      </c>
      <c r="AD882">
        <f>_xlfn.XLOOKUP(Table1820[[#This Row],[Yearly Miles]],Table4[Yearly Miles],Table4[Yearly Miles Factor],,0)</f>
        <v>1.18</v>
      </c>
      <c r="AE882">
        <f>_xlfn.XLOOKUP(Table1820[[#This Row],[City/Zip Code]],Table5[City/Zip Code],Table5[City/Zip Code Factor],,0)</f>
        <v>0.98</v>
      </c>
      <c r="AF882">
        <f>_xlfn.XLOOKUP(Table1820[[#This Row],[Vehicle Price]],Table6[Vehicle Price],Table6[Vehicle Price Factor])</f>
        <v>1.08</v>
      </c>
      <c r="AG882">
        <f>_xlfn.XLOOKUP(Table1820[[#This Row],[Exotic Car]],Table7[Exotic Car],Table7[Exotic Car Factor],,0)</f>
        <v>1</v>
      </c>
      <c r="AH882">
        <f>_xlfn.XLOOKUP(Table1820[[#This Row],[Difficult Parts]],Table8[Difficult Parts],Table8[Difficult Parts Factor],,0)</f>
        <v>1.21</v>
      </c>
      <c r="AI882">
        <f>_xlfn.XLOOKUP(Table1820[[#This Row],[High Theft Rate]],Table9[High Theft Rate],Table9[High Theft Rate Factor],,0)</f>
        <v>1</v>
      </c>
      <c r="AJ882">
        <f>_xlfn.XLOOKUP(Table1820[[#This Row],[Advanced Safety Features]],Table10[Advanced Safety Features],Table10[Advanced Safety Features Factor],,0)</f>
        <v>1</v>
      </c>
      <c r="AK882">
        <f>_xlfn.XLOOKUP(Table1820[[#This Row],[Deductible]],Table12[Deductible],Table12[Deductible Factor],,0)</f>
        <v>1</v>
      </c>
      <c r="AL882">
        <f>_xlfn.XLOOKUP(Table1820[[#This Row],[Coverage Limit]],Table13[Coverage Limit],Table13[Coverage Limit Factor],,0)</f>
        <v>0.84</v>
      </c>
      <c r="AM882">
        <f>IF(Table1820[[#This Row],[Good Student Discount]]="Yes",'Rate Book'!$D$126,1)</f>
        <v>1</v>
      </c>
      <c r="AN882">
        <f>IF(Table1820[[#This Row],[Good Driver Discount]]="Yes",'Rate Book'!$D$127,1)</f>
        <v>1</v>
      </c>
      <c r="AO882">
        <f>IF(Table1820[[#This Row],[Multi Policy Discount]]="Yes",'Rate Book'!$D$128,1)</f>
        <v>0.93</v>
      </c>
      <c r="AP882">
        <f>IF(Table1820[[#This Row],[Loyal Customer Discount]]="Yes",'Rate Book'!$D$129,1)</f>
        <v>0.94</v>
      </c>
      <c r="AQ882">
        <f>IF(Table1820[[#This Row],[Organization Discount]]="Yes",'Rate Book'!$D$130,1)</f>
        <v>1</v>
      </c>
      <c r="AR882" cm="1">
        <f t="array" ref="AR882">IF(Table1820[[#This Row],[Effective Date]]&gt;=RateChangeTable[Effective Date],RateChangeTable[Rate Change Factor],1)</f>
        <v>1</v>
      </c>
      <c r="AS882" s="10">
        <f>PRODUCT(Table1820[[#This Row],[Base Rate]:[Rate Change Factor]])</f>
        <v>2553.4009677376125</v>
      </c>
      <c r="AT882" s="9">
        <f>Table1820[[#This Row],[System-Generated Premium]]-Table1820[[#This Row],[Expected Premium]]</f>
        <v>0</v>
      </c>
      <c r="AU882" t="str">
        <f>IF(Table1820[[#This Row],[Difference]]=0,"PASS","FAIL")</f>
        <v>PASS</v>
      </c>
      <c r="AV882" s="9">
        <f>ABS(Table1820[[#This Row],[Difference]])</f>
        <v>0</v>
      </c>
      <c r="AW882" s="9" t="s">
        <v>1136</v>
      </c>
    </row>
    <row r="883" spans="1:49" x14ac:dyDescent="0.3">
      <c r="A883" t="s">
        <v>974</v>
      </c>
      <c r="B883" s="7">
        <v>46123</v>
      </c>
      <c r="C883" t="s">
        <v>70</v>
      </c>
      <c r="D883" t="s">
        <v>1099</v>
      </c>
      <c r="E883" s="3">
        <v>5</v>
      </c>
      <c r="F883" s="3">
        <v>1</v>
      </c>
      <c r="G883" t="s">
        <v>13</v>
      </c>
      <c r="H883" t="s">
        <v>1109</v>
      </c>
      <c r="I883" t="s">
        <v>33</v>
      </c>
      <c r="J883" t="s">
        <v>49</v>
      </c>
      <c r="K883" t="s">
        <v>10</v>
      </c>
      <c r="L883" t="s">
        <v>10</v>
      </c>
      <c r="M883" t="s">
        <v>10</v>
      </c>
      <c r="N883" t="s">
        <v>57</v>
      </c>
      <c r="O883" t="str">
        <f>INDEX(CoverageTable[Deductible Applies],MATCH(Table1820[[#This Row],[Coverage]],CoverageTable[Coverage],0))</f>
        <v>No</v>
      </c>
      <c r="P883" t="str">
        <f>INDEX(CoverageTable[Coverage Limit Applies],MATCH(Table1820[[#This Row],[Coverage]],CoverageTable[Coverage],0))</f>
        <v>Yes</v>
      </c>
      <c r="Q883" t="s">
        <v>10</v>
      </c>
      <c r="R883" t="s">
        <v>79</v>
      </c>
      <c r="S883" t="s">
        <v>10</v>
      </c>
      <c r="T883" t="s">
        <v>10</v>
      </c>
      <c r="U883" t="s">
        <v>10</v>
      </c>
      <c r="V883" t="s">
        <v>10</v>
      </c>
      <c r="W883" t="s">
        <v>10</v>
      </c>
      <c r="X883" s="11">
        <v>454.53493121117685</v>
      </c>
      <c r="Y883">
        <f>_xlfn.XLOOKUP(Table1820[[#This Row],[Coverage]],CoverageTable[Coverage],CoverageTable[Base Rate],,0)</f>
        <v>622</v>
      </c>
      <c r="Z883">
        <f>INDEX(Table16[Ageband Factor],MATCH(Table1820[[#This Row],[Ageband]],Table16[Ageband],0))</f>
        <v>1</v>
      </c>
      <c r="AA883">
        <f>VLOOKUP(Table1820[[#This Row],[Years Driving]],Table1[],2)</f>
        <v>1.07</v>
      </c>
      <c r="AB883">
        <f>_xlfn.XLOOKUP(Table1820[[#This Row],[At Fault Accidents]],Table2[At Fault Accidents],Table2[At Fault Accident Factor],,0)</f>
        <v>1.34</v>
      </c>
      <c r="AC883">
        <f>_xlfn.XLOOKUP(Table1820[[#This Row],[Usage-Based Insurance]],Table3[Usage-Based Insurance],Table3[Usage-Based Insurance Discount],,0)</f>
        <v>0.65</v>
      </c>
      <c r="AD883">
        <f>_xlfn.XLOOKUP(Table1820[[#This Row],[Yearly Miles]],Table4[Yearly Miles],Table4[Yearly Miles Factor],,0)</f>
        <v>1.18</v>
      </c>
      <c r="AE883">
        <f>_xlfn.XLOOKUP(Table1820[[#This Row],[City/Zip Code]],Table5[City/Zip Code],Table5[City/Zip Code Factor],,0)</f>
        <v>1.02</v>
      </c>
      <c r="AF883">
        <f>_xlfn.XLOOKUP(Table1820[[#This Row],[Vehicle Price]],Table6[Vehicle Price],Table6[Vehicle Price Factor])</f>
        <v>0.97</v>
      </c>
      <c r="AG883">
        <f>_xlfn.XLOOKUP(Table1820[[#This Row],[Exotic Car]],Table7[Exotic Car],Table7[Exotic Car Factor],,0)</f>
        <v>1</v>
      </c>
      <c r="AH883">
        <f>_xlfn.XLOOKUP(Table1820[[#This Row],[Difficult Parts]],Table8[Difficult Parts],Table8[Difficult Parts Factor],,0)</f>
        <v>1</v>
      </c>
      <c r="AI883">
        <f>_xlfn.XLOOKUP(Table1820[[#This Row],[High Theft Rate]],Table9[High Theft Rate],Table9[High Theft Rate Factor],,0)</f>
        <v>1</v>
      </c>
      <c r="AJ883">
        <f>_xlfn.XLOOKUP(Table1820[[#This Row],[Advanced Safety Features]],Table10[Advanced Safety Features],Table10[Advanced Safety Features Factor],,0)</f>
        <v>0.88</v>
      </c>
      <c r="AK883">
        <f>_xlfn.XLOOKUP(Table1820[[#This Row],[Deductible]],Table12[Deductible],Table12[Deductible Factor],,0)</f>
        <v>1</v>
      </c>
      <c r="AL883">
        <f>_xlfn.XLOOKUP(Table1820[[#This Row],[Coverage Limit]],Table13[Coverage Limit],Table13[Coverage Limit Factor],,0)</f>
        <v>0.72</v>
      </c>
      <c r="AM883">
        <f>IF(Table1820[[#This Row],[Good Student Discount]]="Yes",'Rate Book'!$D$126,1)</f>
        <v>1</v>
      </c>
      <c r="AN883">
        <f>IF(Table1820[[#This Row],[Good Driver Discount]]="Yes",'Rate Book'!$D$127,1)</f>
        <v>1</v>
      </c>
      <c r="AO883">
        <f>IF(Table1820[[#This Row],[Multi Policy Discount]]="Yes",'Rate Book'!$D$128,1)</f>
        <v>1</v>
      </c>
      <c r="AP883">
        <f>IF(Table1820[[#This Row],[Loyal Customer Discount]]="Yes",'Rate Book'!$D$129,1)</f>
        <v>1</v>
      </c>
      <c r="AQ883">
        <f>IF(Table1820[[#This Row],[Organization Discount]]="Yes",'Rate Book'!$D$130,1)</f>
        <v>1</v>
      </c>
      <c r="AR883" cm="1">
        <f t="array" ref="AR883">IF(Table1820[[#This Row],[Effective Date]]&gt;=RateChangeTable[Effective Date],RateChangeTable[Rate Change Factor],1)</f>
        <v>1.06</v>
      </c>
      <c r="AS883" s="10">
        <f>PRODUCT(Table1820[[#This Row],[Base Rate]:[Rate Change Factor]])</f>
        <v>454.53493121117685</v>
      </c>
      <c r="AT883" s="9">
        <f>Table1820[[#This Row],[System-Generated Premium]]-Table1820[[#This Row],[Expected Premium]]</f>
        <v>0</v>
      </c>
      <c r="AU883" t="str">
        <f>IF(Table1820[[#This Row],[Difference]]=0,"PASS","FAIL")</f>
        <v>PASS</v>
      </c>
      <c r="AV883" s="9">
        <f>ABS(Table1820[[#This Row],[Difference]])</f>
        <v>0</v>
      </c>
      <c r="AW883" s="9" t="s">
        <v>1136</v>
      </c>
    </row>
    <row r="884" spans="1:49" x14ac:dyDescent="0.3">
      <c r="A884" t="s">
        <v>975</v>
      </c>
      <c r="B884" s="7">
        <v>45864</v>
      </c>
      <c r="C884" t="s">
        <v>70</v>
      </c>
      <c r="D884" t="s">
        <v>1099</v>
      </c>
      <c r="E884" s="3">
        <v>4</v>
      </c>
      <c r="F884" s="3" t="s">
        <v>7</v>
      </c>
      <c r="G884" t="s">
        <v>12</v>
      </c>
      <c r="H884" t="s">
        <v>1109</v>
      </c>
      <c r="I884" t="s">
        <v>39</v>
      </c>
      <c r="J884" t="s">
        <v>51</v>
      </c>
      <c r="K884" t="s">
        <v>10</v>
      </c>
      <c r="L884" t="s">
        <v>10</v>
      </c>
      <c r="M884" t="s">
        <v>10</v>
      </c>
      <c r="N884" t="s">
        <v>10</v>
      </c>
      <c r="O884" t="str">
        <f>INDEX(CoverageTable[Deductible Applies],MATCH(Table1820[[#This Row],[Coverage]],CoverageTable[Coverage],0))</f>
        <v>No</v>
      </c>
      <c r="P884" t="str">
        <f>INDEX(CoverageTable[Coverage Limit Applies],MATCH(Table1820[[#This Row],[Coverage]],CoverageTable[Coverage],0))</f>
        <v>Yes</v>
      </c>
      <c r="Q884" t="s">
        <v>10</v>
      </c>
      <c r="R884" t="s">
        <v>78</v>
      </c>
      <c r="S884" t="s">
        <v>10</v>
      </c>
      <c r="T884" t="s">
        <v>10</v>
      </c>
      <c r="U884" t="s">
        <v>10</v>
      </c>
      <c r="V884" t="s">
        <v>10</v>
      </c>
      <c r="W884" t="s">
        <v>10</v>
      </c>
      <c r="X884" s="11">
        <v>1406.4384560578562</v>
      </c>
      <c r="Y884">
        <f>_xlfn.XLOOKUP(Table1820[[#This Row],[Coverage]],CoverageTable[Coverage],CoverageTable[Base Rate],,0)</f>
        <v>622</v>
      </c>
      <c r="Z884">
        <f>INDEX(Table16[Ageband Factor],MATCH(Table1820[[#This Row],[Ageband]],Table16[Ageband],0))</f>
        <v>1</v>
      </c>
      <c r="AA884">
        <f>VLOOKUP(Table1820[[#This Row],[Years Driving]],Table1[],2)</f>
        <v>1.1499999999999999</v>
      </c>
      <c r="AB884">
        <f>_xlfn.XLOOKUP(Table1820[[#This Row],[At Fault Accidents]],Table2[At Fault Accidents],Table2[At Fault Accident Factor],,0)</f>
        <v>2.4700000000000002</v>
      </c>
      <c r="AC884">
        <f>_xlfn.XLOOKUP(Table1820[[#This Row],[Usage-Based Insurance]],Table3[Usage-Based Insurance],Table3[Usage-Based Insurance Discount],,0)</f>
        <v>0.8</v>
      </c>
      <c r="AD884">
        <f>_xlfn.XLOOKUP(Table1820[[#This Row],[Yearly Miles]],Table4[Yearly Miles],Table4[Yearly Miles Factor],,0)</f>
        <v>1.18</v>
      </c>
      <c r="AE884">
        <f>_xlfn.XLOOKUP(Table1820[[#This Row],[City/Zip Code]],Table5[City/Zip Code],Table5[City/Zip Code Factor],,0)</f>
        <v>1.08</v>
      </c>
      <c r="AF884">
        <f>_xlfn.XLOOKUP(Table1820[[#This Row],[Vehicle Price]],Table6[Vehicle Price],Table6[Vehicle Price Factor])</f>
        <v>1.28</v>
      </c>
      <c r="AG884">
        <f>_xlfn.XLOOKUP(Table1820[[#This Row],[Exotic Car]],Table7[Exotic Car],Table7[Exotic Car Factor],,0)</f>
        <v>1</v>
      </c>
      <c r="AH884">
        <f>_xlfn.XLOOKUP(Table1820[[#This Row],[Difficult Parts]],Table8[Difficult Parts],Table8[Difficult Parts Factor],,0)</f>
        <v>1</v>
      </c>
      <c r="AI884">
        <f>_xlfn.XLOOKUP(Table1820[[#This Row],[High Theft Rate]],Table9[High Theft Rate],Table9[High Theft Rate Factor],,0)</f>
        <v>1</v>
      </c>
      <c r="AJ884">
        <f>_xlfn.XLOOKUP(Table1820[[#This Row],[Advanced Safety Features]],Table10[Advanced Safety Features],Table10[Advanced Safety Features Factor],,0)</f>
        <v>1</v>
      </c>
      <c r="AK884">
        <f>_xlfn.XLOOKUP(Table1820[[#This Row],[Deductible]],Table12[Deductible],Table12[Deductible Factor],,0)</f>
        <v>1</v>
      </c>
      <c r="AL884">
        <f>_xlfn.XLOOKUP(Table1820[[#This Row],[Coverage Limit]],Table13[Coverage Limit],Table13[Coverage Limit Factor],,0)</f>
        <v>0.61</v>
      </c>
      <c r="AM884">
        <f>IF(Table1820[[#This Row],[Good Student Discount]]="Yes",'Rate Book'!$D$126,1)</f>
        <v>1</v>
      </c>
      <c r="AN884">
        <f>IF(Table1820[[#This Row],[Good Driver Discount]]="Yes",'Rate Book'!$D$127,1)</f>
        <v>1</v>
      </c>
      <c r="AO884">
        <f>IF(Table1820[[#This Row],[Multi Policy Discount]]="Yes",'Rate Book'!$D$128,1)</f>
        <v>1</v>
      </c>
      <c r="AP884">
        <f>IF(Table1820[[#This Row],[Loyal Customer Discount]]="Yes",'Rate Book'!$D$129,1)</f>
        <v>1</v>
      </c>
      <c r="AQ884">
        <f>IF(Table1820[[#This Row],[Organization Discount]]="Yes",'Rate Book'!$D$130,1)</f>
        <v>1</v>
      </c>
      <c r="AR884" cm="1">
        <f t="array" ref="AR884">IF(Table1820[[#This Row],[Effective Date]]&gt;=RateChangeTable[Effective Date],RateChangeTable[Rate Change Factor],1)</f>
        <v>1</v>
      </c>
      <c r="AS884" s="10">
        <f>PRODUCT(Table1820[[#This Row],[Base Rate]:[Rate Change Factor]])</f>
        <v>1406.4384560578562</v>
      </c>
      <c r="AT884" s="9">
        <f>Table1820[[#This Row],[System-Generated Premium]]-Table1820[[#This Row],[Expected Premium]]</f>
        <v>0</v>
      </c>
      <c r="AU884" t="str">
        <f>IF(Table1820[[#This Row],[Difference]]=0,"PASS","FAIL")</f>
        <v>PASS</v>
      </c>
      <c r="AV884" s="9">
        <f>ABS(Table1820[[#This Row],[Difference]])</f>
        <v>0</v>
      </c>
      <c r="AW884" s="9" t="s">
        <v>1136</v>
      </c>
    </row>
    <row r="885" spans="1:49" x14ac:dyDescent="0.3">
      <c r="A885" t="s">
        <v>976</v>
      </c>
      <c r="B885" s="7">
        <v>45869</v>
      </c>
      <c r="C885" t="s">
        <v>71</v>
      </c>
      <c r="D885" t="s">
        <v>1102</v>
      </c>
      <c r="E885" s="3">
        <v>7</v>
      </c>
      <c r="F885" s="3">
        <v>1</v>
      </c>
      <c r="G885" t="s">
        <v>10</v>
      </c>
      <c r="H885" t="s">
        <v>1108</v>
      </c>
      <c r="I885" t="s">
        <v>29</v>
      </c>
      <c r="J885" t="s">
        <v>48</v>
      </c>
      <c r="K885" t="s">
        <v>10</v>
      </c>
      <c r="L885" t="s">
        <v>10</v>
      </c>
      <c r="M885" t="s">
        <v>10</v>
      </c>
      <c r="N885" t="s">
        <v>10</v>
      </c>
      <c r="O885" t="str">
        <f>INDEX(CoverageTable[Deductible Applies],MATCH(Table1820[[#This Row],[Coverage]],CoverageTable[Coverage],0))</f>
        <v>Yes</v>
      </c>
      <c r="P885" t="str">
        <f>INDEX(CoverageTable[Coverage Limit Applies],MATCH(Table1820[[#This Row],[Coverage]],CoverageTable[Coverage],0))</f>
        <v>No</v>
      </c>
      <c r="Q885" t="s">
        <v>80</v>
      </c>
      <c r="R885" t="s">
        <v>10</v>
      </c>
      <c r="S885" t="s">
        <v>57</v>
      </c>
      <c r="T885" t="s">
        <v>10</v>
      </c>
      <c r="U885" t="s">
        <v>57</v>
      </c>
      <c r="V885" t="s">
        <v>57</v>
      </c>
      <c r="W885" t="s">
        <v>57</v>
      </c>
      <c r="X885" s="11">
        <v>367.68298867582905</v>
      </c>
      <c r="Y885">
        <f>_xlfn.XLOOKUP(Table1820[[#This Row],[Coverage]],CoverageTable[Coverage],CoverageTable[Base Rate],,0)</f>
        <v>453</v>
      </c>
      <c r="Z885">
        <f>INDEX(Table16[Ageband Factor],MATCH(Table1820[[#This Row],[Ageband]],Table16[Ageband],0))</f>
        <v>1.27</v>
      </c>
      <c r="AA885">
        <f>VLOOKUP(Table1820[[#This Row],[Years Driving]],Table1[],2)</f>
        <v>0.95</v>
      </c>
      <c r="AB885">
        <f>_xlfn.XLOOKUP(Table1820[[#This Row],[At Fault Accidents]],Table2[At Fault Accidents],Table2[At Fault Accident Factor],,0)</f>
        <v>1.34</v>
      </c>
      <c r="AC885">
        <f>_xlfn.XLOOKUP(Table1820[[#This Row],[Usage-Based Insurance]],Table3[Usage-Based Insurance],Table3[Usage-Based Insurance Discount],,0)</f>
        <v>1</v>
      </c>
      <c r="AD885">
        <f>_xlfn.XLOOKUP(Table1820[[#This Row],[Yearly Miles]],Table4[Yearly Miles],Table4[Yearly Miles Factor],,0)</f>
        <v>1</v>
      </c>
      <c r="AE885">
        <f>_xlfn.XLOOKUP(Table1820[[#This Row],[City/Zip Code]],Table5[City/Zip Code],Table5[City/Zip Code Factor],,0)</f>
        <v>1.0900000000000001</v>
      </c>
      <c r="AF885">
        <f>_xlfn.XLOOKUP(Table1820[[#This Row],[Vehicle Price]],Table6[Vehicle Price],Table6[Vehicle Price Factor])</f>
        <v>0.82</v>
      </c>
      <c r="AG885">
        <f>_xlfn.XLOOKUP(Table1820[[#This Row],[Exotic Car]],Table7[Exotic Car],Table7[Exotic Car Factor],,0)</f>
        <v>1</v>
      </c>
      <c r="AH885">
        <f>_xlfn.XLOOKUP(Table1820[[#This Row],[Difficult Parts]],Table8[Difficult Parts],Table8[Difficult Parts Factor],,0)</f>
        <v>1</v>
      </c>
      <c r="AI885">
        <f>_xlfn.XLOOKUP(Table1820[[#This Row],[High Theft Rate]],Table9[High Theft Rate],Table9[High Theft Rate Factor],,0)</f>
        <v>1</v>
      </c>
      <c r="AJ885">
        <f>_xlfn.XLOOKUP(Table1820[[#This Row],[Advanced Safety Features]],Table10[Advanced Safety Features],Table10[Advanced Safety Features Factor],,0)</f>
        <v>1</v>
      </c>
      <c r="AK885">
        <f>_xlfn.XLOOKUP(Table1820[[#This Row],[Deductible]],Table12[Deductible],Table12[Deductible Factor],,0)</f>
        <v>0.72</v>
      </c>
      <c r="AL885">
        <f>_xlfn.XLOOKUP(Table1820[[#This Row],[Coverage Limit]],Table13[Coverage Limit],Table13[Coverage Limit Factor],,0)</f>
        <v>1</v>
      </c>
      <c r="AM885">
        <f>IF(Table1820[[#This Row],[Good Student Discount]]="Yes",'Rate Book'!$D$126,1)</f>
        <v>0.92</v>
      </c>
      <c r="AN885">
        <f>IF(Table1820[[#This Row],[Good Driver Discount]]="Yes",'Rate Book'!$D$127,1)</f>
        <v>1</v>
      </c>
      <c r="AO885">
        <f>IF(Table1820[[#This Row],[Multi Policy Discount]]="Yes",'Rate Book'!$D$128,1)</f>
        <v>0.93</v>
      </c>
      <c r="AP885">
        <f>IF(Table1820[[#This Row],[Loyal Customer Discount]]="Yes",'Rate Book'!$D$129,1)</f>
        <v>0.94</v>
      </c>
      <c r="AQ885">
        <f>IF(Table1820[[#This Row],[Organization Discount]]="Yes",'Rate Book'!$D$130,1)</f>
        <v>0.97</v>
      </c>
      <c r="AR885" cm="1">
        <f t="array" ref="AR885">IF(Table1820[[#This Row],[Effective Date]]&gt;=RateChangeTable[Effective Date],RateChangeTable[Rate Change Factor],1)</f>
        <v>1</v>
      </c>
      <c r="AS885" s="10">
        <f>PRODUCT(Table1820[[#This Row],[Base Rate]:[Rate Change Factor]])</f>
        <v>367.68298867582905</v>
      </c>
      <c r="AT885" s="9">
        <f>Table1820[[#This Row],[System-Generated Premium]]-Table1820[[#This Row],[Expected Premium]]</f>
        <v>0</v>
      </c>
      <c r="AU885" t="str">
        <f>IF(Table1820[[#This Row],[Difference]]=0,"PASS","FAIL")</f>
        <v>PASS</v>
      </c>
      <c r="AV885" s="9">
        <f>ABS(Table1820[[#This Row],[Difference]])</f>
        <v>0</v>
      </c>
      <c r="AW885" s="9" t="s">
        <v>1136</v>
      </c>
    </row>
    <row r="886" spans="1:49" x14ac:dyDescent="0.3">
      <c r="A886" t="s">
        <v>977</v>
      </c>
      <c r="B886" s="7">
        <v>46002</v>
      </c>
      <c r="C886" t="s">
        <v>72</v>
      </c>
      <c r="D886" t="s">
        <v>1098</v>
      </c>
      <c r="E886" s="3">
        <v>7</v>
      </c>
      <c r="F886" s="3">
        <v>1</v>
      </c>
      <c r="G886" t="s">
        <v>10</v>
      </c>
      <c r="H886" t="s">
        <v>1107</v>
      </c>
      <c r="I886" t="s">
        <v>27</v>
      </c>
      <c r="J886" t="s">
        <v>54</v>
      </c>
      <c r="K886" t="s">
        <v>10</v>
      </c>
      <c r="L886" t="s">
        <v>10</v>
      </c>
      <c r="M886" t="s">
        <v>10</v>
      </c>
      <c r="N886" t="s">
        <v>10</v>
      </c>
      <c r="O886" t="str">
        <f>INDEX(CoverageTable[Deductible Applies],MATCH(Table1820[[#This Row],[Coverage]],CoverageTable[Coverage],0))</f>
        <v>Yes</v>
      </c>
      <c r="P886" t="str">
        <f>INDEX(CoverageTable[Coverage Limit Applies],MATCH(Table1820[[#This Row],[Coverage]],CoverageTable[Coverage],0))</f>
        <v>No</v>
      </c>
      <c r="Q886" t="s">
        <v>79</v>
      </c>
      <c r="R886" t="s">
        <v>10</v>
      </c>
      <c r="S886" t="s">
        <v>10</v>
      </c>
      <c r="T886" t="s">
        <v>10</v>
      </c>
      <c r="U886" t="s">
        <v>10</v>
      </c>
      <c r="V886" t="s">
        <v>10</v>
      </c>
      <c r="W886" t="s">
        <v>57</v>
      </c>
      <c r="X886" s="11">
        <v>387.31347309410626</v>
      </c>
      <c r="Y886">
        <f>_xlfn.XLOOKUP(Table1820[[#This Row],[Coverage]],CoverageTable[Coverage],CoverageTable[Base Rate],,0)</f>
        <v>121</v>
      </c>
      <c r="Z886">
        <f>INDEX(Table16[Ageband Factor],MATCH(Table1820[[#This Row],[Ageband]],Table16[Ageband],0))</f>
        <v>1.23</v>
      </c>
      <c r="AA886">
        <f>VLOOKUP(Table1820[[#This Row],[Years Driving]],Table1[],2)</f>
        <v>0.95</v>
      </c>
      <c r="AB886">
        <f>_xlfn.XLOOKUP(Table1820[[#This Row],[At Fault Accidents]],Table2[At Fault Accidents],Table2[At Fault Accident Factor],,0)</f>
        <v>1.34</v>
      </c>
      <c r="AC886">
        <f>_xlfn.XLOOKUP(Table1820[[#This Row],[Usage-Based Insurance]],Table3[Usage-Based Insurance],Table3[Usage-Based Insurance Discount],,0)</f>
        <v>1</v>
      </c>
      <c r="AD886">
        <f>_xlfn.XLOOKUP(Table1820[[#This Row],[Yearly Miles]],Table4[Yearly Miles],Table4[Yearly Miles Factor],,0)</f>
        <v>0.93</v>
      </c>
      <c r="AE886">
        <f>_xlfn.XLOOKUP(Table1820[[#This Row],[City/Zip Code]],Table5[City/Zip Code],Table5[City/Zip Code Factor],,0)</f>
        <v>0.94</v>
      </c>
      <c r="AF886">
        <f>_xlfn.XLOOKUP(Table1820[[#This Row],[Vehicle Price]],Table6[Vehicle Price],Table6[Vehicle Price Factor])</f>
        <v>2.87</v>
      </c>
      <c r="AG886">
        <f>_xlfn.XLOOKUP(Table1820[[#This Row],[Exotic Car]],Table7[Exotic Car],Table7[Exotic Car Factor],,0)</f>
        <v>1</v>
      </c>
      <c r="AH886">
        <f>_xlfn.XLOOKUP(Table1820[[#This Row],[Difficult Parts]],Table8[Difficult Parts],Table8[Difficult Parts Factor],,0)</f>
        <v>1</v>
      </c>
      <c r="AI886">
        <f>_xlfn.XLOOKUP(Table1820[[#This Row],[High Theft Rate]],Table9[High Theft Rate],Table9[High Theft Rate Factor],,0)</f>
        <v>1</v>
      </c>
      <c r="AJ886">
        <f>_xlfn.XLOOKUP(Table1820[[#This Row],[Advanced Safety Features]],Table10[Advanced Safety Features],Table10[Advanced Safety Features Factor],,0)</f>
        <v>1</v>
      </c>
      <c r="AK886">
        <f>_xlfn.XLOOKUP(Table1820[[#This Row],[Deductible]],Table12[Deductible],Table12[Deductible Factor],,0)</f>
        <v>0.84</v>
      </c>
      <c r="AL886">
        <f>_xlfn.XLOOKUP(Table1820[[#This Row],[Coverage Limit]],Table13[Coverage Limit],Table13[Coverage Limit Factor],,0)</f>
        <v>1</v>
      </c>
      <c r="AM886">
        <f>IF(Table1820[[#This Row],[Good Student Discount]]="Yes",'Rate Book'!$D$126,1)</f>
        <v>1</v>
      </c>
      <c r="AN886">
        <f>IF(Table1820[[#This Row],[Good Driver Discount]]="Yes",'Rate Book'!$D$127,1)</f>
        <v>1</v>
      </c>
      <c r="AO886">
        <f>IF(Table1820[[#This Row],[Multi Policy Discount]]="Yes",'Rate Book'!$D$128,1)</f>
        <v>1</v>
      </c>
      <c r="AP886">
        <f>IF(Table1820[[#This Row],[Loyal Customer Discount]]="Yes",'Rate Book'!$D$129,1)</f>
        <v>1</v>
      </c>
      <c r="AQ886">
        <f>IF(Table1820[[#This Row],[Organization Discount]]="Yes",'Rate Book'!$D$130,1)</f>
        <v>0.97</v>
      </c>
      <c r="AR886" cm="1">
        <f t="array" ref="AR886">IF(Table1820[[#This Row],[Effective Date]]&gt;=RateChangeTable[Effective Date],RateChangeTable[Rate Change Factor],1)</f>
        <v>1</v>
      </c>
      <c r="AS886" s="10">
        <f>PRODUCT(Table1820[[#This Row],[Base Rate]:[Rate Change Factor]])</f>
        <v>387.31347309410626</v>
      </c>
      <c r="AT886" s="9">
        <f>Table1820[[#This Row],[System-Generated Premium]]-Table1820[[#This Row],[Expected Premium]]</f>
        <v>0</v>
      </c>
      <c r="AU886" t="str">
        <f>IF(Table1820[[#This Row],[Difference]]=0,"PASS","FAIL")</f>
        <v>PASS</v>
      </c>
      <c r="AV886" s="9">
        <f>ABS(Table1820[[#This Row],[Difference]])</f>
        <v>0</v>
      </c>
      <c r="AW886" s="9" t="s">
        <v>1136</v>
      </c>
    </row>
    <row r="887" spans="1:49" x14ac:dyDescent="0.3">
      <c r="A887" t="s">
        <v>978</v>
      </c>
      <c r="B887" s="7">
        <v>46100</v>
      </c>
      <c r="C887" t="s">
        <v>71</v>
      </c>
      <c r="D887" t="s">
        <v>1101</v>
      </c>
      <c r="E887" s="3">
        <v>1</v>
      </c>
      <c r="F887" s="3">
        <v>4</v>
      </c>
      <c r="G887" t="s">
        <v>11</v>
      </c>
      <c r="H887" t="s">
        <v>1110</v>
      </c>
      <c r="I887" t="s">
        <v>27</v>
      </c>
      <c r="J887" t="s">
        <v>49</v>
      </c>
      <c r="K887" t="s">
        <v>10</v>
      </c>
      <c r="L887" t="s">
        <v>57</v>
      </c>
      <c r="M887" t="s">
        <v>10</v>
      </c>
      <c r="N887" t="s">
        <v>10</v>
      </c>
      <c r="O887" t="str">
        <f>INDEX(CoverageTable[Deductible Applies],MATCH(Table1820[[#This Row],[Coverage]],CoverageTable[Coverage],0))</f>
        <v>Yes</v>
      </c>
      <c r="P887" t="str">
        <f>INDEX(CoverageTable[Coverage Limit Applies],MATCH(Table1820[[#This Row],[Coverage]],CoverageTable[Coverage],0))</f>
        <v>No</v>
      </c>
      <c r="Q887" t="s">
        <v>80</v>
      </c>
      <c r="R887" t="s">
        <v>10</v>
      </c>
      <c r="S887" t="s">
        <v>10</v>
      </c>
      <c r="T887" t="s">
        <v>10</v>
      </c>
      <c r="U887" t="s">
        <v>10</v>
      </c>
      <c r="V887" t="s">
        <v>10</v>
      </c>
      <c r="W887" t="s">
        <v>10</v>
      </c>
      <c r="X887" s="11">
        <v>1848.4774397805566</v>
      </c>
      <c r="Y887">
        <f>_xlfn.XLOOKUP(Table1820[[#This Row],[Coverage]],CoverageTable[Coverage],CoverageTable[Base Rate],,0)</f>
        <v>453</v>
      </c>
      <c r="Z887">
        <f>INDEX(Table16[Ageband Factor],MATCH(Table1820[[#This Row],[Ageband]],Table16[Ageband],0))</f>
        <v>1.1200000000000001</v>
      </c>
      <c r="AA887">
        <f>VLOOKUP(Table1820[[#This Row],[Years Driving]],Table1[],2)</f>
        <v>1.64</v>
      </c>
      <c r="AB887">
        <f>_xlfn.XLOOKUP(Table1820[[#This Row],[At Fault Accidents]],Table2[At Fault Accidents],Table2[At Fault Accident Factor],,0)</f>
        <v>2.12</v>
      </c>
      <c r="AC887">
        <f>_xlfn.XLOOKUP(Table1820[[#This Row],[Usage-Based Insurance]],Table3[Usage-Based Insurance],Table3[Usage-Based Insurance Discount],,0)</f>
        <v>0.95</v>
      </c>
      <c r="AD887">
        <f>_xlfn.XLOOKUP(Table1820[[#This Row],[Yearly Miles]],Table4[Yearly Miles],Table4[Yearly Miles Factor],,0)</f>
        <v>1.31</v>
      </c>
      <c r="AE887">
        <f>_xlfn.XLOOKUP(Table1820[[#This Row],[City/Zip Code]],Table5[City/Zip Code],Table5[City/Zip Code Factor],,0)</f>
        <v>0.94</v>
      </c>
      <c r="AF887">
        <f>_xlfn.XLOOKUP(Table1820[[#This Row],[Vehicle Price]],Table6[Vehicle Price],Table6[Vehicle Price Factor])</f>
        <v>0.97</v>
      </c>
      <c r="AG887">
        <f>_xlfn.XLOOKUP(Table1820[[#This Row],[Exotic Car]],Table7[Exotic Car],Table7[Exotic Car Factor],,0)</f>
        <v>1</v>
      </c>
      <c r="AH887">
        <f>_xlfn.XLOOKUP(Table1820[[#This Row],[Difficult Parts]],Table8[Difficult Parts],Table8[Difficult Parts Factor],,0)</f>
        <v>1.21</v>
      </c>
      <c r="AI887">
        <f>_xlfn.XLOOKUP(Table1820[[#This Row],[High Theft Rate]],Table9[High Theft Rate],Table9[High Theft Rate Factor],,0)</f>
        <v>1</v>
      </c>
      <c r="AJ887">
        <f>_xlfn.XLOOKUP(Table1820[[#This Row],[Advanced Safety Features]],Table10[Advanced Safety Features],Table10[Advanced Safety Features Factor],,0)</f>
        <v>1</v>
      </c>
      <c r="AK887">
        <f>_xlfn.XLOOKUP(Table1820[[#This Row],[Deductible]],Table12[Deductible],Table12[Deductible Factor],,0)</f>
        <v>0.72</v>
      </c>
      <c r="AL887">
        <f>_xlfn.XLOOKUP(Table1820[[#This Row],[Coverage Limit]],Table13[Coverage Limit],Table13[Coverage Limit Factor],,0)</f>
        <v>1</v>
      </c>
      <c r="AM887">
        <f>IF(Table1820[[#This Row],[Good Student Discount]]="Yes",'Rate Book'!$D$126,1)</f>
        <v>1</v>
      </c>
      <c r="AN887">
        <f>IF(Table1820[[#This Row],[Good Driver Discount]]="Yes",'Rate Book'!$D$127,1)</f>
        <v>1</v>
      </c>
      <c r="AO887">
        <f>IF(Table1820[[#This Row],[Multi Policy Discount]]="Yes",'Rate Book'!$D$128,1)</f>
        <v>1</v>
      </c>
      <c r="AP887">
        <f>IF(Table1820[[#This Row],[Loyal Customer Discount]]="Yes",'Rate Book'!$D$129,1)</f>
        <v>1</v>
      </c>
      <c r="AQ887">
        <f>IF(Table1820[[#This Row],[Organization Discount]]="Yes",'Rate Book'!$D$130,1)</f>
        <v>1</v>
      </c>
      <c r="AR887" cm="1">
        <f t="array" ref="AR887">IF(Table1820[[#This Row],[Effective Date]]&gt;=RateChangeTable[Effective Date],RateChangeTable[Rate Change Factor],1)</f>
        <v>1.06</v>
      </c>
      <c r="AS887" s="10">
        <f>PRODUCT(Table1820[[#This Row],[Base Rate]:[Rate Change Factor]])</f>
        <v>1848.4774397805566</v>
      </c>
      <c r="AT887" s="9">
        <f>Table1820[[#This Row],[System-Generated Premium]]-Table1820[[#This Row],[Expected Premium]]</f>
        <v>0</v>
      </c>
      <c r="AU887" t="str">
        <f>IF(Table1820[[#This Row],[Difference]]=0,"PASS","FAIL")</f>
        <v>PASS</v>
      </c>
      <c r="AV887" s="9">
        <f>ABS(Table1820[[#This Row],[Difference]])</f>
        <v>0</v>
      </c>
      <c r="AW887" s="9" t="s">
        <v>1136</v>
      </c>
    </row>
    <row r="888" spans="1:49" x14ac:dyDescent="0.3">
      <c r="A888" t="s">
        <v>979</v>
      </c>
      <c r="B888" s="7">
        <v>45786</v>
      </c>
      <c r="C888" t="s">
        <v>70</v>
      </c>
      <c r="D888" t="s">
        <v>1100</v>
      </c>
      <c r="E888" s="3">
        <v>4</v>
      </c>
      <c r="F888" s="3">
        <v>1</v>
      </c>
      <c r="G888" t="s">
        <v>12</v>
      </c>
      <c r="H888" t="s">
        <v>1106</v>
      </c>
      <c r="I888" t="s">
        <v>32</v>
      </c>
      <c r="J888" t="s">
        <v>50</v>
      </c>
      <c r="K888" t="s">
        <v>10</v>
      </c>
      <c r="L888" t="s">
        <v>10</v>
      </c>
      <c r="M888" t="s">
        <v>10</v>
      </c>
      <c r="N888" t="s">
        <v>10</v>
      </c>
      <c r="O888" t="str">
        <f>INDEX(CoverageTable[Deductible Applies],MATCH(Table1820[[#This Row],[Coverage]],CoverageTable[Coverage],0))</f>
        <v>No</v>
      </c>
      <c r="P888" t="str">
        <f>INDEX(CoverageTable[Coverage Limit Applies],MATCH(Table1820[[#This Row],[Coverage]],CoverageTable[Coverage],0))</f>
        <v>Yes</v>
      </c>
      <c r="Q888" t="s">
        <v>10</v>
      </c>
      <c r="R888" t="s">
        <v>79</v>
      </c>
      <c r="S888" t="s">
        <v>10</v>
      </c>
      <c r="T888" t="s">
        <v>10</v>
      </c>
      <c r="U888" t="s">
        <v>10</v>
      </c>
      <c r="V888" t="s">
        <v>57</v>
      </c>
      <c r="W888" t="s">
        <v>10</v>
      </c>
      <c r="X888" s="11">
        <v>550.78584264536562</v>
      </c>
      <c r="Y888">
        <f>_xlfn.XLOOKUP(Table1820[[#This Row],[Coverage]],CoverageTable[Coverage],CoverageTable[Base Rate],,0)</f>
        <v>622</v>
      </c>
      <c r="Z888">
        <f>INDEX(Table16[Ageband Factor],MATCH(Table1820[[#This Row],[Ageband]],Table16[Ageband],0))</f>
        <v>1.07</v>
      </c>
      <c r="AA888">
        <f>VLOOKUP(Table1820[[#This Row],[Years Driving]],Table1[],2)</f>
        <v>1.1499999999999999</v>
      </c>
      <c r="AB888">
        <f>_xlfn.XLOOKUP(Table1820[[#This Row],[At Fault Accidents]],Table2[At Fault Accidents],Table2[At Fault Accident Factor],,0)</f>
        <v>1.34</v>
      </c>
      <c r="AC888">
        <f>_xlfn.XLOOKUP(Table1820[[#This Row],[Usage-Based Insurance]],Table3[Usage-Based Insurance],Table3[Usage-Based Insurance Discount],,0)</f>
        <v>0.8</v>
      </c>
      <c r="AD888">
        <f>_xlfn.XLOOKUP(Table1820[[#This Row],[Yearly Miles]],Table4[Yearly Miles],Table4[Yearly Miles Factor],,0)</f>
        <v>0.82</v>
      </c>
      <c r="AE888">
        <f>_xlfn.XLOOKUP(Table1820[[#This Row],[City/Zip Code]],Table5[City/Zip Code],Table5[City/Zip Code Factor],,0)</f>
        <v>1.1200000000000001</v>
      </c>
      <c r="AF888">
        <f>_xlfn.XLOOKUP(Table1820[[#This Row],[Vehicle Price]],Table6[Vehicle Price],Table6[Vehicle Price Factor])</f>
        <v>1.08</v>
      </c>
      <c r="AG888">
        <f>_xlfn.XLOOKUP(Table1820[[#This Row],[Exotic Car]],Table7[Exotic Car],Table7[Exotic Car Factor],,0)</f>
        <v>1</v>
      </c>
      <c r="AH888">
        <f>_xlfn.XLOOKUP(Table1820[[#This Row],[Difficult Parts]],Table8[Difficult Parts],Table8[Difficult Parts Factor],,0)</f>
        <v>1</v>
      </c>
      <c r="AI888">
        <f>_xlfn.XLOOKUP(Table1820[[#This Row],[High Theft Rate]],Table9[High Theft Rate],Table9[High Theft Rate Factor],,0)</f>
        <v>1</v>
      </c>
      <c r="AJ888">
        <f>_xlfn.XLOOKUP(Table1820[[#This Row],[Advanced Safety Features]],Table10[Advanced Safety Features],Table10[Advanced Safety Features Factor],,0)</f>
        <v>1</v>
      </c>
      <c r="AK888">
        <f>_xlfn.XLOOKUP(Table1820[[#This Row],[Deductible]],Table12[Deductible],Table12[Deductible Factor],,0)</f>
        <v>1</v>
      </c>
      <c r="AL888">
        <f>_xlfn.XLOOKUP(Table1820[[#This Row],[Coverage Limit]],Table13[Coverage Limit],Table13[Coverage Limit Factor],,0)</f>
        <v>0.72</v>
      </c>
      <c r="AM888">
        <f>IF(Table1820[[#This Row],[Good Student Discount]]="Yes",'Rate Book'!$D$126,1)</f>
        <v>1</v>
      </c>
      <c r="AN888">
        <f>IF(Table1820[[#This Row],[Good Driver Discount]]="Yes",'Rate Book'!$D$127,1)</f>
        <v>1</v>
      </c>
      <c r="AO888">
        <f>IF(Table1820[[#This Row],[Multi Policy Discount]]="Yes",'Rate Book'!$D$128,1)</f>
        <v>1</v>
      </c>
      <c r="AP888">
        <f>IF(Table1820[[#This Row],[Loyal Customer Discount]]="Yes",'Rate Book'!$D$129,1)</f>
        <v>0.94</v>
      </c>
      <c r="AQ888">
        <f>IF(Table1820[[#This Row],[Organization Discount]]="Yes",'Rate Book'!$D$130,1)</f>
        <v>1</v>
      </c>
      <c r="AR888" cm="1">
        <f t="array" ref="AR888">IF(Table1820[[#This Row],[Effective Date]]&gt;=RateChangeTable[Effective Date],RateChangeTable[Rate Change Factor],1)</f>
        <v>1</v>
      </c>
      <c r="AS888" s="10">
        <f>PRODUCT(Table1820[[#This Row],[Base Rate]:[Rate Change Factor]])</f>
        <v>550.78584264536562</v>
      </c>
      <c r="AT888" s="9">
        <f>Table1820[[#This Row],[System-Generated Premium]]-Table1820[[#This Row],[Expected Premium]]</f>
        <v>0</v>
      </c>
      <c r="AU888" t="str">
        <f>IF(Table1820[[#This Row],[Difference]]=0,"PASS","FAIL")</f>
        <v>PASS</v>
      </c>
      <c r="AV888" s="9">
        <f>ABS(Table1820[[#This Row],[Difference]])</f>
        <v>0</v>
      </c>
      <c r="AW888" s="9" t="s">
        <v>1136</v>
      </c>
    </row>
    <row r="889" spans="1:49" x14ac:dyDescent="0.3">
      <c r="A889" t="s">
        <v>980</v>
      </c>
      <c r="B889" s="7">
        <v>45822</v>
      </c>
      <c r="C889" t="s">
        <v>70</v>
      </c>
      <c r="D889" t="s">
        <v>1099</v>
      </c>
      <c r="E889" s="3">
        <v>3</v>
      </c>
      <c r="F889" s="3">
        <v>3</v>
      </c>
      <c r="G889" t="s">
        <v>10</v>
      </c>
      <c r="H889" t="s">
        <v>1108</v>
      </c>
      <c r="I889" t="s">
        <v>36</v>
      </c>
      <c r="J889" t="s">
        <v>54</v>
      </c>
      <c r="K889" t="s">
        <v>10</v>
      </c>
      <c r="L889" t="s">
        <v>10</v>
      </c>
      <c r="M889" t="s">
        <v>10</v>
      </c>
      <c r="N889" t="s">
        <v>57</v>
      </c>
      <c r="O889" t="str">
        <f>INDEX(CoverageTable[Deductible Applies],MATCH(Table1820[[#This Row],[Coverage]],CoverageTable[Coverage],0))</f>
        <v>No</v>
      </c>
      <c r="P889" t="str">
        <f>INDEX(CoverageTable[Coverage Limit Applies],MATCH(Table1820[[#This Row],[Coverage]],CoverageTable[Coverage],0))</f>
        <v>Yes</v>
      </c>
      <c r="Q889" t="s">
        <v>10</v>
      </c>
      <c r="R889" t="s">
        <v>78</v>
      </c>
      <c r="S889" t="s">
        <v>10</v>
      </c>
      <c r="T889" t="s">
        <v>10</v>
      </c>
      <c r="U889" t="s">
        <v>10</v>
      </c>
      <c r="V889" t="s">
        <v>10</v>
      </c>
      <c r="W889" t="s">
        <v>10</v>
      </c>
      <c r="X889" s="11">
        <v>2085.1729526467843</v>
      </c>
      <c r="Y889">
        <f>_xlfn.XLOOKUP(Table1820[[#This Row],[Coverage]],CoverageTable[Coverage],CoverageTable[Base Rate],,0)</f>
        <v>622</v>
      </c>
      <c r="Z889">
        <f>INDEX(Table16[Ageband Factor],MATCH(Table1820[[#This Row],[Ageband]],Table16[Ageband],0))</f>
        <v>1</v>
      </c>
      <c r="AA889">
        <f>VLOOKUP(Table1820[[#This Row],[Years Driving]],Table1[],2)</f>
        <v>1.22</v>
      </c>
      <c r="AB889">
        <f>_xlfn.XLOOKUP(Table1820[[#This Row],[At Fault Accidents]],Table2[At Fault Accidents],Table2[At Fault Accident Factor],,0)</f>
        <v>1.82</v>
      </c>
      <c r="AC889">
        <f>_xlfn.XLOOKUP(Table1820[[#This Row],[Usage-Based Insurance]],Table3[Usage-Based Insurance],Table3[Usage-Based Insurance Discount],,0)</f>
        <v>1</v>
      </c>
      <c r="AD889">
        <f>_xlfn.XLOOKUP(Table1820[[#This Row],[Yearly Miles]],Table4[Yearly Miles],Table4[Yearly Miles Factor],,0)</f>
        <v>1</v>
      </c>
      <c r="AE889">
        <f>_xlfn.XLOOKUP(Table1820[[#This Row],[City/Zip Code]],Table5[City/Zip Code],Table5[City/Zip Code Factor],,0)</f>
        <v>0.98</v>
      </c>
      <c r="AF889">
        <f>_xlfn.XLOOKUP(Table1820[[#This Row],[Vehicle Price]],Table6[Vehicle Price],Table6[Vehicle Price Factor])</f>
        <v>2.87</v>
      </c>
      <c r="AG889">
        <f>_xlfn.XLOOKUP(Table1820[[#This Row],[Exotic Car]],Table7[Exotic Car],Table7[Exotic Car Factor],,0)</f>
        <v>1</v>
      </c>
      <c r="AH889">
        <f>_xlfn.XLOOKUP(Table1820[[#This Row],[Difficult Parts]],Table8[Difficult Parts],Table8[Difficult Parts Factor],,0)</f>
        <v>1</v>
      </c>
      <c r="AI889">
        <f>_xlfn.XLOOKUP(Table1820[[#This Row],[High Theft Rate]],Table9[High Theft Rate],Table9[High Theft Rate Factor],,0)</f>
        <v>1</v>
      </c>
      <c r="AJ889">
        <f>_xlfn.XLOOKUP(Table1820[[#This Row],[Advanced Safety Features]],Table10[Advanced Safety Features],Table10[Advanced Safety Features Factor],,0)</f>
        <v>0.88</v>
      </c>
      <c r="AK889">
        <f>_xlfn.XLOOKUP(Table1820[[#This Row],[Deductible]],Table12[Deductible],Table12[Deductible Factor],,0)</f>
        <v>1</v>
      </c>
      <c r="AL889">
        <f>_xlfn.XLOOKUP(Table1820[[#This Row],[Coverage Limit]],Table13[Coverage Limit],Table13[Coverage Limit Factor],,0)</f>
        <v>0.61</v>
      </c>
      <c r="AM889">
        <f>IF(Table1820[[#This Row],[Good Student Discount]]="Yes",'Rate Book'!$D$126,1)</f>
        <v>1</v>
      </c>
      <c r="AN889">
        <f>IF(Table1820[[#This Row],[Good Driver Discount]]="Yes",'Rate Book'!$D$127,1)</f>
        <v>1</v>
      </c>
      <c r="AO889">
        <f>IF(Table1820[[#This Row],[Multi Policy Discount]]="Yes",'Rate Book'!$D$128,1)</f>
        <v>1</v>
      </c>
      <c r="AP889">
        <f>IF(Table1820[[#This Row],[Loyal Customer Discount]]="Yes",'Rate Book'!$D$129,1)</f>
        <v>1</v>
      </c>
      <c r="AQ889">
        <f>IF(Table1820[[#This Row],[Organization Discount]]="Yes",'Rate Book'!$D$130,1)</f>
        <v>1</v>
      </c>
      <c r="AR889" cm="1">
        <f t="array" ref="AR889">IF(Table1820[[#This Row],[Effective Date]]&gt;=RateChangeTable[Effective Date],RateChangeTable[Rate Change Factor],1)</f>
        <v>1</v>
      </c>
      <c r="AS889" s="10">
        <f>PRODUCT(Table1820[[#This Row],[Base Rate]:[Rate Change Factor]])</f>
        <v>2085.1729526467843</v>
      </c>
      <c r="AT889" s="9">
        <f>Table1820[[#This Row],[System-Generated Premium]]-Table1820[[#This Row],[Expected Premium]]</f>
        <v>0</v>
      </c>
      <c r="AU889" t="str">
        <f>IF(Table1820[[#This Row],[Difference]]=0,"PASS","FAIL")</f>
        <v>PASS</v>
      </c>
      <c r="AV889" s="9">
        <f>ABS(Table1820[[#This Row],[Difference]])</f>
        <v>0</v>
      </c>
      <c r="AW889" s="9" t="s">
        <v>1136</v>
      </c>
    </row>
    <row r="890" spans="1:49" x14ac:dyDescent="0.3">
      <c r="A890" t="s">
        <v>981</v>
      </c>
      <c r="B890" s="7">
        <v>45950</v>
      </c>
      <c r="C890" t="s">
        <v>74</v>
      </c>
      <c r="D890" t="s">
        <v>1102</v>
      </c>
      <c r="E890" s="3">
        <v>2</v>
      </c>
      <c r="F890" s="3">
        <v>0</v>
      </c>
      <c r="G890" t="s">
        <v>10</v>
      </c>
      <c r="H890" t="s">
        <v>1108</v>
      </c>
      <c r="I890" t="s">
        <v>32</v>
      </c>
      <c r="J890" t="s">
        <v>54</v>
      </c>
      <c r="K890" t="s">
        <v>10</v>
      </c>
      <c r="L890" t="s">
        <v>10</v>
      </c>
      <c r="M890" t="s">
        <v>10</v>
      </c>
      <c r="N890" t="s">
        <v>10</v>
      </c>
      <c r="O890" t="str">
        <f>INDEX(CoverageTable[Deductible Applies],MATCH(Table1820[[#This Row],[Coverage]],CoverageTable[Coverage],0))</f>
        <v>No</v>
      </c>
      <c r="P890" t="str">
        <f>INDEX(CoverageTable[Coverage Limit Applies],MATCH(Table1820[[#This Row],[Coverage]],CoverageTable[Coverage],0))</f>
        <v>Yes</v>
      </c>
      <c r="Q890" t="s">
        <v>10</v>
      </c>
      <c r="R890" t="s">
        <v>80</v>
      </c>
      <c r="S890" t="s">
        <v>10</v>
      </c>
      <c r="T890" t="s">
        <v>10</v>
      </c>
      <c r="U890" t="s">
        <v>10</v>
      </c>
      <c r="V890" t="s">
        <v>57</v>
      </c>
      <c r="W890" t="s">
        <v>10</v>
      </c>
      <c r="X890" s="11">
        <v>186.34328590348801</v>
      </c>
      <c r="Y890">
        <f>_xlfn.XLOOKUP(Table1820[[#This Row],[Coverage]],CoverageTable[Coverage],CoverageTable[Base Rate],,0)</f>
        <v>41</v>
      </c>
      <c r="Z890">
        <f>INDEX(Table16[Ageband Factor],MATCH(Table1820[[#This Row],[Ageband]],Table16[Ageband],0))</f>
        <v>1.27</v>
      </c>
      <c r="AA890">
        <f>VLOOKUP(Table1820[[#This Row],[Years Driving]],Table1[],2)</f>
        <v>1.41</v>
      </c>
      <c r="AB890">
        <f>_xlfn.XLOOKUP(Table1820[[#This Row],[At Fault Accidents]],Table2[At Fault Accidents],Table2[At Fault Accident Factor],,0)</f>
        <v>1</v>
      </c>
      <c r="AC890">
        <f>_xlfn.XLOOKUP(Table1820[[#This Row],[Usage-Based Insurance]],Table3[Usage-Based Insurance],Table3[Usage-Based Insurance Discount],,0)</f>
        <v>1</v>
      </c>
      <c r="AD890">
        <f>_xlfn.XLOOKUP(Table1820[[#This Row],[Yearly Miles]],Table4[Yearly Miles],Table4[Yearly Miles Factor],,0)</f>
        <v>1</v>
      </c>
      <c r="AE890">
        <f>_xlfn.XLOOKUP(Table1820[[#This Row],[City/Zip Code]],Table5[City/Zip Code],Table5[City/Zip Code Factor],,0)</f>
        <v>1.1200000000000001</v>
      </c>
      <c r="AF890">
        <f>_xlfn.XLOOKUP(Table1820[[#This Row],[Vehicle Price]],Table6[Vehicle Price],Table6[Vehicle Price Factor])</f>
        <v>2.87</v>
      </c>
      <c r="AG890">
        <f>_xlfn.XLOOKUP(Table1820[[#This Row],[Exotic Car]],Table7[Exotic Car],Table7[Exotic Car Factor],,0)</f>
        <v>1</v>
      </c>
      <c r="AH890">
        <f>_xlfn.XLOOKUP(Table1820[[#This Row],[Difficult Parts]],Table8[Difficult Parts],Table8[Difficult Parts Factor],,0)</f>
        <v>1</v>
      </c>
      <c r="AI890">
        <f>_xlfn.XLOOKUP(Table1820[[#This Row],[High Theft Rate]],Table9[High Theft Rate],Table9[High Theft Rate Factor],,0)</f>
        <v>1</v>
      </c>
      <c r="AJ890">
        <f>_xlfn.XLOOKUP(Table1820[[#This Row],[Advanced Safety Features]],Table10[Advanced Safety Features],Table10[Advanced Safety Features Factor],,0)</f>
        <v>1</v>
      </c>
      <c r="AK890">
        <f>_xlfn.XLOOKUP(Table1820[[#This Row],[Deductible]],Table12[Deductible],Table12[Deductible Factor],,0)</f>
        <v>1</v>
      </c>
      <c r="AL890">
        <f>_xlfn.XLOOKUP(Table1820[[#This Row],[Coverage Limit]],Table13[Coverage Limit],Table13[Coverage Limit Factor],,0)</f>
        <v>0.84</v>
      </c>
      <c r="AM890">
        <f>IF(Table1820[[#This Row],[Good Student Discount]]="Yes",'Rate Book'!$D$126,1)</f>
        <v>1</v>
      </c>
      <c r="AN890">
        <f>IF(Table1820[[#This Row],[Good Driver Discount]]="Yes",'Rate Book'!$D$127,1)</f>
        <v>1</v>
      </c>
      <c r="AO890">
        <f>IF(Table1820[[#This Row],[Multi Policy Discount]]="Yes",'Rate Book'!$D$128,1)</f>
        <v>1</v>
      </c>
      <c r="AP890">
        <f>IF(Table1820[[#This Row],[Loyal Customer Discount]]="Yes",'Rate Book'!$D$129,1)</f>
        <v>0.94</v>
      </c>
      <c r="AQ890">
        <f>IF(Table1820[[#This Row],[Organization Discount]]="Yes",'Rate Book'!$D$130,1)</f>
        <v>1</v>
      </c>
      <c r="AR890" cm="1">
        <f t="array" ref="AR890">IF(Table1820[[#This Row],[Effective Date]]&gt;=RateChangeTable[Effective Date],RateChangeTable[Rate Change Factor],1)</f>
        <v>1</v>
      </c>
      <c r="AS890" s="10">
        <f>PRODUCT(Table1820[[#This Row],[Base Rate]:[Rate Change Factor]])</f>
        <v>186.34328590348801</v>
      </c>
      <c r="AT890" s="9">
        <f>Table1820[[#This Row],[System-Generated Premium]]-Table1820[[#This Row],[Expected Premium]]</f>
        <v>0</v>
      </c>
      <c r="AU890" t="str">
        <f>IF(Table1820[[#This Row],[Difference]]=0,"PASS","FAIL")</f>
        <v>PASS</v>
      </c>
      <c r="AV890" s="9">
        <f>ABS(Table1820[[#This Row],[Difference]])</f>
        <v>0</v>
      </c>
      <c r="AW890" s="9" t="s">
        <v>1136</v>
      </c>
    </row>
    <row r="891" spans="1:49" x14ac:dyDescent="0.3">
      <c r="A891" t="s">
        <v>982</v>
      </c>
      <c r="B891" s="7">
        <v>46041</v>
      </c>
      <c r="C891" t="s">
        <v>70</v>
      </c>
      <c r="D891" t="s">
        <v>1098</v>
      </c>
      <c r="E891" s="3">
        <v>3</v>
      </c>
      <c r="F891" s="3">
        <v>3</v>
      </c>
      <c r="G891" t="s">
        <v>10</v>
      </c>
      <c r="H891" t="s">
        <v>1109</v>
      </c>
      <c r="I891" t="s">
        <v>44</v>
      </c>
      <c r="J891" t="s">
        <v>54</v>
      </c>
      <c r="K891" t="s">
        <v>10</v>
      </c>
      <c r="L891" t="s">
        <v>10</v>
      </c>
      <c r="M891" t="s">
        <v>10</v>
      </c>
      <c r="N891" t="s">
        <v>57</v>
      </c>
      <c r="O891" t="str">
        <f>INDEX(CoverageTable[Deductible Applies],MATCH(Table1820[[#This Row],[Coverage]],CoverageTable[Coverage],0))</f>
        <v>No</v>
      </c>
      <c r="P891" t="str">
        <f>INDEX(CoverageTable[Coverage Limit Applies],MATCH(Table1820[[#This Row],[Coverage]],CoverageTable[Coverage],0))</f>
        <v>Yes</v>
      </c>
      <c r="Q891" t="s">
        <v>10</v>
      </c>
      <c r="R891" t="s">
        <v>78</v>
      </c>
      <c r="S891" t="s">
        <v>10</v>
      </c>
      <c r="T891" t="s">
        <v>10</v>
      </c>
      <c r="U891" t="s">
        <v>10</v>
      </c>
      <c r="V891" t="s">
        <v>10</v>
      </c>
      <c r="W891" t="s">
        <v>57</v>
      </c>
      <c r="X891" s="11">
        <v>3683.3137541171318</v>
      </c>
      <c r="Y891">
        <f>_xlfn.XLOOKUP(Table1820[[#This Row],[Coverage]],CoverageTable[Coverage],CoverageTable[Base Rate],,0)</f>
        <v>622</v>
      </c>
      <c r="Z891">
        <f>INDEX(Table16[Ageband Factor],MATCH(Table1820[[#This Row],[Ageband]],Table16[Ageband],0))</f>
        <v>1.23</v>
      </c>
      <c r="AA891">
        <f>VLOOKUP(Table1820[[#This Row],[Years Driving]],Table1[],2)</f>
        <v>1.22</v>
      </c>
      <c r="AB891">
        <f>_xlfn.XLOOKUP(Table1820[[#This Row],[At Fault Accidents]],Table2[At Fault Accidents],Table2[At Fault Accident Factor],,0)</f>
        <v>1.82</v>
      </c>
      <c r="AC891">
        <f>_xlfn.XLOOKUP(Table1820[[#This Row],[Usage-Based Insurance]],Table3[Usage-Based Insurance],Table3[Usage-Based Insurance Discount],,0)</f>
        <v>1</v>
      </c>
      <c r="AD891">
        <f>_xlfn.XLOOKUP(Table1820[[#This Row],[Yearly Miles]],Table4[Yearly Miles],Table4[Yearly Miles Factor],,0)</f>
        <v>1.18</v>
      </c>
      <c r="AE891">
        <f>_xlfn.XLOOKUP(Table1820[[#This Row],[City/Zip Code]],Table5[City/Zip Code],Table5[City/Zip Code Factor],,0)</f>
        <v>1.1599999999999999</v>
      </c>
      <c r="AF891">
        <f>_xlfn.XLOOKUP(Table1820[[#This Row],[Vehicle Price]],Table6[Vehicle Price],Table6[Vehicle Price Factor])</f>
        <v>2.87</v>
      </c>
      <c r="AG891">
        <f>_xlfn.XLOOKUP(Table1820[[#This Row],[Exotic Car]],Table7[Exotic Car],Table7[Exotic Car Factor],,0)</f>
        <v>1</v>
      </c>
      <c r="AH891">
        <f>_xlfn.XLOOKUP(Table1820[[#This Row],[Difficult Parts]],Table8[Difficult Parts],Table8[Difficult Parts Factor],,0)</f>
        <v>1</v>
      </c>
      <c r="AI891">
        <f>_xlfn.XLOOKUP(Table1820[[#This Row],[High Theft Rate]],Table9[High Theft Rate],Table9[High Theft Rate Factor],,0)</f>
        <v>1</v>
      </c>
      <c r="AJ891">
        <f>_xlfn.XLOOKUP(Table1820[[#This Row],[Advanced Safety Features]],Table10[Advanced Safety Features],Table10[Advanced Safety Features Factor],,0)</f>
        <v>0.88</v>
      </c>
      <c r="AK891">
        <f>_xlfn.XLOOKUP(Table1820[[#This Row],[Deductible]],Table12[Deductible],Table12[Deductible Factor],,0)</f>
        <v>1</v>
      </c>
      <c r="AL891">
        <f>_xlfn.XLOOKUP(Table1820[[#This Row],[Coverage Limit]],Table13[Coverage Limit],Table13[Coverage Limit Factor],,0)</f>
        <v>0.61</v>
      </c>
      <c r="AM891">
        <f>IF(Table1820[[#This Row],[Good Student Discount]]="Yes",'Rate Book'!$D$126,1)</f>
        <v>1</v>
      </c>
      <c r="AN891">
        <f>IF(Table1820[[#This Row],[Good Driver Discount]]="Yes",'Rate Book'!$D$127,1)</f>
        <v>1</v>
      </c>
      <c r="AO891">
        <f>IF(Table1820[[#This Row],[Multi Policy Discount]]="Yes",'Rate Book'!$D$128,1)</f>
        <v>1</v>
      </c>
      <c r="AP891">
        <f>IF(Table1820[[#This Row],[Loyal Customer Discount]]="Yes",'Rate Book'!$D$129,1)</f>
        <v>1</v>
      </c>
      <c r="AQ891">
        <f>IF(Table1820[[#This Row],[Organization Discount]]="Yes",'Rate Book'!$D$130,1)</f>
        <v>0.97</v>
      </c>
      <c r="AR891" cm="1">
        <f t="array" ref="AR891">IF(Table1820[[#This Row],[Effective Date]]&gt;=RateChangeTable[Effective Date],RateChangeTable[Rate Change Factor],1)</f>
        <v>1.06</v>
      </c>
      <c r="AS891" s="10">
        <f>PRODUCT(Table1820[[#This Row],[Base Rate]:[Rate Change Factor]])</f>
        <v>3683.3137541171318</v>
      </c>
      <c r="AT891" s="9">
        <f>Table1820[[#This Row],[System-Generated Premium]]-Table1820[[#This Row],[Expected Premium]]</f>
        <v>0</v>
      </c>
      <c r="AU891" t="str">
        <f>IF(Table1820[[#This Row],[Difference]]=0,"PASS","FAIL")</f>
        <v>PASS</v>
      </c>
      <c r="AV891" s="9">
        <f>ABS(Table1820[[#This Row],[Difference]])</f>
        <v>0</v>
      </c>
      <c r="AW891" s="9" t="s">
        <v>1136</v>
      </c>
    </row>
    <row r="892" spans="1:49" x14ac:dyDescent="0.3">
      <c r="A892" t="s">
        <v>983</v>
      </c>
      <c r="B892" s="7">
        <v>46089</v>
      </c>
      <c r="C892" t="s">
        <v>73</v>
      </c>
      <c r="D892" t="s">
        <v>1102</v>
      </c>
      <c r="E892" s="3">
        <v>3</v>
      </c>
      <c r="F892" s="3">
        <v>0</v>
      </c>
      <c r="G892" t="s">
        <v>12</v>
      </c>
      <c r="H892" t="s">
        <v>1108</v>
      </c>
      <c r="I892" t="s">
        <v>25</v>
      </c>
      <c r="J892" t="s">
        <v>49</v>
      </c>
      <c r="K892" t="s">
        <v>10</v>
      </c>
      <c r="L892" t="s">
        <v>10</v>
      </c>
      <c r="M892" t="s">
        <v>10</v>
      </c>
      <c r="N892" t="s">
        <v>57</v>
      </c>
      <c r="O892" t="str">
        <f>INDEX(CoverageTable[Deductible Applies],MATCH(Table1820[[#This Row],[Coverage]],CoverageTable[Coverage],0))</f>
        <v>No</v>
      </c>
      <c r="P892" t="str">
        <f>INDEX(CoverageTable[Coverage Limit Applies],MATCH(Table1820[[#This Row],[Coverage]],CoverageTable[Coverage],0))</f>
        <v>Yes</v>
      </c>
      <c r="Q892" t="s">
        <v>10</v>
      </c>
      <c r="R892" t="s">
        <v>79</v>
      </c>
      <c r="S892" t="s">
        <v>10</v>
      </c>
      <c r="T892" t="s">
        <v>10</v>
      </c>
      <c r="U892" t="s">
        <v>57</v>
      </c>
      <c r="V892" t="s">
        <v>57</v>
      </c>
      <c r="W892" t="s">
        <v>10</v>
      </c>
      <c r="X892" s="11">
        <v>63.871880216144028</v>
      </c>
      <c r="Y892">
        <f>_xlfn.XLOOKUP(Table1820[[#This Row],[Coverage]],CoverageTable[Coverage],CoverageTable[Base Rate],,0)</f>
        <v>78</v>
      </c>
      <c r="Z892">
        <f>INDEX(Table16[Ageband Factor],MATCH(Table1820[[#This Row],[Ageband]],Table16[Ageband],0))</f>
        <v>1.27</v>
      </c>
      <c r="AA892">
        <f>VLOOKUP(Table1820[[#This Row],[Years Driving]],Table1[],2)</f>
        <v>1.22</v>
      </c>
      <c r="AB892">
        <f>_xlfn.XLOOKUP(Table1820[[#This Row],[At Fault Accidents]],Table2[At Fault Accidents],Table2[At Fault Accident Factor],,0)</f>
        <v>1</v>
      </c>
      <c r="AC892">
        <f>_xlfn.XLOOKUP(Table1820[[#This Row],[Usage-Based Insurance]],Table3[Usage-Based Insurance],Table3[Usage-Based Insurance Discount],,0)</f>
        <v>0.8</v>
      </c>
      <c r="AD892">
        <f>_xlfn.XLOOKUP(Table1820[[#This Row],[Yearly Miles]],Table4[Yearly Miles],Table4[Yearly Miles Factor],,0)</f>
        <v>1</v>
      </c>
      <c r="AE892">
        <f>_xlfn.XLOOKUP(Table1820[[#This Row],[City/Zip Code]],Table5[City/Zip Code],Table5[City/Zip Code Factor],,0)</f>
        <v>1.1599999999999999</v>
      </c>
      <c r="AF892">
        <f>_xlfn.XLOOKUP(Table1820[[#This Row],[Vehicle Price]],Table6[Vehicle Price],Table6[Vehicle Price Factor])</f>
        <v>0.97</v>
      </c>
      <c r="AG892">
        <f>_xlfn.XLOOKUP(Table1820[[#This Row],[Exotic Car]],Table7[Exotic Car],Table7[Exotic Car Factor],,0)</f>
        <v>1</v>
      </c>
      <c r="AH892">
        <f>_xlfn.XLOOKUP(Table1820[[#This Row],[Difficult Parts]],Table8[Difficult Parts],Table8[Difficult Parts Factor],,0)</f>
        <v>1</v>
      </c>
      <c r="AI892">
        <f>_xlfn.XLOOKUP(Table1820[[#This Row],[High Theft Rate]],Table9[High Theft Rate],Table9[High Theft Rate Factor],,0)</f>
        <v>1</v>
      </c>
      <c r="AJ892">
        <f>_xlfn.XLOOKUP(Table1820[[#This Row],[Advanced Safety Features]],Table10[Advanced Safety Features],Table10[Advanced Safety Features Factor],,0)</f>
        <v>0.88</v>
      </c>
      <c r="AK892">
        <f>_xlfn.XLOOKUP(Table1820[[#This Row],[Deductible]],Table12[Deductible],Table12[Deductible Factor],,0)</f>
        <v>1</v>
      </c>
      <c r="AL892">
        <f>_xlfn.XLOOKUP(Table1820[[#This Row],[Coverage Limit]],Table13[Coverage Limit],Table13[Coverage Limit Factor],,0)</f>
        <v>0.72</v>
      </c>
      <c r="AM892">
        <f>IF(Table1820[[#This Row],[Good Student Discount]]="Yes",'Rate Book'!$D$126,1)</f>
        <v>1</v>
      </c>
      <c r="AN892">
        <f>IF(Table1820[[#This Row],[Good Driver Discount]]="Yes",'Rate Book'!$D$127,1)</f>
        <v>1</v>
      </c>
      <c r="AO892">
        <f>IF(Table1820[[#This Row],[Multi Policy Discount]]="Yes",'Rate Book'!$D$128,1)</f>
        <v>0.93</v>
      </c>
      <c r="AP892">
        <f>IF(Table1820[[#This Row],[Loyal Customer Discount]]="Yes",'Rate Book'!$D$129,1)</f>
        <v>0.94</v>
      </c>
      <c r="AQ892">
        <f>IF(Table1820[[#This Row],[Organization Discount]]="Yes",'Rate Book'!$D$130,1)</f>
        <v>1</v>
      </c>
      <c r="AR892" cm="1">
        <f t="array" ref="AR892">IF(Table1820[[#This Row],[Effective Date]]&gt;=RateChangeTable[Effective Date],RateChangeTable[Rate Change Factor],1)</f>
        <v>1.06</v>
      </c>
      <c r="AS892" s="10">
        <f>PRODUCT(Table1820[[#This Row],[Base Rate]:[Rate Change Factor]])</f>
        <v>63.871880216144028</v>
      </c>
      <c r="AT892" s="9">
        <f>Table1820[[#This Row],[System-Generated Premium]]-Table1820[[#This Row],[Expected Premium]]</f>
        <v>0</v>
      </c>
      <c r="AU892" t="str">
        <f>IF(Table1820[[#This Row],[Difference]]=0,"PASS","FAIL")</f>
        <v>PASS</v>
      </c>
      <c r="AV892" s="9">
        <f>ABS(Table1820[[#This Row],[Difference]])</f>
        <v>0</v>
      </c>
      <c r="AW892" s="9" t="s">
        <v>1136</v>
      </c>
    </row>
    <row r="893" spans="1:49" x14ac:dyDescent="0.3">
      <c r="A893" t="s">
        <v>984</v>
      </c>
      <c r="B893" s="7">
        <v>46030</v>
      </c>
      <c r="C893" t="s">
        <v>70</v>
      </c>
      <c r="D893" t="s">
        <v>1100</v>
      </c>
      <c r="E893" s="3">
        <v>5</v>
      </c>
      <c r="F893" s="3">
        <v>3</v>
      </c>
      <c r="G893" t="s">
        <v>10</v>
      </c>
      <c r="H893" t="s">
        <v>1110</v>
      </c>
      <c r="I893" t="s">
        <v>21</v>
      </c>
      <c r="J893" t="s">
        <v>54</v>
      </c>
      <c r="K893" t="s">
        <v>10</v>
      </c>
      <c r="L893" t="s">
        <v>10</v>
      </c>
      <c r="M893" t="s">
        <v>10</v>
      </c>
      <c r="N893" t="s">
        <v>10</v>
      </c>
      <c r="O893" t="str">
        <f>INDEX(CoverageTable[Deductible Applies],MATCH(Table1820[[#This Row],[Coverage]],CoverageTable[Coverage],0))</f>
        <v>No</v>
      </c>
      <c r="P893" t="str">
        <f>INDEX(CoverageTable[Coverage Limit Applies],MATCH(Table1820[[#This Row],[Coverage]],CoverageTable[Coverage],0))</f>
        <v>Yes</v>
      </c>
      <c r="Q893" t="s">
        <v>10</v>
      </c>
      <c r="R893" t="s">
        <v>78</v>
      </c>
      <c r="S893" t="s">
        <v>10</v>
      </c>
      <c r="T893" t="s">
        <v>10</v>
      </c>
      <c r="U893" t="s">
        <v>10</v>
      </c>
      <c r="V893" t="s">
        <v>10</v>
      </c>
      <c r="W893" t="s">
        <v>10</v>
      </c>
      <c r="X893" s="11">
        <v>3969.9840856971518</v>
      </c>
      <c r="Y893">
        <f>_xlfn.XLOOKUP(Table1820[[#This Row],[Coverage]],CoverageTable[Coverage],CoverageTable[Base Rate],,0)</f>
        <v>622</v>
      </c>
      <c r="Z893">
        <f>INDEX(Table16[Ageband Factor],MATCH(Table1820[[#This Row],[Ageband]],Table16[Ageband],0))</f>
        <v>1.07</v>
      </c>
      <c r="AA893">
        <f>VLOOKUP(Table1820[[#This Row],[Years Driving]],Table1[],2)</f>
        <v>1.07</v>
      </c>
      <c r="AB893">
        <f>_xlfn.XLOOKUP(Table1820[[#This Row],[At Fault Accidents]],Table2[At Fault Accidents],Table2[At Fault Accident Factor],,0)</f>
        <v>1.82</v>
      </c>
      <c r="AC893">
        <f>_xlfn.XLOOKUP(Table1820[[#This Row],[Usage-Based Insurance]],Table3[Usage-Based Insurance],Table3[Usage-Based Insurance Discount],,0)</f>
        <v>1</v>
      </c>
      <c r="AD893">
        <f>_xlfn.XLOOKUP(Table1820[[#This Row],[Yearly Miles]],Table4[Yearly Miles],Table4[Yearly Miles Factor],,0)</f>
        <v>1.31</v>
      </c>
      <c r="AE893">
        <f>_xlfn.XLOOKUP(Table1820[[#This Row],[City/Zip Code]],Table5[City/Zip Code],Table5[City/Zip Code Factor],,0)</f>
        <v>1.26</v>
      </c>
      <c r="AF893">
        <f>_xlfn.XLOOKUP(Table1820[[#This Row],[Vehicle Price]],Table6[Vehicle Price],Table6[Vehicle Price Factor])</f>
        <v>2.87</v>
      </c>
      <c r="AG893">
        <f>_xlfn.XLOOKUP(Table1820[[#This Row],[Exotic Car]],Table7[Exotic Car],Table7[Exotic Car Factor],,0)</f>
        <v>1</v>
      </c>
      <c r="AH893">
        <f>_xlfn.XLOOKUP(Table1820[[#This Row],[Difficult Parts]],Table8[Difficult Parts],Table8[Difficult Parts Factor],,0)</f>
        <v>1</v>
      </c>
      <c r="AI893">
        <f>_xlfn.XLOOKUP(Table1820[[#This Row],[High Theft Rate]],Table9[High Theft Rate],Table9[High Theft Rate Factor],,0)</f>
        <v>1</v>
      </c>
      <c r="AJ893">
        <f>_xlfn.XLOOKUP(Table1820[[#This Row],[Advanced Safety Features]],Table10[Advanced Safety Features],Table10[Advanced Safety Features Factor],,0)</f>
        <v>1</v>
      </c>
      <c r="AK893">
        <f>_xlfn.XLOOKUP(Table1820[[#This Row],[Deductible]],Table12[Deductible],Table12[Deductible Factor],,0)</f>
        <v>1</v>
      </c>
      <c r="AL893">
        <f>_xlfn.XLOOKUP(Table1820[[#This Row],[Coverage Limit]],Table13[Coverage Limit],Table13[Coverage Limit Factor],,0)</f>
        <v>0.61</v>
      </c>
      <c r="AM893">
        <f>IF(Table1820[[#This Row],[Good Student Discount]]="Yes",'Rate Book'!$D$126,1)</f>
        <v>1</v>
      </c>
      <c r="AN893">
        <f>IF(Table1820[[#This Row],[Good Driver Discount]]="Yes",'Rate Book'!$D$127,1)</f>
        <v>1</v>
      </c>
      <c r="AO893">
        <f>IF(Table1820[[#This Row],[Multi Policy Discount]]="Yes",'Rate Book'!$D$128,1)</f>
        <v>1</v>
      </c>
      <c r="AP893">
        <f>IF(Table1820[[#This Row],[Loyal Customer Discount]]="Yes",'Rate Book'!$D$129,1)</f>
        <v>1</v>
      </c>
      <c r="AQ893">
        <f>IF(Table1820[[#This Row],[Organization Discount]]="Yes",'Rate Book'!$D$130,1)</f>
        <v>1</v>
      </c>
      <c r="AR893" cm="1">
        <f t="array" ref="AR893">IF(Table1820[[#This Row],[Effective Date]]&gt;=RateChangeTable[Effective Date],RateChangeTable[Rate Change Factor],1)</f>
        <v>1.06</v>
      </c>
      <c r="AS893" s="10">
        <f>PRODUCT(Table1820[[#This Row],[Base Rate]:[Rate Change Factor]])</f>
        <v>3969.9840856971518</v>
      </c>
      <c r="AT893" s="9">
        <f>Table1820[[#This Row],[System-Generated Premium]]-Table1820[[#This Row],[Expected Premium]]</f>
        <v>0</v>
      </c>
      <c r="AU893" t="str">
        <f>IF(Table1820[[#This Row],[Difference]]=0,"PASS","FAIL")</f>
        <v>PASS</v>
      </c>
      <c r="AV893" s="9">
        <f>ABS(Table1820[[#This Row],[Difference]])</f>
        <v>0</v>
      </c>
      <c r="AW893" s="9" t="s">
        <v>1136</v>
      </c>
    </row>
    <row r="894" spans="1:49" x14ac:dyDescent="0.3">
      <c r="A894" t="s">
        <v>985</v>
      </c>
      <c r="B894" s="7">
        <v>46081</v>
      </c>
      <c r="C894" t="s">
        <v>73</v>
      </c>
      <c r="D894" t="s">
        <v>1098</v>
      </c>
      <c r="E894" s="3">
        <v>5</v>
      </c>
      <c r="F894" s="3">
        <v>0</v>
      </c>
      <c r="G894" t="s">
        <v>11</v>
      </c>
      <c r="H894" t="s">
        <v>1107</v>
      </c>
      <c r="I894" t="s">
        <v>38</v>
      </c>
      <c r="J894" t="s">
        <v>54</v>
      </c>
      <c r="K894" t="s">
        <v>10</v>
      </c>
      <c r="L894" t="s">
        <v>10</v>
      </c>
      <c r="M894" t="s">
        <v>10</v>
      </c>
      <c r="N894" t="s">
        <v>57</v>
      </c>
      <c r="O894" t="str">
        <f>INDEX(CoverageTable[Deductible Applies],MATCH(Table1820[[#This Row],[Coverage]],CoverageTable[Coverage],0))</f>
        <v>No</v>
      </c>
      <c r="P894" t="str">
        <f>INDEX(CoverageTable[Coverage Limit Applies],MATCH(Table1820[[#This Row],[Coverage]],CoverageTable[Coverage],0))</f>
        <v>Yes</v>
      </c>
      <c r="Q894" t="s">
        <v>10</v>
      </c>
      <c r="R894" t="s">
        <v>79</v>
      </c>
      <c r="S894" t="s">
        <v>10</v>
      </c>
      <c r="T894" t="s">
        <v>57</v>
      </c>
      <c r="U894" t="s">
        <v>10</v>
      </c>
      <c r="V894" t="s">
        <v>10</v>
      </c>
      <c r="W894" t="s">
        <v>10</v>
      </c>
      <c r="X894" s="11">
        <v>183.43</v>
      </c>
      <c r="Y894">
        <f>_xlfn.XLOOKUP(Table1820[[#This Row],[Coverage]],CoverageTable[Coverage],CoverageTable[Base Rate],,0)</f>
        <v>78</v>
      </c>
      <c r="Z894">
        <f>INDEX(Table16[Ageband Factor],MATCH(Table1820[[#This Row],[Ageband]],Table16[Ageband],0))</f>
        <v>1.23</v>
      </c>
      <c r="AA894">
        <f>VLOOKUP(Table1820[[#This Row],[Years Driving]],Table1[],2)</f>
        <v>1.07</v>
      </c>
      <c r="AB894">
        <f>_xlfn.XLOOKUP(Table1820[[#This Row],[At Fault Accidents]],Table2[At Fault Accidents],Table2[At Fault Accident Factor],,0)</f>
        <v>1</v>
      </c>
      <c r="AC894">
        <f>_xlfn.XLOOKUP(Table1820[[#This Row],[Usage-Based Insurance]],Table3[Usage-Based Insurance],Table3[Usage-Based Insurance Discount],,0)</f>
        <v>0.95</v>
      </c>
      <c r="AD894">
        <f>_xlfn.XLOOKUP(Table1820[[#This Row],[Yearly Miles]],Table4[Yearly Miles],Table4[Yearly Miles Factor],,0)</f>
        <v>0.93</v>
      </c>
      <c r="AE894">
        <f>_xlfn.XLOOKUP(Table1820[[#This Row],[City/Zip Code]],Table5[City/Zip Code],Table5[City/Zip Code Factor],,0)</f>
        <v>1.1200000000000001</v>
      </c>
      <c r="AF894">
        <f>_xlfn.XLOOKUP(Table1820[[#This Row],[Vehicle Price]],Table6[Vehicle Price],Table6[Vehicle Price Factor])</f>
        <v>2.87</v>
      </c>
      <c r="AG894">
        <f>_xlfn.XLOOKUP(Table1820[[#This Row],[Exotic Car]],Table7[Exotic Car],Table7[Exotic Car Factor],,0)</f>
        <v>1</v>
      </c>
      <c r="AH894">
        <f>_xlfn.XLOOKUP(Table1820[[#This Row],[Difficult Parts]],Table8[Difficult Parts],Table8[Difficult Parts Factor],,0)</f>
        <v>1</v>
      </c>
      <c r="AI894">
        <f>_xlfn.XLOOKUP(Table1820[[#This Row],[High Theft Rate]],Table9[High Theft Rate],Table9[High Theft Rate Factor],,0)</f>
        <v>1</v>
      </c>
      <c r="AJ894">
        <f>_xlfn.XLOOKUP(Table1820[[#This Row],[Advanced Safety Features]],Table10[Advanced Safety Features],Table10[Advanced Safety Features Factor],,0)</f>
        <v>0.88</v>
      </c>
      <c r="AK894">
        <f>_xlfn.XLOOKUP(Table1820[[#This Row],[Deductible]],Table12[Deductible],Table12[Deductible Factor],,0)</f>
        <v>1</v>
      </c>
      <c r="AL894">
        <f>_xlfn.XLOOKUP(Table1820[[#This Row],[Coverage Limit]],Table13[Coverage Limit],Table13[Coverage Limit Factor],,0)</f>
        <v>0.72</v>
      </c>
      <c r="AM894">
        <f>IF(Table1820[[#This Row],[Good Student Discount]]="Yes",'Rate Book'!$D$126,1)</f>
        <v>1</v>
      </c>
      <c r="AN894">
        <f>IF(Table1820[[#This Row],[Good Driver Discount]]="Yes",'Rate Book'!$D$127,1)</f>
        <v>0.89</v>
      </c>
      <c r="AO894">
        <f>IF(Table1820[[#This Row],[Multi Policy Discount]]="Yes",'Rate Book'!$D$128,1)</f>
        <v>1</v>
      </c>
      <c r="AP894">
        <f>IF(Table1820[[#This Row],[Loyal Customer Discount]]="Yes",'Rate Book'!$D$129,1)</f>
        <v>1</v>
      </c>
      <c r="AQ894">
        <f>IF(Table1820[[#This Row],[Organization Discount]]="Yes",'Rate Book'!$D$130,1)</f>
        <v>1</v>
      </c>
      <c r="AR894" cm="1">
        <f t="array" ref="AR894">IF(Table1820[[#This Row],[Effective Date]]&gt;=RateChangeTable[Effective Date],RateChangeTable[Rate Change Factor],1)</f>
        <v>1.06</v>
      </c>
      <c r="AS894" s="10">
        <f>PRODUCT(Table1820[[#This Row],[Base Rate]:[Rate Change Factor]])</f>
        <v>174.26132246186521</v>
      </c>
      <c r="AT894" s="9">
        <f>Table1820[[#This Row],[System-Generated Premium]]-Table1820[[#This Row],[Expected Premium]]</f>
        <v>9.1686775381348014</v>
      </c>
      <c r="AU894" t="str">
        <f>IF(Table1820[[#This Row],[Difference]]=0,"PASS","FAIL")</f>
        <v>FAIL</v>
      </c>
      <c r="AV894" s="9">
        <f>ABS(Table1820[[#This Row],[Difference]])</f>
        <v>9.1686775381348014</v>
      </c>
      <c r="AW894" s="9" t="s">
        <v>1145</v>
      </c>
    </row>
    <row r="895" spans="1:49" x14ac:dyDescent="0.3">
      <c r="A895" t="s">
        <v>986</v>
      </c>
      <c r="B895" s="7">
        <v>46004</v>
      </c>
      <c r="C895" t="s">
        <v>70</v>
      </c>
      <c r="D895" t="s">
        <v>1099</v>
      </c>
      <c r="E895" s="3">
        <v>2</v>
      </c>
      <c r="F895" s="3">
        <v>3</v>
      </c>
      <c r="G895" t="s">
        <v>13</v>
      </c>
      <c r="H895" t="s">
        <v>1106</v>
      </c>
      <c r="I895" t="s">
        <v>32</v>
      </c>
      <c r="J895" t="s">
        <v>51</v>
      </c>
      <c r="K895" t="s">
        <v>10</v>
      </c>
      <c r="L895" t="s">
        <v>57</v>
      </c>
      <c r="M895" t="s">
        <v>10</v>
      </c>
      <c r="N895" t="s">
        <v>57</v>
      </c>
      <c r="O895" t="str">
        <f>INDEX(CoverageTable[Deductible Applies],MATCH(Table1820[[#This Row],[Coverage]],CoverageTable[Coverage],0))</f>
        <v>No</v>
      </c>
      <c r="P895" t="str">
        <f>INDEX(CoverageTable[Coverage Limit Applies],MATCH(Table1820[[#This Row],[Coverage]],CoverageTable[Coverage],0))</f>
        <v>Yes</v>
      </c>
      <c r="Q895" t="s">
        <v>10</v>
      </c>
      <c r="R895" t="s">
        <v>78</v>
      </c>
      <c r="S895" t="s">
        <v>10</v>
      </c>
      <c r="T895" t="s">
        <v>10</v>
      </c>
      <c r="U895" t="s">
        <v>10</v>
      </c>
      <c r="V895" t="s">
        <v>10</v>
      </c>
      <c r="W895" t="s">
        <v>10</v>
      </c>
      <c r="X895" s="11">
        <v>792.19840588635236</v>
      </c>
      <c r="Y895">
        <f>_xlfn.XLOOKUP(Table1820[[#This Row],[Coverage]],CoverageTable[Coverage],CoverageTable[Base Rate],,0)</f>
        <v>622</v>
      </c>
      <c r="Z895">
        <f>INDEX(Table16[Ageband Factor],MATCH(Table1820[[#This Row],[Ageband]],Table16[Ageband],0))</f>
        <v>1</v>
      </c>
      <c r="AA895">
        <f>VLOOKUP(Table1820[[#This Row],[Years Driving]],Table1[],2)</f>
        <v>1.41</v>
      </c>
      <c r="AB895">
        <f>_xlfn.XLOOKUP(Table1820[[#This Row],[At Fault Accidents]],Table2[At Fault Accidents],Table2[At Fault Accident Factor],,0)</f>
        <v>1.82</v>
      </c>
      <c r="AC895">
        <f>_xlfn.XLOOKUP(Table1820[[#This Row],[Usage-Based Insurance]],Table3[Usage-Based Insurance],Table3[Usage-Based Insurance Discount],,0)</f>
        <v>0.65</v>
      </c>
      <c r="AD895">
        <f>_xlfn.XLOOKUP(Table1820[[#This Row],[Yearly Miles]],Table4[Yearly Miles],Table4[Yearly Miles Factor],,0)</f>
        <v>0.82</v>
      </c>
      <c r="AE895">
        <f>_xlfn.XLOOKUP(Table1820[[#This Row],[City/Zip Code]],Table5[City/Zip Code],Table5[City/Zip Code Factor],,0)</f>
        <v>1.1200000000000001</v>
      </c>
      <c r="AF895">
        <f>_xlfn.XLOOKUP(Table1820[[#This Row],[Vehicle Price]],Table6[Vehicle Price],Table6[Vehicle Price Factor])</f>
        <v>1.28</v>
      </c>
      <c r="AG895">
        <f>_xlfn.XLOOKUP(Table1820[[#This Row],[Exotic Car]],Table7[Exotic Car],Table7[Exotic Car Factor],,0)</f>
        <v>1</v>
      </c>
      <c r="AH895">
        <f>_xlfn.XLOOKUP(Table1820[[#This Row],[Difficult Parts]],Table8[Difficult Parts],Table8[Difficult Parts Factor],,0)</f>
        <v>1.21</v>
      </c>
      <c r="AI895">
        <f>_xlfn.XLOOKUP(Table1820[[#This Row],[High Theft Rate]],Table9[High Theft Rate],Table9[High Theft Rate Factor],,0)</f>
        <v>1</v>
      </c>
      <c r="AJ895">
        <f>_xlfn.XLOOKUP(Table1820[[#This Row],[Advanced Safety Features]],Table10[Advanced Safety Features],Table10[Advanced Safety Features Factor],,0)</f>
        <v>0.88</v>
      </c>
      <c r="AK895">
        <f>_xlfn.XLOOKUP(Table1820[[#This Row],[Deductible]],Table12[Deductible],Table12[Deductible Factor],,0)</f>
        <v>1</v>
      </c>
      <c r="AL895">
        <f>_xlfn.XLOOKUP(Table1820[[#This Row],[Coverage Limit]],Table13[Coverage Limit],Table13[Coverage Limit Factor],,0)</f>
        <v>0.61</v>
      </c>
      <c r="AM895">
        <f>IF(Table1820[[#This Row],[Good Student Discount]]="Yes",'Rate Book'!$D$126,1)</f>
        <v>1</v>
      </c>
      <c r="AN895">
        <f>IF(Table1820[[#This Row],[Good Driver Discount]]="Yes",'Rate Book'!$D$127,1)</f>
        <v>1</v>
      </c>
      <c r="AO895">
        <f>IF(Table1820[[#This Row],[Multi Policy Discount]]="Yes",'Rate Book'!$D$128,1)</f>
        <v>1</v>
      </c>
      <c r="AP895">
        <f>IF(Table1820[[#This Row],[Loyal Customer Discount]]="Yes",'Rate Book'!$D$129,1)</f>
        <v>1</v>
      </c>
      <c r="AQ895">
        <f>IF(Table1820[[#This Row],[Organization Discount]]="Yes",'Rate Book'!$D$130,1)</f>
        <v>1</v>
      </c>
      <c r="AR895" cm="1">
        <f t="array" ref="AR895">IF(Table1820[[#This Row],[Effective Date]]&gt;=RateChangeTable[Effective Date],RateChangeTable[Rate Change Factor],1)</f>
        <v>1</v>
      </c>
      <c r="AS895" s="10">
        <f>PRODUCT(Table1820[[#This Row],[Base Rate]:[Rate Change Factor]])</f>
        <v>792.19840588635236</v>
      </c>
      <c r="AT895" s="9">
        <f>Table1820[[#This Row],[System-Generated Premium]]-Table1820[[#This Row],[Expected Premium]]</f>
        <v>0</v>
      </c>
      <c r="AU895" t="str">
        <f>IF(Table1820[[#This Row],[Difference]]=0,"PASS","FAIL")</f>
        <v>PASS</v>
      </c>
      <c r="AV895" s="9">
        <f>ABS(Table1820[[#This Row],[Difference]])</f>
        <v>0</v>
      </c>
      <c r="AW895" s="9" t="s">
        <v>1136</v>
      </c>
    </row>
    <row r="896" spans="1:49" x14ac:dyDescent="0.3">
      <c r="A896" t="s">
        <v>987</v>
      </c>
      <c r="B896" s="7">
        <v>45976</v>
      </c>
      <c r="C896" t="s">
        <v>70</v>
      </c>
      <c r="D896" t="s">
        <v>1102</v>
      </c>
      <c r="E896" s="3">
        <v>7</v>
      </c>
      <c r="F896" s="3">
        <v>4</v>
      </c>
      <c r="G896" t="s">
        <v>11</v>
      </c>
      <c r="H896" t="s">
        <v>1108</v>
      </c>
      <c r="I896" t="s">
        <v>36</v>
      </c>
      <c r="J896" t="s">
        <v>52</v>
      </c>
      <c r="K896" t="s">
        <v>57</v>
      </c>
      <c r="L896" t="s">
        <v>10</v>
      </c>
      <c r="M896" t="s">
        <v>10</v>
      </c>
      <c r="N896" t="s">
        <v>57</v>
      </c>
      <c r="O896" t="str">
        <f>INDEX(CoverageTable[Deductible Applies],MATCH(Table1820[[#This Row],[Coverage]],CoverageTable[Coverage],0))</f>
        <v>No</v>
      </c>
      <c r="P896" t="str">
        <f>INDEX(CoverageTable[Coverage Limit Applies],MATCH(Table1820[[#This Row],[Coverage]],CoverageTable[Coverage],0))</f>
        <v>Yes</v>
      </c>
      <c r="Q896" t="s">
        <v>10</v>
      </c>
      <c r="R896" t="s">
        <v>78</v>
      </c>
      <c r="S896" t="s">
        <v>10</v>
      </c>
      <c r="T896" t="s">
        <v>10</v>
      </c>
      <c r="U896" t="s">
        <v>10</v>
      </c>
      <c r="V896" t="s">
        <v>10</v>
      </c>
      <c r="W896" t="s">
        <v>10</v>
      </c>
      <c r="X896" s="11">
        <v>1597.8109093684441</v>
      </c>
      <c r="Y896">
        <f>_xlfn.XLOOKUP(Table1820[[#This Row],[Coverage]],CoverageTable[Coverage],CoverageTable[Base Rate],,0)</f>
        <v>622</v>
      </c>
      <c r="Z896">
        <f>INDEX(Table16[Ageband Factor],MATCH(Table1820[[#This Row],[Ageband]],Table16[Ageband],0))</f>
        <v>1.27</v>
      </c>
      <c r="AA896">
        <f>VLOOKUP(Table1820[[#This Row],[Years Driving]],Table1[],2)</f>
        <v>0.95</v>
      </c>
      <c r="AB896">
        <f>_xlfn.XLOOKUP(Table1820[[#This Row],[At Fault Accidents]],Table2[At Fault Accidents],Table2[At Fault Accident Factor],,0)</f>
        <v>2.12</v>
      </c>
      <c r="AC896">
        <f>_xlfn.XLOOKUP(Table1820[[#This Row],[Usage-Based Insurance]],Table3[Usage-Based Insurance],Table3[Usage-Based Insurance Discount],,0)</f>
        <v>0.95</v>
      </c>
      <c r="AD896">
        <f>_xlfn.XLOOKUP(Table1820[[#This Row],[Yearly Miles]],Table4[Yearly Miles],Table4[Yearly Miles Factor],,0)</f>
        <v>1</v>
      </c>
      <c r="AE896">
        <f>_xlfn.XLOOKUP(Table1820[[#This Row],[City/Zip Code]],Table5[City/Zip Code],Table5[City/Zip Code Factor],,0)</f>
        <v>0.98</v>
      </c>
      <c r="AF896">
        <f>_xlfn.XLOOKUP(Table1820[[#This Row],[Vehicle Price]],Table6[Vehicle Price],Table6[Vehicle Price Factor])</f>
        <v>1.57</v>
      </c>
      <c r="AG896">
        <f>_xlfn.XLOOKUP(Table1820[[#This Row],[Exotic Car]],Table7[Exotic Car],Table7[Exotic Car Factor],,0)</f>
        <v>1.28</v>
      </c>
      <c r="AH896">
        <f>_xlfn.XLOOKUP(Table1820[[#This Row],[Difficult Parts]],Table8[Difficult Parts],Table8[Difficult Parts Factor],,0)</f>
        <v>1</v>
      </c>
      <c r="AI896">
        <f>_xlfn.XLOOKUP(Table1820[[#This Row],[High Theft Rate]],Table9[High Theft Rate],Table9[High Theft Rate Factor],,0)</f>
        <v>1</v>
      </c>
      <c r="AJ896">
        <f>_xlfn.XLOOKUP(Table1820[[#This Row],[Advanced Safety Features]],Table10[Advanced Safety Features],Table10[Advanced Safety Features Factor],,0)</f>
        <v>0.88</v>
      </c>
      <c r="AK896">
        <f>_xlfn.XLOOKUP(Table1820[[#This Row],[Deductible]],Table12[Deductible],Table12[Deductible Factor],,0)</f>
        <v>1</v>
      </c>
      <c r="AL896">
        <f>_xlfn.XLOOKUP(Table1820[[#This Row],[Coverage Limit]],Table13[Coverage Limit],Table13[Coverage Limit Factor],,0)</f>
        <v>0.61</v>
      </c>
      <c r="AM896">
        <f>IF(Table1820[[#This Row],[Good Student Discount]]="Yes",'Rate Book'!$D$126,1)</f>
        <v>1</v>
      </c>
      <c r="AN896">
        <f>IF(Table1820[[#This Row],[Good Driver Discount]]="Yes",'Rate Book'!$D$127,1)</f>
        <v>1</v>
      </c>
      <c r="AO896">
        <f>IF(Table1820[[#This Row],[Multi Policy Discount]]="Yes",'Rate Book'!$D$128,1)</f>
        <v>1</v>
      </c>
      <c r="AP896">
        <f>IF(Table1820[[#This Row],[Loyal Customer Discount]]="Yes",'Rate Book'!$D$129,1)</f>
        <v>1</v>
      </c>
      <c r="AQ896">
        <f>IF(Table1820[[#This Row],[Organization Discount]]="Yes",'Rate Book'!$D$130,1)</f>
        <v>1</v>
      </c>
      <c r="AR896" cm="1">
        <f t="array" ref="AR896">IF(Table1820[[#This Row],[Effective Date]]&gt;=RateChangeTable[Effective Date],RateChangeTable[Rate Change Factor],1)</f>
        <v>1</v>
      </c>
      <c r="AS896" s="10">
        <f>PRODUCT(Table1820[[#This Row],[Base Rate]:[Rate Change Factor]])</f>
        <v>1597.8109093684441</v>
      </c>
      <c r="AT896" s="9">
        <f>Table1820[[#This Row],[System-Generated Premium]]-Table1820[[#This Row],[Expected Premium]]</f>
        <v>0</v>
      </c>
      <c r="AU896" t="str">
        <f>IF(Table1820[[#This Row],[Difference]]=0,"PASS","FAIL")</f>
        <v>PASS</v>
      </c>
      <c r="AV896" s="9">
        <f>ABS(Table1820[[#This Row],[Difference]])</f>
        <v>0</v>
      </c>
      <c r="AW896" s="9" t="s">
        <v>1136</v>
      </c>
    </row>
    <row r="897" spans="1:49" x14ac:dyDescent="0.3">
      <c r="A897" t="s">
        <v>988</v>
      </c>
      <c r="B897" s="7">
        <v>46042</v>
      </c>
      <c r="C897" t="s">
        <v>72</v>
      </c>
      <c r="D897" t="s">
        <v>1102</v>
      </c>
      <c r="E897" s="3">
        <v>6</v>
      </c>
      <c r="F897" s="3">
        <v>1</v>
      </c>
      <c r="G897" t="s">
        <v>10</v>
      </c>
      <c r="H897" t="s">
        <v>1108</v>
      </c>
      <c r="I897" t="s">
        <v>21</v>
      </c>
      <c r="J897" t="s">
        <v>50</v>
      </c>
      <c r="K897" t="s">
        <v>57</v>
      </c>
      <c r="L897" t="s">
        <v>10</v>
      </c>
      <c r="M897" t="s">
        <v>10</v>
      </c>
      <c r="N897" t="s">
        <v>57</v>
      </c>
      <c r="O897" t="str">
        <f>INDEX(CoverageTable[Deductible Applies],MATCH(Table1820[[#This Row],[Coverage]],CoverageTable[Coverage],0))</f>
        <v>Yes</v>
      </c>
      <c r="P897" t="str">
        <f>INDEX(CoverageTable[Coverage Limit Applies],MATCH(Table1820[[#This Row],[Coverage]],CoverageTable[Coverage],0))</f>
        <v>No</v>
      </c>
      <c r="Q897" t="s">
        <v>79</v>
      </c>
      <c r="R897" t="s">
        <v>10</v>
      </c>
      <c r="S897" t="s">
        <v>10</v>
      </c>
      <c r="T897" t="s">
        <v>10</v>
      </c>
      <c r="U897" t="s">
        <v>10</v>
      </c>
      <c r="V897" t="s">
        <v>10</v>
      </c>
      <c r="W897" t="s">
        <v>10</v>
      </c>
      <c r="X897" s="11">
        <v>281.03860648708672</v>
      </c>
      <c r="Y897">
        <f>_xlfn.XLOOKUP(Table1820[[#This Row],[Coverage]],CoverageTable[Coverage],CoverageTable[Base Rate],,0)</f>
        <v>121</v>
      </c>
      <c r="Z897">
        <f>INDEX(Table16[Ageband Factor],MATCH(Table1820[[#This Row],[Ageband]],Table16[Ageband],0))</f>
        <v>1.27</v>
      </c>
      <c r="AA897">
        <f>VLOOKUP(Table1820[[#This Row],[Years Driving]],Table1[],2)</f>
        <v>1</v>
      </c>
      <c r="AB897">
        <f>_xlfn.XLOOKUP(Table1820[[#This Row],[At Fault Accidents]],Table2[At Fault Accidents],Table2[At Fault Accident Factor],,0)</f>
        <v>1.34</v>
      </c>
      <c r="AC897">
        <f>_xlfn.XLOOKUP(Table1820[[#This Row],[Usage-Based Insurance]],Table3[Usage-Based Insurance],Table3[Usage-Based Insurance Discount],,0)</f>
        <v>1</v>
      </c>
      <c r="AD897">
        <f>_xlfn.XLOOKUP(Table1820[[#This Row],[Yearly Miles]],Table4[Yearly Miles],Table4[Yearly Miles Factor],,0)</f>
        <v>1</v>
      </c>
      <c r="AE897">
        <f>_xlfn.XLOOKUP(Table1820[[#This Row],[City/Zip Code]],Table5[City/Zip Code],Table5[City/Zip Code Factor],,0)</f>
        <v>1.26</v>
      </c>
      <c r="AF897">
        <f>_xlfn.XLOOKUP(Table1820[[#This Row],[Vehicle Price]],Table6[Vehicle Price],Table6[Vehicle Price Factor])</f>
        <v>1.08</v>
      </c>
      <c r="AG897">
        <f>_xlfn.XLOOKUP(Table1820[[#This Row],[Exotic Car]],Table7[Exotic Car],Table7[Exotic Car Factor],,0)</f>
        <v>1.28</v>
      </c>
      <c r="AH897">
        <f>_xlfn.XLOOKUP(Table1820[[#This Row],[Difficult Parts]],Table8[Difficult Parts],Table8[Difficult Parts Factor],,0)</f>
        <v>1</v>
      </c>
      <c r="AI897">
        <f>_xlfn.XLOOKUP(Table1820[[#This Row],[High Theft Rate]],Table9[High Theft Rate],Table9[High Theft Rate Factor],,0)</f>
        <v>1</v>
      </c>
      <c r="AJ897">
        <f>_xlfn.XLOOKUP(Table1820[[#This Row],[Advanced Safety Features]],Table10[Advanced Safety Features],Table10[Advanced Safety Features Factor],,0)</f>
        <v>0.88</v>
      </c>
      <c r="AK897">
        <f>_xlfn.XLOOKUP(Table1820[[#This Row],[Deductible]],Table12[Deductible],Table12[Deductible Factor],,0)</f>
        <v>0.84</v>
      </c>
      <c r="AL897">
        <f>_xlfn.XLOOKUP(Table1820[[#This Row],[Coverage Limit]],Table13[Coverage Limit],Table13[Coverage Limit Factor],,0)</f>
        <v>1</v>
      </c>
      <c r="AM897">
        <f>IF(Table1820[[#This Row],[Good Student Discount]]="Yes",'Rate Book'!$D$126,1)</f>
        <v>1</v>
      </c>
      <c r="AN897">
        <f>IF(Table1820[[#This Row],[Good Driver Discount]]="Yes",'Rate Book'!$D$127,1)</f>
        <v>1</v>
      </c>
      <c r="AO897">
        <f>IF(Table1820[[#This Row],[Multi Policy Discount]]="Yes",'Rate Book'!$D$128,1)</f>
        <v>1</v>
      </c>
      <c r="AP897">
        <f>IF(Table1820[[#This Row],[Loyal Customer Discount]]="Yes",'Rate Book'!$D$129,1)</f>
        <v>1</v>
      </c>
      <c r="AQ897">
        <f>IF(Table1820[[#This Row],[Organization Discount]]="Yes",'Rate Book'!$D$130,1)</f>
        <v>1</v>
      </c>
      <c r="AR897" cm="1">
        <f t="array" ref="AR897">IF(Table1820[[#This Row],[Effective Date]]&gt;=RateChangeTable[Effective Date],RateChangeTable[Rate Change Factor],1)</f>
        <v>1.06</v>
      </c>
      <c r="AS897" s="10">
        <f>PRODUCT(Table1820[[#This Row],[Base Rate]:[Rate Change Factor]])</f>
        <v>281.03860648708672</v>
      </c>
      <c r="AT897" s="9">
        <f>Table1820[[#This Row],[System-Generated Premium]]-Table1820[[#This Row],[Expected Premium]]</f>
        <v>0</v>
      </c>
      <c r="AU897" t="str">
        <f>IF(Table1820[[#This Row],[Difference]]=0,"PASS","FAIL")</f>
        <v>PASS</v>
      </c>
      <c r="AV897" s="9">
        <f>ABS(Table1820[[#This Row],[Difference]])</f>
        <v>0</v>
      </c>
      <c r="AW897" s="9" t="s">
        <v>1136</v>
      </c>
    </row>
    <row r="898" spans="1:49" x14ac:dyDescent="0.3">
      <c r="A898" t="s">
        <v>989</v>
      </c>
      <c r="B898" s="7">
        <v>45962</v>
      </c>
      <c r="C898" t="s">
        <v>70</v>
      </c>
      <c r="D898" t="s">
        <v>1098</v>
      </c>
      <c r="E898" s="3">
        <v>3</v>
      </c>
      <c r="F898" s="3" t="s">
        <v>7</v>
      </c>
      <c r="G898" t="s">
        <v>10</v>
      </c>
      <c r="H898" t="s">
        <v>1108</v>
      </c>
      <c r="I898" t="s">
        <v>41</v>
      </c>
      <c r="J898" t="s">
        <v>50</v>
      </c>
      <c r="K898" t="s">
        <v>10</v>
      </c>
      <c r="L898" t="s">
        <v>10</v>
      </c>
      <c r="M898" t="s">
        <v>10</v>
      </c>
      <c r="N898" t="s">
        <v>57</v>
      </c>
      <c r="O898" t="str">
        <f>INDEX(CoverageTable[Deductible Applies],MATCH(Table1820[[#This Row],[Coverage]],CoverageTable[Coverage],0))</f>
        <v>No</v>
      </c>
      <c r="P898" t="str">
        <f>INDEX(CoverageTable[Coverage Limit Applies],MATCH(Table1820[[#This Row],[Coverage]],CoverageTable[Coverage],0))</f>
        <v>Yes</v>
      </c>
      <c r="Q898" t="s">
        <v>10</v>
      </c>
      <c r="R898" t="s">
        <v>78</v>
      </c>
      <c r="S898" t="s">
        <v>57</v>
      </c>
      <c r="T898" t="s">
        <v>57</v>
      </c>
      <c r="U898" t="s">
        <v>10</v>
      </c>
      <c r="V898" t="s">
        <v>10</v>
      </c>
      <c r="W898" t="s">
        <v>10</v>
      </c>
      <c r="X898" s="11">
        <v>1258.5318680458463</v>
      </c>
      <c r="Y898">
        <f>_xlfn.XLOOKUP(Table1820[[#This Row],[Coverage]],CoverageTable[Coverage],CoverageTable[Base Rate],,0)</f>
        <v>622</v>
      </c>
      <c r="Z898">
        <f>INDEX(Table16[Ageband Factor],MATCH(Table1820[[#This Row],[Ageband]],Table16[Ageband],0))</f>
        <v>1.23</v>
      </c>
      <c r="AA898">
        <f>VLOOKUP(Table1820[[#This Row],[Years Driving]],Table1[],2)</f>
        <v>1.22</v>
      </c>
      <c r="AB898">
        <f>_xlfn.XLOOKUP(Table1820[[#This Row],[At Fault Accidents]],Table2[At Fault Accidents],Table2[At Fault Accident Factor],,0)</f>
        <v>2.4700000000000002</v>
      </c>
      <c r="AC898">
        <f>_xlfn.XLOOKUP(Table1820[[#This Row],[Usage-Based Insurance]],Table3[Usage-Based Insurance],Table3[Usage-Based Insurance Discount],,0)</f>
        <v>1</v>
      </c>
      <c r="AD898">
        <f>_xlfn.XLOOKUP(Table1820[[#This Row],[Yearly Miles]],Table4[Yearly Miles],Table4[Yearly Miles Factor],,0)</f>
        <v>1</v>
      </c>
      <c r="AE898">
        <f>_xlfn.XLOOKUP(Table1820[[#This Row],[City/Zip Code]],Table5[City/Zip Code],Table5[City/Zip Code Factor],,0)</f>
        <v>1.1499999999999999</v>
      </c>
      <c r="AF898">
        <f>_xlfn.XLOOKUP(Table1820[[#This Row],[Vehicle Price]],Table6[Vehicle Price],Table6[Vehicle Price Factor])</f>
        <v>1.08</v>
      </c>
      <c r="AG898">
        <f>_xlfn.XLOOKUP(Table1820[[#This Row],[Exotic Car]],Table7[Exotic Car],Table7[Exotic Car Factor],,0)</f>
        <v>1</v>
      </c>
      <c r="AH898">
        <f>_xlfn.XLOOKUP(Table1820[[#This Row],[Difficult Parts]],Table8[Difficult Parts],Table8[Difficult Parts Factor],,0)</f>
        <v>1</v>
      </c>
      <c r="AI898">
        <f>_xlfn.XLOOKUP(Table1820[[#This Row],[High Theft Rate]],Table9[High Theft Rate],Table9[High Theft Rate Factor],,0)</f>
        <v>1</v>
      </c>
      <c r="AJ898">
        <f>_xlfn.XLOOKUP(Table1820[[#This Row],[Advanced Safety Features]],Table10[Advanced Safety Features],Table10[Advanced Safety Features Factor],,0)</f>
        <v>0.88</v>
      </c>
      <c r="AK898">
        <f>_xlfn.XLOOKUP(Table1820[[#This Row],[Deductible]],Table12[Deductible],Table12[Deductible Factor],,0)</f>
        <v>1</v>
      </c>
      <c r="AL898">
        <f>_xlfn.XLOOKUP(Table1820[[#This Row],[Coverage Limit]],Table13[Coverage Limit],Table13[Coverage Limit Factor],,0)</f>
        <v>0.61</v>
      </c>
      <c r="AM898">
        <f>IF(Table1820[[#This Row],[Good Student Discount]]="Yes",'Rate Book'!$D$126,1)</f>
        <v>0.92</v>
      </c>
      <c r="AN898">
        <f>IF(Table1820[[#This Row],[Good Driver Discount]]="Yes",'Rate Book'!$D$127,1)</f>
        <v>0.89</v>
      </c>
      <c r="AO898">
        <f>IF(Table1820[[#This Row],[Multi Policy Discount]]="Yes",'Rate Book'!$D$128,1)</f>
        <v>1</v>
      </c>
      <c r="AP898">
        <f>IF(Table1820[[#This Row],[Loyal Customer Discount]]="Yes",'Rate Book'!$D$129,1)</f>
        <v>1</v>
      </c>
      <c r="AQ898">
        <f>IF(Table1820[[#This Row],[Organization Discount]]="Yes",'Rate Book'!$D$130,1)</f>
        <v>1</v>
      </c>
      <c r="AR898" cm="1">
        <f t="array" ref="AR898">IF(Table1820[[#This Row],[Effective Date]]&gt;=RateChangeTable[Effective Date],RateChangeTable[Rate Change Factor],1)</f>
        <v>1</v>
      </c>
      <c r="AS898" s="10">
        <f>PRODUCT(Table1820[[#This Row],[Base Rate]:[Rate Change Factor]])</f>
        <v>1258.5318680458463</v>
      </c>
      <c r="AT898" s="9">
        <f>Table1820[[#This Row],[System-Generated Premium]]-Table1820[[#This Row],[Expected Premium]]</f>
        <v>0</v>
      </c>
      <c r="AU898" t="str">
        <f>IF(Table1820[[#This Row],[Difference]]=0,"PASS","FAIL")</f>
        <v>PASS</v>
      </c>
      <c r="AV898" s="9">
        <f>ABS(Table1820[[#This Row],[Difference]])</f>
        <v>0</v>
      </c>
      <c r="AW898" s="9" t="s">
        <v>1136</v>
      </c>
    </row>
    <row r="899" spans="1:49" x14ac:dyDescent="0.3">
      <c r="A899" t="s">
        <v>990</v>
      </c>
      <c r="B899" s="7">
        <v>46073</v>
      </c>
      <c r="C899" t="s">
        <v>71</v>
      </c>
      <c r="D899" t="s">
        <v>1101</v>
      </c>
      <c r="E899" s="3">
        <v>7</v>
      </c>
      <c r="F899" s="3">
        <v>0</v>
      </c>
      <c r="G899" t="s">
        <v>11</v>
      </c>
      <c r="H899" t="s">
        <v>1109</v>
      </c>
      <c r="I899" t="s">
        <v>27</v>
      </c>
      <c r="J899" t="s">
        <v>54</v>
      </c>
      <c r="K899" t="s">
        <v>10</v>
      </c>
      <c r="L899" t="s">
        <v>10</v>
      </c>
      <c r="M899" t="s">
        <v>57</v>
      </c>
      <c r="N899" t="s">
        <v>10</v>
      </c>
      <c r="O899" t="str">
        <f>INDEX(CoverageTable[Deductible Applies],MATCH(Table1820[[#This Row],[Coverage]],CoverageTable[Coverage],0))</f>
        <v>Yes</v>
      </c>
      <c r="P899" t="str">
        <f>INDEX(CoverageTable[Coverage Limit Applies],MATCH(Table1820[[#This Row],[Coverage]],CoverageTable[Coverage],0))</f>
        <v>No</v>
      </c>
      <c r="Q899" t="s">
        <v>79</v>
      </c>
      <c r="R899" t="s">
        <v>10</v>
      </c>
      <c r="S899" t="s">
        <v>10</v>
      </c>
      <c r="T899" t="s">
        <v>10</v>
      </c>
      <c r="U899" t="s">
        <v>10</v>
      </c>
      <c r="V899" t="s">
        <v>10</v>
      </c>
      <c r="W899" t="s">
        <v>10</v>
      </c>
      <c r="X899" s="11">
        <v>1505.5609208709855</v>
      </c>
      <c r="Y899">
        <f>_xlfn.XLOOKUP(Table1820[[#This Row],[Coverage]],CoverageTable[Coverage],CoverageTable[Base Rate],,0)</f>
        <v>453</v>
      </c>
      <c r="Z899">
        <f>INDEX(Table16[Ageband Factor],MATCH(Table1820[[#This Row],[Ageband]],Table16[Ageband],0))</f>
        <v>1.1200000000000001</v>
      </c>
      <c r="AA899">
        <f>VLOOKUP(Table1820[[#This Row],[Years Driving]],Table1[],2)</f>
        <v>0.95</v>
      </c>
      <c r="AB899">
        <f>_xlfn.XLOOKUP(Table1820[[#This Row],[At Fault Accidents]],Table2[At Fault Accidents],Table2[At Fault Accident Factor],,0)</f>
        <v>1</v>
      </c>
      <c r="AC899">
        <f>_xlfn.XLOOKUP(Table1820[[#This Row],[Usage-Based Insurance]],Table3[Usage-Based Insurance],Table3[Usage-Based Insurance Discount],,0)</f>
        <v>0.95</v>
      </c>
      <c r="AD899">
        <f>_xlfn.XLOOKUP(Table1820[[#This Row],[Yearly Miles]],Table4[Yearly Miles],Table4[Yearly Miles Factor],,0)</f>
        <v>1.18</v>
      </c>
      <c r="AE899">
        <f>_xlfn.XLOOKUP(Table1820[[#This Row],[City/Zip Code]],Table5[City/Zip Code],Table5[City/Zip Code Factor],,0)</f>
        <v>0.94</v>
      </c>
      <c r="AF899">
        <f>_xlfn.XLOOKUP(Table1820[[#This Row],[Vehicle Price]],Table6[Vehicle Price],Table6[Vehicle Price Factor])</f>
        <v>2.87</v>
      </c>
      <c r="AG899">
        <f>_xlfn.XLOOKUP(Table1820[[#This Row],[Exotic Car]],Table7[Exotic Car],Table7[Exotic Car Factor],,0)</f>
        <v>1</v>
      </c>
      <c r="AH899">
        <f>_xlfn.XLOOKUP(Table1820[[#This Row],[Difficult Parts]],Table8[Difficult Parts],Table8[Difficult Parts Factor],,0)</f>
        <v>1</v>
      </c>
      <c r="AI899">
        <f>_xlfn.XLOOKUP(Table1820[[#This Row],[High Theft Rate]],Table9[High Theft Rate],Table9[High Theft Rate Factor],,0)</f>
        <v>1.1599999999999999</v>
      </c>
      <c r="AJ899">
        <f>_xlfn.XLOOKUP(Table1820[[#This Row],[Advanced Safety Features]],Table10[Advanced Safety Features],Table10[Advanced Safety Features Factor],,0)</f>
        <v>1</v>
      </c>
      <c r="AK899">
        <f>_xlfn.XLOOKUP(Table1820[[#This Row],[Deductible]],Table12[Deductible],Table12[Deductible Factor],,0)</f>
        <v>0.84</v>
      </c>
      <c r="AL899">
        <f>_xlfn.XLOOKUP(Table1820[[#This Row],[Coverage Limit]],Table13[Coverage Limit],Table13[Coverage Limit Factor],,0)</f>
        <v>1</v>
      </c>
      <c r="AM899">
        <f>IF(Table1820[[#This Row],[Good Student Discount]]="Yes",'Rate Book'!$D$126,1)</f>
        <v>1</v>
      </c>
      <c r="AN899">
        <f>IF(Table1820[[#This Row],[Good Driver Discount]]="Yes",'Rate Book'!$D$127,1)</f>
        <v>1</v>
      </c>
      <c r="AO899">
        <f>IF(Table1820[[#This Row],[Multi Policy Discount]]="Yes",'Rate Book'!$D$128,1)</f>
        <v>1</v>
      </c>
      <c r="AP899">
        <f>IF(Table1820[[#This Row],[Loyal Customer Discount]]="Yes",'Rate Book'!$D$129,1)</f>
        <v>1</v>
      </c>
      <c r="AQ899">
        <f>IF(Table1820[[#This Row],[Organization Discount]]="Yes",'Rate Book'!$D$130,1)</f>
        <v>1</v>
      </c>
      <c r="AR899" cm="1">
        <f t="array" ref="AR899">IF(Table1820[[#This Row],[Effective Date]]&gt;=RateChangeTable[Effective Date],RateChangeTable[Rate Change Factor],1)</f>
        <v>1.06</v>
      </c>
      <c r="AS899" s="10">
        <f>PRODUCT(Table1820[[#This Row],[Base Rate]:[Rate Change Factor]])</f>
        <v>1505.5609208709855</v>
      </c>
      <c r="AT899" s="9">
        <f>Table1820[[#This Row],[System-Generated Premium]]-Table1820[[#This Row],[Expected Premium]]</f>
        <v>0</v>
      </c>
      <c r="AU899" t="str">
        <f>IF(Table1820[[#This Row],[Difference]]=0,"PASS","FAIL")</f>
        <v>PASS</v>
      </c>
      <c r="AV899" s="9">
        <f>ABS(Table1820[[#This Row],[Difference]])</f>
        <v>0</v>
      </c>
      <c r="AW899" s="9" t="s">
        <v>1136</v>
      </c>
    </row>
    <row r="900" spans="1:49" x14ac:dyDescent="0.3">
      <c r="A900" t="s">
        <v>991</v>
      </c>
      <c r="B900" s="7">
        <v>45945</v>
      </c>
      <c r="C900" t="s">
        <v>71</v>
      </c>
      <c r="D900" t="s">
        <v>1097</v>
      </c>
      <c r="E900" s="3">
        <v>3</v>
      </c>
      <c r="F900" s="3" t="s">
        <v>7</v>
      </c>
      <c r="G900" t="s">
        <v>11</v>
      </c>
      <c r="H900" t="s">
        <v>1107</v>
      </c>
      <c r="I900" t="s">
        <v>39</v>
      </c>
      <c r="J900" t="s">
        <v>48</v>
      </c>
      <c r="K900" t="s">
        <v>10</v>
      </c>
      <c r="L900" t="s">
        <v>10</v>
      </c>
      <c r="M900" t="s">
        <v>10</v>
      </c>
      <c r="N900" t="s">
        <v>10</v>
      </c>
      <c r="O900" t="str">
        <f>INDEX(CoverageTable[Deductible Applies],MATCH(Table1820[[#This Row],[Coverage]],CoverageTable[Coverage],0))</f>
        <v>Yes</v>
      </c>
      <c r="P900" t="str">
        <f>INDEX(CoverageTable[Coverage Limit Applies],MATCH(Table1820[[#This Row],[Coverage]],CoverageTable[Coverage],0))</f>
        <v>No</v>
      </c>
      <c r="Q900" t="s">
        <v>78</v>
      </c>
      <c r="R900" t="s">
        <v>10</v>
      </c>
      <c r="S900" t="s">
        <v>10</v>
      </c>
      <c r="T900" t="s">
        <v>10</v>
      </c>
      <c r="U900" t="s">
        <v>10</v>
      </c>
      <c r="V900" t="s">
        <v>10</v>
      </c>
      <c r="W900" t="s">
        <v>10</v>
      </c>
      <c r="X900" s="11">
        <v>1339.3580249235702</v>
      </c>
      <c r="Y900">
        <f>_xlfn.XLOOKUP(Table1820[[#This Row],[Coverage]],CoverageTable[Coverage],CoverageTable[Base Rate],,0)</f>
        <v>453</v>
      </c>
      <c r="Z900">
        <f>INDEX(Table16[Ageband Factor],MATCH(Table1820[[#This Row],[Ageband]],Table16[Ageband],0))</f>
        <v>1.32</v>
      </c>
      <c r="AA900">
        <f>VLOOKUP(Table1820[[#This Row],[Years Driving]],Table1[],2)</f>
        <v>1.22</v>
      </c>
      <c r="AB900">
        <f>_xlfn.XLOOKUP(Table1820[[#This Row],[At Fault Accidents]],Table2[At Fault Accidents],Table2[At Fault Accident Factor],,0)</f>
        <v>2.4700000000000002</v>
      </c>
      <c r="AC900">
        <f>_xlfn.XLOOKUP(Table1820[[#This Row],[Usage-Based Insurance]],Table3[Usage-Based Insurance],Table3[Usage-Based Insurance Discount],,0)</f>
        <v>0.95</v>
      </c>
      <c r="AD900">
        <f>_xlfn.XLOOKUP(Table1820[[#This Row],[Yearly Miles]],Table4[Yearly Miles],Table4[Yearly Miles Factor],,0)</f>
        <v>0.93</v>
      </c>
      <c r="AE900">
        <f>_xlfn.XLOOKUP(Table1820[[#This Row],[City/Zip Code]],Table5[City/Zip Code],Table5[City/Zip Code Factor],,0)</f>
        <v>1.08</v>
      </c>
      <c r="AF900">
        <f>_xlfn.XLOOKUP(Table1820[[#This Row],[Vehicle Price]],Table6[Vehicle Price],Table6[Vehicle Price Factor])</f>
        <v>0.82</v>
      </c>
      <c r="AG900">
        <f>_xlfn.XLOOKUP(Table1820[[#This Row],[Exotic Car]],Table7[Exotic Car],Table7[Exotic Car Factor],,0)</f>
        <v>1</v>
      </c>
      <c r="AH900">
        <f>_xlfn.XLOOKUP(Table1820[[#This Row],[Difficult Parts]],Table8[Difficult Parts],Table8[Difficult Parts Factor],,0)</f>
        <v>1</v>
      </c>
      <c r="AI900">
        <f>_xlfn.XLOOKUP(Table1820[[#This Row],[High Theft Rate]],Table9[High Theft Rate],Table9[High Theft Rate Factor],,0)</f>
        <v>1</v>
      </c>
      <c r="AJ900">
        <f>_xlfn.XLOOKUP(Table1820[[#This Row],[Advanced Safety Features]],Table10[Advanced Safety Features],Table10[Advanced Safety Features Factor],,0)</f>
        <v>1</v>
      </c>
      <c r="AK900">
        <f>_xlfn.XLOOKUP(Table1820[[#This Row],[Deductible]],Table12[Deductible],Table12[Deductible Factor],,0)</f>
        <v>0.95</v>
      </c>
      <c r="AL900">
        <f>_xlfn.XLOOKUP(Table1820[[#This Row],[Coverage Limit]],Table13[Coverage Limit],Table13[Coverage Limit Factor],,0)</f>
        <v>1</v>
      </c>
      <c r="AM900">
        <f>IF(Table1820[[#This Row],[Good Student Discount]]="Yes",'Rate Book'!$D$126,1)</f>
        <v>1</v>
      </c>
      <c r="AN900">
        <f>IF(Table1820[[#This Row],[Good Driver Discount]]="Yes",'Rate Book'!$D$127,1)</f>
        <v>1</v>
      </c>
      <c r="AO900">
        <f>IF(Table1820[[#This Row],[Multi Policy Discount]]="Yes",'Rate Book'!$D$128,1)</f>
        <v>1</v>
      </c>
      <c r="AP900">
        <f>IF(Table1820[[#This Row],[Loyal Customer Discount]]="Yes",'Rate Book'!$D$129,1)</f>
        <v>1</v>
      </c>
      <c r="AQ900">
        <f>IF(Table1820[[#This Row],[Organization Discount]]="Yes",'Rate Book'!$D$130,1)</f>
        <v>1</v>
      </c>
      <c r="AR900" cm="1">
        <f t="array" ref="AR900">IF(Table1820[[#This Row],[Effective Date]]&gt;=RateChangeTable[Effective Date],RateChangeTable[Rate Change Factor],1)</f>
        <v>1</v>
      </c>
      <c r="AS900" s="10">
        <f>PRODUCT(Table1820[[#This Row],[Base Rate]:[Rate Change Factor]])</f>
        <v>1339.3580249235702</v>
      </c>
      <c r="AT900" s="9">
        <f>Table1820[[#This Row],[System-Generated Premium]]-Table1820[[#This Row],[Expected Premium]]</f>
        <v>0</v>
      </c>
      <c r="AU900" t="str">
        <f>IF(Table1820[[#This Row],[Difference]]=0,"PASS","FAIL")</f>
        <v>PASS</v>
      </c>
      <c r="AV900" s="9">
        <f>ABS(Table1820[[#This Row],[Difference]])</f>
        <v>0</v>
      </c>
      <c r="AW900" s="9" t="s">
        <v>1136</v>
      </c>
    </row>
    <row r="901" spans="1:49" x14ac:dyDescent="0.3">
      <c r="A901" t="s">
        <v>992</v>
      </c>
      <c r="B901" s="7">
        <v>46119</v>
      </c>
      <c r="C901" t="s">
        <v>72</v>
      </c>
      <c r="D901" t="s">
        <v>1099</v>
      </c>
      <c r="E901" s="3">
        <v>3</v>
      </c>
      <c r="F901" s="3">
        <v>1</v>
      </c>
      <c r="G901" t="s">
        <v>12</v>
      </c>
      <c r="H901" t="s">
        <v>1108</v>
      </c>
      <c r="I901" t="s">
        <v>22</v>
      </c>
      <c r="J901" t="s">
        <v>54</v>
      </c>
      <c r="K901" t="s">
        <v>10</v>
      </c>
      <c r="L901" t="s">
        <v>10</v>
      </c>
      <c r="M901" t="s">
        <v>10</v>
      </c>
      <c r="N901" t="s">
        <v>57</v>
      </c>
      <c r="O901" t="str">
        <f>INDEX(CoverageTable[Deductible Applies],MATCH(Table1820[[#This Row],[Coverage]],CoverageTable[Coverage],0))</f>
        <v>Yes</v>
      </c>
      <c r="P901" t="str">
        <f>INDEX(CoverageTable[Coverage Limit Applies],MATCH(Table1820[[#This Row],[Coverage]],CoverageTable[Coverage],0))</f>
        <v>No</v>
      </c>
      <c r="Q901" t="s">
        <v>78</v>
      </c>
      <c r="R901" t="s">
        <v>10</v>
      </c>
      <c r="S901" t="s">
        <v>10</v>
      </c>
      <c r="T901" t="s">
        <v>10</v>
      </c>
      <c r="U901" t="s">
        <v>57</v>
      </c>
      <c r="V901" t="s">
        <v>10</v>
      </c>
      <c r="W901" t="s">
        <v>10</v>
      </c>
      <c r="X901" s="11">
        <v>452.90002500018619</v>
      </c>
      <c r="Y901">
        <f>_xlfn.XLOOKUP(Table1820[[#This Row],[Coverage]],CoverageTable[Coverage],CoverageTable[Base Rate],,0)</f>
        <v>121</v>
      </c>
      <c r="Z901">
        <f>INDEX(Table16[Ageband Factor],MATCH(Table1820[[#This Row],[Ageband]],Table16[Ageband],0))</f>
        <v>1</v>
      </c>
      <c r="AA901">
        <f>VLOOKUP(Table1820[[#This Row],[Years Driving]],Table1[],2)</f>
        <v>1.22</v>
      </c>
      <c r="AB901">
        <f>_xlfn.XLOOKUP(Table1820[[#This Row],[At Fault Accidents]],Table2[At Fault Accidents],Table2[At Fault Accident Factor],,0)</f>
        <v>1.34</v>
      </c>
      <c r="AC901">
        <f>_xlfn.XLOOKUP(Table1820[[#This Row],[Usage-Based Insurance]],Table3[Usage-Based Insurance],Table3[Usage-Based Insurance Discount],,0)</f>
        <v>0.8</v>
      </c>
      <c r="AD901">
        <f>_xlfn.XLOOKUP(Table1820[[#This Row],[Yearly Miles]],Table4[Yearly Miles],Table4[Yearly Miles Factor],,0)</f>
        <v>1</v>
      </c>
      <c r="AE901">
        <f>_xlfn.XLOOKUP(Table1820[[#This Row],[City/Zip Code]],Table5[City/Zip Code],Table5[City/Zip Code Factor],,0)</f>
        <v>1.21</v>
      </c>
      <c r="AF901">
        <f>_xlfn.XLOOKUP(Table1820[[#This Row],[Vehicle Price]],Table6[Vehicle Price],Table6[Vehicle Price Factor])</f>
        <v>2.87</v>
      </c>
      <c r="AG901">
        <f>_xlfn.XLOOKUP(Table1820[[#This Row],[Exotic Car]],Table7[Exotic Car],Table7[Exotic Car Factor],,0)</f>
        <v>1</v>
      </c>
      <c r="AH901">
        <f>_xlfn.XLOOKUP(Table1820[[#This Row],[Difficult Parts]],Table8[Difficult Parts],Table8[Difficult Parts Factor],,0)</f>
        <v>1</v>
      </c>
      <c r="AI901">
        <f>_xlfn.XLOOKUP(Table1820[[#This Row],[High Theft Rate]],Table9[High Theft Rate],Table9[High Theft Rate Factor],,0)</f>
        <v>1</v>
      </c>
      <c r="AJ901">
        <f>_xlfn.XLOOKUP(Table1820[[#This Row],[Advanced Safety Features]],Table10[Advanced Safety Features],Table10[Advanced Safety Features Factor],,0)</f>
        <v>0.88</v>
      </c>
      <c r="AK901">
        <f>_xlfn.XLOOKUP(Table1820[[#This Row],[Deductible]],Table12[Deductible],Table12[Deductible Factor],,0)</f>
        <v>0.95</v>
      </c>
      <c r="AL901">
        <f>_xlfn.XLOOKUP(Table1820[[#This Row],[Coverage Limit]],Table13[Coverage Limit],Table13[Coverage Limit Factor],,0)</f>
        <v>1</v>
      </c>
      <c r="AM901">
        <f>IF(Table1820[[#This Row],[Good Student Discount]]="Yes",'Rate Book'!$D$126,1)</f>
        <v>1</v>
      </c>
      <c r="AN901">
        <f>IF(Table1820[[#This Row],[Good Driver Discount]]="Yes",'Rate Book'!$D$127,1)</f>
        <v>1</v>
      </c>
      <c r="AO901">
        <f>IF(Table1820[[#This Row],[Multi Policy Discount]]="Yes",'Rate Book'!$D$128,1)</f>
        <v>0.93</v>
      </c>
      <c r="AP901">
        <f>IF(Table1820[[#This Row],[Loyal Customer Discount]]="Yes",'Rate Book'!$D$129,1)</f>
        <v>1</v>
      </c>
      <c r="AQ901">
        <f>IF(Table1820[[#This Row],[Organization Discount]]="Yes",'Rate Book'!$D$130,1)</f>
        <v>1</v>
      </c>
      <c r="AR901" cm="1">
        <f t="array" ref="AR901">IF(Table1820[[#This Row],[Effective Date]]&gt;=RateChangeTable[Effective Date],RateChangeTable[Rate Change Factor],1)</f>
        <v>1.06</v>
      </c>
      <c r="AS901" s="10">
        <f>PRODUCT(Table1820[[#This Row],[Base Rate]:[Rate Change Factor]])</f>
        <v>452.90002500018619</v>
      </c>
      <c r="AT901" s="9">
        <f>Table1820[[#This Row],[System-Generated Premium]]-Table1820[[#This Row],[Expected Premium]]</f>
        <v>0</v>
      </c>
      <c r="AU901" t="str">
        <f>IF(Table1820[[#This Row],[Difference]]=0,"PASS","FAIL")</f>
        <v>PASS</v>
      </c>
      <c r="AV901" s="9">
        <f>ABS(Table1820[[#This Row],[Difference]])</f>
        <v>0</v>
      </c>
      <c r="AW901" s="9" t="s">
        <v>1136</v>
      </c>
    </row>
    <row r="902" spans="1:49" x14ac:dyDescent="0.3">
      <c r="A902" t="s">
        <v>993</v>
      </c>
      <c r="B902" s="7">
        <v>46086</v>
      </c>
      <c r="C902" t="s">
        <v>70</v>
      </c>
      <c r="D902" t="s">
        <v>1098</v>
      </c>
      <c r="E902" s="3">
        <v>3</v>
      </c>
      <c r="F902" s="3">
        <v>4</v>
      </c>
      <c r="G902" t="s">
        <v>10</v>
      </c>
      <c r="H902" t="s">
        <v>1106</v>
      </c>
      <c r="I902" t="s">
        <v>26</v>
      </c>
      <c r="J902" t="s">
        <v>50</v>
      </c>
      <c r="K902" t="s">
        <v>10</v>
      </c>
      <c r="L902" t="s">
        <v>10</v>
      </c>
      <c r="M902" t="s">
        <v>10</v>
      </c>
      <c r="N902" t="s">
        <v>57</v>
      </c>
      <c r="O902" t="str">
        <f>INDEX(CoverageTable[Deductible Applies],MATCH(Table1820[[#This Row],[Coverage]],CoverageTable[Coverage],0))</f>
        <v>No</v>
      </c>
      <c r="P902" t="str">
        <f>INDEX(CoverageTable[Coverage Limit Applies],MATCH(Table1820[[#This Row],[Coverage]],CoverageTable[Coverage],0))</f>
        <v>Yes</v>
      </c>
      <c r="Q902" t="s">
        <v>10</v>
      </c>
      <c r="R902" t="s">
        <v>78</v>
      </c>
      <c r="S902" t="s">
        <v>10</v>
      </c>
      <c r="T902" t="s">
        <v>57</v>
      </c>
      <c r="U902" t="s">
        <v>10</v>
      </c>
      <c r="V902" t="s">
        <v>10</v>
      </c>
      <c r="W902" t="s">
        <v>10</v>
      </c>
      <c r="X902" s="11">
        <v>1020.5517106915828</v>
      </c>
      <c r="Y902">
        <f>_xlfn.XLOOKUP(Table1820[[#This Row],[Coverage]],CoverageTable[Coverage],CoverageTable[Base Rate],,0)</f>
        <v>622</v>
      </c>
      <c r="Z902">
        <f>INDEX(Table16[Ageband Factor],MATCH(Table1820[[#This Row],[Ageband]],Table16[Ageband],0))</f>
        <v>1.23</v>
      </c>
      <c r="AA902">
        <f>VLOOKUP(Table1820[[#This Row],[Years Driving]],Table1[],2)</f>
        <v>1.22</v>
      </c>
      <c r="AB902">
        <f>_xlfn.XLOOKUP(Table1820[[#This Row],[At Fault Accidents]],Table2[At Fault Accidents],Table2[At Fault Accident Factor],,0)</f>
        <v>2.12</v>
      </c>
      <c r="AC902">
        <f>_xlfn.XLOOKUP(Table1820[[#This Row],[Usage-Based Insurance]],Table3[Usage-Based Insurance],Table3[Usage-Based Insurance Discount],,0)</f>
        <v>1</v>
      </c>
      <c r="AD902">
        <f>_xlfn.XLOOKUP(Table1820[[#This Row],[Yearly Miles]],Table4[Yearly Miles],Table4[Yearly Miles Factor],,0)</f>
        <v>0.82</v>
      </c>
      <c r="AE902">
        <f>_xlfn.XLOOKUP(Table1820[[#This Row],[City/Zip Code]],Table5[City/Zip Code],Table5[City/Zip Code Factor],,0)</f>
        <v>1.1499999999999999</v>
      </c>
      <c r="AF902">
        <f>_xlfn.XLOOKUP(Table1820[[#This Row],[Vehicle Price]],Table6[Vehicle Price],Table6[Vehicle Price Factor])</f>
        <v>1.08</v>
      </c>
      <c r="AG902">
        <f>_xlfn.XLOOKUP(Table1820[[#This Row],[Exotic Car]],Table7[Exotic Car],Table7[Exotic Car Factor],,0)</f>
        <v>1</v>
      </c>
      <c r="AH902">
        <f>_xlfn.XLOOKUP(Table1820[[#This Row],[Difficult Parts]],Table8[Difficult Parts],Table8[Difficult Parts Factor],,0)</f>
        <v>1</v>
      </c>
      <c r="AI902">
        <f>_xlfn.XLOOKUP(Table1820[[#This Row],[High Theft Rate]],Table9[High Theft Rate],Table9[High Theft Rate Factor],,0)</f>
        <v>1</v>
      </c>
      <c r="AJ902">
        <f>_xlfn.XLOOKUP(Table1820[[#This Row],[Advanced Safety Features]],Table10[Advanced Safety Features],Table10[Advanced Safety Features Factor],,0)</f>
        <v>0.88</v>
      </c>
      <c r="AK902">
        <f>_xlfn.XLOOKUP(Table1820[[#This Row],[Deductible]],Table12[Deductible],Table12[Deductible Factor],,0)</f>
        <v>1</v>
      </c>
      <c r="AL902">
        <f>_xlfn.XLOOKUP(Table1820[[#This Row],[Coverage Limit]],Table13[Coverage Limit],Table13[Coverage Limit Factor],,0)</f>
        <v>0.61</v>
      </c>
      <c r="AM902">
        <f>IF(Table1820[[#This Row],[Good Student Discount]]="Yes",'Rate Book'!$D$126,1)</f>
        <v>1</v>
      </c>
      <c r="AN902">
        <f>IF(Table1820[[#This Row],[Good Driver Discount]]="Yes",'Rate Book'!$D$127,1)</f>
        <v>0.89</v>
      </c>
      <c r="AO902">
        <f>IF(Table1820[[#This Row],[Multi Policy Discount]]="Yes",'Rate Book'!$D$128,1)</f>
        <v>1</v>
      </c>
      <c r="AP902">
        <f>IF(Table1820[[#This Row],[Loyal Customer Discount]]="Yes",'Rate Book'!$D$129,1)</f>
        <v>1</v>
      </c>
      <c r="AQ902">
        <f>IF(Table1820[[#This Row],[Organization Discount]]="Yes",'Rate Book'!$D$130,1)</f>
        <v>1</v>
      </c>
      <c r="AR902" cm="1">
        <f t="array" ref="AR902">IF(Table1820[[#This Row],[Effective Date]]&gt;=RateChangeTable[Effective Date],RateChangeTable[Rate Change Factor],1)</f>
        <v>1.06</v>
      </c>
      <c r="AS902" s="10">
        <f>PRODUCT(Table1820[[#This Row],[Base Rate]:[Rate Change Factor]])</f>
        <v>1020.5517106915828</v>
      </c>
      <c r="AT902" s="9">
        <f>Table1820[[#This Row],[System-Generated Premium]]-Table1820[[#This Row],[Expected Premium]]</f>
        <v>0</v>
      </c>
      <c r="AU902" t="str">
        <f>IF(Table1820[[#This Row],[Difference]]=0,"PASS","FAIL")</f>
        <v>PASS</v>
      </c>
      <c r="AV902" s="9">
        <f>ABS(Table1820[[#This Row],[Difference]])</f>
        <v>0</v>
      </c>
      <c r="AW902" s="9" t="s">
        <v>1136</v>
      </c>
    </row>
    <row r="903" spans="1:49" x14ac:dyDescent="0.3">
      <c r="A903" t="s">
        <v>994</v>
      </c>
      <c r="B903" s="7">
        <v>45958</v>
      </c>
      <c r="C903" t="s">
        <v>70</v>
      </c>
      <c r="D903" t="s">
        <v>1100</v>
      </c>
      <c r="E903" s="3">
        <v>2</v>
      </c>
      <c r="F903" s="3">
        <v>1</v>
      </c>
      <c r="G903" t="s">
        <v>10</v>
      </c>
      <c r="H903" t="s">
        <v>1109</v>
      </c>
      <c r="I903" t="s">
        <v>26</v>
      </c>
      <c r="J903" t="s">
        <v>50</v>
      </c>
      <c r="K903" t="s">
        <v>57</v>
      </c>
      <c r="L903" t="s">
        <v>57</v>
      </c>
      <c r="M903" t="s">
        <v>10</v>
      </c>
      <c r="N903" t="s">
        <v>10</v>
      </c>
      <c r="O903" t="str">
        <f>INDEX(CoverageTable[Deductible Applies],MATCH(Table1820[[#This Row],[Coverage]],CoverageTable[Coverage],0))</f>
        <v>No</v>
      </c>
      <c r="P903" t="str">
        <f>INDEX(CoverageTable[Coverage Limit Applies],MATCH(Table1820[[#This Row],[Coverage]],CoverageTable[Coverage],0))</f>
        <v>Yes</v>
      </c>
      <c r="Q903" t="s">
        <v>10</v>
      </c>
      <c r="R903" t="s">
        <v>79</v>
      </c>
      <c r="S903" t="s">
        <v>10</v>
      </c>
      <c r="T903" t="s">
        <v>10</v>
      </c>
      <c r="U903" t="s">
        <v>57</v>
      </c>
      <c r="V903" t="s">
        <v>10</v>
      </c>
      <c r="W903" t="s">
        <v>10</v>
      </c>
      <c r="X903" s="11">
        <v>1911.2278335366359</v>
      </c>
      <c r="Y903">
        <f>_xlfn.XLOOKUP(Table1820[[#This Row],[Coverage]],CoverageTable[Coverage],CoverageTable[Base Rate],,0)</f>
        <v>622</v>
      </c>
      <c r="Z903">
        <f>INDEX(Table16[Ageband Factor],MATCH(Table1820[[#This Row],[Ageband]],Table16[Ageband],0))</f>
        <v>1.07</v>
      </c>
      <c r="AA903">
        <f>VLOOKUP(Table1820[[#This Row],[Years Driving]],Table1[],2)</f>
        <v>1.41</v>
      </c>
      <c r="AB903">
        <f>_xlfn.XLOOKUP(Table1820[[#This Row],[At Fault Accidents]],Table2[At Fault Accidents],Table2[At Fault Accident Factor],,0)</f>
        <v>1.34</v>
      </c>
      <c r="AC903">
        <f>_xlfn.XLOOKUP(Table1820[[#This Row],[Usage-Based Insurance]],Table3[Usage-Based Insurance],Table3[Usage-Based Insurance Discount],,0)</f>
        <v>1</v>
      </c>
      <c r="AD903">
        <f>_xlfn.XLOOKUP(Table1820[[#This Row],[Yearly Miles]],Table4[Yearly Miles],Table4[Yearly Miles Factor],,0)</f>
        <v>1.18</v>
      </c>
      <c r="AE903">
        <f>_xlfn.XLOOKUP(Table1820[[#This Row],[City/Zip Code]],Table5[City/Zip Code],Table5[City/Zip Code Factor],,0)</f>
        <v>1.1499999999999999</v>
      </c>
      <c r="AF903">
        <f>_xlfn.XLOOKUP(Table1820[[#This Row],[Vehicle Price]],Table6[Vehicle Price],Table6[Vehicle Price Factor])</f>
        <v>1.08</v>
      </c>
      <c r="AG903">
        <f>_xlfn.XLOOKUP(Table1820[[#This Row],[Exotic Car]],Table7[Exotic Car],Table7[Exotic Car Factor],,0)</f>
        <v>1.28</v>
      </c>
      <c r="AH903">
        <f>_xlfn.XLOOKUP(Table1820[[#This Row],[Difficult Parts]],Table8[Difficult Parts],Table8[Difficult Parts Factor],,0)</f>
        <v>1.21</v>
      </c>
      <c r="AI903">
        <f>_xlfn.XLOOKUP(Table1820[[#This Row],[High Theft Rate]],Table9[High Theft Rate],Table9[High Theft Rate Factor],,0)</f>
        <v>1</v>
      </c>
      <c r="AJ903">
        <f>_xlfn.XLOOKUP(Table1820[[#This Row],[Advanced Safety Features]],Table10[Advanced Safety Features],Table10[Advanced Safety Features Factor],,0)</f>
        <v>1</v>
      </c>
      <c r="AK903">
        <f>_xlfn.XLOOKUP(Table1820[[#This Row],[Deductible]],Table12[Deductible],Table12[Deductible Factor],,0)</f>
        <v>1</v>
      </c>
      <c r="AL903">
        <f>_xlfn.XLOOKUP(Table1820[[#This Row],[Coverage Limit]],Table13[Coverage Limit],Table13[Coverage Limit Factor],,0)</f>
        <v>0.72</v>
      </c>
      <c r="AM903">
        <f>IF(Table1820[[#This Row],[Good Student Discount]]="Yes",'Rate Book'!$D$126,1)</f>
        <v>1</v>
      </c>
      <c r="AN903">
        <f>IF(Table1820[[#This Row],[Good Driver Discount]]="Yes",'Rate Book'!$D$127,1)</f>
        <v>1</v>
      </c>
      <c r="AO903">
        <f>IF(Table1820[[#This Row],[Multi Policy Discount]]="Yes",'Rate Book'!$D$128,1)</f>
        <v>0.93</v>
      </c>
      <c r="AP903">
        <f>IF(Table1820[[#This Row],[Loyal Customer Discount]]="Yes",'Rate Book'!$D$129,1)</f>
        <v>1</v>
      </c>
      <c r="AQ903">
        <f>IF(Table1820[[#This Row],[Organization Discount]]="Yes",'Rate Book'!$D$130,1)</f>
        <v>1</v>
      </c>
      <c r="AR903" cm="1">
        <f t="array" ref="AR903">IF(Table1820[[#This Row],[Effective Date]]&gt;=RateChangeTable[Effective Date],RateChangeTable[Rate Change Factor],1)</f>
        <v>1</v>
      </c>
      <c r="AS903" s="10">
        <f>PRODUCT(Table1820[[#This Row],[Base Rate]:[Rate Change Factor]])</f>
        <v>1911.2278335366359</v>
      </c>
      <c r="AT903" s="9">
        <f>Table1820[[#This Row],[System-Generated Premium]]-Table1820[[#This Row],[Expected Premium]]</f>
        <v>0</v>
      </c>
      <c r="AU903" t="str">
        <f>IF(Table1820[[#This Row],[Difference]]=0,"PASS","FAIL")</f>
        <v>PASS</v>
      </c>
      <c r="AV903" s="9">
        <f>ABS(Table1820[[#This Row],[Difference]])</f>
        <v>0</v>
      </c>
      <c r="AW903" s="9" t="s">
        <v>1136</v>
      </c>
    </row>
    <row r="904" spans="1:49" x14ac:dyDescent="0.3">
      <c r="A904" t="s">
        <v>995</v>
      </c>
      <c r="B904" s="7">
        <v>45931</v>
      </c>
      <c r="C904" t="s">
        <v>70</v>
      </c>
      <c r="D904" t="s">
        <v>1102</v>
      </c>
      <c r="E904" s="3">
        <v>1</v>
      </c>
      <c r="F904" s="3">
        <v>0</v>
      </c>
      <c r="G904" t="s">
        <v>10</v>
      </c>
      <c r="H904" t="s">
        <v>1107</v>
      </c>
      <c r="I904" t="s">
        <v>31</v>
      </c>
      <c r="J904" t="s">
        <v>51</v>
      </c>
      <c r="K904" t="s">
        <v>10</v>
      </c>
      <c r="L904" t="s">
        <v>10</v>
      </c>
      <c r="M904" t="s">
        <v>10</v>
      </c>
      <c r="N904" t="s">
        <v>10</v>
      </c>
      <c r="O904" t="str">
        <f>INDEX(CoverageTable[Deductible Applies],MATCH(Table1820[[#This Row],[Coverage]],CoverageTable[Coverage],0))</f>
        <v>No</v>
      </c>
      <c r="P904" t="str">
        <f>INDEX(CoverageTable[Coverage Limit Applies],MATCH(Table1820[[#This Row],[Coverage]],CoverageTable[Coverage],0))</f>
        <v>Yes</v>
      </c>
      <c r="Q904" t="s">
        <v>10</v>
      </c>
      <c r="R904" t="s">
        <v>78</v>
      </c>
      <c r="S904" t="s">
        <v>10</v>
      </c>
      <c r="T904" t="s">
        <v>57</v>
      </c>
      <c r="U904" t="s">
        <v>10</v>
      </c>
      <c r="V904" t="s">
        <v>10</v>
      </c>
      <c r="W904" t="s">
        <v>10</v>
      </c>
      <c r="X904" s="11">
        <v>929.33799319305251</v>
      </c>
      <c r="Y904">
        <f>_xlfn.XLOOKUP(Table1820[[#This Row],[Coverage]],CoverageTable[Coverage],CoverageTable[Base Rate],,0)</f>
        <v>622</v>
      </c>
      <c r="Z904">
        <f>INDEX(Table16[Ageband Factor],MATCH(Table1820[[#This Row],[Ageband]],Table16[Ageband],0))</f>
        <v>1.27</v>
      </c>
      <c r="AA904">
        <f>VLOOKUP(Table1820[[#This Row],[Years Driving]],Table1[],2)</f>
        <v>1.64</v>
      </c>
      <c r="AB904">
        <f>_xlfn.XLOOKUP(Table1820[[#This Row],[At Fault Accidents]],Table2[At Fault Accidents],Table2[At Fault Accident Factor],,0)</f>
        <v>1</v>
      </c>
      <c r="AC904">
        <f>_xlfn.XLOOKUP(Table1820[[#This Row],[Usage-Based Insurance]],Table3[Usage-Based Insurance],Table3[Usage-Based Insurance Discount],,0)</f>
        <v>1</v>
      </c>
      <c r="AD904">
        <f>_xlfn.XLOOKUP(Table1820[[#This Row],[Yearly Miles]],Table4[Yearly Miles],Table4[Yearly Miles Factor],,0)</f>
        <v>0.93</v>
      </c>
      <c r="AE904">
        <f>_xlfn.XLOOKUP(Table1820[[#This Row],[City/Zip Code]],Table5[City/Zip Code],Table5[City/Zip Code Factor],,0)</f>
        <v>1.1100000000000001</v>
      </c>
      <c r="AF904">
        <f>_xlfn.XLOOKUP(Table1820[[#This Row],[Vehicle Price]],Table6[Vehicle Price],Table6[Vehicle Price Factor])</f>
        <v>1.28</v>
      </c>
      <c r="AG904">
        <f>_xlfn.XLOOKUP(Table1820[[#This Row],[Exotic Car]],Table7[Exotic Car],Table7[Exotic Car Factor],,0)</f>
        <v>1</v>
      </c>
      <c r="AH904">
        <f>_xlfn.XLOOKUP(Table1820[[#This Row],[Difficult Parts]],Table8[Difficult Parts],Table8[Difficult Parts Factor],,0)</f>
        <v>1</v>
      </c>
      <c r="AI904">
        <f>_xlfn.XLOOKUP(Table1820[[#This Row],[High Theft Rate]],Table9[High Theft Rate],Table9[High Theft Rate Factor],,0)</f>
        <v>1</v>
      </c>
      <c r="AJ904">
        <f>_xlfn.XLOOKUP(Table1820[[#This Row],[Advanced Safety Features]],Table10[Advanced Safety Features],Table10[Advanced Safety Features Factor],,0)</f>
        <v>1</v>
      </c>
      <c r="AK904">
        <f>_xlfn.XLOOKUP(Table1820[[#This Row],[Deductible]],Table12[Deductible],Table12[Deductible Factor],,0)</f>
        <v>1</v>
      </c>
      <c r="AL904">
        <f>_xlfn.XLOOKUP(Table1820[[#This Row],[Coverage Limit]],Table13[Coverage Limit],Table13[Coverage Limit Factor],,0)</f>
        <v>0.61</v>
      </c>
      <c r="AM904">
        <f>IF(Table1820[[#This Row],[Good Student Discount]]="Yes",'Rate Book'!$D$126,1)</f>
        <v>1</v>
      </c>
      <c r="AN904">
        <f>IF(Table1820[[#This Row],[Good Driver Discount]]="Yes",'Rate Book'!$D$127,1)</f>
        <v>0.89</v>
      </c>
      <c r="AO904">
        <f>IF(Table1820[[#This Row],[Multi Policy Discount]]="Yes",'Rate Book'!$D$128,1)</f>
        <v>1</v>
      </c>
      <c r="AP904">
        <f>IF(Table1820[[#This Row],[Loyal Customer Discount]]="Yes",'Rate Book'!$D$129,1)</f>
        <v>1</v>
      </c>
      <c r="AQ904">
        <f>IF(Table1820[[#This Row],[Organization Discount]]="Yes",'Rate Book'!$D$130,1)</f>
        <v>1</v>
      </c>
      <c r="AR904" cm="1">
        <f t="array" ref="AR904">IF(Table1820[[#This Row],[Effective Date]]&gt;=RateChangeTable[Effective Date],RateChangeTable[Rate Change Factor],1)</f>
        <v>1</v>
      </c>
      <c r="AS904" s="10">
        <f>PRODUCT(Table1820[[#This Row],[Base Rate]:[Rate Change Factor]])</f>
        <v>929.33799319305251</v>
      </c>
      <c r="AT904" s="9">
        <f>Table1820[[#This Row],[System-Generated Premium]]-Table1820[[#This Row],[Expected Premium]]</f>
        <v>0</v>
      </c>
      <c r="AU904" t="str">
        <f>IF(Table1820[[#This Row],[Difference]]=0,"PASS","FAIL")</f>
        <v>PASS</v>
      </c>
      <c r="AV904" s="9">
        <f>ABS(Table1820[[#This Row],[Difference]])</f>
        <v>0</v>
      </c>
      <c r="AW904" s="9" t="s">
        <v>1136</v>
      </c>
    </row>
    <row r="905" spans="1:49" x14ac:dyDescent="0.3">
      <c r="A905" t="s">
        <v>996</v>
      </c>
      <c r="B905" s="7">
        <v>46012</v>
      </c>
      <c r="C905" t="s">
        <v>70</v>
      </c>
      <c r="D905" t="s">
        <v>1099</v>
      </c>
      <c r="E905" s="3">
        <v>1</v>
      </c>
      <c r="F905" s="3">
        <v>1</v>
      </c>
      <c r="G905" t="s">
        <v>11</v>
      </c>
      <c r="H905" t="s">
        <v>1106</v>
      </c>
      <c r="I905" t="s">
        <v>23</v>
      </c>
      <c r="J905" t="s">
        <v>48</v>
      </c>
      <c r="K905" t="s">
        <v>10</v>
      </c>
      <c r="L905" t="s">
        <v>10</v>
      </c>
      <c r="M905" t="s">
        <v>57</v>
      </c>
      <c r="N905" t="s">
        <v>10</v>
      </c>
      <c r="O905" t="str">
        <f>INDEX(CoverageTable[Deductible Applies],MATCH(Table1820[[#This Row],[Coverage]],CoverageTable[Coverage],0))</f>
        <v>No</v>
      </c>
      <c r="P905" t="str">
        <f>INDEX(CoverageTable[Coverage Limit Applies],MATCH(Table1820[[#This Row],[Coverage]],CoverageTable[Coverage],0))</f>
        <v>Yes</v>
      </c>
      <c r="Q905" t="s">
        <v>10</v>
      </c>
      <c r="R905" t="s">
        <v>78</v>
      </c>
      <c r="S905" t="s">
        <v>10</v>
      </c>
      <c r="T905" t="s">
        <v>10</v>
      </c>
      <c r="U905" t="s">
        <v>57</v>
      </c>
      <c r="V905" t="s">
        <v>10</v>
      </c>
      <c r="W905" t="s">
        <v>10</v>
      </c>
      <c r="X905" s="11">
        <v>528.62651315942253</v>
      </c>
      <c r="Y905">
        <f>_xlfn.XLOOKUP(Table1820[[#This Row],[Coverage]],CoverageTable[Coverage],CoverageTable[Base Rate],,0)</f>
        <v>622</v>
      </c>
      <c r="Z905">
        <f>INDEX(Table16[Ageband Factor],MATCH(Table1820[[#This Row],[Ageband]],Table16[Ageband],0))</f>
        <v>1</v>
      </c>
      <c r="AA905">
        <f>VLOOKUP(Table1820[[#This Row],[Years Driving]],Table1[],2)</f>
        <v>1.64</v>
      </c>
      <c r="AB905">
        <f>_xlfn.XLOOKUP(Table1820[[#This Row],[At Fault Accidents]],Table2[At Fault Accidents],Table2[At Fault Accident Factor],,0)</f>
        <v>1.34</v>
      </c>
      <c r="AC905">
        <f>_xlfn.XLOOKUP(Table1820[[#This Row],[Usage-Based Insurance]],Table3[Usage-Based Insurance],Table3[Usage-Based Insurance Discount],,0)</f>
        <v>0.95</v>
      </c>
      <c r="AD905">
        <f>_xlfn.XLOOKUP(Table1820[[#This Row],[Yearly Miles]],Table4[Yearly Miles],Table4[Yearly Miles Factor],,0)</f>
        <v>0.82</v>
      </c>
      <c r="AE905">
        <f>_xlfn.XLOOKUP(Table1820[[#This Row],[City/Zip Code]],Table5[City/Zip Code],Table5[City/Zip Code Factor],,0)</f>
        <v>0.92</v>
      </c>
      <c r="AF905">
        <f>_xlfn.XLOOKUP(Table1820[[#This Row],[Vehicle Price]],Table6[Vehicle Price],Table6[Vehicle Price Factor])</f>
        <v>0.82</v>
      </c>
      <c r="AG905">
        <f>_xlfn.XLOOKUP(Table1820[[#This Row],[Exotic Car]],Table7[Exotic Car],Table7[Exotic Car Factor],,0)</f>
        <v>1</v>
      </c>
      <c r="AH905">
        <f>_xlfn.XLOOKUP(Table1820[[#This Row],[Difficult Parts]],Table8[Difficult Parts],Table8[Difficult Parts Factor],,0)</f>
        <v>1</v>
      </c>
      <c r="AI905">
        <f>_xlfn.XLOOKUP(Table1820[[#This Row],[High Theft Rate]],Table9[High Theft Rate],Table9[High Theft Rate Factor],,0)</f>
        <v>1.1599999999999999</v>
      </c>
      <c r="AJ905">
        <f>_xlfn.XLOOKUP(Table1820[[#This Row],[Advanced Safety Features]],Table10[Advanced Safety Features],Table10[Advanced Safety Features Factor],,0)</f>
        <v>1</v>
      </c>
      <c r="AK905">
        <f>_xlfn.XLOOKUP(Table1820[[#This Row],[Deductible]],Table12[Deductible],Table12[Deductible Factor],,0)</f>
        <v>1</v>
      </c>
      <c r="AL905">
        <f>_xlfn.XLOOKUP(Table1820[[#This Row],[Coverage Limit]],Table13[Coverage Limit],Table13[Coverage Limit Factor],,0)</f>
        <v>0.61</v>
      </c>
      <c r="AM905">
        <f>IF(Table1820[[#This Row],[Good Student Discount]]="Yes",'Rate Book'!$D$126,1)</f>
        <v>1</v>
      </c>
      <c r="AN905">
        <f>IF(Table1820[[#This Row],[Good Driver Discount]]="Yes",'Rate Book'!$D$127,1)</f>
        <v>1</v>
      </c>
      <c r="AO905">
        <f>IF(Table1820[[#This Row],[Multi Policy Discount]]="Yes",'Rate Book'!$D$128,1)</f>
        <v>0.93</v>
      </c>
      <c r="AP905">
        <f>IF(Table1820[[#This Row],[Loyal Customer Discount]]="Yes",'Rate Book'!$D$129,1)</f>
        <v>1</v>
      </c>
      <c r="AQ905">
        <f>IF(Table1820[[#This Row],[Organization Discount]]="Yes",'Rate Book'!$D$130,1)</f>
        <v>1</v>
      </c>
      <c r="AR905" cm="1">
        <f t="array" ref="AR905">IF(Table1820[[#This Row],[Effective Date]]&gt;=RateChangeTable[Effective Date],RateChangeTable[Rate Change Factor],1)</f>
        <v>1</v>
      </c>
      <c r="AS905" s="10">
        <f>PRODUCT(Table1820[[#This Row],[Base Rate]:[Rate Change Factor]])</f>
        <v>528.62651315942253</v>
      </c>
      <c r="AT905" s="9">
        <f>Table1820[[#This Row],[System-Generated Premium]]-Table1820[[#This Row],[Expected Premium]]</f>
        <v>0</v>
      </c>
      <c r="AU905" t="str">
        <f>IF(Table1820[[#This Row],[Difference]]=0,"PASS","FAIL")</f>
        <v>PASS</v>
      </c>
      <c r="AV905" s="9">
        <f>ABS(Table1820[[#This Row],[Difference]])</f>
        <v>0</v>
      </c>
      <c r="AW905" s="9" t="s">
        <v>1136</v>
      </c>
    </row>
    <row r="906" spans="1:49" x14ac:dyDescent="0.3">
      <c r="A906" t="s">
        <v>997</v>
      </c>
      <c r="B906" s="7">
        <v>46079</v>
      </c>
      <c r="C906" t="s">
        <v>71</v>
      </c>
      <c r="D906" t="s">
        <v>1101</v>
      </c>
      <c r="E906" s="3">
        <v>2</v>
      </c>
      <c r="F906" s="3">
        <v>1</v>
      </c>
      <c r="G906" t="s">
        <v>12</v>
      </c>
      <c r="H906" t="s">
        <v>1108</v>
      </c>
      <c r="I906" t="s">
        <v>41</v>
      </c>
      <c r="J906" t="s">
        <v>53</v>
      </c>
      <c r="K906" t="s">
        <v>10</v>
      </c>
      <c r="L906" t="s">
        <v>10</v>
      </c>
      <c r="M906" t="s">
        <v>10</v>
      </c>
      <c r="N906" t="s">
        <v>10</v>
      </c>
      <c r="O906" t="str">
        <f>INDEX(CoverageTable[Deductible Applies],MATCH(Table1820[[#This Row],[Coverage]],CoverageTable[Coverage],0))</f>
        <v>Yes</v>
      </c>
      <c r="P906" t="str">
        <f>INDEX(CoverageTable[Coverage Limit Applies],MATCH(Table1820[[#This Row],[Coverage]],CoverageTable[Coverage],0))</f>
        <v>No</v>
      </c>
      <c r="Q906" t="s">
        <v>80</v>
      </c>
      <c r="R906" t="s">
        <v>10</v>
      </c>
      <c r="S906" t="s">
        <v>10</v>
      </c>
      <c r="T906" t="s">
        <v>10</v>
      </c>
      <c r="U906" t="s">
        <v>57</v>
      </c>
      <c r="V906" t="s">
        <v>57</v>
      </c>
      <c r="W906" t="s">
        <v>10</v>
      </c>
      <c r="X906" s="11">
        <v>1188.5802138773997</v>
      </c>
      <c r="Y906">
        <f>_xlfn.XLOOKUP(Table1820[[#This Row],[Coverage]],CoverageTable[Coverage],CoverageTable[Base Rate],,0)</f>
        <v>453</v>
      </c>
      <c r="Z906">
        <f>INDEX(Table16[Ageband Factor],MATCH(Table1820[[#This Row],[Ageband]],Table16[Ageband],0))</f>
        <v>1.1200000000000001</v>
      </c>
      <c r="AA906">
        <f>VLOOKUP(Table1820[[#This Row],[Years Driving]],Table1[],2)</f>
        <v>1.41</v>
      </c>
      <c r="AB906">
        <f>_xlfn.XLOOKUP(Table1820[[#This Row],[At Fault Accidents]],Table2[At Fault Accidents],Table2[At Fault Accident Factor],,0)</f>
        <v>1.34</v>
      </c>
      <c r="AC906">
        <f>_xlfn.XLOOKUP(Table1820[[#This Row],[Usage-Based Insurance]],Table3[Usage-Based Insurance],Table3[Usage-Based Insurance Discount],,0)</f>
        <v>0.8</v>
      </c>
      <c r="AD906">
        <f>_xlfn.XLOOKUP(Table1820[[#This Row],[Yearly Miles]],Table4[Yearly Miles],Table4[Yearly Miles Factor],,0)</f>
        <v>1</v>
      </c>
      <c r="AE906">
        <f>_xlfn.XLOOKUP(Table1820[[#This Row],[City/Zip Code]],Table5[City/Zip Code],Table5[City/Zip Code Factor],,0)</f>
        <v>1.1499999999999999</v>
      </c>
      <c r="AF906">
        <f>_xlfn.XLOOKUP(Table1820[[#This Row],[Vehicle Price]],Table6[Vehicle Price],Table6[Vehicle Price Factor])</f>
        <v>2.02</v>
      </c>
      <c r="AG906">
        <f>_xlfn.XLOOKUP(Table1820[[#This Row],[Exotic Car]],Table7[Exotic Car],Table7[Exotic Car Factor],,0)</f>
        <v>1</v>
      </c>
      <c r="AH906">
        <f>_xlfn.XLOOKUP(Table1820[[#This Row],[Difficult Parts]],Table8[Difficult Parts],Table8[Difficult Parts Factor],,0)</f>
        <v>1</v>
      </c>
      <c r="AI906">
        <f>_xlfn.XLOOKUP(Table1820[[#This Row],[High Theft Rate]],Table9[High Theft Rate],Table9[High Theft Rate Factor],,0)</f>
        <v>1</v>
      </c>
      <c r="AJ906">
        <f>_xlfn.XLOOKUP(Table1820[[#This Row],[Advanced Safety Features]],Table10[Advanced Safety Features],Table10[Advanced Safety Features Factor],,0)</f>
        <v>1</v>
      </c>
      <c r="AK906">
        <f>_xlfn.XLOOKUP(Table1820[[#This Row],[Deductible]],Table12[Deductible],Table12[Deductible Factor],,0)</f>
        <v>0.72</v>
      </c>
      <c r="AL906">
        <f>_xlfn.XLOOKUP(Table1820[[#This Row],[Coverage Limit]],Table13[Coverage Limit],Table13[Coverage Limit Factor],,0)</f>
        <v>1</v>
      </c>
      <c r="AM906">
        <f>IF(Table1820[[#This Row],[Good Student Discount]]="Yes",'Rate Book'!$D$126,1)</f>
        <v>1</v>
      </c>
      <c r="AN906">
        <f>IF(Table1820[[#This Row],[Good Driver Discount]]="Yes",'Rate Book'!$D$127,1)</f>
        <v>1</v>
      </c>
      <c r="AO906">
        <f>IF(Table1820[[#This Row],[Multi Policy Discount]]="Yes",'Rate Book'!$D$128,1)</f>
        <v>0.93</v>
      </c>
      <c r="AP906">
        <f>IF(Table1820[[#This Row],[Loyal Customer Discount]]="Yes",'Rate Book'!$D$129,1)</f>
        <v>0.94</v>
      </c>
      <c r="AQ906">
        <f>IF(Table1820[[#This Row],[Organization Discount]]="Yes",'Rate Book'!$D$130,1)</f>
        <v>1</v>
      </c>
      <c r="AR906" cm="1">
        <f t="array" ref="AR906">IF(Table1820[[#This Row],[Effective Date]]&gt;=RateChangeTable[Effective Date],RateChangeTable[Rate Change Factor],1)</f>
        <v>1.06</v>
      </c>
      <c r="AS906" s="10">
        <f>PRODUCT(Table1820[[#This Row],[Base Rate]:[Rate Change Factor]])</f>
        <v>1188.5802138773997</v>
      </c>
      <c r="AT906" s="9">
        <f>Table1820[[#This Row],[System-Generated Premium]]-Table1820[[#This Row],[Expected Premium]]</f>
        <v>0</v>
      </c>
      <c r="AU906" t="str">
        <f>IF(Table1820[[#This Row],[Difference]]=0,"PASS","FAIL")</f>
        <v>PASS</v>
      </c>
      <c r="AV906" s="9">
        <f>ABS(Table1820[[#This Row],[Difference]])</f>
        <v>0</v>
      </c>
      <c r="AW906" s="9" t="s">
        <v>1136</v>
      </c>
    </row>
    <row r="907" spans="1:49" x14ac:dyDescent="0.3">
      <c r="A907" t="s">
        <v>998</v>
      </c>
      <c r="B907" s="7">
        <v>46102</v>
      </c>
      <c r="C907" t="s">
        <v>70</v>
      </c>
      <c r="D907" t="s">
        <v>1100</v>
      </c>
      <c r="E907" s="3">
        <v>1</v>
      </c>
      <c r="F907" s="3">
        <v>1</v>
      </c>
      <c r="G907" t="s">
        <v>12</v>
      </c>
      <c r="H907" t="s">
        <v>1110</v>
      </c>
      <c r="I907" t="s">
        <v>32</v>
      </c>
      <c r="J907" t="s">
        <v>52</v>
      </c>
      <c r="K907" t="s">
        <v>10</v>
      </c>
      <c r="L907" t="s">
        <v>57</v>
      </c>
      <c r="M907" t="s">
        <v>57</v>
      </c>
      <c r="N907" t="s">
        <v>10</v>
      </c>
      <c r="O907" t="str">
        <f>INDEX(CoverageTable[Deductible Applies],MATCH(Table1820[[#This Row],[Coverage]],CoverageTable[Coverage],0))</f>
        <v>No</v>
      </c>
      <c r="P907" t="str">
        <f>INDEX(CoverageTable[Coverage Limit Applies],MATCH(Table1820[[#This Row],[Coverage]],CoverageTable[Coverage],0))</f>
        <v>Yes</v>
      </c>
      <c r="Q907" t="s">
        <v>10</v>
      </c>
      <c r="R907" t="s">
        <v>78</v>
      </c>
      <c r="S907" t="s">
        <v>10</v>
      </c>
      <c r="T907" t="s">
        <v>10</v>
      </c>
      <c r="U907" t="s">
        <v>57</v>
      </c>
      <c r="V907" t="s">
        <v>10</v>
      </c>
      <c r="W907" t="s">
        <v>10</v>
      </c>
      <c r="X907" s="11">
        <v>2274.9076696205152</v>
      </c>
      <c r="Y907">
        <f>_xlfn.XLOOKUP(Table1820[[#This Row],[Coverage]],CoverageTable[Coverage],CoverageTable[Base Rate],,0)</f>
        <v>622</v>
      </c>
      <c r="Z907">
        <f>INDEX(Table16[Ageband Factor],MATCH(Table1820[[#This Row],[Ageband]],Table16[Ageband],0))</f>
        <v>1.07</v>
      </c>
      <c r="AA907">
        <f>VLOOKUP(Table1820[[#This Row],[Years Driving]],Table1[],2)</f>
        <v>1.64</v>
      </c>
      <c r="AB907">
        <f>_xlfn.XLOOKUP(Table1820[[#This Row],[At Fault Accidents]],Table2[At Fault Accidents],Table2[At Fault Accident Factor],,0)</f>
        <v>1.34</v>
      </c>
      <c r="AC907">
        <f>_xlfn.XLOOKUP(Table1820[[#This Row],[Usage-Based Insurance]],Table3[Usage-Based Insurance],Table3[Usage-Based Insurance Discount],,0)</f>
        <v>0.8</v>
      </c>
      <c r="AD907">
        <f>_xlfn.XLOOKUP(Table1820[[#This Row],[Yearly Miles]],Table4[Yearly Miles],Table4[Yearly Miles Factor],,0)</f>
        <v>1.31</v>
      </c>
      <c r="AE907">
        <f>_xlfn.XLOOKUP(Table1820[[#This Row],[City/Zip Code]],Table5[City/Zip Code],Table5[City/Zip Code Factor],,0)</f>
        <v>1.1200000000000001</v>
      </c>
      <c r="AF907">
        <f>_xlfn.XLOOKUP(Table1820[[#This Row],[Vehicle Price]],Table6[Vehicle Price],Table6[Vehicle Price Factor])</f>
        <v>1.57</v>
      </c>
      <c r="AG907">
        <f>_xlfn.XLOOKUP(Table1820[[#This Row],[Exotic Car]],Table7[Exotic Car],Table7[Exotic Car Factor],,0)</f>
        <v>1</v>
      </c>
      <c r="AH907">
        <f>_xlfn.XLOOKUP(Table1820[[#This Row],[Difficult Parts]],Table8[Difficult Parts],Table8[Difficult Parts Factor],,0)</f>
        <v>1.21</v>
      </c>
      <c r="AI907">
        <f>_xlfn.XLOOKUP(Table1820[[#This Row],[High Theft Rate]],Table9[High Theft Rate],Table9[High Theft Rate Factor],,0)</f>
        <v>1.1599999999999999</v>
      </c>
      <c r="AJ907">
        <f>_xlfn.XLOOKUP(Table1820[[#This Row],[Advanced Safety Features]],Table10[Advanced Safety Features],Table10[Advanced Safety Features Factor],,0)</f>
        <v>1</v>
      </c>
      <c r="AK907">
        <f>_xlfn.XLOOKUP(Table1820[[#This Row],[Deductible]],Table12[Deductible],Table12[Deductible Factor],,0)</f>
        <v>1</v>
      </c>
      <c r="AL907">
        <f>_xlfn.XLOOKUP(Table1820[[#This Row],[Coverage Limit]],Table13[Coverage Limit],Table13[Coverage Limit Factor],,0)</f>
        <v>0.61</v>
      </c>
      <c r="AM907">
        <f>IF(Table1820[[#This Row],[Good Student Discount]]="Yes",'Rate Book'!$D$126,1)</f>
        <v>1</v>
      </c>
      <c r="AN907">
        <f>IF(Table1820[[#This Row],[Good Driver Discount]]="Yes",'Rate Book'!$D$127,1)</f>
        <v>1</v>
      </c>
      <c r="AO907">
        <f>IF(Table1820[[#This Row],[Multi Policy Discount]]="Yes",'Rate Book'!$D$128,1)</f>
        <v>0.93</v>
      </c>
      <c r="AP907">
        <f>IF(Table1820[[#This Row],[Loyal Customer Discount]]="Yes",'Rate Book'!$D$129,1)</f>
        <v>1</v>
      </c>
      <c r="AQ907">
        <f>IF(Table1820[[#This Row],[Organization Discount]]="Yes",'Rate Book'!$D$130,1)</f>
        <v>1</v>
      </c>
      <c r="AR907" cm="1">
        <f t="array" ref="AR907">IF(Table1820[[#This Row],[Effective Date]]&gt;=RateChangeTable[Effective Date],RateChangeTable[Rate Change Factor],1)</f>
        <v>1.06</v>
      </c>
      <c r="AS907" s="10">
        <f>PRODUCT(Table1820[[#This Row],[Base Rate]:[Rate Change Factor]])</f>
        <v>2274.9076696205152</v>
      </c>
      <c r="AT907" s="9">
        <f>Table1820[[#This Row],[System-Generated Premium]]-Table1820[[#This Row],[Expected Premium]]</f>
        <v>0</v>
      </c>
      <c r="AU907" t="str">
        <f>IF(Table1820[[#This Row],[Difference]]=0,"PASS","FAIL")</f>
        <v>PASS</v>
      </c>
      <c r="AV907" s="9">
        <f>ABS(Table1820[[#This Row],[Difference]])</f>
        <v>0</v>
      </c>
      <c r="AW907" s="9" t="s">
        <v>1136</v>
      </c>
    </row>
    <row r="908" spans="1:49" x14ac:dyDescent="0.3">
      <c r="A908" t="s">
        <v>999</v>
      </c>
      <c r="B908" s="7">
        <v>45894</v>
      </c>
      <c r="C908" t="s">
        <v>73</v>
      </c>
      <c r="D908" t="s">
        <v>1100</v>
      </c>
      <c r="E908" s="3">
        <v>5</v>
      </c>
      <c r="F908" s="3">
        <v>1</v>
      </c>
      <c r="G908" t="s">
        <v>12</v>
      </c>
      <c r="H908" t="s">
        <v>1110</v>
      </c>
      <c r="I908" t="s">
        <v>27</v>
      </c>
      <c r="J908" t="s">
        <v>49</v>
      </c>
      <c r="K908" t="s">
        <v>10</v>
      </c>
      <c r="L908" t="s">
        <v>10</v>
      </c>
      <c r="M908" t="s">
        <v>10</v>
      </c>
      <c r="N908" t="s">
        <v>10</v>
      </c>
      <c r="O908" t="str">
        <f>INDEX(CoverageTable[Deductible Applies],MATCH(Table1820[[#This Row],[Coverage]],CoverageTable[Coverage],0))</f>
        <v>No</v>
      </c>
      <c r="P908" t="str">
        <f>INDEX(CoverageTable[Coverage Limit Applies],MATCH(Table1820[[#This Row],[Coverage]],CoverageTable[Coverage],0))</f>
        <v>Yes</v>
      </c>
      <c r="Q908" t="s">
        <v>10</v>
      </c>
      <c r="R908" t="s">
        <v>79</v>
      </c>
      <c r="S908" t="s">
        <v>10</v>
      </c>
      <c r="T908" t="s">
        <v>57</v>
      </c>
      <c r="U908" t="s">
        <v>10</v>
      </c>
      <c r="V908" t="s">
        <v>10</v>
      </c>
      <c r="W908" t="s">
        <v>10</v>
      </c>
      <c r="X908" s="11">
        <v>73.274072525443458</v>
      </c>
      <c r="Y908">
        <f>_xlfn.XLOOKUP(Table1820[[#This Row],[Coverage]],CoverageTable[Coverage],CoverageTable[Base Rate],,0)</f>
        <v>78</v>
      </c>
      <c r="Z908">
        <f>INDEX(Table16[Ageband Factor],MATCH(Table1820[[#This Row],[Ageband]],Table16[Ageband],0))</f>
        <v>1.07</v>
      </c>
      <c r="AA908">
        <f>VLOOKUP(Table1820[[#This Row],[Years Driving]],Table1[],2)</f>
        <v>1.07</v>
      </c>
      <c r="AB908">
        <f>_xlfn.XLOOKUP(Table1820[[#This Row],[At Fault Accidents]],Table2[At Fault Accidents],Table2[At Fault Accident Factor],,0)</f>
        <v>1.34</v>
      </c>
      <c r="AC908">
        <f>_xlfn.XLOOKUP(Table1820[[#This Row],[Usage-Based Insurance]],Table3[Usage-Based Insurance],Table3[Usage-Based Insurance Discount],,0)</f>
        <v>0.8</v>
      </c>
      <c r="AD908">
        <f>_xlfn.XLOOKUP(Table1820[[#This Row],[Yearly Miles]],Table4[Yearly Miles],Table4[Yearly Miles Factor],,0)</f>
        <v>1.31</v>
      </c>
      <c r="AE908">
        <f>_xlfn.XLOOKUP(Table1820[[#This Row],[City/Zip Code]],Table5[City/Zip Code],Table5[City/Zip Code Factor],,0)</f>
        <v>0.94</v>
      </c>
      <c r="AF908">
        <f>_xlfn.XLOOKUP(Table1820[[#This Row],[Vehicle Price]],Table6[Vehicle Price],Table6[Vehicle Price Factor])</f>
        <v>0.97</v>
      </c>
      <c r="AG908">
        <f>_xlfn.XLOOKUP(Table1820[[#This Row],[Exotic Car]],Table7[Exotic Car],Table7[Exotic Car Factor],,0)</f>
        <v>1</v>
      </c>
      <c r="AH908">
        <f>_xlfn.XLOOKUP(Table1820[[#This Row],[Difficult Parts]],Table8[Difficult Parts],Table8[Difficult Parts Factor],,0)</f>
        <v>1</v>
      </c>
      <c r="AI908">
        <f>_xlfn.XLOOKUP(Table1820[[#This Row],[High Theft Rate]],Table9[High Theft Rate],Table9[High Theft Rate Factor],,0)</f>
        <v>1</v>
      </c>
      <c r="AJ908">
        <f>_xlfn.XLOOKUP(Table1820[[#This Row],[Advanced Safety Features]],Table10[Advanced Safety Features],Table10[Advanced Safety Features Factor],,0)</f>
        <v>1</v>
      </c>
      <c r="AK908">
        <f>_xlfn.XLOOKUP(Table1820[[#This Row],[Deductible]],Table12[Deductible],Table12[Deductible Factor],,0)</f>
        <v>1</v>
      </c>
      <c r="AL908">
        <f>_xlfn.XLOOKUP(Table1820[[#This Row],[Coverage Limit]],Table13[Coverage Limit],Table13[Coverage Limit Factor],,0)</f>
        <v>0.72</v>
      </c>
      <c r="AM908">
        <f>IF(Table1820[[#This Row],[Good Student Discount]]="Yes",'Rate Book'!$D$126,1)</f>
        <v>1</v>
      </c>
      <c r="AN908">
        <f>IF(Table1820[[#This Row],[Good Driver Discount]]="Yes",'Rate Book'!$D$127,1)</f>
        <v>0.89</v>
      </c>
      <c r="AO908">
        <f>IF(Table1820[[#This Row],[Multi Policy Discount]]="Yes",'Rate Book'!$D$128,1)</f>
        <v>1</v>
      </c>
      <c r="AP908">
        <f>IF(Table1820[[#This Row],[Loyal Customer Discount]]="Yes",'Rate Book'!$D$129,1)</f>
        <v>1</v>
      </c>
      <c r="AQ908">
        <f>IF(Table1820[[#This Row],[Organization Discount]]="Yes",'Rate Book'!$D$130,1)</f>
        <v>1</v>
      </c>
      <c r="AR908" cm="1">
        <f t="array" ref="AR908">IF(Table1820[[#This Row],[Effective Date]]&gt;=RateChangeTable[Effective Date],RateChangeTable[Rate Change Factor],1)</f>
        <v>1</v>
      </c>
      <c r="AS908" s="10">
        <f>PRODUCT(Table1820[[#This Row],[Base Rate]:[Rate Change Factor]])</f>
        <v>73.274072525443458</v>
      </c>
      <c r="AT908" s="9">
        <f>Table1820[[#This Row],[System-Generated Premium]]-Table1820[[#This Row],[Expected Premium]]</f>
        <v>0</v>
      </c>
      <c r="AU908" t="str">
        <f>IF(Table1820[[#This Row],[Difference]]=0,"PASS","FAIL")</f>
        <v>PASS</v>
      </c>
      <c r="AV908" s="9">
        <f>ABS(Table1820[[#This Row],[Difference]])</f>
        <v>0</v>
      </c>
      <c r="AW908" s="9" t="s">
        <v>1136</v>
      </c>
    </row>
    <row r="909" spans="1:49" x14ac:dyDescent="0.3">
      <c r="A909" t="s">
        <v>1000</v>
      </c>
      <c r="B909" s="7">
        <v>46080</v>
      </c>
      <c r="C909" t="s">
        <v>70</v>
      </c>
      <c r="D909" t="s">
        <v>1098</v>
      </c>
      <c r="E909" s="3">
        <v>5</v>
      </c>
      <c r="F909" s="3">
        <v>0</v>
      </c>
      <c r="G909" t="s">
        <v>12</v>
      </c>
      <c r="H909" t="s">
        <v>1106</v>
      </c>
      <c r="I909" t="s">
        <v>37</v>
      </c>
      <c r="J909" t="s">
        <v>53</v>
      </c>
      <c r="K909" t="s">
        <v>10</v>
      </c>
      <c r="L909" t="s">
        <v>10</v>
      </c>
      <c r="M909" t="s">
        <v>10</v>
      </c>
      <c r="N909" t="s">
        <v>57</v>
      </c>
      <c r="O909" t="str">
        <f>INDEX(CoverageTable[Deductible Applies],MATCH(Table1820[[#This Row],[Coverage]],CoverageTable[Coverage],0))</f>
        <v>No</v>
      </c>
      <c r="P909" t="str">
        <f>INDEX(CoverageTable[Coverage Limit Applies],MATCH(Table1820[[#This Row],[Coverage]],CoverageTable[Coverage],0))</f>
        <v>Yes</v>
      </c>
      <c r="Q909" t="s">
        <v>10</v>
      </c>
      <c r="R909" t="s">
        <v>79</v>
      </c>
      <c r="S909" t="s">
        <v>10</v>
      </c>
      <c r="T909" t="s">
        <v>10</v>
      </c>
      <c r="U909" t="s">
        <v>10</v>
      </c>
      <c r="V909" t="s">
        <v>10</v>
      </c>
      <c r="W909" t="s">
        <v>10</v>
      </c>
      <c r="X909" s="11">
        <v>794.11246743160041</v>
      </c>
      <c r="Y909">
        <f>_xlfn.XLOOKUP(Table1820[[#This Row],[Coverage]],CoverageTable[Coverage],CoverageTable[Base Rate],,0)</f>
        <v>622</v>
      </c>
      <c r="Z909">
        <f>INDEX(Table16[Ageband Factor],MATCH(Table1820[[#This Row],[Ageband]],Table16[Ageband],0))</f>
        <v>1.23</v>
      </c>
      <c r="AA909">
        <f>VLOOKUP(Table1820[[#This Row],[Years Driving]],Table1[],2)</f>
        <v>1.07</v>
      </c>
      <c r="AB909">
        <f>_xlfn.XLOOKUP(Table1820[[#This Row],[At Fault Accidents]],Table2[At Fault Accidents],Table2[At Fault Accident Factor],,0)</f>
        <v>1</v>
      </c>
      <c r="AC909">
        <f>_xlfn.XLOOKUP(Table1820[[#This Row],[Usage-Based Insurance]],Table3[Usage-Based Insurance],Table3[Usage-Based Insurance Discount],,0)</f>
        <v>0.8</v>
      </c>
      <c r="AD909">
        <f>_xlfn.XLOOKUP(Table1820[[#This Row],[Yearly Miles]],Table4[Yearly Miles],Table4[Yearly Miles Factor],,0)</f>
        <v>0.82</v>
      </c>
      <c r="AE909">
        <f>_xlfn.XLOOKUP(Table1820[[#This Row],[City/Zip Code]],Table5[City/Zip Code],Table5[City/Zip Code Factor],,0)</f>
        <v>1.0900000000000001</v>
      </c>
      <c r="AF909">
        <f>_xlfn.XLOOKUP(Table1820[[#This Row],[Vehicle Price]],Table6[Vehicle Price],Table6[Vehicle Price Factor])</f>
        <v>2.02</v>
      </c>
      <c r="AG909">
        <f>_xlfn.XLOOKUP(Table1820[[#This Row],[Exotic Car]],Table7[Exotic Car],Table7[Exotic Car Factor],,0)</f>
        <v>1</v>
      </c>
      <c r="AH909">
        <f>_xlfn.XLOOKUP(Table1820[[#This Row],[Difficult Parts]],Table8[Difficult Parts],Table8[Difficult Parts Factor],,0)</f>
        <v>1</v>
      </c>
      <c r="AI909">
        <f>_xlfn.XLOOKUP(Table1820[[#This Row],[High Theft Rate]],Table9[High Theft Rate],Table9[High Theft Rate Factor],,0)</f>
        <v>1</v>
      </c>
      <c r="AJ909">
        <f>_xlfn.XLOOKUP(Table1820[[#This Row],[Advanced Safety Features]],Table10[Advanced Safety Features],Table10[Advanced Safety Features Factor],,0)</f>
        <v>0.88</v>
      </c>
      <c r="AK909">
        <f>_xlfn.XLOOKUP(Table1820[[#This Row],[Deductible]],Table12[Deductible],Table12[Deductible Factor],,0)</f>
        <v>1</v>
      </c>
      <c r="AL909">
        <f>_xlfn.XLOOKUP(Table1820[[#This Row],[Coverage Limit]],Table13[Coverage Limit],Table13[Coverage Limit Factor],,0)</f>
        <v>0.72</v>
      </c>
      <c r="AM909">
        <f>IF(Table1820[[#This Row],[Good Student Discount]]="Yes",'Rate Book'!$D$126,1)</f>
        <v>1</v>
      </c>
      <c r="AN909">
        <f>IF(Table1820[[#This Row],[Good Driver Discount]]="Yes",'Rate Book'!$D$127,1)</f>
        <v>1</v>
      </c>
      <c r="AO909">
        <f>IF(Table1820[[#This Row],[Multi Policy Discount]]="Yes",'Rate Book'!$D$128,1)</f>
        <v>1</v>
      </c>
      <c r="AP909">
        <f>IF(Table1820[[#This Row],[Loyal Customer Discount]]="Yes",'Rate Book'!$D$129,1)</f>
        <v>1</v>
      </c>
      <c r="AQ909">
        <f>IF(Table1820[[#This Row],[Organization Discount]]="Yes",'Rate Book'!$D$130,1)</f>
        <v>1</v>
      </c>
      <c r="AR909" cm="1">
        <f t="array" ref="AR909">IF(Table1820[[#This Row],[Effective Date]]&gt;=RateChangeTable[Effective Date],RateChangeTable[Rate Change Factor],1)</f>
        <v>1.06</v>
      </c>
      <c r="AS909" s="10">
        <f>PRODUCT(Table1820[[#This Row],[Base Rate]:[Rate Change Factor]])</f>
        <v>794.11246743160041</v>
      </c>
      <c r="AT909" s="9">
        <f>Table1820[[#This Row],[System-Generated Premium]]-Table1820[[#This Row],[Expected Premium]]</f>
        <v>0</v>
      </c>
      <c r="AU909" t="str">
        <f>IF(Table1820[[#This Row],[Difference]]=0,"PASS","FAIL")</f>
        <v>PASS</v>
      </c>
      <c r="AV909" s="9">
        <f>ABS(Table1820[[#This Row],[Difference]])</f>
        <v>0</v>
      </c>
      <c r="AW909" s="9" t="s">
        <v>1136</v>
      </c>
    </row>
    <row r="910" spans="1:49" x14ac:dyDescent="0.3">
      <c r="A910" t="s">
        <v>1001</v>
      </c>
      <c r="B910" s="7">
        <v>46123</v>
      </c>
      <c r="C910" t="s">
        <v>70</v>
      </c>
      <c r="D910" t="s">
        <v>1098</v>
      </c>
      <c r="E910" s="3">
        <v>3</v>
      </c>
      <c r="F910" s="3" t="s">
        <v>7</v>
      </c>
      <c r="G910" t="s">
        <v>10</v>
      </c>
      <c r="H910" t="s">
        <v>1109</v>
      </c>
      <c r="I910" t="s">
        <v>43</v>
      </c>
      <c r="J910" t="s">
        <v>52</v>
      </c>
      <c r="K910" t="s">
        <v>10</v>
      </c>
      <c r="L910" t="s">
        <v>10</v>
      </c>
      <c r="M910" t="s">
        <v>10</v>
      </c>
      <c r="N910" t="s">
        <v>10</v>
      </c>
      <c r="O910" t="str">
        <f>INDEX(CoverageTable[Deductible Applies],MATCH(Table1820[[#This Row],[Coverage]],CoverageTable[Coverage],0))</f>
        <v>No</v>
      </c>
      <c r="P910" t="str">
        <f>INDEX(CoverageTable[Coverage Limit Applies],MATCH(Table1820[[#This Row],[Coverage]],CoverageTable[Coverage],0))</f>
        <v>Yes</v>
      </c>
      <c r="Q910" t="s">
        <v>10</v>
      </c>
      <c r="R910" t="s">
        <v>79</v>
      </c>
      <c r="S910" t="s">
        <v>57</v>
      </c>
      <c r="T910" t="s">
        <v>57</v>
      </c>
      <c r="U910" t="s">
        <v>10</v>
      </c>
      <c r="V910" t="s">
        <v>10</v>
      </c>
      <c r="W910" t="s">
        <v>10</v>
      </c>
      <c r="X910" s="11">
        <v>3149.4313250158334</v>
      </c>
      <c r="Y910">
        <f>_xlfn.XLOOKUP(Table1820[[#This Row],[Coverage]],CoverageTable[Coverage],CoverageTable[Base Rate],,0)</f>
        <v>622</v>
      </c>
      <c r="Z910">
        <f>INDEX(Table16[Ageband Factor],MATCH(Table1820[[#This Row],[Ageband]],Table16[Ageband],0))</f>
        <v>1.23</v>
      </c>
      <c r="AA910">
        <f>VLOOKUP(Table1820[[#This Row],[Years Driving]],Table1[],2)</f>
        <v>1.22</v>
      </c>
      <c r="AB910">
        <f>_xlfn.XLOOKUP(Table1820[[#This Row],[At Fault Accidents]],Table2[At Fault Accidents],Table2[At Fault Accident Factor],,0)</f>
        <v>2.4700000000000002</v>
      </c>
      <c r="AC910">
        <f>_xlfn.XLOOKUP(Table1820[[#This Row],[Usage-Based Insurance]],Table3[Usage-Based Insurance],Table3[Usage-Based Insurance Discount],,0)</f>
        <v>1</v>
      </c>
      <c r="AD910">
        <f>_xlfn.XLOOKUP(Table1820[[#This Row],[Yearly Miles]],Table4[Yearly Miles],Table4[Yearly Miles Factor],,0)</f>
        <v>1.18</v>
      </c>
      <c r="AE910">
        <f>_xlfn.XLOOKUP(Table1820[[#This Row],[City/Zip Code]],Table5[City/Zip Code],Table5[City/Zip Code Factor],,0)</f>
        <v>1.18</v>
      </c>
      <c r="AF910">
        <f>_xlfn.XLOOKUP(Table1820[[#This Row],[Vehicle Price]],Table6[Vehicle Price],Table6[Vehicle Price Factor])</f>
        <v>1.57</v>
      </c>
      <c r="AG910">
        <f>_xlfn.XLOOKUP(Table1820[[#This Row],[Exotic Car]],Table7[Exotic Car],Table7[Exotic Car Factor],,0)</f>
        <v>1</v>
      </c>
      <c r="AH910">
        <f>_xlfn.XLOOKUP(Table1820[[#This Row],[Difficult Parts]],Table8[Difficult Parts],Table8[Difficult Parts Factor],,0)</f>
        <v>1</v>
      </c>
      <c r="AI910">
        <f>_xlfn.XLOOKUP(Table1820[[#This Row],[High Theft Rate]],Table9[High Theft Rate],Table9[High Theft Rate Factor],,0)</f>
        <v>1</v>
      </c>
      <c r="AJ910">
        <f>_xlfn.XLOOKUP(Table1820[[#This Row],[Advanced Safety Features]],Table10[Advanced Safety Features],Table10[Advanced Safety Features Factor],,0)</f>
        <v>1</v>
      </c>
      <c r="AK910">
        <f>_xlfn.XLOOKUP(Table1820[[#This Row],[Deductible]],Table12[Deductible],Table12[Deductible Factor],,0)</f>
        <v>1</v>
      </c>
      <c r="AL910">
        <f>_xlfn.XLOOKUP(Table1820[[#This Row],[Coverage Limit]],Table13[Coverage Limit],Table13[Coverage Limit Factor],,0)</f>
        <v>0.72</v>
      </c>
      <c r="AM910">
        <f>IF(Table1820[[#This Row],[Good Student Discount]]="Yes",'Rate Book'!$D$126,1)</f>
        <v>0.92</v>
      </c>
      <c r="AN910">
        <f>IF(Table1820[[#This Row],[Good Driver Discount]]="Yes",'Rate Book'!$D$127,1)</f>
        <v>0.89</v>
      </c>
      <c r="AO910">
        <f>IF(Table1820[[#This Row],[Multi Policy Discount]]="Yes",'Rate Book'!$D$128,1)</f>
        <v>1</v>
      </c>
      <c r="AP910">
        <f>IF(Table1820[[#This Row],[Loyal Customer Discount]]="Yes",'Rate Book'!$D$129,1)</f>
        <v>1</v>
      </c>
      <c r="AQ910">
        <f>IF(Table1820[[#This Row],[Organization Discount]]="Yes",'Rate Book'!$D$130,1)</f>
        <v>1</v>
      </c>
      <c r="AR910" cm="1">
        <f t="array" ref="AR910">IF(Table1820[[#This Row],[Effective Date]]&gt;=RateChangeTable[Effective Date],RateChangeTable[Rate Change Factor],1)</f>
        <v>1.06</v>
      </c>
      <c r="AS910" s="10">
        <f>PRODUCT(Table1820[[#This Row],[Base Rate]:[Rate Change Factor]])</f>
        <v>3149.4313250158334</v>
      </c>
      <c r="AT910" s="9">
        <f>Table1820[[#This Row],[System-Generated Premium]]-Table1820[[#This Row],[Expected Premium]]</f>
        <v>0</v>
      </c>
      <c r="AU910" t="str">
        <f>IF(Table1820[[#This Row],[Difference]]=0,"PASS","FAIL")</f>
        <v>PASS</v>
      </c>
      <c r="AV910" s="9">
        <f>ABS(Table1820[[#This Row],[Difference]])</f>
        <v>0</v>
      </c>
      <c r="AW910" s="9" t="s">
        <v>1136</v>
      </c>
    </row>
    <row r="911" spans="1:49" x14ac:dyDescent="0.3">
      <c r="A911" t="s">
        <v>1002</v>
      </c>
      <c r="B911" s="7">
        <v>45828</v>
      </c>
      <c r="C911" t="s">
        <v>71</v>
      </c>
      <c r="D911" t="s">
        <v>1102</v>
      </c>
      <c r="E911" s="3">
        <v>1</v>
      </c>
      <c r="F911" s="3">
        <v>1</v>
      </c>
      <c r="G911" t="s">
        <v>10</v>
      </c>
      <c r="H911" t="s">
        <v>1109</v>
      </c>
      <c r="I911" t="s">
        <v>23</v>
      </c>
      <c r="J911" t="s">
        <v>52</v>
      </c>
      <c r="K911" t="s">
        <v>10</v>
      </c>
      <c r="L911" t="s">
        <v>10</v>
      </c>
      <c r="M911" t="s">
        <v>10</v>
      </c>
      <c r="N911" t="s">
        <v>10</v>
      </c>
      <c r="O911" t="str">
        <f>INDEX(CoverageTable[Deductible Applies],MATCH(Table1820[[#This Row],[Coverage]],CoverageTable[Coverage],0))</f>
        <v>Yes</v>
      </c>
      <c r="P911" t="str">
        <f>INDEX(CoverageTable[Coverage Limit Applies],MATCH(Table1820[[#This Row],[Coverage]],CoverageTable[Coverage],0))</f>
        <v>No</v>
      </c>
      <c r="Q911" t="s">
        <v>79</v>
      </c>
      <c r="R911" t="s">
        <v>10</v>
      </c>
      <c r="S911" t="s">
        <v>10</v>
      </c>
      <c r="T911" t="s">
        <v>10</v>
      </c>
      <c r="U911" t="s">
        <v>57</v>
      </c>
      <c r="V911" t="s">
        <v>10</v>
      </c>
      <c r="W911" t="s">
        <v>10</v>
      </c>
      <c r="X911" s="11">
        <v>1683.3804960623345</v>
      </c>
      <c r="Y911">
        <f>_xlfn.XLOOKUP(Table1820[[#This Row],[Coverage]],CoverageTable[Coverage],CoverageTable[Base Rate],,0)</f>
        <v>453</v>
      </c>
      <c r="Z911">
        <f>INDEX(Table16[Ageband Factor],MATCH(Table1820[[#This Row],[Ageband]],Table16[Ageband],0))</f>
        <v>1.27</v>
      </c>
      <c r="AA911">
        <f>VLOOKUP(Table1820[[#This Row],[Years Driving]],Table1[],2)</f>
        <v>1.64</v>
      </c>
      <c r="AB911">
        <f>_xlfn.XLOOKUP(Table1820[[#This Row],[At Fault Accidents]],Table2[At Fault Accidents],Table2[At Fault Accident Factor],,0)</f>
        <v>1.34</v>
      </c>
      <c r="AC911">
        <f>_xlfn.XLOOKUP(Table1820[[#This Row],[Usage-Based Insurance]],Table3[Usage-Based Insurance],Table3[Usage-Based Insurance Discount],,0)</f>
        <v>1</v>
      </c>
      <c r="AD911">
        <f>_xlfn.XLOOKUP(Table1820[[#This Row],[Yearly Miles]],Table4[Yearly Miles],Table4[Yearly Miles Factor],,0)</f>
        <v>1.18</v>
      </c>
      <c r="AE911">
        <f>_xlfn.XLOOKUP(Table1820[[#This Row],[City/Zip Code]],Table5[City/Zip Code],Table5[City/Zip Code Factor],,0)</f>
        <v>0.92</v>
      </c>
      <c r="AF911">
        <f>_xlfn.XLOOKUP(Table1820[[#This Row],[Vehicle Price]],Table6[Vehicle Price],Table6[Vehicle Price Factor])</f>
        <v>1.57</v>
      </c>
      <c r="AG911">
        <f>_xlfn.XLOOKUP(Table1820[[#This Row],[Exotic Car]],Table7[Exotic Car],Table7[Exotic Car Factor],,0)</f>
        <v>1</v>
      </c>
      <c r="AH911">
        <f>_xlfn.XLOOKUP(Table1820[[#This Row],[Difficult Parts]],Table8[Difficult Parts],Table8[Difficult Parts Factor],,0)</f>
        <v>1</v>
      </c>
      <c r="AI911">
        <f>_xlfn.XLOOKUP(Table1820[[#This Row],[High Theft Rate]],Table9[High Theft Rate],Table9[High Theft Rate Factor],,0)</f>
        <v>1</v>
      </c>
      <c r="AJ911">
        <f>_xlfn.XLOOKUP(Table1820[[#This Row],[Advanced Safety Features]],Table10[Advanced Safety Features],Table10[Advanced Safety Features Factor],,0)</f>
        <v>1</v>
      </c>
      <c r="AK911">
        <f>_xlfn.XLOOKUP(Table1820[[#This Row],[Deductible]],Table12[Deductible],Table12[Deductible Factor],,0)</f>
        <v>0.84</v>
      </c>
      <c r="AL911">
        <f>_xlfn.XLOOKUP(Table1820[[#This Row],[Coverage Limit]],Table13[Coverage Limit],Table13[Coverage Limit Factor],,0)</f>
        <v>1</v>
      </c>
      <c r="AM911">
        <f>IF(Table1820[[#This Row],[Good Student Discount]]="Yes",'Rate Book'!$D$126,1)</f>
        <v>1</v>
      </c>
      <c r="AN911">
        <f>IF(Table1820[[#This Row],[Good Driver Discount]]="Yes",'Rate Book'!$D$127,1)</f>
        <v>1</v>
      </c>
      <c r="AO911">
        <f>IF(Table1820[[#This Row],[Multi Policy Discount]]="Yes",'Rate Book'!$D$128,1)</f>
        <v>0.93</v>
      </c>
      <c r="AP911">
        <f>IF(Table1820[[#This Row],[Loyal Customer Discount]]="Yes",'Rate Book'!$D$129,1)</f>
        <v>1</v>
      </c>
      <c r="AQ911">
        <f>IF(Table1820[[#This Row],[Organization Discount]]="Yes",'Rate Book'!$D$130,1)</f>
        <v>1</v>
      </c>
      <c r="AR911" cm="1">
        <f t="array" ref="AR911">IF(Table1820[[#This Row],[Effective Date]]&gt;=RateChangeTable[Effective Date],RateChangeTable[Rate Change Factor],1)</f>
        <v>1</v>
      </c>
      <c r="AS911" s="10">
        <f>PRODUCT(Table1820[[#This Row],[Base Rate]:[Rate Change Factor]])</f>
        <v>1683.3804960623345</v>
      </c>
      <c r="AT911" s="9">
        <f>Table1820[[#This Row],[System-Generated Premium]]-Table1820[[#This Row],[Expected Premium]]</f>
        <v>0</v>
      </c>
      <c r="AU911" t="str">
        <f>IF(Table1820[[#This Row],[Difference]]=0,"PASS","FAIL")</f>
        <v>PASS</v>
      </c>
      <c r="AV911" s="9">
        <f>ABS(Table1820[[#This Row],[Difference]])</f>
        <v>0</v>
      </c>
      <c r="AW911" s="9" t="s">
        <v>1136</v>
      </c>
    </row>
    <row r="912" spans="1:49" x14ac:dyDescent="0.3">
      <c r="A912" t="s">
        <v>1003</v>
      </c>
      <c r="B912" s="7">
        <v>45956</v>
      </c>
      <c r="C912" t="s">
        <v>73</v>
      </c>
      <c r="D912" t="s">
        <v>1097</v>
      </c>
      <c r="E912" s="3">
        <v>2</v>
      </c>
      <c r="F912" s="3">
        <v>1</v>
      </c>
      <c r="G912" t="s">
        <v>11</v>
      </c>
      <c r="H912" t="s">
        <v>1110</v>
      </c>
      <c r="I912" t="s">
        <v>34</v>
      </c>
      <c r="J912" t="s">
        <v>50</v>
      </c>
      <c r="K912" t="s">
        <v>10</v>
      </c>
      <c r="L912" t="s">
        <v>10</v>
      </c>
      <c r="M912" t="s">
        <v>10</v>
      </c>
      <c r="N912" t="s">
        <v>10</v>
      </c>
      <c r="O912" t="str">
        <f>INDEX(CoverageTable[Deductible Applies],MATCH(Table1820[[#This Row],[Coverage]],CoverageTable[Coverage],0))</f>
        <v>No</v>
      </c>
      <c r="P912" t="str">
        <f>INDEX(CoverageTable[Coverage Limit Applies],MATCH(Table1820[[#This Row],[Coverage]],CoverageTable[Coverage],0))</f>
        <v>Yes</v>
      </c>
      <c r="Q912" t="s">
        <v>10</v>
      </c>
      <c r="R912" t="s">
        <v>80</v>
      </c>
      <c r="S912" t="s">
        <v>10</v>
      </c>
      <c r="T912" t="s">
        <v>10</v>
      </c>
      <c r="U912" t="s">
        <v>10</v>
      </c>
      <c r="V912" t="s">
        <v>10</v>
      </c>
      <c r="W912" t="s">
        <v>10</v>
      </c>
      <c r="X912" s="11">
        <v>342.6217947910518</v>
      </c>
      <c r="Y912">
        <f>_xlfn.XLOOKUP(Table1820[[#This Row],[Coverage]],CoverageTable[Coverage],CoverageTable[Base Rate],,0)</f>
        <v>78</v>
      </c>
      <c r="Z912">
        <f>INDEX(Table16[Ageband Factor],MATCH(Table1820[[#This Row],[Ageband]],Table16[Ageband],0))</f>
        <v>1.32</v>
      </c>
      <c r="AA912">
        <f>VLOOKUP(Table1820[[#This Row],[Years Driving]],Table1[],2)</f>
        <v>1.41</v>
      </c>
      <c r="AB912">
        <f>_xlfn.XLOOKUP(Table1820[[#This Row],[At Fault Accidents]],Table2[At Fault Accidents],Table2[At Fault Accident Factor],,0)</f>
        <v>1.34</v>
      </c>
      <c r="AC912">
        <f>_xlfn.XLOOKUP(Table1820[[#This Row],[Usage-Based Insurance]],Table3[Usage-Based Insurance],Table3[Usage-Based Insurance Discount],,0)</f>
        <v>0.95</v>
      </c>
      <c r="AD912">
        <f>_xlfn.XLOOKUP(Table1820[[#This Row],[Yearly Miles]],Table4[Yearly Miles],Table4[Yearly Miles Factor],,0)</f>
        <v>1.31</v>
      </c>
      <c r="AE912">
        <f>_xlfn.XLOOKUP(Table1820[[#This Row],[City/Zip Code]],Table5[City/Zip Code],Table5[City/Zip Code Factor],,0)</f>
        <v>1.56</v>
      </c>
      <c r="AF912">
        <f>_xlfn.XLOOKUP(Table1820[[#This Row],[Vehicle Price]],Table6[Vehicle Price],Table6[Vehicle Price Factor])</f>
        <v>1.08</v>
      </c>
      <c r="AG912">
        <f>_xlfn.XLOOKUP(Table1820[[#This Row],[Exotic Car]],Table7[Exotic Car],Table7[Exotic Car Factor],,0)</f>
        <v>1</v>
      </c>
      <c r="AH912">
        <f>_xlfn.XLOOKUP(Table1820[[#This Row],[Difficult Parts]],Table8[Difficult Parts],Table8[Difficult Parts Factor],,0)</f>
        <v>1</v>
      </c>
      <c r="AI912">
        <f>_xlfn.XLOOKUP(Table1820[[#This Row],[High Theft Rate]],Table9[High Theft Rate],Table9[High Theft Rate Factor],,0)</f>
        <v>1</v>
      </c>
      <c r="AJ912">
        <f>_xlfn.XLOOKUP(Table1820[[#This Row],[Advanced Safety Features]],Table10[Advanced Safety Features],Table10[Advanced Safety Features Factor],,0)</f>
        <v>1</v>
      </c>
      <c r="AK912">
        <f>_xlfn.XLOOKUP(Table1820[[#This Row],[Deductible]],Table12[Deductible],Table12[Deductible Factor],,0)</f>
        <v>1</v>
      </c>
      <c r="AL912">
        <f>_xlfn.XLOOKUP(Table1820[[#This Row],[Coverage Limit]],Table13[Coverage Limit],Table13[Coverage Limit Factor],,0)</f>
        <v>0.84</v>
      </c>
      <c r="AM912">
        <f>IF(Table1820[[#This Row],[Good Student Discount]]="Yes",'Rate Book'!$D$126,1)</f>
        <v>1</v>
      </c>
      <c r="AN912">
        <f>IF(Table1820[[#This Row],[Good Driver Discount]]="Yes",'Rate Book'!$D$127,1)</f>
        <v>1</v>
      </c>
      <c r="AO912">
        <f>IF(Table1820[[#This Row],[Multi Policy Discount]]="Yes",'Rate Book'!$D$128,1)</f>
        <v>1</v>
      </c>
      <c r="AP912">
        <f>IF(Table1820[[#This Row],[Loyal Customer Discount]]="Yes",'Rate Book'!$D$129,1)</f>
        <v>1</v>
      </c>
      <c r="AQ912">
        <f>IF(Table1820[[#This Row],[Organization Discount]]="Yes",'Rate Book'!$D$130,1)</f>
        <v>1</v>
      </c>
      <c r="AR912" cm="1">
        <f t="array" ref="AR912">IF(Table1820[[#This Row],[Effective Date]]&gt;=RateChangeTable[Effective Date],RateChangeTable[Rate Change Factor],1)</f>
        <v>1</v>
      </c>
      <c r="AS912" s="10">
        <f>PRODUCT(Table1820[[#This Row],[Base Rate]:[Rate Change Factor]])</f>
        <v>342.6217947910518</v>
      </c>
      <c r="AT912" s="9">
        <f>Table1820[[#This Row],[System-Generated Premium]]-Table1820[[#This Row],[Expected Premium]]</f>
        <v>0</v>
      </c>
      <c r="AU912" t="str">
        <f>IF(Table1820[[#This Row],[Difference]]=0,"PASS","FAIL")</f>
        <v>PASS</v>
      </c>
      <c r="AV912" s="9">
        <f>ABS(Table1820[[#This Row],[Difference]])</f>
        <v>0</v>
      </c>
      <c r="AW912" s="9" t="s">
        <v>1136</v>
      </c>
    </row>
    <row r="913" spans="1:49" x14ac:dyDescent="0.3">
      <c r="A913" t="s">
        <v>1004</v>
      </c>
      <c r="B913" s="7">
        <v>45785</v>
      </c>
      <c r="C913" t="s">
        <v>70</v>
      </c>
      <c r="D913" t="s">
        <v>1099</v>
      </c>
      <c r="E913" s="3">
        <v>3</v>
      </c>
      <c r="F913" s="3">
        <v>1</v>
      </c>
      <c r="G913" t="s">
        <v>13</v>
      </c>
      <c r="H913" t="s">
        <v>1108</v>
      </c>
      <c r="I913" t="s">
        <v>24</v>
      </c>
      <c r="J913" t="s">
        <v>54</v>
      </c>
      <c r="K913" t="s">
        <v>10</v>
      </c>
      <c r="L913" t="s">
        <v>10</v>
      </c>
      <c r="M913" t="s">
        <v>10</v>
      </c>
      <c r="N913" t="s">
        <v>10</v>
      </c>
      <c r="O913" t="str">
        <f>INDEX(CoverageTable[Deductible Applies],MATCH(Table1820[[#This Row],[Coverage]],CoverageTable[Coverage],0))</f>
        <v>No</v>
      </c>
      <c r="P913" t="str">
        <f>INDEX(CoverageTable[Coverage Limit Applies],MATCH(Table1820[[#This Row],[Coverage]],CoverageTable[Coverage],0))</f>
        <v>Yes</v>
      </c>
      <c r="Q913" t="s">
        <v>10</v>
      </c>
      <c r="R913" t="s">
        <v>80</v>
      </c>
      <c r="S913" t="s">
        <v>10</v>
      </c>
      <c r="T913" t="s">
        <v>10</v>
      </c>
      <c r="U913" t="s">
        <v>57</v>
      </c>
      <c r="V913" t="s">
        <v>10</v>
      </c>
      <c r="W913" t="s">
        <v>10</v>
      </c>
      <c r="X913" s="11">
        <v>1763.4350278503505</v>
      </c>
      <c r="Y913">
        <f>_xlfn.XLOOKUP(Table1820[[#This Row],[Coverage]],CoverageTable[Coverage],CoverageTable[Base Rate],,0)</f>
        <v>622</v>
      </c>
      <c r="Z913">
        <f>INDEX(Table16[Ageband Factor],MATCH(Table1820[[#This Row],[Ageband]],Table16[Ageband],0))</f>
        <v>1</v>
      </c>
      <c r="AA913">
        <f>VLOOKUP(Table1820[[#This Row],[Years Driving]],Table1[],2)</f>
        <v>1.22</v>
      </c>
      <c r="AB913">
        <f>_xlfn.XLOOKUP(Table1820[[#This Row],[At Fault Accidents]],Table2[At Fault Accidents],Table2[At Fault Accident Factor],,0)</f>
        <v>1.34</v>
      </c>
      <c r="AC913">
        <f>_xlfn.XLOOKUP(Table1820[[#This Row],[Usage-Based Insurance]],Table3[Usage-Based Insurance],Table3[Usage-Based Insurance Discount],,0)</f>
        <v>0.65</v>
      </c>
      <c r="AD913">
        <f>_xlfn.XLOOKUP(Table1820[[#This Row],[Yearly Miles]],Table4[Yearly Miles],Table4[Yearly Miles Factor],,0)</f>
        <v>1</v>
      </c>
      <c r="AE913">
        <f>_xlfn.XLOOKUP(Table1820[[#This Row],[City/Zip Code]],Table5[City/Zip Code],Table5[City/Zip Code Factor],,0)</f>
        <v>1.19</v>
      </c>
      <c r="AF913">
        <f>_xlfn.XLOOKUP(Table1820[[#This Row],[Vehicle Price]],Table6[Vehicle Price],Table6[Vehicle Price Factor])</f>
        <v>2.87</v>
      </c>
      <c r="AG913">
        <f>_xlfn.XLOOKUP(Table1820[[#This Row],[Exotic Car]],Table7[Exotic Car],Table7[Exotic Car Factor],,0)</f>
        <v>1</v>
      </c>
      <c r="AH913">
        <f>_xlfn.XLOOKUP(Table1820[[#This Row],[Difficult Parts]],Table8[Difficult Parts],Table8[Difficult Parts Factor],,0)</f>
        <v>1</v>
      </c>
      <c r="AI913">
        <f>_xlfn.XLOOKUP(Table1820[[#This Row],[High Theft Rate]],Table9[High Theft Rate],Table9[High Theft Rate Factor],,0)</f>
        <v>1</v>
      </c>
      <c r="AJ913">
        <f>_xlfn.XLOOKUP(Table1820[[#This Row],[Advanced Safety Features]],Table10[Advanced Safety Features],Table10[Advanced Safety Features Factor],,0)</f>
        <v>1</v>
      </c>
      <c r="AK913">
        <f>_xlfn.XLOOKUP(Table1820[[#This Row],[Deductible]],Table12[Deductible],Table12[Deductible Factor],,0)</f>
        <v>1</v>
      </c>
      <c r="AL913">
        <f>_xlfn.XLOOKUP(Table1820[[#This Row],[Coverage Limit]],Table13[Coverage Limit],Table13[Coverage Limit Factor],,0)</f>
        <v>0.84</v>
      </c>
      <c r="AM913">
        <f>IF(Table1820[[#This Row],[Good Student Discount]]="Yes",'Rate Book'!$D$126,1)</f>
        <v>1</v>
      </c>
      <c r="AN913">
        <f>IF(Table1820[[#This Row],[Good Driver Discount]]="Yes",'Rate Book'!$D$127,1)</f>
        <v>1</v>
      </c>
      <c r="AO913">
        <f>IF(Table1820[[#This Row],[Multi Policy Discount]]="Yes",'Rate Book'!$D$128,1)</f>
        <v>0.93</v>
      </c>
      <c r="AP913">
        <f>IF(Table1820[[#This Row],[Loyal Customer Discount]]="Yes",'Rate Book'!$D$129,1)</f>
        <v>1</v>
      </c>
      <c r="AQ913">
        <f>IF(Table1820[[#This Row],[Organization Discount]]="Yes",'Rate Book'!$D$130,1)</f>
        <v>1</v>
      </c>
      <c r="AR913" cm="1">
        <f t="array" ref="AR913">IF(Table1820[[#This Row],[Effective Date]]&gt;=RateChangeTable[Effective Date],RateChangeTable[Rate Change Factor],1)</f>
        <v>1</v>
      </c>
      <c r="AS913" s="10">
        <f>PRODUCT(Table1820[[#This Row],[Base Rate]:[Rate Change Factor]])</f>
        <v>1763.4350278503505</v>
      </c>
      <c r="AT913" s="9">
        <f>Table1820[[#This Row],[System-Generated Premium]]-Table1820[[#This Row],[Expected Premium]]</f>
        <v>0</v>
      </c>
      <c r="AU913" t="str">
        <f>IF(Table1820[[#This Row],[Difference]]=0,"PASS","FAIL")</f>
        <v>PASS</v>
      </c>
      <c r="AV913" s="9">
        <f>ABS(Table1820[[#This Row],[Difference]])</f>
        <v>0</v>
      </c>
      <c r="AW913" s="9" t="s">
        <v>1136</v>
      </c>
    </row>
    <row r="914" spans="1:49" x14ac:dyDescent="0.3">
      <c r="A914" t="s">
        <v>1005</v>
      </c>
      <c r="B914" s="7">
        <v>46056</v>
      </c>
      <c r="C914" t="s">
        <v>71</v>
      </c>
      <c r="D914" t="s">
        <v>1099</v>
      </c>
      <c r="E914" s="3">
        <v>5</v>
      </c>
      <c r="F914" s="3">
        <v>3</v>
      </c>
      <c r="G914" t="s">
        <v>10</v>
      </c>
      <c r="H914" t="s">
        <v>1108</v>
      </c>
      <c r="I914" t="s">
        <v>34</v>
      </c>
      <c r="J914" t="s">
        <v>48</v>
      </c>
      <c r="K914" t="s">
        <v>10</v>
      </c>
      <c r="L914" t="s">
        <v>10</v>
      </c>
      <c r="M914" t="s">
        <v>10</v>
      </c>
      <c r="N914" t="s">
        <v>57</v>
      </c>
      <c r="O914" t="str">
        <f>INDEX(CoverageTable[Deductible Applies],MATCH(Table1820[[#This Row],[Coverage]],CoverageTable[Coverage],0))</f>
        <v>Yes</v>
      </c>
      <c r="P914" t="str">
        <f>INDEX(CoverageTable[Coverage Limit Applies],MATCH(Table1820[[#This Row],[Coverage]],CoverageTable[Coverage],0))</f>
        <v>No</v>
      </c>
      <c r="Q914" t="s">
        <v>80</v>
      </c>
      <c r="R914" t="s">
        <v>10</v>
      </c>
      <c r="S914" t="s">
        <v>10</v>
      </c>
      <c r="T914" t="s">
        <v>10</v>
      </c>
      <c r="U914" t="s">
        <v>10</v>
      </c>
      <c r="V914" t="s">
        <v>57</v>
      </c>
      <c r="W914" t="s">
        <v>10</v>
      </c>
      <c r="X914" s="11">
        <v>712.42755053078565</v>
      </c>
      <c r="Y914">
        <f>_xlfn.XLOOKUP(Table1820[[#This Row],[Coverage]],CoverageTable[Coverage],CoverageTable[Base Rate],,0)</f>
        <v>453</v>
      </c>
      <c r="Z914">
        <f>INDEX(Table16[Ageband Factor],MATCH(Table1820[[#This Row],[Ageband]],Table16[Ageband],0))</f>
        <v>1</v>
      </c>
      <c r="AA914">
        <f>VLOOKUP(Table1820[[#This Row],[Years Driving]],Table1[],2)</f>
        <v>1.07</v>
      </c>
      <c r="AB914">
        <f>_xlfn.XLOOKUP(Table1820[[#This Row],[At Fault Accidents]],Table2[At Fault Accidents],Table2[At Fault Accident Factor],,0)</f>
        <v>1.82</v>
      </c>
      <c r="AC914">
        <f>_xlfn.XLOOKUP(Table1820[[#This Row],[Usage-Based Insurance]],Table3[Usage-Based Insurance],Table3[Usage-Based Insurance Discount],,0)</f>
        <v>1</v>
      </c>
      <c r="AD914">
        <f>_xlfn.XLOOKUP(Table1820[[#This Row],[Yearly Miles]],Table4[Yearly Miles],Table4[Yearly Miles Factor],,0)</f>
        <v>1</v>
      </c>
      <c r="AE914">
        <f>_xlfn.XLOOKUP(Table1820[[#This Row],[City/Zip Code]],Table5[City/Zip Code],Table5[City/Zip Code Factor],,0)</f>
        <v>1.56</v>
      </c>
      <c r="AF914">
        <f>_xlfn.XLOOKUP(Table1820[[#This Row],[Vehicle Price]],Table6[Vehicle Price],Table6[Vehicle Price Factor])</f>
        <v>0.82</v>
      </c>
      <c r="AG914">
        <f>_xlfn.XLOOKUP(Table1820[[#This Row],[Exotic Car]],Table7[Exotic Car],Table7[Exotic Car Factor],,0)</f>
        <v>1</v>
      </c>
      <c r="AH914">
        <f>_xlfn.XLOOKUP(Table1820[[#This Row],[Difficult Parts]],Table8[Difficult Parts],Table8[Difficult Parts Factor],,0)</f>
        <v>1</v>
      </c>
      <c r="AI914">
        <f>_xlfn.XLOOKUP(Table1820[[#This Row],[High Theft Rate]],Table9[High Theft Rate],Table9[High Theft Rate Factor],,0)</f>
        <v>1</v>
      </c>
      <c r="AJ914">
        <f>_xlfn.XLOOKUP(Table1820[[#This Row],[Advanced Safety Features]],Table10[Advanced Safety Features],Table10[Advanced Safety Features Factor],,0)</f>
        <v>0.88</v>
      </c>
      <c r="AK914">
        <f>_xlfn.XLOOKUP(Table1820[[#This Row],[Deductible]],Table12[Deductible],Table12[Deductible Factor],,0)</f>
        <v>0.72</v>
      </c>
      <c r="AL914">
        <f>_xlfn.XLOOKUP(Table1820[[#This Row],[Coverage Limit]],Table13[Coverage Limit],Table13[Coverage Limit Factor],,0)</f>
        <v>1</v>
      </c>
      <c r="AM914">
        <f>IF(Table1820[[#This Row],[Good Student Discount]]="Yes",'Rate Book'!$D$126,1)</f>
        <v>1</v>
      </c>
      <c r="AN914">
        <f>IF(Table1820[[#This Row],[Good Driver Discount]]="Yes",'Rate Book'!$D$127,1)</f>
        <v>1</v>
      </c>
      <c r="AO914">
        <f>IF(Table1820[[#This Row],[Multi Policy Discount]]="Yes",'Rate Book'!$D$128,1)</f>
        <v>1</v>
      </c>
      <c r="AP914">
        <f>IF(Table1820[[#This Row],[Loyal Customer Discount]]="Yes",'Rate Book'!$D$129,1)</f>
        <v>0.94</v>
      </c>
      <c r="AQ914">
        <f>IF(Table1820[[#This Row],[Organization Discount]]="Yes",'Rate Book'!$D$130,1)</f>
        <v>1</v>
      </c>
      <c r="AR914" cm="1">
        <f t="array" ref="AR914">IF(Table1820[[#This Row],[Effective Date]]&gt;=RateChangeTable[Effective Date],RateChangeTable[Rate Change Factor],1)</f>
        <v>1.06</v>
      </c>
      <c r="AS914" s="10">
        <f>PRODUCT(Table1820[[#This Row],[Base Rate]:[Rate Change Factor]])</f>
        <v>712.42755053078565</v>
      </c>
      <c r="AT914" s="9">
        <f>Table1820[[#This Row],[System-Generated Premium]]-Table1820[[#This Row],[Expected Premium]]</f>
        <v>0</v>
      </c>
      <c r="AU914" t="str">
        <f>IF(Table1820[[#This Row],[Difference]]=0,"PASS","FAIL")</f>
        <v>PASS</v>
      </c>
      <c r="AV914" s="9">
        <f>ABS(Table1820[[#This Row],[Difference]])</f>
        <v>0</v>
      </c>
      <c r="AW914" s="9" t="s">
        <v>1136</v>
      </c>
    </row>
    <row r="915" spans="1:49" x14ac:dyDescent="0.3">
      <c r="A915" t="s">
        <v>1006</v>
      </c>
      <c r="B915" s="7">
        <v>45841</v>
      </c>
      <c r="C915" t="s">
        <v>70</v>
      </c>
      <c r="D915" t="s">
        <v>1099</v>
      </c>
      <c r="E915" s="3">
        <v>4</v>
      </c>
      <c r="F915" s="3">
        <v>1</v>
      </c>
      <c r="G915" t="s">
        <v>12</v>
      </c>
      <c r="H915" t="s">
        <v>1108</v>
      </c>
      <c r="I915" t="s">
        <v>42</v>
      </c>
      <c r="J915" t="s">
        <v>53</v>
      </c>
      <c r="K915" t="s">
        <v>10</v>
      </c>
      <c r="L915" t="s">
        <v>10</v>
      </c>
      <c r="M915" t="s">
        <v>10</v>
      </c>
      <c r="N915" t="s">
        <v>57</v>
      </c>
      <c r="O915" t="str">
        <f>INDEX(CoverageTable[Deductible Applies],MATCH(Table1820[[#This Row],[Coverage]],CoverageTable[Coverage],0))</f>
        <v>No</v>
      </c>
      <c r="P915" t="str">
        <f>INDEX(CoverageTable[Coverage Limit Applies],MATCH(Table1820[[#This Row],[Coverage]],CoverageTable[Coverage],0))</f>
        <v>Yes</v>
      </c>
      <c r="Q915" t="s">
        <v>10</v>
      </c>
      <c r="R915" t="s">
        <v>79</v>
      </c>
      <c r="S915" t="s">
        <v>10</v>
      </c>
      <c r="T915" t="s">
        <v>10</v>
      </c>
      <c r="U915" t="s">
        <v>10</v>
      </c>
      <c r="V915" t="s">
        <v>10</v>
      </c>
      <c r="W915" t="s">
        <v>10</v>
      </c>
      <c r="X915" s="11">
        <v>1484.38</v>
      </c>
      <c r="Y915">
        <f>_xlfn.XLOOKUP(Table1820[[#This Row],[Coverage]],CoverageTable[Coverage],CoverageTable[Base Rate],,0)</f>
        <v>622</v>
      </c>
      <c r="Z915">
        <f>INDEX(Table16[Ageband Factor],MATCH(Table1820[[#This Row],[Ageband]],Table16[Ageband],0))</f>
        <v>1</v>
      </c>
      <c r="AA915">
        <f>VLOOKUP(Table1820[[#This Row],[Years Driving]],Table1[],2)</f>
        <v>1.1499999999999999</v>
      </c>
      <c r="AB915">
        <f>_xlfn.XLOOKUP(Table1820[[#This Row],[At Fault Accidents]],Table2[At Fault Accidents],Table2[At Fault Accident Factor],,0)</f>
        <v>1.34</v>
      </c>
      <c r="AC915">
        <f>_xlfn.XLOOKUP(Table1820[[#This Row],[Usage-Based Insurance]],Table3[Usage-Based Insurance],Table3[Usage-Based Insurance Discount],,0)</f>
        <v>0.8</v>
      </c>
      <c r="AD915">
        <f>_xlfn.XLOOKUP(Table1820[[#This Row],[Yearly Miles]],Table4[Yearly Miles],Table4[Yearly Miles Factor],,0)</f>
        <v>1</v>
      </c>
      <c r="AE915">
        <f>_xlfn.XLOOKUP(Table1820[[#This Row],[City/Zip Code]],Table5[City/Zip Code],Table5[City/Zip Code Factor],,0)</f>
        <v>1.21</v>
      </c>
      <c r="AF915">
        <f>_xlfn.XLOOKUP(Table1820[[#This Row],[Vehicle Price]],Table6[Vehicle Price],Table6[Vehicle Price Factor])</f>
        <v>2.02</v>
      </c>
      <c r="AG915">
        <f>_xlfn.XLOOKUP(Table1820[[#This Row],[Exotic Car]],Table7[Exotic Car],Table7[Exotic Car Factor],,0)</f>
        <v>1</v>
      </c>
      <c r="AH915">
        <f>_xlfn.XLOOKUP(Table1820[[#This Row],[Difficult Parts]],Table8[Difficult Parts],Table8[Difficult Parts Factor],,0)</f>
        <v>1</v>
      </c>
      <c r="AI915">
        <f>_xlfn.XLOOKUP(Table1820[[#This Row],[High Theft Rate]],Table9[High Theft Rate],Table9[High Theft Rate Factor],,0)</f>
        <v>1</v>
      </c>
      <c r="AJ915">
        <f>_xlfn.XLOOKUP(Table1820[[#This Row],[Advanced Safety Features]],Table10[Advanced Safety Features],Table10[Advanced Safety Features Factor],,0)</f>
        <v>0.88</v>
      </c>
      <c r="AK915">
        <f>_xlfn.XLOOKUP(Table1820[[#This Row],[Deductible]],Table12[Deductible],Table12[Deductible Factor],,0)</f>
        <v>1</v>
      </c>
      <c r="AL915">
        <f>_xlfn.XLOOKUP(Table1820[[#This Row],[Coverage Limit]],Table13[Coverage Limit],Table13[Coverage Limit Factor],,0)</f>
        <v>0.72</v>
      </c>
      <c r="AM915">
        <f>IF(Table1820[[#This Row],[Good Student Discount]]="Yes",'Rate Book'!$D$126,1)</f>
        <v>1</v>
      </c>
      <c r="AN915">
        <f>IF(Table1820[[#This Row],[Good Driver Discount]]="Yes",'Rate Book'!$D$127,1)</f>
        <v>1</v>
      </c>
      <c r="AO915">
        <f>IF(Table1820[[#This Row],[Multi Policy Discount]]="Yes",'Rate Book'!$D$128,1)</f>
        <v>1</v>
      </c>
      <c r="AP915">
        <f>IF(Table1820[[#This Row],[Loyal Customer Discount]]="Yes",'Rate Book'!$D$129,1)</f>
        <v>1</v>
      </c>
      <c r="AQ915">
        <f>IF(Table1820[[#This Row],[Organization Discount]]="Yes",'Rate Book'!$D$130,1)</f>
        <v>1</v>
      </c>
      <c r="AR915" cm="1">
        <f t="array" ref="AR915">IF(Table1820[[#This Row],[Effective Date]]&gt;=RateChangeTable[Effective Date],RateChangeTable[Rate Change Factor],1)</f>
        <v>1</v>
      </c>
      <c r="AS915" s="10">
        <f>PRODUCT(Table1820[[#This Row],[Base Rate]:[Rate Change Factor]])</f>
        <v>1187.5035558481918</v>
      </c>
      <c r="AT915" s="9">
        <f>Table1820[[#This Row],[System-Generated Premium]]-Table1820[[#This Row],[Expected Premium]]</f>
        <v>296.8764441518083</v>
      </c>
      <c r="AU915" t="str">
        <f>IF(Table1820[[#This Row],[Difference]]=0,"PASS","FAIL")</f>
        <v>FAIL</v>
      </c>
      <c r="AV915" s="9">
        <f>ABS(Table1820[[#This Row],[Difference]])</f>
        <v>296.8764441518083</v>
      </c>
      <c r="AW915" s="9" t="s">
        <v>1145</v>
      </c>
    </row>
    <row r="916" spans="1:49" x14ac:dyDescent="0.3">
      <c r="A916" t="s">
        <v>1007</v>
      </c>
      <c r="B916" s="7">
        <v>45982</v>
      </c>
      <c r="C916" t="s">
        <v>71</v>
      </c>
      <c r="D916" t="s">
        <v>1099</v>
      </c>
      <c r="E916" s="3">
        <v>3</v>
      </c>
      <c r="F916" s="3" t="s">
        <v>7</v>
      </c>
      <c r="G916" t="s">
        <v>10</v>
      </c>
      <c r="H916" t="s">
        <v>1108</v>
      </c>
      <c r="I916" t="s">
        <v>34</v>
      </c>
      <c r="J916" t="s">
        <v>51</v>
      </c>
      <c r="K916" t="s">
        <v>57</v>
      </c>
      <c r="L916" t="s">
        <v>10</v>
      </c>
      <c r="M916" t="s">
        <v>10</v>
      </c>
      <c r="N916" t="s">
        <v>10</v>
      </c>
      <c r="O916" t="str">
        <f>INDEX(CoverageTable[Deductible Applies],MATCH(Table1820[[#This Row],[Coverage]],CoverageTable[Coverage],0))</f>
        <v>Yes</v>
      </c>
      <c r="P916" t="str">
        <f>INDEX(CoverageTable[Coverage Limit Applies],MATCH(Table1820[[#This Row],[Coverage]],CoverageTable[Coverage],0))</f>
        <v>No</v>
      </c>
      <c r="Q916" t="s">
        <v>79</v>
      </c>
      <c r="R916" t="s">
        <v>10</v>
      </c>
      <c r="S916" t="s">
        <v>10</v>
      </c>
      <c r="T916" t="s">
        <v>10</v>
      </c>
      <c r="U916" t="s">
        <v>10</v>
      </c>
      <c r="V916" t="s">
        <v>10</v>
      </c>
      <c r="W916" t="s">
        <v>10</v>
      </c>
      <c r="X916" s="11">
        <v>2930.7502429470724</v>
      </c>
      <c r="Y916">
        <f>_xlfn.XLOOKUP(Table1820[[#This Row],[Coverage]],CoverageTable[Coverage],CoverageTable[Base Rate],,0)</f>
        <v>453</v>
      </c>
      <c r="Z916">
        <f>INDEX(Table16[Ageband Factor],MATCH(Table1820[[#This Row],[Ageband]],Table16[Ageband],0))</f>
        <v>1</v>
      </c>
      <c r="AA916">
        <f>VLOOKUP(Table1820[[#This Row],[Years Driving]],Table1[],2)</f>
        <v>1.22</v>
      </c>
      <c r="AB916">
        <f>_xlfn.XLOOKUP(Table1820[[#This Row],[At Fault Accidents]],Table2[At Fault Accidents],Table2[At Fault Accident Factor],,0)</f>
        <v>2.4700000000000002</v>
      </c>
      <c r="AC916">
        <f>_xlfn.XLOOKUP(Table1820[[#This Row],[Usage-Based Insurance]],Table3[Usage-Based Insurance],Table3[Usage-Based Insurance Discount],,0)</f>
        <v>1</v>
      </c>
      <c r="AD916">
        <f>_xlfn.XLOOKUP(Table1820[[#This Row],[Yearly Miles]],Table4[Yearly Miles],Table4[Yearly Miles Factor],,0)</f>
        <v>1</v>
      </c>
      <c r="AE916">
        <f>_xlfn.XLOOKUP(Table1820[[#This Row],[City/Zip Code]],Table5[City/Zip Code],Table5[City/Zip Code Factor],,0)</f>
        <v>1.56</v>
      </c>
      <c r="AF916">
        <f>_xlfn.XLOOKUP(Table1820[[#This Row],[Vehicle Price]],Table6[Vehicle Price],Table6[Vehicle Price Factor])</f>
        <v>1.28</v>
      </c>
      <c r="AG916">
        <f>_xlfn.XLOOKUP(Table1820[[#This Row],[Exotic Car]],Table7[Exotic Car],Table7[Exotic Car Factor],,0)</f>
        <v>1.28</v>
      </c>
      <c r="AH916">
        <f>_xlfn.XLOOKUP(Table1820[[#This Row],[Difficult Parts]],Table8[Difficult Parts],Table8[Difficult Parts Factor],,0)</f>
        <v>1</v>
      </c>
      <c r="AI916">
        <f>_xlfn.XLOOKUP(Table1820[[#This Row],[High Theft Rate]],Table9[High Theft Rate],Table9[High Theft Rate Factor],,0)</f>
        <v>1</v>
      </c>
      <c r="AJ916">
        <f>_xlfn.XLOOKUP(Table1820[[#This Row],[Advanced Safety Features]],Table10[Advanced Safety Features],Table10[Advanced Safety Features Factor],,0)</f>
        <v>1</v>
      </c>
      <c r="AK916">
        <f>_xlfn.XLOOKUP(Table1820[[#This Row],[Deductible]],Table12[Deductible],Table12[Deductible Factor],,0)</f>
        <v>0.84</v>
      </c>
      <c r="AL916">
        <f>_xlfn.XLOOKUP(Table1820[[#This Row],[Coverage Limit]],Table13[Coverage Limit],Table13[Coverage Limit Factor],,0)</f>
        <v>1</v>
      </c>
      <c r="AM916">
        <f>IF(Table1820[[#This Row],[Good Student Discount]]="Yes",'Rate Book'!$D$126,1)</f>
        <v>1</v>
      </c>
      <c r="AN916">
        <f>IF(Table1820[[#This Row],[Good Driver Discount]]="Yes",'Rate Book'!$D$127,1)</f>
        <v>1</v>
      </c>
      <c r="AO916">
        <f>IF(Table1820[[#This Row],[Multi Policy Discount]]="Yes",'Rate Book'!$D$128,1)</f>
        <v>1</v>
      </c>
      <c r="AP916">
        <f>IF(Table1820[[#This Row],[Loyal Customer Discount]]="Yes",'Rate Book'!$D$129,1)</f>
        <v>1</v>
      </c>
      <c r="AQ916">
        <f>IF(Table1820[[#This Row],[Organization Discount]]="Yes",'Rate Book'!$D$130,1)</f>
        <v>1</v>
      </c>
      <c r="AR916" cm="1">
        <f t="array" ref="AR916">IF(Table1820[[#This Row],[Effective Date]]&gt;=RateChangeTable[Effective Date],RateChangeTable[Rate Change Factor],1)</f>
        <v>1</v>
      </c>
      <c r="AS916" s="10">
        <f>PRODUCT(Table1820[[#This Row],[Base Rate]:[Rate Change Factor]])</f>
        <v>2930.7502429470724</v>
      </c>
      <c r="AT916" s="9">
        <f>Table1820[[#This Row],[System-Generated Premium]]-Table1820[[#This Row],[Expected Premium]]</f>
        <v>0</v>
      </c>
      <c r="AU916" t="str">
        <f>IF(Table1820[[#This Row],[Difference]]=0,"PASS","FAIL")</f>
        <v>PASS</v>
      </c>
      <c r="AV916" s="9">
        <f>ABS(Table1820[[#This Row],[Difference]])</f>
        <v>0</v>
      </c>
      <c r="AW916" s="9" t="s">
        <v>1136</v>
      </c>
    </row>
    <row r="917" spans="1:49" x14ac:dyDescent="0.3">
      <c r="A917" t="s">
        <v>1008</v>
      </c>
      <c r="B917" s="7">
        <v>45965</v>
      </c>
      <c r="C917" t="s">
        <v>70</v>
      </c>
      <c r="D917" t="s">
        <v>1100</v>
      </c>
      <c r="E917" s="3">
        <v>5</v>
      </c>
      <c r="F917" s="3">
        <v>1</v>
      </c>
      <c r="G917" t="s">
        <v>10</v>
      </c>
      <c r="H917" t="s">
        <v>1109</v>
      </c>
      <c r="I917" t="s">
        <v>33</v>
      </c>
      <c r="J917" t="s">
        <v>50</v>
      </c>
      <c r="K917" t="s">
        <v>10</v>
      </c>
      <c r="L917" t="s">
        <v>10</v>
      </c>
      <c r="M917" t="s">
        <v>10</v>
      </c>
      <c r="N917" t="s">
        <v>57</v>
      </c>
      <c r="O917" t="str">
        <f>INDEX(CoverageTable[Deductible Applies],MATCH(Table1820[[#This Row],[Coverage]],CoverageTable[Coverage],0))</f>
        <v>No</v>
      </c>
      <c r="P917" t="str">
        <f>INDEX(CoverageTable[Coverage Limit Applies],MATCH(Table1820[[#This Row],[Coverage]],CoverageTable[Coverage],0))</f>
        <v>Yes</v>
      </c>
      <c r="Q917" t="s">
        <v>10</v>
      </c>
      <c r="R917" t="s">
        <v>78</v>
      </c>
      <c r="S917" t="s">
        <v>57</v>
      </c>
      <c r="T917" t="s">
        <v>57</v>
      </c>
      <c r="U917" t="s">
        <v>57</v>
      </c>
      <c r="V917" t="s">
        <v>10</v>
      </c>
      <c r="W917" t="s">
        <v>10</v>
      </c>
      <c r="X917" s="11">
        <v>507.03969743025613</v>
      </c>
      <c r="Y917">
        <f>_xlfn.XLOOKUP(Table1820[[#This Row],[Coverage]],CoverageTable[Coverage],CoverageTable[Base Rate],,0)</f>
        <v>622</v>
      </c>
      <c r="Z917">
        <f>INDEX(Table16[Ageband Factor],MATCH(Table1820[[#This Row],[Ageband]],Table16[Ageband],0))</f>
        <v>1.07</v>
      </c>
      <c r="AA917">
        <f>VLOOKUP(Table1820[[#This Row],[Years Driving]],Table1[],2)</f>
        <v>1.07</v>
      </c>
      <c r="AB917">
        <f>_xlfn.XLOOKUP(Table1820[[#This Row],[At Fault Accidents]],Table2[At Fault Accidents],Table2[At Fault Accident Factor],,0)</f>
        <v>1.34</v>
      </c>
      <c r="AC917">
        <f>_xlfn.XLOOKUP(Table1820[[#This Row],[Usage-Based Insurance]],Table3[Usage-Based Insurance],Table3[Usage-Based Insurance Discount],,0)</f>
        <v>1</v>
      </c>
      <c r="AD917">
        <f>_xlfn.XLOOKUP(Table1820[[#This Row],[Yearly Miles]],Table4[Yearly Miles],Table4[Yearly Miles Factor],,0)</f>
        <v>1.18</v>
      </c>
      <c r="AE917">
        <f>_xlfn.XLOOKUP(Table1820[[#This Row],[City/Zip Code]],Table5[City/Zip Code],Table5[City/Zip Code Factor],,0)</f>
        <v>1.02</v>
      </c>
      <c r="AF917">
        <f>_xlfn.XLOOKUP(Table1820[[#This Row],[Vehicle Price]],Table6[Vehicle Price],Table6[Vehicle Price Factor])</f>
        <v>1.08</v>
      </c>
      <c r="AG917">
        <f>_xlfn.XLOOKUP(Table1820[[#This Row],[Exotic Car]],Table7[Exotic Car],Table7[Exotic Car Factor],,0)</f>
        <v>1</v>
      </c>
      <c r="AH917">
        <f>_xlfn.XLOOKUP(Table1820[[#This Row],[Difficult Parts]],Table8[Difficult Parts],Table8[Difficult Parts Factor],,0)</f>
        <v>1</v>
      </c>
      <c r="AI917">
        <f>_xlfn.XLOOKUP(Table1820[[#This Row],[High Theft Rate]],Table9[High Theft Rate],Table9[High Theft Rate Factor],,0)</f>
        <v>1</v>
      </c>
      <c r="AJ917">
        <f>_xlfn.XLOOKUP(Table1820[[#This Row],[Advanced Safety Features]],Table10[Advanced Safety Features],Table10[Advanced Safety Features Factor],,0)</f>
        <v>0.88</v>
      </c>
      <c r="AK917">
        <f>_xlfn.XLOOKUP(Table1820[[#This Row],[Deductible]],Table12[Deductible],Table12[Deductible Factor],,0)</f>
        <v>1</v>
      </c>
      <c r="AL917">
        <f>_xlfn.XLOOKUP(Table1820[[#This Row],[Coverage Limit]],Table13[Coverage Limit],Table13[Coverage Limit Factor],,0)</f>
        <v>0.61</v>
      </c>
      <c r="AM917">
        <f>IF(Table1820[[#This Row],[Good Student Discount]]="Yes",'Rate Book'!$D$126,1)</f>
        <v>0.92</v>
      </c>
      <c r="AN917">
        <f>IF(Table1820[[#This Row],[Good Driver Discount]]="Yes",'Rate Book'!$D$127,1)</f>
        <v>0.89</v>
      </c>
      <c r="AO917">
        <f>IF(Table1820[[#This Row],[Multi Policy Discount]]="Yes",'Rate Book'!$D$128,1)</f>
        <v>0.93</v>
      </c>
      <c r="AP917">
        <f>IF(Table1820[[#This Row],[Loyal Customer Discount]]="Yes",'Rate Book'!$D$129,1)</f>
        <v>1</v>
      </c>
      <c r="AQ917">
        <f>IF(Table1820[[#This Row],[Organization Discount]]="Yes",'Rate Book'!$D$130,1)</f>
        <v>1</v>
      </c>
      <c r="AR917" cm="1">
        <f t="array" ref="AR917">IF(Table1820[[#This Row],[Effective Date]]&gt;=RateChangeTable[Effective Date],RateChangeTable[Rate Change Factor],1)</f>
        <v>1</v>
      </c>
      <c r="AS917" s="10">
        <f>PRODUCT(Table1820[[#This Row],[Base Rate]:[Rate Change Factor]])</f>
        <v>507.03969743025613</v>
      </c>
      <c r="AT917" s="9">
        <f>Table1820[[#This Row],[System-Generated Premium]]-Table1820[[#This Row],[Expected Premium]]</f>
        <v>0</v>
      </c>
      <c r="AU917" t="str">
        <f>IF(Table1820[[#This Row],[Difference]]=0,"PASS","FAIL")</f>
        <v>PASS</v>
      </c>
      <c r="AV917" s="9">
        <f>ABS(Table1820[[#This Row],[Difference]])</f>
        <v>0</v>
      </c>
      <c r="AW917" s="9" t="s">
        <v>1136</v>
      </c>
    </row>
    <row r="918" spans="1:49" x14ac:dyDescent="0.3">
      <c r="A918" t="s">
        <v>1009</v>
      </c>
      <c r="B918" s="7">
        <v>45866</v>
      </c>
      <c r="C918" t="s">
        <v>70</v>
      </c>
      <c r="D918" t="s">
        <v>1098</v>
      </c>
      <c r="E918" s="3">
        <v>6</v>
      </c>
      <c r="F918" s="3" t="s">
        <v>7</v>
      </c>
      <c r="G918" t="s">
        <v>10</v>
      </c>
      <c r="H918" t="s">
        <v>1108</v>
      </c>
      <c r="I918" t="s">
        <v>32</v>
      </c>
      <c r="J918" t="s">
        <v>48</v>
      </c>
      <c r="K918" t="s">
        <v>10</v>
      </c>
      <c r="L918" t="s">
        <v>10</v>
      </c>
      <c r="M918" t="s">
        <v>10</v>
      </c>
      <c r="N918" t="s">
        <v>57</v>
      </c>
      <c r="O918" t="str">
        <f>INDEX(CoverageTable[Deductible Applies],MATCH(Table1820[[#This Row],[Coverage]],CoverageTable[Coverage],0))</f>
        <v>No</v>
      </c>
      <c r="P918" t="str">
        <f>INDEX(CoverageTable[Coverage Limit Applies],MATCH(Table1820[[#This Row],[Coverage]],CoverageTable[Coverage],0))</f>
        <v>Yes</v>
      </c>
      <c r="Q918" t="s">
        <v>10</v>
      </c>
      <c r="R918" t="s">
        <v>79</v>
      </c>
      <c r="S918" t="s">
        <v>10</v>
      </c>
      <c r="T918" t="s">
        <v>10</v>
      </c>
      <c r="U918" t="s">
        <v>10</v>
      </c>
      <c r="V918" t="s">
        <v>10</v>
      </c>
      <c r="W918" t="s">
        <v>57</v>
      </c>
      <c r="X918" s="11">
        <v>1066.6236950098328</v>
      </c>
      <c r="Y918">
        <f>_xlfn.XLOOKUP(Table1820[[#This Row],[Coverage]],CoverageTable[Coverage],CoverageTable[Base Rate],,0)</f>
        <v>622</v>
      </c>
      <c r="Z918">
        <f>INDEX(Table16[Ageband Factor],MATCH(Table1820[[#This Row],[Ageband]],Table16[Ageband],0))</f>
        <v>1.23</v>
      </c>
      <c r="AA918">
        <f>VLOOKUP(Table1820[[#This Row],[Years Driving]],Table1[],2)</f>
        <v>1</v>
      </c>
      <c r="AB918">
        <f>_xlfn.XLOOKUP(Table1820[[#This Row],[At Fault Accidents]],Table2[At Fault Accidents],Table2[At Fault Accident Factor],,0)</f>
        <v>2.4700000000000002</v>
      </c>
      <c r="AC918">
        <f>_xlfn.XLOOKUP(Table1820[[#This Row],[Usage-Based Insurance]],Table3[Usage-Based Insurance],Table3[Usage-Based Insurance Discount],,0)</f>
        <v>1</v>
      </c>
      <c r="AD918">
        <f>_xlfn.XLOOKUP(Table1820[[#This Row],[Yearly Miles]],Table4[Yearly Miles],Table4[Yearly Miles Factor],,0)</f>
        <v>1</v>
      </c>
      <c r="AE918">
        <f>_xlfn.XLOOKUP(Table1820[[#This Row],[City/Zip Code]],Table5[City/Zip Code],Table5[City/Zip Code Factor],,0)</f>
        <v>1.1200000000000001</v>
      </c>
      <c r="AF918">
        <f>_xlfn.XLOOKUP(Table1820[[#This Row],[Vehicle Price]],Table6[Vehicle Price],Table6[Vehicle Price Factor])</f>
        <v>0.82</v>
      </c>
      <c r="AG918">
        <f>_xlfn.XLOOKUP(Table1820[[#This Row],[Exotic Car]],Table7[Exotic Car],Table7[Exotic Car Factor],,0)</f>
        <v>1</v>
      </c>
      <c r="AH918">
        <f>_xlfn.XLOOKUP(Table1820[[#This Row],[Difficult Parts]],Table8[Difficult Parts],Table8[Difficult Parts Factor],,0)</f>
        <v>1</v>
      </c>
      <c r="AI918">
        <f>_xlfn.XLOOKUP(Table1820[[#This Row],[High Theft Rate]],Table9[High Theft Rate],Table9[High Theft Rate Factor],,0)</f>
        <v>1</v>
      </c>
      <c r="AJ918">
        <f>_xlfn.XLOOKUP(Table1820[[#This Row],[Advanced Safety Features]],Table10[Advanced Safety Features],Table10[Advanced Safety Features Factor],,0)</f>
        <v>0.88</v>
      </c>
      <c r="AK918">
        <f>_xlfn.XLOOKUP(Table1820[[#This Row],[Deductible]],Table12[Deductible],Table12[Deductible Factor],,0)</f>
        <v>1</v>
      </c>
      <c r="AL918">
        <f>_xlfn.XLOOKUP(Table1820[[#This Row],[Coverage Limit]],Table13[Coverage Limit],Table13[Coverage Limit Factor],,0)</f>
        <v>0.72</v>
      </c>
      <c r="AM918">
        <f>IF(Table1820[[#This Row],[Good Student Discount]]="Yes",'Rate Book'!$D$126,1)</f>
        <v>1</v>
      </c>
      <c r="AN918">
        <f>IF(Table1820[[#This Row],[Good Driver Discount]]="Yes",'Rate Book'!$D$127,1)</f>
        <v>1</v>
      </c>
      <c r="AO918">
        <f>IF(Table1820[[#This Row],[Multi Policy Discount]]="Yes",'Rate Book'!$D$128,1)</f>
        <v>1</v>
      </c>
      <c r="AP918">
        <f>IF(Table1820[[#This Row],[Loyal Customer Discount]]="Yes",'Rate Book'!$D$129,1)</f>
        <v>1</v>
      </c>
      <c r="AQ918">
        <f>IF(Table1820[[#This Row],[Organization Discount]]="Yes",'Rate Book'!$D$130,1)</f>
        <v>0.97</v>
      </c>
      <c r="AR918" cm="1">
        <f t="array" ref="AR918">IF(Table1820[[#This Row],[Effective Date]]&gt;=RateChangeTable[Effective Date],RateChangeTable[Rate Change Factor],1)</f>
        <v>1</v>
      </c>
      <c r="AS918" s="10">
        <f>PRODUCT(Table1820[[#This Row],[Base Rate]:[Rate Change Factor]])</f>
        <v>1066.6236950098328</v>
      </c>
      <c r="AT918" s="9">
        <f>Table1820[[#This Row],[System-Generated Premium]]-Table1820[[#This Row],[Expected Premium]]</f>
        <v>0</v>
      </c>
      <c r="AU918" t="str">
        <f>IF(Table1820[[#This Row],[Difference]]=0,"PASS","FAIL")</f>
        <v>PASS</v>
      </c>
      <c r="AV918" s="9">
        <f>ABS(Table1820[[#This Row],[Difference]])</f>
        <v>0</v>
      </c>
      <c r="AW918" s="9" t="s">
        <v>1136</v>
      </c>
    </row>
    <row r="919" spans="1:49" x14ac:dyDescent="0.3">
      <c r="A919" t="s">
        <v>1010</v>
      </c>
      <c r="B919" s="7">
        <v>45884</v>
      </c>
      <c r="C919" t="s">
        <v>71</v>
      </c>
      <c r="D919" t="s">
        <v>1102</v>
      </c>
      <c r="E919" s="3">
        <v>4</v>
      </c>
      <c r="F919" s="3" t="s">
        <v>7</v>
      </c>
      <c r="G919" t="s">
        <v>10</v>
      </c>
      <c r="H919" t="s">
        <v>1106</v>
      </c>
      <c r="I919" t="s">
        <v>39</v>
      </c>
      <c r="J919" t="s">
        <v>53</v>
      </c>
      <c r="K919" t="s">
        <v>10</v>
      </c>
      <c r="L919" t="s">
        <v>57</v>
      </c>
      <c r="M919" t="s">
        <v>10</v>
      </c>
      <c r="N919" t="s">
        <v>10</v>
      </c>
      <c r="O919" t="str">
        <f>INDEX(CoverageTable[Deductible Applies],MATCH(Table1820[[#This Row],[Coverage]],CoverageTable[Coverage],0))</f>
        <v>Yes</v>
      </c>
      <c r="P919" t="str">
        <f>INDEX(CoverageTable[Coverage Limit Applies],MATCH(Table1820[[#This Row],[Coverage]],CoverageTable[Coverage],0))</f>
        <v>No</v>
      </c>
      <c r="Q919" t="s">
        <v>78</v>
      </c>
      <c r="R919" t="s">
        <v>10</v>
      </c>
      <c r="S919" t="s">
        <v>10</v>
      </c>
      <c r="T919" t="s">
        <v>10</v>
      </c>
      <c r="U919" t="s">
        <v>10</v>
      </c>
      <c r="V919" t="s">
        <v>10</v>
      </c>
      <c r="W919" t="s">
        <v>57</v>
      </c>
      <c r="X919" s="11">
        <v>3259.6157213635224</v>
      </c>
      <c r="Y919">
        <f>_xlfn.XLOOKUP(Table1820[[#This Row],[Coverage]],CoverageTable[Coverage],CoverageTable[Base Rate],,0)</f>
        <v>453</v>
      </c>
      <c r="Z919">
        <f>INDEX(Table16[Ageband Factor],MATCH(Table1820[[#This Row],[Ageband]],Table16[Ageband],0))</f>
        <v>1.27</v>
      </c>
      <c r="AA919">
        <f>VLOOKUP(Table1820[[#This Row],[Years Driving]],Table1[],2)</f>
        <v>1.1499999999999999</v>
      </c>
      <c r="AB919">
        <f>_xlfn.XLOOKUP(Table1820[[#This Row],[At Fault Accidents]],Table2[At Fault Accidents],Table2[At Fault Accident Factor],,0)</f>
        <v>2.4700000000000002</v>
      </c>
      <c r="AC919">
        <f>_xlfn.XLOOKUP(Table1820[[#This Row],[Usage-Based Insurance]],Table3[Usage-Based Insurance],Table3[Usage-Based Insurance Discount],,0)</f>
        <v>1</v>
      </c>
      <c r="AD919">
        <f>_xlfn.XLOOKUP(Table1820[[#This Row],[Yearly Miles]],Table4[Yearly Miles],Table4[Yearly Miles Factor],,0)</f>
        <v>0.82</v>
      </c>
      <c r="AE919">
        <f>_xlfn.XLOOKUP(Table1820[[#This Row],[City/Zip Code]],Table5[City/Zip Code],Table5[City/Zip Code Factor],,0)</f>
        <v>1.08</v>
      </c>
      <c r="AF919">
        <f>_xlfn.XLOOKUP(Table1820[[#This Row],[Vehicle Price]],Table6[Vehicle Price],Table6[Vehicle Price Factor])</f>
        <v>2.02</v>
      </c>
      <c r="AG919">
        <f>_xlfn.XLOOKUP(Table1820[[#This Row],[Exotic Car]],Table7[Exotic Car],Table7[Exotic Car Factor],,0)</f>
        <v>1</v>
      </c>
      <c r="AH919">
        <f>_xlfn.XLOOKUP(Table1820[[#This Row],[Difficult Parts]],Table8[Difficult Parts],Table8[Difficult Parts Factor],,0)</f>
        <v>1.21</v>
      </c>
      <c r="AI919">
        <f>_xlfn.XLOOKUP(Table1820[[#This Row],[High Theft Rate]],Table9[High Theft Rate],Table9[High Theft Rate Factor],,0)</f>
        <v>1</v>
      </c>
      <c r="AJ919">
        <f>_xlfn.XLOOKUP(Table1820[[#This Row],[Advanced Safety Features]],Table10[Advanced Safety Features],Table10[Advanced Safety Features Factor],,0)</f>
        <v>1</v>
      </c>
      <c r="AK919">
        <f>_xlfn.XLOOKUP(Table1820[[#This Row],[Deductible]],Table12[Deductible],Table12[Deductible Factor],,0)</f>
        <v>0.95</v>
      </c>
      <c r="AL919">
        <f>_xlfn.XLOOKUP(Table1820[[#This Row],[Coverage Limit]],Table13[Coverage Limit],Table13[Coverage Limit Factor],,0)</f>
        <v>1</v>
      </c>
      <c r="AM919">
        <f>IF(Table1820[[#This Row],[Good Student Discount]]="Yes",'Rate Book'!$D$126,1)</f>
        <v>1</v>
      </c>
      <c r="AN919">
        <f>IF(Table1820[[#This Row],[Good Driver Discount]]="Yes",'Rate Book'!$D$127,1)</f>
        <v>1</v>
      </c>
      <c r="AO919">
        <f>IF(Table1820[[#This Row],[Multi Policy Discount]]="Yes",'Rate Book'!$D$128,1)</f>
        <v>1</v>
      </c>
      <c r="AP919">
        <f>IF(Table1820[[#This Row],[Loyal Customer Discount]]="Yes",'Rate Book'!$D$129,1)</f>
        <v>1</v>
      </c>
      <c r="AQ919">
        <f>IF(Table1820[[#This Row],[Organization Discount]]="Yes",'Rate Book'!$D$130,1)</f>
        <v>0.97</v>
      </c>
      <c r="AR919" cm="1">
        <f t="array" ref="AR919">IF(Table1820[[#This Row],[Effective Date]]&gt;=RateChangeTable[Effective Date],RateChangeTable[Rate Change Factor],1)</f>
        <v>1</v>
      </c>
      <c r="AS919" s="10">
        <f>PRODUCT(Table1820[[#This Row],[Base Rate]:[Rate Change Factor]])</f>
        <v>3259.6157213635224</v>
      </c>
      <c r="AT919" s="9">
        <f>Table1820[[#This Row],[System-Generated Premium]]-Table1820[[#This Row],[Expected Premium]]</f>
        <v>0</v>
      </c>
      <c r="AU919" t="str">
        <f>IF(Table1820[[#This Row],[Difference]]=0,"PASS","FAIL")</f>
        <v>PASS</v>
      </c>
      <c r="AV919" s="9">
        <f>ABS(Table1820[[#This Row],[Difference]])</f>
        <v>0</v>
      </c>
      <c r="AW919" s="9" t="s">
        <v>1136</v>
      </c>
    </row>
    <row r="920" spans="1:49" x14ac:dyDescent="0.3">
      <c r="A920" t="s">
        <v>1011</v>
      </c>
      <c r="B920" s="7">
        <v>46012</v>
      </c>
      <c r="C920" t="s">
        <v>74</v>
      </c>
      <c r="D920" t="s">
        <v>1100</v>
      </c>
      <c r="E920" s="3">
        <v>5</v>
      </c>
      <c r="F920" s="3">
        <v>2</v>
      </c>
      <c r="G920" t="s">
        <v>13</v>
      </c>
      <c r="H920" t="s">
        <v>1106</v>
      </c>
      <c r="I920" t="s">
        <v>30</v>
      </c>
      <c r="J920" t="s">
        <v>48</v>
      </c>
      <c r="K920" t="s">
        <v>57</v>
      </c>
      <c r="L920" t="s">
        <v>10</v>
      </c>
      <c r="M920" t="s">
        <v>10</v>
      </c>
      <c r="N920" t="s">
        <v>10</v>
      </c>
      <c r="O920" t="str">
        <f>INDEX(CoverageTable[Deductible Applies],MATCH(Table1820[[#This Row],[Coverage]],CoverageTable[Coverage],0))</f>
        <v>No</v>
      </c>
      <c r="P920" t="str">
        <f>INDEX(CoverageTable[Coverage Limit Applies],MATCH(Table1820[[#This Row],[Coverage]],CoverageTable[Coverage],0))</f>
        <v>Yes</v>
      </c>
      <c r="Q920" t="s">
        <v>10</v>
      </c>
      <c r="R920" t="s">
        <v>79</v>
      </c>
      <c r="S920" t="s">
        <v>10</v>
      </c>
      <c r="T920" t="s">
        <v>10</v>
      </c>
      <c r="U920" t="s">
        <v>10</v>
      </c>
      <c r="V920" t="s">
        <v>10</v>
      </c>
      <c r="W920" t="s">
        <v>10</v>
      </c>
      <c r="X920" s="11">
        <v>29.892814664669796</v>
      </c>
      <c r="Y920">
        <f>_xlfn.XLOOKUP(Table1820[[#This Row],[Coverage]],CoverageTable[Coverage],CoverageTable[Base Rate],,0)</f>
        <v>41</v>
      </c>
      <c r="Z920">
        <f>INDEX(Table16[Ageband Factor],MATCH(Table1820[[#This Row],[Ageband]],Table16[Ageband],0))</f>
        <v>1.07</v>
      </c>
      <c r="AA920">
        <f>VLOOKUP(Table1820[[#This Row],[Years Driving]],Table1[],2)</f>
        <v>1.07</v>
      </c>
      <c r="AB920">
        <f>_xlfn.XLOOKUP(Table1820[[#This Row],[At Fault Accidents]],Table2[At Fault Accidents],Table2[At Fault Accident Factor],,0)</f>
        <v>1.55</v>
      </c>
      <c r="AC920">
        <f>_xlfn.XLOOKUP(Table1820[[#This Row],[Usage-Based Insurance]],Table3[Usage-Based Insurance],Table3[Usage-Based Insurance Discount],,0)</f>
        <v>0.65</v>
      </c>
      <c r="AD920">
        <f>_xlfn.XLOOKUP(Table1820[[#This Row],[Yearly Miles]],Table4[Yearly Miles],Table4[Yearly Miles Factor],,0)</f>
        <v>0.82</v>
      </c>
      <c r="AE920">
        <f>_xlfn.XLOOKUP(Table1820[[#This Row],[City/Zip Code]],Table5[City/Zip Code],Table5[City/Zip Code Factor],,0)</f>
        <v>1.02</v>
      </c>
      <c r="AF920">
        <f>_xlfn.XLOOKUP(Table1820[[#This Row],[Vehicle Price]],Table6[Vehicle Price],Table6[Vehicle Price Factor])</f>
        <v>0.82</v>
      </c>
      <c r="AG920">
        <f>_xlfn.XLOOKUP(Table1820[[#This Row],[Exotic Car]],Table7[Exotic Car],Table7[Exotic Car Factor],,0)</f>
        <v>1.28</v>
      </c>
      <c r="AH920">
        <f>_xlfn.XLOOKUP(Table1820[[#This Row],[Difficult Parts]],Table8[Difficult Parts],Table8[Difficult Parts Factor],,0)</f>
        <v>1</v>
      </c>
      <c r="AI920">
        <f>_xlfn.XLOOKUP(Table1820[[#This Row],[High Theft Rate]],Table9[High Theft Rate],Table9[High Theft Rate Factor],,0)</f>
        <v>1</v>
      </c>
      <c r="AJ920">
        <f>_xlfn.XLOOKUP(Table1820[[#This Row],[Advanced Safety Features]],Table10[Advanced Safety Features],Table10[Advanced Safety Features Factor],,0)</f>
        <v>1</v>
      </c>
      <c r="AK920">
        <f>_xlfn.XLOOKUP(Table1820[[#This Row],[Deductible]],Table12[Deductible],Table12[Deductible Factor],,0)</f>
        <v>1</v>
      </c>
      <c r="AL920">
        <f>_xlfn.XLOOKUP(Table1820[[#This Row],[Coverage Limit]],Table13[Coverage Limit],Table13[Coverage Limit Factor],,0)</f>
        <v>0.72</v>
      </c>
      <c r="AM920">
        <f>IF(Table1820[[#This Row],[Good Student Discount]]="Yes",'Rate Book'!$D$126,1)</f>
        <v>1</v>
      </c>
      <c r="AN920">
        <f>IF(Table1820[[#This Row],[Good Driver Discount]]="Yes",'Rate Book'!$D$127,1)</f>
        <v>1</v>
      </c>
      <c r="AO920">
        <f>IF(Table1820[[#This Row],[Multi Policy Discount]]="Yes",'Rate Book'!$D$128,1)</f>
        <v>1</v>
      </c>
      <c r="AP920">
        <f>IF(Table1820[[#This Row],[Loyal Customer Discount]]="Yes",'Rate Book'!$D$129,1)</f>
        <v>1</v>
      </c>
      <c r="AQ920">
        <f>IF(Table1820[[#This Row],[Organization Discount]]="Yes",'Rate Book'!$D$130,1)</f>
        <v>1</v>
      </c>
      <c r="AR920" cm="1">
        <f t="array" ref="AR920">IF(Table1820[[#This Row],[Effective Date]]&gt;=RateChangeTable[Effective Date],RateChangeTable[Rate Change Factor],1)</f>
        <v>1</v>
      </c>
      <c r="AS920" s="10">
        <f>PRODUCT(Table1820[[#This Row],[Base Rate]:[Rate Change Factor]])</f>
        <v>29.892814664669796</v>
      </c>
      <c r="AT920" s="9">
        <f>Table1820[[#This Row],[System-Generated Premium]]-Table1820[[#This Row],[Expected Premium]]</f>
        <v>0</v>
      </c>
      <c r="AU920" t="str">
        <f>IF(Table1820[[#This Row],[Difference]]=0,"PASS","FAIL")</f>
        <v>PASS</v>
      </c>
      <c r="AV920" s="9">
        <f>ABS(Table1820[[#This Row],[Difference]])</f>
        <v>0</v>
      </c>
      <c r="AW920" s="9" t="s">
        <v>1136</v>
      </c>
    </row>
    <row r="921" spans="1:49" x14ac:dyDescent="0.3">
      <c r="A921" t="s">
        <v>1012</v>
      </c>
      <c r="B921" s="7">
        <v>45993</v>
      </c>
      <c r="C921" t="s">
        <v>70</v>
      </c>
      <c r="D921" t="s">
        <v>1101</v>
      </c>
      <c r="E921" s="3">
        <v>7</v>
      </c>
      <c r="F921" s="3">
        <v>1</v>
      </c>
      <c r="G921" t="s">
        <v>12</v>
      </c>
      <c r="H921" t="s">
        <v>1106</v>
      </c>
      <c r="I921" t="s">
        <v>22</v>
      </c>
      <c r="J921" t="s">
        <v>50</v>
      </c>
      <c r="K921" t="s">
        <v>10</v>
      </c>
      <c r="L921" t="s">
        <v>10</v>
      </c>
      <c r="M921" t="s">
        <v>10</v>
      </c>
      <c r="N921" t="s">
        <v>10</v>
      </c>
      <c r="O921" t="str">
        <f>INDEX(CoverageTable[Deductible Applies],MATCH(Table1820[[#This Row],[Coverage]],CoverageTable[Coverage],0))</f>
        <v>No</v>
      </c>
      <c r="P921" t="str">
        <f>INDEX(CoverageTable[Coverage Limit Applies],MATCH(Table1820[[#This Row],[Coverage]],CoverageTable[Coverage],0))</f>
        <v>Yes</v>
      </c>
      <c r="Q921" t="s">
        <v>10</v>
      </c>
      <c r="R921" t="s">
        <v>80</v>
      </c>
      <c r="S921" t="s">
        <v>10</v>
      </c>
      <c r="T921" t="s">
        <v>57</v>
      </c>
      <c r="U921" t="s">
        <v>10</v>
      </c>
      <c r="V921" t="s">
        <v>57</v>
      </c>
      <c r="W921" t="s">
        <v>10</v>
      </c>
      <c r="X921" s="11">
        <v>534.25294212825156</v>
      </c>
      <c r="Y921">
        <f>_xlfn.XLOOKUP(Table1820[[#This Row],[Coverage]],CoverageTable[Coverage],CoverageTable[Base Rate],,0)</f>
        <v>622</v>
      </c>
      <c r="Z921">
        <f>INDEX(Table16[Ageband Factor],MATCH(Table1820[[#This Row],[Ageband]],Table16[Ageband],0))</f>
        <v>1.1200000000000001</v>
      </c>
      <c r="AA921">
        <f>VLOOKUP(Table1820[[#This Row],[Years Driving]],Table1[],2)</f>
        <v>0.95</v>
      </c>
      <c r="AB921">
        <f>_xlfn.XLOOKUP(Table1820[[#This Row],[At Fault Accidents]],Table2[At Fault Accidents],Table2[At Fault Accident Factor],,0)</f>
        <v>1.34</v>
      </c>
      <c r="AC921">
        <f>_xlfn.XLOOKUP(Table1820[[#This Row],[Usage-Based Insurance]],Table3[Usage-Based Insurance],Table3[Usage-Based Insurance Discount],,0)</f>
        <v>0.8</v>
      </c>
      <c r="AD921">
        <f>_xlfn.XLOOKUP(Table1820[[#This Row],[Yearly Miles]],Table4[Yearly Miles],Table4[Yearly Miles Factor],,0)</f>
        <v>0.82</v>
      </c>
      <c r="AE921">
        <f>_xlfn.XLOOKUP(Table1820[[#This Row],[City/Zip Code]],Table5[City/Zip Code],Table5[City/Zip Code Factor],,0)</f>
        <v>1.21</v>
      </c>
      <c r="AF921">
        <f>_xlfn.XLOOKUP(Table1820[[#This Row],[Vehicle Price]],Table6[Vehicle Price],Table6[Vehicle Price Factor])</f>
        <v>1.08</v>
      </c>
      <c r="AG921">
        <f>_xlfn.XLOOKUP(Table1820[[#This Row],[Exotic Car]],Table7[Exotic Car],Table7[Exotic Car Factor],,0)</f>
        <v>1</v>
      </c>
      <c r="AH921">
        <f>_xlfn.XLOOKUP(Table1820[[#This Row],[Difficult Parts]],Table8[Difficult Parts],Table8[Difficult Parts Factor],,0)</f>
        <v>1</v>
      </c>
      <c r="AI921">
        <f>_xlfn.XLOOKUP(Table1820[[#This Row],[High Theft Rate]],Table9[High Theft Rate],Table9[High Theft Rate Factor],,0)</f>
        <v>1</v>
      </c>
      <c r="AJ921">
        <f>_xlfn.XLOOKUP(Table1820[[#This Row],[Advanced Safety Features]],Table10[Advanced Safety Features],Table10[Advanced Safety Features Factor],,0)</f>
        <v>1</v>
      </c>
      <c r="AK921">
        <f>_xlfn.XLOOKUP(Table1820[[#This Row],[Deductible]],Table12[Deductible],Table12[Deductible Factor],,0)</f>
        <v>1</v>
      </c>
      <c r="AL921">
        <f>_xlfn.XLOOKUP(Table1820[[#This Row],[Coverage Limit]],Table13[Coverage Limit],Table13[Coverage Limit Factor],,0)</f>
        <v>0.84</v>
      </c>
      <c r="AM921">
        <f>IF(Table1820[[#This Row],[Good Student Discount]]="Yes",'Rate Book'!$D$126,1)</f>
        <v>1</v>
      </c>
      <c r="AN921">
        <f>IF(Table1820[[#This Row],[Good Driver Discount]]="Yes",'Rate Book'!$D$127,1)</f>
        <v>0.89</v>
      </c>
      <c r="AO921">
        <f>IF(Table1820[[#This Row],[Multi Policy Discount]]="Yes",'Rate Book'!$D$128,1)</f>
        <v>1</v>
      </c>
      <c r="AP921">
        <f>IF(Table1820[[#This Row],[Loyal Customer Discount]]="Yes",'Rate Book'!$D$129,1)</f>
        <v>0.94</v>
      </c>
      <c r="AQ921">
        <f>IF(Table1820[[#This Row],[Organization Discount]]="Yes",'Rate Book'!$D$130,1)</f>
        <v>1</v>
      </c>
      <c r="AR921" cm="1">
        <f t="array" ref="AR921">IF(Table1820[[#This Row],[Effective Date]]&gt;=RateChangeTable[Effective Date],RateChangeTable[Rate Change Factor],1)</f>
        <v>1</v>
      </c>
      <c r="AS921" s="10">
        <f>PRODUCT(Table1820[[#This Row],[Base Rate]:[Rate Change Factor]])</f>
        <v>534.25294212825156</v>
      </c>
      <c r="AT921" s="9">
        <f>Table1820[[#This Row],[System-Generated Premium]]-Table1820[[#This Row],[Expected Premium]]</f>
        <v>0</v>
      </c>
      <c r="AU921" t="str">
        <f>IF(Table1820[[#This Row],[Difference]]=0,"PASS","FAIL")</f>
        <v>PASS</v>
      </c>
      <c r="AV921" s="9">
        <f>ABS(Table1820[[#This Row],[Difference]])</f>
        <v>0</v>
      </c>
      <c r="AW921" s="9" t="s">
        <v>1136</v>
      </c>
    </row>
    <row r="922" spans="1:49" x14ac:dyDescent="0.3">
      <c r="A922" t="s">
        <v>1013</v>
      </c>
      <c r="B922" s="7">
        <v>46026</v>
      </c>
      <c r="C922" t="s">
        <v>70</v>
      </c>
      <c r="D922" t="s">
        <v>1102</v>
      </c>
      <c r="E922" s="3">
        <v>5</v>
      </c>
      <c r="F922" s="3">
        <v>1</v>
      </c>
      <c r="G922" t="s">
        <v>10</v>
      </c>
      <c r="H922" t="s">
        <v>1109</v>
      </c>
      <c r="I922" t="s">
        <v>22</v>
      </c>
      <c r="J922" t="s">
        <v>48</v>
      </c>
      <c r="K922" t="s">
        <v>10</v>
      </c>
      <c r="L922" t="s">
        <v>57</v>
      </c>
      <c r="M922" t="s">
        <v>57</v>
      </c>
      <c r="N922" t="s">
        <v>10</v>
      </c>
      <c r="O922" t="str">
        <f>INDEX(CoverageTable[Deductible Applies],MATCH(Table1820[[#This Row],[Coverage]],CoverageTable[Coverage],0))</f>
        <v>No</v>
      </c>
      <c r="P922" t="str">
        <f>INDEX(CoverageTable[Coverage Limit Applies],MATCH(Table1820[[#This Row],[Coverage]],CoverageTable[Coverage],0))</f>
        <v>Yes</v>
      </c>
      <c r="Q922" t="s">
        <v>10</v>
      </c>
      <c r="R922" t="s">
        <v>79</v>
      </c>
      <c r="S922" t="s">
        <v>10</v>
      </c>
      <c r="T922" t="s">
        <v>57</v>
      </c>
      <c r="U922" t="s">
        <v>10</v>
      </c>
      <c r="V922" t="s">
        <v>10</v>
      </c>
      <c r="W922" t="s">
        <v>57</v>
      </c>
      <c r="X922" s="11">
        <v>1226.3300598986896</v>
      </c>
      <c r="Y922">
        <f>_xlfn.XLOOKUP(Table1820[[#This Row],[Coverage]],CoverageTable[Coverage],CoverageTable[Base Rate],,0)</f>
        <v>622</v>
      </c>
      <c r="Z922">
        <f>INDEX(Table16[Ageband Factor],MATCH(Table1820[[#This Row],[Ageband]],Table16[Ageband],0))</f>
        <v>1.27</v>
      </c>
      <c r="AA922">
        <f>VLOOKUP(Table1820[[#This Row],[Years Driving]],Table1[],2)</f>
        <v>1.07</v>
      </c>
      <c r="AB922">
        <f>_xlfn.XLOOKUP(Table1820[[#This Row],[At Fault Accidents]],Table2[At Fault Accidents],Table2[At Fault Accident Factor],,0)</f>
        <v>1.34</v>
      </c>
      <c r="AC922">
        <f>_xlfn.XLOOKUP(Table1820[[#This Row],[Usage-Based Insurance]],Table3[Usage-Based Insurance],Table3[Usage-Based Insurance Discount],,0)</f>
        <v>1</v>
      </c>
      <c r="AD922">
        <f>_xlfn.XLOOKUP(Table1820[[#This Row],[Yearly Miles]],Table4[Yearly Miles],Table4[Yearly Miles Factor],,0)</f>
        <v>1.18</v>
      </c>
      <c r="AE922">
        <f>_xlfn.XLOOKUP(Table1820[[#This Row],[City/Zip Code]],Table5[City/Zip Code],Table5[City/Zip Code Factor],,0)</f>
        <v>1.21</v>
      </c>
      <c r="AF922">
        <f>_xlfn.XLOOKUP(Table1820[[#This Row],[Vehicle Price]],Table6[Vehicle Price],Table6[Vehicle Price Factor])</f>
        <v>0.82</v>
      </c>
      <c r="AG922">
        <f>_xlfn.XLOOKUP(Table1820[[#This Row],[Exotic Car]],Table7[Exotic Car],Table7[Exotic Car Factor],,0)</f>
        <v>1</v>
      </c>
      <c r="AH922">
        <f>_xlfn.XLOOKUP(Table1820[[#This Row],[Difficult Parts]],Table8[Difficult Parts],Table8[Difficult Parts Factor],,0)</f>
        <v>1.21</v>
      </c>
      <c r="AI922">
        <f>_xlfn.XLOOKUP(Table1820[[#This Row],[High Theft Rate]],Table9[High Theft Rate],Table9[High Theft Rate Factor],,0)</f>
        <v>1.1599999999999999</v>
      </c>
      <c r="AJ922">
        <f>_xlfn.XLOOKUP(Table1820[[#This Row],[Advanced Safety Features]],Table10[Advanced Safety Features],Table10[Advanced Safety Features Factor],,0)</f>
        <v>1</v>
      </c>
      <c r="AK922">
        <f>_xlfn.XLOOKUP(Table1820[[#This Row],[Deductible]],Table12[Deductible],Table12[Deductible Factor],,0)</f>
        <v>1</v>
      </c>
      <c r="AL922">
        <f>_xlfn.XLOOKUP(Table1820[[#This Row],[Coverage Limit]],Table13[Coverage Limit],Table13[Coverage Limit Factor],,0)</f>
        <v>0.72</v>
      </c>
      <c r="AM922">
        <f>IF(Table1820[[#This Row],[Good Student Discount]]="Yes",'Rate Book'!$D$126,1)</f>
        <v>1</v>
      </c>
      <c r="AN922">
        <f>IF(Table1820[[#This Row],[Good Driver Discount]]="Yes",'Rate Book'!$D$127,1)</f>
        <v>0.89</v>
      </c>
      <c r="AO922">
        <f>IF(Table1820[[#This Row],[Multi Policy Discount]]="Yes",'Rate Book'!$D$128,1)</f>
        <v>1</v>
      </c>
      <c r="AP922">
        <f>IF(Table1820[[#This Row],[Loyal Customer Discount]]="Yes",'Rate Book'!$D$129,1)</f>
        <v>1</v>
      </c>
      <c r="AQ922">
        <f>IF(Table1820[[#This Row],[Organization Discount]]="Yes",'Rate Book'!$D$130,1)</f>
        <v>0.97</v>
      </c>
      <c r="AR922" cm="1">
        <f t="array" ref="AR922">IF(Table1820[[#This Row],[Effective Date]]&gt;=RateChangeTable[Effective Date],RateChangeTable[Rate Change Factor],1)</f>
        <v>1.06</v>
      </c>
      <c r="AS922" s="10">
        <f>PRODUCT(Table1820[[#This Row],[Base Rate]:[Rate Change Factor]])</f>
        <v>1226.3300598986896</v>
      </c>
      <c r="AT922" s="9">
        <f>Table1820[[#This Row],[System-Generated Premium]]-Table1820[[#This Row],[Expected Premium]]</f>
        <v>0</v>
      </c>
      <c r="AU922" t="str">
        <f>IF(Table1820[[#This Row],[Difference]]=0,"PASS","FAIL")</f>
        <v>PASS</v>
      </c>
      <c r="AV922" s="9">
        <f>ABS(Table1820[[#This Row],[Difference]])</f>
        <v>0</v>
      </c>
      <c r="AW922" s="9" t="s">
        <v>1136</v>
      </c>
    </row>
    <row r="923" spans="1:49" x14ac:dyDescent="0.3">
      <c r="A923" t="s">
        <v>1014</v>
      </c>
      <c r="B923" s="7">
        <v>46009</v>
      </c>
      <c r="C923" t="s">
        <v>71</v>
      </c>
      <c r="D923" t="s">
        <v>1100</v>
      </c>
      <c r="E923" s="3">
        <v>2</v>
      </c>
      <c r="F923" s="3">
        <v>4</v>
      </c>
      <c r="G923" t="s">
        <v>12</v>
      </c>
      <c r="H923" t="s">
        <v>1109</v>
      </c>
      <c r="I923" t="s">
        <v>25</v>
      </c>
      <c r="J923" t="s">
        <v>48</v>
      </c>
      <c r="K923" t="s">
        <v>10</v>
      </c>
      <c r="L923" t="s">
        <v>10</v>
      </c>
      <c r="M923" t="s">
        <v>10</v>
      </c>
      <c r="N923" t="s">
        <v>57</v>
      </c>
      <c r="O923" t="str">
        <f>INDEX(CoverageTable[Deductible Applies],MATCH(Table1820[[#This Row],[Coverage]],CoverageTable[Coverage],0))</f>
        <v>Yes</v>
      </c>
      <c r="P923" t="str">
        <f>INDEX(CoverageTable[Coverage Limit Applies],MATCH(Table1820[[#This Row],[Coverage]],CoverageTable[Coverage],0))</f>
        <v>No</v>
      </c>
      <c r="Q923" t="s">
        <v>79</v>
      </c>
      <c r="R923" t="s">
        <v>10</v>
      </c>
      <c r="S923" t="s">
        <v>10</v>
      </c>
      <c r="T923" t="s">
        <v>10</v>
      </c>
      <c r="U923" t="s">
        <v>57</v>
      </c>
      <c r="V923" t="s">
        <v>10</v>
      </c>
      <c r="W923" t="s">
        <v>10</v>
      </c>
      <c r="X923" s="11">
        <v>894.38744870303913</v>
      </c>
      <c r="Y923">
        <f>_xlfn.XLOOKUP(Table1820[[#This Row],[Coverage]],CoverageTable[Coverage],CoverageTable[Base Rate],,0)</f>
        <v>453</v>
      </c>
      <c r="Z923">
        <f>INDEX(Table16[Ageband Factor],MATCH(Table1820[[#This Row],[Ageband]],Table16[Ageband],0))</f>
        <v>1.07</v>
      </c>
      <c r="AA923">
        <f>VLOOKUP(Table1820[[#This Row],[Years Driving]],Table1[],2)</f>
        <v>1.41</v>
      </c>
      <c r="AB923">
        <f>_xlfn.XLOOKUP(Table1820[[#This Row],[At Fault Accidents]],Table2[At Fault Accidents],Table2[At Fault Accident Factor],,0)</f>
        <v>2.12</v>
      </c>
      <c r="AC923">
        <f>_xlfn.XLOOKUP(Table1820[[#This Row],[Usage-Based Insurance]],Table3[Usage-Based Insurance],Table3[Usage-Based Insurance Discount],,0)</f>
        <v>0.8</v>
      </c>
      <c r="AD923">
        <f>_xlfn.XLOOKUP(Table1820[[#This Row],[Yearly Miles]],Table4[Yearly Miles],Table4[Yearly Miles Factor],,0)</f>
        <v>1.18</v>
      </c>
      <c r="AE923">
        <f>_xlfn.XLOOKUP(Table1820[[#This Row],[City/Zip Code]],Table5[City/Zip Code],Table5[City/Zip Code Factor],,0)</f>
        <v>1.1599999999999999</v>
      </c>
      <c r="AF923">
        <f>_xlfn.XLOOKUP(Table1820[[#This Row],[Vehicle Price]],Table6[Vehicle Price],Table6[Vehicle Price Factor])</f>
        <v>0.82</v>
      </c>
      <c r="AG923">
        <f>_xlfn.XLOOKUP(Table1820[[#This Row],[Exotic Car]],Table7[Exotic Car],Table7[Exotic Car Factor],,0)</f>
        <v>1</v>
      </c>
      <c r="AH923">
        <f>_xlfn.XLOOKUP(Table1820[[#This Row],[Difficult Parts]],Table8[Difficult Parts],Table8[Difficult Parts Factor],,0)</f>
        <v>1</v>
      </c>
      <c r="AI923">
        <f>_xlfn.XLOOKUP(Table1820[[#This Row],[High Theft Rate]],Table9[High Theft Rate],Table9[High Theft Rate Factor],,0)</f>
        <v>1</v>
      </c>
      <c r="AJ923">
        <f>_xlfn.XLOOKUP(Table1820[[#This Row],[Advanced Safety Features]],Table10[Advanced Safety Features],Table10[Advanced Safety Features Factor],,0)</f>
        <v>0.88</v>
      </c>
      <c r="AK923">
        <f>_xlfn.XLOOKUP(Table1820[[#This Row],[Deductible]],Table12[Deductible],Table12[Deductible Factor],,0)</f>
        <v>0.84</v>
      </c>
      <c r="AL923">
        <f>_xlfn.XLOOKUP(Table1820[[#This Row],[Coverage Limit]],Table13[Coverage Limit],Table13[Coverage Limit Factor],,0)</f>
        <v>1</v>
      </c>
      <c r="AM923">
        <f>IF(Table1820[[#This Row],[Good Student Discount]]="Yes",'Rate Book'!$D$126,1)</f>
        <v>1</v>
      </c>
      <c r="AN923">
        <f>IF(Table1820[[#This Row],[Good Driver Discount]]="Yes",'Rate Book'!$D$127,1)</f>
        <v>1</v>
      </c>
      <c r="AO923">
        <f>IF(Table1820[[#This Row],[Multi Policy Discount]]="Yes",'Rate Book'!$D$128,1)</f>
        <v>0.93</v>
      </c>
      <c r="AP923">
        <f>IF(Table1820[[#This Row],[Loyal Customer Discount]]="Yes",'Rate Book'!$D$129,1)</f>
        <v>1</v>
      </c>
      <c r="AQ923">
        <f>IF(Table1820[[#This Row],[Organization Discount]]="Yes",'Rate Book'!$D$130,1)</f>
        <v>1</v>
      </c>
      <c r="AR923" cm="1">
        <f t="array" ref="AR923">IF(Table1820[[#This Row],[Effective Date]]&gt;=RateChangeTable[Effective Date],RateChangeTable[Rate Change Factor],1)</f>
        <v>1</v>
      </c>
      <c r="AS923" s="10">
        <f>PRODUCT(Table1820[[#This Row],[Base Rate]:[Rate Change Factor]])</f>
        <v>894.38744870303913</v>
      </c>
      <c r="AT923" s="9">
        <f>Table1820[[#This Row],[System-Generated Premium]]-Table1820[[#This Row],[Expected Premium]]</f>
        <v>0</v>
      </c>
      <c r="AU923" t="str">
        <f>IF(Table1820[[#This Row],[Difference]]=0,"PASS","FAIL")</f>
        <v>PASS</v>
      </c>
      <c r="AV923" s="9">
        <f>ABS(Table1820[[#This Row],[Difference]])</f>
        <v>0</v>
      </c>
      <c r="AW923" s="9" t="s">
        <v>1136</v>
      </c>
    </row>
    <row r="924" spans="1:49" x14ac:dyDescent="0.3">
      <c r="A924" t="s">
        <v>1015</v>
      </c>
      <c r="B924" s="7">
        <v>45899</v>
      </c>
      <c r="C924" t="s">
        <v>72</v>
      </c>
      <c r="D924" t="s">
        <v>1101</v>
      </c>
      <c r="E924" s="3">
        <v>5</v>
      </c>
      <c r="F924" s="3">
        <v>2</v>
      </c>
      <c r="G924" t="s">
        <v>13</v>
      </c>
      <c r="H924" t="s">
        <v>1108</v>
      </c>
      <c r="I924" t="s">
        <v>34</v>
      </c>
      <c r="J924" t="s">
        <v>52</v>
      </c>
      <c r="K924" t="s">
        <v>10</v>
      </c>
      <c r="L924" t="s">
        <v>10</v>
      </c>
      <c r="M924" t="s">
        <v>10</v>
      </c>
      <c r="N924" t="s">
        <v>10</v>
      </c>
      <c r="O924" t="str">
        <f>INDEX(CoverageTable[Deductible Applies],MATCH(Table1820[[#This Row],[Coverage]],CoverageTable[Coverage],0))</f>
        <v>Yes</v>
      </c>
      <c r="P924" t="str">
        <f>INDEX(CoverageTable[Coverage Limit Applies],MATCH(Table1820[[#This Row],[Coverage]],CoverageTable[Coverage],0))</f>
        <v>No</v>
      </c>
      <c r="Q924" t="s">
        <v>78</v>
      </c>
      <c r="R924" t="s">
        <v>10</v>
      </c>
      <c r="S924" t="s">
        <v>10</v>
      </c>
      <c r="T924" t="s">
        <v>57</v>
      </c>
      <c r="U924" t="s">
        <v>10</v>
      </c>
      <c r="V924" t="s">
        <v>10</v>
      </c>
      <c r="W924" t="s">
        <v>10</v>
      </c>
      <c r="X924" s="11">
        <v>302.53114298687285</v>
      </c>
      <c r="Y924">
        <f>_xlfn.XLOOKUP(Table1820[[#This Row],[Coverage]],CoverageTable[Coverage],CoverageTable[Base Rate],,0)</f>
        <v>121</v>
      </c>
      <c r="Z924">
        <f>INDEX(Table16[Ageband Factor],MATCH(Table1820[[#This Row],[Ageband]],Table16[Ageband],0))</f>
        <v>1.1200000000000001</v>
      </c>
      <c r="AA924">
        <f>VLOOKUP(Table1820[[#This Row],[Years Driving]],Table1[],2)</f>
        <v>1.07</v>
      </c>
      <c r="AB924">
        <f>_xlfn.XLOOKUP(Table1820[[#This Row],[At Fault Accidents]],Table2[At Fault Accidents],Table2[At Fault Accident Factor],,0)</f>
        <v>1.55</v>
      </c>
      <c r="AC924">
        <f>_xlfn.XLOOKUP(Table1820[[#This Row],[Usage-Based Insurance]],Table3[Usage-Based Insurance],Table3[Usage-Based Insurance Discount],,0)</f>
        <v>0.65</v>
      </c>
      <c r="AD924">
        <f>_xlfn.XLOOKUP(Table1820[[#This Row],[Yearly Miles]],Table4[Yearly Miles],Table4[Yearly Miles Factor],,0)</f>
        <v>1</v>
      </c>
      <c r="AE924">
        <f>_xlfn.XLOOKUP(Table1820[[#This Row],[City/Zip Code]],Table5[City/Zip Code],Table5[City/Zip Code Factor],,0)</f>
        <v>1.56</v>
      </c>
      <c r="AF924">
        <f>_xlfn.XLOOKUP(Table1820[[#This Row],[Vehicle Price]],Table6[Vehicle Price],Table6[Vehicle Price Factor])</f>
        <v>1.57</v>
      </c>
      <c r="AG924">
        <f>_xlfn.XLOOKUP(Table1820[[#This Row],[Exotic Car]],Table7[Exotic Car],Table7[Exotic Car Factor],,0)</f>
        <v>1</v>
      </c>
      <c r="AH924">
        <f>_xlfn.XLOOKUP(Table1820[[#This Row],[Difficult Parts]],Table8[Difficult Parts],Table8[Difficult Parts Factor],,0)</f>
        <v>1</v>
      </c>
      <c r="AI924">
        <f>_xlfn.XLOOKUP(Table1820[[#This Row],[High Theft Rate]],Table9[High Theft Rate],Table9[High Theft Rate Factor],,0)</f>
        <v>1</v>
      </c>
      <c r="AJ924">
        <f>_xlfn.XLOOKUP(Table1820[[#This Row],[Advanced Safety Features]],Table10[Advanced Safety Features],Table10[Advanced Safety Features Factor],,0)</f>
        <v>1</v>
      </c>
      <c r="AK924">
        <f>_xlfn.XLOOKUP(Table1820[[#This Row],[Deductible]],Table12[Deductible],Table12[Deductible Factor],,0)</f>
        <v>0.95</v>
      </c>
      <c r="AL924">
        <f>_xlfn.XLOOKUP(Table1820[[#This Row],[Coverage Limit]],Table13[Coverage Limit],Table13[Coverage Limit Factor],,0)</f>
        <v>1</v>
      </c>
      <c r="AM924">
        <f>IF(Table1820[[#This Row],[Good Student Discount]]="Yes",'Rate Book'!$D$126,1)</f>
        <v>1</v>
      </c>
      <c r="AN924">
        <f>IF(Table1820[[#This Row],[Good Driver Discount]]="Yes",'Rate Book'!$D$127,1)</f>
        <v>0.89</v>
      </c>
      <c r="AO924">
        <f>IF(Table1820[[#This Row],[Multi Policy Discount]]="Yes",'Rate Book'!$D$128,1)</f>
        <v>1</v>
      </c>
      <c r="AP924">
        <f>IF(Table1820[[#This Row],[Loyal Customer Discount]]="Yes",'Rate Book'!$D$129,1)</f>
        <v>1</v>
      </c>
      <c r="AQ924">
        <f>IF(Table1820[[#This Row],[Organization Discount]]="Yes",'Rate Book'!$D$130,1)</f>
        <v>1</v>
      </c>
      <c r="AR924" cm="1">
        <f t="array" ref="AR924">IF(Table1820[[#This Row],[Effective Date]]&gt;=RateChangeTable[Effective Date],RateChangeTable[Rate Change Factor],1)</f>
        <v>1</v>
      </c>
      <c r="AS924" s="10">
        <f>PRODUCT(Table1820[[#This Row],[Base Rate]:[Rate Change Factor]])</f>
        <v>302.53114298687285</v>
      </c>
      <c r="AT924" s="9">
        <f>Table1820[[#This Row],[System-Generated Premium]]-Table1820[[#This Row],[Expected Premium]]</f>
        <v>0</v>
      </c>
      <c r="AU924" t="str">
        <f>IF(Table1820[[#This Row],[Difference]]=0,"PASS","FAIL")</f>
        <v>PASS</v>
      </c>
      <c r="AV924" s="9">
        <f>ABS(Table1820[[#This Row],[Difference]])</f>
        <v>0</v>
      </c>
      <c r="AW924" s="9" t="s">
        <v>1136</v>
      </c>
    </row>
    <row r="925" spans="1:49" x14ac:dyDescent="0.3">
      <c r="A925" t="s">
        <v>1016</v>
      </c>
      <c r="B925" s="7">
        <v>45796</v>
      </c>
      <c r="C925" t="s">
        <v>70</v>
      </c>
      <c r="D925" t="s">
        <v>1098</v>
      </c>
      <c r="E925" s="3">
        <v>1</v>
      </c>
      <c r="F925" s="3">
        <v>0</v>
      </c>
      <c r="G925" t="s">
        <v>11</v>
      </c>
      <c r="H925" t="s">
        <v>1106</v>
      </c>
      <c r="I925" t="s">
        <v>33</v>
      </c>
      <c r="J925" t="s">
        <v>49</v>
      </c>
      <c r="K925" t="s">
        <v>57</v>
      </c>
      <c r="L925" t="s">
        <v>10</v>
      </c>
      <c r="M925" t="s">
        <v>57</v>
      </c>
      <c r="N925" t="s">
        <v>57</v>
      </c>
      <c r="O925" t="str">
        <f>INDEX(CoverageTable[Deductible Applies],MATCH(Table1820[[#This Row],[Coverage]],CoverageTable[Coverage],0))</f>
        <v>No</v>
      </c>
      <c r="P925" t="str">
        <f>INDEX(CoverageTable[Coverage Limit Applies],MATCH(Table1820[[#This Row],[Coverage]],CoverageTable[Coverage],0))</f>
        <v>Yes</v>
      </c>
      <c r="Q925" t="s">
        <v>10</v>
      </c>
      <c r="R925" t="s">
        <v>80</v>
      </c>
      <c r="S925" t="s">
        <v>57</v>
      </c>
      <c r="T925" t="s">
        <v>10</v>
      </c>
      <c r="U925" t="s">
        <v>10</v>
      </c>
      <c r="V925" t="s">
        <v>57</v>
      </c>
      <c r="W925" t="s">
        <v>10</v>
      </c>
      <c r="X925" s="11">
        <v>917.89775130622741</v>
      </c>
      <c r="Y925">
        <f>_xlfn.XLOOKUP(Table1820[[#This Row],[Coverage]],CoverageTable[Coverage],CoverageTable[Base Rate],,0)</f>
        <v>622</v>
      </c>
      <c r="Z925">
        <f>INDEX(Table16[Ageband Factor],MATCH(Table1820[[#This Row],[Ageband]],Table16[Ageband],0))</f>
        <v>1.23</v>
      </c>
      <c r="AA925">
        <f>VLOOKUP(Table1820[[#This Row],[Years Driving]],Table1[],2)</f>
        <v>1.64</v>
      </c>
      <c r="AB925">
        <f>_xlfn.XLOOKUP(Table1820[[#This Row],[At Fault Accidents]],Table2[At Fault Accidents],Table2[At Fault Accident Factor],,0)</f>
        <v>1</v>
      </c>
      <c r="AC925">
        <f>_xlfn.XLOOKUP(Table1820[[#This Row],[Usage-Based Insurance]],Table3[Usage-Based Insurance],Table3[Usage-Based Insurance Discount],,0)</f>
        <v>0.95</v>
      </c>
      <c r="AD925">
        <f>_xlfn.XLOOKUP(Table1820[[#This Row],[Yearly Miles]],Table4[Yearly Miles],Table4[Yearly Miles Factor],,0)</f>
        <v>0.82</v>
      </c>
      <c r="AE925">
        <f>_xlfn.XLOOKUP(Table1820[[#This Row],[City/Zip Code]],Table5[City/Zip Code],Table5[City/Zip Code Factor],,0)</f>
        <v>1.02</v>
      </c>
      <c r="AF925">
        <f>_xlfn.XLOOKUP(Table1820[[#This Row],[Vehicle Price]],Table6[Vehicle Price],Table6[Vehicle Price Factor])</f>
        <v>0.97</v>
      </c>
      <c r="AG925">
        <f>_xlfn.XLOOKUP(Table1820[[#This Row],[Exotic Car]],Table7[Exotic Car],Table7[Exotic Car Factor],,0)</f>
        <v>1.28</v>
      </c>
      <c r="AH925">
        <f>_xlfn.XLOOKUP(Table1820[[#This Row],[Difficult Parts]],Table8[Difficult Parts],Table8[Difficult Parts Factor],,0)</f>
        <v>1</v>
      </c>
      <c r="AI925">
        <f>_xlfn.XLOOKUP(Table1820[[#This Row],[High Theft Rate]],Table9[High Theft Rate],Table9[High Theft Rate Factor],,0)</f>
        <v>1.1599999999999999</v>
      </c>
      <c r="AJ925">
        <f>_xlfn.XLOOKUP(Table1820[[#This Row],[Advanced Safety Features]],Table10[Advanced Safety Features],Table10[Advanced Safety Features Factor],,0)</f>
        <v>0.88</v>
      </c>
      <c r="AK925">
        <f>_xlfn.XLOOKUP(Table1820[[#This Row],[Deductible]],Table12[Deductible],Table12[Deductible Factor],,0)</f>
        <v>1</v>
      </c>
      <c r="AL925">
        <f>_xlfn.XLOOKUP(Table1820[[#This Row],[Coverage Limit]],Table13[Coverage Limit],Table13[Coverage Limit Factor],,0)</f>
        <v>0.84</v>
      </c>
      <c r="AM925">
        <f>IF(Table1820[[#This Row],[Good Student Discount]]="Yes",'Rate Book'!$D$126,1)</f>
        <v>0.92</v>
      </c>
      <c r="AN925">
        <f>IF(Table1820[[#This Row],[Good Driver Discount]]="Yes",'Rate Book'!$D$127,1)</f>
        <v>1</v>
      </c>
      <c r="AO925">
        <f>IF(Table1820[[#This Row],[Multi Policy Discount]]="Yes",'Rate Book'!$D$128,1)</f>
        <v>1</v>
      </c>
      <c r="AP925">
        <f>IF(Table1820[[#This Row],[Loyal Customer Discount]]="Yes",'Rate Book'!$D$129,1)</f>
        <v>0.94</v>
      </c>
      <c r="AQ925">
        <f>IF(Table1820[[#This Row],[Organization Discount]]="Yes",'Rate Book'!$D$130,1)</f>
        <v>1</v>
      </c>
      <c r="AR925" cm="1">
        <f t="array" ref="AR925">IF(Table1820[[#This Row],[Effective Date]]&gt;=RateChangeTable[Effective Date],RateChangeTable[Rate Change Factor],1)</f>
        <v>1</v>
      </c>
      <c r="AS925" s="10">
        <f>PRODUCT(Table1820[[#This Row],[Base Rate]:[Rate Change Factor]])</f>
        <v>917.89775130622741</v>
      </c>
      <c r="AT925" s="9">
        <f>Table1820[[#This Row],[System-Generated Premium]]-Table1820[[#This Row],[Expected Premium]]</f>
        <v>0</v>
      </c>
      <c r="AU925" t="str">
        <f>IF(Table1820[[#This Row],[Difference]]=0,"PASS","FAIL")</f>
        <v>PASS</v>
      </c>
      <c r="AV925" s="9">
        <f>ABS(Table1820[[#This Row],[Difference]])</f>
        <v>0</v>
      </c>
      <c r="AW925" s="9" t="s">
        <v>1136</v>
      </c>
    </row>
    <row r="926" spans="1:49" x14ac:dyDescent="0.3">
      <c r="A926" t="s">
        <v>1017</v>
      </c>
      <c r="B926" s="7">
        <v>45835</v>
      </c>
      <c r="C926" t="s">
        <v>71</v>
      </c>
      <c r="D926" t="s">
        <v>1097</v>
      </c>
      <c r="E926" s="3">
        <v>7</v>
      </c>
      <c r="F926" s="3">
        <v>0</v>
      </c>
      <c r="G926" t="s">
        <v>13</v>
      </c>
      <c r="H926" t="s">
        <v>1107</v>
      </c>
      <c r="I926" t="s">
        <v>42</v>
      </c>
      <c r="J926" t="s">
        <v>53</v>
      </c>
      <c r="K926" t="s">
        <v>10</v>
      </c>
      <c r="L926" t="s">
        <v>10</v>
      </c>
      <c r="M926" t="s">
        <v>57</v>
      </c>
      <c r="N926" t="s">
        <v>10</v>
      </c>
      <c r="O926" t="str">
        <f>INDEX(CoverageTable[Deductible Applies],MATCH(Table1820[[#This Row],[Coverage]],CoverageTable[Coverage],0))</f>
        <v>Yes</v>
      </c>
      <c r="P926" t="str">
        <f>INDEX(CoverageTable[Coverage Limit Applies],MATCH(Table1820[[#This Row],[Coverage]],CoverageTable[Coverage],0))</f>
        <v>No</v>
      </c>
      <c r="Q926" t="s">
        <v>79</v>
      </c>
      <c r="R926" t="s">
        <v>10</v>
      </c>
      <c r="S926" t="s">
        <v>10</v>
      </c>
      <c r="T926" t="s">
        <v>57</v>
      </c>
      <c r="U926" t="s">
        <v>10</v>
      </c>
      <c r="V926" t="s">
        <v>10</v>
      </c>
      <c r="W926" t="s">
        <v>10</v>
      </c>
      <c r="X926" s="11">
        <v>727.87376359508698</v>
      </c>
      <c r="Y926">
        <f>_xlfn.XLOOKUP(Table1820[[#This Row],[Coverage]],CoverageTable[Coverage],CoverageTable[Base Rate],,0)</f>
        <v>453</v>
      </c>
      <c r="Z926">
        <f>INDEX(Table16[Ageband Factor],MATCH(Table1820[[#This Row],[Ageband]],Table16[Ageband],0))</f>
        <v>1.32</v>
      </c>
      <c r="AA926">
        <f>VLOOKUP(Table1820[[#This Row],[Years Driving]],Table1[],2)</f>
        <v>0.95</v>
      </c>
      <c r="AB926">
        <f>_xlfn.XLOOKUP(Table1820[[#This Row],[At Fault Accidents]],Table2[At Fault Accidents],Table2[At Fault Accident Factor],,0)</f>
        <v>1</v>
      </c>
      <c r="AC926">
        <f>_xlfn.XLOOKUP(Table1820[[#This Row],[Usage-Based Insurance]],Table3[Usage-Based Insurance],Table3[Usage-Based Insurance Discount],,0)</f>
        <v>0.65</v>
      </c>
      <c r="AD926">
        <f>_xlfn.XLOOKUP(Table1820[[#This Row],[Yearly Miles]],Table4[Yearly Miles],Table4[Yearly Miles Factor],,0)</f>
        <v>0.93</v>
      </c>
      <c r="AE926">
        <f>_xlfn.XLOOKUP(Table1820[[#This Row],[City/Zip Code]],Table5[City/Zip Code],Table5[City/Zip Code Factor],,0)</f>
        <v>1.21</v>
      </c>
      <c r="AF926">
        <f>_xlfn.XLOOKUP(Table1820[[#This Row],[Vehicle Price]],Table6[Vehicle Price],Table6[Vehicle Price Factor])</f>
        <v>2.02</v>
      </c>
      <c r="AG926">
        <f>_xlfn.XLOOKUP(Table1820[[#This Row],[Exotic Car]],Table7[Exotic Car],Table7[Exotic Car Factor],,0)</f>
        <v>1</v>
      </c>
      <c r="AH926">
        <f>_xlfn.XLOOKUP(Table1820[[#This Row],[Difficult Parts]],Table8[Difficult Parts],Table8[Difficult Parts Factor],,0)</f>
        <v>1</v>
      </c>
      <c r="AI926">
        <f>_xlfn.XLOOKUP(Table1820[[#This Row],[High Theft Rate]],Table9[High Theft Rate],Table9[High Theft Rate Factor],,0)</f>
        <v>1.1599999999999999</v>
      </c>
      <c r="AJ926">
        <f>_xlfn.XLOOKUP(Table1820[[#This Row],[Advanced Safety Features]],Table10[Advanced Safety Features],Table10[Advanced Safety Features Factor],,0)</f>
        <v>1</v>
      </c>
      <c r="AK926">
        <f>_xlfn.XLOOKUP(Table1820[[#This Row],[Deductible]],Table12[Deductible],Table12[Deductible Factor],,0)</f>
        <v>0.84</v>
      </c>
      <c r="AL926">
        <f>_xlfn.XLOOKUP(Table1820[[#This Row],[Coverage Limit]],Table13[Coverage Limit],Table13[Coverage Limit Factor],,0)</f>
        <v>1</v>
      </c>
      <c r="AM926">
        <f>IF(Table1820[[#This Row],[Good Student Discount]]="Yes",'Rate Book'!$D$126,1)</f>
        <v>1</v>
      </c>
      <c r="AN926">
        <f>IF(Table1820[[#This Row],[Good Driver Discount]]="Yes",'Rate Book'!$D$127,1)</f>
        <v>0.89</v>
      </c>
      <c r="AO926">
        <f>IF(Table1820[[#This Row],[Multi Policy Discount]]="Yes",'Rate Book'!$D$128,1)</f>
        <v>1</v>
      </c>
      <c r="AP926">
        <f>IF(Table1820[[#This Row],[Loyal Customer Discount]]="Yes",'Rate Book'!$D$129,1)</f>
        <v>1</v>
      </c>
      <c r="AQ926">
        <f>IF(Table1820[[#This Row],[Organization Discount]]="Yes",'Rate Book'!$D$130,1)</f>
        <v>1</v>
      </c>
      <c r="AR926" cm="1">
        <f t="array" ref="AR926">IF(Table1820[[#This Row],[Effective Date]]&gt;=RateChangeTable[Effective Date],RateChangeTable[Rate Change Factor],1)</f>
        <v>1</v>
      </c>
      <c r="AS926" s="10">
        <f>PRODUCT(Table1820[[#This Row],[Base Rate]:[Rate Change Factor]])</f>
        <v>727.87376359508698</v>
      </c>
      <c r="AT926" s="9">
        <f>Table1820[[#This Row],[System-Generated Premium]]-Table1820[[#This Row],[Expected Premium]]</f>
        <v>0</v>
      </c>
      <c r="AU926" t="str">
        <f>IF(Table1820[[#This Row],[Difference]]=0,"PASS","FAIL")</f>
        <v>PASS</v>
      </c>
      <c r="AV926" s="9">
        <f>ABS(Table1820[[#This Row],[Difference]])</f>
        <v>0</v>
      </c>
      <c r="AW926" s="9" t="s">
        <v>1136</v>
      </c>
    </row>
    <row r="927" spans="1:49" x14ac:dyDescent="0.3">
      <c r="A927" t="s">
        <v>1018</v>
      </c>
      <c r="B927" s="7">
        <v>45884</v>
      </c>
      <c r="C927" t="s">
        <v>70</v>
      </c>
      <c r="D927" t="s">
        <v>1100</v>
      </c>
      <c r="E927" s="3">
        <v>1</v>
      </c>
      <c r="F927" s="3">
        <v>1</v>
      </c>
      <c r="G927" t="s">
        <v>10</v>
      </c>
      <c r="H927" t="s">
        <v>1108</v>
      </c>
      <c r="I927" t="s">
        <v>26</v>
      </c>
      <c r="J927" t="s">
        <v>51</v>
      </c>
      <c r="K927" t="s">
        <v>10</v>
      </c>
      <c r="L927" t="s">
        <v>10</v>
      </c>
      <c r="M927" t="s">
        <v>10</v>
      </c>
      <c r="N927" t="s">
        <v>10</v>
      </c>
      <c r="O927" t="str">
        <f>INDEX(CoverageTable[Deductible Applies],MATCH(Table1820[[#This Row],[Coverage]],CoverageTable[Coverage],0))</f>
        <v>No</v>
      </c>
      <c r="P927" t="str">
        <f>INDEX(CoverageTable[Coverage Limit Applies],MATCH(Table1820[[#This Row],[Coverage]],CoverageTable[Coverage],0))</f>
        <v>Yes</v>
      </c>
      <c r="Q927" t="s">
        <v>10</v>
      </c>
      <c r="R927" t="s">
        <v>80</v>
      </c>
      <c r="S927" t="s">
        <v>10</v>
      </c>
      <c r="T927" t="s">
        <v>10</v>
      </c>
      <c r="U927" t="s">
        <v>10</v>
      </c>
      <c r="V927" t="s">
        <v>10</v>
      </c>
      <c r="W927" t="s">
        <v>10</v>
      </c>
      <c r="X927" s="11">
        <v>1808.4641536819197</v>
      </c>
      <c r="Y927">
        <f>_xlfn.XLOOKUP(Table1820[[#This Row],[Coverage]],CoverageTable[Coverage],CoverageTable[Base Rate],,0)</f>
        <v>622</v>
      </c>
      <c r="Z927">
        <f>INDEX(Table16[Ageband Factor],MATCH(Table1820[[#This Row],[Ageband]],Table16[Ageband],0))</f>
        <v>1.07</v>
      </c>
      <c r="AA927">
        <f>VLOOKUP(Table1820[[#This Row],[Years Driving]],Table1[],2)</f>
        <v>1.64</v>
      </c>
      <c r="AB927">
        <f>_xlfn.XLOOKUP(Table1820[[#This Row],[At Fault Accidents]],Table2[At Fault Accidents],Table2[At Fault Accident Factor],,0)</f>
        <v>1.34</v>
      </c>
      <c r="AC927">
        <f>_xlfn.XLOOKUP(Table1820[[#This Row],[Usage-Based Insurance]],Table3[Usage-Based Insurance],Table3[Usage-Based Insurance Discount],,0)</f>
        <v>1</v>
      </c>
      <c r="AD927">
        <f>_xlfn.XLOOKUP(Table1820[[#This Row],[Yearly Miles]],Table4[Yearly Miles],Table4[Yearly Miles Factor],,0)</f>
        <v>1</v>
      </c>
      <c r="AE927">
        <f>_xlfn.XLOOKUP(Table1820[[#This Row],[City/Zip Code]],Table5[City/Zip Code],Table5[City/Zip Code Factor],,0)</f>
        <v>1.1499999999999999</v>
      </c>
      <c r="AF927">
        <f>_xlfn.XLOOKUP(Table1820[[#This Row],[Vehicle Price]],Table6[Vehicle Price],Table6[Vehicle Price Factor])</f>
        <v>1.28</v>
      </c>
      <c r="AG927">
        <f>_xlfn.XLOOKUP(Table1820[[#This Row],[Exotic Car]],Table7[Exotic Car],Table7[Exotic Car Factor],,0)</f>
        <v>1</v>
      </c>
      <c r="AH927">
        <f>_xlfn.XLOOKUP(Table1820[[#This Row],[Difficult Parts]],Table8[Difficult Parts],Table8[Difficult Parts Factor],,0)</f>
        <v>1</v>
      </c>
      <c r="AI927">
        <f>_xlfn.XLOOKUP(Table1820[[#This Row],[High Theft Rate]],Table9[High Theft Rate],Table9[High Theft Rate Factor],,0)</f>
        <v>1</v>
      </c>
      <c r="AJ927">
        <f>_xlfn.XLOOKUP(Table1820[[#This Row],[Advanced Safety Features]],Table10[Advanced Safety Features],Table10[Advanced Safety Features Factor],,0)</f>
        <v>1</v>
      </c>
      <c r="AK927">
        <f>_xlfn.XLOOKUP(Table1820[[#This Row],[Deductible]],Table12[Deductible],Table12[Deductible Factor],,0)</f>
        <v>1</v>
      </c>
      <c r="AL927">
        <f>_xlfn.XLOOKUP(Table1820[[#This Row],[Coverage Limit]],Table13[Coverage Limit],Table13[Coverage Limit Factor],,0)</f>
        <v>0.84</v>
      </c>
      <c r="AM927">
        <f>IF(Table1820[[#This Row],[Good Student Discount]]="Yes",'Rate Book'!$D$126,1)</f>
        <v>1</v>
      </c>
      <c r="AN927">
        <f>IF(Table1820[[#This Row],[Good Driver Discount]]="Yes",'Rate Book'!$D$127,1)</f>
        <v>1</v>
      </c>
      <c r="AO927">
        <f>IF(Table1820[[#This Row],[Multi Policy Discount]]="Yes",'Rate Book'!$D$128,1)</f>
        <v>1</v>
      </c>
      <c r="AP927">
        <f>IF(Table1820[[#This Row],[Loyal Customer Discount]]="Yes",'Rate Book'!$D$129,1)</f>
        <v>1</v>
      </c>
      <c r="AQ927">
        <f>IF(Table1820[[#This Row],[Organization Discount]]="Yes",'Rate Book'!$D$130,1)</f>
        <v>1</v>
      </c>
      <c r="AR927" cm="1">
        <f t="array" ref="AR927">IF(Table1820[[#This Row],[Effective Date]]&gt;=RateChangeTable[Effective Date],RateChangeTable[Rate Change Factor],1)</f>
        <v>1</v>
      </c>
      <c r="AS927" s="10">
        <f>PRODUCT(Table1820[[#This Row],[Base Rate]:[Rate Change Factor]])</f>
        <v>1808.4641536819197</v>
      </c>
      <c r="AT927" s="9">
        <f>Table1820[[#This Row],[System-Generated Premium]]-Table1820[[#This Row],[Expected Premium]]</f>
        <v>0</v>
      </c>
      <c r="AU927" t="str">
        <f>IF(Table1820[[#This Row],[Difference]]=0,"PASS","FAIL")</f>
        <v>PASS</v>
      </c>
      <c r="AV927" s="9">
        <f>ABS(Table1820[[#This Row],[Difference]])</f>
        <v>0</v>
      </c>
      <c r="AW927" s="9" t="s">
        <v>1136</v>
      </c>
    </row>
    <row r="928" spans="1:49" x14ac:dyDescent="0.3">
      <c r="A928" t="s">
        <v>1019</v>
      </c>
      <c r="B928" s="7">
        <v>45933</v>
      </c>
      <c r="C928" t="s">
        <v>70</v>
      </c>
      <c r="D928" t="s">
        <v>1097</v>
      </c>
      <c r="E928" s="3">
        <v>3</v>
      </c>
      <c r="F928" s="3">
        <v>0</v>
      </c>
      <c r="G928" t="s">
        <v>10</v>
      </c>
      <c r="H928" t="s">
        <v>1106</v>
      </c>
      <c r="I928" t="s">
        <v>37</v>
      </c>
      <c r="J928" t="s">
        <v>53</v>
      </c>
      <c r="K928" t="s">
        <v>10</v>
      </c>
      <c r="L928" t="s">
        <v>10</v>
      </c>
      <c r="M928" t="s">
        <v>10</v>
      </c>
      <c r="N928" t="s">
        <v>57</v>
      </c>
      <c r="O928" t="str">
        <f>INDEX(CoverageTable[Deductible Applies],MATCH(Table1820[[#This Row],[Coverage]],CoverageTable[Coverage],0))</f>
        <v>No</v>
      </c>
      <c r="P928" t="str">
        <f>INDEX(CoverageTable[Coverage Limit Applies],MATCH(Table1820[[#This Row],[Coverage]],CoverageTable[Coverage],0))</f>
        <v>Yes</v>
      </c>
      <c r="Q928" t="s">
        <v>10</v>
      </c>
      <c r="R928" t="s">
        <v>79</v>
      </c>
      <c r="S928" t="s">
        <v>10</v>
      </c>
      <c r="T928" t="s">
        <v>10</v>
      </c>
      <c r="U928" t="s">
        <v>10</v>
      </c>
      <c r="V928" t="s">
        <v>10</v>
      </c>
      <c r="W928" t="s">
        <v>10</v>
      </c>
      <c r="X928" s="11">
        <v>1145.8586166817997</v>
      </c>
      <c r="Y928">
        <f>_xlfn.XLOOKUP(Table1820[[#This Row],[Coverage]],CoverageTable[Coverage],CoverageTable[Base Rate],,0)</f>
        <v>622</v>
      </c>
      <c r="Z928">
        <f>INDEX(Table16[Ageband Factor],MATCH(Table1820[[#This Row],[Ageband]],Table16[Ageband],0))</f>
        <v>1.32</v>
      </c>
      <c r="AA928">
        <f>VLOOKUP(Table1820[[#This Row],[Years Driving]],Table1[],2)</f>
        <v>1.22</v>
      </c>
      <c r="AB928">
        <f>_xlfn.XLOOKUP(Table1820[[#This Row],[At Fault Accidents]],Table2[At Fault Accidents],Table2[At Fault Accident Factor],,0)</f>
        <v>1</v>
      </c>
      <c r="AC928">
        <f>_xlfn.XLOOKUP(Table1820[[#This Row],[Usage-Based Insurance]],Table3[Usage-Based Insurance],Table3[Usage-Based Insurance Discount],,0)</f>
        <v>1</v>
      </c>
      <c r="AD928">
        <f>_xlfn.XLOOKUP(Table1820[[#This Row],[Yearly Miles]],Table4[Yearly Miles],Table4[Yearly Miles Factor],,0)</f>
        <v>0.82</v>
      </c>
      <c r="AE928">
        <f>_xlfn.XLOOKUP(Table1820[[#This Row],[City/Zip Code]],Table5[City/Zip Code],Table5[City/Zip Code Factor],,0)</f>
        <v>1.0900000000000001</v>
      </c>
      <c r="AF928">
        <f>_xlfn.XLOOKUP(Table1820[[#This Row],[Vehicle Price]],Table6[Vehicle Price],Table6[Vehicle Price Factor])</f>
        <v>2.02</v>
      </c>
      <c r="AG928">
        <f>_xlfn.XLOOKUP(Table1820[[#This Row],[Exotic Car]],Table7[Exotic Car],Table7[Exotic Car Factor],,0)</f>
        <v>1</v>
      </c>
      <c r="AH928">
        <f>_xlfn.XLOOKUP(Table1820[[#This Row],[Difficult Parts]],Table8[Difficult Parts],Table8[Difficult Parts Factor],,0)</f>
        <v>1</v>
      </c>
      <c r="AI928">
        <f>_xlfn.XLOOKUP(Table1820[[#This Row],[High Theft Rate]],Table9[High Theft Rate],Table9[High Theft Rate Factor],,0)</f>
        <v>1</v>
      </c>
      <c r="AJ928">
        <f>_xlfn.XLOOKUP(Table1820[[#This Row],[Advanced Safety Features]],Table10[Advanced Safety Features],Table10[Advanced Safety Features Factor],,0)</f>
        <v>0.88</v>
      </c>
      <c r="AK928">
        <f>_xlfn.XLOOKUP(Table1820[[#This Row],[Deductible]],Table12[Deductible],Table12[Deductible Factor],,0)</f>
        <v>1</v>
      </c>
      <c r="AL928">
        <f>_xlfn.XLOOKUP(Table1820[[#This Row],[Coverage Limit]],Table13[Coverage Limit],Table13[Coverage Limit Factor],,0)</f>
        <v>0.72</v>
      </c>
      <c r="AM928">
        <f>IF(Table1820[[#This Row],[Good Student Discount]]="Yes",'Rate Book'!$D$126,1)</f>
        <v>1</v>
      </c>
      <c r="AN928">
        <f>IF(Table1820[[#This Row],[Good Driver Discount]]="Yes",'Rate Book'!$D$127,1)</f>
        <v>1</v>
      </c>
      <c r="AO928">
        <f>IF(Table1820[[#This Row],[Multi Policy Discount]]="Yes",'Rate Book'!$D$128,1)</f>
        <v>1</v>
      </c>
      <c r="AP928">
        <f>IF(Table1820[[#This Row],[Loyal Customer Discount]]="Yes",'Rate Book'!$D$129,1)</f>
        <v>1</v>
      </c>
      <c r="AQ928">
        <f>IF(Table1820[[#This Row],[Organization Discount]]="Yes",'Rate Book'!$D$130,1)</f>
        <v>1</v>
      </c>
      <c r="AR928" cm="1">
        <f t="array" ref="AR928">IF(Table1820[[#This Row],[Effective Date]]&gt;=RateChangeTable[Effective Date],RateChangeTable[Rate Change Factor],1)</f>
        <v>1</v>
      </c>
      <c r="AS928" s="10">
        <f>PRODUCT(Table1820[[#This Row],[Base Rate]:[Rate Change Factor]])</f>
        <v>1145.8586166817997</v>
      </c>
      <c r="AT928" s="9">
        <f>Table1820[[#This Row],[System-Generated Premium]]-Table1820[[#This Row],[Expected Premium]]</f>
        <v>0</v>
      </c>
      <c r="AU928" t="str">
        <f>IF(Table1820[[#This Row],[Difference]]=0,"PASS","FAIL")</f>
        <v>PASS</v>
      </c>
      <c r="AV928" s="9">
        <f>ABS(Table1820[[#This Row],[Difference]])</f>
        <v>0</v>
      </c>
      <c r="AW928" s="9" t="s">
        <v>1136</v>
      </c>
    </row>
    <row r="929" spans="1:49" x14ac:dyDescent="0.3">
      <c r="A929" t="s">
        <v>1020</v>
      </c>
      <c r="B929" s="7">
        <v>45794</v>
      </c>
      <c r="C929" t="s">
        <v>71</v>
      </c>
      <c r="D929" t="s">
        <v>1099</v>
      </c>
      <c r="E929" s="3">
        <v>3</v>
      </c>
      <c r="F929" s="3">
        <v>0</v>
      </c>
      <c r="G929" t="s">
        <v>13</v>
      </c>
      <c r="H929" t="s">
        <v>1107</v>
      </c>
      <c r="I929" t="s">
        <v>43</v>
      </c>
      <c r="J929" t="s">
        <v>51</v>
      </c>
      <c r="K929" t="s">
        <v>10</v>
      </c>
      <c r="L929" t="s">
        <v>10</v>
      </c>
      <c r="M929" t="s">
        <v>10</v>
      </c>
      <c r="N929" t="s">
        <v>57</v>
      </c>
      <c r="O929" t="str">
        <f>INDEX(CoverageTable[Deductible Applies],MATCH(Table1820[[#This Row],[Coverage]],CoverageTable[Coverage],0))</f>
        <v>Yes</v>
      </c>
      <c r="P929" t="str">
        <f>INDEX(CoverageTable[Coverage Limit Applies],MATCH(Table1820[[#This Row],[Coverage]],CoverageTable[Coverage],0))</f>
        <v>No</v>
      </c>
      <c r="Q929" t="s">
        <v>80</v>
      </c>
      <c r="R929" t="s">
        <v>10</v>
      </c>
      <c r="S929" t="s">
        <v>10</v>
      </c>
      <c r="T929" t="s">
        <v>10</v>
      </c>
      <c r="U929" t="s">
        <v>10</v>
      </c>
      <c r="V929" t="s">
        <v>10</v>
      </c>
      <c r="W929" t="s">
        <v>10</v>
      </c>
      <c r="X929" s="11">
        <v>319.71387437383675</v>
      </c>
      <c r="Y929">
        <f>_xlfn.XLOOKUP(Table1820[[#This Row],[Coverage]],CoverageTable[Coverage],CoverageTable[Base Rate],,0)</f>
        <v>453</v>
      </c>
      <c r="Z929">
        <f>INDEX(Table16[Ageband Factor],MATCH(Table1820[[#This Row],[Ageband]],Table16[Ageband],0))</f>
        <v>1</v>
      </c>
      <c r="AA929">
        <f>VLOOKUP(Table1820[[#This Row],[Years Driving]],Table1[],2)</f>
        <v>1.22</v>
      </c>
      <c r="AB929">
        <f>_xlfn.XLOOKUP(Table1820[[#This Row],[At Fault Accidents]],Table2[At Fault Accidents],Table2[At Fault Accident Factor],,0)</f>
        <v>1</v>
      </c>
      <c r="AC929">
        <f>_xlfn.XLOOKUP(Table1820[[#This Row],[Usage-Based Insurance]],Table3[Usage-Based Insurance],Table3[Usage-Based Insurance Discount],,0)</f>
        <v>0.65</v>
      </c>
      <c r="AD929">
        <f>_xlfn.XLOOKUP(Table1820[[#This Row],[Yearly Miles]],Table4[Yearly Miles],Table4[Yearly Miles Factor],,0)</f>
        <v>0.93</v>
      </c>
      <c r="AE929">
        <f>_xlfn.XLOOKUP(Table1820[[#This Row],[City/Zip Code]],Table5[City/Zip Code],Table5[City/Zip Code Factor],,0)</f>
        <v>1.18</v>
      </c>
      <c r="AF929">
        <f>_xlfn.XLOOKUP(Table1820[[#This Row],[Vehicle Price]],Table6[Vehicle Price],Table6[Vehicle Price Factor])</f>
        <v>1.28</v>
      </c>
      <c r="AG929">
        <f>_xlfn.XLOOKUP(Table1820[[#This Row],[Exotic Car]],Table7[Exotic Car],Table7[Exotic Car Factor],,0)</f>
        <v>1</v>
      </c>
      <c r="AH929">
        <f>_xlfn.XLOOKUP(Table1820[[#This Row],[Difficult Parts]],Table8[Difficult Parts],Table8[Difficult Parts Factor],,0)</f>
        <v>1</v>
      </c>
      <c r="AI929">
        <f>_xlfn.XLOOKUP(Table1820[[#This Row],[High Theft Rate]],Table9[High Theft Rate],Table9[High Theft Rate Factor],,0)</f>
        <v>1</v>
      </c>
      <c r="AJ929">
        <f>_xlfn.XLOOKUP(Table1820[[#This Row],[Advanced Safety Features]],Table10[Advanced Safety Features],Table10[Advanced Safety Features Factor],,0)</f>
        <v>0.88</v>
      </c>
      <c r="AK929">
        <f>_xlfn.XLOOKUP(Table1820[[#This Row],[Deductible]],Table12[Deductible],Table12[Deductible Factor],,0)</f>
        <v>0.72</v>
      </c>
      <c r="AL929">
        <f>_xlfn.XLOOKUP(Table1820[[#This Row],[Coverage Limit]],Table13[Coverage Limit],Table13[Coverage Limit Factor],,0)</f>
        <v>1</v>
      </c>
      <c r="AM929">
        <f>IF(Table1820[[#This Row],[Good Student Discount]]="Yes",'Rate Book'!$D$126,1)</f>
        <v>1</v>
      </c>
      <c r="AN929">
        <f>IF(Table1820[[#This Row],[Good Driver Discount]]="Yes",'Rate Book'!$D$127,1)</f>
        <v>1</v>
      </c>
      <c r="AO929">
        <f>IF(Table1820[[#This Row],[Multi Policy Discount]]="Yes",'Rate Book'!$D$128,1)</f>
        <v>1</v>
      </c>
      <c r="AP929">
        <f>IF(Table1820[[#This Row],[Loyal Customer Discount]]="Yes",'Rate Book'!$D$129,1)</f>
        <v>1</v>
      </c>
      <c r="AQ929">
        <f>IF(Table1820[[#This Row],[Organization Discount]]="Yes",'Rate Book'!$D$130,1)</f>
        <v>1</v>
      </c>
      <c r="AR929" cm="1">
        <f t="array" ref="AR929">IF(Table1820[[#This Row],[Effective Date]]&gt;=RateChangeTable[Effective Date],RateChangeTable[Rate Change Factor],1)</f>
        <v>1</v>
      </c>
      <c r="AS929" s="10">
        <f>PRODUCT(Table1820[[#This Row],[Base Rate]:[Rate Change Factor]])</f>
        <v>319.71387437383675</v>
      </c>
      <c r="AT929" s="9">
        <f>Table1820[[#This Row],[System-Generated Premium]]-Table1820[[#This Row],[Expected Premium]]</f>
        <v>0</v>
      </c>
      <c r="AU929" t="str">
        <f>IF(Table1820[[#This Row],[Difference]]=0,"PASS","FAIL")</f>
        <v>PASS</v>
      </c>
      <c r="AV929" s="9">
        <f>ABS(Table1820[[#This Row],[Difference]])</f>
        <v>0</v>
      </c>
      <c r="AW929" s="9" t="s">
        <v>1136</v>
      </c>
    </row>
    <row r="930" spans="1:49" x14ac:dyDescent="0.3">
      <c r="A930" t="s">
        <v>1021</v>
      </c>
      <c r="B930" s="7">
        <v>46071</v>
      </c>
      <c r="C930" t="s">
        <v>72</v>
      </c>
      <c r="D930" t="s">
        <v>1099</v>
      </c>
      <c r="E930" s="3">
        <v>2</v>
      </c>
      <c r="F930" s="3">
        <v>1</v>
      </c>
      <c r="G930" t="s">
        <v>10</v>
      </c>
      <c r="H930" t="s">
        <v>1106</v>
      </c>
      <c r="I930" t="s">
        <v>36</v>
      </c>
      <c r="J930" t="s">
        <v>49</v>
      </c>
      <c r="K930" t="s">
        <v>10</v>
      </c>
      <c r="L930" t="s">
        <v>10</v>
      </c>
      <c r="M930" t="s">
        <v>57</v>
      </c>
      <c r="N930" t="s">
        <v>57</v>
      </c>
      <c r="O930" t="str">
        <f>INDEX(CoverageTable[Deductible Applies],MATCH(Table1820[[#This Row],[Coverage]],CoverageTable[Coverage],0))</f>
        <v>Yes</v>
      </c>
      <c r="P930" t="str">
        <f>INDEX(CoverageTable[Coverage Limit Applies],MATCH(Table1820[[#This Row],[Coverage]],CoverageTable[Coverage],0))</f>
        <v>No</v>
      </c>
      <c r="Q930" t="s">
        <v>79</v>
      </c>
      <c r="R930" t="s">
        <v>10</v>
      </c>
      <c r="S930" t="s">
        <v>10</v>
      </c>
      <c r="T930" t="s">
        <v>57</v>
      </c>
      <c r="U930" t="s">
        <v>57</v>
      </c>
      <c r="V930" t="s">
        <v>10</v>
      </c>
      <c r="W930" t="s">
        <v>10</v>
      </c>
      <c r="X930" s="11">
        <v>134.06632710973716</v>
      </c>
      <c r="Y930">
        <f>_xlfn.XLOOKUP(Table1820[[#This Row],[Coverage]],CoverageTable[Coverage],CoverageTable[Base Rate],,0)</f>
        <v>121</v>
      </c>
      <c r="Z930">
        <f>INDEX(Table16[Ageband Factor],MATCH(Table1820[[#This Row],[Ageband]],Table16[Ageband],0))</f>
        <v>1</v>
      </c>
      <c r="AA930">
        <f>VLOOKUP(Table1820[[#This Row],[Years Driving]],Table1[],2)</f>
        <v>1.41</v>
      </c>
      <c r="AB930">
        <f>_xlfn.XLOOKUP(Table1820[[#This Row],[At Fault Accidents]],Table2[At Fault Accidents],Table2[At Fault Accident Factor],,0)</f>
        <v>1.34</v>
      </c>
      <c r="AC930">
        <f>_xlfn.XLOOKUP(Table1820[[#This Row],[Usage-Based Insurance]],Table3[Usage-Based Insurance],Table3[Usage-Based Insurance Discount],,0)</f>
        <v>1</v>
      </c>
      <c r="AD930">
        <f>_xlfn.XLOOKUP(Table1820[[#This Row],[Yearly Miles]],Table4[Yearly Miles],Table4[Yearly Miles Factor],,0)</f>
        <v>0.82</v>
      </c>
      <c r="AE930">
        <f>_xlfn.XLOOKUP(Table1820[[#This Row],[City/Zip Code]],Table5[City/Zip Code],Table5[City/Zip Code Factor],,0)</f>
        <v>0.98</v>
      </c>
      <c r="AF930">
        <f>_xlfn.XLOOKUP(Table1820[[#This Row],[Vehicle Price]],Table6[Vehicle Price],Table6[Vehicle Price Factor])</f>
        <v>0.97</v>
      </c>
      <c r="AG930">
        <f>_xlfn.XLOOKUP(Table1820[[#This Row],[Exotic Car]],Table7[Exotic Car],Table7[Exotic Car Factor],,0)</f>
        <v>1</v>
      </c>
      <c r="AH930">
        <f>_xlfn.XLOOKUP(Table1820[[#This Row],[Difficult Parts]],Table8[Difficult Parts],Table8[Difficult Parts Factor],,0)</f>
        <v>1</v>
      </c>
      <c r="AI930">
        <f>_xlfn.XLOOKUP(Table1820[[#This Row],[High Theft Rate]],Table9[High Theft Rate],Table9[High Theft Rate Factor],,0)</f>
        <v>1.1599999999999999</v>
      </c>
      <c r="AJ930">
        <f>_xlfn.XLOOKUP(Table1820[[#This Row],[Advanced Safety Features]],Table10[Advanced Safety Features],Table10[Advanced Safety Features Factor],,0)</f>
        <v>0.88</v>
      </c>
      <c r="AK930">
        <f>_xlfn.XLOOKUP(Table1820[[#This Row],[Deductible]],Table12[Deductible],Table12[Deductible Factor],,0)</f>
        <v>0.84</v>
      </c>
      <c r="AL930">
        <f>_xlfn.XLOOKUP(Table1820[[#This Row],[Coverage Limit]],Table13[Coverage Limit],Table13[Coverage Limit Factor],,0)</f>
        <v>1</v>
      </c>
      <c r="AM930">
        <f>IF(Table1820[[#This Row],[Good Student Discount]]="Yes",'Rate Book'!$D$126,1)</f>
        <v>1</v>
      </c>
      <c r="AN930">
        <f>IF(Table1820[[#This Row],[Good Driver Discount]]="Yes",'Rate Book'!$D$127,1)</f>
        <v>0.89</v>
      </c>
      <c r="AO930">
        <f>IF(Table1820[[#This Row],[Multi Policy Discount]]="Yes",'Rate Book'!$D$128,1)</f>
        <v>0.93</v>
      </c>
      <c r="AP930">
        <f>IF(Table1820[[#This Row],[Loyal Customer Discount]]="Yes",'Rate Book'!$D$129,1)</f>
        <v>1</v>
      </c>
      <c r="AQ930">
        <f>IF(Table1820[[#This Row],[Organization Discount]]="Yes",'Rate Book'!$D$130,1)</f>
        <v>1</v>
      </c>
      <c r="AR930" cm="1">
        <f t="array" ref="AR930">IF(Table1820[[#This Row],[Effective Date]]&gt;=RateChangeTable[Effective Date],RateChangeTable[Rate Change Factor],1)</f>
        <v>1.06</v>
      </c>
      <c r="AS930" s="10">
        <f>PRODUCT(Table1820[[#This Row],[Base Rate]:[Rate Change Factor]])</f>
        <v>134.06632710973716</v>
      </c>
      <c r="AT930" s="9">
        <f>Table1820[[#This Row],[System-Generated Premium]]-Table1820[[#This Row],[Expected Premium]]</f>
        <v>0</v>
      </c>
      <c r="AU930" t="str">
        <f>IF(Table1820[[#This Row],[Difference]]=0,"PASS","FAIL")</f>
        <v>PASS</v>
      </c>
      <c r="AV930" s="9">
        <f>ABS(Table1820[[#This Row],[Difference]])</f>
        <v>0</v>
      </c>
      <c r="AW930" s="9" t="s">
        <v>1136</v>
      </c>
    </row>
    <row r="931" spans="1:49" x14ac:dyDescent="0.3">
      <c r="A931" t="s">
        <v>1022</v>
      </c>
      <c r="B931" s="7">
        <v>45839</v>
      </c>
      <c r="C931" t="s">
        <v>70</v>
      </c>
      <c r="D931" t="s">
        <v>1099</v>
      </c>
      <c r="E931" s="3" t="s">
        <v>1103</v>
      </c>
      <c r="F931" s="3">
        <v>1</v>
      </c>
      <c r="G931" t="s">
        <v>12</v>
      </c>
      <c r="H931" t="s">
        <v>1108</v>
      </c>
      <c r="I931" t="s">
        <v>38</v>
      </c>
      <c r="J931" t="s">
        <v>51</v>
      </c>
      <c r="K931" t="s">
        <v>10</v>
      </c>
      <c r="L931" t="s">
        <v>57</v>
      </c>
      <c r="M931" t="s">
        <v>10</v>
      </c>
      <c r="N931" t="s">
        <v>10</v>
      </c>
      <c r="O931" t="str">
        <f>INDEX(CoverageTable[Deductible Applies],MATCH(Table1820[[#This Row],[Coverage]],CoverageTable[Coverage],0))</f>
        <v>No</v>
      </c>
      <c r="P931" t="str">
        <f>INDEX(CoverageTable[Coverage Limit Applies],MATCH(Table1820[[#This Row],[Coverage]],CoverageTable[Coverage],0))</f>
        <v>Yes</v>
      </c>
      <c r="Q931" t="s">
        <v>10</v>
      </c>
      <c r="R931" t="s">
        <v>79</v>
      </c>
      <c r="S931" t="s">
        <v>10</v>
      </c>
      <c r="T931" t="s">
        <v>10</v>
      </c>
      <c r="U931" t="s">
        <v>10</v>
      </c>
      <c r="V931" t="s">
        <v>10</v>
      </c>
      <c r="W931" t="s">
        <v>10</v>
      </c>
      <c r="X931" s="11">
        <v>774.48672407715844</v>
      </c>
      <c r="Y931">
        <f>_xlfn.XLOOKUP(Table1820[[#This Row],[Coverage]],CoverageTable[Coverage],CoverageTable[Base Rate],,0)</f>
        <v>622</v>
      </c>
      <c r="Z931">
        <f>INDEX(Table16[Ageband Factor],MATCH(Table1820[[#This Row],[Ageband]],Table16[Ageband],0))</f>
        <v>1</v>
      </c>
      <c r="AA931">
        <f>VLOOKUP(Table1820[[#This Row],[Years Driving]],Table1[],2)</f>
        <v>0.93</v>
      </c>
      <c r="AB931">
        <f>_xlfn.XLOOKUP(Table1820[[#This Row],[At Fault Accidents]],Table2[At Fault Accidents],Table2[At Fault Accident Factor],,0)</f>
        <v>1.34</v>
      </c>
      <c r="AC931">
        <f>_xlfn.XLOOKUP(Table1820[[#This Row],[Usage-Based Insurance]],Table3[Usage-Based Insurance],Table3[Usage-Based Insurance Discount],,0)</f>
        <v>0.8</v>
      </c>
      <c r="AD931">
        <f>_xlfn.XLOOKUP(Table1820[[#This Row],[Yearly Miles]],Table4[Yearly Miles],Table4[Yearly Miles Factor],,0)</f>
        <v>1</v>
      </c>
      <c r="AE931">
        <f>_xlfn.XLOOKUP(Table1820[[#This Row],[City/Zip Code]],Table5[City/Zip Code],Table5[City/Zip Code Factor],,0)</f>
        <v>1.1200000000000001</v>
      </c>
      <c r="AF931">
        <f>_xlfn.XLOOKUP(Table1820[[#This Row],[Vehicle Price]],Table6[Vehicle Price],Table6[Vehicle Price Factor])</f>
        <v>1.28</v>
      </c>
      <c r="AG931">
        <f>_xlfn.XLOOKUP(Table1820[[#This Row],[Exotic Car]],Table7[Exotic Car],Table7[Exotic Car Factor],,0)</f>
        <v>1</v>
      </c>
      <c r="AH931">
        <f>_xlfn.XLOOKUP(Table1820[[#This Row],[Difficult Parts]],Table8[Difficult Parts],Table8[Difficult Parts Factor],,0)</f>
        <v>1.21</v>
      </c>
      <c r="AI931">
        <f>_xlfn.XLOOKUP(Table1820[[#This Row],[High Theft Rate]],Table9[High Theft Rate],Table9[High Theft Rate Factor],,0)</f>
        <v>1</v>
      </c>
      <c r="AJ931">
        <f>_xlfn.XLOOKUP(Table1820[[#This Row],[Advanced Safety Features]],Table10[Advanced Safety Features],Table10[Advanced Safety Features Factor],,0)</f>
        <v>1</v>
      </c>
      <c r="AK931">
        <f>_xlfn.XLOOKUP(Table1820[[#This Row],[Deductible]],Table12[Deductible],Table12[Deductible Factor],,0)</f>
        <v>1</v>
      </c>
      <c r="AL931">
        <f>_xlfn.XLOOKUP(Table1820[[#This Row],[Coverage Limit]],Table13[Coverage Limit],Table13[Coverage Limit Factor],,0)</f>
        <v>0.72</v>
      </c>
      <c r="AM931">
        <f>IF(Table1820[[#This Row],[Good Student Discount]]="Yes",'Rate Book'!$D$126,1)</f>
        <v>1</v>
      </c>
      <c r="AN931">
        <f>IF(Table1820[[#This Row],[Good Driver Discount]]="Yes",'Rate Book'!$D$127,1)</f>
        <v>1</v>
      </c>
      <c r="AO931">
        <f>IF(Table1820[[#This Row],[Multi Policy Discount]]="Yes",'Rate Book'!$D$128,1)</f>
        <v>1</v>
      </c>
      <c r="AP931">
        <f>IF(Table1820[[#This Row],[Loyal Customer Discount]]="Yes",'Rate Book'!$D$129,1)</f>
        <v>1</v>
      </c>
      <c r="AQ931">
        <f>IF(Table1820[[#This Row],[Organization Discount]]="Yes",'Rate Book'!$D$130,1)</f>
        <v>1</v>
      </c>
      <c r="AR931" cm="1">
        <f t="array" ref="AR931">IF(Table1820[[#This Row],[Effective Date]]&gt;=RateChangeTable[Effective Date],RateChangeTable[Rate Change Factor],1)</f>
        <v>1</v>
      </c>
      <c r="AS931" s="10">
        <f>PRODUCT(Table1820[[#This Row],[Base Rate]:[Rate Change Factor]])</f>
        <v>774.48672407715844</v>
      </c>
      <c r="AT931" s="9">
        <f>Table1820[[#This Row],[System-Generated Premium]]-Table1820[[#This Row],[Expected Premium]]</f>
        <v>0</v>
      </c>
      <c r="AU931" t="str">
        <f>IF(Table1820[[#This Row],[Difference]]=0,"PASS","FAIL")</f>
        <v>PASS</v>
      </c>
      <c r="AV931" s="9">
        <f>ABS(Table1820[[#This Row],[Difference]])</f>
        <v>0</v>
      </c>
      <c r="AW931" s="9" t="s">
        <v>1136</v>
      </c>
    </row>
    <row r="932" spans="1:49" x14ac:dyDescent="0.3">
      <c r="A932" t="s">
        <v>1023</v>
      </c>
      <c r="B932" s="7">
        <v>45901</v>
      </c>
      <c r="C932" t="s">
        <v>74</v>
      </c>
      <c r="D932" t="s">
        <v>1101</v>
      </c>
      <c r="E932" s="3">
        <v>3</v>
      </c>
      <c r="F932" s="3">
        <v>1</v>
      </c>
      <c r="G932" t="s">
        <v>10</v>
      </c>
      <c r="H932" t="s">
        <v>1108</v>
      </c>
      <c r="I932" t="s">
        <v>27</v>
      </c>
      <c r="J932" t="s">
        <v>51</v>
      </c>
      <c r="K932" t="s">
        <v>10</v>
      </c>
      <c r="L932" t="s">
        <v>57</v>
      </c>
      <c r="M932" t="s">
        <v>10</v>
      </c>
      <c r="N932" t="s">
        <v>10</v>
      </c>
      <c r="O932" t="str">
        <f>INDEX(CoverageTable[Deductible Applies],MATCH(Table1820[[#This Row],[Coverage]],CoverageTable[Coverage],0))</f>
        <v>No</v>
      </c>
      <c r="P932" t="str">
        <f>INDEX(CoverageTable[Coverage Limit Applies],MATCH(Table1820[[#This Row],[Coverage]],CoverageTable[Coverage],0))</f>
        <v>Yes</v>
      </c>
      <c r="Q932" t="s">
        <v>10</v>
      </c>
      <c r="R932" t="s">
        <v>79</v>
      </c>
      <c r="S932" t="s">
        <v>10</v>
      </c>
      <c r="T932" t="s">
        <v>57</v>
      </c>
      <c r="U932" t="s">
        <v>57</v>
      </c>
      <c r="V932" t="s">
        <v>10</v>
      </c>
      <c r="W932" t="s">
        <v>10</v>
      </c>
      <c r="X932" s="11">
        <v>65.132110892312681</v>
      </c>
      <c r="Y932">
        <f>_xlfn.XLOOKUP(Table1820[[#This Row],[Coverage]],CoverageTable[Coverage],CoverageTable[Base Rate],,0)</f>
        <v>41</v>
      </c>
      <c r="Z932">
        <f>INDEX(Table16[Ageband Factor],MATCH(Table1820[[#This Row],[Ageband]],Table16[Ageband],0))</f>
        <v>1.1200000000000001</v>
      </c>
      <c r="AA932">
        <f>VLOOKUP(Table1820[[#This Row],[Years Driving]],Table1[],2)</f>
        <v>1.22</v>
      </c>
      <c r="AB932">
        <f>_xlfn.XLOOKUP(Table1820[[#This Row],[At Fault Accidents]],Table2[At Fault Accidents],Table2[At Fault Accident Factor],,0)</f>
        <v>1.34</v>
      </c>
      <c r="AC932">
        <f>_xlfn.XLOOKUP(Table1820[[#This Row],[Usage-Based Insurance]],Table3[Usage-Based Insurance],Table3[Usage-Based Insurance Discount],,0)</f>
        <v>1</v>
      </c>
      <c r="AD932">
        <f>_xlfn.XLOOKUP(Table1820[[#This Row],[Yearly Miles]],Table4[Yearly Miles],Table4[Yearly Miles Factor],,0)</f>
        <v>1</v>
      </c>
      <c r="AE932">
        <f>_xlfn.XLOOKUP(Table1820[[#This Row],[City/Zip Code]],Table5[City/Zip Code],Table5[City/Zip Code Factor],,0)</f>
        <v>0.94</v>
      </c>
      <c r="AF932">
        <f>_xlfn.XLOOKUP(Table1820[[#This Row],[Vehicle Price]],Table6[Vehicle Price],Table6[Vehicle Price Factor])</f>
        <v>1.28</v>
      </c>
      <c r="AG932">
        <f>_xlfn.XLOOKUP(Table1820[[#This Row],[Exotic Car]],Table7[Exotic Car],Table7[Exotic Car Factor],,0)</f>
        <v>1</v>
      </c>
      <c r="AH932">
        <f>_xlfn.XLOOKUP(Table1820[[#This Row],[Difficult Parts]],Table8[Difficult Parts],Table8[Difficult Parts Factor],,0)</f>
        <v>1.21</v>
      </c>
      <c r="AI932">
        <f>_xlfn.XLOOKUP(Table1820[[#This Row],[High Theft Rate]],Table9[High Theft Rate],Table9[High Theft Rate Factor],,0)</f>
        <v>1</v>
      </c>
      <c r="AJ932">
        <f>_xlfn.XLOOKUP(Table1820[[#This Row],[Advanced Safety Features]],Table10[Advanced Safety Features],Table10[Advanced Safety Features Factor],,0)</f>
        <v>1</v>
      </c>
      <c r="AK932">
        <f>_xlfn.XLOOKUP(Table1820[[#This Row],[Deductible]],Table12[Deductible],Table12[Deductible Factor],,0)</f>
        <v>1</v>
      </c>
      <c r="AL932">
        <f>_xlfn.XLOOKUP(Table1820[[#This Row],[Coverage Limit]],Table13[Coverage Limit],Table13[Coverage Limit Factor],,0)</f>
        <v>0.72</v>
      </c>
      <c r="AM932">
        <f>IF(Table1820[[#This Row],[Good Student Discount]]="Yes",'Rate Book'!$D$126,1)</f>
        <v>1</v>
      </c>
      <c r="AN932">
        <f>IF(Table1820[[#This Row],[Good Driver Discount]]="Yes",'Rate Book'!$D$127,1)</f>
        <v>0.89</v>
      </c>
      <c r="AO932">
        <f>IF(Table1820[[#This Row],[Multi Policy Discount]]="Yes",'Rate Book'!$D$128,1)</f>
        <v>0.93</v>
      </c>
      <c r="AP932">
        <f>IF(Table1820[[#This Row],[Loyal Customer Discount]]="Yes",'Rate Book'!$D$129,1)</f>
        <v>1</v>
      </c>
      <c r="AQ932">
        <f>IF(Table1820[[#This Row],[Organization Discount]]="Yes",'Rate Book'!$D$130,1)</f>
        <v>1</v>
      </c>
      <c r="AR932" cm="1">
        <f t="array" ref="AR932">IF(Table1820[[#This Row],[Effective Date]]&gt;=RateChangeTable[Effective Date],RateChangeTable[Rate Change Factor],1)</f>
        <v>1</v>
      </c>
      <c r="AS932" s="10">
        <f>PRODUCT(Table1820[[#This Row],[Base Rate]:[Rate Change Factor]])</f>
        <v>65.132110892312681</v>
      </c>
      <c r="AT932" s="9">
        <f>Table1820[[#This Row],[System-Generated Premium]]-Table1820[[#This Row],[Expected Premium]]</f>
        <v>0</v>
      </c>
      <c r="AU932" t="str">
        <f>IF(Table1820[[#This Row],[Difference]]=0,"PASS","FAIL")</f>
        <v>PASS</v>
      </c>
      <c r="AV932" s="9">
        <f>ABS(Table1820[[#This Row],[Difference]])</f>
        <v>0</v>
      </c>
      <c r="AW932" s="9" t="s">
        <v>1136</v>
      </c>
    </row>
    <row r="933" spans="1:49" x14ac:dyDescent="0.3">
      <c r="A933" t="s">
        <v>1024</v>
      </c>
      <c r="B933" s="7">
        <v>46007</v>
      </c>
      <c r="C933" t="s">
        <v>71</v>
      </c>
      <c r="D933" t="s">
        <v>1098</v>
      </c>
      <c r="E933" s="3">
        <v>1</v>
      </c>
      <c r="F933" s="3" t="s">
        <v>7</v>
      </c>
      <c r="G933" t="s">
        <v>10</v>
      </c>
      <c r="H933" t="s">
        <v>1108</v>
      </c>
      <c r="I933" t="s">
        <v>21</v>
      </c>
      <c r="J933" t="s">
        <v>53</v>
      </c>
      <c r="K933" t="s">
        <v>10</v>
      </c>
      <c r="L933" t="s">
        <v>57</v>
      </c>
      <c r="M933" t="s">
        <v>10</v>
      </c>
      <c r="N933" t="s">
        <v>10</v>
      </c>
      <c r="O933" t="str">
        <f>INDEX(CoverageTable[Deductible Applies],MATCH(Table1820[[#This Row],[Coverage]],CoverageTable[Coverage],0))</f>
        <v>Yes</v>
      </c>
      <c r="P933" t="str">
        <f>INDEX(CoverageTable[Coverage Limit Applies],MATCH(Table1820[[#This Row],[Coverage]],CoverageTable[Coverage],0))</f>
        <v>No</v>
      </c>
      <c r="Q933" t="s">
        <v>80</v>
      </c>
      <c r="R933" t="s">
        <v>10</v>
      </c>
      <c r="S933" t="s">
        <v>57</v>
      </c>
      <c r="T933" t="s">
        <v>57</v>
      </c>
      <c r="U933" t="s">
        <v>10</v>
      </c>
      <c r="V933" t="s">
        <v>57</v>
      </c>
      <c r="W933" t="s">
        <v>57</v>
      </c>
      <c r="X933" s="11">
        <v>3736.4684363795855</v>
      </c>
      <c r="Y933">
        <f>_xlfn.XLOOKUP(Table1820[[#This Row],[Coverage]],CoverageTable[Coverage],CoverageTable[Base Rate],,0)</f>
        <v>453</v>
      </c>
      <c r="Z933">
        <f>INDEX(Table16[Ageband Factor],MATCH(Table1820[[#This Row],[Ageband]],Table16[Ageband],0))</f>
        <v>1.23</v>
      </c>
      <c r="AA933">
        <f>VLOOKUP(Table1820[[#This Row],[Years Driving]],Table1[],2)</f>
        <v>1.64</v>
      </c>
      <c r="AB933">
        <f>_xlfn.XLOOKUP(Table1820[[#This Row],[At Fault Accidents]],Table2[At Fault Accidents],Table2[At Fault Accident Factor],,0)</f>
        <v>2.4700000000000002</v>
      </c>
      <c r="AC933">
        <f>_xlfn.XLOOKUP(Table1820[[#This Row],[Usage-Based Insurance]],Table3[Usage-Based Insurance],Table3[Usage-Based Insurance Discount],,0)</f>
        <v>1</v>
      </c>
      <c r="AD933">
        <f>_xlfn.XLOOKUP(Table1820[[#This Row],[Yearly Miles]],Table4[Yearly Miles],Table4[Yearly Miles Factor],,0)</f>
        <v>1</v>
      </c>
      <c r="AE933">
        <f>_xlfn.XLOOKUP(Table1820[[#This Row],[City/Zip Code]],Table5[City/Zip Code],Table5[City/Zip Code Factor],,0)</f>
        <v>1.26</v>
      </c>
      <c r="AF933">
        <f>_xlfn.XLOOKUP(Table1820[[#This Row],[Vehicle Price]],Table6[Vehicle Price],Table6[Vehicle Price Factor])</f>
        <v>2.02</v>
      </c>
      <c r="AG933">
        <f>_xlfn.XLOOKUP(Table1820[[#This Row],[Exotic Car]],Table7[Exotic Car],Table7[Exotic Car Factor],,0)</f>
        <v>1</v>
      </c>
      <c r="AH933">
        <f>_xlfn.XLOOKUP(Table1820[[#This Row],[Difficult Parts]],Table8[Difficult Parts],Table8[Difficult Parts Factor],,0)</f>
        <v>1.21</v>
      </c>
      <c r="AI933">
        <f>_xlfn.XLOOKUP(Table1820[[#This Row],[High Theft Rate]],Table9[High Theft Rate],Table9[High Theft Rate Factor],,0)</f>
        <v>1</v>
      </c>
      <c r="AJ933">
        <f>_xlfn.XLOOKUP(Table1820[[#This Row],[Advanced Safety Features]],Table10[Advanced Safety Features],Table10[Advanced Safety Features Factor],,0)</f>
        <v>1</v>
      </c>
      <c r="AK933">
        <f>_xlfn.XLOOKUP(Table1820[[#This Row],[Deductible]],Table12[Deductible],Table12[Deductible Factor],,0)</f>
        <v>0.72</v>
      </c>
      <c r="AL933">
        <f>_xlfn.XLOOKUP(Table1820[[#This Row],[Coverage Limit]],Table13[Coverage Limit],Table13[Coverage Limit Factor],,0)</f>
        <v>1</v>
      </c>
      <c r="AM933">
        <f>IF(Table1820[[#This Row],[Good Student Discount]]="Yes",'Rate Book'!$D$126,1)</f>
        <v>0.92</v>
      </c>
      <c r="AN933">
        <f>IF(Table1820[[#This Row],[Good Driver Discount]]="Yes",'Rate Book'!$D$127,1)</f>
        <v>0.89</v>
      </c>
      <c r="AO933">
        <f>IF(Table1820[[#This Row],[Multi Policy Discount]]="Yes",'Rate Book'!$D$128,1)</f>
        <v>1</v>
      </c>
      <c r="AP933">
        <f>IF(Table1820[[#This Row],[Loyal Customer Discount]]="Yes",'Rate Book'!$D$129,1)</f>
        <v>0.94</v>
      </c>
      <c r="AQ933">
        <f>IF(Table1820[[#This Row],[Organization Discount]]="Yes",'Rate Book'!$D$130,1)</f>
        <v>0.97</v>
      </c>
      <c r="AR933" cm="1">
        <f t="array" ref="AR933">IF(Table1820[[#This Row],[Effective Date]]&gt;=RateChangeTable[Effective Date],RateChangeTable[Rate Change Factor],1)</f>
        <v>1</v>
      </c>
      <c r="AS933" s="10">
        <f>PRODUCT(Table1820[[#This Row],[Base Rate]:[Rate Change Factor]])</f>
        <v>3736.4684363795855</v>
      </c>
      <c r="AT933" s="9">
        <f>Table1820[[#This Row],[System-Generated Premium]]-Table1820[[#This Row],[Expected Premium]]</f>
        <v>0</v>
      </c>
      <c r="AU933" t="str">
        <f>IF(Table1820[[#This Row],[Difference]]=0,"PASS","FAIL")</f>
        <v>PASS</v>
      </c>
      <c r="AV933" s="9">
        <f>ABS(Table1820[[#This Row],[Difference]])</f>
        <v>0</v>
      </c>
      <c r="AW933" s="9" t="s">
        <v>1136</v>
      </c>
    </row>
    <row r="934" spans="1:49" x14ac:dyDescent="0.3">
      <c r="A934" t="s">
        <v>1025</v>
      </c>
      <c r="B934" s="7">
        <v>46113</v>
      </c>
      <c r="C934" t="s">
        <v>74</v>
      </c>
      <c r="D934" t="s">
        <v>1100</v>
      </c>
      <c r="E934" s="3">
        <v>2</v>
      </c>
      <c r="F934" s="3">
        <v>3</v>
      </c>
      <c r="G934" t="s">
        <v>12</v>
      </c>
      <c r="H934" t="s">
        <v>1107</v>
      </c>
      <c r="I934" t="s">
        <v>26</v>
      </c>
      <c r="J934" t="s">
        <v>52</v>
      </c>
      <c r="K934" t="s">
        <v>10</v>
      </c>
      <c r="L934" t="s">
        <v>10</v>
      </c>
      <c r="M934" t="s">
        <v>10</v>
      </c>
      <c r="N934" t="s">
        <v>10</v>
      </c>
      <c r="O934" t="str">
        <f>INDEX(CoverageTable[Deductible Applies],MATCH(Table1820[[#This Row],[Coverage]],CoverageTable[Coverage],0))</f>
        <v>No</v>
      </c>
      <c r="P934" t="str">
        <f>INDEX(CoverageTable[Coverage Limit Applies],MATCH(Table1820[[#This Row],[Coverage]],CoverageTable[Coverage],0))</f>
        <v>Yes</v>
      </c>
      <c r="Q934" t="s">
        <v>10</v>
      </c>
      <c r="R934" t="s">
        <v>80</v>
      </c>
      <c r="S934" t="s">
        <v>10</v>
      </c>
      <c r="T934" t="s">
        <v>10</v>
      </c>
      <c r="U934" t="s">
        <v>10</v>
      </c>
      <c r="V934" t="s">
        <v>10</v>
      </c>
      <c r="W934" t="s">
        <v>10</v>
      </c>
      <c r="X934" s="11">
        <v>134.65228098558342</v>
      </c>
      <c r="Y934">
        <f>_xlfn.XLOOKUP(Table1820[[#This Row],[Coverage]],CoverageTable[Coverage],CoverageTable[Base Rate],,0)</f>
        <v>41</v>
      </c>
      <c r="Z934">
        <f>INDEX(Table16[Ageband Factor],MATCH(Table1820[[#This Row],[Ageband]],Table16[Ageband],0))</f>
        <v>1.07</v>
      </c>
      <c r="AA934">
        <f>VLOOKUP(Table1820[[#This Row],[Years Driving]],Table1[],2)</f>
        <v>1.41</v>
      </c>
      <c r="AB934">
        <f>_xlfn.XLOOKUP(Table1820[[#This Row],[At Fault Accidents]],Table2[At Fault Accidents],Table2[At Fault Accident Factor],,0)</f>
        <v>1.82</v>
      </c>
      <c r="AC934">
        <f>_xlfn.XLOOKUP(Table1820[[#This Row],[Usage-Based Insurance]],Table3[Usage-Based Insurance],Table3[Usage-Based Insurance Discount],,0)</f>
        <v>0.8</v>
      </c>
      <c r="AD934">
        <f>_xlfn.XLOOKUP(Table1820[[#This Row],[Yearly Miles]],Table4[Yearly Miles],Table4[Yearly Miles Factor],,0)</f>
        <v>0.93</v>
      </c>
      <c r="AE934">
        <f>_xlfn.XLOOKUP(Table1820[[#This Row],[City/Zip Code]],Table5[City/Zip Code],Table5[City/Zip Code Factor],,0)</f>
        <v>1.1499999999999999</v>
      </c>
      <c r="AF934">
        <f>_xlfn.XLOOKUP(Table1820[[#This Row],[Vehicle Price]],Table6[Vehicle Price],Table6[Vehicle Price Factor])</f>
        <v>1.57</v>
      </c>
      <c r="AG934">
        <f>_xlfn.XLOOKUP(Table1820[[#This Row],[Exotic Car]],Table7[Exotic Car],Table7[Exotic Car Factor],,0)</f>
        <v>1</v>
      </c>
      <c r="AH934">
        <f>_xlfn.XLOOKUP(Table1820[[#This Row],[Difficult Parts]],Table8[Difficult Parts],Table8[Difficult Parts Factor],,0)</f>
        <v>1</v>
      </c>
      <c r="AI934">
        <f>_xlfn.XLOOKUP(Table1820[[#This Row],[High Theft Rate]],Table9[High Theft Rate],Table9[High Theft Rate Factor],,0)</f>
        <v>1</v>
      </c>
      <c r="AJ934">
        <f>_xlfn.XLOOKUP(Table1820[[#This Row],[Advanced Safety Features]],Table10[Advanced Safety Features],Table10[Advanced Safety Features Factor],,0)</f>
        <v>1</v>
      </c>
      <c r="AK934">
        <f>_xlfn.XLOOKUP(Table1820[[#This Row],[Deductible]],Table12[Deductible],Table12[Deductible Factor],,0)</f>
        <v>1</v>
      </c>
      <c r="AL934">
        <f>_xlfn.XLOOKUP(Table1820[[#This Row],[Coverage Limit]],Table13[Coverage Limit],Table13[Coverage Limit Factor],,0)</f>
        <v>0.84</v>
      </c>
      <c r="AM934">
        <f>IF(Table1820[[#This Row],[Good Student Discount]]="Yes",'Rate Book'!$D$126,1)</f>
        <v>1</v>
      </c>
      <c r="AN934">
        <f>IF(Table1820[[#This Row],[Good Driver Discount]]="Yes",'Rate Book'!$D$127,1)</f>
        <v>1</v>
      </c>
      <c r="AO934">
        <f>IF(Table1820[[#This Row],[Multi Policy Discount]]="Yes",'Rate Book'!$D$128,1)</f>
        <v>1</v>
      </c>
      <c r="AP934">
        <f>IF(Table1820[[#This Row],[Loyal Customer Discount]]="Yes",'Rate Book'!$D$129,1)</f>
        <v>1</v>
      </c>
      <c r="AQ934">
        <f>IF(Table1820[[#This Row],[Organization Discount]]="Yes",'Rate Book'!$D$130,1)</f>
        <v>1</v>
      </c>
      <c r="AR934" cm="1">
        <f t="array" ref="AR934">IF(Table1820[[#This Row],[Effective Date]]&gt;=RateChangeTable[Effective Date],RateChangeTable[Rate Change Factor],1)</f>
        <v>1.06</v>
      </c>
      <c r="AS934" s="10">
        <f>PRODUCT(Table1820[[#This Row],[Base Rate]:[Rate Change Factor]])</f>
        <v>134.65228098558342</v>
      </c>
      <c r="AT934" s="9">
        <f>Table1820[[#This Row],[System-Generated Premium]]-Table1820[[#This Row],[Expected Premium]]</f>
        <v>0</v>
      </c>
      <c r="AU934" t="str">
        <f>IF(Table1820[[#This Row],[Difference]]=0,"PASS","FAIL")</f>
        <v>PASS</v>
      </c>
      <c r="AV934" s="9">
        <f>ABS(Table1820[[#This Row],[Difference]])</f>
        <v>0</v>
      </c>
      <c r="AW934" s="9" t="s">
        <v>1136</v>
      </c>
    </row>
    <row r="935" spans="1:49" x14ac:dyDescent="0.3">
      <c r="A935" t="s">
        <v>1026</v>
      </c>
      <c r="B935" s="7">
        <v>45779</v>
      </c>
      <c r="C935" t="s">
        <v>70</v>
      </c>
      <c r="D935" t="s">
        <v>1102</v>
      </c>
      <c r="E935" s="3">
        <v>3</v>
      </c>
      <c r="F935" s="3">
        <v>1</v>
      </c>
      <c r="G935" t="s">
        <v>13</v>
      </c>
      <c r="H935" t="s">
        <v>1109</v>
      </c>
      <c r="I935" t="s">
        <v>28</v>
      </c>
      <c r="J935" t="s">
        <v>54</v>
      </c>
      <c r="K935" t="s">
        <v>10</v>
      </c>
      <c r="L935" t="s">
        <v>10</v>
      </c>
      <c r="M935" t="s">
        <v>10</v>
      </c>
      <c r="N935" t="s">
        <v>10</v>
      </c>
      <c r="O935" t="str">
        <f>INDEX(CoverageTable[Deductible Applies],MATCH(Table1820[[#This Row],[Coverage]],CoverageTable[Coverage],0))</f>
        <v>No</v>
      </c>
      <c r="P935" t="str">
        <f>INDEX(CoverageTable[Coverage Limit Applies],MATCH(Table1820[[#This Row],[Coverage]],CoverageTable[Coverage],0))</f>
        <v>Yes</v>
      </c>
      <c r="Q935" t="s">
        <v>10</v>
      </c>
      <c r="R935" t="s">
        <v>78</v>
      </c>
      <c r="S935" t="s">
        <v>10</v>
      </c>
      <c r="T935" t="s">
        <v>57</v>
      </c>
      <c r="U935" t="s">
        <v>10</v>
      </c>
      <c r="V935" t="s">
        <v>10</v>
      </c>
      <c r="W935" t="s">
        <v>57</v>
      </c>
      <c r="X935" s="11">
        <v>1422.1688977958986</v>
      </c>
      <c r="Y935">
        <f>_xlfn.XLOOKUP(Table1820[[#This Row],[Coverage]],CoverageTable[Coverage],CoverageTable[Base Rate],,0)</f>
        <v>622</v>
      </c>
      <c r="Z935">
        <f>INDEX(Table16[Ageband Factor],MATCH(Table1820[[#This Row],[Ageband]],Table16[Ageband],0))</f>
        <v>1.27</v>
      </c>
      <c r="AA935">
        <f>VLOOKUP(Table1820[[#This Row],[Years Driving]],Table1[],2)</f>
        <v>1.22</v>
      </c>
      <c r="AB935">
        <f>_xlfn.XLOOKUP(Table1820[[#This Row],[At Fault Accidents]],Table2[At Fault Accidents],Table2[At Fault Accident Factor],,0)</f>
        <v>1.34</v>
      </c>
      <c r="AC935">
        <f>_xlfn.XLOOKUP(Table1820[[#This Row],[Usage-Based Insurance]],Table3[Usage-Based Insurance],Table3[Usage-Based Insurance Discount],,0)</f>
        <v>0.65</v>
      </c>
      <c r="AD935">
        <f>_xlfn.XLOOKUP(Table1820[[#This Row],[Yearly Miles]],Table4[Yearly Miles],Table4[Yearly Miles Factor],,0)</f>
        <v>1.18</v>
      </c>
      <c r="AE935">
        <f>_xlfn.XLOOKUP(Table1820[[#This Row],[City/Zip Code]],Table5[City/Zip Code],Table5[City/Zip Code Factor],,0)</f>
        <v>0.95</v>
      </c>
      <c r="AF935">
        <f>_xlfn.XLOOKUP(Table1820[[#This Row],[Vehicle Price]],Table6[Vehicle Price],Table6[Vehicle Price Factor])</f>
        <v>2.87</v>
      </c>
      <c r="AG935">
        <f>_xlfn.XLOOKUP(Table1820[[#This Row],[Exotic Car]],Table7[Exotic Car],Table7[Exotic Car Factor],,0)</f>
        <v>1</v>
      </c>
      <c r="AH935">
        <f>_xlfn.XLOOKUP(Table1820[[#This Row],[Difficult Parts]],Table8[Difficult Parts],Table8[Difficult Parts Factor],,0)</f>
        <v>1</v>
      </c>
      <c r="AI935">
        <f>_xlfn.XLOOKUP(Table1820[[#This Row],[High Theft Rate]],Table9[High Theft Rate],Table9[High Theft Rate Factor],,0)</f>
        <v>1</v>
      </c>
      <c r="AJ935">
        <f>_xlfn.XLOOKUP(Table1820[[#This Row],[Advanced Safety Features]],Table10[Advanced Safety Features],Table10[Advanced Safety Features Factor],,0)</f>
        <v>1</v>
      </c>
      <c r="AK935">
        <f>_xlfn.XLOOKUP(Table1820[[#This Row],[Deductible]],Table12[Deductible],Table12[Deductible Factor],,0)</f>
        <v>1</v>
      </c>
      <c r="AL935">
        <f>_xlfn.XLOOKUP(Table1820[[#This Row],[Coverage Limit]],Table13[Coverage Limit],Table13[Coverage Limit Factor],,0)</f>
        <v>0.61</v>
      </c>
      <c r="AM935">
        <f>IF(Table1820[[#This Row],[Good Student Discount]]="Yes",'Rate Book'!$D$126,1)</f>
        <v>1</v>
      </c>
      <c r="AN935">
        <f>IF(Table1820[[#This Row],[Good Driver Discount]]="Yes",'Rate Book'!$D$127,1)</f>
        <v>0.89</v>
      </c>
      <c r="AO935">
        <f>IF(Table1820[[#This Row],[Multi Policy Discount]]="Yes",'Rate Book'!$D$128,1)</f>
        <v>1</v>
      </c>
      <c r="AP935">
        <f>IF(Table1820[[#This Row],[Loyal Customer Discount]]="Yes",'Rate Book'!$D$129,1)</f>
        <v>1</v>
      </c>
      <c r="AQ935">
        <f>IF(Table1820[[#This Row],[Organization Discount]]="Yes",'Rate Book'!$D$130,1)</f>
        <v>0.97</v>
      </c>
      <c r="AR935" cm="1">
        <f t="array" ref="AR935">IF(Table1820[[#This Row],[Effective Date]]&gt;=RateChangeTable[Effective Date],RateChangeTable[Rate Change Factor],1)</f>
        <v>1</v>
      </c>
      <c r="AS935" s="10">
        <f>PRODUCT(Table1820[[#This Row],[Base Rate]:[Rate Change Factor]])</f>
        <v>1422.1688977958986</v>
      </c>
      <c r="AT935" s="9">
        <f>Table1820[[#This Row],[System-Generated Premium]]-Table1820[[#This Row],[Expected Premium]]</f>
        <v>0</v>
      </c>
      <c r="AU935" t="str">
        <f>IF(Table1820[[#This Row],[Difference]]=0,"PASS","FAIL")</f>
        <v>PASS</v>
      </c>
      <c r="AV935" s="9">
        <f>ABS(Table1820[[#This Row],[Difference]])</f>
        <v>0</v>
      </c>
      <c r="AW935" s="9" t="s">
        <v>1136</v>
      </c>
    </row>
    <row r="936" spans="1:49" x14ac:dyDescent="0.3">
      <c r="A936" t="s">
        <v>1027</v>
      </c>
      <c r="B936" s="7">
        <v>46071</v>
      </c>
      <c r="C936" t="s">
        <v>74</v>
      </c>
      <c r="D936" t="s">
        <v>1101</v>
      </c>
      <c r="E936" s="3">
        <v>6</v>
      </c>
      <c r="F936" s="3">
        <v>4</v>
      </c>
      <c r="G936" t="s">
        <v>10</v>
      </c>
      <c r="H936" t="s">
        <v>1106</v>
      </c>
      <c r="I936" t="s">
        <v>25</v>
      </c>
      <c r="J936" t="s">
        <v>51</v>
      </c>
      <c r="K936" t="s">
        <v>10</v>
      </c>
      <c r="L936" t="s">
        <v>10</v>
      </c>
      <c r="M936" t="s">
        <v>57</v>
      </c>
      <c r="N936" t="s">
        <v>10</v>
      </c>
      <c r="O936" t="str">
        <f>INDEX(CoverageTable[Deductible Applies],MATCH(Table1820[[#This Row],[Coverage]],CoverageTable[Coverage],0))</f>
        <v>No</v>
      </c>
      <c r="P936" t="str">
        <f>INDEX(CoverageTable[Coverage Limit Applies],MATCH(Table1820[[#This Row],[Coverage]],CoverageTable[Coverage],0))</f>
        <v>Yes</v>
      </c>
      <c r="Q936" t="s">
        <v>10</v>
      </c>
      <c r="R936" t="s">
        <v>80</v>
      </c>
      <c r="S936" t="s">
        <v>10</v>
      </c>
      <c r="T936" t="s">
        <v>57</v>
      </c>
      <c r="U936" t="s">
        <v>10</v>
      </c>
      <c r="V936" t="s">
        <v>57</v>
      </c>
      <c r="W936" t="s">
        <v>57</v>
      </c>
      <c r="X936" s="11">
        <v>99.346434855647288</v>
      </c>
      <c r="Y936">
        <f>_xlfn.XLOOKUP(Table1820[[#This Row],[Coverage]],CoverageTable[Coverage],CoverageTable[Base Rate],,0)</f>
        <v>41</v>
      </c>
      <c r="Z936">
        <f>INDEX(Table16[Ageband Factor],MATCH(Table1820[[#This Row],[Ageband]],Table16[Ageband],0))</f>
        <v>1.1200000000000001</v>
      </c>
      <c r="AA936">
        <f>VLOOKUP(Table1820[[#This Row],[Years Driving]],Table1[],2)</f>
        <v>1</v>
      </c>
      <c r="AB936">
        <f>_xlfn.XLOOKUP(Table1820[[#This Row],[At Fault Accidents]],Table2[At Fault Accidents],Table2[At Fault Accident Factor],,0)</f>
        <v>2.12</v>
      </c>
      <c r="AC936">
        <f>_xlfn.XLOOKUP(Table1820[[#This Row],[Usage-Based Insurance]],Table3[Usage-Based Insurance],Table3[Usage-Based Insurance Discount],,0)</f>
        <v>1</v>
      </c>
      <c r="AD936">
        <f>_xlfn.XLOOKUP(Table1820[[#This Row],[Yearly Miles]],Table4[Yearly Miles],Table4[Yearly Miles Factor],,0)</f>
        <v>0.82</v>
      </c>
      <c r="AE936">
        <f>_xlfn.XLOOKUP(Table1820[[#This Row],[City/Zip Code]],Table5[City/Zip Code],Table5[City/Zip Code Factor],,0)</f>
        <v>1.1599999999999999</v>
      </c>
      <c r="AF936">
        <f>_xlfn.XLOOKUP(Table1820[[#This Row],[Vehicle Price]],Table6[Vehicle Price],Table6[Vehicle Price Factor])</f>
        <v>1.28</v>
      </c>
      <c r="AG936">
        <f>_xlfn.XLOOKUP(Table1820[[#This Row],[Exotic Car]],Table7[Exotic Car],Table7[Exotic Car Factor],,0)</f>
        <v>1</v>
      </c>
      <c r="AH936">
        <f>_xlfn.XLOOKUP(Table1820[[#This Row],[Difficult Parts]],Table8[Difficult Parts],Table8[Difficult Parts Factor],,0)</f>
        <v>1</v>
      </c>
      <c r="AI936">
        <f>_xlfn.XLOOKUP(Table1820[[#This Row],[High Theft Rate]],Table9[High Theft Rate],Table9[High Theft Rate Factor],,0)</f>
        <v>1.1599999999999999</v>
      </c>
      <c r="AJ936">
        <f>_xlfn.XLOOKUP(Table1820[[#This Row],[Advanced Safety Features]],Table10[Advanced Safety Features],Table10[Advanced Safety Features Factor],,0)</f>
        <v>1</v>
      </c>
      <c r="AK936">
        <f>_xlfn.XLOOKUP(Table1820[[#This Row],[Deductible]],Table12[Deductible],Table12[Deductible Factor],,0)</f>
        <v>1</v>
      </c>
      <c r="AL936">
        <f>_xlfn.XLOOKUP(Table1820[[#This Row],[Coverage Limit]],Table13[Coverage Limit],Table13[Coverage Limit Factor],,0)</f>
        <v>0.84</v>
      </c>
      <c r="AM936">
        <f>IF(Table1820[[#This Row],[Good Student Discount]]="Yes",'Rate Book'!$D$126,1)</f>
        <v>1</v>
      </c>
      <c r="AN936">
        <f>IF(Table1820[[#This Row],[Good Driver Discount]]="Yes",'Rate Book'!$D$127,1)</f>
        <v>0.89</v>
      </c>
      <c r="AO936">
        <f>IF(Table1820[[#This Row],[Multi Policy Discount]]="Yes",'Rate Book'!$D$128,1)</f>
        <v>1</v>
      </c>
      <c r="AP936">
        <f>IF(Table1820[[#This Row],[Loyal Customer Discount]]="Yes",'Rate Book'!$D$129,1)</f>
        <v>0.94</v>
      </c>
      <c r="AQ936">
        <f>IF(Table1820[[#This Row],[Organization Discount]]="Yes",'Rate Book'!$D$130,1)</f>
        <v>0.97</v>
      </c>
      <c r="AR936" cm="1">
        <f t="array" ref="AR936">IF(Table1820[[#This Row],[Effective Date]]&gt;=RateChangeTable[Effective Date],RateChangeTable[Rate Change Factor],1)</f>
        <v>1.06</v>
      </c>
      <c r="AS936" s="10">
        <f>PRODUCT(Table1820[[#This Row],[Base Rate]:[Rate Change Factor]])</f>
        <v>99.346434855647288</v>
      </c>
      <c r="AT936" s="9">
        <f>Table1820[[#This Row],[System-Generated Premium]]-Table1820[[#This Row],[Expected Premium]]</f>
        <v>0</v>
      </c>
      <c r="AU936" t="str">
        <f>IF(Table1820[[#This Row],[Difference]]=0,"PASS","FAIL")</f>
        <v>PASS</v>
      </c>
      <c r="AV936" s="9">
        <f>ABS(Table1820[[#This Row],[Difference]])</f>
        <v>0</v>
      </c>
      <c r="AW936" s="9" t="s">
        <v>1136</v>
      </c>
    </row>
    <row r="937" spans="1:49" x14ac:dyDescent="0.3">
      <c r="A937" t="s">
        <v>1028</v>
      </c>
      <c r="B937" s="7">
        <v>45992</v>
      </c>
      <c r="C937" t="s">
        <v>71</v>
      </c>
      <c r="D937" t="s">
        <v>1097</v>
      </c>
      <c r="E937" s="3">
        <v>4</v>
      </c>
      <c r="F937" s="3">
        <v>4</v>
      </c>
      <c r="G937" t="s">
        <v>12</v>
      </c>
      <c r="H937" t="s">
        <v>1109</v>
      </c>
      <c r="I937" t="s">
        <v>39</v>
      </c>
      <c r="J937" t="s">
        <v>52</v>
      </c>
      <c r="K937" t="s">
        <v>10</v>
      </c>
      <c r="L937" t="s">
        <v>10</v>
      </c>
      <c r="M937" t="s">
        <v>10</v>
      </c>
      <c r="N937" t="s">
        <v>57</v>
      </c>
      <c r="O937" t="str">
        <f>INDEX(CoverageTable[Deductible Applies],MATCH(Table1820[[#This Row],[Coverage]],CoverageTable[Coverage],0))</f>
        <v>Yes</v>
      </c>
      <c r="P937" t="str">
        <f>INDEX(CoverageTable[Coverage Limit Applies],MATCH(Table1820[[#This Row],[Coverage]],CoverageTable[Coverage],0))</f>
        <v>No</v>
      </c>
      <c r="Q937" t="s">
        <v>80</v>
      </c>
      <c r="R937" t="s">
        <v>10</v>
      </c>
      <c r="S937" t="s">
        <v>10</v>
      </c>
      <c r="T937" t="s">
        <v>10</v>
      </c>
      <c r="U937" t="s">
        <v>57</v>
      </c>
      <c r="V937" t="s">
        <v>57</v>
      </c>
      <c r="W937" t="s">
        <v>10</v>
      </c>
      <c r="X937" s="11">
        <v>1292.4900469904285</v>
      </c>
      <c r="Y937">
        <f>_xlfn.XLOOKUP(Table1820[[#This Row],[Coverage]],CoverageTable[Coverage],CoverageTable[Base Rate],,0)</f>
        <v>453</v>
      </c>
      <c r="Z937">
        <f>INDEX(Table16[Ageband Factor],MATCH(Table1820[[#This Row],[Ageband]],Table16[Ageband],0))</f>
        <v>1.32</v>
      </c>
      <c r="AA937">
        <f>VLOOKUP(Table1820[[#This Row],[Years Driving]],Table1[],2)</f>
        <v>1.1499999999999999</v>
      </c>
      <c r="AB937">
        <f>_xlfn.XLOOKUP(Table1820[[#This Row],[At Fault Accidents]],Table2[At Fault Accidents],Table2[At Fault Accident Factor],,0)</f>
        <v>2.12</v>
      </c>
      <c r="AC937">
        <f>_xlfn.XLOOKUP(Table1820[[#This Row],[Usage-Based Insurance]],Table3[Usage-Based Insurance],Table3[Usage-Based Insurance Discount],,0)</f>
        <v>0.8</v>
      </c>
      <c r="AD937">
        <f>_xlfn.XLOOKUP(Table1820[[#This Row],[Yearly Miles]],Table4[Yearly Miles],Table4[Yearly Miles Factor],,0)</f>
        <v>1.18</v>
      </c>
      <c r="AE937">
        <f>_xlfn.XLOOKUP(Table1820[[#This Row],[City/Zip Code]],Table5[City/Zip Code],Table5[City/Zip Code Factor],,0)</f>
        <v>1.08</v>
      </c>
      <c r="AF937">
        <f>_xlfn.XLOOKUP(Table1820[[#This Row],[Vehicle Price]],Table6[Vehicle Price],Table6[Vehicle Price Factor])</f>
        <v>1.57</v>
      </c>
      <c r="AG937">
        <f>_xlfn.XLOOKUP(Table1820[[#This Row],[Exotic Car]],Table7[Exotic Car],Table7[Exotic Car Factor],,0)</f>
        <v>1</v>
      </c>
      <c r="AH937">
        <f>_xlfn.XLOOKUP(Table1820[[#This Row],[Difficult Parts]],Table8[Difficult Parts],Table8[Difficult Parts Factor],,0)</f>
        <v>1</v>
      </c>
      <c r="AI937">
        <f>_xlfn.XLOOKUP(Table1820[[#This Row],[High Theft Rate]],Table9[High Theft Rate],Table9[High Theft Rate Factor],,0)</f>
        <v>1</v>
      </c>
      <c r="AJ937">
        <f>_xlfn.XLOOKUP(Table1820[[#This Row],[Advanced Safety Features]],Table10[Advanced Safety Features],Table10[Advanced Safety Features Factor],,0)</f>
        <v>0.88</v>
      </c>
      <c r="AK937">
        <f>_xlfn.XLOOKUP(Table1820[[#This Row],[Deductible]],Table12[Deductible],Table12[Deductible Factor],,0)</f>
        <v>0.72</v>
      </c>
      <c r="AL937">
        <f>_xlfn.XLOOKUP(Table1820[[#This Row],[Coverage Limit]],Table13[Coverage Limit],Table13[Coverage Limit Factor],,0)</f>
        <v>1</v>
      </c>
      <c r="AM937">
        <f>IF(Table1820[[#This Row],[Good Student Discount]]="Yes",'Rate Book'!$D$126,1)</f>
        <v>1</v>
      </c>
      <c r="AN937">
        <f>IF(Table1820[[#This Row],[Good Driver Discount]]="Yes",'Rate Book'!$D$127,1)</f>
        <v>1</v>
      </c>
      <c r="AO937">
        <f>IF(Table1820[[#This Row],[Multi Policy Discount]]="Yes",'Rate Book'!$D$128,1)</f>
        <v>0.93</v>
      </c>
      <c r="AP937">
        <f>IF(Table1820[[#This Row],[Loyal Customer Discount]]="Yes",'Rate Book'!$D$129,1)</f>
        <v>0.94</v>
      </c>
      <c r="AQ937">
        <f>IF(Table1820[[#This Row],[Organization Discount]]="Yes",'Rate Book'!$D$130,1)</f>
        <v>1</v>
      </c>
      <c r="AR937" cm="1">
        <f t="array" ref="AR937">IF(Table1820[[#This Row],[Effective Date]]&gt;=RateChangeTable[Effective Date],RateChangeTable[Rate Change Factor],1)</f>
        <v>1</v>
      </c>
      <c r="AS937" s="10">
        <f>PRODUCT(Table1820[[#This Row],[Base Rate]:[Rate Change Factor]])</f>
        <v>1292.4900469904285</v>
      </c>
      <c r="AT937" s="9">
        <f>Table1820[[#This Row],[System-Generated Premium]]-Table1820[[#This Row],[Expected Premium]]</f>
        <v>0</v>
      </c>
      <c r="AU937" t="str">
        <f>IF(Table1820[[#This Row],[Difference]]=0,"PASS","FAIL")</f>
        <v>PASS</v>
      </c>
      <c r="AV937" s="9">
        <f>ABS(Table1820[[#This Row],[Difference]])</f>
        <v>0</v>
      </c>
      <c r="AW937" s="9" t="s">
        <v>1136</v>
      </c>
    </row>
    <row r="938" spans="1:49" x14ac:dyDescent="0.3">
      <c r="A938" t="s">
        <v>1029</v>
      </c>
      <c r="B938" s="7">
        <v>46063</v>
      </c>
      <c r="C938" t="s">
        <v>71</v>
      </c>
      <c r="D938" t="s">
        <v>1101</v>
      </c>
      <c r="E938" s="3">
        <v>6</v>
      </c>
      <c r="F938" s="3">
        <v>4</v>
      </c>
      <c r="G938" t="s">
        <v>10</v>
      </c>
      <c r="H938" t="s">
        <v>1110</v>
      </c>
      <c r="I938" t="s">
        <v>44</v>
      </c>
      <c r="J938" t="s">
        <v>51</v>
      </c>
      <c r="K938" t="s">
        <v>10</v>
      </c>
      <c r="L938" t="s">
        <v>10</v>
      </c>
      <c r="M938" t="s">
        <v>10</v>
      </c>
      <c r="N938" t="s">
        <v>57</v>
      </c>
      <c r="O938" t="str">
        <f>INDEX(CoverageTable[Deductible Applies],MATCH(Table1820[[#This Row],[Coverage]],CoverageTable[Coverage],0))</f>
        <v>Yes</v>
      </c>
      <c r="P938" t="str">
        <f>INDEX(CoverageTable[Coverage Limit Applies],MATCH(Table1820[[#This Row],[Coverage]],CoverageTable[Coverage],0))</f>
        <v>No</v>
      </c>
      <c r="Q938" t="s">
        <v>80</v>
      </c>
      <c r="R938" t="s">
        <v>10</v>
      </c>
      <c r="S938" t="s">
        <v>57</v>
      </c>
      <c r="T938" t="s">
        <v>10</v>
      </c>
      <c r="U938" t="s">
        <v>10</v>
      </c>
      <c r="V938" t="s">
        <v>10</v>
      </c>
      <c r="W938" t="s">
        <v>57</v>
      </c>
      <c r="X938" s="11">
        <v>1253.9260810885739</v>
      </c>
      <c r="Y938">
        <f>_xlfn.XLOOKUP(Table1820[[#This Row],[Coverage]],CoverageTable[Coverage],CoverageTable[Base Rate],,0)</f>
        <v>453</v>
      </c>
      <c r="Z938">
        <f>INDEX(Table16[Ageband Factor],MATCH(Table1820[[#This Row],[Ageband]],Table16[Ageband],0))</f>
        <v>1.1200000000000001</v>
      </c>
      <c r="AA938">
        <f>VLOOKUP(Table1820[[#This Row],[Years Driving]],Table1[],2)</f>
        <v>1</v>
      </c>
      <c r="AB938">
        <f>_xlfn.XLOOKUP(Table1820[[#This Row],[At Fault Accidents]],Table2[At Fault Accidents],Table2[At Fault Accident Factor],,0)</f>
        <v>2.12</v>
      </c>
      <c r="AC938">
        <f>_xlfn.XLOOKUP(Table1820[[#This Row],[Usage-Based Insurance]],Table3[Usage-Based Insurance],Table3[Usage-Based Insurance Discount],,0)</f>
        <v>1</v>
      </c>
      <c r="AD938">
        <f>_xlfn.XLOOKUP(Table1820[[#This Row],[Yearly Miles]],Table4[Yearly Miles],Table4[Yearly Miles Factor],,0)</f>
        <v>1.31</v>
      </c>
      <c r="AE938">
        <f>_xlfn.XLOOKUP(Table1820[[#This Row],[City/Zip Code]],Table5[City/Zip Code],Table5[City/Zip Code Factor],,0)</f>
        <v>1.1599999999999999</v>
      </c>
      <c r="AF938">
        <f>_xlfn.XLOOKUP(Table1820[[#This Row],[Vehicle Price]],Table6[Vehicle Price],Table6[Vehicle Price Factor])</f>
        <v>1.28</v>
      </c>
      <c r="AG938">
        <f>_xlfn.XLOOKUP(Table1820[[#This Row],[Exotic Car]],Table7[Exotic Car],Table7[Exotic Car Factor],,0)</f>
        <v>1</v>
      </c>
      <c r="AH938">
        <f>_xlfn.XLOOKUP(Table1820[[#This Row],[Difficult Parts]],Table8[Difficult Parts],Table8[Difficult Parts Factor],,0)</f>
        <v>1</v>
      </c>
      <c r="AI938">
        <f>_xlfn.XLOOKUP(Table1820[[#This Row],[High Theft Rate]],Table9[High Theft Rate],Table9[High Theft Rate Factor],,0)</f>
        <v>1</v>
      </c>
      <c r="AJ938">
        <f>_xlfn.XLOOKUP(Table1820[[#This Row],[Advanced Safety Features]],Table10[Advanced Safety Features],Table10[Advanced Safety Features Factor],,0)</f>
        <v>0.88</v>
      </c>
      <c r="AK938">
        <f>_xlfn.XLOOKUP(Table1820[[#This Row],[Deductible]],Table12[Deductible],Table12[Deductible Factor],,0)</f>
        <v>0.72</v>
      </c>
      <c r="AL938">
        <f>_xlfn.XLOOKUP(Table1820[[#This Row],[Coverage Limit]],Table13[Coverage Limit],Table13[Coverage Limit Factor],,0)</f>
        <v>1</v>
      </c>
      <c r="AM938">
        <f>IF(Table1820[[#This Row],[Good Student Discount]]="Yes",'Rate Book'!$D$126,1)</f>
        <v>0.92</v>
      </c>
      <c r="AN938">
        <f>IF(Table1820[[#This Row],[Good Driver Discount]]="Yes",'Rate Book'!$D$127,1)</f>
        <v>1</v>
      </c>
      <c r="AO938">
        <f>IF(Table1820[[#This Row],[Multi Policy Discount]]="Yes",'Rate Book'!$D$128,1)</f>
        <v>1</v>
      </c>
      <c r="AP938">
        <f>IF(Table1820[[#This Row],[Loyal Customer Discount]]="Yes",'Rate Book'!$D$129,1)</f>
        <v>1</v>
      </c>
      <c r="AQ938">
        <f>IF(Table1820[[#This Row],[Organization Discount]]="Yes",'Rate Book'!$D$130,1)</f>
        <v>0.97</v>
      </c>
      <c r="AR938" cm="1">
        <f t="array" ref="AR938">IF(Table1820[[#This Row],[Effective Date]]&gt;=RateChangeTable[Effective Date],RateChangeTable[Rate Change Factor],1)</f>
        <v>1.06</v>
      </c>
      <c r="AS938" s="10">
        <f>PRODUCT(Table1820[[#This Row],[Base Rate]:[Rate Change Factor]])</f>
        <v>1253.9260810885739</v>
      </c>
      <c r="AT938" s="9">
        <f>Table1820[[#This Row],[System-Generated Premium]]-Table1820[[#This Row],[Expected Premium]]</f>
        <v>0</v>
      </c>
      <c r="AU938" t="str">
        <f>IF(Table1820[[#This Row],[Difference]]=0,"PASS","FAIL")</f>
        <v>PASS</v>
      </c>
      <c r="AV938" s="9">
        <f>ABS(Table1820[[#This Row],[Difference]])</f>
        <v>0</v>
      </c>
      <c r="AW938" s="9" t="s">
        <v>1136</v>
      </c>
    </row>
    <row r="939" spans="1:49" x14ac:dyDescent="0.3">
      <c r="A939" t="s">
        <v>1030</v>
      </c>
      <c r="B939" s="7">
        <v>45997</v>
      </c>
      <c r="C939" t="s">
        <v>70</v>
      </c>
      <c r="D939" t="s">
        <v>1100</v>
      </c>
      <c r="E939" s="3">
        <v>3</v>
      </c>
      <c r="F939" s="3">
        <v>1</v>
      </c>
      <c r="G939" t="s">
        <v>12</v>
      </c>
      <c r="H939" t="s">
        <v>1110</v>
      </c>
      <c r="I939" t="s">
        <v>38</v>
      </c>
      <c r="J939" t="s">
        <v>51</v>
      </c>
      <c r="K939" t="s">
        <v>57</v>
      </c>
      <c r="L939" t="s">
        <v>10</v>
      </c>
      <c r="M939" t="s">
        <v>10</v>
      </c>
      <c r="N939" t="s">
        <v>57</v>
      </c>
      <c r="O939" t="str">
        <f>INDEX(CoverageTable[Deductible Applies],MATCH(Table1820[[#This Row],[Coverage]],CoverageTable[Coverage],0))</f>
        <v>No</v>
      </c>
      <c r="P939" t="str">
        <f>INDEX(CoverageTable[Coverage Limit Applies],MATCH(Table1820[[#This Row],[Coverage]],CoverageTable[Coverage],0))</f>
        <v>Yes</v>
      </c>
      <c r="Q939" t="s">
        <v>10</v>
      </c>
      <c r="R939" t="s">
        <v>79</v>
      </c>
      <c r="S939" t="s">
        <v>57</v>
      </c>
      <c r="T939" t="s">
        <v>10</v>
      </c>
      <c r="U939" t="s">
        <v>10</v>
      </c>
      <c r="V939" t="s">
        <v>10</v>
      </c>
      <c r="W939" t="s">
        <v>10</v>
      </c>
      <c r="X939" s="11">
        <v>1219.6663217667117</v>
      </c>
      <c r="Y939">
        <f>_xlfn.XLOOKUP(Table1820[[#This Row],[Coverage]],CoverageTable[Coverage],CoverageTable[Base Rate],,0)</f>
        <v>622</v>
      </c>
      <c r="Z939">
        <f>INDEX(Table16[Ageband Factor],MATCH(Table1820[[#This Row],[Ageband]],Table16[Ageband],0))</f>
        <v>1.07</v>
      </c>
      <c r="AA939">
        <f>VLOOKUP(Table1820[[#This Row],[Years Driving]],Table1[],2)</f>
        <v>1.22</v>
      </c>
      <c r="AB939">
        <f>_xlfn.XLOOKUP(Table1820[[#This Row],[At Fault Accidents]],Table2[At Fault Accidents],Table2[At Fault Accident Factor],,0)</f>
        <v>1.34</v>
      </c>
      <c r="AC939">
        <f>_xlfn.XLOOKUP(Table1820[[#This Row],[Usage-Based Insurance]],Table3[Usage-Based Insurance],Table3[Usage-Based Insurance Discount],,0)</f>
        <v>0.8</v>
      </c>
      <c r="AD939">
        <f>_xlfn.XLOOKUP(Table1820[[#This Row],[Yearly Miles]],Table4[Yearly Miles],Table4[Yearly Miles Factor],,0)</f>
        <v>1.31</v>
      </c>
      <c r="AE939">
        <f>_xlfn.XLOOKUP(Table1820[[#This Row],[City/Zip Code]],Table5[City/Zip Code],Table5[City/Zip Code Factor],,0)</f>
        <v>1.1200000000000001</v>
      </c>
      <c r="AF939">
        <f>_xlfn.XLOOKUP(Table1820[[#This Row],[Vehicle Price]],Table6[Vehicle Price],Table6[Vehicle Price Factor])</f>
        <v>1.28</v>
      </c>
      <c r="AG939">
        <f>_xlfn.XLOOKUP(Table1820[[#This Row],[Exotic Car]],Table7[Exotic Car],Table7[Exotic Car Factor],,0)</f>
        <v>1.28</v>
      </c>
      <c r="AH939">
        <f>_xlfn.XLOOKUP(Table1820[[#This Row],[Difficult Parts]],Table8[Difficult Parts],Table8[Difficult Parts Factor],,0)</f>
        <v>1</v>
      </c>
      <c r="AI939">
        <f>_xlfn.XLOOKUP(Table1820[[#This Row],[High Theft Rate]],Table9[High Theft Rate],Table9[High Theft Rate Factor],,0)</f>
        <v>1</v>
      </c>
      <c r="AJ939">
        <f>_xlfn.XLOOKUP(Table1820[[#This Row],[Advanced Safety Features]],Table10[Advanced Safety Features],Table10[Advanced Safety Features Factor],,0)</f>
        <v>0.88</v>
      </c>
      <c r="AK939">
        <f>_xlfn.XLOOKUP(Table1820[[#This Row],[Deductible]],Table12[Deductible],Table12[Deductible Factor],,0)</f>
        <v>1</v>
      </c>
      <c r="AL939">
        <f>_xlfn.XLOOKUP(Table1820[[#This Row],[Coverage Limit]],Table13[Coverage Limit],Table13[Coverage Limit Factor],,0)</f>
        <v>0.72</v>
      </c>
      <c r="AM939">
        <f>IF(Table1820[[#This Row],[Good Student Discount]]="Yes",'Rate Book'!$D$126,1)</f>
        <v>0.92</v>
      </c>
      <c r="AN939">
        <f>IF(Table1820[[#This Row],[Good Driver Discount]]="Yes",'Rate Book'!$D$127,1)</f>
        <v>1</v>
      </c>
      <c r="AO939">
        <f>IF(Table1820[[#This Row],[Multi Policy Discount]]="Yes",'Rate Book'!$D$128,1)</f>
        <v>1</v>
      </c>
      <c r="AP939">
        <f>IF(Table1820[[#This Row],[Loyal Customer Discount]]="Yes",'Rate Book'!$D$129,1)</f>
        <v>1</v>
      </c>
      <c r="AQ939">
        <f>IF(Table1820[[#This Row],[Organization Discount]]="Yes",'Rate Book'!$D$130,1)</f>
        <v>1</v>
      </c>
      <c r="AR939" cm="1">
        <f t="array" ref="AR939">IF(Table1820[[#This Row],[Effective Date]]&gt;=RateChangeTable[Effective Date],RateChangeTable[Rate Change Factor],1)</f>
        <v>1</v>
      </c>
      <c r="AS939" s="10">
        <f>PRODUCT(Table1820[[#This Row],[Base Rate]:[Rate Change Factor]])</f>
        <v>1219.6663217667117</v>
      </c>
      <c r="AT939" s="9">
        <f>Table1820[[#This Row],[System-Generated Premium]]-Table1820[[#This Row],[Expected Premium]]</f>
        <v>0</v>
      </c>
      <c r="AU939" t="str">
        <f>IF(Table1820[[#This Row],[Difference]]=0,"PASS","FAIL")</f>
        <v>PASS</v>
      </c>
      <c r="AV939" s="9">
        <f>ABS(Table1820[[#This Row],[Difference]])</f>
        <v>0</v>
      </c>
      <c r="AW939" s="9" t="s">
        <v>1136</v>
      </c>
    </row>
    <row r="940" spans="1:49" x14ac:dyDescent="0.3">
      <c r="A940" t="s">
        <v>1031</v>
      </c>
      <c r="B940" s="7">
        <v>45881</v>
      </c>
      <c r="C940" t="s">
        <v>71</v>
      </c>
      <c r="D940" t="s">
        <v>1097</v>
      </c>
      <c r="E940" s="3">
        <v>1</v>
      </c>
      <c r="F940" s="3">
        <v>1</v>
      </c>
      <c r="G940" t="s">
        <v>11</v>
      </c>
      <c r="H940" t="s">
        <v>1107</v>
      </c>
      <c r="I940" t="s">
        <v>44</v>
      </c>
      <c r="J940" t="s">
        <v>54</v>
      </c>
      <c r="K940" t="s">
        <v>10</v>
      </c>
      <c r="L940" t="s">
        <v>10</v>
      </c>
      <c r="M940" t="s">
        <v>10</v>
      </c>
      <c r="N940" t="s">
        <v>10</v>
      </c>
      <c r="O940" t="str">
        <f>INDEX(CoverageTable[Deductible Applies],MATCH(Table1820[[#This Row],[Coverage]],CoverageTable[Coverage],0))</f>
        <v>Yes</v>
      </c>
      <c r="P940" t="str">
        <f>INDEX(CoverageTable[Coverage Limit Applies],MATCH(Table1820[[#This Row],[Coverage]],CoverageTable[Coverage],0))</f>
        <v>No</v>
      </c>
      <c r="Q940" t="s">
        <v>80</v>
      </c>
      <c r="R940" t="s">
        <v>10</v>
      </c>
      <c r="S940" t="s">
        <v>10</v>
      </c>
      <c r="T940" t="s">
        <v>57</v>
      </c>
      <c r="U940" t="s">
        <v>10</v>
      </c>
      <c r="V940" t="s">
        <v>10</v>
      </c>
      <c r="W940" t="s">
        <v>10</v>
      </c>
      <c r="X940" s="11">
        <v>2607.15</v>
      </c>
      <c r="Y940">
        <f>_xlfn.XLOOKUP(Table1820[[#This Row],[Coverage]],CoverageTable[Coverage],CoverageTable[Base Rate],,0)</f>
        <v>453</v>
      </c>
      <c r="Z940">
        <f>INDEX(Table16[Ageband Factor],MATCH(Table1820[[#This Row],[Ageband]],Table16[Ageband],0))</f>
        <v>1.32</v>
      </c>
      <c r="AA940">
        <f>VLOOKUP(Table1820[[#This Row],[Years Driving]],Table1[],2)</f>
        <v>1.64</v>
      </c>
      <c r="AB940">
        <f>_xlfn.XLOOKUP(Table1820[[#This Row],[At Fault Accidents]],Table2[At Fault Accidents],Table2[At Fault Accident Factor],,0)</f>
        <v>1.34</v>
      </c>
      <c r="AC940">
        <f>_xlfn.XLOOKUP(Table1820[[#This Row],[Usage-Based Insurance]],Table3[Usage-Based Insurance],Table3[Usage-Based Insurance Discount],,0)</f>
        <v>0.95</v>
      </c>
      <c r="AD940">
        <f>_xlfn.XLOOKUP(Table1820[[#This Row],[Yearly Miles]],Table4[Yearly Miles],Table4[Yearly Miles Factor],,0)</f>
        <v>0.93</v>
      </c>
      <c r="AE940">
        <f>_xlfn.XLOOKUP(Table1820[[#This Row],[City/Zip Code]],Table5[City/Zip Code],Table5[City/Zip Code Factor],,0)</f>
        <v>1.1599999999999999</v>
      </c>
      <c r="AF940">
        <f>_xlfn.XLOOKUP(Table1820[[#This Row],[Vehicle Price]],Table6[Vehicle Price],Table6[Vehicle Price Factor])</f>
        <v>2.87</v>
      </c>
      <c r="AG940">
        <f>_xlfn.XLOOKUP(Table1820[[#This Row],[Exotic Car]],Table7[Exotic Car],Table7[Exotic Car Factor],,0)</f>
        <v>1</v>
      </c>
      <c r="AH940">
        <f>_xlfn.XLOOKUP(Table1820[[#This Row],[Difficult Parts]],Table8[Difficult Parts],Table8[Difficult Parts Factor],,0)</f>
        <v>1</v>
      </c>
      <c r="AI940">
        <f>_xlfn.XLOOKUP(Table1820[[#This Row],[High Theft Rate]],Table9[High Theft Rate],Table9[High Theft Rate Factor],,0)</f>
        <v>1</v>
      </c>
      <c r="AJ940">
        <f>_xlfn.XLOOKUP(Table1820[[#This Row],[Advanced Safety Features]],Table10[Advanced Safety Features],Table10[Advanced Safety Features Factor],,0)</f>
        <v>1</v>
      </c>
      <c r="AK940">
        <f>_xlfn.XLOOKUP(Table1820[[#This Row],[Deductible]],Table12[Deductible],Table12[Deductible Factor],,0)</f>
        <v>0.72</v>
      </c>
      <c r="AL940">
        <f>_xlfn.XLOOKUP(Table1820[[#This Row],[Coverage Limit]],Table13[Coverage Limit],Table13[Coverage Limit Factor],,0)</f>
        <v>1</v>
      </c>
      <c r="AM940">
        <f>IF(Table1820[[#This Row],[Good Student Discount]]="Yes",'Rate Book'!$D$126,1)</f>
        <v>1</v>
      </c>
      <c r="AN940">
        <f>IF(Table1820[[#This Row],[Good Driver Discount]]="Yes",'Rate Book'!$D$127,1)</f>
        <v>0.89</v>
      </c>
      <c r="AO940">
        <f>IF(Table1820[[#This Row],[Multi Policy Discount]]="Yes",'Rate Book'!$D$128,1)</f>
        <v>1</v>
      </c>
      <c r="AP940">
        <f>IF(Table1820[[#This Row],[Loyal Customer Discount]]="Yes",'Rate Book'!$D$129,1)</f>
        <v>1</v>
      </c>
      <c r="AQ940">
        <f>IF(Table1820[[#This Row],[Organization Discount]]="Yes",'Rate Book'!$D$130,1)</f>
        <v>1</v>
      </c>
      <c r="AR940" cm="1">
        <f t="array" ref="AR940">IF(Table1820[[#This Row],[Effective Date]]&gt;=RateChangeTable[Effective Date],RateChangeTable[Rate Change Factor],1)</f>
        <v>1</v>
      </c>
      <c r="AS940" s="10">
        <f>PRODUCT(Table1820[[#This Row],[Base Rate]:[Rate Change Factor]])</f>
        <v>2476.7930623053285</v>
      </c>
      <c r="AT940" s="9">
        <f>Table1820[[#This Row],[System-Generated Premium]]-Table1820[[#This Row],[Expected Premium]]</f>
        <v>130.35693769467161</v>
      </c>
      <c r="AU940" t="str">
        <f>IF(Table1820[[#This Row],[Difference]]=0,"PASS","FAIL")</f>
        <v>FAIL</v>
      </c>
      <c r="AV940" s="9">
        <f>ABS(Table1820[[#This Row],[Difference]])</f>
        <v>130.35693769467161</v>
      </c>
      <c r="AW940" s="9" t="s">
        <v>1145</v>
      </c>
    </row>
    <row r="941" spans="1:49" x14ac:dyDescent="0.3">
      <c r="A941" t="s">
        <v>1032</v>
      </c>
      <c r="B941" s="7">
        <v>45900</v>
      </c>
      <c r="C941" t="s">
        <v>71</v>
      </c>
      <c r="D941" t="s">
        <v>1100</v>
      </c>
      <c r="E941" s="3" t="s">
        <v>1103</v>
      </c>
      <c r="F941" s="3">
        <v>0</v>
      </c>
      <c r="G941" t="s">
        <v>12</v>
      </c>
      <c r="H941" t="s">
        <v>1106</v>
      </c>
      <c r="I941" t="s">
        <v>28</v>
      </c>
      <c r="J941" t="s">
        <v>49</v>
      </c>
      <c r="K941" t="s">
        <v>10</v>
      </c>
      <c r="L941" t="s">
        <v>10</v>
      </c>
      <c r="M941" t="s">
        <v>57</v>
      </c>
      <c r="N941" t="s">
        <v>57</v>
      </c>
      <c r="O941" t="str">
        <f>INDEX(CoverageTable[Deductible Applies],MATCH(Table1820[[#This Row],[Coverage]],CoverageTable[Coverage],0))</f>
        <v>Yes</v>
      </c>
      <c r="P941" t="str">
        <f>INDEX(CoverageTable[Coverage Limit Applies],MATCH(Table1820[[#This Row],[Coverage]],CoverageTable[Coverage],0))</f>
        <v>No</v>
      </c>
      <c r="Q941" t="s">
        <v>78</v>
      </c>
      <c r="R941" t="s">
        <v>10</v>
      </c>
      <c r="S941" t="s">
        <v>57</v>
      </c>
      <c r="T941" t="s">
        <v>57</v>
      </c>
      <c r="U941" t="s">
        <v>10</v>
      </c>
      <c r="V941" t="s">
        <v>10</v>
      </c>
      <c r="W941" t="s">
        <v>10</v>
      </c>
      <c r="X941" s="11">
        <v>216.37456503068253</v>
      </c>
      <c r="Y941">
        <f>_xlfn.XLOOKUP(Table1820[[#This Row],[Coverage]],CoverageTable[Coverage],CoverageTable[Base Rate],,0)</f>
        <v>453</v>
      </c>
      <c r="Z941">
        <f>INDEX(Table16[Ageband Factor],MATCH(Table1820[[#This Row],[Ageband]],Table16[Ageband],0))</f>
        <v>1.07</v>
      </c>
      <c r="AA941">
        <f>VLOOKUP(Table1820[[#This Row],[Years Driving]],Table1[],2)</f>
        <v>0.93</v>
      </c>
      <c r="AB941">
        <f>_xlfn.XLOOKUP(Table1820[[#This Row],[At Fault Accidents]],Table2[At Fault Accidents],Table2[At Fault Accident Factor],,0)</f>
        <v>1</v>
      </c>
      <c r="AC941">
        <f>_xlfn.XLOOKUP(Table1820[[#This Row],[Usage-Based Insurance]],Table3[Usage-Based Insurance],Table3[Usage-Based Insurance Discount],,0)</f>
        <v>0.8</v>
      </c>
      <c r="AD941">
        <f>_xlfn.XLOOKUP(Table1820[[#This Row],[Yearly Miles]],Table4[Yearly Miles],Table4[Yearly Miles Factor],,0)</f>
        <v>0.82</v>
      </c>
      <c r="AE941">
        <f>_xlfn.XLOOKUP(Table1820[[#This Row],[City/Zip Code]],Table5[City/Zip Code],Table5[City/Zip Code Factor],,0)</f>
        <v>0.95</v>
      </c>
      <c r="AF941">
        <f>_xlfn.XLOOKUP(Table1820[[#This Row],[Vehicle Price]],Table6[Vehicle Price],Table6[Vehicle Price Factor])</f>
        <v>0.97</v>
      </c>
      <c r="AG941">
        <f>_xlfn.XLOOKUP(Table1820[[#This Row],[Exotic Car]],Table7[Exotic Car],Table7[Exotic Car Factor],,0)</f>
        <v>1</v>
      </c>
      <c r="AH941">
        <f>_xlfn.XLOOKUP(Table1820[[#This Row],[Difficult Parts]],Table8[Difficult Parts],Table8[Difficult Parts Factor],,0)</f>
        <v>1</v>
      </c>
      <c r="AI941">
        <f>_xlfn.XLOOKUP(Table1820[[#This Row],[High Theft Rate]],Table9[High Theft Rate],Table9[High Theft Rate Factor],,0)</f>
        <v>1.1599999999999999</v>
      </c>
      <c r="AJ941">
        <f>_xlfn.XLOOKUP(Table1820[[#This Row],[Advanced Safety Features]],Table10[Advanced Safety Features],Table10[Advanced Safety Features Factor],,0)</f>
        <v>0.88</v>
      </c>
      <c r="AK941">
        <f>_xlfn.XLOOKUP(Table1820[[#This Row],[Deductible]],Table12[Deductible],Table12[Deductible Factor],,0)</f>
        <v>0.95</v>
      </c>
      <c r="AL941">
        <f>_xlfn.XLOOKUP(Table1820[[#This Row],[Coverage Limit]],Table13[Coverage Limit],Table13[Coverage Limit Factor],,0)</f>
        <v>1</v>
      </c>
      <c r="AM941">
        <f>IF(Table1820[[#This Row],[Good Student Discount]]="Yes",'Rate Book'!$D$126,1)</f>
        <v>0.92</v>
      </c>
      <c r="AN941">
        <f>IF(Table1820[[#This Row],[Good Driver Discount]]="Yes",'Rate Book'!$D$127,1)</f>
        <v>0.89</v>
      </c>
      <c r="AO941">
        <f>IF(Table1820[[#This Row],[Multi Policy Discount]]="Yes",'Rate Book'!$D$128,1)</f>
        <v>1</v>
      </c>
      <c r="AP941">
        <f>IF(Table1820[[#This Row],[Loyal Customer Discount]]="Yes",'Rate Book'!$D$129,1)</f>
        <v>1</v>
      </c>
      <c r="AQ941">
        <f>IF(Table1820[[#This Row],[Organization Discount]]="Yes",'Rate Book'!$D$130,1)</f>
        <v>1</v>
      </c>
      <c r="AR941" cm="1">
        <f t="array" ref="AR941">IF(Table1820[[#This Row],[Effective Date]]&gt;=RateChangeTable[Effective Date],RateChangeTable[Rate Change Factor],1)</f>
        <v>1</v>
      </c>
      <c r="AS941" s="10">
        <f>PRODUCT(Table1820[[#This Row],[Base Rate]:[Rate Change Factor]])</f>
        <v>216.37456503068253</v>
      </c>
      <c r="AT941" s="9">
        <f>Table1820[[#This Row],[System-Generated Premium]]-Table1820[[#This Row],[Expected Premium]]</f>
        <v>0</v>
      </c>
      <c r="AU941" t="str">
        <f>IF(Table1820[[#This Row],[Difference]]=0,"PASS","FAIL")</f>
        <v>PASS</v>
      </c>
      <c r="AV941" s="9">
        <f>ABS(Table1820[[#This Row],[Difference]])</f>
        <v>0</v>
      </c>
      <c r="AW941" s="9" t="s">
        <v>1136</v>
      </c>
    </row>
    <row r="942" spans="1:49" x14ac:dyDescent="0.3">
      <c r="A942" t="s">
        <v>1033</v>
      </c>
      <c r="B942" s="7">
        <v>45860</v>
      </c>
      <c r="C942" t="s">
        <v>71</v>
      </c>
      <c r="D942" t="s">
        <v>1098</v>
      </c>
      <c r="E942" s="3">
        <v>4</v>
      </c>
      <c r="F942" s="3">
        <v>2</v>
      </c>
      <c r="G942" t="s">
        <v>10</v>
      </c>
      <c r="H942" t="s">
        <v>1106</v>
      </c>
      <c r="I942" t="s">
        <v>43</v>
      </c>
      <c r="J942" t="s">
        <v>50</v>
      </c>
      <c r="K942" t="s">
        <v>10</v>
      </c>
      <c r="L942" t="s">
        <v>10</v>
      </c>
      <c r="M942" t="s">
        <v>57</v>
      </c>
      <c r="N942" t="s">
        <v>10</v>
      </c>
      <c r="O942" t="str">
        <f>INDEX(CoverageTable[Deductible Applies],MATCH(Table1820[[#This Row],[Coverage]],CoverageTable[Coverage],0))</f>
        <v>Yes</v>
      </c>
      <c r="P942" t="str">
        <f>INDEX(CoverageTable[Coverage Limit Applies],MATCH(Table1820[[#This Row],[Coverage]],CoverageTable[Coverage],0))</f>
        <v>No</v>
      </c>
      <c r="Q942" t="s">
        <v>80</v>
      </c>
      <c r="R942" t="s">
        <v>10</v>
      </c>
      <c r="S942" t="s">
        <v>10</v>
      </c>
      <c r="T942" t="s">
        <v>57</v>
      </c>
      <c r="U942" t="s">
        <v>57</v>
      </c>
      <c r="V942" t="s">
        <v>10</v>
      </c>
      <c r="W942" t="s">
        <v>10</v>
      </c>
      <c r="X942" s="11">
        <v>717.49009174155367</v>
      </c>
      <c r="Y942">
        <f>_xlfn.XLOOKUP(Table1820[[#This Row],[Coverage]],CoverageTable[Coverage],CoverageTable[Base Rate],,0)</f>
        <v>453</v>
      </c>
      <c r="Z942">
        <f>INDEX(Table16[Ageband Factor],MATCH(Table1820[[#This Row],[Ageband]],Table16[Ageband],0))</f>
        <v>1.23</v>
      </c>
      <c r="AA942">
        <f>VLOOKUP(Table1820[[#This Row],[Years Driving]],Table1[],2)</f>
        <v>1.1499999999999999</v>
      </c>
      <c r="AB942">
        <f>_xlfn.XLOOKUP(Table1820[[#This Row],[At Fault Accidents]],Table2[At Fault Accidents],Table2[At Fault Accident Factor],,0)</f>
        <v>1.55</v>
      </c>
      <c r="AC942">
        <f>_xlfn.XLOOKUP(Table1820[[#This Row],[Usage-Based Insurance]],Table3[Usage-Based Insurance],Table3[Usage-Based Insurance Discount],,0)</f>
        <v>1</v>
      </c>
      <c r="AD942">
        <f>_xlfn.XLOOKUP(Table1820[[#This Row],[Yearly Miles]],Table4[Yearly Miles],Table4[Yearly Miles Factor],,0)</f>
        <v>0.82</v>
      </c>
      <c r="AE942">
        <f>_xlfn.XLOOKUP(Table1820[[#This Row],[City/Zip Code]],Table5[City/Zip Code],Table5[City/Zip Code Factor],,0)</f>
        <v>1.18</v>
      </c>
      <c r="AF942">
        <f>_xlfn.XLOOKUP(Table1820[[#This Row],[Vehicle Price]],Table6[Vehicle Price],Table6[Vehicle Price Factor])</f>
        <v>1.08</v>
      </c>
      <c r="AG942">
        <f>_xlfn.XLOOKUP(Table1820[[#This Row],[Exotic Car]],Table7[Exotic Car],Table7[Exotic Car Factor],,0)</f>
        <v>1</v>
      </c>
      <c r="AH942">
        <f>_xlfn.XLOOKUP(Table1820[[#This Row],[Difficult Parts]],Table8[Difficult Parts],Table8[Difficult Parts Factor],,0)</f>
        <v>1</v>
      </c>
      <c r="AI942">
        <f>_xlfn.XLOOKUP(Table1820[[#This Row],[High Theft Rate]],Table9[High Theft Rate],Table9[High Theft Rate Factor],,0)</f>
        <v>1.1599999999999999</v>
      </c>
      <c r="AJ942">
        <f>_xlfn.XLOOKUP(Table1820[[#This Row],[Advanced Safety Features]],Table10[Advanced Safety Features],Table10[Advanced Safety Features Factor],,0)</f>
        <v>1</v>
      </c>
      <c r="AK942">
        <f>_xlfn.XLOOKUP(Table1820[[#This Row],[Deductible]],Table12[Deductible],Table12[Deductible Factor],,0)</f>
        <v>0.72</v>
      </c>
      <c r="AL942">
        <f>_xlfn.XLOOKUP(Table1820[[#This Row],[Coverage Limit]],Table13[Coverage Limit],Table13[Coverage Limit Factor],,0)</f>
        <v>1</v>
      </c>
      <c r="AM942">
        <f>IF(Table1820[[#This Row],[Good Student Discount]]="Yes",'Rate Book'!$D$126,1)</f>
        <v>1</v>
      </c>
      <c r="AN942">
        <f>IF(Table1820[[#This Row],[Good Driver Discount]]="Yes",'Rate Book'!$D$127,1)</f>
        <v>0.89</v>
      </c>
      <c r="AO942">
        <f>IF(Table1820[[#This Row],[Multi Policy Discount]]="Yes",'Rate Book'!$D$128,1)</f>
        <v>0.93</v>
      </c>
      <c r="AP942">
        <f>IF(Table1820[[#This Row],[Loyal Customer Discount]]="Yes",'Rate Book'!$D$129,1)</f>
        <v>1</v>
      </c>
      <c r="AQ942">
        <f>IF(Table1820[[#This Row],[Organization Discount]]="Yes",'Rate Book'!$D$130,1)</f>
        <v>1</v>
      </c>
      <c r="AR942" cm="1">
        <f t="array" ref="AR942">IF(Table1820[[#This Row],[Effective Date]]&gt;=RateChangeTable[Effective Date],RateChangeTable[Rate Change Factor],1)</f>
        <v>1</v>
      </c>
      <c r="AS942" s="10">
        <f>PRODUCT(Table1820[[#This Row],[Base Rate]:[Rate Change Factor]])</f>
        <v>717.49009174155367</v>
      </c>
      <c r="AT942" s="9">
        <f>Table1820[[#This Row],[System-Generated Premium]]-Table1820[[#This Row],[Expected Premium]]</f>
        <v>0</v>
      </c>
      <c r="AU942" t="str">
        <f>IF(Table1820[[#This Row],[Difference]]=0,"PASS","FAIL")</f>
        <v>PASS</v>
      </c>
      <c r="AV942" s="9">
        <f>ABS(Table1820[[#This Row],[Difference]])</f>
        <v>0</v>
      </c>
      <c r="AW942" s="9" t="s">
        <v>1136</v>
      </c>
    </row>
    <row r="943" spans="1:49" x14ac:dyDescent="0.3">
      <c r="A943" t="s">
        <v>1034</v>
      </c>
      <c r="B943" s="7">
        <v>46128</v>
      </c>
      <c r="C943" t="s">
        <v>74</v>
      </c>
      <c r="D943" t="s">
        <v>1102</v>
      </c>
      <c r="E943" s="3">
        <v>4</v>
      </c>
      <c r="F943" s="3">
        <v>1</v>
      </c>
      <c r="G943" t="s">
        <v>10</v>
      </c>
      <c r="H943" t="s">
        <v>1106</v>
      </c>
      <c r="I943" t="s">
        <v>29</v>
      </c>
      <c r="J943" t="s">
        <v>48</v>
      </c>
      <c r="K943" t="s">
        <v>10</v>
      </c>
      <c r="L943" t="s">
        <v>57</v>
      </c>
      <c r="M943" t="s">
        <v>10</v>
      </c>
      <c r="N943" t="s">
        <v>10</v>
      </c>
      <c r="O943" t="str">
        <f>INDEX(CoverageTable[Deductible Applies],MATCH(Table1820[[#This Row],[Coverage]],CoverageTable[Coverage],0))</f>
        <v>No</v>
      </c>
      <c r="P943" t="str">
        <f>INDEX(CoverageTable[Coverage Limit Applies],MATCH(Table1820[[#This Row],[Coverage]],CoverageTable[Coverage],0))</f>
        <v>Yes</v>
      </c>
      <c r="Q943" t="s">
        <v>10</v>
      </c>
      <c r="R943" t="s">
        <v>79</v>
      </c>
      <c r="S943" t="s">
        <v>10</v>
      </c>
      <c r="T943" t="s">
        <v>10</v>
      </c>
      <c r="U943" t="s">
        <v>10</v>
      </c>
      <c r="V943" t="s">
        <v>10</v>
      </c>
      <c r="W943" t="s">
        <v>10</v>
      </c>
      <c r="X943" s="11">
        <v>54.308542937641917</v>
      </c>
      <c r="Y943">
        <f>_xlfn.XLOOKUP(Table1820[[#This Row],[Coverage]],CoverageTable[Coverage],CoverageTable[Base Rate],,0)</f>
        <v>41</v>
      </c>
      <c r="Z943">
        <f>INDEX(Table16[Ageband Factor],MATCH(Table1820[[#This Row],[Ageband]],Table16[Ageband],0))</f>
        <v>1.27</v>
      </c>
      <c r="AA943">
        <f>VLOOKUP(Table1820[[#This Row],[Years Driving]],Table1[],2)</f>
        <v>1.1499999999999999</v>
      </c>
      <c r="AB943">
        <f>_xlfn.XLOOKUP(Table1820[[#This Row],[At Fault Accidents]],Table2[At Fault Accidents],Table2[At Fault Accident Factor],,0)</f>
        <v>1.34</v>
      </c>
      <c r="AC943">
        <f>_xlfn.XLOOKUP(Table1820[[#This Row],[Usage-Based Insurance]],Table3[Usage-Based Insurance],Table3[Usage-Based Insurance Discount],,0)</f>
        <v>1</v>
      </c>
      <c r="AD943">
        <f>_xlfn.XLOOKUP(Table1820[[#This Row],[Yearly Miles]],Table4[Yearly Miles],Table4[Yearly Miles Factor],,0)</f>
        <v>0.82</v>
      </c>
      <c r="AE943">
        <f>_xlfn.XLOOKUP(Table1820[[#This Row],[City/Zip Code]],Table5[City/Zip Code],Table5[City/Zip Code Factor],,0)</f>
        <v>1.0900000000000001</v>
      </c>
      <c r="AF943">
        <f>_xlfn.XLOOKUP(Table1820[[#This Row],[Vehicle Price]],Table6[Vehicle Price],Table6[Vehicle Price Factor])</f>
        <v>0.82</v>
      </c>
      <c r="AG943">
        <f>_xlfn.XLOOKUP(Table1820[[#This Row],[Exotic Car]],Table7[Exotic Car],Table7[Exotic Car Factor],,0)</f>
        <v>1</v>
      </c>
      <c r="AH943">
        <f>_xlfn.XLOOKUP(Table1820[[#This Row],[Difficult Parts]],Table8[Difficult Parts],Table8[Difficult Parts Factor],,0)</f>
        <v>1.21</v>
      </c>
      <c r="AI943">
        <f>_xlfn.XLOOKUP(Table1820[[#This Row],[High Theft Rate]],Table9[High Theft Rate],Table9[High Theft Rate Factor],,0)</f>
        <v>1</v>
      </c>
      <c r="AJ943">
        <f>_xlfn.XLOOKUP(Table1820[[#This Row],[Advanced Safety Features]],Table10[Advanced Safety Features],Table10[Advanced Safety Features Factor],,0)</f>
        <v>1</v>
      </c>
      <c r="AK943">
        <f>_xlfn.XLOOKUP(Table1820[[#This Row],[Deductible]],Table12[Deductible],Table12[Deductible Factor],,0)</f>
        <v>1</v>
      </c>
      <c r="AL943">
        <f>_xlfn.XLOOKUP(Table1820[[#This Row],[Coverage Limit]],Table13[Coverage Limit],Table13[Coverage Limit Factor],,0)</f>
        <v>0.72</v>
      </c>
      <c r="AM943">
        <f>IF(Table1820[[#This Row],[Good Student Discount]]="Yes",'Rate Book'!$D$126,1)</f>
        <v>1</v>
      </c>
      <c r="AN943">
        <f>IF(Table1820[[#This Row],[Good Driver Discount]]="Yes",'Rate Book'!$D$127,1)</f>
        <v>1</v>
      </c>
      <c r="AO943">
        <f>IF(Table1820[[#This Row],[Multi Policy Discount]]="Yes",'Rate Book'!$D$128,1)</f>
        <v>1</v>
      </c>
      <c r="AP943">
        <f>IF(Table1820[[#This Row],[Loyal Customer Discount]]="Yes",'Rate Book'!$D$129,1)</f>
        <v>1</v>
      </c>
      <c r="AQ943">
        <f>IF(Table1820[[#This Row],[Organization Discount]]="Yes",'Rate Book'!$D$130,1)</f>
        <v>1</v>
      </c>
      <c r="AR943" cm="1">
        <f t="array" ref="AR943">IF(Table1820[[#This Row],[Effective Date]]&gt;=RateChangeTable[Effective Date],RateChangeTable[Rate Change Factor],1)</f>
        <v>1.06</v>
      </c>
      <c r="AS943" s="10">
        <f>PRODUCT(Table1820[[#This Row],[Base Rate]:[Rate Change Factor]])</f>
        <v>54.308542937641917</v>
      </c>
      <c r="AT943" s="9">
        <f>Table1820[[#This Row],[System-Generated Premium]]-Table1820[[#This Row],[Expected Premium]]</f>
        <v>0</v>
      </c>
      <c r="AU943" t="str">
        <f>IF(Table1820[[#This Row],[Difference]]=0,"PASS","FAIL")</f>
        <v>PASS</v>
      </c>
      <c r="AV943" s="9">
        <f>ABS(Table1820[[#This Row],[Difference]])</f>
        <v>0</v>
      </c>
      <c r="AW943" s="9" t="s">
        <v>1136</v>
      </c>
    </row>
    <row r="944" spans="1:49" x14ac:dyDescent="0.3">
      <c r="A944" t="s">
        <v>1035</v>
      </c>
      <c r="B944" s="7">
        <v>45876</v>
      </c>
      <c r="C944" t="s">
        <v>73</v>
      </c>
      <c r="D944" t="s">
        <v>1101</v>
      </c>
      <c r="E944" s="3">
        <v>6</v>
      </c>
      <c r="F944" s="3">
        <v>0</v>
      </c>
      <c r="G944" t="s">
        <v>12</v>
      </c>
      <c r="H944" t="s">
        <v>1106</v>
      </c>
      <c r="I944" t="s">
        <v>25</v>
      </c>
      <c r="J944" t="s">
        <v>52</v>
      </c>
      <c r="K944" t="s">
        <v>10</v>
      </c>
      <c r="L944" t="s">
        <v>10</v>
      </c>
      <c r="M944" t="s">
        <v>10</v>
      </c>
      <c r="N944" t="s">
        <v>57</v>
      </c>
      <c r="O944" t="str">
        <f>INDEX(CoverageTable[Deductible Applies],MATCH(Table1820[[#This Row],[Coverage]],CoverageTable[Coverage],0))</f>
        <v>No</v>
      </c>
      <c r="P944" t="str">
        <f>INDEX(CoverageTable[Coverage Limit Applies],MATCH(Table1820[[#This Row],[Coverage]],CoverageTable[Coverage],0))</f>
        <v>Yes</v>
      </c>
      <c r="Q944" t="s">
        <v>10</v>
      </c>
      <c r="R944" t="s">
        <v>78</v>
      </c>
      <c r="S944" t="s">
        <v>10</v>
      </c>
      <c r="T944" t="s">
        <v>10</v>
      </c>
      <c r="U944" t="s">
        <v>10</v>
      </c>
      <c r="V944" t="s">
        <v>10</v>
      </c>
      <c r="W944" t="s">
        <v>10</v>
      </c>
      <c r="X944" s="11">
        <v>56.025612548505613</v>
      </c>
      <c r="Y944">
        <f>_xlfn.XLOOKUP(Table1820[[#This Row],[Coverage]],CoverageTable[Coverage],CoverageTable[Base Rate],,0)</f>
        <v>78</v>
      </c>
      <c r="Z944">
        <f>INDEX(Table16[Ageband Factor],MATCH(Table1820[[#This Row],[Ageband]],Table16[Ageband],0))</f>
        <v>1.1200000000000001</v>
      </c>
      <c r="AA944">
        <f>VLOOKUP(Table1820[[#This Row],[Years Driving]],Table1[],2)</f>
        <v>1</v>
      </c>
      <c r="AB944">
        <f>_xlfn.XLOOKUP(Table1820[[#This Row],[At Fault Accidents]],Table2[At Fault Accidents],Table2[At Fault Accident Factor],,0)</f>
        <v>1</v>
      </c>
      <c r="AC944">
        <f>_xlfn.XLOOKUP(Table1820[[#This Row],[Usage-Based Insurance]],Table3[Usage-Based Insurance],Table3[Usage-Based Insurance Discount],,0)</f>
        <v>0.8</v>
      </c>
      <c r="AD944">
        <f>_xlfn.XLOOKUP(Table1820[[#This Row],[Yearly Miles]],Table4[Yearly Miles],Table4[Yearly Miles Factor],,0)</f>
        <v>0.82</v>
      </c>
      <c r="AE944">
        <f>_xlfn.XLOOKUP(Table1820[[#This Row],[City/Zip Code]],Table5[City/Zip Code],Table5[City/Zip Code Factor],,0)</f>
        <v>1.1599999999999999</v>
      </c>
      <c r="AF944">
        <f>_xlfn.XLOOKUP(Table1820[[#This Row],[Vehicle Price]],Table6[Vehicle Price],Table6[Vehicle Price Factor])</f>
        <v>1.57</v>
      </c>
      <c r="AG944">
        <f>_xlfn.XLOOKUP(Table1820[[#This Row],[Exotic Car]],Table7[Exotic Car],Table7[Exotic Car Factor],,0)</f>
        <v>1</v>
      </c>
      <c r="AH944">
        <f>_xlfn.XLOOKUP(Table1820[[#This Row],[Difficult Parts]],Table8[Difficult Parts],Table8[Difficult Parts Factor],,0)</f>
        <v>1</v>
      </c>
      <c r="AI944">
        <f>_xlfn.XLOOKUP(Table1820[[#This Row],[High Theft Rate]],Table9[High Theft Rate],Table9[High Theft Rate Factor],,0)</f>
        <v>1</v>
      </c>
      <c r="AJ944">
        <f>_xlfn.XLOOKUP(Table1820[[#This Row],[Advanced Safety Features]],Table10[Advanced Safety Features],Table10[Advanced Safety Features Factor],,0)</f>
        <v>0.88</v>
      </c>
      <c r="AK944">
        <f>_xlfn.XLOOKUP(Table1820[[#This Row],[Deductible]],Table12[Deductible],Table12[Deductible Factor],,0)</f>
        <v>1</v>
      </c>
      <c r="AL944">
        <f>_xlfn.XLOOKUP(Table1820[[#This Row],[Coverage Limit]],Table13[Coverage Limit],Table13[Coverage Limit Factor],,0)</f>
        <v>0.61</v>
      </c>
      <c r="AM944">
        <f>IF(Table1820[[#This Row],[Good Student Discount]]="Yes",'Rate Book'!$D$126,1)</f>
        <v>1</v>
      </c>
      <c r="AN944">
        <f>IF(Table1820[[#This Row],[Good Driver Discount]]="Yes",'Rate Book'!$D$127,1)</f>
        <v>1</v>
      </c>
      <c r="AO944">
        <f>IF(Table1820[[#This Row],[Multi Policy Discount]]="Yes",'Rate Book'!$D$128,1)</f>
        <v>1</v>
      </c>
      <c r="AP944">
        <f>IF(Table1820[[#This Row],[Loyal Customer Discount]]="Yes",'Rate Book'!$D$129,1)</f>
        <v>1</v>
      </c>
      <c r="AQ944">
        <f>IF(Table1820[[#This Row],[Organization Discount]]="Yes",'Rate Book'!$D$130,1)</f>
        <v>1</v>
      </c>
      <c r="AR944" cm="1">
        <f t="array" ref="AR944">IF(Table1820[[#This Row],[Effective Date]]&gt;=RateChangeTable[Effective Date],RateChangeTable[Rate Change Factor],1)</f>
        <v>1</v>
      </c>
      <c r="AS944" s="10">
        <f>PRODUCT(Table1820[[#This Row],[Base Rate]:[Rate Change Factor]])</f>
        <v>56.025612548505613</v>
      </c>
      <c r="AT944" s="9">
        <f>Table1820[[#This Row],[System-Generated Premium]]-Table1820[[#This Row],[Expected Premium]]</f>
        <v>0</v>
      </c>
      <c r="AU944" t="str">
        <f>IF(Table1820[[#This Row],[Difference]]=0,"PASS","FAIL")</f>
        <v>PASS</v>
      </c>
      <c r="AV944" s="9">
        <f>ABS(Table1820[[#This Row],[Difference]])</f>
        <v>0</v>
      </c>
      <c r="AW944" s="9" t="s">
        <v>1136</v>
      </c>
    </row>
    <row r="945" spans="1:49" x14ac:dyDescent="0.3">
      <c r="A945" t="s">
        <v>1036</v>
      </c>
      <c r="B945" s="7">
        <v>45910</v>
      </c>
      <c r="C945" t="s">
        <v>71</v>
      </c>
      <c r="D945" t="s">
        <v>1102</v>
      </c>
      <c r="E945" s="3">
        <v>5</v>
      </c>
      <c r="F945" s="3">
        <v>1</v>
      </c>
      <c r="G945" t="s">
        <v>13</v>
      </c>
      <c r="H945" t="s">
        <v>1109</v>
      </c>
      <c r="I945" t="s">
        <v>38</v>
      </c>
      <c r="J945" t="s">
        <v>54</v>
      </c>
      <c r="K945" t="s">
        <v>57</v>
      </c>
      <c r="L945" t="s">
        <v>10</v>
      </c>
      <c r="M945" t="s">
        <v>10</v>
      </c>
      <c r="N945" t="s">
        <v>57</v>
      </c>
      <c r="O945" t="str">
        <f>INDEX(CoverageTable[Deductible Applies],MATCH(Table1820[[#This Row],[Coverage]],CoverageTable[Coverage],0))</f>
        <v>Yes</v>
      </c>
      <c r="P945" t="str">
        <f>INDEX(CoverageTable[Coverage Limit Applies],MATCH(Table1820[[#This Row],[Coverage]],CoverageTable[Coverage],0))</f>
        <v>No</v>
      </c>
      <c r="Q945" t="s">
        <v>79</v>
      </c>
      <c r="R945" t="s">
        <v>10</v>
      </c>
      <c r="S945" t="s">
        <v>10</v>
      </c>
      <c r="T945" t="s">
        <v>57</v>
      </c>
      <c r="U945" t="s">
        <v>57</v>
      </c>
      <c r="V945" t="s">
        <v>10</v>
      </c>
      <c r="W945" t="s">
        <v>57</v>
      </c>
      <c r="X945" s="11">
        <v>1544.9072088866458</v>
      </c>
      <c r="Y945">
        <f>_xlfn.XLOOKUP(Table1820[[#This Row],[Coverage]],CoverageTable[Coverage],CoverageTable[Base Rate],,0)</f>
        <v>453</v>
      </c>
      <c r="Z945">
        <f>INDEX(Table16[Ageband Factor],MATCH(Table1820[[#This Row],[Ageband]],Table16[Ageband],0))</f>
        <v>1.27</v>
      </c>
      <c r="AA945">
        <f>VLOOKUP(Table1820[[#This Row],[Years Driving]],Table1[],2)</f>
        <v>1.07</v>
      </c>
      <c r="AB945">
        <f>_xlfn.XLOOKUP(Table1820[[#This Row],[At Fault Accidents]],Table2[At Fault Accidents],Table2[At Fault Accident Factor],,0)</f>
        <v>1.34</v>
      </c>
      <c r="AC945">
        <f>_xlfn.XLOOKUP(Table1820[[#This Row],[Usage-Based Insurance]],Table3[Usage-Based Insurance],Table3[Usage-Based Insurance Discount],,0)</f>
        <v>0.65</v>
      </c>
      <c r="AD945">
        <f>_xlfn.XLOOKUP(Table1820[[#This Row],[Yearly Miles]],Table4[Yearly Miles],Table4[Yearly Miles Factor],,0)</f>
        <v>1.18</v>
      </c>
      <c r="AE945">
        <f>_xlfn.XLOOKUP(Table1820[[#This Row],[City/Zip Code]],Table5[City/Zip Code],Table5[City/Zip Code Factor],,0)</f>
        <v>1.1200000000000001</v>
      </c>
      <c r="AF945">
        <f>_xlfn.XLOOKUP(Table1820[[#This Row],[Vehicle Price]],Table6[Vehicle Price],Table6[Vehicle Price Factor])</f>
        <v>2.87</v>
      </c>
      <c r="AG945">
        <f>_xlfn.XLOOKUP(Table1820[[#This Row],[Exotic Car]],Table7[Exotic Car],Table7[Exotic Car Factor],,0)</f>
        <v>1.28</v>
      </c>
      <c r="AH945">
        <f>_xlfn.XLOOKUP(Table1820[[#This Row],[Difficult Parts]],Table8[Difficult Parts],Table8[Difficult Parts Factor],,0)</f>
        <v>1</v>
      </c>
      <c r="AI945">
        <f>_xlfn.XLOOKUP(Table1820[[#This Row],[High Theft Rate]],Table9[High Theft Rate],Table9[High Theft Rate Factor],,0)</f>
        <v>1</v>
      </c>
      <c r="AJ945">
        <f>_xlfn.XLOOKUP(Table1820[[#This Row],[Advanced Safety Features]],Table10[Advanced Safety Features],Table10[Advanced Safety Features Factor],,0)</f>
        <v>0.88</v>
      </c>
      <c r="AK945">
        <f>_xlfn.XLOOKUP(Table1820[[#This Row],[Deductible]],Table12[Deductible],Table12[Deductible Factor],,0)</f>
        <v>0.84</v>
      </c>
      <c r="AL945">
        <f>_xlfn.XLOOKUP(Table1820[[#This Row],[Coverage Limit]],Table13[Coverage Limit],Table13[Coverage Limit Factor],,0)</f>
        <v>1</v>
      </c>
      <c r="AM945">
        <f>IF(Table1820[[#This Row],[Good Student Discount]]="Yes",'Rate Book'!$D$126,1)</f>
        <v>1</v>
      </c>
      <c r="AN945">
        <f>IF(Table1820[[#This Row],[Good Driver Discount]]="Yes",'Rate Book'!$D$127,1)</f>
        <v>0.89</v>
      </c>
      <c r="AO945">
        <f>IF(Table1820[[#This Row],[Multi Policy Discount]]="Yes",'Rate Book'!$D$128,1)</f>
        <v>0.93</v>
      </c>
      <c r="AP945">
        <f>IF(Table1820[[#This Row],[Loyal Customer Discount]]="Yes",'Rate Book'!$D$129,1)</f>
        <v>1</v>
      </c>
      <c r="AQ945">
        <f>IF(Table1820[[#This Row],[Organization Discount]]="Yes",'Rate Book'!$D$130,1)</f>
        <v>0.97</v>
      </c>
      <c r="AR945" cm="1">
        <f t="array" ref="AR945">IF(Table1820[[#This Row],[Effective Date]]&gt;=RateChangeTable[Effective Date],RateChangeTable[Rate Change Factor],1)</f>
        <v>1</v>
      </c>
      <c r="AS945" s="10">
        <f>PRODUCT(Table1820[[#This Row],[Base Rate]:[Rate Change Factor]])</f>
        <v>1544.9072088866458</v>
      </c>
      <c r="AT945" s="9">
        <f>Table1820[[#This Row],[System-Generated Premium]]-Table1820[[#This Row],[Expected Premium]]</f>
        <v>0</v>
      </c>
      <c r="AU945" t="str">
        <f>IF(Table1820[[#This Row],[Difference]]=0,"PASS","FAIL")</f>
        <v>PASS</v>
      </c>
      <c r="AV945" s="9">
        <f>ABS(Table1820[[#This Row],[Difference]])</f>
        <v>0</v>
      </c>
      <c r="AW945" s="9" t="s">
        <v>1136</v>
      </c>
    </row>
    <row r="946" spans="1:49" x14ac:dyDescent="0.3">
      <c r="A946" t="s">
        <v>1037</v>
      </c>
      <c r="B946" s="7">
        <v>46085</v>
      </c>
      <c r="C946" t="s">
        <v>70</v>
      </c>
      <c r="D946" t="s">
        <v>1097</v>
      </c>
      <c r="E946" s="3" t="s">
        <v>1103</v>
      </c>
      <c r="F946" s="3">
        <v>1</v>
      </c>
      <c r="G946" t="s">
        <v>12</v>
      </c>
      <c r="H946" t="s">
        <v>1109</v>
      </c>
      <c r="I946" t="s">
        <v>38</v>
      </c>
      <c r="J946" t="s">
        <v>53</v>
      </c>
      <c r="K946" t="s">
        <v>10</v>
      </c>
      <c r="L946" t="s">
        <v>10</v>
      </c>
      <c r="M946" t="s">
        <v>10</v>
      </c>
      <c r="N946" t="s">
        <v>10</v>
      </c>
      <c r="O946" t="str">
        <f>INDEX(CoverageTable[Deductible Applies],MATCH(Table1820[[#This Row],[Coverage]],CoverageTable[Coverage],0))</f>
        <v>No</v>
      </c>
      <c r="P946" t="str">
        <f>INDEX(CoverageTable[Coverage Limit Applies],MATCH(Table1820[[#This Row],[Coverage]],CoverageTable[Coverage],0))</f>
        <v>Yes</v>
      </c>
      <c r="Q946" t="s">
        <v>10</v>
      </c>
      <c r="R946" t="s">
        <v>80</v>
      </c>
      <c r="S946" t="s">
        <v>10</v>
      </c>
      <c r="T946" t="s">
        <v>57</v>
      </c>
      <c r="U946" t="s">
        <v>10</v>
      </c>
      <c r="V946" t="s">
        <v>10</v>
      </c>
      <c r="W946" t="s">
        <v>10</v>
      </c>
      <c r="X946" s="11">
        <v>1731.6838521703153</v>
      </c>
      <c r="Y946">
        <f>_xlfn.XLOOKUP(Table1820[[#This Row],[Coverage]],CoverageTable[Coverage],CoverageTable[Base Rate],,0)</f>
        <v>622</v>
      </c>
      <c r="Z946">
        <f>INDEX(Table16[Ageband Factor],MATCH(Table1820[[#This Row],[Ageband]],Table16[Ageband],0))</f>
        <v>1.32</v>
      </c>
      <c r="AA946">
        <f>VLOOKUP(Table1820[[#This Row],[Years Driving]],Table1[],2)</f>
        <v>0.93</v>
      </c>
      <c r="AB946">
        <f>_xlfn.XLOOKUP(Table1820[[#This Row],[At Fault Accidents]],Table2[At Fault Accidents],Table2[At Fault Accident Factor],,0)</f>
        <v>1.34</v>
      </c>
      <c r="AC946">
        <f>_xlfn.XLOOKUP(Table1820[[#This Row],[Usage-Based Insurance]],Table3[Usage-Based Insurance],Table3[Usage-Based Insurance Discount],,0)</f>
        <v>0.8</v>
      </c>
      <c r="AD946">
        <f>_xlfn.XLOOKUP(Table1820[[#This Row],[Yearly Miles]],Table4[Yearly Miles],Table4[Yearly Miles Factor],,0)</f>
        <v>1.18</v>
      </c>
      <c r="AE946">
        <f>_xlfn.XLOOKUP(Table1820[[#This Row],[City/Zip Code]],Table5[City/Zip Code],Table5[City/Zip Code Factor],,0)</f>
        <v>1.1200000000000001</v>
      </c>
      <c r="AF946">
        <f>_xlfn.XLOOKUP(Table1820[[#This Row],[Vehicle Price]],Table6[Vehicle Price],Table6[Vehicle Price Factor])</f>
        <v>2.02</v>
      </c>
      <c r="AG946">
        <f>_xlfn.XLOOKUP(Table1820[[#This Row],[Exotic Car]],Table7[Exotic Car],Table7[Exotic Car Factor],,0)</f>
        <v>1</v>
      </c>
      <c r="AH946">
        <f>_xlfn.XLOOKUP(Table1820[[#This Row],[Difficult Parts]],Table8[Difficult Parts],Table8[Difficult Parts Factor],,0)</f>
        <v>1</v>
      </c>
      <c r="AI946">
        <f>_xlfn.XLOOKUP(Table1820[[#This Row],[High Theft Rate]],Table9[High Theft Rate],Table9[High Theft Rate Factor],,0)</f>
        <v>1</v>
      </c>
      <c r="AJ946">
        <f>_xlfn.XLOOKUP(Table1820[[#This Row],[Advanced Safety Features]],Table10[Advanced Safety Features],Table10[Advanced Safety Features Factor],,0)</f>
        <v>1</v>
      </c>
      <c r="AK946">
        <f>_xlfn.XLOOKUP(Table1820[[#This Row],[Deductible]],Table12[Deductible],Table12[Deductible Factor],,0)</f>
        <v>1</v>
      </c>
      <c r="AL946">
        <f>_xlfn.XLOOKUP(Table1820[[#This Row],[Coverage Limit]],Table13[Coverage Limit],Table13[Coverage Limit Factor],,0)</f>
        <v>0.84</v>
      </c>
      <c r="AM946">
        <f>IF(Table1820[[#This Row],[Good Student Discount]]="Yes",'Rate Book'!$D$126,1)</f>
        <v>1</v>
      </c>
      <c r="AN946">
        <f>IF(Table1820[[#This Row],[Good Driver Discount]]="Yes",'Rate Book'!$D$127,1)</f>
        <v>0.89</v>
      </c>
      <c r="AO946">
        <f>IF(Table1820[[#This Row],[Multi Policy Discount]]="Yes",'Rate Book'!$D$128,1)</f>
        <v>1</v>
      </c>
      <c r="AP946">
        <f>IF(Table1820[[#This Row],[Loyal Customer Discount]]="Yes",'Rate Book'!$D$129,1)</f>
        <v>1</v>
      </c>
      <c r="AQ946">
        <f>IF(Table1820[[#This Row],[Organization Discount]]="Yes",'Rate Book'!$D$130,1)</f>
        <v>1</v>
      </c>
      <c r="AR946" cm="1">
        <f t="array" ref="AR946">IF(Table1820[[#This Row],[Effective Date]]&gt;=RateChangeTable[Effective Date],RateChangeTable[Rate Change Factor],1)</f>
        <v>1.06</v>
      </c>
      <c r="AS946" s="10">
        <f>PRODUCT(Table1820[[#This Row],[Base Rate]:[Rate Change Factor]])</f>
        <v>1731.6838521703153</v>
      </c>
      <c r="AT946" s="9">
        <f>Table1820[[#This Row],[System-Generated Premium]]-Table1820[[#This Row],[Expected Premium]]</f>
        <v>0</v>
      </c>
      <c r="AU946" t="str">
        <f>IF(Table1820[[#This Row],[Difference]]=0,"PASS","FAIL")</f>
        <v>PASS</v>
      </c>
      <c r="AV946" s="9">
        <f>ABS(Table1820[[#This Row],[Difference]])</f>
        <v>0</v>
      </c>
      <c r="AW946" s="9" t="s">
        <v>1136</v>
      </c>
    </row>
    <row r="947" spans="1:49" x14ac:dyDescent="0.3">
      <c r="A947" t="s">
        <v>1038</v>
      </c>
      <c r="B947" s="7">
        <v>46094</v>
      </c>
      <c r="C947" t="s">
        <v>71</v>
      </c>
      <c r="D947" t="s">
        <v>1100</v>
      </c>
      <c r="E947" s="3" t="s">
        <v>1103</v>
      </c>
      <c r="F947" s="3">
        <v>3</v>
      </c>
      <c r="G947" t="s">
        <v>10</v>
      </c>
      <c r="H947" t="s">
        <v>1107</v>
      </c>
      <c r="I947" t="s">
        <v>28</v>
      </c>
      <c r="J947" t="s">
        <v>52</v>
      </c>
      <c r="K947" t="s">
        <v>10</v>
      </c>
      <c r="L947" t="s">
        <v>10</v>
      </c>
      <c r="M947" t="s">
        <v>10</v>
      </c>
      <c r="N947" t="s">
        <v>10</v>
      </c>
      <c r="O947" t="str">
        <f>INDEX(CoverageTable[Deductible Applies],MATCH(Table1820[[#This Row],[Coverage]],CoverageTable[Coverage],0))</f>
        <v>Yes</v>
      </c>
      <c r="P947" t="str">
        <f>INDEX(CoverageTable[Coverage Limit Applies],MATCH(Table1820[[#This Row],[Coverage]],CoverageTable[Coverage],0))</f>
        <v>No</v>
      </c>
      <c r="Q947" t="s">
        <v>79</v>
      </c>
      <c r="R947" t="s">
        <v>10</v>
      </c>
      <c r="S947" t="s">
        <v>10</v>
      </c>
      <c r="T947" t="s">
        <v>10</v>
      </c>
      <c r="U947" t="s">
        <v>10</v>
      </c>
      <c r="V947" t="s">
        <v>10</v>
      </c>
      <c r="W947" t="s">
        <v>10</v>
      </c>
      <c r="X947" s="11">
        <v>1013.2758076230908</v>
      </c>
      <c r="Y947">
        <f>_xlfn.XLOOKUP(Table1820[[#This Row],[Coverage]],CoverageTable[Coverage],CoverageTable[Base Rate],,0)</f>
        <v>453</v>
      </c>
      <c r="Z947">
        <f>INDEX(Table16[Ageband Factor],MATCH(Table1820[[#This Row],[Ageband]],Table16[Ageband],0))</f>
        <v>1.07</v>
      </c>
      <c r="AA947">
        <f>VLOOKUP(Table1820[[#This Row],[Years Driving]],Table1[],2)</f>
        <v>0.93</v>
      </c>
      <c r="AB947">
        <f>_xlfn.XLOOKUP(Table1820[[#This Row],[At Fault Accidents]],Table2[At Fault Accidents],Table2[At Fault Accident Factor],,0)</f>
        <v>1.82</v>
      </c>
      <c r="AC947">
        <f>_xlfn.XLOOKUP(Table1820[[#This Row],[Usage-Based Insurance]],Table3[Usage-Based Insurance],Table3[Usage-Based Insurance Discount],,0)</f>
        <v>1</v>
      </c>
      <c r="AD947">
        <f>_xlfn.XLOOKUP(Table1820[[#This Row],[Yearly Miles]],Table4[Yearly Miles],Table4[Yearly Miles Factor],,0)</f>
        <v>0.93</v>
      </c>
      <c r="AE947">
        <f>_xlfn.XLOOKUP(Table1820[[#This Row],[City/Zip Code]],Table5[City/Zip Code],Table5[City/Zip Code Factor],,0)</f>
        <v>0.95</v>
      </c>
      <c r="AF947">
        <f>_xlfn.XLOOKUP(Table1820[[#This Row],[Vehicle Price]],Table6[Vehicle Price],Table6[Vehicle Price Factor])</f>
        <v>1.57</v>
      </c>
      <c r="AG947">
        <f>_xlfn.XLOOKUP(Table1820[[#This Row],[Exotic Car]],Table7[Exotic Car],Table7[Exotic Car Factor],,0)</f>
        <v>1</v>
      </c>
      <c r="AH947">
        <f>_xlfn.XLOOKUP(Table1820[[#This Row],[Difficult Parts]],Table8[Difficult Parts],Table8[Difficult Parts Factor],,0)</f>
        <v>1</v>
      </c>
      <c r="AI947">
        <f>_xlfn.XLOOKUP(Table1820[[#This Row],[High Theft Rate]],Table9[High Theft Rate],Table9[High Theft Rate Factor],,0)</f>
        <v>1</v>
      </c>
      <c r="AJ947">
        <f>_xlfn.XLOOKUP(Table1820[[#This Row],[Advanced Safety Features]],Table10[Advanced Safety Features],Table10[Advanced Safety Features Factor],,0)</f>
        <v>1</v>
      </c>
      <c r="AK947">
        <f>_xlfn.XLOOKUP(Table1820[[#This Row],[Deductible]],Table12[Deductible],Table12[Deductible Factor],,0)</f>
        <v>0.84</v>
      </c>
      <c r="AL947">
        <f>_xlfn.XLOOKUP(Table1820[[#This Row],[Coverage Limit]],Table13[Coverage Limit],Table13[Coverage Limit Factor],,0)</f>
        <v>1</v>
      </c>
      <c r="AM947">
        <f>IF(Table1820[[#This Row],[Good Student Discount]]="Yes",'Rate Book'!$D$126,1)</f>
        <v>1</v>
      </c>
      <c r="AN947">
        <f>IF(Table1820[[#This Row],[Good Driver Discount]]="Yes",'Rate Book'!$D$127,1)</f>
        <v>1</v>
      </c>
      <c r="AO947">
        <f>IF(Table1820[[#This Row],[Multi Policy Discount]]="Yes",'Rate Book'!$D$128,1)</f>
        <v>1</v>
      </c>
      <c r="AP947">
        <f>IF(Table1820[[#This Row],[Loyal Customer Discount]]="Yes",'Rate Book'!$D$129,1)</f>
        <v>1</v>
      </c>
      <c r="AQ947">
        <f>IF(Table1820[[#This Row],[Organization Discount]]="Yes",'Rate Book'!$D$130,1)</f>
        <v>1</v>
      </c>
      <c r="AR947" cm="1">
        <f t="array" ref="AR947">IF(Table1820[[#This Row],[Effective Date]]&gt;=RateChangeTable[Effective Date],RateChangeTable[Rate Change Factor],1)</f>
        <v>1.06</v>
      </c>
      <c r="AS947" s="10">
        <f>PRODUCT(Table1820[[#This Row],[Base Rate]:[Rate Change Factor]])</f>
        <v>1013.2758076230908</v>
      </c>
      <c r="AT947" s="9">
        <f>Table1820[[#This Row],[System-Generated Premium]]-Table1820[[#This Row],[Expected Premium]]</f>
        <v>0</v>
      </c>
      <c r="AU947" t="str">
        <f>IF(Table1820[[#This Row],[Difference]]=0,"PASS","FAIL")</f>
        <v>PASS</v>
      </c>
      <c r="AV947" s="9">
        <f>ABS(Table1820[[#This Row],[Difference]])</f>
        <v>0</v>
      </c>
      <c r="AW947" s="9" t="s">
        <v>1136</v>
      </c>
    </row>
    <row r="948" spans="1:49" x14ac:dyDescent="0.3">
      <c r="A948" t="s">
        <v>1039</v>
      </c>
      <c r="B948" s="7">
        <v>45896</v>
      </c>
      <c r="C948" t="s">
        <v>73</v>
      </c>
      <c r="D948" t="s">
        <v>1097</v>
      </c>
      <c r="E948" s="3">
        <v>7</v>
      </c>
      <c r="F948" s="3">
        <v>2</v>
      </c>
      <c r="G948" t="s">
        <v>10</v>
      </c>
      <c r="H948" t="s">
        <v>1110</v>
      </c>
      <c r="I948" t="s">
        <v>40</v>
      </c>
      <c r="J948" t="s">
        <v>50</v>
      </c>
      <c r="K948" t="s">
        <v>10</v>
      </c>
      <c r="L948" t="s">
        <v>10</v>
      </c>
      <c r="M948" t="s">
        <v>10</v>
      </c>
      <c r="N948" t="s">
        <v>57</v>
      </c>
      <c r="O948" t="str">
        <f>INDEX(CoverageTable[Deductible Applies],MATCH(Table1820[[#This Row],[Coverage]],CoverageTable[Coverage],0))</f>
        <v>No</v>
      </c>
      <c r="P948" t="str">
        <f>INDEX(CoverageTable[Coverage Limit Applies],MATCH(Table1820[[#This Row],[Coverage]],CoverageTable[Coverage],0))</f>
        <v>Yes</v>
      </c>
      <c r="Q948" t="s">
        <v>10</v>
      </c>
      <c r="R948" t="s">
        <v>79</v>
      </c>
      <c r="S948" t="s">
        <v>10</v>
      </c>
      <c r="T948" t="s">
        <v>10</v>
      </c>
      <c r="U948" t="s">
        <v>10</v>
      </c>
      <c r="V948" t="s">
        <v>10</v>
      </c>
      <c r="W948" t="s">
        <v>10</v>
      </c>
      <c r="X948" s="11">
        <v>148.13598003190276</v>
      </c>
      <c r="Y948">
        <f>_xlfn.XLOOKUP(Table1820[[#This Row],[Coverage]],CoverageTable[Coverage],CoverageTable[Base Rate],,0)</f>
        <v>78</v>
      </c>
      <c r="Z948">
        <f>INDEX(Table16[Ageband Factor],MATCH(Table1820[[#This Row],[Ageband]],Table16[Ageband],0))</f>
        <v>1.32</v>
      </c>
      <c r="AA948">
        <f>VLOOKUP(Table1820[[#This Row],[Years Driving]],Table1[],2)</f>
        <v>0.95</v>
      </c>
      <c r="AB948">
        <f>_xlfn.XLOOKUP(Table1820[[#This Row],[At Fault Accidents]],Table2[At Fault Accidents],Table2[At Fault Accident Factor],,0)</f>
        <v>1.55</v>
      </c>
      <c r="AC948">
        <f>_xlfn.XLOOKUP(Table1820[[#This Row],[Usage-Based Insurance]],Table3[Usage-Based Insurance],Table3[Usage-Based Insurance Discount],,0)</f>
        <v>1</v>
      </c>
      <c r="AD948">
        <f>_xlfn.XLOOKUP(Table1820[[#This Row],[Yearly Miles]],Table4[Yearly Miles],Table4[Yearly Miles Factor],,0)</f>
        <v>1.31</v>
      </c>
      <c r="AE948">
        <f>_xlfn.XLOOKUP(Table1820[[#This Row],[City/Zip Code]],Table5[City/Zip Code],Table5[City/Zip Code Factor],,0)</f>
        <v>1.0900000000000001</v>
      </c>
      <c r="AF948">
        <f>_xlfn.XLOOKUP(Table1820[[#This Row],[Vehicle Price]],Table6[Vehicle Price],Table6[Vehicle Price Factor])</f>
        <v>1.08</v>
      </c>
      <c r="AG948">
        <f>_xlfn.XLOOKUP(Table1820[[#This Row],[Exotic Car]],Table7[Exotic Car],Table7[Exotic Car Factor],,0)</f>
        <v>1</v>
      </c>
      <c r="AH948">
        <f>_xlfn.XLOOKUP(Table1820[[#This Row],[Difficult Parts]],Table8[Difficult Parts],Table8[Difficult Parts Factor],,0)</f>
        <v>1</v>
      </c>
      <c r="AI948">
        <f>_xlfn.XLOOKUP(Table1820[[#This Row],[High Theft Rate]],Table9[High Theft Rate],Table9[High Theft Rate Factor],,0)</f>
        <v>1</v>
      </c>
      <c r="AJ948">
        <f>_xlfn.XLOOKUP(Table1820[[#This Row],[Advanced Safety Features]],Table10[Advanced Safety Features],Table10[Advanced Safety Features Factor],,0)</f>
        <v>0.88</v>
      </c>
      <c r="AK948">
        <f>_xlfn.XLOOKUP(Table1820[[#This Row],[Deductible]],Table12[Deductible],Table12[Deductible Factor],,0)</f>
        <v>1</v>
      </c>
      <c r="AL948">
        <f>_xlfn.XLOOKUP(Table1820[[#This Row],[Coverage Limit]],Table13[Coverage Limit],Table13[Coverage Limit Factor],,0)</f>
        <v>0.72</v>
      </c>
      <c r="AM948">
        <f>IF(Table1820[[#This Row],[Good Student Discount]]="Yes",'Rate Book'!$D$126,1)</f>
        <v>1</v>
      </c>
      <c r="AN948">
        <f>IF(Table1820[[#This Row],[Good Driver Discount]]="Yes",'Rate Book'!$D$127,1)</f>
        <v>1</v>
      </c>
      <c r="AO948">
        <f>IF(Table1820[[#This Row],[Multi Policy Discount]]="Yes",'Rate Book'!$D$128,1)</f>
        <v>1</v>
      </c>
      <c r="AP948">
        <f>IF(Table1820[[#This Row],[Loyal Customer Discount]]="Yes",'Rate Book'!$D$129,1)</f>
        <v>1</v>
      </c>
      <c r="AQ948">
        <f>IF(Table1820[[#This Row],[Organization Discount]]="Yes",'Rate Book'!$D$130,1)</f>
        <v>1</v>
      </c>
      <c r="AR948" cm="1">
        <f t="array" ref="AR948">IF(Table1820[[#This Row],[Effective Date]]&gt;=RateChangeTable[Effective Date],RateChangeTable[Rate Change Factor],1)</f>
        <v>1</v>
      </c>
      <c r="AS948" s="10">
        <f>PRODUCT(Table1820[[#This Row],[Base Rate]:[Rate Change Factor]])</f>
        <v>148.13598003190276</v>
      </c>
      <c r="AT948" s="9">
        <f>Table1820[[#This Row],[System-Generated Premium]]-Table1820[[#This Row],[Expected Premium]]</f>
        <v>0</v>
      </c>
      <c r="AU948" t="str">
        <f>IF(Table1820[[#This Row],[Difference]]=0,"PASS","FAIL")</f>
        <v>PASS</v>
      </c>
      <c r="AV948" s="9">
        <f>ABS(Table1820[[#This Row],[Difference]])</f>
        <v>0</v>
      </c>
      <c r="AW948" s="9" t="s">
        <v>1136</v>
      </c>
    </row>
    <row r="949" spans="1:49" x14ac:dyDescent="0.3">
      <c r="A949" t="s">
        <v>1040</v>
      </c>
      <c r="B949" s="7">
        <v>45936</v>
      </c>
      <c r="C949" t="s">
        <v>73</v>
      </c>
      <c r="D949" t="s">
        <v>1099</v>
      </c>
      <c r="E949" s="3">
        <v>5</v>
      </c>
      <c r="F949" s="3">
        <v>0</v>
      </c>
      <c r="G949" t="s">
        <v>10</v>
      </c>
      <c r="H949" t="s">
        <v>1106</v>
      </c>
      <c r="I949" t="s">
        <v>28</v>
      </c>
      <c r="J949" t="s">
        <v>54</v>
      </c>
      <c r="K949" t="s">
        <v>10</v>
      </c>
      <c r="L949" t="s">
        <v>57</v>
      </c>
      <c r="M949" t="s">
        <v>10</v>
      </c>
      <c r="N949" t="s">
        <v>57</v>
      </c>
      <c r="O949" t="str">
        <f>INDEX(CoverageTable[Deductible Applies],MATCH(Table1820[[#This Row],[Coverage]],CoverageTable[Coverage],0))</f>
        <v>No</v>
      </c>
      <c r="P949" t="str">
        <f>INDEX(CoverageTable[Coverage Limit Applies],MATCH(Table1820[[#This Row],[Coverage]],CoverageTable[Coverage],0))</f>
        <v>Yes</v>
      </c>
      <c r="Q949" t="s">
        <v>10</v>
      </c>
      <c r="R949" t="s">
        <v>80</v>
      </c>
      <c r="S949" t="s">
        <v>10</v>
      </c>
      <c r="T949" t="s">
        <v>57</v>
      </c>
      <c r="U949" t="s">
        <v>10</v>
      </c>
      <c r="V949" t="s">
        <v>10</v>
      </c>
      <c r="W949" t="s">
        <v>10</v>
      </c>
      <c r="X949" s="11">
        <v>148.53714423906757</v>
      </c>
      <c r="Y949">
        <f>_xlfn.XLOOKUP(Table1820[[#This Row],[Coverage]],CoverageTable[Coverage],CoverageTable[Base Rate],,0)</f>
        <v>78</v>
      </c>
      <c r="Z949">
        <f>INDEX(Table16[Ageband Factor],MATCH(Table1820[[#This Row],[Ageband]],Table16[Ageband],0))</f>
        <v>1</v>
      </c>
      <c r="AA949">
        <f>VLOOKUP(Table1820[[#This Row],[Years Driving]],Table1[],2)</f>
        <v>1.07</v>
      </c>
      <c r="AB949">
        <f>_xlfn.XLOOKUP(Table1820[[#This Row],[At Fault Accidents]],Table2[At Fault Accidents],Table2[At Fault Accident Factor],,0)</f>
        <v>1</v>
      </c>
      <c r="AC949">
        <f>_xlfn.XLOOKUP(Table1820[[#This Row],[Usage-Based Insurance]],Table3[Usage-Based Insurance],Table3[Usage-Based Insurance Discount],,0)</f>
        <v>1</v>
      </c>
      <c r="AD949">
        <f>_xlfn.XLOOKUP(Table1820[[#This Row],[Yearly Miles]],Table4[Yearly Miles],Table4[Yearly Miles Factor],,0)</f>
        <v>0.82</v>
      </c>
      <c r="AE949">
        <f>_xlfn.XLOOKUP(Table1820[[#This Row],[City/Zip Code]],Table5[City/Zip Code],Table5[City/Zip Code Factor],,0)</f>
        <v>0.95</v>
      </c>
      <c r="AF949">
        <f>_xlfn.XLOOKUP(Table1820[[#This Row],[Vehicle Price]],Table6[Vehicle Price],Table6[Vehicle Price Factor])</f>
        <v>2.87</v>
      </c>
      <c r="AG949">
        <f>_xlfn.XLOOKUP(Table1820[[#This Row],[Exotic Car]],Table7[Exotic Car],Table7[Exotic Car Factor],,0)</f>
        <v>1</v>
      </c>
      <c r="AH949">
        <f>_xlfn.XLOOKUP(Table1820[[#This Row],[Difficult Parts]],Table8[Difficult Parts],Table8[Difficult Parts Factor],,0)</f>
        <v>1.21</v>
      </c>
      <c r="AI949">
        <f>_xlfn.XLOOKUP(Table1820[[#This Row],[High Theft Rate]],Table9[High Theft Rate],Table9[High Theft Rate Factor],,0)</f>
        <v>1</v>
      </c>
      <c r="AJ949">
        <f>_xlfn.XLOOKUP(Table1820[[#This Row],[Advanced Safety Features]],Table10[Advanced Safety Features],Table10[Advanced Safety Features Factor],,0)</f>
        <v>0.88</v>
      </c>
      <c r="AK949">
        <f>_xlfn.XLOOKUP(Table1820[[#This Row],[Deductible]],Table12[Deductible],Table12[Deductible Factor],,0)</f>
        <v>1</v>
      </c>
      <c r="AL949">
        <f>_xlfn.XLOOKUP(Table1820[[#This Row],[Coverage Limit]],Table13[Coverage Limit],Table13[Coverage Limit Factor],,0)</f>
        <v>0.84</v>
      </c>
      <c r="AM949">
        <f>IF(Table1820[[#This Row],[Good Student Discount]]="Yes",'Rate Book'!$D$126,1)</f>
        <v>1</v>
      </c>
      <c r="AN949">
        <f>IF(Table1820[[#This Row],[Good Driver Discount]]="Yes",'Rate Book'!$D$127,1)</f>
        <v>0.89</v>
      </c>
      <c r="AO949">
        <f>IF(Table1820[[#This Row],[Multi Policy Discount]]="Yes",'Rate Book'!$D$128,1)</f>
        <v>1</v>
      </c>
      <c r="AP949">
        <f>IF(Table1820[[#This Row],[Loyal Customer Discount]]="Yes",'Rate Book'!$D$129,1)</f>
        <v>1</v>
      </c>
      <c r="AQ949">
        <f>IF(Table1820[[#This Row],[Organization Discount]]="Yes",'Rate Book'!$D$130,1)</f>
        <v>1</v>
      </c>
      <c r="AR949" cm="1">
        <f t="array" ref="AR949">IF(Table1820[[#This Row],[Effective Date]]&gt;=RateChangeTable[Effective Date],RateChangeTable[Rate Change Factor],1)</f>
        <v>1</v>
      </c>
      <c r="AS949" s="10">
        <f>PRODUCT(Table1820[[#This Row],[Base Rate]:[Rate Change Factor]])</f>
        <v>148.53714423906757</v>
      </c>
      <c r="AT949" s="9">
        <f>Table1820[[#This Row],[System-Generated Premium]]-Table1820[[#This Row],[Expected Premium]]</f>
        <v>0</v>
      </c>
      <c r="AU949" t="str">
        <f>IF(Table1820[[#This Row],[Difference]]=0,"PASS","FAIL")</f>
        <v>PASS</v>
      </c>
      <c r="AV949" s="9">
        <f>ABS(Table1820[[#This Row],[Difference]])</f>
        <v>0</v>
      </c>
      <c r="AW949" s="9" t="s">
        <v>1136</v>
      </c>
    </row>
    <row r="950" spans="1:49" x14ac:dyDescent="0.3">
      <c r="A950" t="s">
        <v>1041</v>
      </c>
      <c r="B950" s="7">
        <v>45990</v>
      </c>
      <c r="C950" t="s">
        <v>70</v>
      </c>
      <c r="D950" t="s">
        <v>1102</v>
      </c>
      <c r="E950" s="3">
        <v>4</v>
      </c>
      <c r="F950" s="3">
        <v>0</v>
      </c>
      <c r="G950" t="s">
        <v>12</v>
      </c>
      <c r="H950" t="s">
        <v>1106</v>
      </c>
      <c r="I950" t="s">
        <v>42</v>
      </c>
      <c r="J950" t="s">
        <v>51</v>
      </c>
      <c r="K950" t="s">
        <v>10</v>
      </c>
      <c r="L950" t="s">
        <v>57</v>
      </c>
      <c r="M950" t="s">
        <v>10</v>
      </c>
      <c r="N950" t="s">
        <v>57</v>
      </c>
      <c r="O950" t="str">
        <f>INDEX(CoverageTable[Deductible Applies],MATCH(Table1820[[#This Row],[Coverage]],CoverageTable[Coverage],0))</f>
        <v>No</v>
      </c>
      <c r="P950" t="str">
        <f>INDEX(CoverageTable[Coverage Limit Applies],MATCH(Table1820[[#This Row],[Coverage]],CoverageTable[Coverage],0))</f>
        <v>Yes</v>
      </c>
      <c r="Q950" t="s">
        <v>10</v>
      </c>
      <c r="R950" t="s">
        <v>79</v>
      </c>
      <c r="S950" t="s">
        <v>57</v>
      </c>
      <c r="T950" t="s">
        <v>10</v>
      </c>
      <c r="U950" t="s">
        <v>10</v>
      </c>
      <c r="V950" t="s">
        <v>57</v>
      </c>
      <c r="W950" t="s">
        <v>10</v>
      </c>
      <c r="X950" s="11">
        <v>611.93789068688864</v>
      </c>
      <c r="Y950">
        <f>_xlfn.XLOOKUP(Table1820[[#This Row],[Coverage]],CoverageTable[Coverage],CoverageTable[Base Rate],,0)</f>
        <v>622</v>
      </c>
      <c r="Z950">
        <f>INDEX(Table16[Ageband Factor],MATCH(Table1820[[#This Row],[Ageband]],Table16[Ageband],0))</f>
        <v>1.27</v>
      </c>
      <c r="AA950">
        <f>VLOOKUP(Table1820[[#This Row],[Years Driving]],Table1[],2)</f>
        <v>1.1499999999999999</v>
      </c>
      <c r="AB950">
        <f>_xlfn.XLOOKUP(Table1820[[#This Row],[At Fault Accidents]],Table2[At Fault Accidents],Table2[At Fault Accident Factor],,0)</f>
        <v>1</v>
      </c>
      <c r="AC950">
        <f>_xlfn.XLOOKUP(Table1820[[#This Row],[Usage-Based Insurance]],Table3[Usage-Based Insurance],Table3[Usage-Based Insurance Discount],,0)</f>
        <v>0.8</v>
      </c>
      <c r="AD950">
        <f>_xlfn.XLOOKUP(Table1820[[#This Row],[Yearly Miles]],Table4[Yearly Miles],Table4[Yearly Miles Factor],,0)</f>
        <v>0.82</v>
      </c>
      <c r="AE950">
        <f>_xlfn.XLOOKUP(Table1820[[#This Row],[City/Zip Code]],Table5[City/Zip Code],Table5[City/Zip Code Factor],,0)</f>
        <v>1.21</v>
      </c>
      <c r="AF950">
        <f>_xlfn.XLOOKUP(Table1820[[#This Row],[Vehicle Price]],Table6[Vehicle Price],Table6[Vehicle Price Factor])</f>
        <v>1.28</v>
      </c>
      <c r="AG950">
        <f>_xlfn.XLOOKUP(Table1820[[#This Row],[Exotic Car]],Table7[Exotic Car],Table7[Exotic Car Factor],,0)</f>
        <v>1</v>
      </c>
      <c r="AH950">
        <f>_xlfn.XLOOKUP(Table1820[[#This Row],[Difficult Parts]],Table8[Difficult Parts],Table8[Difficult Parts Factor],,0)</f>
        <v>1.21</v>
      </c>
      <c r="AI950">
        <f>_xlfn.XLOOKUP(Table1820[[#This Row],[High Theft Rate]],Table9[High Theft Rate],Table9[High Theft Rate Factor],,0)</f>
        <v>1</v>
      </c>
      <c r="AJ950">
        <f>_xlfn.XLOOKUP(Table1820[[#This Row],[Advanced Safety Features]],Table10[Advanced Safety Features],Table10[Advanced Safety Features Factor],,0)</f>
        <v>0.88</v>
      </c>
      <c r="AK950">
        <f>_xlfn.XLOOKUP(Table1820[[#This Row],[Deductible]],Table12[Deductible],Table12[Deductible Factor],,0)</f>
        <v>1</v>
      </c>
      <c r="AL950">
        <f>_xlfn.XLOOKUP(Table1820[[#This Row],[Coverage Limit]],Table13[Coverage Limit],Table13[Coverage Limit Factor],,0)</f>
        <v>0.72</v>
      </c>
      <c r="AM950">
        <f>IF(Table1820[[#This Row],[Good Student Discount]]="Yes",'Rate Book'!$D$126,1)</f>
        <v>0.92</v>
      </c>
      <c r="AN950">
        <f>IF(Table1820[[#This Row],[Good Driver Discount]]="Yes",'Rate Book'!$D$127,1)</f>
        <v>1</v>
      </c>
      <c r="AO950">
        <f>IF(Table1820[[#This Row],[Multi Policy Discount]]="Yes",'Rate Book'!$D$128,1)</f>
        <v>1</v>
      </c>
      <c r="AP950">
        <f>IF(Table1820[[#This Row],[Loyal Customer Discount]]="Yes",'Rate Book'!$D$129,1)</f>
        <v>0.94</v>
      </c>
      <c r="AQ950">
        <f>IF(Table1820[[#This Row],[Organization Discount]]="Yes",'Rate Book'!$D$130,1)</f>
        <v>1</v>
      </c>
      <c r="AR950" cm="1">
        <f t="array" ref="AR950">IF(Table1820[[#This Row],[Effective Date]]&gt;=RateChangeTable[Effective Date],RateChangeTable[Rate Change Factor],1)</f>
        <v>1</v>
      </c>
      <c r="AS950" s="10">
        <f>PRODUCT(Table1820[[#This Row],[Base Rate]:[Rate Change Factor]])</f>
        <v>611.93789068688864</v>
      </c>
      <c r="AT950" s="9">
        <f>Table1820[[#This Row],[System-Generated Premium]]-Table1820[[#This Row],[Expected Premium]]</f>
        <v>0</v>
      </c>
      <c r="AU950" t="str">
        <f>IF(Table1820[[#This Row],[Difference]]=0,"PASS","FAIL")</f>
        <v>PASS</v>
      </c>
      <c r="AV950" s="9">
        <f>ABS(Table1820[[#This Row],[Difference]])</f>
        <v>0</v>
      </c>
      <c r="AW950" s="9" t="s">
        <v>1136</v>
      </c>
    </row>
    <row r="951" spans="1:49" x14ac:dyDescent="0.3">
      <c r="A951" t="s">
        <v>1042</v>
      </c>
      <c r="B951" s="7">
        <v>46073</v>
      </c>
      <c r="C951" t="s">
        <v>70</v>
      </c>
      <c r="D951" t="s">
        <v>1102</v>
      </c>
      <c r="E951" s="3">
        <v>4</v>
      </c>
      <c r="F951" s="3">
        <v>3</v>
      </c>
      <c r="G951" t="s">
        <v>11</v>
      </c>
      <c r="H951" t="s">
        <v>1107</v>
      </c>
      <c r="I951" t="s">
        <v>29</v>
      </c>
      <c r="J951" t="s">
        <v>51</v>
      </c>
      <c r="K951" t="s">
        <v>10</v>
      </c>
      <c r="L951" t="s">
        <v>10</v>
      </c>
      <c r="M951" t="s">
        <v>10</v>
      </c>
      <c r="N951" t="s">
        <v>10</v>
      </c>
      <c r="O951" t="str">
        <f>INDEX(CoverageTable[Deductible Applies],MATCH(Table1820[[#This Row],[Coverage]],CoverageTable[Coverage],0))</f>
        <v>No</v>
      </c>
      <c r="P951" t="str">
        <f>INDEX(CoverageTable[Coverage Limit Applies],MATCH(Table1820[[#This Row],[Coverage]],CoverageTable[Coverage],0))</f>
        <v>Yes</v>
      </c>
      <c r="Q951" t="s">
        <v>10</v>
      </c>
      <c r="R951" t="s">
        <v>80</v>
      </c>
      <c r="S951" t="s">
        <v>57</v>
      </c>
      <c r="T951" t="s">
        <v>10</v>
      </c>
      <c r="U951" t="s">
        <v>57</v>
      </c>
      <c r="V951" t="s">
        <v>10</v>
      </c>
      <c r="W951" t="s">
        <v>10</v>
      </c>
      <c r="X951" s="11">
        <v>1552.6096554281246</v>
      </c>
      <c r="Y951">
        <f>_xlfn.XLOOKUP(Table1820[[#This Row],[Coverage]],CoverageTable[Coverage],CoverageTable[Base Rate],,0)</f>
        <v>622</v>
      </c>
      <c r="Z951">
        <f>INDEX(Table16[Ageband Factor],MATCH(Table1820[[#This Row],[Ageband]],Table16[Ageband],0))</f>
        <v>1.27</v>
      </c>
      <c r="AA951">
        <f>VLOOKUP(Table1820[[#This Row],[Years Driving]],Table1[],2)</f>
        <v>1.1499999999999999</v>
      </c>
      <c r="AB951">
        <f>_xlfn.XLOOKUP(Table1820[[#This Row],[At Fault Accidents]],Table2[At Fault Accidents],Table2[At Fault Accident Factor],,0)</f>
        <v>1.82</v>
      </c>
      <c r="AC951">
        <f>_xlfn.XLOOKUP(Table1820[[#This Row],[Usage-Based Insurance]],Table3[Usage-Based Insurance],Table3[Usage-Based Insurance Discount],,0)</f>
        <v>0.95</v>
      </c>
      <c r="AD951">
        <f>_xlfn.XLOOKUP(Table1820[[#This Row],[Yearly Miles]],Table4[Yearly Miles],Table4[Yearly Miles Factor],,0)</f>
        <v>0.93</v>
      </c>
      <c r="AE951">
        <f>_xlfn.XLOOKUP(Table1820[[#This Row],[City/Zip Code]],Table5[City/Zip Code],Table5[City/Zip Code Factor],,0)</f>
        <v>1.0900000000000001</v>
      </c>
      <c r="AF951">
        <f>_xlfn.XLOOKUP(Table1820[[#This Row],[Vehicle Price]],Table6[Vehicle Price],Table6[Vehicle Price Factor])</f>
        <v>1.28</v>
      </c>
      <c r="AG951">
        <f>_xlfn.XLOOKUP(Table1820[[#This Row],[Exotic Car]],Table7[Exotic Car],Table7[Exotic Car Factor],,0)</f>
        <v>1</v>
      </c>
      <c r="AH951">
        <f>_xlfn.XLOOKUP(Table1820[[#This Row],[Difficult Parts]],Table8[Difficult Parts],Table8[Difficult Parts Factor],,0)</f>
        <v>1</v>
      </c>
      <c r="AI951">
        <f>_xlfn.XLOOKUP(Table1820[[#This Row],[High Theft Rate]],Table9[High Theft Rate],Table9[High Theft Rate Factor],,0)</f>
        <v>1</v>
      </c>
      <c r="AJ951">
        <f>_xlfn.XLOOKUP(Table1820[[#This Row],[Advanced Safety Features]],Table10[Advanced Safety Features],Table10[Advanced Safety Features Factor],,0)</f>
        <v>1</v>
      </c>
      <c r="AK951">
        <f>_xlfn.XLOOKUP(Table1820[[#This Row],[Deductible]],Table12[Deductible],Table12[Deductible Factor],,0)</f>
        <v>1</v>
      </c>
      <c r="AL951">
        <f>_xlfn.XLOOKUP(Table1820[[#This Row],[Coverage Limit]],Table13[Coverage Limit],Table13[Coverage Limit Factor],,0)</f>
        <v>0.84</v>
      </c>
      <c r="AM951">
        <f>IF(Table1820[[#This Row],[Good Student Discount]]="Yes",'Rate Book'!$D$126,1)</f>
        <v>0.92</v>
      </c>
      <c r="AN951">
        <f>IF(Table1820[[#This Row],[Good Driver Discount]]="Yes",'Rate Book'!$D$127,1)</f>
        <v>1</v>
      </c>
      <c r="AO951">
        <f>IF(Table1820[[#This Row],[Multi Policy Discount]]="Yes",'Rate Book'!$D$128,1)</f>
        <v>0.93</v>
      </c>
      <c r="AP951">
        <f>IF(Table1820[[#This Row],[Loyal Customer Discount]]="Yes",'Rate Book'!$D$129,1)</f>
        <v>1</v>
      </c>
      <c r="AQ951">
        <f>IF(Table1820[[#This Row],[Organization Discount]]="Yes",'Rate Book'!$D$130,1)</f>
        <v>1</v>
      </c>
      <c r="AR951" cm="1">
        <f t="array" ref="AR951">IF(Table1820[[#This Row],[Effective Date]]&gt;=RateChangeTable[Effective Date],RateChangeTable[Rate Change Factor],1)</f>
        <v>1.06</v>
      </c>
      <c r="AS951" s="10">
        <f>PRODUCT(Table1820[[#This Row],[Base Rate]:[Rate Change Factor]])</f>
        <v>1552.6096554281246</v>
      </c>
      <c r="AT951" s="9">
        <f>Table1820[[#This Row],[System-Generated Premium]]-Table1820[[#This Row],[Expected Premium]]</f>
        <v>0</v>
      </c>
      <c r="AU951" t="str">
        <f>IF(Table1820[[#This Row],[Difference]]=0,"PASS","FAIL")</f>
        <v>PASS</v>
      </c>
      <c r="AV951" s="9">
        <f>ABS(Table1820[[#This Row],[Difference]])</f>
        <v>0</v>
      </c>
      <c r="AW951" s="9" t="s">
        <v>1136</v>
      </c>
    </row>
    <row r="952" spans="1:49" x14ac:dyDescent="0.3">
      <c r="A952" t="s">
        <v>1043</v>
      </c>
      <c r="B952" s="7">
        <v>45956</v>
      </c>
      <c r="C952" t="s">
        <v>71</v>
      </c>
      <c r="D952" t="s">
        <v>1099</v>
      </c>
      <c r="E952" s="3">
        <v>3</v>
      </c>
      <c r="F952" s="3">
        <v>1</v>
      </c>
      <c r="G952" t="s">
        <v>11</v>
      </c>
      <c r="H952" t="s">
        <v>1106</v>
      </c>
      <c r="I952" t="s">
        <v>37</v>
      </c>
      <c r="J952" t="s">
        <v>50</v>
      </c>
      <c r="K952" t="s">
        <v>10</v>
      </c>
      <c r="L952" t="s">
        <v>10</v>
      </c>
      <c r="M952" t="s">
        <v>10</v>
      </c>
      <c r="N952" t="s">
        <v>57</v>
      </c>
      <c r="O952" t="str">
        <f>INDEX(CoverageTable[Deductible Applies],MATCH(Table1820[[#This Row],[Coverage]],CoverageTable[Coverage],0))</f>
        <v>Yes</v>
      </c>
      <c r="P952" t="str">
        <f>INDEX(CoverageTable[Coverage Limit Applies],MATCH(Table1820[[#This Row],[Coverage]],CoverageTable[Coverage],0))</f>
        <v>No</v>
      </c>
      <c r="Q952" t="s">
        <v>79</v>
      </c>
      <c r="R952" t="s">
        <v>10</v>
      </c>
      <c r="S952" t="s">
        <v>10</v>
      </c>
      <c r="T952" t="s">
        <v>10</v>
      </c>
      <c r="U952" t="s">
        <v>10</v>
      </c>
      <c r="V952" t="s">
        <v>10</v>
      </c>
      <c r="W952" t="s">
        <v>10</v>
      </c>
      <c r="X952" s="11">
        <v>502.01015260609387</v>
      </c>
      <c r="Y952">
        <f>_xlfn.XLOOKUP(Table1820[[#This Row],[Coverage]],CoverageTable[Coverage],CoverageTable[Base Rate],,0)</f>
        <v>453</v>
      </c>
      <c r="Z952">
        <f>INDEX(Table16[Ageband Factor],MATCH(Table1820[[#This Row],[Ageband]],Table16[Ageband],0))</f>
        <v>1</v>
      </c>
      <c r="AA952">
        <f>VLOOKUP(Table1820[[#This Row],[Years Driving]],Table1[],2)</f>
        <v>1.22</v>
      </c>
      <c r="AB952">
        <f>_xlfn.XLOOKUP(Table1820[[#This Row],[At Fault Accidents]],Table2[At Fault Accidents],Table2[At Fault Accident Factor],,0)</f>
        <v>1.34</v>
      </c>
      <c r="AC952">
        <f>_xlfn.XLOOKUP(Table1820[[#This Row],[Usage-Based Insurance]],Table3[Usage-Based Insurance],Table3[Usage-Based Insurance Discount],,0)</f>
        <v>0.95</v>
      </c>
      <c r="AD952">
        <f>_xlfn.XLOOKUP(Table1820[[#This Row],[Yearly Miles]],Table4[Yearly Miles],Table4[Yearly Miles Factor],,0)</f>
        <v>0.82</v>
      </c>
      <c r="AE952">
        <f>_xlfn.XLOOKUP(Table1820[[#This Row],[City/Zip Code]],Table5[City/Zip Code],Table5[City/Zip Code Factor],,0)</f>
        <v>1.0900000000000001</v>
      </c>
      <c r="AF952">
        <f>_xlfn.XLOOKUP(Table1820[[#This Row],[Vehicle Price]],Table6[Vehicle Price],Table6[Vehicle Price Factor])</f>
        <v>1.08</v>
      </c>
      <c r="AG952">
        <f>_xlfn.XLOOKUP(Table1820[[#This Row],[Exotic Car]],Table7[Exotic Car],Table7[Exotic Car Factor],,0)</f>
        <v>1</v>
      </c>
      <c r="AH952">
        <f>_xlfn.XLOOKUP(Table1820[[#This Row],[Difficult Parts]],Table8[Difficult Parts],Table8[Difficult Parts Factor],,0)</f>
        <v>1</v>
      </c>
      <c r="AI952">
        <f>_xlfn.XLOOKUP(Table1820[[#This Row],[High Theft Rate]],Table9[High Theft Rate],Table9[High Theft Rate Factor],,0)</f>
        <v>1</v>
      </c>
      <c r="AJ952">
        <f>_xlfn.XLOOKUP(Table1820[[#This Row],[Advanced Safety Features]],Table10[Advanced Safety Features],Table10[Advanced Safety Features Factor],,0)</f>
        <v>0.88</v>
      </c>
      <c r="AK952">
        <f>_xlfn.XLOOKUP(Table1820[[#This Row],[Deductible]],Table12[Deductible],Table12[Deductible Factor],,0)</f>
        <v>0.84</v>
      </c>
      <c r="AL952">
        <f>_xlfn.XLOOKUP(Table1820[[#This Row],[Coverage Limit]],Table13[Coverage Limit],Table13[Coverage Limit Factor],,0)</f>
        <v>1</v>
      </c>
      <c r="AM952">
        <f>IF(Table1820[[#This Row],[Good Student Discount]]="Yes",'Rate Book'!$D$126,1)</f>
        <v>1</v>
      </c>
      <c r="AN952">
        <f>IF(Table1820[[#This Row],[Good Driver Discount]]="Yes",'Rate Book'!$D$127,1)</f>
        <v>1</v>
      </c>
      <c r="AO952">
        <f>IF(Table1820[[#This Row],[Multi Policy Discount]]="Yes",'Rate Book'!$D$128,1)</f>
        <v>1</v>
      </c>
      <c r="AP952">
        <f>IF(Table1820[[#This Row],[Loyal Customer Discount]]="Yes",'Rate Book'!$D$129,1)</f>
        <v>1</v>
      </c>
      <c r="AQ952">
        <f>IF(Table1820[[#This Row],[Organization Discount]]="Yes",'Rate Book'!$D$130,1)</f>
        <v>1</v>
      </c>
      <c r="AR952" cm="1">
        <f t="array" ref="AR952">IF(Table1820[[#This Row],[Effective Date]]&gt;=RateChangeTable[Effective Date],RateChangeTable[Rate Change Factor],1)</f>
        <v>1</v>
      </c>
      <c r="AS952" s="10">
        <f>PRODUCT(Table1820[[#This Row],[Base Rate]:[Rate Change Factor]])</f>
        <v>502.01015260609387</v>
      </c>
      <c r="AT952" s="9">
        <f>Table1820[[#This Row],[System-Generated Premium]]-Table1820[[#This Row],[Expected Premium]]</f>
        <v>0</v>
      </c>
      <c r="AU952" t="str">
        <f>IF(Table1820[[#This Row],[Difference]]=0,"PASS","FAIL")</f>
        <v>PASS</v>
      </c>
      <c r="AV952" s="9">
        <f>ABS(Table1820[[#This Row],[Difference]])</f>
        <v>0</v>
      </c>
      <c r="AW952" s="9" t="s">
        <v>1136</v>
      </c>
    </row>
    <row r="953" spans="1:49" x14ac:dyDescent="0.3">
      <c r="A953" t="s">
        <v>1044</v>
      </c>
      <c r="B953" s="7">
        <v>45887</v>
      </c>
      <c r="C953" t="s">
        <v>74</v>
      </c>
      <c r="D953" t="s">
        <v>1099</v>
      </c>
      <c r="E953" s="3">
        <v>1</v>
      </c>
      <c r="F953" s="3">
        <v>1</v>
      </c>
      <c r="G953" t="s">
        <v>10</v>
      </c>
      <c r="H953" t="s">
        <v>1108</v>
      </c>
      <c r="I953" t="s">
        <v>22</v>
      </c>
      <c r="J953" t="s">
        <v>52</v>
      </c>
      <c r="K953" t="s">
        <v>10</v>
      </c>
      <c r="L953" t="s">
        <v>10</v>
      </c>
      <c r="M953" t="s">
        <v>10</v>
      </c>
      <c r="N953" t="s">
        <v>57</v>
      </c>
      <c r="O953" t="str">
        <f>INDEX(CoverageTable[Deductible Applies],MATCH(Table1820[[#This Row],[Coverage]],CoverageTable[Coverage],0))</f>
        <v>No</v>
      </c>
      <c r="P953" t="str">
        <f>INDEX(CoverageTable[Coverage Limit Applies],MATCH(Table1820[[#This Row],[Coverage]],CoverageTable[Coverage],0))</f>
        <v>Yes</v>
      </c>
      <c r="Q953" t="s">
        <v>10</v>
      </c>
      <c r="R953" t="s">
        <v>80</v>
      </c>
      <c r="S953" t="s">
        <v>57</v>
      </c>
      <c r="T953" t="s">
        <v>57</v>
      </c>
      <c r="U953" t="s">
        <v>10</v>
      </c>
      <c r="V953" t="s">
        <v>10</v>
      </c>
      <c r="W953" t="s">
        <v>10</v>
      </c>
      <c r="X953" s="11">
        <v>103.59941857740628</v>
      </c>
      <c r="Y953">
        <f>_xlfn.XLOOKUP(Table1820[[#This Row],[Coverage]],CoverageTable[Coverage],CoverageTable[Base Rate],,0)</f>
        <v>41</v>
      </c>
      <c r="Z953">
        <f>INDEX(Table16[Ageband Factor],MATCH(Table1820[[#This Row],[Ageband]],Table16[Ageband],0))</f>
        <v>1</v>
      </c>
      <c r="AA953">
        <f>VLOOKUP(Table1820[[#This Row],[Years Driving]],Table1[],2)</f>
        <v>1.64</v>
      </c>
      <c r="AB953">
        <f>_xlfn.XLOOKUP(Table1820[[#This Row],[At Fault Accidents]],Table2[At Fault Accidents],Table2[At Fault Accident Factor],,0)</f>
        <v>1.34</v>
      </c>
      <c r="AC953">
        <f>_xlfn.XLOOKUP(Table1820[[#This Row],[Usage-Based Insurance]],Table3[Usage-Based Insurance],Table3[Usage-Based Insurance Discount],,0)</f>
        <v>1</v>
      </c>
      <c r="AD953">
        <f>_xlfn.XLOOKUP(Table1820[[#This Row],[Yearly Miles]],Table4[Yearly Miles],Table4[Yearly Miles Factor],,0)</f>
        <v>1</v>
      </c>
      <c r="AE953">
        <f>_xlfn.XLOOKUP(Table1820[[#This Row],[City/Zip Code]],Table5[City/Zip Code],Table5[City/Zip Code Factor],,0)</f>
        <v>1.21</v>
      </c>
      <c r="AF953">
        <f>_xlfn.XLOOKUP(Table1820[[#This Row],[Vehicle Price]],Table6[Vehicle Price],Table6[Vehicle Price Factor])</f>
        <v>1.57</v>
      </c>
      <c r="AG953">
        <f>_xlfn.XLOOKUP(Table1820[[#This Row],[Exotic Car]],Table7[Exotic Car],Table7[Exotic Car Factor],,0)</f>
        <v>1</v>
      </c>
      <c r="AH953">
        <f>_xlfn.XLOOKUP(Table1820[[#This Row],[Difficult Parts]],Table8[Difficult Parts],Table8[Difficult Parts Factor],,0)</f>
        <v>1</v>
      </c>
      <c r="AI953">
        <f>_xlfn.XLOOKUP(Table1820[[#This Row],[High Theft Rate]],Table9[High Theft Rate],Table9[High Theft Rate Factor],,0)</f>
        <v>1</v>
      </c>
      <c r="AJ953">
        <f>_xlfn.XLOOKUP(Table1820[[#This Row],[Advanced Safety Features]],Table10[Advanced Safety Features],Table10[Advanced Safety Features Factor],,0)</f>
        <v>0.88</v>
      </c>
      <c r="AK953">
        <f>_xlfn.XLOOKUP(Table1820[[#This Row],[Deductible]],Table12[Deductible],Table12[Deductible Factor],,0)</f>
        <v>1</v>
      </c>
      <c r="AL953">
        <f>_xlfn.XLOOKUP(Table1820[[#This Row],[Coverage Limit]],Table13[Coverage Limit],Table13[Coverage Limit Factor],,0)</f>
        <v>0.84</v>
      </c>
      <c r="AM953">
        <f>IF(Table1820[[#This Row],[Good Student Discount]]="Yes",'Rate Book'!$D$126,1)</f>
        <v>0.92</v>
      </c>
      <c r="AN953">
        <f>IF(Table1820[[#This Row],[Good Driver Discount]]="Yes",'Rate Book'!$D$127,1)</f>
        <v>0.89</v>
      </c>
      <c r="AO953">
        <f>IF(Table1820[[#This Row],[Multi Policy Discount]]="Yes",'Rate Book'!$D$128,1)</f>
        <v>1</v>
      </c>
      <c r="AP953">
        <f>IF(Table1820[[#This Row],[Loyal Customer Discount]]="Yes",'Rate Book'!$D$129,1)</f>
        <v>1</v>
      </c>
      <c r="AQ953">
        <f>IF(Table1820[[#This Row],[Organization Discount]]="Yes",'Rate Book'!$D$130,1)</f>
        <v>1</v>
      </c>
      <c r="AR953" cm="1">
        <f t="array" ref="AR953">IF(Table1820[[#This Row],[Effective Date]]&gt;=RateChangeTable[Effective Date],RateChangeTable[Rate Change Factor],1)</f>
        <v>1</v>
      </c>
      <c r="AS953" s="10">
        <f>PRODUCT(Table1820[[#This Row],[Base Rate]:[Rate Change Factor]])</f>
        <v>103.59941857740628</v>
      </c>
      <c r="AT953" s="9">
        <f>Table1820[[#This Row],[System-Generated Premium]]-Table1820[[#This Row],[Expected Premium]]</f>
        <v>0</v>
      </c>
      <c r="AU953" t="str">
        <f>IF(Table1820[[#This Row],[Difference]]=0,"PASS","FAIL")</f>
        <v>PASS</v>
      </c>
      <c r="AV953" s="9">
        <f>ABS(Table1820[[#This Row],[Difference]])</f>
        <v>0</v>
      </c>
      <c r="AW953" s="9" t="s">
        <v>1136</v>
      </c>
    </row>
    <row r="954" spans="1:49" x14ac:dyDescent="0.3">
      <c r="A954" t="s">
        <v>1045</v>
      </c>
      <c r="B954" s="7">
        <v>46028</v>
      </c>
      <c r="C954" t="s">
        <v>71</v>
      </c>
      <c r="D954" t="s">
        <v>1099</v>
      </c>
      <c r="E954" s="3">
        <v>1</v>
      </c>
      <c r="F954" s="3">
        <v>1</v>
      </c>
      <c r="G954" t="s">
        <v>10</v>
      </c>
      <c r="H954" t="s">
        <v>1107</v>
      </c>
      <c r="I954" t="s">
        <v>28</v>
      </c>
      <c r="J954" t="s">
        <v>49</v>
      </c>
      <c r="K954" t="s">
        <v>10</v>
      </c>
      <c r="L954" t="s">
        <v>10</v>
      </c>
      <c r="M954" t="s">
        <v>10</v>
      </c>
      <c r="N954" t="s">
        <v>10</v>
      </c>
      <c r="O954" t="str">
        <f>INDEX(CoverageTable[Deductible Applies],MATCH(Table1820[[#This Row],[Coverage]],CoverageTable[Coverage],0))</f>
        <v>Yes</v>
      </c>
      <c r="P954" t="str">
        <f>INDEX(CoverageTable[Coverage Limit Applies],MATCH(Table1820[[#This Row],[Coverage]],CoverageTable[Coverage],0))</f>
        <v>No</v>
      </c>
      <c r="Q954" t="s">
        <v>78</v>
      </c>
      <c r="R954" t="s">
        <v>10</v>
      </c>
      <c r="S954" t="s">
        <v>10</v>
      </c>
      <c r="T954" t="s">
        <v>10</v>
      </c>
      <c r="U954" t="s">
        <v>10</v>
      </c>
      <c r="V954" t="s">
        <v>10</v>
      </c>
      <c r="W954" t="s">
        <v>10</v>
      </c>
      <c r="X954" s="11">
        <v>859.12153848025196</v>
      </c>
      <c r="Y954">
        <f>_xlfn.XLOOKUP(Table1820[[#This Row],[Coverage]],CoverageTable[Coverage],CoverageTable[Base Rate],,0)</f>
        <v>453</v>
      </c>
      <c r="Z954">
        <f>INDEX(Table16[Ageband Factor],MATCH(Table1820[[#This Row],[Ageband]],Table16[Ageband],0))</f>
        <v>1</v>
      </c>
      <c r="AA954">
        <f>VLOOKUP(Table1820[[#This Row],[Years Driving]],Table1[],2)</f>
        <v>1.64</v>
      </c>
      <c r="AB954">
        <f>_xlfn.XLOOKUP(Table1820[[#This Row],[At Fault Accidents]],Table2[At Fault Accidents],Table2[At Fault Accident Factor],,0)</f>
        <v>1.34</v>
      </c>
      <c r="AC954">
        <f>_xlfn.XLOOKUP(Table1820[[#This Row],[Usage-Based Insurance]],Table3[Usage-Based Insurance],Table3[Usage-Based Insurance Discount],,0)</f>
        <v>1</v>
      </c>
      <c r="AD954">
        <f>_xlfn.XLOOKUP(Table1820[[#This Row],[Yearly Miles]],Table4[Yearly Miles],Table4[Yearly Miles Factor],,0)</f>
        <v>0.93</v>
      </c>
      <c r="AE954">
        <f>_xlfn.XLOOKUP(Table1820[[#This Row],[City/Zip Code]],Table5[City/Zip Code],Table5[City/Zip Code Factor],,0)</f>
        <v>0.95</v>
      </c>
      <c r="AF954">
        <f>_xlfn.XLOOKUP(Table1820[[#This Row],[Vehicle Price]],Table6[Vehicle Price],Table6[Vehicle Price Factor])</f>
        <v>0.97</v>
      </c>
      <c r="AG954">
        <f>_xlfn.XLOOKUP(Table1820[[#This Row],[Exotic Car]],Table7[Exotic Car],Table7[Exotic Car Factor],,0)</f>
        <v>1</v>
      </c>
      <c r="AH954">
        <f>_xlfn.XLOOKUP(Table1820[[#This Row],[Difficult Parts]],Table8[Difficult Parts],Table8[Difficult Parts Factor],,0)</f>
        <v>1</v>
      </c>
      <c r="AI954">
        <f>_xlfn.XLOOKUP(Table1820[[#This Row],[High Theft Rate]],Table9[High Theft Rate],Table9[High Theft Rate Factor],,0)</f>
        <v>1</v>
      </c>
      <c r="AJ954">
        <f>_xlfn.XLOOKUP(Table1820[[#This Row],[Advanced Safety Features]],Table10[Advanced Safety Features],Table10[Advanced Safety Features Factor],,0)</f>
        <v>1</v>
      </c>
      <c r="AK954">
        <f>_xlfn.XLOOKUP(Table1820[[#This Row],[Deductible]],Table12[Deductible],Table12[Deductible Factor],,0)</f>
        <v>0.95</v>
      </c>
      <c r="AL954">
        <f>_xlfn.XLOOKUP(Table1820[[#This Row],[Coverage Limit]],Table13[Coverage Limit],Table13[Coverage Limit Factor],,0)</f>
        <v>1</v>
      </c>
      <c r="AM954">
        <f>IF(Table1820[[#This Row],[Good Student Discount]]="Yes",'Rate Book'!$D$126,1)</f>
        <v>1</v>
      </c>
      <c r="AN954">
        <f>IF(Table1820[[#This Row],[Good Driver Discount]]="Yes",'Rate Book'!$D$127,1)</f>
        <v>1</v>
      </c>
      <c r="AO954">
        <f>IF(Table1820[[#This Row],[Multi Policy Discount]]="Yes",'Rate Book'!$D$128,1)</f>
        <v>1</v>
      </c>
      <c r="AP954">
        <f>IF(Table1820[[#This Row],[Loyal Customer Discount]]="Yes",'Rate Book'!$D$129,1)</f>
        <v>1</v>
      </c>
      <c r="AQ954">
        <f>IF(Table1820[[#This Row],[Organization Discount]]="Yes",'Rate Book'!$D$130,1)</f>
        <v>1</v>
      </c>
      <c r="AR954" cm="1">
        <f t="array" ref="AR954">IF(Table1820[[#This Row],[Effective Date]]&gt;=RateChangeTable[Effective Date],RateChangeTable[Rate Change Factor],1)</f>
        <v>1.06</v>
      </c>
      <c r="AS954" s="10">
        <f>PRODUCT(Table1820[[#This Row],[Base Rate]:[Rate Change Factor]])</f>
        <v>859.12153848025196</v>
      </c>
      <c r="AT954" s="9">
        <f>Table1820[[#This Row],[System-Generated Premium]]-Table1820[[#This Row],[Expected Premium]]</f>
        <v>0</v>
      </c>
      <c r="AU954" t="str">
        <f>IF(Table1820[[#This Row],[Difference]]=0,"PASS","FAIL")</f>
        <v>PASS</v>
      </c>
      <c r="AV954" s="9">
        <f>ABS(Table1820[[#This Row],[Difference]])</f>
        <v>0</v>
      </c>
      <c r="AW954" s="9" t="s">
        <v>1136</v>
      </c>
    </row>
    <row r="955" spans="1:49" x14ac:dyDescent="0.3">
      <c r="A955" t="s">
        <v>1046</v>
      </c>
      <c r="B955" s="7">
        <v>45882</v>
      </c>
      <c r="C955" t="s">
        <v>74</v>
      </c>
      <c r="D955" t="s">
        <v>1102</v>
      </c>
      <c r="E955" s="3">
        <v>6</v>
      </c>
      <c r="F955" s="3">
        <v>4</v>
      </c>
      <c r="G955" t="s">
        <v>10</v>
      </c>
      <c r="H955" t="s">
        <v>1106</v>
      </c>
      <c r="I955" t="s">
        <v>26</v>
      </c>
      <c r="J955" t="s">
        <v>53</v>
      </c>
      <c r="K955" t="s">
        <v>10</v>
      </c>
      <c r="L955" t="s">
        <v>10</v>
      </c>
      <c r="M955" t="s">
        <v>10</v>
      </c>
      <c r="N955" t="s">
        <v>10</v>
      </c>
      <c r="O955" t="str">
        <f>INDEX(CoverageTable[Deductible Applies],MATCH(Table1820[[#This Row],[Coverage]],CoverageTable[Coverage],0))</f>
        <v>No</v>
      </c>
      <c r="P955" t="str">
        <f>INDEX(CoverageTable[Coverage Limit Applies],MATCH(Table1820[[#This Row],[Coverage]],CoverageTable[Coverage],0))</f>
        <v>Yes</v>
      </c>
      <c r="Q955" t="s">
        <v>10</v>
      </c>
      <c r="R955" t="s">
        <v>78</v>
      </c>
      <c r="S955" t="s">
        <v>10</v>
      </c>
      <c r="T955" t="s">
        <v>57</v>
      </c>
      <c r="U955" t="s">
        <v>10</v>
      </c>
      <c r="V955" t="s">
        <v>10</v>
      </c>
      <c r="W955" t="s">
        <v>10</v>
      </c>
      <c r="X955" s="11">
        <v>114.15799761506959</v>
      </c>
      <c r="Y955">
        <f>_xlfn.XLOOKUP(Table1820[[#This Row],[Coverage]],CoverageTable[Coverage],CoverageTable[Base Rate],,0)</f>
        <v>41</v>
      </c>
      <c r="Z955">
        <f>INDEX(Table16[Ageband Factor],MATCH(Table1820[[#This Row],[Ageband]],Table16[Ageband],0))</f>
        <v>1.27</v>
      </c>
      <c r="AA955">
        <f>VLOOKUP(Table1820[[#This Row],[Years Driving]],Table1[],2)</f>
        <v>1</v>
      </c>
      <c r="AB955">
        <f>_xlfn.XLOOKUP(Table1820[[#This Row],[At Fault Accidents]],Table2[At Fault Accidents],Table2[At Fault Accident Factor],,0)</f>
        <v>2.12</v>
      </c>
      <c r="AC955">
        <f>_xlfn.XLOOKUP(Table1820[[#This Row],[Usage-Based Insurance]],Table3[Usage-Based Insurance],Table3[Usage-Based Insurance Discount],,0)</f>
        <v>1</v>
      </c>
      <c r="AD955">
        <f>_xlfn.XLOOKUP(Table1820[[#This Row],[Yearly Miles]],Table4[Yearly Miles],Table4[Yearly Miles Factor],,0)</f>
        <v>0.82</v>
      </c>
      <c r="AE955">
        <f>_xlfn.XLOOKUP(Table1820[[#This Row],[City/Zip Code]],Table5[City/Zip Code],Table5[City/Zip Code Factor],,0)</f>
        <v>1.1499999999999999</v>
      </c>
      <c r="AF955">
        <f>_xlfn.XLOOKUP(Table1820[[#This Row],[Vehicle Price]],Table6[Vehicle Price],Table6[Vehicle Price Factor])</f>
        <v>2.02</v>
      </c>
      <c r="AG955">
        <f>_xlfn.XLOOKUP(Table1820[[#This Row],[Exotic Car]],Table7[Exotic Car],Table7[Exotic Car Factor],,0)</f>
        <v>1</v>
      </c>
      <c r="AH955">
        <f>_xlfn.XLOOKUP(Table1820[[#This Row],[Difficult Parts]],Table8[Difficult Parts],Table8[Difficult Parts Factor],,0)</f>
        <v>1</v>
      </c>
      <c r="AI955">
        <f>_xlfn.XLOOKUP(Table1820[[#This Row],[High Theft Rate]],Table9[High Theft Rate],Table9[High Theft Rate Factor],,0)</f>
        <v>1</v>
      </c>
      <c r="AJ955">
        <f>_xlfn.XLOOKUP(Table1820[[#This Row],[Advanced Safety Features]],Table10[Advanced Safety Features],Table10[Advanced Safety Features Factor],,0)</f>
        <v>1</v>
      </c>
      <c r="AK955">
        <f>_xlfn.XLOOKUP(Table1820[[#This Row],[Deductible]],Table12[Deductible],Table12[Deductible Factor],,0)</f>
        <v>1</v>
      </c>
      <c r="AL955">
        <f>_xlfn.XLOOKUP(Table1820[[#This Row],[Coverage Limit]],Table13[Coverage Limit],Table13[Coverage Limit Factor],,0)</f>
        <v>0.61</v>
      </c>
      <c r="AM955">
        <f>IF(Table1820[[#This Row],[Good Student Discount]]="Yes",'Rate Book'!$D$126,1)</f>
        <v>1</v>
      </c>
      <c r="AN955">
        <f>IF(Table1820[[#This Row],[Good Driver Discount]]="Yes",'Rate Book'!$D$127,1)</f>
        <v>0.89</v>
      </c>
      <c r="AO955">
        <f>IF(Table1820[[#This Row],[Multi Policy Discount]]="Yes",'Rate Book'!$D$128,1)</f>
        <v>1</v>
      </c>
      <c r="AP955">
        <f>IF(Table1820[[#This Row],[Loyal Customer Discount]]="Yes",'Rate Book'!$D$129,1)</f>
        <v>1</v>
      </c>
      <c r="AQ955">
        <f>IF(Table1820[[#This Row],[Organization Discount]]="Yes",'Rate Book'!$D$130,1)</f>
        <v>1</v>
      </c>
      <c r="AR955" cm="1">
        <f t="array" ref="AR955">IF(Table1820[[#This Row],[Effective Date]]&gt;=RateChangeTable[Effective Date],RateChangeTable[Rate Change Factor],1)</f>
        <v>1</v>
      </c>
      <c r="AS955" s="10">
        <f>PRODUCT(Table1820[[#This Row],[Base Rate]:[Rate Change Factor]])</f>
        <v>114.15799761506959</v>
      </c>
      <c r="AT955" s="9">
        <f>Table1820[[#This Row],[System-Generated Premium]]-Table1820[[#This Row],[Expected Premium]]</f>
        <v>0</v>
      </c>
      <c r="AU955" t="str">
        <f>IF(Table1820[[#This Row],[Difference]]=0,"PASS","FAIL")</f>
        <v>PASS</v>
      </c>
      <c r="AV955" s="9">
        <f>ABS(Table1820[[#This Row],[Difference]])</f>
        <v>0</v>
      </c>
      <c r="AW955" s="9" t="s">
        <v>1136</v>
      </c>
    </row>
    <row r="956" spans="1:49" x14ac:dyDescent="0.3">
      <c r="A956" t="s">
        <v>1047</v>
      </c>
      <c r="B956" s="7">
        <v>45937</v>
      </c>
      <c r="C956" t="s">
        <v>72</v>
      </c>
      <c r="D956" t="s">
        <v>1101</v>
      </c>
      <c r="E956" s="3">
        <v>3</v>
      </c>
      <c r="F956" s="3">
        <v>1</v>
      </c>
      <c r="G956" t="s">
        <v>10</v>
      </c>
      <c r="H956" t="s">
        <v>1107</v>
      </c>
      <c r="I956" t="s">
        <v>41</v>
      </c>
      <c r="J956" t="s">
        <v>51</v>
      </c>
      <c r="K956" t="s">
        <v>10</v>
      </c>
      <c r="L956" t="s">
        <v>10</v>
      </c>
      <c r="M956" t="s">
        <v>10</v>
      </c>
      <c r="N956" t="s">
        <v>10</v>
      </c>
      <c r="O956" t="str">
        <f>INDEX(CoverageTable[Deductible Applies],MATCH(Table1820[[#This Row],[Coverage]],CoverageTable[Coverage],0))</f>
        <v>Yes</v>
      </c>
      <c r="P956" t="str">
        <f>INDEX(CoverageTable[Coverage Limit Applies],MATCH(Table1820[[#This Row],[Coverage]],CoverageTable[Coverage],0))</f>
        <v>No</v>
      </c>
      <c r="Q956" t="s">
        <v>78</v>
      </c>
      <c r="R956" t="s">
        <v>10</v>
      </c>
      <c r="S956" t="s">
        <v>57</v>
      </c>
      <c r="T956" t="s">
        <v>10</v>
      </c>
      <c r="U956" t="s">
        <v>10</v>
      </c>
      <c r="V956" t="s">
        <v>10</v>
      </c>
      <c r="W956" t="s">
        <v>10</v>
      </c>
      <c r="X956" s="11">
        <v>265.0758808311399</v>
      </c>
      <c r="Y956">
        <f>_xlfn.XLOOKUP(Table1820[[#This Row],[Coverage]],CoverageTable[Coverage],CoverageTable[Base Rate],,0)</f>
        <v>121</v>
      </c>
      <c r="Z956">
        <f>INDEX(Table16[Ageband Factor],MATCH(Table1820[[#This Row],[Ageband]],Table16[Ageband],0))</f>
        <v>1.1200000000000001</v>
      </c>
      <c r="AA956">
        <f>VLOOKUP(Table1820[[#This Row],[Years Driving]],Table1[],2)</f>
        <v>1.22</v>
      </c>
      <c r="AB956">
        <f>_xlfn.XLOOKUP(Table1820[[#This Row],[At Fault Accidents]],Table2[At Fault Accidents],Table2[At Fault Accident Factor],,0)</f>
        <v>1.34</v>
      </c>
      <c r="AC956">
        <f>_xlfn.XLOOKUP(Table1820[[#This Row],[Usage-Based Insurance]],Table3[Usage-Based Insurance],Table3[Usage-Based Insurance Discount],,0)</f>
        <v>1</v>
      </c>
      <c r="AD956">
        <f>_xlfn.XLOOKUP(Table1820[[#This Row],[Yearly Miles]],Table4[Yearly Miles],Table4[Yearly Miles Factor],,0)</f>
        <v>0.93</v>
      </c>
      <c r="AE956">
        <f>_xlfn.XLOOKUP(Table1820[[#This Row],[City/Zip Code]],Table5[City/Zip Code],Table5[City/Zip Code Factor],,0)</f>
        <v>1.1499999999999999</v>
      </c>
      <c r="AF956">
        <f>_xlfn.XLOOKUP(Table1820[[#This Row],[Vehicle Price]],Table6[Vehicle Price],Table6[Vehicle Price Factor])</f>
        <v>1.28</v>
      </c>
      <c r="AG956">
        <f>_xlfn.XLOOKUP(Table1820[[#This Row],[Exotic Car]],Table7[Exotic Car],Table7[Exotic Car Factor],,0)</f>
        <v>1</v>
      </c>
      <c r="AH956">
        <f>_xlfn.XLOOKUP(Table1820[[#This Row],[Difficult Parts]],Table8[Difficult Parts],Table8[Difficult Parts Factor],,0)</f>
        <v>1</v>
      </c>
      <c r="AI956">
        <f>_xlfn.XLOOKUP(Table1820[[#This Row],[High Theft Rate]],Table9[High Theft Rate],Table9[High Theft Rate Factor],,0)</f>
        <v>1</v>
      </c>
      <c r="AJ956">
        <f>_xlfn.XLOOKUP(Table1820[[#This Row],[Advanced Safety Features]],Table10[Advanced Safety Features],Table10[Advanced Safety Features Factor],,0)</f>
        <v>1</v>
      </c>
      <c r="AK956">
        <f>_xlfn.XLOOKUP(Table1820[[#This Row],[Deductible]],Table12[Deductible],Table12[Deductible Factor],,0)</f>
        <v>0.95</v>
      </c>
      <c r="AL956">
        <f>_xlfn.XLOOKUP(Table1820[[#This Row],[Coverage Limit]],Table13[Coverage Limit],Table13[Coverage Limit Factor],,0)</f>
        <v>1</v>
      </c>
      <c r="AM956">
        <f>IF(Table1820[[#This Row],[Good Student Discount]]="Yes",'Rate Book'!$D$126,1)</f>
        <v>0.92</v>
      </c>
      <c r="AN956">
        <f>IF(Table1820[[#This Row],[Good Driver Discount]]="Yes",'Rate Book'!$D$127,1)</f>
        <v>1</v>
      </c>
      <c r="AO956">
        <f>IF(Table1820[[#This Row],[Multi Policy Discount]]="Yes",'Rate Book'!$D$128,1)</f>
        <v>1</v>
      </c>
      <c r="AP956">
        <f>IF(Table1820[[#This Row],[Loyal Customer Discount]]="Yes",'Rate Book'!$D$129,1)</f>
        <v>1</v>
      </c>
      <c r="AQ956">
        <f>IF(Table1820[[#This Row],[Organization Discount]]="Yes",'Rate Book'!$D$130,1)</f>
        <v>1</v>
      </c>
      <c r="AR956" cm="1">
        <f t="array" ref="AR956">IF(Table1820[[#This Row],[Effective Date]]&gt;=RateChangeTable[Effective Date],RateChangeTable[Rate Change Factor],1)</f>
        <v>1</v>
      </c>
      <c r="AS956" s="10">
        <f>PRODUCT(Table1820[[#This Row],[Base Rate]:[Rate Change Factor]])</f>
        <v>265.0758808311399</v>
      </c>
      <c r="AT956" s="9">
        <f>Table1820[[#This Row],[System-Generated Premium]]-Table1820[[#This Row],[Expected Premium]]</f>
        <v>0</v>
      </c>
      <c r="AU956" t="str">
        <f>IF(Table1820[[#This Row],[Difference]]=0,"PASS","FAIL")</f>
        <v>PASS</v>
      </c>
      <c r="AV956" s="9">
        <f>ABS(Table1820[[#This Row],[Difference]])</f>
        <v>0</v>
      </c>
      <c r="AW956" s="9" t="s">
        <v>1136</v>
      </c>
    </row>
    <row r="957" spans="1:49" x14ac:dyDescent="0.3">
      <c r="A957" t="s">
        <v>1048</v>
      </c>
      <c r="B957" s="7">
        <v>45818</v>
      </c>
      <c r="C957" t="s">
        <v>71</v>
      </c>
      <c r="D957" t="s">
        <v>1101</v>
      </c>
      <c r="E957" s="3">
        <v>3</v>
      </c>
      <c r="F957" s="3">
        <v>0</v>
      </c>
      <c r="G957" t="s">
        <v>11</v>
      </c>
      <c r="H957" t="s">
        <v>1110</v>
      </c>
      <c r="I957" t="s">
        <v>29</v>
      </c>
      <c r="J957" t="s">
        <v>54</v>
      </c>
      <c r="K957" t="s">
        <v>10</v>
      </c>
      <c r="L957" t="s">
        <v>57</v>
      </c>
      <c r="M957" t="s">
        <v>10</v>
      </c>
      <c r="N957" t="s">
        <v>57</v>
      </c>
      <c r="O957" t="str">
        <f>INDEX(CoverageTable[Deductible Applies],MATCH(Table1820[[#This Row],[Coverage]],CoverageTable[Coverage],0))</f>
        <v>Yes</v>
      </c>
      <c r="P957" t="str">
        <f>INDEX(CoverageTable[Coverage Limit Applies],MATCH(Table1820[[#This Row],[Coverage]],CoverageTable[Coverage],0))</f>
        <v>No</v>
      </c>
      <c r="Q957" t="s">
        <v>78</v>
      </c>
      <c r="R957" t="s">
        <v>10</v>
      </c>
      <c r="S957" t="s">
        <v>10</v>
      </c>
      <c r="T957" t="s">
        <v>57</v>
      </c>
      <c r="U957" t="s">
        <v>10</v>
      </c>
      <c r="V957" t="s">
        <v>10</v>
      </c>
      <c r="W957" t="s">
        <v>10</v>
      </c>
      <c r="X957" s="11">
        <v>2169.5067484358296</v>
      </c>
      <c r="Y957">
        <f>_xlfn.XLOOKUP(Table1820[[#This Row],[Coverage]],CoverageTable[Coverage],CoverageTable[Base Rate],,0)</f>
        <v>453</v>
      </c>
      <c r="Z957">
        <f>INDEX(Table16[Ageband Factor],MATCH(Table1820[[#This Row],[Ageband]],Table16[Ageband],0))</f>
        <v>1.1200000000000001</v>
      </c>
      <c r="AA957">
        <f>VLOOKUP(Table1820[[#This Row],[Years Driving]],Table1[],2)</f>
        <v>1.22</v>
      </c>
      <c r="AB957">
        <f>_xlfn.XLOOKUP(Table1820[[#This Row],[At Fault Accidents]],Table2[At Fault Accidents],Table2[At Fault Accident Factor],,0)</f>
        <v>1</v>
      </c>
      <c r="AC957">
        <f>_xlfn.XLOOKUP(Table1820[[#This Row],[Usage-Based Insurance]],Table3[Usage-Based Insurance],Table3[Usage-Based Insurance Discount],,0)</f>
        <v>0.95</v>
      </c>
      <c r="AD957">
        <f>_xlfn.XLOOKUP(Table1820[[#This Row],[Yearly Miles]],Table4[Yearly Miles],Table4[Yearly Miles Factor],,0)</f>
        <v>1.31</v>
      </c>
      <c r="AE957">
        <f>_xlfn.XLOOKUP(Table1820[[#This Row],[City/Zip Code]],Table5[City/Zip Code],Table5[City/Zip Code Factor],,0)</f>
        <v>1.0900000000000001</v>
      </c>
      <c r="AF957">
        <f>_xlfn.XLOOKUP(Table1820[[#This Row],[Vehicle Price]],Table6[Vehicle Price],Table6[Vehicle Price Factor])</f>
        <v>2.87</v>
      </c>
      <c r="AG957">
        <f>_xlfn.XLOOKUP(Table1820[[#This Row],[Exotic Car]],Table7[Exotic Car],Table7[Exotic Car Factor],,0)</f>
        <v>1</v>
      </c>
      <c r="AH957">
        <f>_xlfn.XLOOKUP(Table1820[[#This Row],[Difficult Parts]],Table8[Difficult Parts],Table8[Difficult Parts Factor],,0)</f>
        <v>1.21</v>
      </c>
      <c r="AI957">
        <f>_xlfn.XLOOKUP(Table1820[[#This Row],[High Theft Rate]],Table9[High Theft Rate],Table9[High Theft Rate Factor],,0)</f>
        <v>1</v>
      </c>
      <c r="AJ957">
        <f>_xlfn.XLOOKUP(Table1820[[#This Row],[Advanced Safety Features]],Table10[Advanced Safety Features],Table10[Advanced Safety Features Factor],,0)</f>
        <v>0.88</v>
      </c>
      <c r="AK957">
        <f>_xlfn.XLOOKUP(Table1820[[#This Row],[Deductible]],Table12[Deductible],Table12[Deductible Factor],,0)</f>
        <v>0.95</v>
      </c>
      <c r="AL957">
        <f>_xlfn.XLOOKUP(Table1820[[#This Row],[Coverage Limit]],Table13[Coverage Limit],Table13[Coverage Limit Factor],,0)</f>
        <v>1</v>
      </c>
      <c r="AM957">
        <f>IF(Table1820[[#This Row],[Good Student Discount]]="Yes",'Rate Book'!$D$126,1)</f>
        <v>1</v>
      </c>
      <c r="AN957">
        <f>IF(Table1820[[#This Row],[Good Driver Discount]]="Yes",'Rate Book'!$D$127,1)</f>
        <v>0.89</v>
      </c>
      <c r="AO957">
        <f>IF(Table1820[[#This Row],[Multi Policy Discount]]="Yes",'Rate Book'!$D$128,1)</f>
        <v>1</v>
      </c>
      <c r="AP957">
        <f>IF(Table1820[[#This Row],[Loyal Customer Discount]]="Yes",'Rate Book'!$D$129,1)</f>
        <v>1</v>
      </c>
      <c r="AQ957">
        <f>IF(Table1820[[#This Row],[Organization Discount]]="Yes",'Rate Book'!$D$130,1)</f>
        <v>1</v>
      </c>
      <c r="AR957" cm="1">
        <f t="array" ref="AR957">IF(Table1820[[#This Row],[Effective Date]]&gt;=RateChangeTable[Effective Date],RateChangeTable[Rate Change Factor],1)</f>
        <v>1</v>
      </c>
      <c r="AS957" s="10">
        <f>PRODUCT(Table1820[[#This Row],[Base Rate]:[Rate Change Factor]])</f>
        <v>2169.5067484358296</v>
      </c>
      <c r="AT957" s="9">
        <f>Table1820[[#This Row],[System-Generated Premium]]-Table1820[[#This Row],[Expected Premium]]</f>
        <v>0</v>
      </c>
      <c r="AU957" t="str">
        <f>IF(Table1820[[#This Row],[Difference]]=0,"PASS","FAIL")</f>
        <v>PASS</v>
      </c>
      <c r="AV957" s="9">
        <f>ABS(Table1820[[#This Row],[Difference]])</f>
        <v>0</v>
      </c>
      <c r="AW957" s="9" t="s">
        <v>1136</v>
      </c>
    </row>
    <row r="958" spans="1:49" x14ac:dyDescent="0.3">
      <c r="A958" t="s">
        <v>1049</v>
      </c>
      <c r="B958" s="7">
        <v>46071</v>
      </c>
      <c r="C958" t="s">
        <v>72</v>
      </c>
      <c r="D958" t="s">
        <v>1098</v>
      </c>
      <c r="E958" s="3">
        <v>6</v>
      </c>
      <c r="F958" s="3">
        <v>2</v>
      </c>
      <c r="G958" t="s">
        <v>12</v>
      </c>
      <c r="H958" t="s">
        <v>1106</v>
      </c>
      <c r="I958" t="s">
        <v>28</v>
      </c>
      <c r="J958" t="s">
        <v>53</v>
      </c>
      <c r="K958" t="s">
        <v>10</v>
      </c>
      <c r="L958" t="s">
        <v>10</v>
      </c>
      <c r="M958" t="s">
        <v>10</v>
      </c>
      <c r="N958" t="s">
        <v>10</v>
      </c>
      <c r="O958" t="str">
        <f>INDEX(CoverageTable[Deductible Applies],MATCH(Table1820[[#This Row],[Coverage]],CoverageTable[Coverage],0))</f>
        <v>Yes</v>
      </c>
      <c r="P958" t="str">
        <f>INDEX(CoverageTable[Coverage Limit Applies],MATCH(Table1820[[#This Row],[Coverage]],CoverageTable[Coverage],0))</f>
        <v>No</v>
      </c>
      <c r="Q958" t="s">
        <v>78</v>
      </c>
      <c r="R958" t="s">
        <v>10</v>
      </c>
      <c r="S958" t="s">
        <v>10</v>
      </c>
      <c r="T958" t="s">
        <v>10</v>
      </c>
      <c r="U958" t="s">
        <v>10</v>
      </c>
      <c r="V958" t="s">
        <v>10</v>
      </c>
      <c r="W958" t="s">
        <v>10</v>
      </c>
      <c r="X958" s="11">
        <v>292.43575064695199</v>
      </c>
      <c r="Y958">
        <f>_xlfn.XLOOKUP(Table1820[[#This Row],[Coverage]],CoverageTable[Coverage],CoverageTable[Base Rate],,0)</f>
        <v>121</v>
      </c>
      <c r="Z958">
        <f>INDEX(Table16[Ageband Factor],MATCH(Table1820[[#This Row],[Ageband]],Table16[Ageband],0))</f>
        <v>1.23</v>
      </c>
      <c r="AA958">
        <f>VLOOKUP(Table1820[[#This Row],[Years Driving]],Table1[],2)</f>
        <v>1</v>
      </c>
      <c r="AB958">
        <f>_xlfn.XLOOKUP(Table1820[[#This Row],[At Fault Accidents]],Table2[At Fault Accidents],Table2[At Fault Accident Factor],,0)</f>
        <v>1.55</v>
      </c>
      <c r="AC958">
        <f>_xlfn.XLOOKUP(Table1820[[#This Row],[Usage-Based Insurance]],Table3[Usage-Based Insurance],Table3[Usage-Based Insurance Discount],,0)</f>
        <v>0.8</v>
      </c>
      <c r="AD958">
        <f>_xlfn.XLOOKUP(Table1820[[#This Row],[Yearly Miles]],Table4[Yearly Miles],Table4[Yearly Miles Factor],,0)</f>
        <v>0.82</v>
      </c>
      <c r="AE958">
        <f>_xlfn.XLOOKUP(Table1820[[#This Row],[City/Zip Code]],Table5[City/Zip Code],Table5[City/Zip Code Factor],,0)</f>
        <v>0.95</v>
      </c>
      <c r="AF958">
        <f>_xlfn.XLOOKUP(Table1820[[#This Row],[Vehicle Price]],Table6[Vehicle Price],Table6[Vehicle Price Factor])</f>
        <v>2.02</v>
      </c>
      <c r="AG958">
        <f>_xlfn.XLOOKUP(Table1820[[#This Row],[Exotic Car]],Table7[Exotic Car],Table7[Exotic Car Factor],,0)</f>
        <v>1</v>
      </c>
      <c r="AH958">
        <f>_xlfn.XLOOKUP(Table1820[[#This Row],[Difficult Parts]],Table8[Difficult Parts],Table8[Difficult Parts Factor],,0)</f>
        <v>1</v>
      </c>
      <c r="AI958">
        <f>_xlfn.XLOOKUP(Table1820[[#This Row],[High Theft Rate]],Table9[High Theft Rate],Table9[High Theft Rate Factor],,0)</f>
        <v>1</v>
      </c>
      <c r="AJ958">
        <f>_xlfn.XLOOKUP(Table1820[[#This Row],[Advanced Safety Features]],Table10[Advanced Safety Features],Table10[Advanced Safety Features Factor],,0)</f>
        <v>1</v>
      </c>
      <c r="AK958">
        <f>_xlfn.XLOOKUP(Table1820[[#This Row],[Deductible]],Table12[Deductible],Table12[Deductible Factor],,0)</f>
        <v>0.95</v>
      </c>
      <c r="AL958">
        <f>_xlfn.XLOOKUP(Table1820[[#This Row],[Coverage Limit]],Table13[Coverage Limit],Table13[Coverage Limit Factor],,0)</f>
        <v>1</v>
      </c>
      <c r="AM958">
        <f>IF(Table1820[[#This Row],[Good Student Discount]]="Yes",'Rate Book'!$D$126,1)</f>
        <v>1</v>
      </c>
      <c r="AN958">
        <f>IF(Table1820[[#This Row],[Good Driver Discount]]="Yes",'Rate Book'!$D$127,1)</f>
        <v>1</v>
      </c>
      <c r="AO958">
        <f>IF(Table1820[[#This Row],[Multi Policy Discount]]="Yes",'Rate Book'!$D$128,1)</f>
        <v>1</v>
      </c>
      <c r="AP958">
        <f>IF(Table1820[[#This Row],[Loyal Customer Discount]]="Yes",'Rate Book'!$D$129,1)</f>
        <v>1</v>
      </c>
      <c r="AQ958">
        <f>IF(Table1820[[#This Row],[Organization Discount]]="Yes",'Rate Book'!$D$130,1)</f>
        <v>1</v>
      </c>
      <c r="AR958" cm="1">
        <f t="array" ref="AR958">IF(Table1820[[#This Row],[Effective Date]]&gt;=RateChangeTable[Effective Date],RateChangeTable[Rate Change Factor],1)</f>
        <v>1.06</v>
      </c>
      <c r="AS958" s="10">
        <f>PRODUCT(Table1820[[#This Row],[Base Rate]:[Rate Change Factor]])</f>
        <v>292.43575064695199</v>
      </c>
      <c r="AT958" s="9">
        <f>Table1820[[#This Row],[System-Generated Premium]]-Table1820[[#This Row],[Expected Premium]]</f>
        <v>0</v>
      </c>
      <c r="AU958" t="str">
        <f>IF(Table1820[[#This Row],[Difference]]=0,"PASS","FAIL")</f>
        <v>PASS</v>
      </c>
      <c r="AV958" s="9">
        <f>ABS(Table1820[[#This Row],[Difference]])</f>
        <v>0</v>
      </c>
      <c r="AW958" s="9" t="s">
        <v>1136</v>
      </c>
    </row>
    <row r="959" spans="1:49" x14ac:dyDescent="0.3">
      <c r="A959" t="s">
        <v>1050</v>
      </c>
      <c r="B959" s="7">
        <v>45933</v>
      </c>
      <c r="C959" t="s">
        <v>74</v>
      </c>
      <c r="D959" t="s">
        <v>1099</v>
      </c>
      <c r="E959" s="3">
        <v>2</v>
      </c>
      <c r="F959" s="3">
        <v>3</v>
      </c>
      <c r="G959" t="s">
        <v>10</v>
      </c>
      <c r="H959" t="s">
        <v>1106</v>
      </c>
      <c r="I959" t="s">
        <v>24</v>
      </c>
      <c r="J959" t="s">
        <v>49</v>
      </c>
      <c r="K959" t="s">
        <v>10</v>
      </c>
      <c r="L959" t="s">
        <v>10</v>
      </c>
      <c r="M959" t="s">
        <v>10</v>
      </c>
      <c r="N959" t="s">
        <v>57</v>
      </c>
      <c r="O959" t="str">
        <f>INDEX(CoverageTable[Deductible Applies],MATCH(Table1820[[#This Row],[Coverage]],CoverageTable[Coverage],0))</f>
        <v>No</v>
      </c>
      <c r="P959" t="str">
        <f>INDEX(CoverageTable[Coverage Limit Applies],MATCH(Table1820[[#This Row],[Coverage]],CoverageTable[Coverage],0))</f>
        <v>Yes</v>
      </c>
      <c r="Q959" t="s">
        <v>10</v>
      </c>
      <c r="R959" t="s">
        <v>78</v>
      </c>
      <c r="S959" t="s">
        <v>10</v>
      </c>
      <c r="T959" t="s">
        <v>10</v>
      </c>
      <c r="U959" t="s">
        <v>10</v>
      </c>
      <c r="V959" t="s">
        <v>10</v>
      </c>
      <c r="W959" t="s">
        <v>10</v>
      </c>
      <c r="X959" s="11">
        <v>53.458825446586552</v>
      </c>
      <c r="Y959">
        <f>_xlfn.XLOOKUP(Table1820[[#This Row],[Coverage]],CoverageTable[Coverage],CoverageTable[Base Rate],,0)</f>
        <v>41</v>
      </c>
      <c r="Z959">
        <f>INDEX(Table16[Ageband Factor],MATCH(Table1820[[#This Row],[Ageband]],Table16[Ageband],0))</f>
        <v>1</v>
      </c>
      <c r="AA959">
        <f>VLOOKUP(Table1820[[#This Row],[Years Driving]],Table1[],2)</f>
        <v>1.41</v>
      </c>
      <c r="AB959">
        <f>_xlfn.XLOOKUP(Table1820[[#This Row],[At Fault Accidents]],Table2[At Fault Accidents],Table2[At Fault Accident Factor],,0)</f>
        <v>1.82</v>
      </c>
      <c r="AC959">
        <f>_xlfn.XLOOKUP(Table1820[[#This Row],[Usage-Based Insurance]],Table3[Usage-Based Insurance],Table3[Usage-Based Insurance Discount],,0)</f>
        <v>1</v>
      </c>
      <c r="AD959">
        <f>_xlfn.XLOOKUP(Table1820[[#This Row],[Yearly Miles]],Table4[Yearly Miles],Table4[Yearly Miles Factor],,0)</f>
        <v>0.82</v>
      </c>
      <c r="AE959">
        <f>_xlfn.XLOOKUP(Table1820[[#This Row],[City/Zip Code]],Table5[City/Zip Code],Table5[City/Zip Code Factor],,0)</f>
        <v>1.19</v>
      </c>
      <c r="AF959">
        <f>_xlfn.XLOOKUP(Table1820[[#This Row],[Vehicle Price]],Table6[Vehicle Price],Table6[Vehicle Price Factor])</f>
        <v>0.97</v>
      </c>
      <c r="AG959">
        <f>_xlfn.XLOOKUP(Table1820[[#This Row],[Exotic Car]],Table7[Exotic Car],Table7[Exotic Car Factor],,0)</f>
        <v>1</v>
      </c>
      <c r="AH959">
        <f>_xlfn.XLOOKUP(Table1820[[#This Row],[Difficult Parts]],Table8[Difficult Parts],Table8[Difficult Parts Factor],,0)</f>
        <v>1</v>
      </c>
      <c r="AI959">
        <f>_xlfn.XLOOKUP(Table1820[[#This Row],[High Theft Rate]],Table9[High Theft Rate],Table9[High Theft Rate Factor],,0)</f>
        <v>1</v>
      </c>
      <c r="AJ959">
        <f>_xlfn.XLOOKUP(Table1820[[#This Row],[Advanced Safety Features]],Table10[Advanced Safety Features],Table10[Advanced Safety Features Factor],,0)</f>
        <v>0.88</v>
      </c>
      <c r="AK959">
        <f>_xlfn.XLOOKUP(Table1820[[#This Row],[Deductible]],Table12[Deductible],Table12[Deductible Factor],,0)</f>
        <v>1</v>
      </c>
      <c r="AL959">
        <f>_xlfn.XLOOKUP(Table1820[[#This Row],[Coverage Limit]],Table13[Coverage Limit],Table13[Coverage Limit Factor],,0)</f>
        <v>0.61</v>
      </c>
      <c r="AM959">
        <f>IF(Table1820[[#This Row],[Good Student Discount]]="Yes",'Rate Book'!$D$126,1)</f>
        <v>1</v>
      </c>
      <c r="AN959">
        <f>IF(Table1820[[#This Row],[Good Driver Discount]]="Yes",'Rate Book'!$D$127,1)</f>
        <v>1</v>
      </c>
      <c r="AO959">
        <f>IF(Table1820[[#This Row],[Multi Policy Discount]]="Yes",'Rate Book'!$D$128,1)</f>
        <v>1</v>
      </c>
      <c r="AP959">
        <f>IF(Table1820[[#This Row],[Loyal Customer Discount]]="Yes",'Rate Book'!$D$129,1)</f>
        <v>1</v>
      </c>
      <c r="AQ959">
        <f>IF(Table1820[[#This Row],[Organization Discount]]="Yes",'Rate Book'!$D$130,1)</f>
        <v>1</v>
      </c>
      <c r="AR959" cm="1">
        <f t="array" ref="AR959">IF(Table1820[[#This Row],[Effective Date]]&gt;=RateChangeTable[Effective Date],RateChangeTable[Rate Change Factor],1)</f>
        <v>1</v>
      </c>
      <c r="AS959" s="10">
        <f>PRODUCT(Table1820[[#This Row],[Base Rate]:[Rate Change Factor]])</f>
        <v>53.458825446586552</v>
      </c>
      <c r="AT959" s="9">
        <f>Table1820[[#This Row],[System-Generated Premium]]-Table1820[[#This Row],[Expected Premium]]</f>
        <v>0</v>
      </c>
      <c r="AU959" t="str">
        <f>IF(Table1820[[#This Row],[Difference]]=0,"PASS","FAIL")</f>
        <v>PASS</v>
      </c>
      <c r="AV959" s="9">
        <f>ABS(Table1820[[#This Row],[Difference]])</f>
        <v>0</v>
      </c>
      <c r="AW959" s="9" t="s">
        <v>1136</v>
      </c>
    </row>
    <row r="960" spans="1:49" x14ac:dyDescent="0.3">
      <c r="A960" t="s">
        <v>1051</v>
      </c>
      <c r="B960" s="7">
        <v>45960</v>
      </c>
      <c r="C960" t="s">
        <v>70</v>
      </c>
      <c r="D960" t="s">
        <v>1098</v>
      </c>
      <c r="E960" s="3">
        <v>5</v>
      </c>
      <c r="F960" s="3">
        <v>2</v>
      </c>
      <c r="G960" t="s">
        <v>10</v>
      </c>
      <c r="H960" t="s">
        <v>1108</v>
      </c>
      <c r="I960" t="s">
        <v>24</v>
      </c>
      <c r="J960" t="s">
        <v>54</v>
      </c>
      <c r="K960" t="s">
        <v>10</v>
      </c>
      <c r="L960" t="s">
        <v>10</v>
      </c>
      <c r="M960" t="s">
        <v>10</v>
      </c>
      <c r="N960" t="s">
        <v>57</v>
      </c>
      <c r="O960" t="str">
        <f>INDEX(CoverageTable[Deductible Applies],MATCH(Table1820[[#This Row],[Coverage]],CoverageTable[Coverage],0))</f>
        <v>No</v>
      </c>
      <c r="P960" t="str">
        <f>INDEX(CoverageTable[Coverage Limit Applies],MATCH(Table1820[[#This Row],[Coverage]],CoverageTable[Coverage],0))</f>
        <v>Yes</v>
      </c>
      <c r="Q960" t="s">
        <v>10</v>
      </c>
      <c r="R960" t="s">
        <v>79</v>
      </c>
      <c r="S960" t="s">
        <v>10</v>
      </c>
      <c r="T960" t="s">
        <v>57</v>
      </c>
      <c r="U960" t="s">
        <v>57</v>
      </c>
      <c r="V960" t="s">
        <v>10</v>
      </c>
      <c r="W960" t="s">
        <v>10</v>
      </c>
      <c r="X960" s="11">
        <v>2272.6259108939603</v>
      </c>
      <c r="Y960">
        <f>_xlfn.XLOOKUP(Table1820[[#This Row],[Coverage]],CoverageTable[Coverage],CoverageTable[Base Rate],,0)</f>
        <v>622</v>
      </c>
      <c r="Z960">
        <f>INDEX(Table16[Ageband Factor],MATCH(Table1820[[#This Row],[Ageband]],Table16[Ageband],0))</f>
        <v>1.23</v>
      </c>
      <c r="AA960">
        <f>VLOOKUP(Table1820[[#This Row],[Years Driving]],Table1[],2)</f>
        <v>1.07</v>
      </c>
      <c r="AB960">
        <f>_xlfn.XLOOKUP(Table1820[[#This Row],[At Fault Accidents]],Table2[At Fault Accidents],Table2[At Fault Accident Factor],,0)</f>
        <v>1.55</v>
      </c>
      <c r="AC960">
        <f>_xlfn.XLOOKUP(Table1820[[#This Row],[Usage-Based Insurance]],Table3[Usage-Based Insurance],Table3[Usage-Based Insurance Discount],,0)</f>
        <v>1</v>
      </c>
      <c r="AD960">
        <f>_xlfn.XLOOKUP(Table1820[[#This Row],[Yearly Miles]],Table4[Yearly Miles],Table4[Yearly Miles Factor],,0)</f>
        <v>1</v>
      </c>
      <c r="AE960">
        <f>_xlfn.XLOOKUP(Table1820[[#This Row],[City/Zip Code]],Table5[City/Zip Code],Table5[City/Zip Code Factor],,0)</f>
        <v>1.19</v>
      </c>
      <c r="AF960">
        <f>_xlfn.XLOOKUP(Table1820[[#This Row],[Vehicle Price]],Table6[Vehicle Price],Table6[Vehicle Price Factor])</f>
        <v>2.87</v>
      </c>
      <c r="AG960">
        <f>_xlfn.XLOOKUP(Table1820[[#This Row],[Exotic Car]],Table7[Exotic Car],Table7[Exotic Car Factor],,0)</f>
        <v>1</v>
      </c>
      <c r="AH960">
        <f>_xlfn.XLOOKUP(Table1820[[#This Row],[Difficult Parts]],Table8[Difficult Parts],Table8[Difficult Parts Factor],,0)</f>
        <v>1</v>
      </c>
      <c r="AI960">
        <f>_xlfn.XLOOKUP(Table1820[[#This Row],[High Theft Rate]],Table9[High Theft Rate],Table9[High Theft Rate Factor],,0)</f>
        <v>1</v>
      </c>
      <c r="AJ960">
        <f>_xlfn.XLOOKUP(Table1820[[#This Row],[Advanced Safety Features]],Table10[Advanced Safety Features],Table10[Advanced Safety Features Factor],,0)</f>
        <v>0.88</v>
      </c>
      <c r="AK960">
        <f>_xlfn.XLOOKUP(Table1820[[#This Row],[Deductible]],Table12[Deductible],Table12[Deductible Factor],,0)</f>
        <v>1</v>
      </c>
      <c r="AL960">
        <f>_xlfn.XLOOKUP(Table1820[[#This Row],[Coverage Limit]],Table13[Coverage Limit],Table13[Coverage Limit Factor],,0)</f>
        <v>0.72</v>
      </c>
      <c r="AM960">
        <f>IF(Table1820[[#This Row],[Good Student Discount]]="Yes",'Rate Book'!$D$126,1)</f>
        <v>1</v>
      </c>
      <c r="AN960">
        <f>IF(Table1820[[#This Row],[Good Driver Discount]]="Yes",'Rate Book'!$D$127,1)</f>
        <v>0.89</v>
      </c>
      <c r="AO960">
        <f>IF(Table1820[[#This Row],[Multi Policy Discount]]="Yes",'Rate Book'!$D$128,1)</f>
        <v>0.93</v>
      </c>
      <c r="AP960">
        <f>IF(Table1820[[#This Row],[Loyal Customer Discount]]="Yes",'Rate Book'!$D$129,1)</f>
        <v>1</v>
      </c>
      <c r="AQ960">
        <f>IF(Table1820[[#This Row],[Organization Discount]]="Yes",'Rate Book'!$D$130,1)</f>
        <v>1</v>
      </c>
      <c r="AR960" cm="1">
        <f t="array" ref="AR960">IF(Table1820[[#This Row],[Effective Date]]&gt;=RateChangeTable[Effective Date],RateChangeTable[Rate Change Factor],1)</f>
        <v>1</v>
      </c>
      <c r="AS960" s="10">
        <f>PRODUCT(Table1820[[#This Row],[Base Rate]:[Rate Change Factor]])</f>
        <v>2272.6259108939603</v>
      </c>
      <c r="AT960" s="9">
        <f>Table1820[[#This Row],[System-Generated Premium]]-Table1820[[#This Row],[Expected Premium]]</f>
        <v>0</v>
      </c>
      <c r="AU960" t="str">
        <f>IF(Table1820[[#This Row],[Difference]]=0,"PASS","FAIL")</f>
        <v>PASS</v>
      </c>
      <c r="AV960" s="9">
        <f>ABS(Table1820[[#This Row],[Difference]])</f>
        <v>0</v>
      </c>
      <c r="AW960" s="9" t="s">
        <v>1136</v>
      </c>
    </row>
    <row r="961" spans="1:49" x14ac:dyDescent="0.3">
      <c r="A961" t="s">
        <v>1052</v>
      </c>
      <c r="B961" s="7">
        <v>46117</v>
      </c>
      <c r="C961" t="s">
        <v>70</v>
      </c>
      <c r="D961" t="s">
        <v>1099</v>
      </c>
      <c r="E961" s="3">
        <v>6</v>
      </c>
      <c r="F961" s="3">
        <v>4</v>
      </c>
      <c r="G961" t="s">
        <v>10</v>
      </c>
      <c r="H961" t="s">
        <v>1110</v>
      </c>
      <c r="I961" t="s">
        <v>35</v>
      </c>
      <c r="J961" t="s">
        <v>54</v>
      </c>
      <c r="K961" t="s">
        <v>10</v>
      </c>
      <c r="L961" t="s">
        <v>10</v>
      </c>
      <c r="M961" t="s">
        <v>10</v>
      </c>
      <c r="N961" t="s">
        <v>10</v>
      </c>
      <c r="O961" t="str">
        <f>INDEX(CoverageTable[Deductible Applies],MATCH(Table1820[[#This Row],[Coverage]],CoverageTable[Coverage],0))</f>
        <v>No</v>
      </c>
      <c r="P961" t="str">
        <f>INDEX(CoverageTable[Coverage Limit Applies],MATCH(Table1820[[#This Row],[Coverage]],CoverageTable[Coverage],0))</f>
        <v>Yes</v>
      </c>
      <c r="Q961" t="s">
        <v>10</v>
      </c>
      <c r="R961" t="s">
        <v>80</v>
      </c>
      <c r="S961" t="s">
        <v>57</v>
      </c>
      <c r="T961" t="s">
        <v>10</v>
      </c>
      <c r="U961" t="s">
        <v>57</v>
      </c>
      <c r="V961" t="s">
        <v>10</v>
      </c>
      <c r="W961" t="s">
        <v>10</v>
      </c>
      <c r="X961" s="11">
        <v>4230.1268210221469</v>
      </c>
      <c r="Y961">
        <f>_xlfn.XLOOKUP(Table1820[[#This Row],[Coverage]],CoverageTable[Coverage],CoverageTable[Base Rate],,0)</f>
        <v>622</v>
      </c>
      <c r="Z961">
        <f>INDEX(Table16[Ageband Factor],MATCH(Table1820[[#This Row],[Ageband]],Table16[Ageband],0))</f>
        <v>1</v>
      </c>
      <c r="AA961">
        <f>VLOOKUP(Table1820[[#This Row],[Years Driving]],Table1[],2)</f>
        <v>1</v>
      </c>
      <c r="AB961">
        <f>_xlfn.XLOOKUP(Table1820[[#This Row],[At Fault Accidents]],Table2[At Fault Accidents],Table2[At Fault Accident Factor],,0)</f>
        <v>2.12</v>
      </c>
      <c r="AC961">
        <f>_xlfn.XLOOKUP(Table1820[[#This Row],[Usage-Based Insurance]],Table3[Usage-Based Insurance],Table3[Usage-Based Insurance Discount],,0)</f>
        <v>1</v>
      </c>
      <c r="AD961">
        <f>_xlfn.XLOOKUP(Table1820[[#This Row],[Yearly Miles]],Table4[Yearly Miles],Table4[Yearly Miles Factor],,0)</f>
        <v>1.31</v>
      </c>
      <c r="AE961">
        <f>_xlfn.XLOOKUP(Table1820[[#This Row],[City/Zip Code]],Table5[City/Zip Code],Table5[City/Zip Code Factor],,0)</f>
        <v>1.1200000000000001</v>
      </c>
      <c r="AF961">
        <f>_xlfn.XLOOKUP(Table1820[[#This Row],[Vehicle Price]],Table6[Vehicle Price],Table6[Vehicle Price Factor])</f>
        <v>2.87</v>
      </c>
      <c r="AG961">
        <f>_xlfn.XLOOKUP(Table1820[[#This Row],[Exotic Car]],Table7[Exotic Car],Table7[Exotic Car Factor],,0)</f>
        <v>1</v>
      </c>
      <c r="AH961">
        <f>_xlfn.XLOOKUP(Table1820[[#This Row],[Difficult Parts]],Table8[Difficult Parts],Table8[Difficult Parts Factor],,0)</f>
        <v>1</v>
      </c>
      <c r="AI961">
        <f>_xlfn.XLOOKUP(Table1820[[#This Row],[High Theft Rate]],Table9[High Theft Rate],Table9[High Theft Rate Factor],,0)</f>
        <v>1</v>
      </c>
      <c r="AJ961">
        <f>_xlfn.XLOOKUP(Table1820[[#This Row],[Advanced Safety Features]],Table10[Advanced Safety Features],Table10[Advanced Safety Features Factor],,0)</f>
        <v>1</v>
      </c>
      <c r="AK961">
        <f>_xlfn.XLOOKUP(Table1820[[#This Row],[Deductible]],Table12[Deductible],Table12[Deductible Factor],,0)</f>
        <v>1</v>
      </c>
      <c r="AL961">
        <f>_xlfn.XLOOKUP(Table1820[[#This Row],[Coverage Limit]],Table13[Coverage Limit],Table13[Coverage Limit Factor],,0)</f>
        <v>0.84</v>
      </c>
      <c r="AM961">
        <f>IF(Table1820[[#This Row],[Good Student Discount]]="Yes",'Rate Book'!$D$126,1)</f>
        <v>0.92</v>
      </c>
      <c r="AN961">
        <f>IF(Table1820[[#This Row],[Good Driver Discount]]="Yes",'Rate Book'!$D$127,1)</f>
        <v>1</v>
      </c>
      <c r="AO961">
        <f>IF(Table1820[[#This Row],[Multi Policy Discount]]="Yes",'Rate Book'!$D$128,1)</f>
        <v>0.93</v>
      </c>
      <c r="AP961">
        <f>IF(Table1820[[#This Row],[Loyal Customer Discount]]="Yes",'Rate Book'!$D$129,1)</f>
        <v>1</v>
      </c>
      <c r="AQ961">
        <f>IF(Table1820[[#This Row],[Organization Discount]]="Yes",'Rate Book'!$D$130,1)</f>
        <v>1</v>
      </c>
      <c r="AR961" cm="1">
        <f t="array" ref="AR961">IF(Table1820[[#This Row],[Effective Date]]&gt;=RateChangeTable[Effective Date],RateChangeTable[Rate Change Factor],1)</f>
        <v>1.06</v>
      </c>
      <c r="AS961" s="10">
        <f>PRODUCT(Table1820[[#This Row],[Base Rate]:[Rate Change Factor]])</f>
        <v>4230.1268210221469</v>
      </c>
      <c r="AT961" s="9">
        <f>Table1820[[#This Row],[System-Generated Premium]]-Table1820[[#This Row],[Expected Premium]]</f>
        <v>0</v>
      </c>
      <c r="AU961" t="str">
        <f>IF(Table1820[[#This Row],[Difference]]=0,"PASS","FAIL")</f>
        <v>PASS</v>
      </c>
      <c r="AV961" s="9">
        <f>ABS(Table1820[[#This Row],[Difference]])</f>
        <v>0</v>
      </c>
      <c r="AW961" s="9" t="s">
        <v>1136</v>
      </c>
    </row>
    <row r="962" spans="1:49" x14ac:dyDescent="0.3">
      <c r="A962" t="s">
        <v>1053</v>
      </c>
      <c r="B962" s="7">
        <v>45928</v>
      </c>
      <c r="C962" t="s">
        <v>70</v>
      </c>
      <c r="D962" t="s">
        <v>1098</v>
      </c>
      <c r="E962" s="3">
        <v>4</v>
      </c>
      <c r="F962" s="3">
        <v>1</v>
      </c>
      <c r="G962" t="s">
        <v>11</v>
      </c>
      <c r="H962" t="s">
        <v>1106</v>
      </c>
      <c r="I962" t="s">
        <v>40</v>
      </c>
      <c r="J962" t="s">
        <v>48</v>
      </c>
      <c r="K962" t="s">
        <v>10</v>
      </c>
      <c r="L962" t="s">
        <v>10</v>
      </c>
      <c r="M962" t="s">
        <v>10</v>
      </c>
      <c r="N962" t="s">
        <v>10</v>
      </c>
      <c r="O962" t="str">
        <f>INDEX(CoverageTable[Deductible Applies],MATCH(Table1820[[#This Row],[Coverage]],CoverageTable[Coverage],0))</f>
        <v>No</v>
      </c>
      <c r="P962" t="str">
        <f>INDEX(CoverageTable[Coverage Limit Applies],MATCH(Table1820[[#This Row],[Coverage]],CoverageTable[Coverage],0))</f>
        <v>Yes</v>
      </c>
      <c r="Q962" t="s">
        <v>10</v>
      </c>
      <c r="R962" t="s">
        <v>79</v>
      </c>
      <c r="S962" t="s">
        <v>10</v>
      </c>
      <c r="T962" t="s">
        <v>10</v>
      </c>
      <c r="U962" t="s">
        <v>10</v>
      </c>
      <c r="V962" t="s">
        <v>10</v>
      </c>
      <c r="W962" t="s">
        <v>10</v>
      </c>
      <c r="X962" s="11">
        <v>591.02852145529812</v>
      </c>
      <c r="Y962">
        <f>_xlfn.XLOOKUP(Table1820[[#This Row],[Coverage]],CoverageTable[Coverage],CoverageTable[Base Rate],,0)</f>
        <v>622</v>
      </c>
      <c r="Z962">
        <f>INDEX(Table16[Ageband Factor],MATCH(Table1820[[#This Row],[Ageband]],Table16[Ageband],0))</f>
        <v>1.23</v>
      </c>
      <c r="AA962">
        <f>VLOOKUP(Table1820[[#This Row],[Years Driving]],Table1[],2)</f>
        <v>1.1499999999999999</v>
      </c>
      <c r="AB962">
        <f>_xlfn.XLOOKUP(Table1820[[#This Row],[At Fault Accidents]],Table2[At Fault Accidents],Table2[At Fault Accident Factor],,0)</f>
        <v>1.34</v>
      </c>
      <c r="AC962">
        <f>_xlfn.XLOOKUP(Table1820[[#This Row],[Usage-Based Insurance]],Table3[Usage-Based Insurance],Table3[Usage-Based Insurance Discount],,0)</f>
        <v>0.95</v>
      </c>
      <c r="AD962">
        <f>_xlfn.XLOOKUP(Table1820[[#This Row],[Yearly Miles]],Table4[Yearly Miles],Table4[Yearly Miles Factor],,0)</f>
        <v>0.82</v>
      </c>
      <c r="AE962">
        <f>_xlfn.XLOOKUP(Table1820[[#This Row],[City/Zip Code]],Table5[City/Zip Code],Table5[City/Zip Code Factor],,0)</f>
        <v>1.0900000000000001</v>
      </c>
      <c r="AF962">
        <f>_xlfn.XLOOKUP(Table1820[[#This Row],[Vehicle Price]],Table6[Vehicle Price],Table6[Vehicle Price Factor])</f>
        <v>0.82</v>
      </c>
      <c r="AG962">
        <f>_xlfn.XLOOKUP(Table1820[[#This Row],[Exotic Car]],Table7[Exotic Car],Table7[Exotic Car Factor],,0)</f>
        <v>1</v>
      </c>
      <c r="AH962">
        <f>_xlfn.XLOOKUP(Table1820[[#This Row],[Difficult Parts]],Table8[Difficult Parts],Table8[Difficult Parts Factor],,0)</f>
        <v>1</v>
      </c>
      <c r="AI962">
        <f>_xlfn.XLOOKUP(Table1820[[#This Row],[High Theft Rate]],Table9[High Theft Rate],Table9[High Theft Rate Factor],,0)</f>
        <v>1</v>
      </c>
      <c r="AJ962">
        <f>_xlfn.XLOOKUP(Table1820[[#This Row],[Advanced Safety Features]],Table10[Advanced Safety Features],Table10[Advanced Safety Features Factor],,0)</f>
        <v>1</v>
      </c>
      <c r="AK962">
        <f>_xlfn.XLOOKUP(Table1820[[#This Row],[Deductible]],Table12[Deductible],Table12[Deductible Factor],,0)</f>
        <v>1</v>
      </c>
      <c r="AL962">
        <f>_xlfn.XLOOKUP(Table1820[[#This Row],[Coverage Limit]],Table13[Coverage Limit],Table13[Coverage Limit Factor],,0)</f>
        <v>0.72</v>
      </c>
      <c r="AM962">
        <f>IF(Table1820[[#This Row],[Good Student Discount]]="Yes",'Rate Book'!$D$126,1)</f>
        <v>1</v>
      </c>
      <c r="AN962">
        <f>IF(Table1820[[#This Row],[Good Driver Discount]]="Yes",'Rate Book'!$D$127,1)</f>
        <v>1</v>
      </c>
      <c r="AO962">
        <f>IF(Table1820[[#This Row],[Multi Policy Discount]]="Yes",'Rate Book'!$D$128,1)</f>
        <v>1</v>
      </c>
      <c r="AP962">
        <f>IF(Table1820[[#This Row],[Loyal Customer Discount]]="Yes",'Rate Book'!$D$129,1)</f>
        <v>1</v>
      </c>
      <c r="AQ962">
        <f>IF(Table1820[[#This Row],[Organization Discount]]="Yes",'Rate Book'!$D$130,1)</f>
        <v>1</v>
      </c>
      <c r="AR962" cm="1">
        <f t="array" ref="AR962">IF(Table1820[[#This Row],[Effective Date]]&gt;=RateChangeTable[Effective Date],RateChangeTable[Rate Change Factor],1)</f>
        <v>1</v>
      </c>
      <c r="AS962" s="10">
        <f>PRODUCT(Table1820[[#This Row],[Base Rate]:[Rate Change Factor]])</f>
        <v>591.02852145529812</v>
      </c>
      <c r="AT962" s="9">
        <f>Table1820[[#This Row],[System-Generated Premium]]-Table1820[[#This Row],[Expected Premium]]</f>
        <v>0</v>
      </c>
      <c r="AU962" t="str">
        <f>IF(Table1820[[#This Row],[Difference]]=0,"PASS","FAIL")</f>
        <v>PASS</v>
      </c>
      <c r="AV962" s="9">
        <f>ABS(Table1820[[#This Row],[Difference]])</f>
        <v>0</v>
      </c>
      <c r="AW962" s="9" t="s">
        <v>1136</v>
      </c>
    </row>
    <row r="963" spans="1:49" x14ac:dyDescent="0.3">
      <c r="A963" t="s">
        <v>1054</v>
      </c>
      <c r="B963" s="7">
        <v>45796</v>
      </c>
      <c r="C963" t="s">
        <v>70</v>
      </c>
      <c r="D963" t="s">
        <v>1098</v>
      </c>
      <c r="E963" s="3">
        <v>4</v>
      </c>
      <c r="F963" s="3">
        <v>4</v>
      </c>
      <c r="G963" t="s">
        <v>10</v>
      </c>
      <c r="H963" t="s">
        <v>1107</v>
      </c>
      <c r="I963" t="s">
        <v>41</v>
      </c>
      <c r="J963" t="s">
        <v>48</v>
      </c>
      <c r="K963" t="s">
        <v>10</v>
      </c>
      <c r="L963" t="s">
        <v>10</v>
      </c>
      <c r="M963" t="s">
        <v>10</v>
      </c>
      <c r="N963" t="s">
        <v>57</v>
      </c>
      <c r="O963" t="str">
        <f>INDEX(CoverageTable[Deductible Applies],MATCH(Table1820[[#This Row],[Coverage]],CoverageTable[Coverage],0))</f>
        <v>No</v>
      </c>
      <c r="P963" t="str">
        <f>INDEX(CoverageTable[Coverage Limit Applies],MATCH(Table1820[[#This Row],[Coverage]],CoverageTable[Coverage],0))</f>
        <v>Yes</v>
      </c>
      <c r="Q963" t="s">
        <v>10</v>
      </c>
      <c r="R963" t="s">
        <v>78</v>
      </c>
      <c r="S963" t="s">
        <v>10</v>
      </c>
      <c r="T963" t="s">
        <v>10</v>
      </c>
      <c r="U963" t="s">
        <v>57</v>
      </c>
      <c r="V963" t="s">
        <v>10</v>
      </c>
      <c r="W963" t="s">
        <v>10</v>
      </c>
      <c r="X963" s="11">
        <v>816.61865050289168</v>
      </c>
      <c r="Y963">
        <f>_xlfn.XLOOKUP(Table1820[[#This Row],[Coverage]],CoverageTable[Coverage],CoverageTable[Base Rate],,0)</f>
        <v>622</v>
      </c>
      <c r="Z963">
        <f>INDEX(Table16[Ageband Factor],MATCH(Table1820[[#This Row],[Ageband]],Table16[Ageband],0))</f>
        <v>1.23</v>
      </c>
      <c r="AA963">
        <f>VLOOKUP(Table1820[[#This Row],[Years Driving]],Table1[],2)</f>
        <v>1.1499999999999999</v>
      </c>
      <c r="AB963">
        <f>_xlfn.XLOOKUP(Table1820[[#This Row],[At Fault Accidents]],Table2[At Fault Accidents],Table2[At Fault Accident Factor],,0)</f>
        <v>2.12</v>
      </c>
      <c r="AC963">
        <f>_xlfn.XLOOKUP(Table1820[[#This Row],[Usage-Based Insurance]],Table3[Usage-Based Insurance],Table3[Usage-Based Insurance Discount],,0)</f>
        <v>1</v>
      </c>
      <c r="AD963">
        <f>_xlfn.XLOOKUP(Table1820[[#This Row],[Yearly Miles]],Table4[Yearly Miles],Table4[Yearly Miles Factor],,0)</f>
        <v>0.93</v>
      </c>
      <c r="AE963">
        <f>_xlfn.XLOOKUP(Table1820[[#This Row],[City/Zip Code]],Table5[City/Zip Code],Table5[City/Zip Code Factor],,0)</f>
        <v>1.1499999999999999</v>
      </c>
      <c r="AF963">
        <f>_xlfn.XLOOKUP(Table1820[[#This Row],[Vehicle Price]],Table6[Vehicle Price],Table6[Vehicle Price Factor])</f>
        <v>0.82</v>
      </c>
      <c r="AG963">
        <f>_xlfn.XLOOKUP(Table1820[[#This Row],[Exotic Car]],Table7[Exotic Car],Table7[Exotic Car Factor],,0)</f>
        <v>1</v>
      </c>
      <c r="AH963">
        <f>_xlfn.XLOOKUP(Table1820[[#This Row],[Difficult Parts]],Table8[Difficult Parts],Table8[Difficult Parts Factor],,0)</f>
        <v>1</v>
      </c>
      <c r="AI963">
        <f>_xlfn.XLOOKUP(Table1820[[#This Row],[High Theft Rate]],Table9[High Theft Rate],Table9[High Theft Rate Factor],,0)</f>
        <v>1</v>
      </c>
      <c r="AJ963">
        <f>_xlfn.XLOOKUP(Table1820[[#This Row],[Advanced Safety Features]],Table10[Advanced Safety Features],Table10[Advanced Safety Features Factor],,0)</f>
        <v>0.88</v>
      </c>
      <c r="AK963">
        <f>_xlfn.XLOOKUP(Table1820[[#This Row],[Deductible]],Table12[Deductible],Table12[Deductible Factor],,0)</f>
        <v>1</v>
      </c>
      <c r="AL963">
        <f>_xlfn.XLOOKUP(Table1820[[#This Row],[Coverage Limit]],Table13[Coverage Limit],Table13[Coverage Limit Factor],,0)</f>
        <v>0.61</v>
      </c>
      <c r="AM963">
        <f>IF(Table1820[[#This Row],[Good Student Discount]]="Yes",'Rate Book'!$D$126,1)</f>
        <v>1</v>
      </c>
      <c r="AN963">
        <f>IF(Table1820[[#This Row],[Good Driver Discount]]="Yes",'Rate Book'!$D$127,1)</f>
        <v>1</v>
      </c>
      <c r="AO963">
        <f>IF(Table1820[[#This Row],[Multi Policy Discount]]="Yes",'Rate Book'!$D$128,1)</f>
        <v>0.93</v>
      </c>
      <c r="AP963">
        <f>IF(Table1820[[#This Row],[Loyal Customer Discount]]="Yes",'Rate Book'!$D$129,1)</f>
        <v>1</v>
      </c>
      <c r="AQ963">
        <f>IF(Table1820[[#This Row],[Organization Discount]]="Yes",'Rate Book'!$D$130,1)</f>
        <v>1</v>
      </c>
      <c r="AR963" cm="1">
        <f t="array" ref="AR963">IF(Table1820[[#This Row],[Effective Date]]&gt;=RateChangeTable[Effective Date],RateChangeTable[Rate Change Factor],1)</f>
        <v>1</v>
      </c>
      <c r="AS963" s="10">
        <f>PRODUCT(Table1820[[#This Row],[Base Rate]:[Rate Change Factor]])</f>
        <v>816.61865050289168</v>
      </c>
      <c r="AT963" s="9">
        <f>Table1820[[#This Row],[System-Generated Premium]]-Table1820[[#This Row],[Expected Premium]]</f>
        <v>0</v>
      </c>
      <c r="AU963" t="str">
        <f>IF(Table1820[[#This Row],[Difference]]=0,"PASS","FAIL")</f>
        <v>PASS</v>
      </c>
      <c r="AV963" s="9">
        <f>ABS(Table1820[[#This Row],[Difference]])</f>
        <v>0</v>
      </c>
      <c r="AW963" s="9" t="s">
        <v>1136</v>
      </c>
    </row>
    <row r="964" spans="1:49" x14ac:dyDescent="0.3">
      <c r="A964" t="s">
        <v>1055</v>
      </c>
      <c r="B964" s="7">
        <v>45999</v>
      </c>
      <c r="C964" t="s">
        <v>70</v>
      </c>
      <c r="D964" t="s">
        <v>1098</v>
      </c>
      <c r="E964" s="3">
        <v>1</v>
      </c>
      <c r="F964" s="3">
        <v>2</v>
      </c>
      <c r="G964" t="s">
        <v>10</v>
      </c>
      <c r="H964" t="s">
        <v>1110</v>
      </c>
      <c r="I964" t="s">
        <v>24</v>
      </c>
      <c r="J964" t="s">
        <v>51</v>
      </c>
      <c r="K964" t="s">
        <v>10</v>
      </c>
      <c r="L964" t="s">
        <v>10</v>
      </c>
      <c r="M964" t="s">
        <v>10</v>
      </c>
      <c r="N964" t="s">
        <v>10</v>
      </c>
      <c r="O964" t="str">
        <f>INDEX(CoverageTable[Deductible Applies],MATCH(Table1820[[#This Row],[Coverage]],CoverageTable[Coverage],0))</f>
        <v>No</v>
      </c>
      <c r="P964" t="str">
        <f>INDEX(CoverageTable[Coverage Limit Applies],MATCH(Table1820[[#This Row],[Coverage]],CoverageTable[Coverage],0))</f>
        <v>Yes</v>
      </c>
      <c r="Q964" t="s">
        <v>10</v>
      </c>
      <c r="R964" t="s">
        <v>80</v>
      </c>
      <c r="S964" t="s">
        <v>10</v>
      </c>
      <c r="T964" t="s">
        <v>57</v>
      </c>
      <c r="U964" t="s">
        <v>10</v>
      </c>
      <c r="V964" t="s">
        <v>10</v>
      </c>
      <c r="W964" t="s">
        <v>10</v>
      </c>
      <c r="X964" s="11">
        <v>2901.1391632537247</v>
      </c>
      <c r="Y964">
        <f>_xlfn.XLOOKUP(Table1820[[#This Row],[Coverage]],CoverageTable[Coverage],CoverageTable[Base Rate],,0)</f>
        <v>622</v>
      </c>
      <c r="Z964">
        <f>INDEX(Table16[Ageband Factor],MATCH(Table1820[[#This Row],[Ageband]],Table16[Ageband],0))</f>
        <v>1.23</v>
      </c>
      <c r="AA964">
        <f>VLOOKUP(Table1820[[#This Row],[Years Driving]],Table1[],2)</f>
        <v>1.64</v>
      </c>
      <c r="AB964">
        <f>_xlfn.XLOOKUP(Table1820[[#This Row],[At Fault Accidents]],Table2[At Fault Accidents],Table2[At Fault Accident Factor],,0)</f>
        <v>1.55</v>
      </c>
      <c r="AC964">
        <f>_xlfn.XLOOKUP(Table1820[[#This Row],[Usage-Based Insurance]],Table3[Usage-Based Insurance],Table3[Usage-Based Insurance Discount],,0)</f>
        <v>1</v>
      </c>
      <c r="AD964">
        <f>_xlfn.XLOOKUP(Table1820[[#This Row],[Yearly Miles]],Table4[Yearly Miles],Table4[Yearly Miles Factor],,0)</f>
        <v>1.31</v>
      </c>
      <c r="AE964">
        <f>_xlfn.XLOOKUP(Table1820[[#This Row],[City/Zip Code]],Table5[City/Zip Code],Table5[City/Zip Code Factor],,0)</f>
        <v>1.19</v>
      </c>
      <c r="AF964">
        <f>_xlfn.XLOOKUP(Table1820[[#This Row],[Vehicle Price]],Table6[Vehicle Price],Table6[Vehicle Price Factor])</f>
        <v>1.28</v>
      </c>
      <c r="AG964">
        <f>_xlfn.XLOOKUP(Table1820[[#This Row],[Exotic Car]],Table7[Exotic Car],Table7[Exotic Car Factor],,0)</f>
        <v>1</v>
      </c>
      <c r="AH964">
        <f>_xlfn.XLOOKUP(Table1820[[#This Row],[Difficult Parts]],Table8[Difficult Parts],Table8[Difficult Parts Factor],,0)</f>
        <v>1</v>
      </c>
      <c r="AI964">
        <f>_xlfn.XLOOKUP(Table1820[[#This Row],[High Theft Rate]],Table9[High Theft Rate],Table9[High Theft Rate Factor],,0)</f>
        <v>1</v>
      </c>
      <c r="AJ964">
        <f>_xlfn.XLOOKUP(Table1820[[#This Row],[Advanced Safety Features]],Table10[Advanced Safety Features],Table10[Advanced Safety Features Factor],,0)</f>
        <v>1</v>
      </c>
      <c r="AK964">
        <f>_xlfn.XLOOKUP(Table1820[[#This Row],[Deductible]],Table12[Deductible],Table12[Deductible Factor],,0)</f>
        <v>1</v>
      </c>
      <c r="AL964">
        <f>_xlfn.XLOOKUP(Table1820[[#This Row],[Coverage Limit]],Table13[Coverage Limit],Table13[Coverage Limit Factor],,0)</f>
        <v>0.84</v>
      </c>
      <c r="AM964">
        <f>IF(Table1820[[#This Row],[Good Student Discount]]="Yes",'Rate Book'!$D$126,1)</f>
        <v>1</v>
      </c>
      <c r="AN964">
        <f>IF(Table1820[[#This Row],[Good Driver Discount]]="Yes",'Rate Book'!$D$127,1)</f>
        <v>0.89</v>
      </c>
      <c r="AO964">
        <f>IF(Table1820[[#This Row],[Multi Policy Discount]]="Yes",'Rate Book'!$D$128,1)</f>
        <v>1</v>
      </c>
      <c r="AP964">
        <f>IF(Table1820[[#This Row],[Loyal Customer Discount]]="Yes",'Rate Book'!$D$129,1)</f>
        <v>1</v>
      </c>
      <c r="AQ964">
        <f>IF(Table1820[[#This Row],[Organization Discount]]="Yes",'Rate Book'!$D$130,1)</f>
        <v>1</v>
      </c>
      <c r="AR964" cm="1">
        <f t="array" ref="AR964">IF(Table1820[[#This Row],[Effective Date]]&gt;=RateChangeTable[Effective Date],RateChangeTable[Rate Change Factor],1)</f>
        <v>1</v>
      </c>
      <c r="AS964" s="10">
        <f>PRODUCT(Table1820[[#This Row],[Base Rate]:[Rate Change Factor]])</f>
        <v>2901.1391632537247</v>
      </c>
      <c r="AT964" s="9">
        <f>Table1820[[#This Row],[System-Generated Premium]]-Table1820[[#This Row],[Expected Premium]]</f>
        <v>0</v>
      </c>
      <c r="AU964" t="str">
        <f>IF(Table1820[[#This Row],[Difference]]=0,"PASS","FAIL")</f>
        <v>PASS</v>
      </c>
      <c r="AV964" s="9">
        <f>ABS(Table1820[[#This Row],[Difference]])</f>
        <v>0</v>
      </c>
      <c r="AW964" s="9" t="s">
        <v>1136</v>
      </c>
    </row>
    <row r="965" spans="1:49" x14ac:dyDescent="0.3">
      <c r="A965" t="s">
        <v>1056</v>
      </c>
      <c r="B965" s="7">
        <v>45863</v>
      </c>
      <c r="C965" t="s">
        <v>71</v>
      </c>
      <c r="D965" t="s">
        <v>1101</v>
      </c>
      <c r="E965" s="3">
        <v>7</v>
      </c>
      <c r="F965" s="3">
        <v>0</v>
      </c>
      <c r="G965" t="s">
        <v>10</v>
      </c>
      <c r="H965" t="s">
        <v>1106</v>
      </c>
      <c r="I965" t="s">
        <v>42</v>
      </c>
      <c r="J965" t="s">
        <v>49</v>
      </c>
      <c r="K965" t="s">
        <v>57</v>
      </c>
      <c r="L965" t="s">
        <v>10</v>
      </c>
      <c r="M965" t="s">
        <v>57</v>
      </c>
      <c r="N965" t="s">
        <v>10</v>
      </c>
      <c r="O965" t="str">
        <f>INDEX(CoverageTable[Deductible Applies],MATCH(Table1820[[#This Row],[Coverage]],CoverageTable[Coverage],0))</f>
        <v>Yes</v>
      </c>
      <c r="P965" t="str">
        <f>INDEX(CoverageTable[Coverage Limit Applies],MATCH(Table1820[[#This Row],[Coverage]],CoverageTable[Coverage],0))</f>
        <v>No</v>
      </c>
      <c r="Q965" t="s">
        <v>78</v>
      </c>
      <c r="R965" t="s">
        <v>10</v>
      </c>
      <c r="S965" t="s">
        <v>10</v>
      </c>
      <c r="T965" t="s">
        <v>10</v>
      </c>
      <c r="U965" t="s">
        <v>10</v>
      </c>
      <c r="V965" t="s">
        <v>10</v>
      </c>
      <c r="W965" t="s">
        <v>10</v>
      </c>
      <c r="X965" s="11">
        <v>654.33831469805557</v>
      </c>
      <c r="Y965">
        <f>_xlfn.XLOOKUP(Table1820[[#This Row],[Coverage]],CoverageTable[Coverage],CoverageTable[Base Rate],,0)</f>
        <v>453</v>
      </c>
      <c r="Z965">
        <f>INDEX(Table16[Ageband Factor],MATCH(Table1820[[#This Row],[Ageband]],Table16[Ageband],0))</f>
        <v>1.1200000000000001</v>
      </c>
      <c r="AA965">
        <f>VLOOKUP(Table1820[[#This Row],[Years Driving]],Table1[],2)</f>
        <v>0.95</v>
      </c>
      <c r="AB965">
        <f>_xlfn.XLOOKUP(Table1820[[#This Row],[At Fault Accidents]],Table2[At Fault Accidents],Table2[At Fault Accident Factor],,0)</f>
        <v>1</v>
      </c>
      <c r="AC965">
        <f>_xlfn.XLOOKUP(Table1820[[#This Row],[Usage-Based Insurance]],Table3[Usage-Based Insurance],Table3[Usage-Based Insurance Discount],,0)</f>
        <v>1</v>
      </c>
      <c r="AD965">
        <f>_xlfn.XLOOKUP(Table1820[[#This Row],[Yearly Miles]],Table4[Yearly Miles],Table4[Yearly Miles Factor],,0)</f>
        <v>0.82</v>
      </c>
      <c r="AE965">
        <f>_xlfn.XLOOKUP(Table1820[[#This Row],[City/Zip Code]],Table5[City/Zip Code],Table5[City/Zip Code Factor],,0)</f>
        <v>1.21</v>
      </c>
      <c r="AF965">
        <f>_xlfn.XLOOKUP(Table1820[[#This Row],[Vehicle Price]],Table6[Vehicle Price],Table6[Vehicle Price Factor])</f>
        <v>0.97</v>
      </c>
      <c r="AG965">
        <f>_xlfn.XLOOKUP(Table1820[[#This Row],[Exotic Car]],Table7[Exotic Car],Table7[Exotic Car Factor],,0)</f>
        <v>1.28</v>
      </c>
      <c r="AH965">
        <f>_xlfn.XLOOKUP(Table1820[[#This Row],[Difficult Parts]],Table8[Difficult Parts],Table8[Difficult Parts Factor],,0)</f>
        <v>1</v>
      </c>
      <c r="AI965">
        <f>_xlfn.XLOOKUP(Table1820[[#This Row],[High Theft Rate]],Table9[High Theft Rate],Table9[High Theft Rate Factor],,0)</f>
        <v>1.1599999999999999</v>
      </c>
      <c r="AJ965">
        <f>_xlfn.XLOOKUP(Table1820[[#This Row],[Advanced Safety Features]],Table10[Advanced Safety Features],Table10[Advanced Safety Features Factor],,0)</f>
        <v>1</v>
      </c>
      <c r="AK965">
        <f>_xlfn.XLOOKUP(Table1820[[#This Row],[Deductible]],Table12[Deductible],Table12[Deductible Factor],,0)</f>
        <v>0.95</v>
      </c>
      <c r="AL965">
        <f>_xlfn.XLOOKUP(Table1820[[#This Row],[Coverage Limit]],Table13[Coverage Limit],Table13[Coverage Limit Factor],,0)</f>
        <v>1</v>
      </c>
      <c r="AM965">
        <f>IF(Table1820[[#This Row],[Good Student Discount]]="Yes",'Rate Book'!$D$126,1)</f>
        <v>1</v>
      </c>
      <c r="AN965">
        <f>IF(Table1820[[#This Row],[Good Driver Discount]]="Yes",'Rate Book'!$D$127,1)</f>
        <v>1</v>
      </c>
      <c r="AO965">
        <f>IF(Table1820[[#This Row],[Multi Policy Discount]]="Yes",'Rate Book'!$D$128,1)</f>
        <v>1</v>
      </c>
      <c r="AP965">
        <f>IF(Table1820[[#This Row],[Loyal Customer Discount]]="Yes",'Rate Book'!$D$129,1)</f>
        <v>1</v>
      </c>
      <c r="AQ965">
        <f>IF(Table1820[[#This Row],[Organization Discount]]="Yes",'Rate Book'!$D$130,1)</f>
        <v>1</v>
      </c>
      <c r="AR965" cm="1">
        <f t="array" ref="AR965">IF(Table1820[[#This Row],[Effective Date]]&gt;=RateChangeTable[Effective Date],RateChangeTable[Rate Change Factor],1)</f>
        <v>1</v>
      </c>
      <c r="AS965" s="10">
        <f>PRODUCT(Table1820[[#This Row],[Base Rate]:[Rate Change Factor]])</f>
        <v>654.33831469805557</v>
      </c>
      <c r="AT965" s="9">
        <f>Table1820[[#This Row],[System-Generated Premium]]-Table1820[[#This Row],[Expected Premium]]</f>
        <v>0</v>
      </c>
      <c r="AU965" t="str">
        <f>IF(Table1820[[#This Row],[Difference]]=0,"PASS","FAIL")</f>
        <v>PASS</v>
      </c>
      <c r="AV965" s="9">
        <f>ABS(Table1820[[#This Row],[Difference]])</f>
        <v>0</v>
      </c>
      <c r="AW965" s="9" t="s">
        <v>1136</v>
      </c>
    </row>
    <row r="966" spans="1:49" x14ac:dyDescent="0.3">
      <c r="A966" t="s">
        <v>1057</v>
      </c>
      <c r="B966" s="7">
        <v>45983</v>
      </c>
      <c r="C966" t="s">
        <v>70</v>
      </c>
      <c r="D966" t="s">
        <v>1097</v>
      </c>
      <c r="E966" s="3">
        <v>1</v>
      </c>
      <c r="F966" s="3">
        <v>0</v>
      </c>
      <c r="G966" t="s">
        <v>10</v>
      </c>
      <c r="H966" t="s">
        <v>1107</v>
      </c>
      <c r="I966" t="s">
        <v>43</v>
      </c>
      <c r="J966" t="s">
        <v>50</v>
      </c>
      <c r="K966" t="s">
        <v>10</v>
      </c>
      <c r="L966" t="s">
        <v>10</v>
      </c>
      <c r="M966" t="s">
        <v>10</v>
      </c>
      <c r="N966" t="s">
        <v>10</v>
      </c>
      <c r="O966" t="str">
        <f>INDEX(CoverageTable[Deductible Applies],MATCH(Table1820[[#This Row],[Coverage]],CoverageTable[Coverage],0))</f>
        <v>No</v>
      </c>
      <c r="P966" t="str">
        <f>INDEX(CoverageTable[Coverage Limit Applies],MATCH(Table1820[[#This Row],[Coverage]],CoverageTable[Coverage],0))</f>
        <v>Yes</v>
      </c>
      <c r="Q966" t="s">
        <v>10</v>
      </c>
      <c r="R966" t="s">
        <v>80</v>
      </c>
      <c r="S966" t="s">
        <v>57</v>
      </c>
      <c r="T966" t="s">
        <v>57</v>
      </c>
      <c r="U966" t="s">
        <v>57</v>
      </c>
      <c r="V966" t="s">
        <v>10</v>
      </c>
      <c r="W966" t="s">
        <v>10</v>
      </c>
      <c r="X966" s="11">
        <v>1146.96</v>
      </c>
      <c r="Y966">
        <f>_xlfn.XLOOKUP(Table1820[[#This Row],[Coverage]],CoverageTable[Coverage],CoverageTable[Base Rate],,0)</f>
        <v>622</v>
      </c>
      <c r="Z966">
        <f>INDEX(Table16[Ageband Factor],MATCH(Table1820[[#This Row],[Ageband]],Table16[Ageband],0))</f>
        <v>1.32</v>
      </c>
      <c r="AA966">
        <f>VLOOKUP(Table1820[[#This Row],[Years Driving]],Table1[],2)</f>
        <v>1.64</v>
      </c>
      <c r="AB966">
        <f>_xlfn.XLOOKUP(Table1820[[#This Row],[At Fault Accidents]],Table2[At Fault Accidents],Table2[At Fault Accident Factor],,0)</f>
        <v>1</v>
      </c>
      <c r="AC966">
        <f>_xlfn.XLOOKUP(Table1820[[#This Row],[Usage-Based Insurance]],Table3[Usage-Based Insurance],Table3[Usage-Based Insurance Discount],,0)</f>
        <v>1</v>
      </c>
      <c r="AD966">
        <f>_xlfn.XLOOKUP(Table1820[[#This Row],[Yearly Miles]],Table4[Yearly Miles],Table4[Yearly Miles Factor],,0)</f>
        <v>0.93</v>
      </c>
      <c r="AE966">
        <f>_xlfn.XLOOKUP(Table1820[[#This Row],[City/Zip Code]],Table5[City/Zip Code],Table5[City/Zip Code Factor],,0)</f>
        <v>1.18</v>
      </c>
      <c r="AF966">
        <f>_xlfn.XLOOKUP(Table1820[[#This Row],[Vehicle Price]],Table6[Vehicle Price],Table6[Vehicle Price Factor])</f>
        <v>1.08</v>
      </c>
      <c r="AG966">
        <f>_xlfn.XLOOKUP(Table1820[[#This Row],[Exotic Car]],Table7[Exotic Car],Table7[Exotic Car Factor],,0)</f>
        <v>1</v>
      </c>
      <c r="AH966">
        <f>_xlfn.XLOOKUP(Table1820[[#This Row],[Difficult Parts]],Table8[Difficult Parts],Table8[Difficult Parts Factor],,0)</f>
        <v>1</v>
      </c>
      <c r="AI966">
        <f>_xlfn.XLOOKUP(Table1820[[#This Row],[High Theft Rate]],Table9[High Theft Rate],Table9[High Theft Rate Factor],,0)</f>
        <v>1</v>
      </c>
      <c r="AJ966">
        <f>_xlfn.XLOOKUP(Table1820[[#This Row],[Advanced Safety Features]],Table10[Advanced Safety Features],Table10[Advanced Safety Features Factor],,0)</f>
        <v>1</v>
      </c>
      <c r="AK966">
        <f>_xlfn.XLOOKUP(Table1820[[#This Row],[Deductible]],Table12[Deductible],Table12[Deductible Factor],,0)</f>
        <v>1</v>
      </c>
      <c r="AL966">
        <f>_xlfn.XLOOKUP(Table1820[[#This Row],[Coverage Limit]],Table13[Coverage Limit],Table13[Coverage Limit Factor],,0)</f>
        <v>0.84</v>
      </c>
      <c r="AM966">
        <f>IF(Table1820[[#This Row],[Good Student Discount]]="Yes",'Rate Book'!$D$126,1)</f>
        <v>0.92</v>
      </c>
      <c r="AN966">
        <f>IF(Table1820[[#This Row],[Good Driver Discount]]="Yes",'Rate Book'!$D$127,1)</f>
        <v>0.89</v>
      </c>
      <c r="AO966">
        <f>IF(Table1820[[#This Row],[Multi Policy Discount]]="Yes",'Rate Book'!$D$128,1)</f>
        <v>0.93</v>
      </c>
      <c r="AP966">
        <f>IF(Table1820[[#This Row],[Loyal Customer Discount]]="Yes",'Rate Book'!$D$129,1)</f>
        <v>1</v>
      </c>
      <c r="AQ966">
        <f>IF(Table1820[[#This Row],[Organization Discount]]="Yes",'Rate Book'!$D$130,1)</f>
        <v>1</v>
      </c>
      <c r="AR966" cm="1">
        <f t="array" ref="AR966">IF(Table1820[[#This Row],[Effective Date]]&gt;=RateChangeTable[Effective Date],RateChangeTable[Rate Change Factor],1)</f>
        <v>1</v>
      </c>
      <c r="AS966" s="10">
        <f>PRODUCT(Table1820[[#This Row],[Base Rate]:[Rate Change Factor]])</f>
        <v>1020.7912621805841</v>
      </c>
      <c r="AT966" s="9">
        <f>Table1820[[#This Row],[System-Generated Premium]]-Table1820[[#This Row],[Expected Premium]]</f>
        <v>126.16873781941592</v>
      </c>
      <c r="AU966" t="str">
        <f>IF(Table1820[[#This Row],[Difference]]=0,"PASS","FAIL")</f>
        <v>FAIL</v>
      </c>
      <c r="AV966" s="9">
        <f>ABS(Table1820[[#This Row],[Difference]])</f>
        <v>126.16873781941592</v>
      </c>
      <c r="AW966" s="9" t="s">
        <v>1138</v>
      </c>
    </row>
    <row r="967" spans="1:49" x14ac:dyDescent="0.3">
      <c r="A967" t="s">
        <v>1058</v>
      </c>
      <c r="B967" s="7">
        <v>45964</v>
      </c>
      <c r="C967" t="s">
        <v>71</v>
      </c>
      <c r="D967" t="s">
        <v>1100</v>
      </c>
      <c r="E967" s="3">
        <v>6</v>
      </c>
      <c r="F967" s="3">
        <v>2</v>
      </c>
      <c r="G967" t="s">
        <v>10</v>
      </c>
      <c r="H967" t="s">
        <v>1107</v>
      </c>
      <c r="I967" t="s">
        <v>22</v>
      </c>
      <c r="J967" t="s">
        <v>50</v>
      </c>
      <c r="K967" t="s">
        <v>10</v>
      </c>
      <c r="L967" t="s">
        <v>10</v>
      </c>
      <c r="M967" t="s">
        <v>10</v>
      </c>
      <c r="N967" t="s">
        <v>10</v>
      </c>
      <c r="O967" t="str">
        <f>INDEX(CoverageTable[Deductible Applies],MATCH(Table1820[[#This Row],[Coverage]],CoverageTable[Coverage],0))</f>
        <v>Yes</v>
      </c>
      <c r="P967" t="str">
        <f>INDEX(CoverageTable[Coverage Limit Applies],MATCH(Table1820[[#This Row],[Coverage]],CoverageTable[Coverage],0))</f>
        <v>No</v>
      </c>
      <c r="Q967" t="s">
        <v>79</v>
      </c>
      <c r="R967" t="s">
        <v>10</v>
      </c>
      <c r="S967" t="s">
        <v>10</v>
      </c>
      <c r="T967" t="s">
        <v>10</v>
      </c>
      <c r="U967" t="s">
        <v>10</v>
      </c>
      <c r="V967" t="s">
        <v>10</v>
      </c>
      <c r="W967" t="s">
        <v>10</v>
      </c>
      <c r="X967" s="11">
        <v>766.98176424408018</v>
      </c>
      <c r="Y967">
        <f>_xlfn.XLOOKUP(Table1820[[#This Row],[Coverage]],CoverageTable[Coverage],CoverageTable[Base Rate],,0)</f>
        <v>453</v>
      </c>
      <c r="Z967">
        <f>INDEX(Table16[Ageband Factor],MATCH(Table1820[[#This Row],[Ageband]],Table16[Ageband],0))</f>
        <v>1.07</v>
      </c>
      <c r="AA967">
        <f>VLOOKUP(Table1820[[#This Row],[Years Driving]],Table1[],2)</f>
        <v>1</v>
      </c>
      <c r="AB967">
        <f>_xlfn.XLOOKUP(Table1820[[#This Row],[At Fault Accidents]],Table2[At Fault Accidents],Table2[At Fault Accident Factor],,0)</f>
        <v>1.55</v>
      </c>
      <c r="AC967">
        <f>_xlfn.XLOOKUP(Table1820[[#This Row],[Usage-Based Insurance]],Table3[Usage-Based Insurance],Table3[Usage-Based Insurance Discount],,0)</f>
        <v>1</v>
      </c>
      <c r="AD967">
        <f>_xlfn.XLOOKUP(Table1820[[#This Row],[Yearly Miles]],Table4[Yearly Miles],Table4[Yearly Miles Factor],,0)</f>
        <v>0.93</v>
      </c>
      <c r="AE967">
        <f>_xlfn.XLOOKUP(Table1820[[#This Row],[City/Zip Code]],Table5[City/Zip Code],Table5[City/Zip Code Factor],,0)</f>
        <v>1.21</v>
      </c>
      <c r="AF967">
        <f>_xlfn.XLOOKUP(Table1820[[#This Row],[Vehicle Price]],Table6[Vehicle Price],Table6[Vehicle Price Factor])</f>
        <v>1.08</v>
      </c>
      <c r="AG967">
        <f>_xlfn.XLOOKUP(Table1820[[#This Row],[Exotic Car]],Table7[Exotic Car],Table7[Exotic Car Factor],,0)</f>
        <v>1</v>
      </c>
      <c r="AH967">
        <f>_xlfn.XLOOKUP(Table1820[[#This Row],[Difficult Parts]],Table8[Difficult Parts],Table8[Difficult Parts Factor],,0)</f>
        <v>1</v>
      </c>
      <c r="AI967">
        <f>_xlfn.XLOOKUP(Table1820[[#This Row],[High Theft Rate]],Table9[High Theft Rate],Table9[High Theft Rate Factor],,0)</f>
        <v>1</v>
      </c>
      <c r="AJ967">
        <f>_xlfn.XLOOKUP(Table1820[[#This Row],[Advanced Safety Features]],Table10[Advanced Safety Features],Table10[Advanced Safety Features Factor],,0)</f>
        <v>1</v>
      </c>
      <c r="AK967">
        <f>_xlfn.XLOOKUP(Table1820[[#This Row],[Deductible]],Table12[Deductible],Table12[Deductible Factor],,0)</f>
        <v>0.84</v>
      </c>
      <c r="AL967">
        <f>_xlfn.XLOOKUP(Table1820[[#This Row],[Coverage Limit]],Table13[Coverage Limit],Table13[Coverage Limit Factor],,0)</f>
        <v>1</v>
      </c>
      <c r="AM967">
        <f>IF(Table1820[[#This Row],[Good Student Discount]]="Yes",'Rate Book'!$D$126,1)</f>
        <v>1</v>
      </c>
      <c r="AN967">
        <f>IF(Table1820[[#This Row],[Good Driver Discount]]="Yes",'Rate Book'!$D$127,1)</f>
        <v>1</v>
      </c>
      <c r="AO967">
        <f>IF(Table1820[[#This Row],[Multi Policy Discount]]="Yes",'Rate Book'!$D$128,1)</f>
        <v>1</v>
      </c>
      <c r="AP967">
        <f>IF(Table1820[[#This Row],[Loyal Customer Discount]]="Yes",'Rate Book'!$D$129,1)</f>
        <v>1</v>
      </c>
      <c r="AQ967">
        <f>IF(Table1820[[#This Row],[Organization Discount]]="Yes",'Rate Book'!$D$130,1)</f>
        <v>1</v>
      </c>
      <c r="AR967" cm="1">
        <f t="array" ref="AR967">IF(Table1820[[#This Row],[Effective Date]]&gt;=RateChangeTable[Effective Date],RateChangeTable[Rate Change Factor],1)</f>
        <v>1</v>
      </c>
      <c r="AS967" s="10">
        <f>PRODUCT(Table1820[[#This Row],[Base Rate]:[Rate Change Factor]])</f>
        <v>766.98176424408018</v>
      </c>
      <c r="AT967" s="9">
        <f>Table1820[[#This Row],[System-Generated Premium]]-Table1820[[#This Row],[Expected Premium]]</f>
        <v>0</v>
      </c>
      <c r="AU967" t="str">
        <f>IF(Table1820[[#This Row],[Difference]]=0,"PASS","FAIL")</f>
        <v>PASS</v>
      </c>
      <c r="AV967" s="9">
        <f>ABS(Table1820[[#This Row],[Difference]])</f>
        <v>0</v>
      </c>
      <c r="AW967" s="9" t="s">
        <v>1136</v>
      </c>
    </row>
    <row r="968" spans="1:49" x14ac:dyDescent="0.3">
      <c r="A968" t="s">
        <v>1059</v>
      </c>
      <c r="B968" s="7">
        <v>45955</v>
      </c>
      <c r="C968" t="s">
        <v>71</v>
      </c>
      <c r="D968" t="s">
        <v>1101</v>
      </c>
      <c r="E968" s="3">
        <v>4</v>
      </c>
      <c r="F968" s="3" t="s">
        <v>7</v>
      </c>
      <c r="G968" t="s">
        <v>10</v>
      </c>
      <c r="H968" t="s">
        <v>1106</v>
      </c>
      <c r="I968" t="s">
        <v>37</v>
      </c>
      <c r="J968" t="s">
        <v>51</v>
      </c>
      <c r="K968" t="s">
        <v>10</v>
      </c>
      <c r="L968" t="s">
        <v>57</v>
      </c>
      <c r="M968" t="s">
        <v>10</v>
      </c>
      <c r="N968" t="s">
        <v>10</v>
      </c>
      <c r="O968" t="str">
        <f>INDEX(CoverageTable[Deductible Applies],MATCH(Table1820[[#This Row],[Coverage]],CoverageTable[Coverage],0))</f>
        <v>Yes</v>
      </c>
      <c r="P968" t="str">
        <f>INDEX(CoverageTable[Coverage Limit Applies],MATCH(Table1820[[#This Row],[Coverage]],CoverageTable[Coverage],0))</f>
        <v>No</v>
      </c>
      <c r="Q968" t="s">
        <v>80</v>
      </c>
      <c r="R968" t="s">
        <v>10</v>
      </c>
      <c r="S968" t="s">
        <v>10</v>
      </c>
      <c r="T968" t="s">
        <v>57</v>
      </c>
      <c r="U968" t="s">
        <v>10</v>
      </c>
      <c r="V968" t="s">
        <v>10</v>
      </c>
      <c r="W968" t="s">
        <v>10</v>
      </c>
      <c r="X968" s="11">
        <v>1278.4072109921076</v>
      </c>
      <c r="Y968">
        <f>_xlfn.XLOOKUP(Table1820[[#This Row],[Coverage]],CoverageTable[Coverage],CoverageTable[Base Rate],,0)</f>
        <v>453</v>
      </c>
      <c r="Z968">
        <f>INDEX(Table16[Ageband Factor],MATCH(Table1820[[#This Row],[Ageband]],Table16[Ageband],0))</f>
        <v>1.1200000000000001</v>
      </c>
      <c r="AA968">
        <f>VLOOKUP(Table1820[[#This Row],[Years Driving]],Table1[],2)</f>
        <v>1.1499999999999999</v>
      </c>
      <c r="AB968">
        <f>_xlfn.XLOOKUP(Table1820[[#This Row],[At Fault Accidents]],Table2[At Fault Accidents],Table2[At Fault Accident Factor],,0)</f>
        <v>2.4700000000000002</v>
      </c>
      <c r="AC968">
        <f>_xlfn.XLOOKUP(Table1820[[#This Row],[Usage-Based Insurance]],Table3[Usage-Based Insurance],Table3[Usage-Based Insurance Discount],,0)</f>
        <v>1</v>
      </c>
      <c r="AD968">
        <f>_xlfn.XLOOKUP(Table1820[[#This Row],[Yearly Miles]],Table4[Yearly Miles],Table4[Yearly Miles Factor],,0)</f>
        <v>0.82</v>
      </c>
      <c r="AE968">
        <f>_xlfn.XLOOKUP(Table1820[[#This Row],[City/Zip Code]],Table5[City/Zip Code],Table5[City/Zip Code Factor],,0)</f>
        <v>1.0900000000000001</v>
      </c>
      <c r="AF968">
        <f>_xlfn.XLOOKUP(Table1820[[#This Row],[Vehicle Price]],Table6[Vehicle Price],Table6[Vehicle Price Factor])</f>
        <v>1.28</v>
      </c>
      <c r="AG968">
        <f>_xlfn.XLOOKUP(Table1820[[#This Row],[Exotic Car]],Table7[Exotic Car],Table7[Exotic Car Factor],,0)</f>
        <v>1</v>
      </c>
      <c r="AH968">
        <f>_xlfn.XLOOKUP(Table1820[[#This Row],[Difficult Parts]],Table8[Difficult Parts],Table8[Difficult Parts Factor],,0)</f>
        <v>1.21</v>
      </c>
      <c r="AI968">
        <f>_xlfn.XLOOKUP(Table1820[[#This Row],[High Theft Rate]],Table9[High Theft Rate],Table9[High Theft Rate Factor],,0)</f>
        <v>1</v>
      </c>
      <c r="AJ968">
        <f>_xlfn.XLOOKUP(Table1820[[#This Row],[Advanced Safety Features]],Table10[Advanced Safety Features],Table10[Advanced Safety Features Factor],,0)</f>
        <v>1</v>
      </c>
      <c r="AK968">
        <f>_xlfn.XLOOKUP(Table1820[[#This Row],[Deductible]],Table12[Deductible],Table12[Deductible Factor],,0)</f>
        <v>0.72</v>
      </c>
      <c r="AL968">
        <f>_xlfn.XLOOKUP(Table1820[[#This Row],[Coverage Limit]],Table13[Coverage Limit],Table13[Coverage Limit Factor],,0)</f>
        <v>1</v>
      </c>
      <c r="AM968">
        <f>IF(Table1820[[#This Row],[Good Student Discount]]="Yes",'Rate Book'!$D$126,1)</f>
        <v>1</v>
      </c>
      <c r="AN968">
        <f>IF(Table1820[[#This Row],[Good Driver Discount]]="Yes",'Rate Book'!$D$127,1)</f>
        <v>0.89</v>
      </c>
      <c r="AO968">
        <f>IF(Table1820[[#This Row],[Multi Policy Discount]]="Yes",'Rate Book'!$D$128,1)</f>
        <v>1</v>
      </c>
      <c r="AP968">
        <f>IF(Table1820[[#This Row],[Loyal Customer Discount]]="Yes",'Rate Book'!$D$129,1)</f>
        <v>1</v>
      </c>
      <c r="AQ968">
        <f>IF(Table1820[[#This Row],[Organization Discount]]="Yes",'Rate Book'!$D$130,1)</f>
        <v>1</v>
      </c>
      <c r="AR968" cm="1">
        <f t="array" ref="AR968">IF(Table1820[[#This Row],[Effective Date]]&gt;=RateChangeTable[Effective Date],RateChangeTable[Rate Change Factor],1)</f>
        <v>1</v>
      </c>
      <c r="AS968" s="10">
        <f>PRODUCT(Table1820[[#This Row],[Base Rate]:[Rate Change Factor]])</f>
        <v>1278.4072109921076</v>
      </c>
      <c r="AT968" s="9">
        <f>Table1820[[#This Row],[System-Generated Premium]]-Table1820[[#This Row],[Expected Premium]]</f>
        <v>0</v>
      </c>
      <c r="AU968" t="str">
        <f>IF(Table1820[[#This Row],[Difference]]=0,"PASS","FAIL")</f>
        <v>PASS</v>
      </c>
      <c r="AV968" s="9">
        <f>ABS(Table1820[[#This Row],[Difference]])</f>
        <v>0</v>
      </c>
      <c r="AW968" s="9" t="s">
        <v>1136</v>
      </c>
    </row>
    <row r="969" spans="1:49" x14ac:dyDescent="0.3">
      <c r="A969" t="s">
        <v>1060</v>
      </c>
      <c r="B969" s="7">
        <v>45910</v>
      </c>
      <c r="C969" t="s">
        <v>72</v>
      </c>
      <c r="D969" t="s">
        <v>1099</v>
      </c>
      <c r="E969" s="3">
        <v>7</v>
      </c>
      <c r="F969" s="3">
        <v>1</v>
      </c>
      <c r="G969" t="s">
        <v>13</v>
      </c>
      <c r="H969" t="s">
        <v>1106</v>
      </c>
      <c r="I969" t="s">
        <v>44</v>
      </c>
      <c r="J969" t="s">
        <v>54</v>
      </c>
      <c r="K969" t="s">
        <v>10</v>
      </c>
      <c r="L969" t="s">
        <v>57</v>
      </c>
      <c r="M969" t="s">
        <v>10</v>
      </c>
      <c r="N969" t="s">
        <v>10</v>
      </c>
      <c r="O969" t="str">
        <f>INDEX(CoverageTable[Deductible Applies],MATCH(Table1820[[#This Row],[Coverage]],CoverageTable[Coverage],0))</f>
        <v>Yes</v>
      </c>
      <c r="P969" t="str">
        <f>INDEX(CoverageTable[Coverage Limit Applies],MATCH(Table1820[[#This Row],[Coverage]],CoverageTable[Coverage],0))</f>
        <v>No</v>
      </c>
      <c r="Q969" t="s">
        <v>80</v>
      </c>
      <c r="R969" t="s">
        <v>10</v>
      </c>
      <c r="S969" t="s">
        <v>10</v>
      </c>
      <c r="T969" t="s">
        <v>10</v>
      </c>
      <c r="U969" t="s">
        <v>57</v>
      </c>
      <c r="V969" t="s">
        <v>10</v>
      </c>
      <c r="W969" t="s">
        <v>10</v>
      </c>
      <c r="X969" s="11">
        <v>221.45305928159493</v>
      </c>
      <c r="Y969">
        <f>_xlfn.XLOOKUP(Table1820[[#This Row],[Coverage]],CoverageTable[Coverage],CoverageTable[Base Rate],,0)</f>
        <v>121</v>
      </c>
      <c r="Z969">
        <f>INDEX(Table16[Ageband Factor],MATCH(Table1820[[#This Row],[Ageband]],Table16[Ageband],0))</f>
        <v>1</v>
      </c>
      <c r="AA969">
        <f>VLOOKUP(Table1820[[#This Row],[Years Driving]],Table1[],2)</f>
        <v>0.95</v>
      </c>
      <c r="AB969">
        <f>_xlfn.XLOOKUP(Table1820[[#This Row],[At Fault Accidents]],Table2[At Fault Accidents],Table2[At Fault Accident Factor],,0)</f>
        <v>1.34</v>
      </c>
      <c r="AC969">
        <f>_xlfn.XLOOKUP(Table1820[[#This Row],[Usage-Based Insurance]],Table3[Usage-Based Insurance],Table3[Usage-Based Insurance Discount],,0)</f>
        <v>0.65</v>
      </c>
      <c r="AD969">
        <f>_xlfn.XLOOKUP(Table1820[[#This Row],[Yearly Miles]],Table4[Yearly Miles],Table4[Yearly Miles Factor],,0)</f>
        <v>0.82</v>
      </c>
      <c r="AE969">
        <f>_xlfn.XLOOKUP(Table1820[[#This Row],[City/Zip Code]],Table5[City/Zip Code],Table5[City/Zip Code Factor],,0)</f>
        <v>1.1599999999999999</v>
      </c>
      <c r="AF969">
        <f>_xlfn.XLOOKUP(Table1820[[#This Row],[Vehicle Price]],Table6[Vehicle Price],Table6[Vehicle Price Factor])</f>
        <v>2.87</v>
      </c>
      <c r="AG969">
        <f>_xlfn.XLOOKUP(Table1820[[#This Row],[Exotic Car]],Table7[Exotic Car],Table7[Exotic Car Factor],,0)</f>
        <v>1</v>
      </c>
      <c r="AH969">
        <f>_xlfn.XLOOKUP(Table1820[[#This Row],[Difficult Parts]],Table8[Difficult Parts],Table8[Difficult Parts Factor],,0)</f>
        <v>1.21</v>
      </c>
      <c r="AI969">
        <f>_xlfn.XLOOKUP(Table1820[[#This Row],[High Theft Rate]],Table9[High Theft Rate],Table9[High Theft Rate Factor],,0)</f>
        <v>1</v>
      </c>
      <c r="AJ969">
        <f>_xlfn.XLOOKUP(Table1820[[#This Row],[Advanced Safety Features]],Table10[Advanced Safety Features],Table10[Advanced Safety Features Factor],,0)</f>
        <v>1</v>
      </c>
      <c r="AK969">
        <f>_xlfn.XLOOKUP(Table1820[[#This Row],[Deductible]],Table12[Deductible],Table12[Deductible Factor],,0)</f>
        <v>0.72</v>
      </c>
      <c r="AL969">
        <f>_xlfn.XLOOKUP(Table1820[[#This Row],[Coverage Limit]],Table13[Coverage Limit],Table13[Coverage Limit Factor],,0)</f>
        <v>1</v>
      </c>
      <c r="AM969">
        <f>IF(Table1820[[#This Row],[Good Student Discount]]="Yes",'Rate Book'!$D$126,1)</f>
        <v>1</v>
      </c>
      <c r="AN969">
        <f>IF(Table1820[[#This Row],[Good Driver Discount]]="Yes",'Rate Book'!$D$127,1)</f>
        <v>1</v>
      </c>
      <c r="AO969">
        <f>IF(Table1820[[#This Row],[Multi Policy Discount]]="Yes",'Rate Book'!$D$128,1)</f>
        <v>0.93</v>
      </c>
      <c r="AP969">
        <f>IF(Table1820[[#This Row],[Loyal Customer Discount]]="Yes",'Rate Book'!$D$129,1)</f>
        <v>1</v>
      </c>
      <c r="AQ969">
        <f>IF(Table1820[[#This Row],[Organization Discount]]="Yes",'Rate Book'!$D$130,1)</f>
        <v>1</v>
      </c>
      <c r="AR969" cm="1">
        <f t="array" ref="AR969">IF(Table1820[[#This Row],[Effective Date]]&gt;=RateChangeTable[Effective Date],RateChangeTable[Rate Change Factor],1)</f>
        <v>1</v>
      </c>
      <c r="AS969" s="10">
        <f>PRODUCT(Table1820[[#This Row],[Base Rate]:[Rate Change Factor]])</f>
        <v>221.45305928159493</v>
      </c>
      <c r="AT969" s="9">
        <f>Table1820[[#This Row],[System-Generated Premium]]-Table1820[[#This Row],[Expected Premium]]</f>
        <v>0</v>
      </c>
      <c r="AU969" t="str">
        <f>IF(Table1820[[#This Row],[Difference]]=0,"PASS","FAIL")</f>
        <v>PASS</v>
      </c>
      <c r="AV969" s="9">
        <f>ABS(Table1820[[#This Row],[Difference]])</f>
        <v>0</v>
      </c>
      <c r="AW969" s="9" t="s">
        <v>1136</v>
      </c>
    </row>
    <row r="970" spans="1:49" x14ac:dyDescent="0.3">
      <c r="A970" t="s">
        <v>1061</v>
      </c>
      <c r="B970" s="7">
        <v>45949</v>
      </c>
      <c r="C970" t="s">
        <v>71</v>
      </c>
      <c r="D970" t="s">
        <v>1099</v>
      </c>
      <c r="E970" s="3">
        <v>5</v>
      </c>
      <c r="F970" s="3">
        <v>1</v>
      </c>
      <c r="G970" t="s">
        <v>13</v>
      </c>
      <c r="H970" t="s">
        <v>1107</v>
      </c>
      <c r="I970" t="s">
        <v>40</v>
      </c>
      <c r="J970" t="s">
        <v>50</v>
      </c>
      <c r="K970" t="s">
        <v>10</v>
      </c>
      <c r="L970" t="s">
        <v>10</v>
      </c>
      <c r="M970" t="s">
        <v>10</v>
      </c>
      <c r="N970" t="s">
        <v>10</v>
      </c>
      <c r="O970" t="str">
        <f>INDEX(CoverageTable[Deductible Applies],MATCH(Table1820[[#This Row],[Coverage]],CoverageTable[Coverage],0))</f>
        <v>Yes</v>
      </c>
      <c r="P970" t="str">
        <f>INDEX(CoverageTable[Coverage Limit Applies],MATCH(Table1820[[#This Row],[Coverage]],CoverageTable[Coverage],0))</f>
        <v>No</v>
      </c>
      <c r="Q970" t="s">
        <v>80</v>
      </c>
      <c r="R970" t="s">
        <v>10</v>
      </c>
      <c r="S970" t="s">
        <v>10</v>
      </c>
      <c r="T970" t="s">
        <v>57</v>
      </c>
      <c r="U970" t="s">
        <v>57</v>
      </c>
      <c r="V970" t="s">
        <v>10</v>
      </c>
      <c r="W970" t="s">
        <v>10</v>
      </c>
      <c r="X970" s="11">
        <v>275.44747038569329</v>
      </c>
      <c r="Y970">
        <f>_xlfn.XLOOKUP(Table1820[[#This Row],[Coverage]],CoverageTable[Coverage],CoverageTable[Base Rate],,0)</f>
        <v>453</v>
      </c>
      <c r="Z970">
        <f>INDEX(Table16[Ageband Factor],MATCH(Table1820[[#This Row],[Ageband]],Table16[Ageband],0))</f>
        <v>1</v>
      </c>
      <c r="AA970">
        <f>VLOOKUP(Table1820[[#This Row],[Years Driving]],Table1[],2)</f>
        <v>1.07</v>
      </c>
      <c r="AB970">
        <f>_xlfn.XLOOKUP(Table1820[[#This Row],[At Fault Accidents]],Table2[At Fault Accidents],Table2[At Fault Accident Factor],,0)</f>
        <v>1.34</v>
      </c>
      <c r="AC970">
        <f>_xlfn.XLOOKUP(Table1820[[#This Row],[Usage-Based Insurance]],Table3[Usage-Based Insurance],Table3[Usage-Based Insurance Discount],,0)</f>
        <v>0.65</v>
      </c>
      <c r="AD970">
        <f>_xlfn.XLOOKUP(Table1820[[#This Row],[Yearly Miles]],Table4[Yearly Miles],Table4[Yearly Miles Factor],,0)</f>
        <v>0.93</v>
      </c>
      <c r="AE970">
        <f>_xlfn.XLOOKUP(Table1820[[#This Row],[City/Zip Code]],Table5[City/Zip Code],Table5[City/Zip Code Factor],,0)</f>
        <v>1.0900000000000001</v>
      </c>
      <c r="AF970">
        <f>_xlfn.XLOOKUP(Table1820[[#This Row],[Vehicle Price]],Table6[Vehicle Price],Table6[Vehicle Price Factor])</f>
        <v>1.08</v>
      </c>
      <c r="AG970">
        <f>_xlfn.XLOOKUP(Table1820[[#This Row],[Exotic Car]],Table7[Exotic Car],Table7[Exotic Car Factor],,0)</f>
        <v>1</v>
      </c>
      <c r="AH970">
        <f>_xlfn.XLOOKUP(Table1820[[#This Row],[Difficult Parts]],Table8[Difficult Parts],Table8[Difficult Parts Factor],,0)</f>
        <v>1</v>
      </c>
      <c r="AI970">
        <f>_xlfn.XLOOKUP(Table1820[[#This Row],[High Theft Rate]],Table9[High Theft Rate],Table9[High Theft Rate Factor],,0)</f>
        <v>1</v>
      </c>
      <c r="AJ970">
        <f>_xlfn.XLOOKUP(Table1820[[#This Row],[Advanced Safety Features]],Table10[Advanced Safety Features],Table10[Advanced Safety Features Factor],,0)</f>
        <v>1</v>
      </c>
      <c r="AK970">
        <f>_xlfn.XLOOKUP(Table1820[[#This Row],[Deductible]],Table12[Deductible],Table12[Deductible Factor],,0)</f>
        <v>0.72</v>
      </c>
      <c r="AL970">
        <f>_xlfn.XLOOKUP(Table1820[[#This Row],[Coverage Limit]],Table13[Coverage Limit],Table13[Coverage Limit Factor],,0)</f>
        <v>1</v>
      </c>
      <c r="AM970">
        <f>IF(Table1820[[#This Row],[Good Student Discount]]="Yes",'Rate Book'!$D$126,1)</f>
        <v>1</v>
      </c>
      <c r="AN970">
        <f>IF(Table1820[[#This Row],[Good Driver Discount]]="Yes",'Rate Book'!$D$127,1)</f>
        <v>0.89</v>
      </c>
      <c r="AO970">
        <f>IF(Table1820[[#This Row],[Multi Policy Discount]]="Yes",'Rate Book'!$D$128,1)</f>
        <v>0.93</v>
      </c>
      <c r="AP970">
        <f>IF(Table1820[[#This Row],[Loyal Customer Discount]]="Yes",'Rate Book'!$D$129,1)</f>
        <v>1</v>
      </c>
      <c r="AQ970">
        <f>IF(Table1820[[#This Row],[Organization Discount]]="Yes",'Rate Book'!$D$130,1)</f>
        <v>1</v>
      </c>
      <c r="AR970" cm="1">
        <f t="array" ref="AR970">IF(Table1820[[#This Row],[Effective Date]]&gt;=RateChangeTable[Effective Date],RateChangeTable[Rate Change Factor],1)</f>
        <v>1</v>
      </c>
      <c r="AS970" s="10">
        <f>PRODUCT(Table1820[[#This Row],[Base Rate]:[Rate Change Factor]])</f>
        <v>275.44747038569329</v>
      </c>
      <c r="AT970" s="9">
        <f>Table1820[[#This Row],[System-Generated Premium]]-Table1820[[#This Row],[Expected Premium]]</f>
        <v>0</v>
      </c>
      <c r="AU970" t="str">
        <f>IF(Table1820[[#This Row],[Difference]]=0,"PASS","FAIL")</f>
        <v>PASS</v>
      </c>
      <c r="AV970" s="9">
        <f>ABS(Table1820[[#This Row],[Difference]])</f>
        <v>0</v>
      </c>
      <c r="AW970" s="9" t="s">
        <v>1136</v>
      </c>
    </row>
    <row r="971" spans="1:49" x14ac:dyDescent="0.3">
      <c r="A971" t="s">
        <v>1062</v>
      </c>
      <c r="B971" s="7">
        <v>45931</v>
      </c>
      <c r="C971" t="s">
        <v>71</v>
      </c>
      <c r="D971" t="s">
        <v>1097</v>
      </c>
      <c r="E971" s="3">
        <v>4</v>
      </c>
      <c r="F971" s="3">
        <v>0</v>
      </c>
      <c r="G971" t="s">
        <v>10</v>
      </c>
      <c r="H971" t="s">
        <v>1110</v>
      </c>
      <c r="I971" t="s">
        <v>42</v>
      </c>
      <c r="J971" t="s">
        <v>49</v>
      </c>
      <c r="K971" t="s">
        <v>10</v>
      </c>
      <c r="L971" t="s">
        <v>10</v>
      </c>
      <c r="M971" t="s">
        <v>10</v>
      </c>
      <c r="N971" t="s">
        <v>10</v>
      </c>
      <c r="O971" t="str">
        <f>INDEX(CoverageTable[Deductible Applies],MATCH(Table1820[[#This Row],[Coverage]],CoverageTable[Coverage],0))</f>
        <v>Yes</v>
      </c>
      <c r="P971" t="str">
        <f>INDEX(CoverageTable[Coverage Limit Applies],MATCH(Table1820[[#This Row],[Coverage]],CoverageTable[Coverage],0))</f>
        <v>No</v>
      </c>
      <c r="Q971" t="s">
        <v>78</v>
      </c>
      <c r="R971" t="s">
        <v>10</v>
      </c>
      <c r="S971" t="s">
        <v>10</v>
      </c>
      <c r="T971" t="s">
        <v>10</v>
      </c>
      <c r="U971" t="s">
        <v>10</v>
      </c>
      <c r="V971" t="s">
        <v>10</v>
      </c>
      <c r="W971" t="s">
        <v>10</v>
      </c>
      <c r="X971" s="11">
        <v>1004.4353275010999</v>
      </c>
      <c r="Y971">
        <f>_xlfn.XLOOKUP(Table1820[[#This Row],[Coverage]],CoverageTable[Coverage],CoverageTable[Base Rate],,0)</f>
        <v>453</v>
      </c>
      <c r="Z971">
        <f>INDEX(Table16[Ageband Factor],MATCH(Table1820[[#This Row],[Ageband]],Table16[Ageband],0))</f>
        <v>1.32</v>
      </c>
      <c r="AA971">
        <f>VLOOKUP(Table1820[[#This Row],[Years Driving]],Table1[],2)</f>
        <v>1.1499999999999999</v>
      </c>
      <c r="AB971">
        <f>_xlfn.XLOOKUP(Table1820[[#This Row],[At Fault Accidents]],Table2[At Fault Accidents],Table2[At Fault Accident Factor],,0)</f>
        <v>1</v>
      </c>
      <c r="AC971">
        <f>_xlfn.XLOOKUP(Table1820[[#This Row],[Usage-Based Insurance]],Table3[Usage-Based Insurance],Table3[Usage-Based Insurance Discount],,0)</f>
        <v>1</v>
      </c>
      <c r="AD971">
        <f>_xlfn.XLOOKUP(Table1820[[#This Row],[Yearly Miles]],Table4[Yearly Miles],Table4[Yearly Miles Factor],,0)</f>
        <v>1.31</v>
      </c>
      <c r="AE971">
        <f>_xlfn.XLOOKUP(Table1820[[#This Row],[City/Zip Code]],Table5[City/Zip Code],Table5[City/Zip Code Factor],,0)</f>
        <v>1.21</v>
      </c>
      <c r="AF971">
        <f>_xlfn.XLOOKUP(Table1820[[#This Row],[Vehicle Price]],Table6[Vehicle Price],Table6[Vehicle Price Factor])</f>
        <v>0.97</v>
      </c>
      <c r="AG971">
        <f>_xlfn.XLOOKUP(Table1820[[#This Row],[Exotic Car]],Table7[Exotic Car],Table7[Exotic Car Factor],,0)</f>
        <v>1</v>
      </c>
      <c r="AH971">
        <f>_xlfn.XLOOKUP(Table1820[[#This Row],[Difficult Parts]],Table8[Difficult Parts],Table8[Difficult Parts Factor],,0)</f>
        <v>1</v>
      </c>
      <c r="AI971">
        <f>_xlfn.XLOOKUP(Table1820[[#This Row],[High Theft Rate]],Table9[High Theft Rate],Table9[High Theft Rate Factor],,0)</f>
        <v>1</v>
      </c>
      <c r="AJ971">
        <f>_xlfn.XLOOKUP(Table1820[[#This Row],[Advanced Safety Features]],Table10[Advanced Safety Features],Table10[Advanced Safety Features Factor],,0)</f>
        <v>1</v>
      </c>
      <c r="AK971">
        <f>_xlfn.XLOOKUP(Table1820[[#This Row],[Deductible]],Table12[Deductible],Table12[Deductible Factor],,0)</f>
        <v>0.95</v>
      </c>
      <c r="AL971">
        <f>_xlfn.XLOOKUP(Table1820[[#This Row],[Coverage Limit]],Table13[Coverage Limit],Table13[Coverage Limit Factor],,0)</f>
        <v>1</v>
      </c>
      <c r="AM971">
        <f>IF(Table1820[[#This Row],[Good Student Discount]]="Yes",'Rate Book'!$D$126,1)</f>
        <v>1</v>
      </c>
      <c r="AN971">
        <f>IF(Table1820[[#This Row],[Good Driver Discount]]="Yes",'Rate Book'!$D$127,1)</f>
        <v>1</v>
      </c>
      <c r="AO971">
        <f>IF(Table1820[[#This Row],[Multi Policy Discount]]="Yes",'Rate Book'!$D$128,1)</f>
        <v>1</v>
      </c>
      <c r="AP971">
        <f>IF(Table1820[[#This Row],[Loyal Customer Discount]]="Yes",'Rate Book'!$D$129,1)</f>
        <v>1</v>
      </c>
      <c r="AQ971">
        <f>IF(Table1820[[#This Row],[Organization Discount]]="Yes",'Rate Book'!$D$130,1)</f>
        <v>1</v>
      </c>
      <c r="AR971" cm="1">
        <f t="array" ref="AR971">IF(Table1820[[#This Row],[Effective Date]]&gt;=RateChangeTable[Effective Date],RateChangeTable[Rate Change Factor],1)</f>
        <v>1</v>
      </c>
      <c r="AS971" s="10">
        <f>PRODUCT(Table1820[[#This Row],[Base Rate]:[Rate Change Factor]])</f>
        <v>1004.4353275010999</v>
      </c>
      <c r="AT971" s="9">
        <f>Table1820[[#This Row],[System-Generated Premium]]-Table1820[[#This Row],[Expected Premium]]</f>
        <v>0</v>
      </c>
      <c r="AU971" t="str">
        <f>IF(Table1820[[#This Row],[Difference]]=0,"PASS","FAIL")</f>
        <v>PASS</v>
      </c>
      <c r="AV971" s="9">
        <f>ABS(Table1820[[#This Row],[Difference]])</f>
        <v>0</v>
      </c>
      <c r="AW971" s="9" t="s">
        <v>1136</v>
      </c>
    </row>
    <row r="972" spans="1:49" x14ac:dyDescent="0.3">
      <c r="A972" t="s">
        <v>1063</v>
      </c>
      <c r="B972" s="7">
        <v>45930</v>
      </c>
      <c r="C972" t="s">
        <v>70</v>
      </c>
      <c r="D972" t="s">
        <v>1102</v>
      </c>
      <c r="E972" s="3">
        <v>1</v>
      </c>
      <c r="F972" s="3">
        <v>1</v>
      </c>
      <c r="G972" t="s">
        <v>11</v>
      </c>
      <c r="H972" t="s">
        <v>1109</v>
      </c>
      <c r="I972" t="s">
        <v>41</v>
      </c>
      <c r="J972" t="s">
        <v>50</v>
      </c>
      <c r="K972" t="s">
        <v>10</v>
      </c>
      <c r="L972" t="s">
        <v>57</v>
      </c>
      <c r="M972" t="s">
        <v>10</v>
      </c>
      <c r="N972" t="s">
        <v>57</v>
      </c>
      <c r="O972" t="str">
        <f>INDEX(CoverageTable[Deductible Applies],MATCH(Table1820[[#This Row],[Coverage]],CoverageTable[Coverage],0))</f>
        <v>No</v>
      </c>
      <c r="P972" t="str">
        <f>INDEX(CoverageTable[Coverage Limit Applies],MATCH(Table1820[[#This Row],[Coverage]],CoverageTable[Coverage],0))</f>
        <v>Yes</v>
      </c>
      <c r="Q972" t="s">
        <v>10</v>
      </c>
      <c r="R972" t="s">
        <v>79</v>
      </c>
      <c r="S972" t="s">
        <v>10</v>
      </c>
      <c r="T972" t="s">
        <v>10</v>
      </c>
      <c r="U972" t="s">
        <v>57</v>
      </c>
      <c r="V972" t="s">
        <v>10</v>
      </c>
      <c r="W972" t="s">
        <v>57</v>
      </c>
      <c r="X972" s="11">
        <v>1671.5723634037888</v>
      </c>
      <c r="Y972">
        <f>_xlfn.XLOOKUP(Table1820[[#This Row],[Coverage]],CoverageTable[Coverage],CoverageTable[Base Rate],,0)</f>
        <v>622</v>
      </c>
      <c r="Z972">
        <f>INDEX(Table16[Ageband Factor],MATCH(Table1820[[#This Row],[Ageband]],Table16[Ageband],0))</f>
        <v>1.27</v>
      </c>
      <c r="AA972">
        <f>VLOOKUP(Table1820[[#This Row],[Years Driving]],Table1[],2)</f>
        <v>1.64</v>
      </c>
      <c r="AB972">
        <f>_xlfn.XLOOKUP(Table1820[[#This Row],[At Fault Accidents]],Table2[At Fault Accidents],Table2[At Fault Accident Factor],,0)</f>
        <v>1.34</v>
      </c>
      <c r="AC972">
        <f>_xlfn.XLOOKUP(Table1820[[#This Row],[Usage-Based Insurance]],Table3[Usage-Based Insurance],Table3[Usage-Based Insurance Discount],,0)</f>
        <v>0.95</v>
      </c>
      <c r="AD972">
        <f>_xlfn.XLOOKUP(Table1820[[#This Row],[Yearly Miles]],Table4[Yearly Miles],Table4[Yearly Miles Factor],,0)</f>
        <v>1.18</v>
      </c>
      <c r="AE972">
        <f>_xlfn.XLOOKUP(Table1820[[#This Row],[City/Zip Code]],Table5[City/Zip Code],Table5[City/Zip Code Factor],,0)</f>
        <v>1.1499999999999999</v>
      </c>
      <c r="AF972">
        <f>_xlfn.XLOOKUP(Table1820[[#This Row],[Vehicle Price]],Table6[Vehicle Price],Table6[Vehicle Price Factor])</f>
        <v>1.08</v>
      </c>
      <c r="AG972">
        <f>_xlfn.XLOOKUP(Table1820[[#This Row],[Exotic Car]],Table7[Exotic Car],Table7[Exotic Car Factor],,0)</f>
        <v>1</v>
      </c>
      <c r="AH972">
        <f>_xlfn.XLOOKUP(Table1820[[#This Row],[Difficult Parts]],Table8[Difficult Parts],Table8[Difficult Parts Factor],,0)</f>
        <v>1.21</v>
      </c>
      <c r="AI972">
        <f>_xlfn.XLOOKUP(Table1820[[#This Row],[High Theft Rate]],Table9[High Theft Rate],Table9[High Theft Rate Factor],,0)</f>
        <v>1</v>
      </c>
      <c r="AJ972">
        <f>_xlfn.XLOOKUP(Table1820[[#This Row],[Advanced Safety Features]],Table10[Advanced Safety Features],Table10[Advanced Safety Features Factor],,0)</f>
        <v>0.88</v>
      </c>
      <c r="AK972">
        <f>_xlfn.XLOOKUP(Table1820[[#This Row],[Deductible]],Table12[Deductible],Table12[Deductible Factor],,0)</f>
        <v>1</v>
      </c>
      <c r="AL972">
        <f>_xlfn.XLOOKUP(Table1820[[#This Row],[Coverage Limit]],Table13[Coverage Limit],Table13[Coverage Limit Factor],,0)</f>
        <v>0.72</v>
      </c>
      <c r="AM972">
        <f>IF(Table1820[[#This Row],[Good Student Discount]]="Yes",'Rate Book'!$D$126,1)</f>
        <v>1</v>
      </c>
      <c r="AN972">
        <f>IF(Table1820[[#This Row],[Good Driver Discount]]="Yes",'Rate Book'!$D$127,1)</f>
        <v>1</v>
      </c>
      <c r="AO972">
        <f>IF(Table1820[[#This Row],[Multi Policy Discount]]="Yes",'Rate Book'!$D$128,1)</f>
        <v>0.93</v>
      </c>
      <c r="AP972">
        <f>IF(Table1820[[#This Row],[Loyal Customer Discount]]="Yes",'Rate Book'!$D$129,1)</f>
        <v>1</v>
      </c>
      <c r="AQ972">
        <f>IF(Table1820[[#This Row],[Organization Discount]]="Yes",'Rate Book'!$D$130,1)</f>
        <v>0.97</v>
      </c>
      <c r="AR972" cm="1">
        <f t="array" ref="AR972">IF(Table1820[[#This Row],[Effective Date]]&gt;=RateChangeTable[Effective Date],RateChangeTable[Rate Change Factor],1)</f>
        <v>1</v>
      </c>
      <c r="AS972" s="10">
        <f>PRODUCT(Table1820[[#This Row],[Base Rate]:[Rate Change Factor]])</f>
        <v>1671.5723634037888</v>
      </c>
      <c r="AT972" s="9">
        <f>Table1820[[#This Row],[System-Generated Premium]]-Table1820[[#This Row],[Expected Premium]]</f>
        <v>0</v>
      </c>
      <c r="AU972" t="str">
        <f>IF(Table1820[[#This Row],[Difference]]=0,"PASS","FAIL")</f>
        <v>PASS</v>
      </c>
      <c r="AV972" s="9">
        <f>ABS(Table1820[[#This Row],[Difference]])</f>
        <v>0</v>
      </c>
      <c r="AW972" s="9" t="s">
        <v>1136</v>
      </c>
    </row>
    <row r="973" spans="1:49" x14ac:dyDescent="0.3">
      <c r="A973" t="s">
        <v>1064</v>
      </c>
      <c r="B973" s="7">
        <v>45875</v>
      </c>
      <c r="C973" t="s">
        <v>71</v>
      </c>
      <c r="D973" t="s">
        <v>1100</v>
      </c>
      <c r="E973" s="3">
        <v>2</v>
      </c>
      <c r="F973" s="3">
        <v>1</v>
      </c>
      <c r="G973" t="s">
        <v>10</v>
      </c>
      <c r="H973" t="s">
        <v>1110</v>
      </c>
      <c r="I973" t="s">
        <v>23</v>
      </c>
      <c r="J973" t="s">
        <v>54</v>
      </c>
      <c r="K973" t="s">
        <v>10</v>
      </c>
      <c r="L973" t="s">
        <v>57</v>
      </c>
      <c r="M973" t="s">
        <v>10</v>
      </c>
      <c r="N973" t="s">
        <v>10</v>
      </c>
      <c r="O973" t="str">
        <f>INDEX(CoverageTable[Deductible Applies],MATCH(Table1820[[#This Row],[Coverage]],CoverageTable[Coverage],0))</f>
        <v>Yes</v>
      </c>
      <c r="P973" t="str">
        <f>INDEX(CoverageTable[Coverage Limit Applies],MATCH(Table1820[[#This Row],[Coverage]],CoverageTable[Coverage],0))</f>
        <v>No</v>
      </c>
      <c r="Q973" t="s">
        <v>80</v>
      </c>
      <c r="R973" t="s">
        <v>10</v>
      </c>
      <c r="S973" t="s">
        <v>10</v>
      </c>
      <c r="T973" t="s">
        <v>57</v>
      </c>
      <c r="U973" t="s">
        <v>10</v>
      </c>
      <c r="V973" t="s">
        <v>10</v>
      </c>
      <c r="W973" t="s">
        <v>10</v>
      </c>
      <c r="X973" s="11">
        <v>2456.1494213688147</v>
      </c>
      <c r="Y973">
        <f>_xlfn.XLOOKUP(Table1820[[#This Row],[Coverage]],CoverageTable[Coverage],CoverageTable[Base Rate],,0)</f>
        <v>453</v>
      </c>
      <c r="Z973">
        <f>INDEX(Table16[Ageband Factor],MATCH(Table1820[[#This Row],[Ageband]],Table16[Ageband],0))</f>
        <v>1.07</v>
      </c>
      <c r="AA973">
        <f>VLOOKUP(Table1820[[#This Row],[Years Driving]],Table1[],2)</f>
        <v>1.41</v>
      </c>
      <c r="AB973">
        <f>_xlfn.XLOOKUP(Table1820[[#This Row],[At Fault Accidents]],Table2[At Fault Accidents],Table2[At Fault Accident Factor],,0)</f>
        <v>1.34</v>
      </c>
      <c r="AC973">
        <f>_xlfn.XLOOKUP(Table1820[[#This Row],[Usage-Based Insurance]],Table3[Usage-Based Insurance],Table3[Usage-Based Insurance Discount],,0)</f>
        <v>1</v>
      </c>
      <c r="AD973">
        <f>_xlfn.XLOOKUP(Table1820[[#This Row],[Yearly Miles]],Table4[Yearly Miles],Table4[Yearly Miles Factor],,0)</f>
        <v>1.31</v>
      </c>
      <c r="AE973">
        <f>_xlfn.XLOOKUP(Table1820[[#This Row],[City/Zip Code]],Table5[City/Zip Code],Table5[City/Zip Code Factor],,0)</f>
        <v>0.92</v>
      </c>
      <c r="AF973">
        <f>_xlfn.XLOOKUP(Table1820[[#This Row],[Vehicle Price]],Table6[Vehicle Price],Table6[Vehicle Price Factor])</f>
        <v>2.87</v>
      </c>
      <c r="AG973">
        <f>_xlfn.XLOOKUP(Table1820[[#This Row],[Exotic Car]],Table7[Exotic Car],Table7[Exotic Car Factor],,0)</f>
        <v>1</v>
      </c>
      <c r="AH973">
        <f>_xlfn.XLOOKUP(Table1820[[#This Row],[Difficult Parts]],Table8[Difficult Parts],Table8[Difficult Parts Factor],,0)</f>
        <v>1.21</v>
      </c>
      <c r="AI973">
        <f>_xlfn.XLOOKUP(Table1820[[#This Row],[High Theft Rate]],Table9[High Theft Rate],Table9[High Theft Rate Factor],,0)</f>
        <v>1</v>
      </c>
      <c r="AJ973">
        <f>_xlfn.XLOOKUP(Table1820[[#This Row],[Advanced Safety Features]],Table10[Advanced Safety Features],Table10[Advanced Safety Features Factor],,0)</f>
        <v>1</v>
      </c>
      <c r="AK973">
        <f>_xlfn.XLOOKUP(Table1820[[#This Row],[Deductible]],Table12[Deductible],Table12[Deductible Factor],,0)</f>
        <v>0.72</v>
      </c>
      <c r="AL973">
        <f>_xlfn.XLOOKUP(Table1820[[#This Row],[Coverage Limit]],Table13[Coverage Limit],Table13[Coverage Limit Factor],,0)</f>
        <v>1</v>
      </c>
      <c r="AM973">
        <f>IF(Table1820[[#This Row],[Good Student Discount]]="Yes",'Rate Book'!$D$126,1)</f>
        <v>1</v>
      </c>
      <c r="AN973">
        <f>IF(Table1820[[#This Row],[Good Driver Discount]]="Yes",'Rate Book'!$D$127,1)</f>
        <v>0.89</v>
      </c>
      <c r="AO973">
        <f>IF(Table1820[[#This Row],[Multi Policy Discount]]="Yes",'Rate Book'!$D$128,1)</f>
        <v>1</v>
      </c>
      <c r="AP973">
        <f>IF(Table1820[[#This Row],[Loyal Customer Discount]]="Yes",'Rate Book'!$D$129,1)</f>
        <v>1</v>
      </c>
      <c r="AQ973">
        <f>IF(Table1820[[#This Row],[Organization Discount]]="Yes",'Rate Book'!$D$130,1)</f>
        <v>1</v>
      </c>
      <c r="AR973" cm="1">
        <f t="array" ref="AR973">IF(Table1820[[#This Row],[Effective Date]]&gt;=RateChangeTable[Effective Date],RateChangeTable[Rate Change Factor],1)</f>
        <v>1</v>
      </c>
      <c r="AS973" s="10">
        <f>PRODUCT(Table1820[[#This Row],[Base Rate]:[Rate Change Factor]])</f>
        <v>2456.1494213688147</v>
      </c>
      <c r="AT973" s="9">
        <f>Table1820[[#This Row],[System-Generated Premium]]-Table1820[[#This Row],[Expected Premium]]</f>
        <v>0</v>
      </c>
      <c r="AU973" t="str">
        <f>IF(Table1820[[#This Row],[Difference]]=0,"PASS","FAIL")</f>
        <v>PASS</v>
      </c>
      <c r="AV973" s="9">
        <f>ABS(Table1820[[#This Row],[Difference]])</f>
        <v>0</v>
      </c>
      <c r="AW973" s="9" t="s">
        <v>1136</v>
      </c>
    </row>
    <row r="974" spans="1:49" x14ac:dyDescent="0.3">
      <c r="A974" t="s">
        <v>1065</v>
      </c>
      <c r="B974" s="7">
        <v>46133</v>
      </c>
      <c r="C974" t="s">
        <v>71</v>
      </c>
      <c r="D974" t="s">
        <v>1098</v>
      </c>
      <c r="E974" s="3">
        <v>3</v>
      </c>
      <c r="F974" s="3">
        <v>4</v>
      </c>
      <c r="G974" t="s">
        <v>10</v>
      </c>
      <c r="H974" t="s">
        <v>1107</v>
      </c>
      <c r="I974" t="s">
        <v>24</v>
      </c>
      <c r="J974" t="s">
        <v>54</v>
      </c>
      <c r="K974" t="s">
        <v>10</v>
      </c>
      <c r="L974" t="s">
        <v>57</v>
      </c>
      <c r="M974" t="s">
        <v>10</v>
      </c>
      <c r="N974" t="s">
        <v>10</v>
      </c>
      <c r="O974" t="str">
        <f>INDEX(CoverageTable[Deductible Applies],MATCH(Table1820[[#This Row],[Coverage]],CoverageTable[Coverage],0))</f>
        <v>Yes</v>
      </c>
      <c r="P974" t="str">
        <f>INDEX(CoverageTable[Coverage Limit Applies],MATCH(Table1820[[#This Row],[Coverage]],CoverageTable[Coverage],0))</f>
        <v>No</v>
      </c>
      <c r="Q974" t="s">
        <v>80</v>
      </c>
      <c r="R974" t="s">
        <v>10</v>
      </c>
      <c r="S974" t="s">
        <v>57</v>
      </c>
      <c r="T974" t="s">
        <v>10</v>
      </c>
      <c r="U974" t="s">
        <v>10</v>
      </c>
      <c r="V974" t="s">
        <v>10</v>
      </c>
      <c r="W974" t="s">
        <v>10</v>
      </c>
      <c r="X974" s="11">
        <v>3888.8605586029144</v>
      </c>
      <c r="Y974">
        <f>_xlfn.XLOOKUP(Table1820[[#This Row],[Coverage]],CoverageTable[Coverage],CoverageTable[Base Rate],,0)</f>
        <v>453</v>
      </c>
      <c r="Z974">
        <f>INDEX(Table16[Ageband Factor],MATCH(Table1820[[#This Row],[Ageband]],Table16[Ageband],0))</f>
        <v>1.23</v>
      </c>
      <c r="AA974">
        <f>VLOOKUP(Table1820[[#This Row],[Years Driving]],Table1[],2)</f>
        <v>1.22</v>
      </c>
      <c r="AB974">
        <f>_xlfn.XLOOKUP(Table1820[[#This Row],[At Fault Accidents]],Table2[At Fault Accidents],Table2[At Fault Accident Factor],,0)</f>
        <v>2.12</v>
      </c>
      <c r="AC974">
        <f>_xlfn.XLOOKUP(Table1820[[#This Row],[Usage-Based Insurance]],Table3[Usage-Based Insurance],Table3[Usage-Based Insurance Discount],,0)</f>
        <v>1</v>
      </c>
      <c r="AD974">
        <f>_xlfn.XLOOKUP(Table1820[[#This Row],[Yearly Miles]],Table4[Yearly Miles],Table4[Yearly Miles Factor],,0)</f>
        <v>0.93</v>
      </c>
      <c r="AE974">
        <f>_xlfn.XLOOKUP(Table1820[[#This Row],[City/Zip Code]],Table5[City/Zip Code],Table5[City/Zip Code Factor],,0)</f>
        <v>1.19</v>
      </c>
      <c r="AF974">
        <f>_xlfn.XLOOKUP(Table1820[[#This Row],[Vehicle Price]],Table6[Vehicle Price],Table6[Vehicle Price Factor])</f>
        <v>2.87</v>
      </c>
      <c r="AG974">
        <f>_xlfn.XLOOKUP(Table1820[[#This Row],[Exotic Car]],Table7[Exotic Car],Table7[Exotic Car Factor],,0)</f>
        <v>1</v>
      </c>
      <c r="AH974">
        <f>_xlfn.XLOOKUP(Table1820[[#This Row],[Difficult Parts]],Table8[Difficult Parts],Table8[Difficult Parts Factor],,0)</f>
        <v>1.21</v>
      </c>
      <c r="AI974">
        <f>_xlfn.XLOOKUP(Table1820[[#This Row],[High Theft Rate]],Table9[High Theft Rate],Table9[High Theft Rate Factor],,0)</f>
        <v>1</v>
      </c>
      <c r="AJ974">
        <f>_xlfn.XLOOKUP(Table1820[[#This Row],[Advanced Safety Features]],Table10[Advanced Safety Features],Table10[Advanced Safety Features Factor],,0)</f>
        <v>1</v>
      </c>
      <c r="AK974">
        <f>_xlfn.XLOOKUP(Table1820[[#This Row],[Deductible]],Table12[Deductible],Table12[Deductible Factor],,0)</f>
        <v>0.72</v>
      </c>
      <c r="AL974">
        <f>_xlfn.XLOOKUP(Table1820[[#This Row],[Coverage Limit]],Table13[Coverage Limit],Table13[Coverage Limit Factor],,0)</f>
        <v>1</v>
      </c>
      <c r="AM974">
        <f>IF(Table1820[[#This Row],[Good Student Discount]]="Yes",'Rate Book'!$D$126,1)</f>
        <v>0.92</v>
      </c>
      <c r="AN974">
        <f>IF(Table1820[[#This Row],[Good Driver Discount]]="Yes",'Rate Book'!$D$127,1)</f>
        <v>1</v>
      </c>
      <c r="AO974">
        <f>IF(Table1820[[#This Row],[Multi Policy Discount]]="Yes",'Rate Book'!$D$128,1)</f>
        <v>1</v>
      </c>
      <c r="AP974">
        <f>IF(Table1820[[#This Row],[Loyal Customer Discount]]="Yes",'Rate Book'!$D$129,1)</f>
        <v>1</v>
      </c>
      <c r="AQ974">
        <f>IF(Table1820[[#This Row],[Organization Discount]]="Yes",'Rate Book'!$D$130,1)</f>
        <v>1</v>
      </c>
      <c r="AR974" cm="1">
        <f t="array" ref="AR974">IF(Table1820[[#This Row],[Effective Date]]&gt;=RateChangeTable[Effective Date],RateChangeTable[Rate Change Factor],1)</f>
        <v>1.06</v>
      </c>
      <c r="AS974" s="10">
        <f>PRODUCT(Table1820[[#This Row],[Base Rate]:[Rate Change Factor]])</f>
        <v>3888.8605586029144</v>
      </c>
      <c r="AT974" s="9">
        <f>Table1820[[#This Row],[System-Generated Premium]]-Table1820[[#This Row],[Expected Premium]]</f>
        <v>0</v>
      </c>
      <c r="AU974" t="str">
        <f>IF(Table1820[[#This Row],[Difference]]=0,"PASS","FAIL")</f>
        <v>PASS</v>
      </c>
      <c r="AV974" s="9">
        <f>ABS(Table1820[[#This Row],[Difference]])</f>
        <v>0</v>
      </c>
      <c r="AW974" s="9" t="s">
        <v>1136</v>
      </c>
    </row>
    <row r="975" spans="1:49" x14ac:dyDescent="0.3">
      <c r="A975" t="s">
        <v>1066</v>
      </c>
      <c r="B975" s="7">
        <v>45956</v>
      </c>
      <c r="C975" t="s">
        <v>70</v>
      </c>
      <c r="D975" t="s">
        <v>1097</v>
      </c>
      <c r="E975" s="3">
        <v>6</v>
      </c>
      <c r="F975" s="3">
        <v>0</v>
      </c>
      <c r="G975" t="s">
        <v>11</v>
      </c>
      <c r="H975" t="s">
        <v>1109</v>
      </c>
      <c r="I975" t="s">
        <v>41</v>
      </c>
      <c r="J975" t="s">
        <v>51</v>
      </c>
      <c r="K975" t="s">
        <v>10</v>
      </c>
      <c r="L975" t="s">
        <v>57</v>
      </c>
      <c r="M975" t="s">
        <v>10</v>
      </c>
      <c r="N975" t="s">
        <v>57</v>
      </c>
      <c r="O975" t="str">
        <f>INDEX(CoverageTable[Deductible Applies],MATCH(Table1820[[#This Row],[Coverage]],CoverageTable[Coverage],0))</f>
        <v>No</v>
      </c>
      <c r="P975" t="str">
        <f>INDEX(CoverageTable[Coverage Limit Applies],MATCH(Table1820[[#This Row],[Coverage]],CoverageTable[Coverage],0))</f>
        <v>Yes</v>
      </c>
      <c r="Q975" t="s">
        <v>10</v>
      </c>
      <c r="R975" t="s">
        <v>79</v>
      </c>
      <c r="S975" t="s">
        <v>10</v>
      </c>
      <c r="T975" t="s">
        <v>10</v>
      </c>
      <c r="U975" t="s">
        <v>10</v>
      </c>
      <c r="V975" t="s">
        <v>10</v>
      </c>
      <c r="W975" t="s">
        <v>10</v>
      </c>
      <c r="X975" s="11">
        <v>1038.671648683131</v>
      </c>
      <c r="Y975">
        <f>_xlfn.XLOOKUP(Table1820[[#This Row],[Coverage]],CoverageTable[Coverage],CoverageTable[Base Rate],,0)</f>
        <v>622</v>
      </c>
      <c r="Z975">
        <f>INDEX(Table16[Ageband Factor],MATCH(Table1820[[#This Row],[Ageband]],Table16[Ageband],0))</f>
        <v>1.32</v>
      </c>
      <c r="AA975">
        <f>VLOOKUP(Table1820[[#This Row],[Years Driving]],Table1[],2)</f>
        <v>1</v>
      </c>
      <c r="AB975">
        <f>_xlfn.XLOOKUP(Table1820[[#This Row],[At Fault Accidents]],Table2[At Fault Accidents],Table2[At Fault Accident Factor],,0)</f>
        <v>1</v>
      </c>
      <c r="AC975">
        <f>_xlfn.XLOOKUP(Table1820[[#This Row],[Usage-Based Insurance]],Table3[Usage-Based Insurance],Table3[Usage-Based Insurance Discount],,0)</f>
        <v>0.95</v>
      </c>
      <c r="AD975">
        <f>_xlfn.XLOOKUP(Table1820[[#This Row],[Yearly Miles]],Table4[Yearly Miles],Table4[Yearly Miles Factor],,0)</f>
        <v>1.18</v>
      </c>
      <c r="AE975">
        <f>_xlfn.XLOOKUP(Table1820[[#This Row],[City/Zip Code]],Table5[City/Zip Code],Table5[City/Zip Code Factor],,0)</f>
        <v>1.1499999999999999</v>
      </c>
      <c r="AF975">
        <f>_xlfn.XLOOKUP(Table1820[[#This Row],[Vehicle Price]],Table6[Vehicle Price],Table6[Vehicle Price Factor])</f>
        <v>1.28</v>
      </c>
      <c r="AG975">
        <f>_xlfn.XLOOKUP(Table1820[[#This Row],[Exotic Car]],Table7[Exotic Car],Table7[Exotic Car Factor],,0)</f>
        <v>1</v>
      </c>
      <c r="AH975">
        <f>_xlfn.XLOOKUP(Table1820[[#This Row],[Difficult Parts]],Table8[Difficult Parts],Table8[Difficult Parts Factor],,0)</f>
        <v>1.21</v>
      </c>
      <c r="AI975">
        <f>_xlfn.XLOOKUP(Table1820[[#This Row],[High Theft Rate]],Table9[High Theft Rate],Table9[High Theft Rate Factor],,0)</f>
        <v>1</v>
      </c>
      <c r="AJ975">
        <f>_xlfn.XLOOKUP(Table1820[[#This Row],[Advanced Safety Features]],Table10[Advanced Safety Features],Table10[Advanced Safety Features Factor],,0)</f>
        <v>0.88</v>
      </c>
      <c r="AK975">
        <f>_xlfn.XLOOKUP(Table1820[[#This Row],[Deductible]],Table12[Deductible],Table12[Deductible Factor],,0)</f>
        <v>1</v>
      </c>
      <c r="AL975">
        <f>_xlfn.XLOOKUP(Table1820[[#This Row],[Coverage Limit]],Table13[Coverage Limit],Table13[Coverage Limit Factor],,0)</f>
        <v>0.72</v>
      </c>
      <c r="AM975">
        <f>IF(Table1820[[#This Row],[Good Student Discount]]="Yes",'Rate Book'!$D$126,1)</f>
        <v>1</v>
      </c>
      <c r="AN975">
        <f>IF(Table1820[[#This Row],[Good Driver Discount]]="Yes",'Rate Book'!$D$127,1)</f>
        <v>1</v>
      </c>
      <c r="AO975">
        <f>IF(Table1820[[#This Row],[Multi Policy Discount]]="Yes",'Rate Book'!$D$128,1)</f>
        <v>1</v>
      </c>
      <c r="AP975">
        <f>IF(Table1820[[#This Row],[Loyal Customer Discount]]="Yes",'Rate Book'!$D$129,1)</f>
        <v>1</v>
      </c>
      <c r="AQ975">
        <f>IF(Table1820[[#This Row],[Organization Discount]]="Yes",'Rate Book'!$D$130,1)</f>
        <v>1</v>
      </c>
      <c r="AR975" cm="1">
        <f t="array" ref="AR975">IF(Table1820[[#This Row],[Effective Date]]&gt;=RateChangeTable[Effective Date],RateChangeTable[Rate Change Factor],1)</f>
        <v>1</v>
      </c>
      <c r="AS975" s="10">
        <f>PRODUCT(Table1820[[#This Row],[Base Rate]:[Rate Change Factor]])</f>
        <v>1038.671648683131</v>
      </c>
      <c r="AT975" s="9">
        <f>Table1820[[#This Row],[System-Generated Premium]]-Table1820[[#This Row],[Expected Premium]]</f>
        <v>0</v>
      </c>
      <c r="AU975" t="str">
        <f>IF(Table1820[[#This Row],[Difference]]=0,"PASS","FAIL")</f>
        <v>PASS</v>
      </c>
      <c r="AV975" s="9">
        <f>ABS(Table1820[[#This Row],[Difference]])</f>
        <v>0</v>
      </c>
      <c r="AW975" s="9" t="s">
        <v>1136</v>
      </c>
    </row>
    <row r="976" spans="1:49" x14ac:dyDescent="0.3">
      <c r="A976" t="s">
        <v>1067</v>
      </c>
      <c r="B976" s="7">
        <v>46016</v>
      </c>
      <c r="C976" t="s">
        <v>71</v>
      </c>
      <c r="D976" t="s">
        <v>1098</v>
      </c>
      <c r="E976" s="3">
        <v>5</v>
      </c>
      <c r="F976" s="3">
        <v>0</v>
      </c>
      <c r="G976" t="s">
        <v>10</v>
      </c>
      <c r="H976" t="s">
        <v>1108</v>
      </c>
      <c r="I976" t="s">
        <v>22</v>
      </c>
      <c r="J976" t="s">
        <v>51</v>
      </c>
      <c r="K976" t="s">
        <v>10</v>
      </c>
      <c r="L976" t="s">
        <v>57</v>
      </c>
      <c r="M976" t="s">
        <v>10</v>
      </c>
      <c r="N976" t="s">
        <v>57</v>
      </c>
      <c r="O976" t="str">
        <f>INDEX(CoverageTable[Deductible Applies],MATCH(Table1820[[#This Row],[Coverage]],CoverageTable[Coverage],0))</f>
        <v>Yes</v>
      </c>
      <c r="P976" t="str">
        <f>INDEX(CoverageTable[Coverage Limit Applies],MATCH(Table1820[[#This Row],[Coverage]],CoverageTable[Coverage],0))</f>
        <v>No</v>
      </c>
      <c r="Q976" t="s">
        <v>80</v>
      </c>
      <c r="R976" t="s">
        <v>10</v>
      </c>
      <c r="S976" t="s">
        <v>10</v>
      </c>
      <c r="T976" t="s">
        <v>57</v>
      </c>
      <c r="U976" t="s">
        <v>10</v>
      </c>
      <c r="V976" t="s">
        <v>10</v>
      </c>
      <c r="W976" t="s">
        <v>10</v>
      </c>
      <c r="X976" s="11">
        <v>630.04704156711557</v>
      </c>
      <c r="Y976">
        <f>_xlfn.XLOOKUP(Table1820[[#This Row],[Coverage]],CoverageTable[Coverage],CoverageTable[Base Rate],,0)</f>
        <v>453</v>
      </c>
      <c r="Z976">
        <f>INDEX(Table16[Ageband Factor],MATCH(Table1820[[#This Row],[Ageband]],Table16[Ageband],0))</f>
        <v>1.23</v>
      </c>
      <c r="AA976">
        <f>VLOOKUP(Table1820[[#This Row],[Years Driving]],Table1[],2)</f>
        <v>1.07</v>
      </c>
      <c r="AB976">
        <f>_xlfn.XLOOKUP(Table1820[[#This Row],[At Fault Accidents]],Table2[At Fault Accidents],Table2[At Fault Accident Factor],,0)</f>
        <v>1</v>
      </c>
      <c r="AC976">
        <f>_xlfn.XLOOKUP(Table1820[[#This Row],[Usage-Based Insurance]],Table3[Usage-Based Insurance],Table3[Usage-Based Insurance Discount],,0)</f>
        <v>1</v>
      </c>
      <c r="AD976">
        <f>_xlfn.XLOOKUP(Table1820[[#This Row],[Yearly Miles]],Table4[Yearly Miles],Table4[Yearly Miles Factor],,0)</f>
        <v>1</v>
      </c>
      <c r="AE976">
        <f>_xlfn.XLOOKUP(Table1820[[#This Row],[City/Zip Code]],Table5[City/Zip Code],Table5[City/Zip Code Factor],,0)</f>
        <v>1.21</v>
      </c>
      <c r="AF976">
        <f>_xlfn.XLOOKUP(Table1820[[#This Row],[Vehicle Price]],Table6[Vehicle Price],Table6[Vehicle Price Factor])</f>
        <v>1.28</v>
      </c>
      <c r="AG976">
        <f>_xlfn.XLOOKUP(Table1820[[#This Row],[Exotic Car]],Table7[Exotic Car],Table7[Exotic Car Factor],,0)</f>
        <v>1</v>
      </c>
      <c r="AH976">
        <f>_xlfn.XLOOKUP(Table1820[[#This Row],[Difficult Parts]],Table8[Difficult Parts],Table8[Difficult Parts Factor],,0)</f>
        <v>1.21</v>
      </c>
      <c r="AI976">
        <f>_xlfn.XLOOKUP(Table1820[[#This Row],[High Theft Rate]],Table9[High Theft Rate],Table9[High Theft Rate Factor],,0)</f>
        <v>1</v>
      </c>
      <c r="AJ976">
        <f>_xlfn.XLOOKUP(Table1820[[#This Row],[Advanced Safety Features]],Table10[Advanced Safety Features],Table10[Advanced Safety Features Factor],,0)</f>
        <v>0.88</v>
      </c>
      <c r="AK976">
        <f>_xlfn.XLOOKUP(Table1820[[#This Row],[Deductible]],Table12[Deductible],Table12[Deductible Factor],,0)</f>
        <v>0.72</v>
      </c>
      <c r="AL976">
        <f>_xlfn.XLOOKUP(Table1820[[#This Row],[Coverage Limit]],Table13[Coverage Limit],Table13[Coverage Limit Factor],,0)</f>
        <v>1</v>
      </c>
      <c r="AM976">
        <f>IF(Table1820[[#This Row],[Good Student Discount]]="Yes",'Rate Book'!$D$126,1)</f>
        <v>1</v>
      </c>
      <c r="AN976">
        <f>IF(Table1820[[#This Row],[Good Driver Discount]]="Yes",'Rate Book'!$D$127,1)</f>
        <v>0.89</v>
      </c>
      <c r="AO976">
        <f>IF(Table1820[[#This Row],[Multi Policy Discount]]="Yes",'Rate Book'!$D$128,1)</f>
        <v>1</v>
      </c>
      <c r="AP976">
        <f>IF(Table1820[[#This Row],[Loyal Customer Discount]]="Yes",'Rate Book'!$D$129,1)</f>
        <v>1</v>
      </c>
      <c r="AQ976">
        <f>IF(Table1820[[#This Row],[Organization Discount]]="Yes",'Rate Book'!$D$130,1)</f>
        <v>1</v>
      </c>
      <c r="AR976" cm="1">
        <f t="array" ref="AR976">IF(Table1820[[#This Row],[Effective Date]]&gt;=RateChangeTable[Effective Date],RateChangeTable[Rate Change Factor],1)</f>
        <v>1</v>
      </c>
      <c r="AS976" s="10">
        <f>PRODUCT(Table1820[[#This Row],[Base Rate]:[Rate Change Factor]])</f>
        <v>630.04704156711557</v>
      </c>
      <c r="AT976" s="9">
        <f>Table1820[[#This Row],[System-Generated Premium]]-Table1820[[#This Row],[Expected Premium]]</f>
        <v>0</v>
      </c>
      <c r="AU976" t="str">
        <f>IF(Table1820[[#This Row],[Difference]]=0,"PASS","FAIL")</f>
        <v>PASS</v>
      </c>
      <c r="AV976" s="9">
        <f>ABS(Table1820[[#This Row],[Difference]])</f>
        <v>0</v>
      </c>
      <c r="AW976" s="9" t="s">
        <v>1136</v>
      </c>
    </row>
    <row r="977" spans="1:49" x14ac:dyDescent="0.3">
      <c r="A977" t="s">
        <v>1068</v>
      </c>
      <c r="B977" s="7">
        <v>45824</v>
      </c>
      <c r="C977" t="s">
        <v>71</v>
      </c>
      <c r="D977" t="s">
        <v>1100</v>
      </c>
      <c r="E977" s="3">
        <v>5</v>
      </c>
      <c r="F977" s="3">
        <v>2</v>
      </c>
      <c r="G977" t="s">
        <v>10</v>
      </c>
      <c r="H977" t="s">
        <v>1107</v>
      </c>
      <c r="I977" t="s">
        <v>42</v>
      </c>
      <c r="J977" t="s">
        <v>51</v>
      </c>
      <c r="K977" t="s">
        <v>10</v>
      </c>
      <c r="L977" t="s">
        <v>10</v>
      </c>
      <c r="M977" t="s">
        <v>10</v>
      </c>
      <c r="N977" t="s">
        <v>10</v>
      </c>
      <c r="O977" t="str">
        <f>INDEX(CoverageTable[Deductible Applies],MATCH(Table1820[[#This Row],[Coverage]],CoverageTable[Coverage],0))</f>
        <v>Yes</v>
      </c>
      <c r="P977" t="str">
        <f>INDEX(CoverageTable[Coverage Limit Applies],MATCH(Table1820[[#This Row],[Coverage]],CoverageTable[Coverage],0))</f>
        <v>No</v>
      </c>
      <c r="Q977" t="s">
        <v>79</v>
      </c>
      <c r="R977" t="s">
        <v>10</v>
      </c>
      <c r="S977" t="s">
        <v>57</v>
      </c>
      <c r="T977" t="s">
        <v>57</v>
      </c>
      <c r="U977" t="s">
        <v>10</v>
      </c>
      <c r="V977" t="s">
        <v>10</v>
      </c>
      <c r="W977" t="s">
        <v>10</v>
      </c>
      <c r="X977" s="11">
        <v>796.40295746662696</v>
      </c>
      <c r="Y977">
        <f>_xlfn.XLOOKUP(Table1820[[#This Row],[Coverage]],CoverageTable[Coverage],CoverageTable[Base Rate],,0)</f>
        <v>453</v>
      </c>
      <c r="Z977">
        <f>INDEX(Table16[Ageband Factor],MATCH(Table1820[[#This Row],[Ageband]],Table16[Ageband],0))</f>
        <v>1.07</v>
      </c>
      <c r="AA977">
        <f>VLOOKUP(Table1820[[#This Row],[Years Driving]],Table1[],2)</f>
        <v>1.07</v>
      </c>
      <c r="AB977">
        <f>_xlfn.XLOOKUP(Table1820[[#This Row],[At Fault Accidents]],Table2[At Fault Accidents],Table2[At Fault Accident Factor],,0)</f>
        <v>1.55</v>
      </c>
      <c r="AC977">
        <f>_xlfn.XLOOKUP(Table1820[[#This Row],[Usage-Based Insurance]],Table3[Usage-Based Insurance],Table3[Usage-Based Insurance Discount],,0)</f>
        <v>1</v>
      </c>
      <c r="AD977">
        <f>_xlfn.XLOOKUP(Table1820[[#This Row],[Yearly Miles]],Table4[Yearly Miles],Table4[Yearly Miles Factor],,0)</f>
        <v>0.93</v>
      </c>
      <c r="AE977">
        <f>_xlfn.XLOOKUP(Table1820[[#This Row],[City/Zip Code]],Table5[City/Zip Code],Table5[City/Zip Code Factor],,0)</f>
        <v>1.21</v>
      </c>
      <c r="AF977">
        <f>_xlfn.XLOOKUP(Table1820[[#This Row],[Vehicle Price]],Table6[Vehicle Price],Table6[Vehicle Price Factor])</f>
        <v>1.28</v>
      </c>
      <c r="AG977">
        <f>_xlfn.XLOOKUP(Table1820[[#This Row],[Exotic Car]],Table7[Exotic Car],Table7[Exotic Car Factor],,0)</f>
        <v>1</v>
      </c>
      <c r="AH977">
        <f>_xlfn.XLOOKUP(Table1820[[#This Row],[Difficult Parts]],Table8[Difficult Parts],Table8[Difficult Parts Factor],,0)</f>
        <v>1</v>
      </c>
      <c r="AI977">
        <f>_xlfn.XLOOKUP(Table1820[[#This Row],[High Theft Rate]],Table9[High Theft Rate],Table9[High Theft Rate Factor],,0)</f>
        <v>1</v>
      </c>
      <c r="AJ977">
        <f>_xlfn.XLOOKUP(Table1820[[#This Row],[Advanced Safety Features]],Table10[Advanced Safety Features],Table10[Advanced Safety Features Factor],,0)</f>
        <v>1</v>
      </c>
      <c r="AK977">
        <f>_xlfn.XLOOKUP(Table1820[[#This Row],[Deductible]],Table12[Deductible],Table12[Deductible Factor],,0)</f>
        <v>0.84</v>
      </c>
      <c r="AL977">
        <f>_xlfn.XLOOKUP(Table1820[[#This Row],[Coverage Limit]],Table13[Coverage Limit],Table13[Coverage Limit Factor],,0)</f>
        <v>1</v>
      </c>
      <c r="AM977">
        <f>IF(Table1820[[#This Row],[Good Student Discount]]="Yes",'Rate Book'!$D$126,1)</f>
        <v>0.92</v>
      </c>
      <c r="AN977">
        <f>IF(Table1820[[#This Row],[Good Driver Discount]]="Yes",'Rate Book'!$D$127,1)</f>
        <v>0.89</v>
      </c>
      <c r="AO977">
        <f>IF(Table1820[[#This Row],[Multi Policy Discount]]="Yes",'Rate Book'!$D$128,1)</f>
        <v>1</v>
      </c>
      <c r="AP977">
        <f>IF(Table1820[[#This Row],[Loyal Customer Discount]]="Yes",'Rate Book'!$D$129,1)</f>
        <v>1</v>
      </c>
      <c r="AQ977">
        <f>IF(Table1820[[#This Row],[Organization Discount]]="Yes",'Rate Book'!$D$130,1)</f>
        <v>1</v>
      </c>
      <c r="AR977" cm="1">
        <f t="array" ref="AR977">IF(Table1820[[#This Row],[Effective Date]]&gt;=RateChangeTable[Effective Date],RateChangeTable[Rate Change Factor],1)</f>
        <v>1</v>
      </c>
      <c r="AS977" s="10">
        <f>PRODUCT(Table1820[[#This Row],[Base Rate]:[Rate Change Factor]])</f>
        <v>796.40295746662696</v>
      </c>
      <c r="AT977" s="9">
        <f>Table1820[[#This Row],[System-Generated Premium]]-Table1820[[#This Row],[Expected Premium]]</f>
        <v>0</v>
      </c>
      <c r="AU977" t="str">
        <f>IF(Table1820[[#This Row],[Difference]]=0,"PASS","FAIL")</f>
        <v>PASS</v>
      </c>
      <c r="AV977" s="9">
        <f>ABS(Table1820[[#This Row],[Difference]])</f>
        <v>0</v>
      </c>
      <c r="AW977" s="9" t="s">
        <v>1136</v>
      </c>
    </row>
    <row r="978" spans="1:49" x14ac:dyDescent="0.3">
      <c r="A978" t="s">
        <v>1069</v>
      </c>
      <c r="B978" s="7">
        <v>45883</v>
      </c>
      <c r="C978" t="s">
        <v>70</v>
      </c>
      <c r="D978" t="s">
        <v>1098</v>
      </c>
      <c r="E978" s="3">
        <v>2</v>
      </c>
      <c r="F978" s="3">
        <v>2</v>
      </c>
      <c r="G978" t="s">
        <v>10</v>
      </c>
      <c r="H978" t="s">
        <v>1106</v>
      </c>
      <c r="I978" t="s">
        <v>34</v>
      </c>
      <c r="J978" t="s">
        <v>48</v>
      </c>
      <c r="K978" t="s">
        <v>10</v>
      </c>
      <c r="L978" t="s">
        <v>10</v>
      </c>
      <c r="M978" t="s">
        <v>57</v>
      </c>
      <c r="N978" t="s">
        <v>10</v>
      </c>
      <c r="O978" t="str">
        <f>INDEX(CoverageTable[Deductible Applies],MATCH(Table1820[[#This Row],[Coverage]],CoverageTable[Coverage],0))</f>
        <v>No</v>
      </c>
      <c r="P978" t="str">
        <f>INDEX(CoverageTable[Coverage Limit Applies],MATCH(Table1820[[#This Row],[Coverage]],CoverageTable[Coverage],0))</f>
        <v>Yes</v>
      </c>
      <c r="Q978" t="s">
        <v>10</v>
      </c>
      <c r="R978" t="s">
        <v>80</v>
      </c>
      <c r="S978" t="s">
        <v>10</v>
      </c>
      <c r="T978" t="s">
        <v>10</v>
      </c>
      <c r="U978" t="s">
        <v>10</v>
      </c>
      <c r="V978" t="s">
        <v>10</v>
      </c>
      <c r="W978" t="s">
        <v>10</v>
      </c>
      <c r="X978" s="11">
        <v>1708.9756915558276</v>
      </c>
      <c r="Y978">
        <f>_xlfn.XLOOKUP(Table1820[[#This Row],[Coverage]],CoverageTable[Coverage],CoverageTable[Base Rate],,0)</f>
        <v>622</v>
      </c>
      <c r="Z978">
        <f>INDEX(Table16[Ageband Factor],MATCH(Table1820[[#This Row],[Ageband]],Table16[Ageband],0))</f>
        <v>1.23</v>
      </c>
      <c r="AA978">
        <f>VLOOKUP(Table1820[[#This Row],[Years Driving]],Table1[],2)</f>
        <v>1.41</v>
      </c>
      <c r="AB978">
        <f>_xlfn.XLOOKUP(Table1820[[#This Row],[At Fault Accidents]],Table2[At Fault Accidents],Table2[At Fault Accident Factor],,0)</f>
        <v>1.55</v>
      </c>
      <c r="AC978">
        <f>_xlfn.XLOOKUP(Table1820[[#This Row],[Usage-Based Insurance]],Table3[Usage-Based Insurance],Table3[Usage-Based Insurance Discount],,0)</f>
        <v>1</v>
      </c>
      <c r="AD978">
        <f>_xlfn.XLOOKUP(Table1820[[#This Row],[Yearly Miles]],Table4[Yearly Miles],Table4[Yearly Miles Factor],,0)</f>
        <v>0.82</v>
      </c>
      <c r="AE978">
        <f>_xlfn.XLOOKUP(Table1820[[#This Row],[City/Zip Code]],Table5[City/Zip Code],Table5[City/Zip Code Factor],,0)</f>
        <v>1.56</v>
      </c>
      <c r="AF978">
        <f>_xlfn.XLOOKUP(Table1820[[#This Row],[Vehicle Price]],Table6[Vehicle Price],Table6[Vehicle Price Factor])</f>
        <v>0.82</v>
      </c>
      <c r="AG978">
        <f>_xlfn.XLOOKUP(Table1820[[#This Row],[Exotic Car]],Table7[Exotic Car],Table7[Exotic Car Factor],,0)</f>
        <v>1</v>
      </c>
      <c r="AH978">
        <f>_xlfn.XLOOKUP(Table1820[[#This Row],[Difficult Parts]],Table8[Difficult Parts],Table8[Difficult Parts Factor],,0)</f>
        <v>1</v>
      </c>
      <c r="AI978">
        <f>_xlfn.XLOOKUP(Table1820[[#This Row],[High Theft Rate]],Table9[High Theft Rate],Table9[High Theft Rate Factor],,0)</f>
        <v>1.1599999999999999</v>
      </c>
      <c r="AJ978">
        <f>_xlfn.XLOOKUP(Table1820[[#This Row],[Advanced Safety Features]],Table10[Advanced Safety Features],Table10[Advanced Safety Features Factor],,0)</f>
        <v>1</v>
      </c>
      <c r="AK978">
        <f>_xlfn.XLOOKUP(Table1820[[#This Row],[Deductible]],Table12[Deductible],Table12[Deductible Factor],,0)</f>
        <v>1</v>
      </c>
      <c r="AL978">
        <f>_xlfn.XLOOKUP(Table1820[[#This Row],[Coverage Limit]],Table13[Coverage Limit],Table13[Coverage Limit Factor],,0)</f>
        <v>0.84</v>
      </c>
      <c r="AM978">
        <f>IF(Table1820[[#This Row],[Good Student Discount]]="Yes",'Rate Book'!$D$126,1)</f>
        <v>1</v>
      </c>
      <c r="AN978">
        <f>IF(Table1820[[#This Row],[Good Driver Discount]]="Yes",'Rate Book'!$D$127,1)</f>
        <v>1</v>
      </c>
      <c r="AO978">
        <f>IF(Table1820[[#This Row],[Multi Policy Discount]]="Yes",'Rate Book'!$D$128,1)</f>
        <v>1</v>
      </c>
      <c r="AP978">
        <f>IF(Table1820[[#This Row],[Loyal Customer Discount]]="Yes",'Rate Book'!$D$129,1)</f>
        <v>1</v>
      </c>
      <c r="AQ978">
        <f>IF(Table1820[[#This Row],[Organization Discount]]="Yes",'Rate Book'!$D$130,1)</f>
        <v>1</v>
      </c>
      <c r="AR978" cm="1">
        <f t="array" ref="AR978">IF(Table1820[[#This Row],[Effective Date]]&gt;=RateChangeTable[Effective Date],RateChangeTable[Rate Change Factor],1)</f>
        <v>1</v>
      </c>
      <c r="AS978" s="10">
        <f>PRODUCT(Table1820[[#This Row],[Base Rate]:[Rate Change Factor]])</f>
        <v>1708.9756915558276</v>
      </c>
      <c r="AT978" s="9">
        <f>Table1820[[#This Row],[System-Generated Premium]]-Table1820[[#This Row],[Expected Premium]]</f>
        <v>0</v>
      </c>
      <c r="AU978" t="str">
        <f>IF(Table1820[[#This Row],[Difference]]=0,"PASS","FAIL")</f>
        <v>PASS</v>
      </c>
      <c r="AV978" s="9">
        <f>ABS(Table1820[[#This Row],[Difference]])</f>
        <v>0</v>
      </c>
      <c r="AW978" s="9" t="s">
        <v>1136</v>
      </c>
    </row>
    <row r="979" spans="1:49" x14ac:dyDescent="0.3">
      <c r="A979" t="s">
        <v>1070</v>
      </c>
      <c r="B979" s="7">
        <v>46097</v>
      </c>
      <c r="C979" t="s">
        <v>70</v>
      </c>
      <c r="D979" t="s">
        <v>1100</v>
      </c>
      <c r="E979" s="3">
        <v>6</v>
      </c>
      <c r="F979" s="3">
        <v>0</v>
      </c>
      <c r="G979" t="s">
        <v>11</v>
      </c>
      <c r="H979" t="s">
        <v>1108</v>
      </c>
      <c r="I979" t="s">
        <v>31</v>
      </c>
      <c r="J979" t="s">
        <v>52</v>
      </c>
      <c r="K979" t="s">
        <v>10</v>
      </c>
      <c r="L979" t="s">
        <v>10</v>
      </c>
      <c r="M979" t="s">
        <v>10</v>
      </c>
      <c r="N979" t="s">
        <v>57</v>
      </c>
      <c r="O979" t="str">
        <f>INDEX(CoverageTable[Deductible Applies],MATCH(Table1820[[#This Row],[Coverage]],CoverageTable[Coverage],0))</f>
        <v>No</v>
      </c>
      <c r="P979" t="str">
        <f>INDEX(CoverageTable[Coverage Limit Applies],MATCH(Table1820[[#This Row],[Coverage]],CoverageTable[Coverage],0))</f>
        <v>Yes</v>
      </c>
      <c r="Q979" t="s">
        <v>10</v>
      </c>
      <c r="R979" t="s">
        <v>80</v>
      </c>
      <c r="S979" t="s">
        <v>10</v>
      </c>
      <c r="T979" t="s">
        <v>10</v>
      </c>
      <c r="U979" t="s">
        <v>10</v>
      </c>
      <c r="V979" t="s">
        <v>10</v>
      </c>
      <c r="W979" t="s">
        <v>10</v>
      </c>
      <c r="X979" s="11">
        <v>863.35264195931529</v>
      </c>
      <c r="Y979">
        <f>_xlfn.XLOOKUP(Table1820[[#This Row],[Coverage]],CoverageTable[Coverage],CoverageTable[Base Rate],,0)</f>
        <v>622</v>
      </c>
      <c r="Z979">
        <f>INDEX(Table16[Ageband Factor],MATCH(Table1820[[#This Row],[Ageband]],Table16[Ageband],0))</f>
        <v>1.07</v>
      </c>
      <c r="AA979">
        <f>VLOOKUP(Table1820[[#This Row],[Years Driving]],Table1[],2)</f>
        <v>1</v>
      </c>
      <c r="AB979">
        <f>_xlfn.XLOOKUP(Table1820[[#This Row],[At Fault Accidents]],Table2[At Fault Accidents],Table2[At Fault Accident Factor],,0)</f>
        <v>1</v>
      </c>
      <c r="AC979">
        <f>_xlfn.XLOOKUP(Table1820[[#This Row],[Usage-Based Insurance]],Table3[Usage-Based Insurance],Table3[Usage-Based Insurance Discount],,0)</f>
        <v>0.95</v>
      </c>
      <c r="AD979">
        <f>_xlfn.XLOOKUP(Table1820[[#This Row],[Yearly Miles]],Table4[Yearly Miles],Table4[Yearly Miles Factor],,0)</f>
        <v>1</v>
      </c>
      <c r="AE979">
        <f>_xlfn.XLOOKUP(Table1820[[#This Row],[City/Zip Code]],Table5[City/Zip Code],Table5[City/Zip Code Factor],,0)</f>
        <v>1.1100000000000001</v>
      </c>
      <c r="AF979">
        <f>_xlfn.XLOOKUP(Table1820[[#This Row],[Vehicle Price]],Table6[Vehicle Price],Table6[Vehicle Price Factor])</f>
        <v>1.57</v>
      </c>
      <c r="AG979">
        <f>_xlfn.XLOOKUP(Table1820[[#This Row],[Exotic Car]],Table7[Exotic Car],Table7[Exotic Car Factor],,0)</f>
        <v>1</v>
      </c>
      <c r="AH979">
        <f>_xlfn.XLOOKUP(Table1820[[#This Row],[Difficult Parts]],Table8[Difficult Parts],Table8[Difficult Parts Factor],,0)</f>
        <v>1</v>
      </c>
      <c r="AI979">
        <f>_xlfn.XLOOKUP(Table1820[[#This Row],[High Theft Rate]],Table9[High Theft Rate],Table9[High Theft Rate Factor],,0)</f>
        <v>1</v>
      </c>
      <c r="AJ979">
        <f>_xlfn.XLOOKUP(Table1820[[#This Row],[Advanced Safety Features]],Table10[Advanced Safety Features],Table10[Advanced Safety Features Factor],,0)</f>
        <v>0.88</v>
      </c>
      <c r="AK979">
        <f>_xlfn.XLOOKUP(Table1820[[#This Row],[Deductible]],Table12[Deductible],Table12[Deductible Factor],,0)</f>
        <v>1</v>
      </c>
      <c r="AL979">
        <f>_xlfn.XLOOKUP(Table1820[[#This Row],[Coverage Limit]],Table13[Coverage Limit],Table13[Coverage Limit Factor],,0)</f>
        <v>0.84</v>
      </c>
      <c r="AM979">
        <f>IF(Table1820[[#This Row],[Good Student Discount]]="Yes",'Rate Book'!$D$126,1)</f>
        <v>1</v>
      </c>
      <c r="AN979">
        <f>IF(Table1820[[#This Row],[Good Driver Discount]]="Yes",'Rate Book'!$D$127,1)</f>
        <v>1</v>
      </c>
      <c r="AO979">
        <f>IF(Table1820[[#This Row],[Multi Policy Discount]]="Yes",'Rate Book'!$D$128,1)</f>
        <v>1</v>
      </c>
      <c r="AP979">
        <f>IF(Table1820[[#This Row],[Loyal Customer Discount]]="Yes",'Rate Book'!$D$129,1)</f>
        <v>1</v>
      </c>
      <c r="AQ979">
        <f>IF(Table1820[[#This Row],[Organization Discount]]="Yes",'Rate Book'!$D$130,1)</f>
        <v>1</v>
      </c>
      <c r="AR979" cm="1">
        <f t="array" ref="AR979">IF(Table1820[[#This Row],[Effective Date]]&gt;=RateChangeTable[Effective Date],RateChangeTable[Rate Change Factor],1)</f>
        <v>1.06</v>
      </c>
      <c r="AS979" s="10">
        <f>PRODUCT(Table1820[[#This Row],[Base Rate]:[Rate Change Factor]])</f>
        <v>863.35264195931529</v>
      </c>
      <c r="AT979" s="9">
        <f>Table1820[[#This Row],[System-Generated Premium]]-Table1820[[#This Row],[Expected Premium]]</f>
        <v>0</v>
      </c>
      <c r="AU979" t="str">
        <f>IF(Table1820[[#This Row],[Difference]]=0,"PASS","FAIL")</f>
        <v>PASS</v>
      </c>
      <c r="AV979" s="9">
        <f>ABS(Table1820[[#This Row],[Difference]])</f>
        <v>0</v>
      </c>
      <c r="AW979" s="9" t="s">
        <v>1136</v>
      </c>
    </row>
    <row r="980" spans="1:49" x14ac:dyDescent="0.3">
      <c r="A980" t="s">
        <v>1071</v>
      </c>
      <c r="B980" s="7">
        <v>45981</v>
      </c>
      <c r="C980" t="s">
        <v>70</v>
      </c>
      <c r="D980" t="s">
        <v>1097</v>
      </c>
      <c r="E980" s="3" t="s">
        <v>1103</v>
      </c>
      <c r="F980" s="3">
        <v>1</v>
      </c>
      <c r="G980" t="s">
        <v>13</v>
      </c>
      <c r="H980" t="s">
        <v>1107</v>
      </c>
      <c r="I980" t="s">
        <v>30</v>
      </c>
      <c r="J980" t="s">
        <v>54</v>
      </c>
      <c r="K980" t="s">
        <v>10</v>
      </c>
      <c r="L980" t="s">
        <v>10</v>
      </c>
      <c r="M980" t="s">
        <v>57</v>
      </c>
      <c r="N980" t="s">
        <v>10</v>
      </c>
      <c r="O980" t="str">
        <f>INDEX(CoverageTable[Deductible Applies],MATCH(Table1820[[#This Row],[Coverage]],CoverageTable[Coverage],0))</f>
        <v>No</v>
      </c>
      <c r="P980" t="str">
        <f>INDEX(CoverageTable[Coverage Limit Applies],MATCH(Table1820[[#This Row],[Coverage]],CoverageTable[Coverage],0))</f>
        <v>Yes</v>
      </c>
      <c r="Q980" t="s">
        <v>10</v>
      </c>
      <c r="R980" t="s">
        <v>79</v>
      </c>
      <c r="S980" t="s">
        <v>57</v>
      </c>
      <c r="T980" t="s">
        <v>10</v>
      </c>
      <c r="U980" t="s">
        <v>10</v>
      </c>
      <c r="V980" t="s">
        <v>10</v>
      </c>
      <c r="W980" t="s">
        <v>10</v>
      </c>
      <c r="X980" s="11">
        <v>1391.2614433889717</v>
      </c>
      <c r="Y980">
        <f>_xlfn.XLOOKUP(Table1820[[#This Row],[Coverage]],CoverageTable[Coverage],CoverageTable[Base Rate],,0)</f>
        <v>622</v>
      </c>
      <c r="Z980">
        <f>INDEX(Table16[Ageband Factor],MATCH(Table1820[[#This Row],[Ageband]],Table16[Ageband],0))</f>
        <v>1.32</v>
      </c>
      <c r="AA980">
        <f>VLOOKUP(Table1820[[#This Row],[Years Driving]],Table1[],2)</f>
        <v>0.93</v>
      </c>
      <c r="AB980">
        <f>_xlfn.XLOOKUP(Table1820[[#This Row],[At Fault Accidents]],Table2[At Fault Accidents],Table2[At Fault Accident Factor],,0)</f>
        <v>1.34</v>
      </c>
      <c r="AC980">
        <f>_xlfn.XLOOKUP(Table1820[[#This Row],[Usage-Based Insurance]],Table3[Usage-Based Insurance],Table3[Usage-Based Insurance Discount],,0)</f>
        <v>0.65</v>
      </c>
      <c r="AD980">
        <f>_xlfn.XLOOKUP(Table1820[[#This Row],[Yearly Miles]],Table4[Yearly Miles],Table4[Yearly Miles Factor],,0)</f>
        <v>0.93</v>
      </c>
      <c r="AE980">
        <f>_xlfn.XLOOKUP(Table1820[[#This Row],[City/Zip Code]],Table5[City/Zip Code],Table5[City/Zip Code Factor],,0)</f>
        <v>1.02</v>
      </c>
      <c r="AF980">
        <f>_xlfn.XLOOKUP(Table1820[[#This Row],[Vehicle Price]],Table6[Vehicle Price],Table6[Vehicle Price Factor])</f>
        <v>2.87</v>
      </c>
      <c r="AG980">
        <f>_xlfn.XLOOKUP(Table1820[[#This Row],[Exotic Car]],Table7[Exotic Car],Table7[Exotic Car Factor],,0)</f>
        <v>1</v>
      </c>
      <c r="AH980">
        <f>_xlfn.XLOOKUP(Table1820[[#This Row],[Difficult Parts]],Table8[Difficult Parts],Table8[Difficult Parts Factor],,0)</f>
        <v>1</v>
      </c>
      <c r="AI980">
        <f>_xlfn.XLOOKUP(Table1820[[#This Row],[High Theft Rate]],Table9[High Theft Rate],Table9[High Theft Rate Factor],,0)</f>
        <v>1.1599999999999999</v>
      </c>
      <c r="AJ980">
        <f>_xlfn.XLOOKUP(Table1820[[#This Row],[Advanced Safety Features]],Table10[Advanced Safety Features],Table10[Advanced Safety Features Factor],,0)</f>
        <v>1</v>
      </c>
      <c r="AK980">
        <f>_xlfn.XLOOKUP(Table1820[[#This Row],[Deductible]],Table12[Deductible],Table12[Deductible Factor],,0)</f>
        <v>1</v>
      </c>
      <c r="AL980">
        <f>_xlfn.XLOOKUP(Table1820[[#This Row],[Coverage Limit]],Table13[Coverage Limit],Table13[Coverage Limit Factor],,0)</f>
        <v>0.72</v>
      </c>
      <c r="AM980">
        <f>IF(Table1820[[#This Row],[Good Student Discount]]="Yes",'Rate Book'!$D$126,1)</f>
        <v>0.92</v>
      </c>
      <c r="AN980">
        <f>IF(Table1820[[#This Row],[Good Driver Discount]]="Yes",'Rate Book'!$D$127,1)</f>
        <v>1</v>
      </c>
      <c r="AO980">
        <f>IF(Table1820[[#This Row],[Multi Policy Discount]]="Yes",'Rate Book'!$D$128,1)</f>
        <v>1</v>
      </c>
      <c r="AP980">
        <f>IF(Table1820[[#This Row],[Loyal Customer Discount]]="Yes",'Rate Book'!$D$129,1)</f>
        <v>1</v>
      </c>
      <c r="AQ980">
        <f>IF(Table1820[[#This Row],[Organization Discount]]="Yes",'Rate Book'!$D$130,1)</f>
        <v>1</v>
      </c>
      <c r="AR980" cm="1">
        <f t="array" ref="AR980">IF(Table1820[[#This Row],[Effective Date]]&gt;=RateChangeTable[Effective Date],RateChangeTable[Rate Change Factor],1)</f>
        <v>1</v>
      </c>
      <c r="AS980" s="10">
        <f>PRODUCT(Table1820[[#This Row],[Base Rate]:[Rate Change Factor]])</f>
        <v>1391.2614433889717</v>
      </c>
      <c r="AT980" s="9">
        <f>Table1820[[#This Row],[System-Generated Premium]]-Table1820[[#This Row],[Expected Premium]]</f>
        <v>0</v>
      </c>
      <c r="AU980" t="str">
        <f>IF(Table1820[[#This Row],[Difference]]=0,"PASS","FAIL")</f>
        <v>PASS</v>
      </c>
      <c r="AV980" s="9">
        <f>ABS(Table1820[[#This Row],[Difference]])</f>
        <v>0</v>
      </c>
      <c r="AW980" s="9" t="s">
        <v>1136</v>
      </c>
    </row>
    <row r="981" spans="1:49" x14ac:dyDescent="0.3">
      <c r="A981" t="s">
        <v>1072</v>
      </c>
      <c r="B981" s="7">
        <v>45945</v>
      </c>
      <c r="C981" t="s">
        <v>71</v>
      </c>
      <c r="D981" t="s">
        <v>1100</v>
      </c>
      <c r="E981" s="3">
        <v>5</v>
      </c>
      <c r="F981" s="3">
        <v>3</v>
      </c>
      <c r="G981" t="s">
        <v>11</v>
      </c>
      <c r="H981" t="s">
        <v>1106</v>
      </c>
      <c r="I981" t="s">
        <v>24</v>
      </c>
      <c r="J981" t="s">
        <v>54</v>
      </c>
      <c r="K981" t="s">
        <v>10</v>
      </c>
      <c r="L981" t="s">
        <v>10</v>
      </c>
      <c r="M981" t="s">
        <v>10</v>
      </c>
      <c r="N981" t="s">
        <v>57</v>
      </c>
      <c r="O981" t="str">
        <f>INDEX(CoverageTable[Deductible Applies],MATCH(Table1820[[#This Row],[Coverage]],CoverageTable[Coverage],0))</f>
        <v>Yes</v>
      </c>
      <c r="P981" t="str">
        <f>INDEX(CoverageTable[Coverage Limit Applies],MATCH(Table1820[[#This Row],[Coverage]],CoverageTable[Coverage],0))</f>
        <v>No</v>
      </c>
      <c r="Q981" t="s">
        <v>78</v>
      </c>
      <c r="R981" t="s">
        <v>10</v>
      </c>
      <c r="S981" t="s">
        <v>10</v>
      </c>
      <c r="T981" t="s">
        <v>10</v>
      </c>
      <c r="U981" t="s">
        <v>57</v>
      </c>
      <c r="V981" t="s">
        <v>10</v>
      </c>
      <c r="W981" t="s">
        <v>10</v>
      </c>
      <c r="X981" s="11">
        <v>1952.5073938519697</v>
      </c>
      <c r="Y981">
        <f>_xlfn.XLOOKUP(Table1820[[#This Row],[Coverage]],CoverageTable[Coverage],CoverageTable[Base Rate],,0)</f>
        <v>453</v>
      </c>
      <c r="Z981">
        <f>INDEX(Table16[Ageband Factor],MATCH(Table1820[[#This Row],[Ageband]],Table16[Ageband],0))</f>
        <v>1.07</v>
      </c>
      <c r="AA981">
        <f>VLOOKUP(Table1820[[#This Row],[Years Driving]],Table1[],2)</f>
        <v>1.07</v>
      </c>
      <c r="AB981">
        <f>_xlfn.XLOOKUP(Table1820[[#This Row],[At Fault Accidents]],Table2[At Fault Accidents],Table2[At Fault Accident Factor],,0)</f>
        <v>1.82</v>
      </c>
      <c r="AC981">
        <f>_xlfn.XLOOKUP(Table1820[[#This Row],[Usage-Based Insurance]],Table3[Usage-Based Insurance],Table3[Usage-Based Insurance Discount],,0)</f>
        <v>0.95</v>
      </c>
      <c r="AD981">
        <f>_xlfn.XLOOKUP(Table1820[[#This Row],[Yearly Miles]],Table4[Yearly Miles],Table4[Yearly Miles Factor],,0)</f>
        <v>0.82</v>
      </c>
      <c r="AE981">
        <f>_xlfn.XLOOKUP(Table1820[[#This Row],[City/Zip Code]],Table5[City/Zip Code],Table5[City/Zip Code Factor],,0)</f>
        <v>1.19</v>
      </c>
      <c r="AF981">
        <f>_xlfn.XLOOKUP(Table1820[[#This Row],[Vehicle Price]],Table6[Vehicle Price],Table6[Vehicle Price Factor])</f>
        <v>2.87</v>
      </c>
      <c r="AG981">
        <f>_xlfn.XLOOKUP(Table1820[[#This Row],[Exotic Car]],Table7[Exotic Car],Table7[Exotic Car Factor],,0)</f>
        <v>1</v>
      </c>
      <c r="AH981">
        <f>_xlfn.XLOOKUP(Table1820[[#This Row],[Difficult Parts]],Table8[Difficult Parts],Table8[Difficult Parts Factor],,0)</f>
        <v>1</v>
      </c>
      <c r="AI981">
        <f>_xlfn.XLOOKUP(Table1820[[#This Row],[High Theft Rate]],Table9[High Theft Rate],Table9[High Theft Rate Factor],,0)</f>
        <v>1</v>
      </c>
      <c r="AJ981">
        <f>_xlfn.XLOOKUP(Table1820[[#This Row],[Advanced Safety Features]],Table10[Advanced Safety Features],Table10[Advanced Safety Features Factor],,0)</f>
        <v>0.88</v>
      </c>
      <c r="AK981">
        <f>_xlfn.XLOOKUP(Table1820[[#This Row],[Deductible]],Table12[Deductible],Table12[Deductible Factor],,0)</f>
        <v>0.95</v>
      </c>
      <c r="AL981">
        <f>_xlfn.XLOOKUP(Table1820[[#This Row],[Coverage Limit]],Table13[Coverage Limit],Table13[Coverage Limit Factor],,0)</f>
        <v>1</v>
      </c>
      <c r="AM981">
        <f>IF(Table1820[[#This Row],[Good Student Discount]]="Yes",'Rate Book'!$D$126,1)</f>
        <v>1</v>
      </c>
      <c r="AN981">
        <f>IF(Table1820[[#This Row],[Good Driver Discount]]="Yes",'Rate Book'!$D$127,1)</f>
        <v>1</v>
      </c>
      <c r="AO981">
        <f>IF(Table1820[[#This Row],[Multi Policy Discount]]="Yes",'Rate Book'!$D$128,1)</f>
        <v>0.93</v>
      </c>
      <c r="AP981">
        <f>IF(Table1820[[#This Row],[Loyal Customer Discount]]="Yes",'Rate Book'!$D$129,1)</f>
        <v>1</v>
      </c>
      <c r="AQ981">
        <f>IF(Table1820[[#This Row],[Organization Discount]]="Yes",'Rate Book'!$D$130,1)</f>
        <v>1</v>
      </c>
      <c r="AR981" cm="1">
        <f t="array" ref="AR981">IF(Table1820[[#This Row],[Effective Date]]&gt;=RateChangeTable[Effective Date],RateChangeTable[Rate Change Factor],1)</f>
        <v>1</v>
      </c>
      <c r="AS981" s="10">
        <f>PRODUCT(Table1820[[#This Row],[Base Rate]:[Rate Change Factor]])</f>
        <v>1952.5073938519697</v>
      </c>
      <c r="AT981" s="9">
        <f>Table1820[[#This Row],[System-Generated Premium]]-Table1820[[#This Row],[Expected Premium]]</f>
        <v>0</v>
      </c>
      <c r="AU981" t="str">
        <f>IF(Table1820[[#This Row],[Difference]]=0,"PASS","FAIL")</f>
        <v>PASS</v>
      </c>
      <c r="AV981" s="9">
        <f>ABS(Table1820[[#This Row],[Difference]])</f>
        <v>0</v>
      </c>
      <c r="AW981" s="9" t="s">
        <v>1136</v>
      </c>
    </row>
    <row r="982" spans="1:49" x14ac:dyDescent="0.3">
      <c r="A982" t="s">
        <v>1073</v>
      </c>
      <c r="B982" s="7">
        <v>45853</v>
      </c>
      <c r="C982" t="s">
        <v>71</v>
      </c>
      <c r="D982" t="s">
        <v>1101</v>
      </c>
      <c r="E982" s="3">
        <v>6</v>
      </c>
      <c r="F982" s="3">
        <v>0</v>
      </c>
      <c r="G982" t="s">
        <v>10</v>
      </c>
      <c r="H982" t="s">
        <v>1109</v>
      </c>
      <c r="I982" t="s">
        <v>35</v>
      </c>
      <c r="J982" t="s">
        <v>53</v>
      </c>
      <c r="K982" t="s">
        <v>10</v>
      </c>
      <c r="L982" t="s">
        <v>10</v>
      </c>
      <c r="M982" t="s">
        <v>10</v>
      </c>
      <c r="N982" t="s">
        <v>57</v>
      </c>
      <c r="O982" t="str">
        <f>INDEX(CoverageTable[Deductible Applies],MATCH(Table1820[[#This Row],[Coverage]],CoverageTable[Coverage],0))</f>
        <v>Yes</v>
      </c>
      <c r="P982" t="str">
        <f>INDEX(CoverageTable[Coverage Limit Applies],MATCH(Table1820[[#This Row],[Coverage]],CoverageTable[Coverage],0))</f>
        <v>No</v>
      </c>
      <c r="Q982" t="s">
        <v>78</v>
      </c>
      <c r="R982" t="s">
        <v>10</v>
      </c>
      <c r="S982" t="s">
        <v>57</v>
      </c>
      <c r="T982" t="s">
        <v>10</v>
      </c>
      <c r="U982" t="s">
        <v>10</v>
      </c>
      <c r="V982" t="s">
        <v>10</v>
      </c>
      <c r="W982" t="s">
        <v>10</v>
      </c>
      <c r="X982" s="11">
        <v>1041.7457297178626</v>
      </c>
      <c r="Y982">
        <f>_xlfn.XLOOKUP(Table1820[[#This Row],[Coverage]],CoverageTable[Coverage],CoverageTable[Base Rate],,0)</f>
        <v>453</v>
      </c>
      <c r="Z982">
        <f>INDEX(Table16[Ageband Factor],MATCH(Table1820[[#This Row],[Ageband]],Table16[Ageband],0))</f>
        <v>1.1200000000000001</v>
      </c>
      <c r="AA982">
        <f>VLOOKUP(Table1820[[#This Row],[Years Driving]],Table1[],2)</f>
        <v>1</v>
      </c>
      <c r="AB982">
        <f>_xlfn.XLOOKUP(Table1820[[#This Row],[At Fault Accidents]],Table2[At Fault Accidents],Table2[At Fault Accident Factor],,0)</f>
        <v>1</v>
      </c>
      <c r="AC982">
        <f>_xlfn.XLOOKUP(Table1820[[#This Row],[Usage-Based Insurance]],Table3[Usage-Based Insurance],Table3[Usage-Based Insurance Discount],,0)</f>
        <v>1</v>
      </c>
      <c r="AD982">
        <f>_xlfn.XLOOKUP(Table1820[[#This Row],[Yearly Miles]],Table4[Yearly Miles],Table4[Yearly Miles Factor],,0)</f>
        <v>1.18</v>
      </c>
      <c r="AE982">
        <f>_xlfn.XLOOKUP(Table1820[[#This Row],[City/Zip Code]],Table5[City/Zip Code],Table5[City/Zip Code Factor],,0)</f>
        <v>1.1200000000000001</v>
      </c>
      <c r="AF982">
        <f>_xlfn.XLOOKUP(Table1820[[#This Row],[Vehicle Price]],Table6[Vehicle Price],Table6[Vehicle Price Factor])</f>
        <v>2.02</v>
      </c>
      <c r="AG982">
        <f>_xlfn.XLOOKUP(Table1820[[#This Row],[Exotic Car]],Table7[Exotic Car],Table7[Exotic Car Factor],,0)</f>
        <v>1</v>
      </c>
      <c r="AH982">
        <f>_xlfn.XLOOKUP(Table1820[[#This Row],[Difficult Parts]],Table8[Difficult Parts],Table8[Difficult Parts Factor],,0)</f>
        <v>1</v>
      </c>
      <c r="AI982">
        <f>_xlfn.XLOOKUP(Table1820[[#This Row],[High Theft Rate]],Table9[High Theft Rate],Table9[High Theft Rate Factor],,0)</f>
        <v>1</v>
      </c>
      <c r="AJ982">
        <f>_xlfn.XLOOKUP(Table1820[[#This Row],[Advanced Safety Features]],Table10[Advanced Safety Features],Table10[Advanced Safety Features Factor],,0)</f>
        <v>0.88</v>
      </c>
      <c r="AK982">
        <f>_xlfn.XLOOKUP(Table1820[[#This Row],[Deductible]],Table12[Deductible],Table12[Deductible Factor],,0)</f>
        <v>0.95</v>
      </c>
      <c r="AL982">
        <f>_xlfn.XLOOKUP(Table1820[[#This Row],[Coverage Limit]],Table13[Coverage Limit],Table13[Coverage Limit Factor],,0)</f>
        <v>1</v>
      </c>
      <c r="AM982">
        <f>IF(Table1820[[#This Row],[Good Student Discount]]="Yes",'Rate Book'!$D$126,1)</f>
        <v>0.92</v>
      </c>
      <c r="AN982">
        <f>IF(Table1820[[#This Row],[Good Driver Discount]]="Yes",'Rate Book'!$D$127,1)</f>
        <v>1</v>
      </c>
      <c r="AO982">
        <f>IF(Table1820[[#This Row],[Multi Policy Discount]]="Yes",'Rate Book'!$D$128,1)</f>
        <v>1</v>
      </c>
      <c r="AP982">
        <f>IF(Table1820[[#This Row],[Loyal Customer Discount]]="Yes",'Rate Book'!$D$129,1)</f>
        <v>1</v>
      </c>
      <c r="AQ982">
        <f>IF(Table1820[[#This Row],[Organization Discount]]="Yes",'Rate Book'!$D$130,1)</f>
        <v>1</v>
      </c>
      <c r="AR982" cm="1">
        <f t="array" ref="AR982">IF(Table1820[[#This Row],[Effective Date]]&gt;=RateChangeTable[Effective Date],RateChangeTable[Rate Change Factor],1)</f>
        <v>1</v>
      </c>
      <c r="AS982" s="10">
        <f>PRODUCT(Table1820[[#This Row],[Base Rate]:[Rate Change Factor]])</f>
        <v>1041.7457297178626</v>
      </c>
      <c r="AT982" s="9">
        <f>Table1820[[#This Row],[System-Generated Premium]]-Table1820[[#This Row],[Expected Premium]]</f>
        <v>0</v>
      </c>
      <c r="AU982" t="str">
        <f>IF(Table1820[[#This Row],[Difference]]=0,"PASS","FAIL")</f>
        <v>PASS</v>
      </c>
      <c r="AV982" s="9">
        <f>ABS(Table1820[[#This Row],[Difference]])</f>
        <v>0</v>
      </c>
      <c r="AW982" s="9" t="s">
        <v>1136</v>
      </c>
    </row>
    <row r="983" spans="1:49" x14ac:dyDescent="0.3">
      <c r="A983" t="s">
        <v>1074</v>
      </c>
      <c r="B983" s="7">
        <v>46111</v>
      </c>
      <c r="C983" t="s">
        <v>71</v>
      </c>
      <c r="D983" t="s">
        <v>1097</v>
      </c>
      <c r="E983" s="3">
        <v>2</v>
      </c>
      <c r="F983" s="3">
        <v>2</v>
      </c>
      <c r="G983" t="s">
        <v>12</v>
      </c>
      <c r="H983" t="s">
        <v>1106</v>
      </c>
      <c r="I983" t="s">
        <v>38</v>
      </c>
      <c r="J983" t="s">
        <v>51</v>
      </c>
      <c r="K983" t="s">
        <v>10</v>
      </c>
      <c r="L983" t="s">
        <v>10</v>
      </c>
      <c r="M983" t="s">
        <v>10</v>
      </c>
      <c r="N983" t="s">
        <v>57</v>
      </c>
      <c r="O983" t="str">
        <f>INDEX(CoverageTable[Deductible Applies],MATCH(Table1820[[#This Row],[Coverage]],CoverageTable[Coverage],0))</f>
        <v>Yes</v>
      </c>
      <c r="P983" t="str">
        <f>INDEX(CoverageTable[Coverage Limit Applies],MATCH(Table1820[[#This Row],[Coverage]],CoverageTable[Coverage],0))</f>
        <v>No</v>
      </c>
      <c r="Q983" t="s">
        <v>80</v>
      </c>
      <c r="R983" t="s">
        <v>10</v>
      </c>
      <c r="S983" t="s">
        <v>10</v>
      </c>
      <c r="T983" t="s">
        <v>10</v>
      </c>
      <c r="U983" t="s">
        <v>10</v>
      </c>
      <c r="V983" t="s">
        <v>10</v>
      </c>
      <c r="W983" t="s">
        <v>57</v>
      </c>
      <c r="X983" s="11">
        <v>800.65891528089026</v>
      </c>
      <c r="Y983">
        <f>_xlfn.XLOOKUP(Table1820[[#This Row],[Coverage]],CoverageTable[Coverage],CoverageTable[Base Rate],,0)</f>
        <v>453</v>
      </c>
      <c r="Z983">
        <f>INDEX(Table16[Ageband Factor],MATCH(Table1820[[#This Row],[Ageband]],Table16[Ageband],0))</f>
        <v>1.32</v>
      </c>
      <c r="AA983">
        <f>VLOOKUP(Table1820[[#This Row],[Years Driving]],Table1[],2)</f>
        <v>1.41</v>
      </c>
      <c r="AB983">
        <f>_xlfn.XLOOKUP(Table1820[[#This Row],[At Fault Accidents]],Table2[At Fault Accidents],Table2[At Fault Accident Factor],,0)</f>
        <v>1.55</v>
      </c>
      <c r="AC983">
        <f>_xlfn.XLOOKUP(Table1820[[#This Row],[Usage-Based Insurance]],Table3[Usage-Based Insurance],Table3[Usage-Based Insurance Discount],,0)</f>
        <v>0.8</v>
      </c>
      <c r="AD983">
        <f>_xlfn.XLOOKUP(Table1820[[#This Row],[Yearly Miles]],Table4[Yearly Miles],Table4[Yearly Miles Factor],,0)</f>
        <v>0.82</v>
      </c>
      <c r="AE983">
        <f>_xlfn.XLOOKUP(Table1820[[#This Row],[City/Zip Code]],Table5[City/Zip Code],Table5[City/Zip Code Factor],,0)</f>
        <v>1.1200000000000001</v>
      </c>
      <c r="AF983">
        <f>_xlfn.XLOOKUP(Table1820[[#This Row],[Vehicle Price]],Table6[Vehicle Price],Table6[Vehicle Price Factor])</f>
        <v>1.28</v>
      </c>
      <c r="AG983">
        <f>_xlfn.XLOOKUP(Table1820[[#This Row],[Exotic Car]],Table7[Exotic Car],Table7[Exotic Car Factor],,0)</f>
        <v>1</v>
      </c>
      <c r="AH983">
        <f>_xlfn.XLOOKUP(Table1820[[#This Row],[Difficult Parts]],Table8[Difficult Parts],Table8[Difficult Parts Factor],,0)</f>
        <v>1</v>
      </c>
      <c r="AI983">
        <f>_xlfn.XLOOKUP(Table1820[[#This Row],[High Theft Rate]],Table9[High Theft Rate],Table9[High Theft Rate Factor],,0)</f>
        <v>1</v>
      </c>
      <c r="AJ983">
        <f>_xlfn.XLOOKUP(Table1820[[#This Row],[Advanced Safety Features]],Table10[Advanced Safety Features],Table10[Advanced Safety Features Factor],,0)</f>
        <v>0.88</v>
      </c>
      <c r="AK983">
        <f>_xlfn.XLOOKUP(Table1820[[#This Row],[Deductible]],Table12[Deductible],Table12[Deductible Factor],,0)</f>
        <v>0.72</v>
      </c>
      <c r="AL983">
        <f>_xlfn.XLOOKUP(Table1820[[#This Row],[Coverage Limit]],Table13[Coverage Limit],Table13[Coverage Limit Factor],,0)</f>
        <v>1</v>
      </c>
      <c r="AM983">
        <f>IF(Table1820[[#This Row],[Good Student Discount]]="Yes",'Rate Book'!$D$126,1)</f>
        <v>1</v>
      </c>
      <c r="AN983">
        <f>IF(Table1820[[#This Row],[Good Driver Discount]]="Yes",'Rate Book'!$D$127,1)</f>
        <v>1</v>
      </c>
      <c r="AO983">
        <f>IF(Table1820[[#This Row],[Multi Policy Discount]]="Yes",'Rate Book'!$D$128,1)</f>
        <v>1</v>
      </c>
      <c r="AP983">
        <f>IF(Table1820[[#This Row],[Loyal Customer Discount]]="Yes",'Rate Book'!$D$129,1)</f>
        <v>1</v>
      </c>
      <c r="AQ983">
        <f>IF(Table1820[[#This Row],[Organization Discount]]="Yes",'Rate Book'!$D$130,1)</f>
        <v>0.97</v>
      </c>
      <c r="AR983" cm="1">
        <f t="array" ref="AR983">IF(Table1820[[#This Row],[Effective Date]]&gt;=RateChangeTable[Effective Date],RateChangeTable[Rate Change Factor],1)</f>
        <v>1.06</v>
      </c>
      <c r="AS983" s="10">
        <f>PRODUCT(Table1820[[#This Row],[Base Rate]:[Rate Change Factor]])</f>
        <v>800.65891528089026</v>
      </c>
      <c r="AT983" s="9">
        <f>Table1820[[#This Row],[System-Generated Premium]]-Table1820[[#This Row],[Expected Premium]]</f>
        <v>0</v>
      </c>
      <c r="AU983" t="str">
        <f>IF(Table1820[[#This Row],[Difference]]=0,"PASS","FAIL")</f>
        <v>PASS</v>
      </c>
      <c r="AV983" s="9">
        <f>ABS(Table1820[[#This Row],[Difference]])</f>
        <v>0</v>
      </c>
      <c r="AW983" s="9" t="s">
        <v>1136</v>
      </c>
    </row>
    <row r="984" spans="1:49" x14ac:dyDescent="0.3">
      <c r="A984" t="s">
        <v>1075</v>
      </c>
      <c r="B984" s="7">
        <v>45930</v>
      </c>
      <c r="C984" t="s">
        <v>71</v>
      </c>
      <c r="D984" t="s">
        <v>1100</v>
      </c>
      <c r="E984" s="3">
        <v>7</v>
      </c>
      <c r="F984" s="3">
        <v>2</v>
      </c>
      <c r="G984" t="s">
        <v>10</v>
      </c>
      <c r="H984" t="s">
        <v>1110</v>
      </c>
      <c r="I984" t="s">
        <v>34</v>
      </c>
      <c r="J984" t="s">
        <v>50</v>
      </c>
      <c r="K984" t="s">
        <v>10</v>
      </c>
      <c r="L984" t="s">
        <v>10</v>
      </c>
      <c r="M984" t="s">
        <v>57</v>
      </c>
      <c r="N984" t="s">
        <v>10</v>
      </c>
      <c r="O984" t="str">
        <f>INDEX(CoverageTable[Deductible Applies],MATCH(Table1820[[#This Row],[Coverage]],CoverageTable[Coverage],0))</f>
        <v>Yes</v>
      </c>
      <c r="P984" t="str">
        <f>INDEX(CoverageTable[Coverage Limit Applies],MATCH(Table1820[[#This Row],[Coverage]],CoverageTable[Coverage],0))</f>
        <v>No</v>
      </c>
      <c r="Q984" t="s">
        <v>79</v>
      </c>
      <c r="R984" t="s">
        <v>10</v>
      </c>
      <c r="S984" t="s">
        <v>10</v>
      </c>
      <c r="T984" t="s">
        <v>10</v>
      </c>
      <c r="U984" t="s">
        <v>10</v>
      </c>
      <c r="V984" t="s">
        <v>10</v>
      </c>
      <c r="W984" t="s">
        <v>10</v>
      </c>
      <c r="X984" s="11">
        <v>1534.9499107944021</v>
      </c>
      <c r="Y984">
        <f>_xlfn.XLOOKUP(Table1820[[#This Row],[Coverage]],CoverageTable[Coverage],CoverageTable[Base Rate],,0)</f>
        <v>453</v>
      </c>
      <c r="Z984">
        <f>INDEX(Table16[Ageband Factor],MATCH(Table1820[[#This Row],[Ageband]],Table16[Ageband],0))</f>
        <v>1.07</v>
      </c>
      <c r="AA984">
        <f>VLOOKUP(Table1820[[#This Row],[Years Driving]],Table1[],2)</f>
        <v>0.95</v>
      </c>
      <c r="AB984">
        <f>_xlfn.XLOOKUP(Table1820[[#This Row],[At Fault Accidents]],Table2[At Fault Accidents],Table2[At Fault Accident Factor],,0)</f>
        <v>1.55</v>
      </c>
      <c r="AC984">
        <f>_xlfn.XLOOKUP(Table1820[[#This Row],[Usage-Based Insurance]],Table3[Usage-Based Insurance],Table3[Usage-Based Insurance Discount],,0)</f>
        <v>1</v>
      </c>
      <c r="AD984">
        <f>_xlfn.XLOOKUP(Table1820[[#This Row],[Yearly Miles]],Table4[Yearly Miles],Table4[Yearly Miles Factor],,0)</f>
        <v>1.31</v>
      </c>
      <c r="AE984">
        <f>_xlfn.XLOOKUP(Table1820[[#This Row],[City/Zip Code]],Table5[City/Zip Code],Table5[City/Zip Code Factor],,0)</f>
        <v>1.56</v>
      </c>
      <c r="AF984">
        <f>_xlfn.XLOOKUP(Table1820[[#This Row],[Vehicle Price]],Table6[Vehicle Price],Table6[Vehicle Price Factor])</f>
        <v>1.08</v>
      </c>
      <c r="AG984">
        <f>_xlfn.XLOOKUP(Table1820[[#This Row],[Exotic Car]],Table7[Exotic Car],Table7[Exotic Car Factor],,0)</f>
        <v>1</v>
      </c>
      <c r="AH984">
        <f>_xlfn.XLOOKUP(Table1820[[#This Row],[Difficult Parts]],Table8[Difficult Parts],Table8[Difficult Parts Factor],,0)</f>
        <v>1</v>
      </c>
      <c r="AI984">
        <f>_xlfn.XLOOKUP(Table1820[[#This Row],[High Theft Rate]],Table9[High Theft Rate],Table9[High Theft Rate Factor],,0)</f>
        <v>1.1599999999999999</v>
      </c>
      <c r="AJ984">
        <f>_xlfn.XLOOKUP(Table1820[[#This Row],[Advanced Safety Features]],Table10[Advanced Safety Features],Table10[Advanced Safety Features Factor],,0)</f>
        <v>1</v>
      </c>
      <c r="AK984">
        <f>_xlfn.XLOOKUP(Table1820[[#This Row],[Deductible]],Table12[Deductible],Table12[Deductible Factor],,0)</f>
        <v>0.84</v>
      </c>
      <c r="AL984">
        <f>_xlfn.XLOOKUP(Table1820[[#This Row],[Coverage Limit]],Table13[Coverage Limit],Table13[Coverage Limit Factor],,0)</f>
        <v>1</v>
      </c>
      <c r="AM984">
        <f>IF(Table1820[[#This Row],[Good Student Discount]]="Yes",'Rate Book'!$D$126,1)</f>
        <v>1</v>
      </c>
      <c r="AN984">
        <f>IF(Table1820[[#This Row],[Good Driver Discount]]="Yes",'Rate Book'!$D$127,1)</f>
        <v>1</v>
      </c>
      <c r="AO984">
        <f>IF(Table1820[[#This Row],[Multi Policy Discount]]="Yes",'Rate Book'!$D$128,1)</f>
        <v>1</v>
      </c>
      <c r="AP984">
        <f>IF(Table1820[[#This Row],[Loyal Customer Discount]]="Yes",'Rate Book'!$D$129,1)</f>
        <v>1</v>
      </c>
      <c r="AQ984">
        <f>IF(Table1820[[#This Row],[Organization Discount]]="Yes",'Rate Book'!$D$130,1)</f>
        <v>1</v>
      </c>
      <c r="AR984" cm="1">
        <f t="array" ref="AR984">IF(Table1820[[#This Row],[Effective Date]]&gt;=RateChangeTable[Effective Date],RateChangeTable[Rate Change Factor],1)</f>
        <v>1</v>
      </c>
      <c r="AS984" s="10">
        <f>PRODUCT(Table1820[[#This Row],[Base Rate]:[Rate Change Factor]])</f>
        <v>1534.9499107944021</v>
      </c>
      <c r="AT984" s="9">
        <f>Table1820[[#This Row],[System-Generated Premium]]-Table1820[[#This Row],[Expected Premium]]</f>
        <v>0</v>
      </c>
      <c r="AU984" t="str">
        <f>IF(Table1820[[#This Row],[Difference]]=0,"PASS","FAIL")</f>
        <v>PASS</v>
      </c>
      <c r="AV984" s="9">
        <f>ABS(Table1820[[#This Row],[Difference]])</f>
        <v>0</v>
      </c>
      <c r="AW984" s="9" t="s">
        <v>1136</v>
      </c>
    </row>
    <row r="985" spans="1:49" x14ac:dyDescent="0.3">
      <c r="A985" t="s">
        <v>1076</v>
      </c>
      <c r="B985" s="7">
        <v>46114</v>
      </c>
      <c r="C985" t="s">
        <v>74</v>
      </c>
      <c r="D985" t="s">
        <v>1102</v>
      </c>
      <c r="E985" s="3">
        <v>6</v>
      </c>
      <c r="F985" s="3">
        <v>0</v>
      </c>
      <c r="G985" t="s">
        <v>13</v>
      </c>
      <c r="H985" t="s">
        <v>1110</v>
      </c>
      <c r="I985" t="s">
        <v>25</v>
      </c>
      <c r="J985" t="s">
        <v>53</v>
      </c>
      <c r="K985" t="s">
        <v>10</v>
      </c>
      <c r="L985" t="s">
        <v>10</v>
      </c>
      <c r="M985" t="s">
        <v>10</v>
      </c>
      <c r="N985" t="s">
        <v>57</v>
      </c>
      <c r="O985" t="str">
        <f>INDEX(CoverageTable[Deductible Applies],MATCH(Table1820[[#This Row],[Coverage]],CoverageTable[Coverage],0))</f>
        <v>No</v>
      </c>
      <c r="P985" t="str">
        <f>INDEX(CoverageTable[Coverage Limit Applies],MATCH(Table1820[[#This Row],[Coverage]],CoverageTable[Coverage],0))</f>
        <v>Yes</v>
      </c>
      <c r="Q985" t="s">
        <v>10</v>
      </c>
      <c r="R985" t="s">
        <v>80</v>
      </c>
      <c r="S985" t="s">
        <v>10</v>
      </c>
      <c r="T985" t="s">
        <v>10</v>
      </c>
      <c r="U985" t="s">
        <v>10</v>
      </c>
      <c r="V985" t="s">
        <v>57</v>
      </c>
      <c r="W985" t="s">
        <v>10</v>
      </c>
      <c r="X985" s="11">
        <v>76.520406016654277</v>
      </c>
      <c r="Y985">
        <f>_xlfn.XLOOKUP(Table1820[[#This Row],[Coverage]],CoverageTable[Coverage],CoverageTable[Base Rate],,0)</f>
        <v>41</v>
      </c>
      <c r="Z985">
        <f>INDEX(Table16[Ageband Factor],MATCH(Table1820[[#This Row],[Ageband]],Table16[Ageband],0))</f>
        <v>1.27</v>
      </c>
      <c r="AA985">
        <f>VLOOKUP(Table1820[[#This Row],[Years Driving]],Table1[],2)</f>
        <v>1</v>
      </c>
      <c r="AB985">
        <f>_xlfn.XLOOKUP(Table1820[[#This Row],[At Fault Accidents]],Table2[At Fault Accidents],Table2[At Fault Accident Factor],,0)</f>
        <v>1</v>
      </c>
      <c r="AC985">
        <f>_xlfn.XLOOKUP(Table1820[[#This Row],[Usage-Based Insurance]],Table3[Usage-Based Insurance],Table3[Usage-Based Insurance Discount],,0)</f>
        <v>0.65</v>
      </c>
      <c r="AD985">
        <f>_xlfn.XLOOKUP(Table1820[[#This Row],[Yearly Miles]],Table4[Yearly Miles],Table4[Yearly Miles Factor],,0)</f>
        <v>1.31</v>
      </c>
      <c r="AE985">
        <f>_xlfn.XLOOKUP(Table1820[[#This Row],[City/Zip Code]],Table5[City/Zip Code],Table5[City/Zip Code Factor],,0)</f>
        <v>1.1599999999999999</v>
      </c>
      <c r="AF985">
        <f>_xlfn.XLOOKUP(Table1820[[#This Row],[Vehicle Price]],Table6[Vehicle Price],Table6[Vehicle Price Factor])</f>
        <v>2.02</v>
      </c>
      <c r="AG985">
        <f>_xlfn.XLOOKUP(Table1820[[#This Row],[Exotic Car]],Table7[Exotic Car],Table7[Exotic Car Factor],,0)</f>
        <v>1</v>
      </c>
      <c r="AH985">
        <f>_xlfn.XLOOKUP(Table1820[[#This Row],[Difficult Parts]],Table8[Difficult Parts],Table8[Difficult Parts Factor],,0)</f>
        <v>1</v>
      </c>
      <c r="AI985">
        <f>_xlfn.XLOOKUP(Table1820[[#This Row],[High Theft Rate]],Table9[High Theft Rate],Table9[High Theft Rate Factor],,0)</f>
        <v>1</v>
      </c>
      <c r="AJ985">
        <f>_xlfn.XLOOKUP(Table1820[[#This Row],[Advanced Safety Features]],Table10[Advanced Safety Features],Table10[Advanced Safety Features Factor],,0)</f>
        <v>0.88</v>
      </c>
      <c r="AK985">
        <f>_xlfn.XLOOKUP(Table1820[[#This Row],[Deductible]],Table12[Deductible],Table12[Deductible Factor],,0)</f>
        <v>1</v>
      </c>
      <c r="AL985">
        <f>_xlfn.XLOOKUP(Table1820[[#This Row],[Coverage Limit]],Table13[Coverage Limit],Table13[Coverage Limit Factor],,0)</f>
        <v>0.84</v>
      </c>
      <c r="AM985">
        <f>IF(Table1820[[#This Row],[Good Student Discount]]="Yes",'Rate Book'!$D$126,1)</f>
        <v>1</v>
      </c>
      <c r="AN985">
        <f>IF(Table1820[[#This Row],[Good Driver Discount]]="Yes",'Rate Book'!$D$127,1)</f>
        <v>1</v>
      </c>
      <c r="AO985">
        <f>IF(Table1820[[#This Row],[Multi Policy Discount]]="Yes",'Rate Book'!$D$128,1)</f>
        <v>1</v>
      </c>
      <c r="AP985">
        <f>IF(Table1820[[#This Row],[Loyal Customer Discount]]="Yes",'Rate Book'!$D$129,1)</f>
        <v>0.94</v>
      </c>
      <c r="AQ985">
        <f>IF(Table1820[[#This Row],[Organization Discount]]="Yes",'Rate Book'!$D$130,1)</f>
        <v>1</v>
      </c>
      <c r="AR985" cm="1">
        <f t="array" ref="AR985">IF(Table1820[[#This Row],[Effective Date]]&gt;=RateChangeTable[Effective Date],RateChangeTable[Rate Change Factor],1)</f>
        <v>1.06</v>
      </c>
      <c r="AS985" s="10">
        <f>PRODUCT(Table1820[[#This Row],[Base Rate]:[Rate Change Factor]])</f>
        <v>76.520406016654277</v>
      </c>
      <c r="AT985" s="9">
        <f>Table1820[[#This Row],[System-Generated Premium]]-Table1820[[#This Row],[Expected Premium]]</f>
        <v>0</v>
      </c>
      <c r="AU985" t="str">
        <f>IF(Table1820[[#This Row],[Difference]]=0,"PASS","FAIL")</f>
        <v>PASS</v>
      </c>
      <c r="AV985" s="9">
        <f>ABS(Table1820[[#This Row],[Difference]])</f>
        <v>0</v>
      </c>
      <c r="AW985" s="9" t="s">
        <v>1136</v>
      </c>
    </row>
    <row r="986" spans="1:49" x14ac:dyDescent="0.3">
      <c r="A986" t="s">
        <v>1077</v>
      </c>
      <c r="B986" s="7">
        <v>46090</v>
      </c>
      <c r="C986" t="s">
        <v>73</v>
      </c>
      <c r="D986" t="s">
        <v>1101</v>
      </c>
      <c r="E986" s="3">
        <v>5</v>
      </c>
      <c r="F986" s="3">
        <v>0</v>
      </c>
      <c r="G986" t="s">
        <v>12</v>
      </c>
      <c r="H986" t="s">
        <v>1106</v>
      </c>
      <c r="I986" t="s">
        <v>39</v>
      </c>
      <c r="J986" t="s">
        <v>53</v>
      </c>
      <c r="K986" t="s">
        <v>10</v>
      </c>
      <c r="L986" t="s">
        <v>57</v>
      </c>
      <c r="M986" t="s">
        <v>10</v>
      </c>
      <c r="N986" t="s">
        <v>57</v>
      </c>
      <c r="O986" t="str">
        <f>INDEX(CoverageTable[Deductible Applies],MATCH(Table1820[[#This Row],[Coverage]],CoverageTable[Coverage],0))</f>
        <v>No</v>
      </c>
      <c r="P986" t="str">
        <f>INDEX(CoverageTable[Coverage Limit Applies],MATCH(Table1820[[#This Row],[Coverage]],CoverageTable[Coverage],0))</f>
        <v>Yes</v>
      </c>
      <c r="Q986" t="s">
        <v>10</v>
      </c>
      <c r="R986" t="s">
        <v>78</v>
      </c>
      <c r="S986" t="s">
        <v>10</v>
      </c>
      <c r="T986" t="s">
        <v>10</v>
      </c>
      <c r="U986" t="s">
        <v>57</v>
      </c>
      <c r="V986" t="s">
        <v>10</v>
      </c>
      <c r="W986" t="s">
        <v>10</v>
      </c>
      <c r="X986" s="11">
        <v>85.656841976815144</v>
      </c>
      <c r="Y986">
        <f>_xlfn.XLOOKUP(Table1820[[#This Row],[Coverage]],CoverageTable[Coverage],CoverageTable[Base Rate],,0)</f>
        <v>78</v>
      </c>
      <c r="Z986">
        <f>INDEX(Table16[Ageband Factor],MATCH(Table1820[[#This Row],[Ageband]],Table16[Ageband],0))</f>
        <v>1.1200000000000001</v>
      </c>
      <c r="AA986">
        <f>VLOOKUP(Table1820[[#This Row],[Years Driving]],Table1[],2)</f>
        <v>1.07</v>
      </c>
      <c r="AB986">
        <f>_xlfn.XLOOKUP(Table1820[[#This Row],[At Fault Accidents]],Table2[At Fault Accidents],Table2[At Fault Accident Factor],,0)</f>
        <v>1</v>
      </c>
      <c r="AC986">
        <f>_xlfn.XLOOKUP(Table1820[[#This Row],[Usage-Based Insurance]],Table3[Usage-Based Insurance],Table3[Usage-Based Insurance Discount],,0)</f>
        <v>0.8</v>
      </c>
      <c r="AD986">
        <f>_xlfn.XLOOKUP(Table1820[[#This Row],[Yearly Miles]],Table4[Yearly Miles],Table4[Yearly Miles Factor],,0)</f>
        <v>0.82</v>
      </c>
      <c r="AE986">
        <f>_xlfn.XLOOKUP(Table1820[[#This Row],[City/Zip Code]],Table5[City/Zip Code],Table5[City/Zip Code Factor],,0)</f>
        <v>1.08</v>
      </c>
      <c r="AF986">
        <f>_xlfn.XLOOKUP(Table1820[[#This Row],[Vehicle Price]],Table6[Vehicle Price],Table6[Vehicle Price Factor])</f>
        <v>2.02</v>
      </c>
      <c r="AG986">
        <f>_xlfn.XLOOKUP(Table1820[[#This Row],[Exotic Car]],Table7[Exotic Car],Table7[Exotic Car Factor],,0)</f>
        <v>1</v>
      </c>
      <c r="AH986">
        <f>_xlfn.XLOOKUP(Table1820[[#This Row],[Difficult Parts]],Table8[Difficult Parts],Table8[Difficult Parts Factor],,0)</f>
        <v>1.21</v>
      </c>
      <c r="AI986">
        <f>_xlfn.XLOOKUP(Table1820[[#This Row],[High Theft Rate]],Table9[High Theft Rate],Table9[High Theft Rate Factor],,0)</f>
        <v>1</v>
      </c>
      <c r="AJ986">
        <f>_xlfn.XLOOKUP(Table1820[[#This Row],[Advanced Safety Features]],Table10[Advanced Safety Features],Table10[Advanced Safety Features Factor],,0)</f>
        <v>0.88</v>
      </c>
      <c r="AK986">
        <f>_xlfn.XLOOKUP(Table1820[[#This Row],[Deductible]],Table12[Deductible],Table12[Deductible Factor],,0)</f>
        <v>1</v>
      </c>
      <c r="AL986">
        <f>_xlfn.XLOOKUP(Table1820[[#This Row],[Coverage Limit]],Table13[Coverage Limit],Table13[Coverage Limit Factor],,0)</f>
        <v>0.61</v>
      </c>
      <c r="AM986">
        <f>IF(Table1820[[#This Row],[Good Student Discount]]="Yes",'Rate Book'!$D$126,1)</f>
        <v>1</v>
      </c>
      <c r="AN986">
        <f>IF(Table1820[[#This Row],[Good Driver Discount]]="Yes",'Rate Book'!$D$127,1)</f>
        <v>1</v>
      </c>
      <c r="AO986">
        <f>IF(Table1820[[#This Row],[Multi Policy Discount]]="Yes",'Rate Book'!$D$128,1)</f>
        <v>0.93</v>
      </c>
      <c r="AP986">
        <f>IF(Table1820[[#This Row],[Loyal Customer Discount]]="Yes",'Rate Book'!$D$129,1)</f>
        <v>1</v>
      </c>
      <c r="AQ986">
        <f>IF(Table1820[[#This Row],[Organization Discount]]="Yes",'Rate Book'!$D$130,1)</f>
        <v>1</v>
      </c>
      <c r="AR986" cm="1">
        <f t="array" ref="AR986">IF(Table1820[[#This Row],[Effective Date]]&gt;=RateChangeTable[Effective Date],RateChangeTable[Rate Change Factor],1)</f>
        <v>1.06</v>
      </c>
      <c r="AS986" s="10">
        <f>PRODUCT(Table1820[[#This Row],[Base Rate]:[Rate Change Factor]])</f>
        <v>85.656841976815144</v>
      </c>
      <c r="AT986" s="9">
        <f>Table1820[[#This Row],[System-Generated Premium]]-Table1820[[#This Row],[Expected Premium]]</f>
        <v>0</v>
      </c>
      <c r="AU986" t="str">
        <f>IF(Table1820[[#This Row],[Difference]]=0,"PASS","FAIL")</f>
        <v>PASS</v>
      </c>
      <c r="AV986" s="9">
        <f>ABS(Table1820[[#This Row],[Difference]])</f>
        <v>0</v>
      </c>
      <c r="AW986" s="9" t="s">
        <v>1136</v>
      </c>
    </row>
    <row r="987" spans="1:49" x14ac:dyDescent="0.3">
      <c r="A987" t="s">
        <v>1078</v>
      </c>
      <c r="B987" s="7">
        <v>45987</v>
      </c>
      <c r="C987" t="s">
        <v>72</v>
      </c>
      <c r="D987" t="s">
        <v>1099</v>
      </c>
      <c r="E987" s="3">
        <v>6</v>
      </c>
      <c r="F987" s="3">
        <v>0</v>
      </c>
      <c r="G987" t="s">
        <v>13</v>
      </c>
      <c r="H987" t="s">
        <v>1109</v>
      </c>
      <c r="I987" t="s">
        <v>25</v>
      </c>
      <c r="J987" t="s">
        <v>53</v>
      </c>
      <c r="K987" t="s">
        <v>10</v>
      </c>
      <c r="L987" t="s">
        <v>10</v>
      </c>
      <c r="M987" t="s">
        <v>10</v>
      </c>
      <c r="N987" t="s">
        <v>10</v>
      </c>
      <c r="O987" t="str">
        <f>INDEX(CoverageTable[Deductible Applies],MATCH(Table1820[[#This Row],[Coverage]],CoverageTable[Coverage],0))</f>
        <v>Yes</v>
      </c>
      <c r="P987" t="str">
        <f>INDEX(CoverageTable[Coverage Limit Applies],MATCH(Table1820[[#This Row],[Coverage]],CoverageTable[Coverage],0))</f>
        <v>No</v>
      </c>
      <c r="Q987" t="s">
        <v>80</v>
      </c>
      <c r="R987" t="s">
        <v>10</v>
      </c>
      <c r="S987" t="s">
        <v>10</v>
      </c>
      <c r="T987" t="s">
        <v>10</v>
      </c>
      <c r="U987" t="s">
        <v>10</v>
      </c>
      <c r="V987" t="s">
        <v>10</v>
      </c>
      <c r="W987" t="s">
        <v>57</v>
      </c>
      <c r="X987" s="11">
        <v>151.87780910015999</v>
      </c>
      <c r="Y987">
        <f>_xlfn.XLOOKUP(Table1820[[#This Row],[Coverage]],CoverageTable[Coverage],CoverageTable[Base Rate],,0)</f>
        <v>121</v>
      </c>
      <c r="Z987">
        <f>INDEX(Table16[Ageband Factor],MATCH(Table1820[[#This Row],[Ageband]],Table16[Ageband],0))</f>
        <v>1</v>
      </c>
      <c r="AA987">
        <f>VLOOKUP(Table1820[[#This Row],[Years Driving]],Table1[],2)</f>
        <v>1</v>
      </c>
      <c r="AB987">
        <f>_xlfn.XLOOKUP(Table1820[[#This Row],[At Fault Accidents]],Table2[At Fault Accidents],Table2[At Fault Accident Factor],,0)</f>
        <v>1</v>
      </c>
      <c r="AC987">
        <f>_xlfn.XLOOKUP(Table1820[[#This Row],[Usage-Based Insurance]],Table3[Usage-Based Insurance],Table3[Usage-Based Insurance Discount],,0)</f>
        <v>0.65</v>
      </c>
      <c r="AD987">
        <f>_xlfn.XLOOKUP(Table1820[[#This Row],[Yearly Miles]],Table4[Yearly Miles],Table4[Yearly Miles Factor],,0)</f>
        <v>1.18</v>
      </c>
      <c r="AE987">
        <f>_xlfn.XLOOKUP(Table1820[[#This Row],[City/Zip Code]],Table5[City/Zip Code],Table5[City/Zip Code Factor],,0)</f>
        <v>1.1599999999999999</v>
      </c>
      <c r="AF987">
        <f>_xlfn.XLOOKUP(Table1820[[#This Row],[Vehicle Price]],Table6[Vehicle Price],Table6[Vehicle Price Factor])</f>
        <v>2.02</v>
      </c>
      <c r="AG987">
        <f>_xlfn.XLOOKUP(Table1820[[#This Row],[Exotic Car]],Table7[Exotic Car],Table7[Exotic Car Factor],,0)</f>
        <v>1</v>
      </c>
      <c r="AH987">
        <f>_xlfn.XLOOKUP(Table1820[[#This Row],[Difficult Parts]],Table8[Difficult Parts],Table8[Difficult Parts Factor],,0)</f>
        <v>1</v>
      </c>
      <c r="AI987">
        <f>_xlfn.XLOOKUP(Table1820[[#This Row],[High Theft Rate]],Table9[High Theft Rate],Table9[High Theft Rate Factor],,0)</f>
        <v>1</v>
      </c>
      <c r="AJ987">
        <f>_xlfn.XLOOKUP(Table1820[[#This Row],[Advanced Safety Features]],Table10[Advanced Safety Features],Table10[Advanced Safety Features Factor],,0)</f>
        <v>1</v>
      </c>
      <c r="AK987">
        <f>_xlfn.XLOOKUP(Table1820[[#This Row],[Deductible]],Table12[Deductible],Table12[Deductible Factor],,0)</f>
        <v>0.72</v>
      </c>
      <c r="AL987">
        <f>_xlfn.XLOOKUP(Table1820[[#This Row],[Coverage Limit]],Table13[Coverage Limit],Table13[Coverage Limit Factor],,0)</f>
        <v>1</v>
      </c>
      <c r="AM987">
        <f>IF(Table1820[[#This Row],[Good Student Discount]]="Yes",'Rate Book'!$D$126,1)</f>
        <v>1</v>
      </c>
      <c r="AN987">
        <f>IF(Table1820[[#This Row],[Good Driver Discount]]="Yes",'Rate Book'!$D$127,1)</f>
        <v>1</v>
      </c>
      <c r="AO987">
        <f>IF(Table1820[[#This Row],[Multi Policy Discount]]="Yes",'Rate Book'!$D$128,1)</f>
        <v>1</v>
      </c>
      <c r="AP987">
        <f>IF(Table1820[[#This Row],[Loyal Customer Discount]]="Yes",'Rate Book'!$D$129,1)</f>
        <v>1</v>
      </c>
      <c r="AQ987">
        <f>IF(Table1820[[#This Row],[Organization Discount]]="Yes",'Rate Book'!$D$130,1)</f>
        <v>0.97</v>
      </c>
      <c r="AR987" cm="1">
        <f t="array" ref="AR987">IF(Table1820[[#This Row],[Effective Date]]&gt;=RateChangeTable[Effective Date],RateChangeTable[Rate Change Factor],1)</f>
        <v>1</v>
      </c>
      <c r="AS987" s="10">
        <f>PRODUCT(Table1820[[#This Row],[Base Rate]:[Rate Change Factor]])</f>
        <v>151.87780910015999</v>
      </c>
      <c r="AT987" s="9">
        <f>Table1820[[#This Row],[System-Generated Premium]]-Table1820[[#This Row],[Expected Premium]]</f>
        <v>0</v>
      </c>
      <c r="AU987" t="str">
        <f>IF(Table1820[[#This Row],[Difference]]=0,"PASS","FAIL")</f>
        <v>PASS</v>
      </c>
      <c r="AV987" s="9">
        <f>ABS(Table1820[[#This Row],[Difference]])</f>
        <v>0</v>
      </c>
      <c r="AW987" s="9" t="s">
        <v>1136</v>
      </c>
    </row>
    <row r="988" spans="1:49" x14ac:dyDescent="0.3">
      <c r="A988" t="s">
        <v>1079</v>
      </c>
      <c r="B988" s="7">
        <v>46002</v>
      </c>
      <c r="C988" t="s">
        <v>71</v>
      </c>
      <c r="D988" t="s">
        <v>1101</v>
      </c>
      <c r="E988" s="3">
        <v>2</v>
      </c>
      <c r="F988" s="3" t="s">
        <v>7</v>
      </c>
      <c r="G988" t="s">
        <v>11</v>
      </c>
      <c r="H988" t="s">
        <v>1106</v>
      </c>
      <c r="I988" t="s">
        <v>33</v>
      </c>
      <c r="J988" t="s">
        <v>51</v>
      </c>
      <c r="K988" t="s">
        <v>10</v>
      </c>
      <c r="L988" t="s">
        <v>10</v>
      </c>
      <c r="M988" t="s">
        <v>10</v>
      </c>
      <c r="N988" t="s">
        <v>57</v>
      </c>
      <c r="O988" t="str">
        <f>INDEX(CoverageTable[Deductible Applies],MATCH(Table1820[[#This Row],[Coverage]],CoverageTable[Coverage],0))</f>
        <v>Yes</v>
      </c>
      <c r="P988" t="str">
        <f>INDEX(CoverageTable[Coverage Limit Applies],MATCH(Table1820[[#This Row],[Coverage]],CoverageTable[Coverage],0))</f>
        <v>No</v>
      </c>
      <c r="Q988" t="s">
        <v>78</v>
      </c>
      <c r="R988" t="s">
        <v>10</v>
      </c>
      <c r="S988" t="s">
        <v>57</v>
      </c>
      <c r="T988" t="s">
        <v>10</v>
      </c>
      <c r="U988" t="s">
        <v>57</v>
      </c>
      <c r="V988" t="s">
        <v>10</v>
      </c>
      <c r="W988" t="s">
        <v>10</v>
      </c>
      <c r="X988" s="11">
        <v>1285.4551928260735</v>
      </c>
      <c r="Y988">
        <f>_xlfn.XLOOKUP(Table1820[[#This Row],[Coverage]],CoverageTable[Coverage],CoverageTable[Base Rate],,0)</f>
        <v>453</v>
      </c>
      <c r="Z988">
        <f>INDEX(Table16[Ageband Factor],MATCH(Table1820[[#This Row],[Ageband]],Table16[Ageband],0))</f>
        <v>1.1200000000000001</v>
      </c>
      <c r="AA988">
        <f>VLOOKUP(Table1820[[#This Row],[Years Driving]],Table1[],2)</f>
        <v>1.41</v>
      </c>
      <c r="AB988">
        <f>_xlfn.XLOOKUP(Table1820[[#This Row],[At Fault Accidents]],Table2[At Fault Accidents],Table2[At Fault Accident Factor],,0)</f>
        <v>2.4700000000000002</v>
      </c>
      <c r="AC988">
        <f>_xlfn.XLOOKUP(Table1820[[#This Row],[Usage-Based Insurance]],Table3[Usage-Based Insurance],Table3[Usage-Based Insurance Discount],,0)</f>
        <v>0.95</v>
      </c>
      <c r="AD988">
        <f>_xlfn.XLOOKUP(Table1820[[#This Row],[Yearly Miles]],Table4[Yearly Miles],Table4[Yearly Miles Factor],,0)</f>
        <v>0.82</v>
      </c>
      <c r="AE988">
        <f>_xlfn.XLOOKUP(Table1820[[#This Row],[City/Zip Code]],Table5[City/Zip Code],Table5[City/Zip Code Factor],,0)</f>
        <v>1.02</v>
      </c>
      <c r="AF988">
        <f>_xlfn.XLOOKUP(Table1820[[#This Row],[Vehicle Price]],Table6[Vehicle Price],Table6[Vehicle Price Factor])</f>
        <v>1.28</v>
      </c>
      <c r="AG988">
        <f>_xlfn.XLOOKUP(Table1820[[#This Row],[Exotic Car]],Table7[Exotic Car],Table7[Exotic Car Factor],,0)</f>
        <v>1</v>
      </c>
      <c r="AH988">
        <f>_xlfn.XLOOKUP(Table1820[[#This Row],[Difficult Parts]],Table8[Difficult Parts],Table8[Difficult Parts Factor],,0)</f>
        <v>1</v>
      </c>
      <c r="AI988">
        <f>_xlfn.XLOOKUP(Table1820[[#This Row],[High Theft Rate]],Table9[High Theft Rate],Table9[High Theft Rate Factor],,0)</f>
        <v>1</v>
      </c>
      <c r="AJ988">
        <f>_xlfn.XLOOKUP(Table1820[[#This Row],[Advanced Safety Features]],Table10[Advanced Safety Features],Table10[Advanced Safety Features Factor],,0)</f>
        <v>0.88</v>
      </c>
      <c r="AK988">
        <f>_xlfn.XLOOKUP(Table1820[[#This Row],[Deductible]],Table12[Deductible],Table12[Deductible Factor],,0)</f>
        <v>0.95</v>
      </c>
      <c r="AL988">
        <f>_xlfn.XLOOKUP(Table1820[[#This Row],[Coverage Limit]],Table13[Coverage Limit],Table13[Coverage Limit Factor],,0)</f>
        <v>1</v>
      </c>
      <c r="AM988">
        <f>IF(Table1820[[#This Row],[Good Student Discount]]="Yes",'Rate Book'!$D$126,1)</f>
        <v>0.92</v>
      </c>
      <c r="AN988">
        <f>IF(Table1820[[#This Row],[Good Driver Discount]]="Yes",'Rate Book'!$D$127,1)</f>
        <v>1</v>
      </c>
      <c r="AO988">
        <f>IF(Table1820[[#This Row],[Multi Policy Discount]]="Yes",'Rate Book'!$D$128,1)</f>
        <v>0.93</v>
      </c>
      <c r="AP988">
        <f>IF(Table1820[[#This Row],[Loyal Customer Discount]]="Yes",'Rate Book'!$D$129,1)</f>
        <v>1</v>
      </c>
      <c r="AQ988">
        <f>IF(Table1820[[#This Row],[Organization Discount]]="Yes",'Rate Book'!$D$130,1)</f>
        <v>1</v>
      </c>
      <c r="AR988" cm="1">
        <f t="array" ref="AR988">IF(Table1820[[#This Row],[Effective Date]]&gt;=RateChangeTable[Effective Date],RateChangeTable[Rate Change Factor],1)</f>
        <v>1</v>
      </c>
      <c r="AS988" s="10">
        <f>PRODUCT(Table1820[[#This Row],[Base Rate]:[Rate Change Factor]])</f>
        <v>1285.4551928260735</v>
      </c>
      <c r="AT988" s="9">
        <f>Table1820[[#This Row],[System-Generated Premium]]-Table1820[[#This Row],[Expected Premium]]</f>
        <v>0</v>
      </c>
      <c r="AU988" t="str">
        <f>IF(Table1820[[#This Row],[Difference]]=0,"PASS","FAIL")</f>
        <v>PASS</v>
      </c>
      <c r="AV988" s="9">
        <f>ABS(Table1820[[#This Row],[Difference]])</f>
        <v>0</v>
      </c>
      <c r="AW988" s="9" t="s">
        <v>1136</v>
      </c>
    </row>
    <row r="989" spans="1:49" x14ac:dyDescent="0.3">
      <c r="A989" t="s">
        <v>1080</v>
      </c>
      <c r="B989" s="7">
        <v>46122</v>
      </c>
      <c r="C989" t="s">
        <v>70</v>
      </c>
      <c r="D989" t="s">
        <v>1101</v>
      </c>
      <c r="E989" s="3">
        <v>7</v>
      </c>
      <c r="F989" s="3">
        <v>3</v>
      </c>
      <c r="G989" t="s">
        <v>10</v>
      </c>
      <c r="H989" t="s">
        <v>1110</v>
      </c>
      <c r="I989" t="s">
        <v>27</v>
      </c>
      <c r="J989" t="s">
        <v>49</v>
      </c>
      <c r="K989" t="s">
        <v>10</v>
      </c>
      <c r="L989" t="s">
        <v>10</v>
      </c>
      <c r="M989" t="s">
        <v>10</v>
      </c>
      <c r="N989" t="s">
        <v>57</v>
      </c>
      <c r="O989" t="str">
        <f>INDEX(CoverageTable[Deductible Applies],MATCH(Table1820[[#This Row],[Coverage]],CoverageTable[Coverage],0))</f>
        <v>No</v>
      </c>
      <c r="P989" t="str">
        <f>INDEX(CoverageTable[Coverage Limit Applies],MATCH(Table1820[[#This Row],[Coverage]],CoverageTable[Coverage],0))</f>
        <v>Yes</v>
      </c>
      <c r="Q989" t="s">
        <v>10</v>
      </c>
      <c r="R989" t="s">
        <v>78</v>
      </c>
      <c r="S989" t="s">
        <v>57</v>
      </c>
      <c r="T989" t="s">
        <v>10</v>
      </c>
      <c r="U989" t="s">
        <v>10</v>
      </c>
      <c r="V989" t="s">
        <v>10</v>
      </c>
      <c r="W989" t="s">
        <v>10</v>
      </c>
      <c r="X989" s="11">
        <v>753.14827187598723</v>
      </c>
      <c r="Y989">
        <f>_xlfn.XLOOKUP(Table1820[[#This Row],[Coverage]],CoverageTable[Coverage],CoverageTable[Base Rate],,0)</f>
        <v>622</v>
      </c>
      <c r="Z989">
        <f>INDEX(Table16[Ageband Factor],MATCH(Table1820[[#This Row],[Ageband]],Table16[Ageband],0))</f>
        <v>1.1200000000000001</v>
      </c>
      <c r="AA989">
        <f>VLOOKUP(Table1820[[#This Row],[Years Driving]],Table1[],2)</f>
        <v>0.95</v>
      </c>
      <c r="AB989">
        <f>_xlfn.XLOOKUP(Table1820[[#This Row],[At Fault Accidents]],Table2[At Fault Accidents],Table2[At Fault Accident Factor],,0)</f>
        <v>1.82</v>
      </c>
      <c r="AC989">
        <f>_xlfn.XLOOKUP(Table1820[[#This Row],[Usage-Based Insurance]],Table3[Usage-Based Insurance],Table3[Usage-Based Insurance Discount],,0)</f>
        <v>1</v>
      </c>
      <c r="AD989">
        <f>_xlfn.XLOOKUP(Table1820[[#This Row],[Yearly Miles]],Table4[Yearly Miles],Table4[Yearly Miles Factor],,0)</f>
        <v>1.31</v>
      </c>
      <c r="AE989">
        <f>_xlfn.XLOOKUP(Table1820[[#This Row],[City/Zip Code]],Table5[City/Zip Code],Table5[City/Zip Code Factor],,0)</f>
        <v>0.94</v>
      </c>
      <c r="AF989">
        <f>_xlfn.XLOOKUP(Table1820[[#This Row],[Vehicle Price]],Table6[Vehicle Price],Table6[Vehicle Price Factor])</f>
        <v>0.97</v>
      </c>
      <c r="AG989">
        <f>_xlfn.XLOOKUP(Table1820[[#This Row],[Exotic Car]],Table7[Exotic Car],Table7[Exotic Car Factor],,0)</f>
        <v>1</v>
      </c>
      <c r="AH989">
        <f>_xlfn.XLOOKUP(Table1820[[#This Row],[Difficult Parts]],Table8[Difficult Parts],Table8[Difficult Parts Factor],,0)</f>
        <v>1</v>
      </c>
      <c r="AI989">
        <f>_xlfn.XLOOKUP(Table1820[[#This Row],[High Theft Rate]],Table9[High Theft Rate],Table9[High Theft Rate Factor],,0)</f>
        <v>1</v>
      </c>
      <c r="AJ989">
        <f>_xlfn.XLOOKUP(Table1820[[#This Row],[Advanced Safety Features]],Table10[Advanced Safety Features],Table10[Advanced Safety Features Factor],,0)</f>
        <v>0.88</v>
      </c>
      <c r="AK989">
        <f>_xlfn.XLOOKUP(Table1820[[#This Row],[Deductible]],Table12[Deductible],Table12[Deductible Factor],,0)</f>
        <v>1</v>
      </c>
      <c r="AL989">
        <f>_xlfn.XLOOKUP(Table1820[[#This Row],[Coverage Limit]],Table13[Coverage Limit],Table13[Coverage Limit Factor],,0)</f>
        <v>0.61</v>
      </c>
      <c r="AM989">
        <f>IF(Table1820[[#This Row],[Good Student Discount]]="Yes",'Rate Book'!$D$126,1)</f>
        <v>0.92</v>
      </c>
      <c r="AN989">
        <f>IF(Table1820[[#This Row],[Good Driver Discount]]="Yes",'Rate Book'!$D$127,1)</f>
        <v>1</v>
      </c>
      <c r="AO989">
        <f>IF(Table1820[[#This Row],[Multi Policy Discount]]="Yes",'Rate Book'!$D$128,1)</f>
        <v>1</v>
      </c>
      <c r="AP989">
        <f>IF(Table1820[[#This Row],[Loyal Customer Discount]]="Yes",'Rate Book'!$D$129,1)</f>
        <v>1</v>
      </c>
      <c r="AQ989">
        <f>IF(Table1820[[#This Row],[Organization Discount]]="Yes",'Rate Book'!$D$130,1)</f>
        <v>1</v>
      </c>
      <c r="AR989" cm="1">
        <f t="array" ref="AR989">IF(Table1820[[#This Row],[Effective Date]]&gt;=RateChangeTable[Effective Date],RateChangeTable[Rate Change Factor],1)</f>
        <v>1.06</v>
      </c>
      <c r="AS989" s="10">
        <f>PRODUCT(Table1820[[#This Row],[Base Rate]:[Rate Change Factor]])</f>
        <v>753.14827187598723</v>
      </c>
      <c r="AT989" s="9">
        <f>Table1820[[#This Row],[System-Generated Premium]]-Table1820[[#This Row],[Expected Premium]]</f>
        <v>0</v>
      </c>
      <c r="AU989" t="str">
        <f>IF(Table1820[[#This Row],[Difference]]=0,"PASS","FAIL")</f>
        <v>PASS</v>
      </c>
      <c r="AV989" s="9">
        <f>ABS(Table1820[[#This Row],[Difference]])</f>
        <v>0</v>
      </c>
      <c r="AW989" s="9" t="s">
        <v>1136</v>
      </c>
    </row>
    <row r="990" spans="1:49" x14ac:dyDescent="0.3">
      <c r="A990" t="s">
        <v>1081</v>
      </c>
      <c r="B990" s="7">
        <v>45785</v>
      </c>
      <c r="C990" t="s">
        <v>72</v>
      </c>
      <c r="D990" t="s">
        <v>1100</v>
      </c>
      <c r="E990" s="3">
        <v>4</v>
      </c>
      <c r="F990" s="3" t="s">
        <v>7</v>
      </c>
      <c r="G990" t="s">
        <v>12</v>
      </c>
      <c r="H990" t="s">
        <v>1106</v>
      </c>
      <c r="I990" t="s">
        <v>27</v>
      </c>
      <c r="J990" t="s">
        <v>53</v>
      </c>
      <c r="K990" t="s">
        <v>10</v>
      </c>
      <c r="L990" t="s">
        <v>10</v>
      </c>
      <c r="M990" t="s">
        <v>10</v>
      </c>
      <c r="N990" t="s">
        <v>57</v>
      </c>
      <c r="O990" t="str">
        <f>INDEX(CoverageTable[Deductible Applies],MATCH(Table1820[[#This Row],[Coverage]],CoverageTable[Coverage],0))</f>
        <v>Yes</v>
      </c>
      <c r="P990" t="str">
        <f>INDEX(CoverageTable[Coverage Limit Applies],MATCH(Table1820[[#This Row],[Coverage]],CoverageTable[Coverage],0))</f>
        <v>No</v>
      </c>
      <c r="Q990" t="s">
        <v>78</v>
      </c>
      <c r="R990" t="s">
        <v>10</v>
      </c>
      <c r="S990" t="s">
        <v>10</v>
      </c>
      <c r="T990" t="s">
        <v>57</v>
      </c>
      <c r="U990" t="s">
        <v>10</v>
      </c>
      <c r="V990" t="s">
        <v>10</v>
      </c>
      <c r="W990" t="s">
        <v>10</v>
      </c>
      <c r="X990" s="11">
        <v>382.96</v>
      </c>
      <c r="Y990">
        <f>_xlfn.XLOOKUP(Table1820[[#This Row],[Coverage]],CoverageTable[Coverage],CoverageTable[Base Rate],,0)</f>
        <v>121</v>
      </c>
      <c r="Z990">
        <f>INDEX(Table16[Ageband Factor],MATCH(Table1820[[#This Row],[Ageband]],Table16[Ageband],0))</f>
        <v>1.07</v>
      </c>
      <c r="AA990">
        <f>VLOOKUP(Table1820[[#This Row],[Years Driving]],Table1[],2)</f>
        <v>1.1499999999999999</v>
      </c>
      <c r="AB990">
        <f>_xlfn.XLOOKUP(Table1820[[#This Row],[At Fault Accidents]],Table2[At Fault Accidents],Table2[At Fault Accident Factor],,0)</f>
        <v>2.4700000000000002</v>
      </c>
      <c r="AC990">
        <f>_xlfn.XLOOKUP(Table1820[[#This Row],[Usage-Based Insurance]],Table3[Usage-Based Insurance],Table3[Usage-Based Insurance Discount],,0)</f>
        <v>0.8</v>
      </c>
      <c r="AD990">
        <f>_xlfn.XLOOKUP(Table1820[[#This Row],[Yearly Miles]],Table4[Yearly Miles],Table4[Yearly Miles Factor],,0)</f>
        <v>0.82</v>
      </c>
      <c r="AE990">
        <f>_xlfn.XLOOKUP(Table1820[[#This Row],[City/Zip Code]],Table5[City/Zip Code],Table5[City/Zip Code Factor],,0)</f>
        <v>0.94</v>
      </c>
      <c r="AF990">
        <f>_xlfn.XLOOKUP(Table1820[[#This Row],[Vehicle Price]],Table6[Vehicle Price],Table6[Vehicle Price Factor])</f>
        <v>2.02</v>
      </c>
      <c r="AG990">
        <f>_xlfn.XLOOKUP(Table1820[[#This Row],[Exotic Car]],Table7[Exotic Car],Table7[Exotic Car Factor],,0)</f>
        <v>1</v>
      </c>
      <c r="AH990">
        <f>_xlfn.XLOOKUP(Table1820[[#This Row],[Difficult Parts]],Table8[Difficult Parts],Table8[Difficult Parts Factor],,0)</f>
        <v>1</v>
      </c>
      <c r="AI990">
        <f>_xlfn.XLOOKUP(Table1820[[#This Row],[High Theft Rate]],Table9[High Theft Rate],Table9[High Theft Rate Factor],,0)</f>
        <v>1</v>
      </c>
      <c r="AJ990">
        <f>_xlfn.XLOOKUP(Table1820[[#This Row],[Advanced Safety Features]],Table10[Advanced Safety Features],Table10[Advanced Safety Features Factor],,0)</f>
        <v>0.88</v>
      </c>
      <c r="AK990">
        <f>_xlfn.XLOOKUP(Table1820[[#This Row],[Deductible]],Table12[Deductible],Table12[Deductible Factor],,0)</f>
        <v>0.95</v>
      </c>
      <c r="AL990">
        <f>_xlfn.XLOOKUP(Table1820[[#This Row],[Coverage Limit]],Table13[Coverage Limit],Table13[Coverage Limit Factor],,0)</f>
        <v>1</v>
      </c>
      <c r="AM990">
        <f>IF(Table1820[[#This Row],[Good Student Discount]]="Yes",'Rate Book'!$D$126,1)</f>
        <v>1</v>
      </c>
      <c r="AN990">
        <f>IF(Table1820[[#This Row],[Good Driver Discount]]="Yes",'Rate Book'!$D$127,1)</f>
        <v>0.89</v>
      </c>
      <c r="AO990">
        <f>IF(Table1820[[#This Row],[Multi Policy Discount]]="Yes",'Rate Book'!$D$128,1)</f>
        <v>1</v>
      </c>
      <c r="AP990">
        <f>IF(Table1820[[#This Row],[Loyal Customer Discount]]="Yes",'Rate Book'!$D$129,1)</f>
        <v>1</v>
      </c>
      <c r="AQ990">
        <f>IF(Table1820[[#This Row],[Organization Discount]]="Yes",'Rate Book'!$D$130,1)</f>
        <v>1</v>
      </c>
      <c r="AR990" cm="1">
        <f t="array" ref="AR990">IF(Table1820[[#This Row],[Effective Date]]&gt;=RateChangeTable[Effective Date],RateChangeTable[Rate Change Factor],1)</f>
        <v>1</v>
      </c>
      <c r="AS990" s="10">
        <f>PRODUCT(Table1820[[#This Row],[Base Rate]:[Rate Change Factor]])</f>
        <v>340.83429562319236</v>
      </c>
      <c r="AT990" s="9">
        <f>Table1820[[#This Row],[System-Generated Premium]]-Table1820[[#This Row],[Expected Premium]]</f>
        <v>42.125704376807619</v>
      </c>
      <c r="AU990" t="str">
        <f>IF(Table1820[[#This Row],[Difference]]=0,"PASS","FAIL")</f>
        <v>FAIL</v>
      </c>
      <c r="AV990" s="9">
        <f>ABS(Table1820[[#This Row],[Difference]])</f>
        <v>42.125704376807619</v>
      </c>
      <c r="AW990" s="9" t="s">
        <v>1138</v>
      </c>
    </row>
    <row r="991" spans="1:49" x14ac:dyDescent="0.3">
      <c r="A991" t="s">
        <v>1082</v>
      </c>
      <c r="B991" s="7">
        <v>45973</v>
      </c>
      <c r="C991" t="s">
        <v>74</v>
      </c>
      <c r="D991" t="s">
        <v>1102</v>
      </c>
      <c r="E991" s="3">
        <v>3</v>
      </c>
      <c r="F991" s="3">
        <v>1</v>
      </c>
      <c r="G991" t="s">
        <v>10</v>
      </c>
      <c r="H991" t="s">
        <v>1106</v>
      </c>
      <c r="I991" t="s">
        <v>26</v>
      </c>
      <c r="J991" t="s">
        <v>48</v>
      </c>
      <c r="K991" t="s">
        <v>10</v>
      </c>
      <c r="L991" t="s">
        <v>10</v>
      </c>
      <c r="M991" t="s">
        <v>10</v>
      </c>
      <c r="N991" t="s">
        <v>57</v>
      </c>
      <c r="O991" t="str">
        <f>INDEX(CoverageTable[Deductible Applies],MATCH(Table1820[[#This Row],[Coverage]],CoverageTable[Coverage],0))</f>
        <v>No</v>
      </c>
      <c r="P991" t="str">
        <f>INDEX(CoverageTable[Coverage Limit Applies],MATCH(Table1820[[#This Row],[Coverage]],CoverageTable[Coverage],0))</f>
        <v>Yes</v>
      </c>
      <c r="Q991" t="s">
        <v>10</v>
      </c>
      <c r="R991" t="s">
        <v>79</v>
      </c>
      <c r="S991" t="s">
        <v>10</v>
      </c>
      <c r="T991" t="s">
        <v>10</v>
      </c>
      <c r="U991" t="s">
        <v>10</v>
      </c>
      <c r="V991" t="s">
        <v>10</v>
      </c>
      <c r="W991" t="s">
        <v>10</v>
      </c>
      <c r="X991" s="11">
        <v>41.705460452215291</v>
      </c>
      <c r="Y991">
        <f>_xlfn.XLOOKUP(Table1820[[#This Row],[Coverage]],CoverageTable[Coverage],CoverageTable[Base Rate],,0)</f>
        <v>41</v>
      </c>
      <c r="Z991">
        <f>INDEX(Table16[Ageband Factor],MATCH(Table1820[[#This Row],[Ageband]],Table16[Ageband],0))</f>
        <v>1.27</v>
      </c>
      <c r="AA991">
        <f>VLOOKUP(Table1820[[#This Row],[Years Driving]],Table1[],2)</f>
        <v>1.22</v>
      </c>
      <c r="AB991">
        <f>_xlfn.XLOOKUP(Table1820[[#This Row],[At Fault Accidents]],Table2[At Fault Accidents],Table2[At Fault Accident Factor],,0)</f>
        <v>1.34</v>
      </c>
      <c r="AC991">
        <f>_xlfn.XLOOKUP(Table1820[[#This Row],[Usage-Based Insurance]],Table3[Usage-Based Insurance],Table3[Usage-Based Insurance Discount],,0)</f>
        <v>1</v>
      </c>
      <c r="AD991">
        <f>_xlfn.XLOOKUP(Table1820[[#This Row],[Yearly Miles]],Table4[Yearly Miles],Table4[Yearly Miles Factor],,0)</f>
        <v>0.82</v>
      </c>
      <c r="AE991">
        <f>_xlfn.XLOOKUP(Table1820[[#This Row],[City/Zip Code]],Table5[City/Zip Code],Table5[City/Zip Code Factor],,0)</f>
        <v>1.1499999999999999</v>
      </c>
      <c r="AF991">
        <f>_xlfn.XLOOKUP(Table1820[[#This Row],[Vehicle Price]],Table6[Vehicle Price],Table6[Vehicle Price Factor])</f>
        <v>0.82</v>
      </c>
      <c r="AG991">
        <f>_xlfn.XLOOKUP(Table1820[[#This Row],[Exotic Car]],Table7[Exotic Car],Table7[Exotic Car Factor],,0)</f>
        <v>1</v>
      </c>
      <c r="AH991">
        <f>_xlfn.XLOOKUP(Table1820[[#This Row],[Difficult Parts]],Table8[Difficult Parts],Table8[Difficult Parts Factor],,0)</f>
        <v>1</v>
      </c>
      <c r="AI991">
        <f>_xlfn.XLOOKUP(Table1820[[#This Row],[High Theft Rate]],Table9[High Theft Rate],Table9[High Theft Rate Factor],,0)</f>
        <v>1</v>
      </c>
      <c r="AJ991">
        <f>_xlfn.XLOOKUP(Table1820[[#This Row],[Advanced Safety Features]],Table10[Advanced Safety Features],Table10[Advanced Safety Features Factor],,0)</f>
        <v>0.88</v>
      </c>
      <c r="AK991">
        <f>_xlfn.XLOOKUP(Table1820[[#This Row],[Deductible]],Table12[Deductible],Table12[Deductible Factor],,0)</f>
        <v>1</v>
      </c>
      <c r="AL991">
        <f>_xlfn.XLOOKUP(Table1820[[#This Row],[Coverage Limit]],Table13[Coverage Limit],Table13[Coverage Limit Factor],,0)</f>
        <v>0.72</v>
      </c>
      <c r="AM991">
        <f>IF(Table1820[[#This Row],[Good Student Discount]]="Yes",'Rate Book'!$D$126,1)</f>
        <v>1</v>
      </c>
      <c r="AN991">
        <f>IF(Table1820[[#This Row],[Good Driver Discount]]="Yes",'Rate Book'!$D$127,1)</f>
        <v>1</v>
      </c>
      <c r="AO991">
        <f>IF(Table1820[[#This Row],[Multi Policy Discount]]="Yes",'Rate Book'!$D$128,1)</f>
        <v>1</v>
      </c>
      <c r="AP991">
        <f>IF(Table1820[[#This Row],[Loyal Customer Discount]]="Yes",'Rate Book'!$D$129,1)</f>
        <v>1</v>
      </c>
      <c r="AQ991">
        <f>IF(Table1820[[#This Row],[Organization Discount]]="Yes",'Rate Book'!$D$130,1)</f>
        <v>1</v>
      </c>
      <c r="AR991" cm="1">
        <f t="array" ref="AR991">IF(Table1820[[#This Row],[Effective Date]]&gt;=RateChangeTable[Effective Date],RateChangeTable[Rate Change Factor],1)</f>
        <v>1</v>
      </c>
      <c r="AS991" s="10">
        <f>PRODUCT(Table1820[[#This Row],[Base Rate]:[Rate Change Factor]])</f>
        <v>41.705460452215291</v>
      </c>
      <c r="AT991" s="9">
        <f>Table1820[[#This Row],[System-Generated Premium]]-Table1820[[#This Row],[Expected Premium]]</f>
        <v>0</v>
      </c>
      <c r="AU991" t="str">
        <f>IF(Table1820[[#This Row],[Difference]]=0,"PASS","FAIL")</f>
        <v>PASS</v>
      </c>
      <c r="AV991" s="9">
        <f>ABS(Table1820[[#This Row],[Difference]])</f>
        <v>0</v>
      </c>
      <c r="AW991" s="9" t="s">
        <v>1136</v>
      </c>
    </row>
    <row r="992" spans="1:49" x14ac:dyDescent="0.3">
      <c r="A992" t="s">
        <v>1083</v>
      </c>
      <c r="B992" s="7">
        <v>46006</v>
      </c>
      <c r="C992" t="s">
        <v>73</v>
      </c>
      <c r="D992" t="s">
        <v>1099</v>
      </c>
      <c r="E992" s="3">
        <v>5</v>
      </c>
      <c r="F992" s="3">
        <v>1</v>
      </c>
      <c r="G992" t="s">
        <v>10</v>
      </c>
      <c r="H992" t="s">
        <v>1107</v>
      </c>
      <c r="I992" t="s">
        <v>33</v>
      </c>
      <c r="J992" t="s">
        <v>49</v>
      </c>
      <c r="K992" t="s">
        <v>10</v>
      </c>
      <c r="L992" t="s">
        <v>10</v>
      </c>
      <c r="M992" t="s">
        <v>57</v>
      </c>
      <c r="N992" t="s">
        <v>57</v>
      </c>
      <c r="O992" t="str">
        <f>INDEX(CoverageTable[Deductible Applies],MATCH(Table1820[[#This Row],[Coverage]],CoverageTable[Coverage],0))</f>
        <v>No</v>
      </c>
      <c r="P992" t="str">
        <f>INDEX(CoverageTable[Coverage Limit Applies],MATCH(Table1820[[#This Row],[Coverage]],CoverageTable[Coverage],0))</f>
        <v>Yes</v>
      </c>
      <c r="Q992" t="s">
        <v>10</v>
      </c>
      <c r="R992" t="s">
        <v>78</v>
      </c>
      <c r="S992" t="s">
        <v>10</v>
      </c>
      <c r="T992" t="s">
        <v>10</v>
      </c>
      <c r="U992" t="s">
        <v>10</v>
      </c>
      <c r="V992" t="s">
        <v>10</v>
      </c>
      <c r="W992" t="s">
        <v>10</v>
      </c>
      <c r="X992" s="11">
        <v>64.077938267906546</v>
      </c>
      <c r="Y992">
        <f>_xlfn.XLOOKUP(Table1820[[#This Row],[Coverage]],CoverageTable[Coverage],CoverageTable[Base Rate],,0)</f>
        <v>78</v>
      </c>
      <c r="Z992">
        <f>INDEX(Table16[Ageband Factor],MATCH(Table1820[[#This Row],[Ageband]],Table16[Ageband],0))</f>
        <v>1</v>
      </c>
      <c r="AA992">
        <f>VLOOKUP(Table1820[[#This Row],[Years Driving]],Table1[],2)</f>
        <v>1.07</v>
      </c>
      <c r="AB992">
        <f>_xlfn.XLOOKUP(Table1820[[#This Row],[At Fault Accidents]],Table2[At Fault Accidents],Table2[At Fault Accident Factor],,0)</f>
        <v>1.34</v>
      </c>
      <c r="AC992">
        <f>_xlfn.XLOOKUP(Table1820[[#This Row],[Usage-Based Insurance]],Table3[Usage-Based Insurance],Table3[Usage-Based Insurance Discount],,0)</f>
        <v>1</v>
      </c>
      <c r="AD992">
        <f>_xlfn.XLOOKUP(Table1820[[#This Row],[Yearly Miles]],Table4[Yearly Miles],Table4[Yearly Miles Factor],,0)</f>
        <v>0.93</v>
      </c>
      <c r="AE992">
        <f>_xlfn.XLOOKUP(Table1820[[#This Row],[City/Zip Code]],Table5[City/Zip Code],Table5[City/Zip Code Factor],,0)</f>
        <v>1.02</v>
      </c>
      <c r="AF992">
        <f>_xlfn.XLOOKUP(Table1820[[#This Row],[Vehicle Price]],Table6[Vehicle Price],Table6[Vehicle Price Factor])</f>
        <v>0.97</v>
      </c>
      <c r="AG992">
        <f>_xlfn.XLOOKUP(Table1820[[#This Row],[Exotic Car]],Table7[Exotic Car],Table7[Exotic Car Factor],,0)</f>
        <v>1</v>
      </c>
      <c r="AH992">
        <f>_xlfn.XLOOKUP(Table1820[[#This Row],[Difficult Parts]],Table8[Difficult Parts],Table8[Difficult Parts Factor],,0)</f>
        <v>1</v>
      </c>
      <c r="AI992">
        <f>_xlfn.XLOOKUP(Table1820[[#This Row],[High Theft Rate]],Table9[High Theft Rate],Table9[High Theft Rate Factor],,0)</f>
        <v>1.1599999999999999</v>
      </c>
      <c r="AJ992">
        <f>_xlfn.XLOOKUP(Table1820[[#This Row],[Advanced Safety Features]],Table10[Advanced Safety Features],Table10[Advanced Safety Features Factor],,0)</f>
        <v>0.88</v>
      </c>
      <c r="AK992">
        <f>_xlfn.XLOOKUP(Table1820[[#This Row],[Deductible]],Table12[Deductible],Table12[Deductible Factor],,0)</f>
        <v>1</v>
      </c>
      <c r="AL992">
        <f>_xlfn.XLOOKUP(Table1820[[#This Row],[Coverage Limit]],Table13[Coverage Limit],Table13[Coverage Limit Factor],,0)</f>
        <v>0.61</v>
      </c>
      <c r="AM992">
        <f>IF(Table1820[[#This Row],[Good Student Discount]]="Yes",'Rate Book'!$D$126,1)</f>
        <v>1</v>
      </c>
      <c r="AN992">
        <f>IF(Table1820[[#This Row],[Good Driver Discount]]="Yes",'Rate Book'!$D$127,1)</f>
        <v>1</v>
      </c>
      <c r="AO992">
        <f>IF(Table1820[[#This Row],[Multi Policy Discount]]="Yes",'Rate Book'!$D$128,1)</f>
        <v>1</v>
      </c>
      <c r="AP992">
        <f>IF(Table1820[[#This Row],[Loyal Customer Discount]]="Yes",'Rate Book'!$D$129,1)</f>
        <v>1</v>
      </c>
      <c r="AQ992">
        <f>IF(Table1820[[#This Row],[Organization Discount]]="Yes",'Rate Book'!$D$130,1)</f>
        <v>1</v>
      </c>
      <c r="AR992" cm="1">
        <f t="array" ref="AR992">IF(Table1820[[#This Row],[Effective Date]]&gt;=RateChangeTable[Effective Date],RateChangeTable[Rate Change Factor],1)</f>
        <v>1</v>
      </c>
      <c r="AS992" s="10">
        <f>PRODUCT(Table1820[[#This Row],[Base Rate]:[Rate Change Factor]])</f>
        <v>64.077938267906546</v>
      </c>
      <c r="AT992" s="9">
        <f>Table1820[[#This Row],[System-Generated Premium]]-Table1820[[#This Row],[Expected Premium]]</f>
        <v>0</v>
      </c>
      <c r="AU992" t="str">
        <f>IF(Table1820[[#This Row],[Difference]]=0,"PASS","FAIL")</f>
        <v>PASS</v>
      </c>
      <c r="AV992" s="9">
        <f>ABS(Table1820[[#This Row],[Difference]])</f>
        <v>0</v>
      </c>
      <c r="AW992" s="9" t="s">
        <v>1136</v>
      </c>
    </row>
    <row r="993" spans="1:49" x14ac:dyDescent="0.3">
      <c r="A993" t="s">
        <v>1084</v>
      </c>
      <c r="B993" s="7">
        <v>46002</v>
      </c>
      <c r="C993" t="s">
        <v>70</v>
      </c>
      <c r="D993" t="s">
        <v>1098</v>
      </c>
      <c r="E993" s="3">
        <v>5</v>
      </c>
      <c r="F993" s="3">
        <v>1</v>
      </c>
      <c r="G993" t="s">
        <v>12</v>
      </c>
      <c r="H993" t="s">
        <v>1106</v>
      </c>
      <c r="I993" t="s">
        <v>43</v>
      </c>
      <c r="J993" t="s">
        <v>53</v>
      </c>
      <c r="K993" t="s">
        <v>10</v>
      </c>
      <c r="L993" t="s">
        <v>10</v>
      </c>
      <c r="M993" t="s">
        <v>10</v>
      </c>
      <c r="N993" t="s">
        <v>57</v>
      </c>
      <c r="O993" t="str">
        <f>INDEX(CoverageTable[Deductible Applies],MATCH(Table1820[[#This Row],[Coverage]],CoverageTable[Coverage],0))</f>
        <v>No</v>
      </c>
      <c r="P993" t="str">
        <f>INDEX(CoverageTable[Coverage Limit Applies],MATCH(Table1820[[#This Row],[Coverage]],CoverageTable[Coverage],0))</f>
        <v>Yes</v>
      </c>
      <c r="Q993" t="s">
        <v>10</v>
      </c>
      <c r="R993" t="s">
        <v>80</v>
      </c>
      <c r="S993" t="s">
        <v>10</v>
      </c>
      <c r="T993" t="s">
        <v>10</v>
      </c>
      <c r="U993" t="s">
        <v>10</v>
      </c>
      <c r="V993" t="s">
        <v>10</v>
      </c>
      <c r="W993" t="s">
        <v>57</v>
      </c>
      <c r="X993" s="11">
        <v>1229.8580291795522</v>
      </c>
      <c r="Y993">
        <f>_xlfn.XLOOKUP(Table1820[[#This Row],[Coverage]],CoverageTable[Coverage],CoverageTable[Base Rate],,0)</f>
        <v>622</v>
      </c>
      <c r="Z993">
        <f>INDEX(Table16[Ageband Factor],MATCH(Table1820[[#This Row],[Ageband]],Table16[Ageband],0))</f>
        <v>1.23</v>
      </c>
      <c r="AA993">
        <f>VLOOKUP(Table1820[[#This Row],[Years Driving]],Table1[],2)</f>
        <v>1.07</v>
      </c>
      <c r="AB993">
        <f>_xlfn.XLOOKUP(Table1820[[#This Row],[At Fault Accidents]],Table2[At Fault Accidents],Table2[At Fault Accident Factor],,0)</f>
        <v>1.34</v>
      </c>
      <c r="AC993">
        <f>_xlfn.XLOOKUP(Table1820[[#This Row],[Usage-Based Insurance]],Table3[Usage-Based Insurance],Table3[Usage-Based Insurance Discount],,0)</f>
        <v>0.8</v>
      </c>
      <c r="AD993">
        <f>_xlfn.XLOOKUP(Table1820[[#This Row],[Yearly Miles]],Table4[Yearly Miles],Table4[Yearly Miles Factor],,0)</f>
        <v>0.82</v>
      </c>
      <c r="AE993">
        <f>_xlfn.XLOOKUP(Table1820[[#This Row],[City/Zip Code]],Table5[City/Zip Code],Table5[City/Zip Code Factor],,0)</f>
        <v>1.18</v>
      </c>
      <c r="AF993">
        <f>_xlfn.XLOOKUP(Table1820[[#This Row],[Vehicle Price]],Table6[Vehicle Price],Table6[Vehicle Price Factor])</f>
        <v>2.02</v>
      </c>
      <c r="AG993">
        <f>_xlfn.XLOOKUP(Table1820[[#This Row],[Exotic Car]],Table7[Exotic Car],Table7[Exotic Car Factor],,0)</f>
        <v>1</v>
      </c>
      <c r="AH993">
        <f>_xlfn.XLOOKUP(Table1820[[#This Row],[Difficult Parts]],Table8[Difficult Parts],Table8[Difficult Parts Factor],,0)</f>
        <v>1</v>
      </c>
      <c r="AI993">
        <f>_xlfn.XLOOKUP(Table1820[[#This Row],[High Theft Rate]],Table9[High Theft Rate],Table9[High Theft Rate Factor],,0)</f>
        <v>1</v>
      </c>
      <c r="AJ993">
        <f>_xlfn.XLOOKUP(Table1820[[#This Row],[Advanced Safety Features]],Table10[Advanced Safety Features],Table10[Advanced Safety Features Factor],,0)</f>
        <v>0.88</v>
      </c>
      <c r="AK993">
        <f>_xlfn.XLOOKUP(Table1820[[#This Row],[Deductible]],Table12[Deductible],Table12[Deductible Factor],,0)</f>
        <v>1</v>
      </c>
      <c r="AL993">
        <f>_xlfn.XLOOKUP(Table1820[[#This Row],[Coverage Limit]],Table13[Coverage Limit],Table13[Coverage Limit Factor],,0)</f>
        <v>0.84</v>
      </c>
      <c r="AM993">
        <f>IF(Table1820[[#This Row],[Good Student Discount]]="Yes",'Rate Book'!$D$126,1)</f>
        <v>1</v>
      </c>
      <c r="AN993">
        <f>IF(Table1820[[#This Row],[Good Driver Discount]]="Yes",'Rate Book'!$D$127,1)</f>
        <v>1</v>
      </c>
      <c r="AO993">
        <f>IF(Table1820[[#This Row],[Multi Policy Discount]]="Yes",'Rate Book'!$D$128,1)</f>
        <v>1</v>
      </c>
      <c r="AP993">
        <f>IF(Table1820[[#This Row],[Loyal Customer Discount]]="Yes",'Rate Book'!$D$129,1)</f>
        <v>1</v>
      </c>
      <c r="AQ993">
        <f>IF(Table1820[[#This Row],[Organization Discount]]="Yes",'Rate Book'!$D$130,1)</f>
        <v>0.97</v>
      </c>
      <c r="AR993" cm="1">
        <f t="array" ref="AR993">IF(Table1820[[#This Row],[Effective Date]]&gt;=RateChangeTable[Effective Date],RateChangeTable[Rate Change Factor],1)</f>
        <v>1</v>
      </c>
      <c r="AS993" s="10">
        <f>PRODUCT(Table1820[[#This Row],[Base Rate]:[Rate Change Factor]])</f>
        <v>1229.8580291795522</v>
      </c>
      <c r="AT993" s="9">
        <f>Table1820[[#This Row],[System-Generated Premium]]-Table1820[[#This Row],[Expected Premium]]</f>
        <v>0</v>
      </c>
      <c r="AU993" t="str">
        <f>IF(Table1820[[#This Row],[Difference]]=0,"PASS","FAIL")</f>
        <v>PASS</v>
      </c>
      <c r="AV993" s="9">
        <f>ABS(Table1820[[#This Row],[Difference]])</f>
        <v>0</v>
      </c>
      <c r="AW993" s="9" t="s">
        <v>1136</v>
      </c>
    </row>
    <row r="994" spans="1:49" x14ac:dyDescent="0.3">
      <c r="A994" t="s">
        <v>1085</v>
      </c>
      <c r="B994" s="7">
        <v>45812</v>
      </c>
      <c r="C994" t="s">
        <v>70</v>
      </c>
      <c r="D994" t="s">
        <v>1100</v>
      </c>
      <c r="E994" s="3">
        <v>7</v>
      </c>
      <c r="F994" s="3">
        <v>0</v>
      </c>
      <c r="G994" t="s">
        <v>10</v>
      </c>
      <c r="H994" t="s">
        <v>1106</v>
      </c>
      <c r="I994" t="s">
        <v>40</v>
      </c>
      <c r="J994" t="s">
        <v>49</v>
      </c>
      <c r="K994" t="s">
        <v>10</v>
      </c>
      <c r="L994" t="s">
        <v>57</v>
      </c>
      <c r="M994" t="s">
        <v>10</v>
      </c>
      <c r="N994" t="s">
        <v>57</v>
      </c>
      <c r="O994" t="str">
        <f>INDEX(CoverageTable[Deductible Applies],MATCH(Table1820[[#This Row],[Coverage]],CoverageTable[Coverage],0))</f>
        <v>No</v>
      </c>
      <c r="P994" t="str">
        <f>INDEX(CoverageTable[Coverage Limit Applies],MATCH(Table1820[[#This Row],[Coverage]],CoverageTable[Coverage],0))</f>
        <v>Yes</v>
      </c>
      <c r="Q994" t="s">
        <v>10</v>
      </c>
      <c r="R994" t="s">
        <v>80</v>
      </c>
      <c r="S994" t="s">
        <v>57</v>
      </c>
      <c r="T994" t="s">
        <v>57</v>
      </c>
      <c r="U994" t="s">
        <v>10</v>
      </c>
      <c r="V994" t="s">
        <v>10</v>
      </c>
      <c r="W994" t="s">
        <v>10</v>
      </c>
      <c r="X994" s="11">
        <v>401.45328386890725</v>
      </c>
      <c r="Y994">
        <f>_xlfn.XLOOKUP(Table1820[[#This Row],[Coverage]],CoverageTable[Coverage],CoverageTable[Base Rate],,0)</f>
        <v>622</v>
      </c>
      <c r="Z994">
        <f>INDEX(Table16[Ageband Factor],MATCH(Table1820[[#This Row],[Ageband]],Table16[Ageband],0))</f>
        <v>1.07</v>
      </c>
      <c r="AA994">
        <f>VLOOKUP(Table1820[[#This Row],[Years Driving]],Table1[],2)</f>
        <v>0.95</v>
      </c>
      <c r="AB994">
        <f>_xlfn.XLOOKUP(Table1820[[#This Row],[At Fault Accidents]],Table2[At Fault Accidents],Table2[At Fault Accident Factor],,0)</f>
        <v>1</v>
      </c>
      <c r="AC994">
        <f>_xlfn.XLOOKUP(Table1820[[#This Row],[Usage-Based Insurance]],Table3[Usage-Based Insurance],Table3[Usage-Based Insurance Discount],,0)</f>
        <v>1</v>
      </c>
      <c r="AD994">
        <f>_xlfn.XLOOKUP(Table1820[[#This Row],[Yearly Miles]],Table4[Yearly Miles],Table4[Yearly Miles Factor],,0)</f>
        <v>0.82</v>
      </c>
      <c r="AE994">
        <f>_xlfn.XLOOKUP(Table1820[[#This Row],[City/Zip Code]],Table5[City/Zip Code],Table5[City/Zip Code Factor],,0)</f>
        <v>1.0900000000000001</v>
      </c>
      <c r="AF994">
        <f>_xlfn.XLOOKUP(Table1820[[#This Row],[Vehicle Price]],Table6[Vehicle Price],Table6[Vehicle Price Factor])</f>
        <v>0.97</v>
      </c>
      <c r="AG994">
        <f>_xlfn.XLOOKUP(Table1820[[#This Row],[Exotic Car]],Table7[Exotic Car],Table7[Exotic Car Factor],,0)</f>
        <v>1</v>
      </c>
      <c r="AH994">
        <f>_xlfn.XLOOKUP(Table1820[[#This Row],[Difficult Parts]],Table8[Difficult Parts],Table8[Difficult Parts Factor],,0)</f>
        <v>1.21</v>
      </c>
      <c r="AI994">
        <f>_xlfn.XLOOKUP(Table1820[[#This Row],[High Theft Rate]],Table9[High Theft Rate],Table9[High Theft Rate Factor],,0)</f>
        <v>1</v>
      </c>
      <c r="AJ994">
        <f>_xlfn.XLOOKUP(Table1820[[#This Row],[Advanced Safety Features]],Table10[Advanced Safety Features],Table10[Advanced Safety Features Factor],,0)</f>
        <v>0.88</v>
      </c>
      <c r="AK994">
        <f>_xlfn.XLOOKUP(Table1820[[#This Row],[Deductible]],Table12[Deductible],Table12[Deductible Factor],,0)</f>
        <v>1</v>
      </c>
      <c r="AL994">
        <f>_xlfn.XLOOKUP(Table1820[[#This Row],[Coverage Limit]],Table13[Coverage Limit],Table13[Coverage Limit Factor],,0)</f>
        <v>0.84</v>
      </c>
      <c r="AM994">
        <f>IF(Table1820[[#This Row],[Good Student Discount]]="Yes",'Rate Book'!$D$126,1)</f>
        <v>0.92</v>
      </c>
      <c r="AN994">
        <f>IF(Table1820[[#This Row],[Good Driver Discount]]="Yes",'Rate Book'!$D$127,1)</f>
        <v>0.89</v>
      </c>
      <c r="AO994">
        <f>IF(Table1820[[#This Row],[Multi Policy Discount]]="Yes",'Rate Book'!$D$128,1)</f>
        <v>1</v>
      </c>
      <c r="AP994">
        <f>IF(Table1820[[#This Row],[Loyal Customer Discount]]="Yes",'Rate Book'!$D$129,1)</f>
        <v>1</v>
      </c>
      <c r="AQ994">
        <f>IF(Table1820[[#This Row],[Organization Discount]]="Yes",'Rate Book'!$D$130,1)</f>
        <v>1</v>
      </c>
      <c r="AR994" cm="1">
        <f t="array" ref="AR994">IF(Table1820[[#This Row],[Effective Date]]&gt;=RateChangeTable[Effective Date],RateChangeTable[Rate Change Factor],1)</f>
        <v>1</v>
      </c>
      <c r="AS994" s="10">
        <f>PRODUCT(Table1820[[#This Row],[Base Rate]:[Rate Change Factor]])</f>
        <v>401.45328386890725</v>
      </c>
      <c r="AT994" s="9">
        <f>Table1820[[#This Row],[System-Generated Premium]]-Table1820[[#This Row],[Expected Premium]]</f>
        <v>0</v>
      </c>
      <c r="AU994" t="str">
        <f>IF(Table1820[[#This Row],[Difference]]=0,"PASS","FAIL")</f>
        <v>PASS</v>
      </c>
      <c r="AV994" s="9">
        <f>ABS(Table1820[[#This Row],[Difference]])</f>
        <v>0</v>
      </c>
      <c r="AW994" s="9" t="s">
        <v>1136</v>
      </c>
    </row>
    <row r="995" spans="1:49" x14ac:dyDescent="0.3">
      <c r="A995" t="s">
        <v>1086</v>
      </c>
      <c r="B995" s="7">
        <v>45931</v>
      </c>
      <c r="C995" t="s">
        <v>70</v>
      </c>
      <c r="D995" t="s">
        <v>1100</v>
      </c>
      <c r="E995" s="3">
        <v>4</v>
      </c>
      <c r="F995" s="3">
        <v>3</v>
      </c>
      <c r="G995" t="s">
        <v>10</v>
      </c>
      <c r="H995" t="s">
        <v>1107</v>
      </c>
      <c r="I995" t="s">
        <v>40</v>
      </c>
      <c r="J995" t="s">
        <v>54</v>
      </c>
      <c r="K995" t="s">
        <v>10</v>
      </c>
      <c r="L995" t="s">
        <v>10</v>
      </c>
      <c r="M995" t="s">
        <v>10</v>
      </c>
      <c r="N995" t="s">
        <v>10</v>
      </c>
      <c r="O995" t="str">
        <f>INDEX(CoverageTable[Deductible Applies],MATCH(Table1820[[#This Row],[Coverage]],CoverageTable[Coverage],0))</f>
        <v>No</v>
      </c>
      <c r="P995" t="str">
        <f>INDEX(CoverageTable[Coverage Limit Applies],MATCH(Table1820[[#This Row],[Coverage]],CoverageTable[Coverage],0))</f>
        <v>Yes</v>
      </c>
      <c r="Q995" t="s">
        <v>10</v>
      </c>
      <c r="R995" t="s">
        <v>78</v>
      </c>
      <c r="S995" t="s">
        <v>10</v>
      </c>
      <c r="T995" t="s">
        <v>57</v>
      </c>
      <c r="U995" t="s">
        <v>10</v>
      </c>
      <c r="V995" t="s">
        <v>10</v>
      </c>
      <c r="W995" t="s">
        <v>10</v>
      </c>
      <c r="X995" s="11">
        <v>2200.161574895415</v>
      </c>
      <c r="Y995">
        <f>_xlfn.XLOOKUP(Table1820[[#This Row],[Coverage]],CoverageTable[Coverage],CoverageTable[Base Rate],,0)</f>
        <v>622</v>
      </c>
      <c r="Z995">
        <f>INDEX(Table16[Ageband Factor],MATCH(Table1820[[#This Row],[Ageband]],Table16[Ageband],0))</f>
        <v>1.07</v>
      </c>
      <c r="AA995">
        <f>VLOOKUP(Table1820[[#This Row],[Years Driving]],Table1[],2)</f>
        <v>1.1499999999999999</v>
      </c>
      <c r="AB995">
        <f>_xlfn.XLOOKUP(Table1820[[#This Row],[At Fault Accidents]],Table2[At Fault Accidents],Table2[At Fault Accident Factor],,0)</f>
        <v>1.82</v>
      </c>
      <c r="AC995">
        <f>_xlfn.XLOOKUP(Table1820[[#This Row],[Usage-Based Insurance]],Table3[Usage-Based Insurance],Table3[Usage-Based Insurance Discount],,0)</f>
        <v>1</v>
      </c>
      <c r="AD995">
        <f>_xlfn.XLOOKUP(Table1820[[#This Row],[Yearly Miles]],Table4[Yearly Miles],Table4[Yearly Miles Factor],,0)</f>
        <v>0.93</v>
      </c>
      <c r="AE995">
        <f>_xlfn.XLOOKUP(Table1820[[#This Row],[City/Zip Code]],Table5[City/Zip Code],Table5[City/Zip Code Factor],,0)</f>
        <v>1.0900000000000001</v>
      </c>
      <c r="AF995">
        <f>_xlfn.XLOOKUP(Table1820[[#This Row],[Vehicle Price]],Table6[Vehicle Price],Table6[Vehicle Price Factor])</f>
        <v>2.87</v>
      </c>
      <c r="AG995">
        <f>_xlfn.XLOOKUP(Table1820[[#This Row],[Exotic Car]],Table7[Exotic Car],Table7[Exotic Car Factor],,0)</f>
        <v>1</v>
      </c>
      <c r="AH995">
        <f>_xlfn.XLOOKUP(Table1820[[#This Row],[Difficult Parts]],Table8[Difficult Parts],Table8[Difficult Parts Factor],,0)</f>
        <v>1</v>
      </c>
      <c r="AI995">
        <f>_xlfn.XLOOKUP(Table1820[[#This Row],[High Theft Rate]],Table9[High Theft Rate],Table9[High Theft Rate Factor],,0)</f>
        <v>1</v>
      </c>
      <c r="AJ995">
        <f>_xlfn.XLOOKUP(Table1820[[#This Row],[Advanced Safety Features]],Table10[Advanced Safety Features],Table10[Advanced Safety Features Factor],,0)</f>
        <v>1</v>
      </c>
      <c r="AK995">
        <f>_xlfn.XLOOKUP(Table1820[[#This Row],[Deductible]],Table12[Deductible],Table12[Deductible Factor],,0)</f>
        <v>1</v>
      </c>
      <c r="AL995">
        <f>_xlfn.XLOOKUP(Table1820[[#This Row],[Coverage Limit]],Table13[Coverage Limit],Table13[Coverage Limit Factor],,0)</f>
        <v>0.61</v>
      </c>
      <c r="AM995">
        <f>IF(Table1820[[#This Row],[Good Student Discount]]="Yes",'Rate Book'!$D$126,1)</f>
        <v>1</v>
      </c>
      <c r="AN995">
        <f>IF(Table1820[[#This Row],[Good Driver Discount]]="Yes",'Rate Book'!$D$127,1)</f>
        <v>0.89</v>
      </c>
      <c r="AO995">
        <f>IF(Table1820[[#This Row],[Multi Policy Discount]]="Yes",'Rate Book'!$D$128,1)</f>
        <v>1</v>
      </c>
      <c r="AP995">
        <f>IF(Table1820[[#This Row],[Loyal Customer Discount]]="Yes",'Rate Book'!$D$129,1)</f>
        <v>1</v>
      </c>
      <c r="AQ995">
        <f>IF(Table1820[[#This Row],[Organization Discount]]="Yes",'Rate Book'!$D$130,1)</f>
        <v>1</v>
      </c>
      <c r="AR995" cm="1">
        <f t="array" ref="AR995">IF(Table1820[[#This Row],[Effective Date]]&gt;=RateChangeTable[Effective Date],RateChangeTable[Rate Change Factor],1)</f>
        <v>1</v>
      </c>
      <c r="AS995" s="10">
        <f>PRODUCT(Table1820[[#This Row],[Base Rate]:[Rate Change Factor]])</f>
        <v>2200.161574895415</v>
      </c>
      <c r="AT995" s="9">
        <f>Table1820[[#This Row],[System-Generated Premium]]-Table1820[[#This Row],[Expected Premium]]</f>
        <v>0</v>
      </c>
      <c r="AU995" t="str">
        <f>IF(Table1820[[#This Row],[Difference]]=0,"PASS","FAIL")</f>
        <v>PASS</v>
      </c>
      <c r="AV995" s="9">
        <f>ABS(Table1820[[#This Row],[Difference]])</f>
        <v>0</v>
      </c>
      <c r="AW995" s="9" t="s">
        <v>1136</v>
      </c>
    </row>
    <row r="996" spans="1:49" x14ac:dyDescent="0.3">
      <c r="A996" t="s">
        <v>1087</v>
      </c>
      <c r="B996" s="7">
        <v>45815</v>
      </c>
      <c r="C996" t="s">
        <v>71</v>
      </c>
      <c r="D996" t="s">
        <v>1101</v>
      </c>
      <c r="E996" s="3" t="s">
        <v>1103</v>
      </c>
      <c r="F996" s="3">
        <v>3</v>
      </c>
      <c r="G996" t="s">
        <v>10</v>
      </c>
      <c r="H996" t="s">
        <v>1108</v>
      </c>
      <c r="I996" t="s">
        <v>43</v>
      </c>
      <c r="J996" t="s">
        <v>54</v>
      </c>
      <c r="K996" t="s">
        <v>10</v>
      </c>
      <c r="L996" t="s">
        <v>10</v>
      </c>
      <c r="M996" t="s">
        <v>10</v>
      </c>
      <c r="N996" t="s">
        <v>10</v>
      </c>
      <c r="O996" t="str">
        <f>INDEX(CoverageTable[Deductible Applies],MATCH(Table1820[[#This Row],[Coverage]],CoverageTable[Coverage],0))</f>
        <v>Yes</v>
      </c>
      <c r="P996" t="str">
        <f>INDEX(CoverageTable[Coverage Limit Applies],MATCH(Table1820[[#This Row],[Coverage]],CoverageTable[Coverage],0))</f>
        <v>No</v>
      </c>
      <c r="Q996" t="s">
        <v>80</v>
      </c>
      <c r="R996" t="s">
        <v>10</v>
      </c>
      <c r="S996" t="s">
        <v>57</v>
      </c>
      <c r="T996" t="s">
        <v>10</v>
      </c>
      <c r="U996" t="s">
        <v>57</v>
      </c>
      <c r="V996" t="s">
        <v>57</v>
      </c>
      <c r="W996" t="s">
        <v>10</v>
      </c>
      <c r="X996" s="11">
        <v>1684.0911405912516</v>
      </c>
      <c r="Y996">
        <f>_xlfn.XLOOKUP(Table1820[[#This Row],[Coverage]],CoverageTable[Coverage],CoverageTable[Base Rate],,0)</f>
        <v>453</v>
      </c>
      <c r="Z996">
        <f>INDEX(Table16[Ageband Factor],MATCH(Table1820[[#This Row],[Ageband]],Table16[Ageband],0))</f>
        <v>1.1200000000000001</v>
      </c>
      <c r="AA996">
        <f>VLOOKUP(Table1820[[#This Row],[Years Driving]],Table1[],2)</f>
        <v>0.93</v>
      </c>
      <c r="AB996">
        <f>_xlfn.XLOOKUP(Table1820[[#This Row],[At Fault Accidents]],Table2[At Fault Accidents],Table2[At Fault Accident Factor],,0)</f>
        <v>1.82</v>
      </c>
      <c r="AC996">
        <f>_xlfn.XLOOKUP(Table1820[[#This Row],[Usage-Based Insurance]],Table3[Usage-Based Insurance],Table3[Usage-Based Insurance Discount],,0)</f>
        <v>1</v>
      </c>
      <c r="AD996">
        <f>_xlfn.XLOOKUP(Table1820[[#This Row],[Yearly Miles]],Table4[Yearly Miles],Table4[Yearly Miles Factor],,0)</f>
        <v>1</v>
      </c>
      <c r="AE996">
        <f>_xlfn.XLOOKUP(Table1820[[#This Row],[City/Zip Code]],Table5[City/Zip Code],Table5[City/Zip Code Factor],,0)</f>
        <v>1.18</v>
      </c>
      <c r="AF996">
        <f>_xlfn.XLOOKUP(Table1820[[#This Row],[Vehicle Price]],Table6[Vehicle Price],Table6[Vehicle Price Factor])</f>
        <v>2.87</v>
      </c>
      <c r="AG996">
        <f>_xlfn.XLOOKUP(Table1820[[#This Row],[Exotic Car]],Table7[Exotic Car],Table7[Exotic Car Factor],,0)</f>
        <v>1</v>
      </c>
      <c r="AH996">
        <f>_xlfn.XLOOKUP(Table1820[[#This Row],[Difficult Parts]],Table8[Difficult Parts],Table8[Difficult Parts Factor],,0)</f>
        <v>1</v>
      </c>
      <c r="AI996">
        <f>_xlfn.XLOOKUP(Table1820[[#This Row],[High Theft Rate]],Table9[High Theft Rate],Table9[High Theft Rate Factor],,0)</f>
        <v>1</v>
      </c>
      <c r="AJ996">
        <f>_xlfn.XLOOKUP(Table1820[[#This Row],[Advanced Safety Features]],Table10[Advanced Safety Features],Table10[Advanced Safety Features Factor],,0)</f>
        <v>1</v>
      </c>
      <c r="AK996">
        <f>_xlfn.XLOOKUP(Table1820[[#This Row],[Deductible]],Table12[Deductible],Table12[Deductible Factor],,0)</f>
        <v>0.72</v>
      </c>
      <c r="AL996">
        <f>_xlfn.XLOOKUP(Table1820[[#This Row],[Coverage Limit]],Table13[Coverage Limit],Table13[Coverage Limit Factor],,0)</f>
        <v>1</v>
      </c>
      <c r="AM996">
        <f>IF(Table1820[[#This Row],[Good Student Discount]]="Yes",'Rate Book'!$D$126,1)</f>
        <v>0.92</v>
      </c>
      <c r="AN996">
        <f>IF(Table1820[[#This Row],[Good Driver Discount]]="Yes",'Rate Book'!$D$127,1)</f>
        <v>1</v>
      </c>
      <c r="AO996">
        <f>IF(Table1820[[#This Row],[Multi Policy Discount]]="Yes",'Rate Book'!$D$128,1)</f>
        <v>0.93</v>
      </c>
      <c r="AP996">
        <f>IF(Table1820[[#This Row],[Loyal Customer Discount]]="Yes",'Rate Book'!$D$129,1)</f>
        <v>0.94</v>
      </c>
      <c r="AQ996">
        <f>IF(Table1820[[#This Row],[Organization Discount]]="Yes",'Rate Book'!$D$130,1)</f>
        <v>1</v>
      </c>
      <c r="AR996" cm="1">
        <f t="array" ref="AR996">IF(Table1820[[#This Row],[Effective Date]]&gt;=RateChangeTable[Effective Date],RateChangeTable[Rate Change Factor],1)</f>
        <v>1</v>
      </c>
      <c r="AS996" s="10">
        <f>PRODUCT(Table1820[[#This Row],[Base Rate]:[Rate Change Factor]])</f>
        <v>1684.0911405912516</v>
      </c>
      <c r="AT996" s="9">
        <f>Table1820[[#This Row],[System-Generated Premium]]-Table1820[[#This Row],[Expected Premium]]</f>
        <v>0</v>
      </c>
      <c r="AU996" t="str">
        <f>IF(Table1820[[#This Row],[Difference]]=0,"PASS","FAIL")</f>
        <v>PASS</v>
      </c>
      <c r="AV996" s="9">
        <f>ABS(Table1820[[#This Row],[Difference]])</f>
        <v>0</v>
      </c>
      <c r="AW996" s="9" t="s">
        <v>1136</v>
      </c>
    </row>
    <row r="997" spans="1:49" x14ac:dyDescent="0.3">
      <c r="A997" t="s">
        <v>1088</v>
      </c>
      <c r="B997" s="7">
        <v>46049</v>
      </c>
      <c r="C997" t="s">
        <v>71</v>
      </c>
      <c r="D997" t="s">
        <v>1102</v>
      </c>
      <c r="E997" s="3">
        <v>2</v>
      </c>
      <c r="F997" s="3" t="s">
        <v>7</v>
      </c>
      <c r="G997" t="s">
        <v>13</v>
      </c>
      <c r="H997" t="s">
        <v>1110</v>
      </c>
      <c r="I997" t="s">
        <v>44</v>
      </c>
      <c r="J997" t="s">
        <v>49</v>
      </c>
      <c r="K997" t="s">
        <v>10</v>
      </c>
      <c r="L997" t="s">
        <v>10</v>
      </c>
      <c r="M997" t="s">
        <v>10</v>
      </c>
      <c r="N997" t="s">
        <v>10</v>
      </c>
      <c r="O997" t="str">
        <f>INDEX(CoverageTable[Deductible Applies],MATCH(Table1820[[#This Row],[Coverage]],CoverageTable[Coverage],0))</f>
        <v>Yes</v>
      </c>
      <c r="P997" t="str">
        <f>INDEX(CoverageTable[Coverage Limit Applies],MATCH(Table1820[[#This Row],[Coverage]],CoverageTable[Coverage],0))</f>
        <v>No</v>
      </c>
      <c r="Q997" t="s">
        <v>78</v>
      </c>
      <c r="R997" t="s">
        <v>10</v>
      </c>
      <c r="S997" t="s">
        <v>10</v>
      </c>
      <c r="T997" t="s">
        <v>57</v>
      </c>
      <c r="U997" t="s">
        <v>10</v>
      </c>
      <c r="V997" t="s">
        <v>10</v>
      </c>
      <c r="W997" t="s">
        <v>10</v>
      </c>
      <c r="X997" s="11">
        <v>1720.4887685792919</v>
      </c>
      <c r="Y997">
        <f>_xlfn.XLOOKUP(Table1820[[#This Row],[Coverage]],CoverageTable[Coverage],CoverageTable[Base Rate],,0)</f>
        <v>453</v>
      </c>
      <c r="Z997">
        <f>INDEX(Table16[Ageband Factor],MATCH(Table1820[[#This Row],[Ageband]],Table16[Ageband],0))</f>
        <v>1.27</v>
      </c>
      <c r="AA997">
        <f>VLOOKUP(Table1820[[#This Row],[Years Driving]],Table1[],2)</f>
        <v>1.41</v>
      </c>
      <c r="AB997">
        <f>_xlfn.XLOOKUP(Table1820[[#This Row],[At Fault Accidents]],Table2[At Fault Accidents],Table2[At Fault Accident Factor],,0)</f>
        <v>2.4700000000000002</v>
      </c>
      <c r="AC997">
        <f>_xlfn.XLOOKUP(Table1820[[#This Row],[Usage-Based Insurance]],Table3[Usage-Based Insurance],Table3[Usage-Based Insurance Discount],,0)</f>
        <v>0.65</v>
      </c>
      <c r="AD997">
        <f>_xlfn.XLOOKUP(Table1820[[#This Row],[Yearly Miles]],Table4[Yearly Miles],Table4[Yearly Miles Factor],,0)</f>
        <v>1.31</v>
      </c>
      <c r="AE997">
        <f>_xlfn.XLOOKUP(Table1820[[#This Row],[City/Zip Code]],Table5[City/Zip Code],Table5[City/Zip Code Factor],,0)</f>
        <v>1.1599999999999999</v>
      </c>
      <c r="AF997">
        <f>_xlfn.XLOOKUP(Table1820[[#This Row],[Vehicle Price]],Table6[Vehicle Price],Table6[Vehicle Price Factor])</f>
        <v>0.97</v>
      </c>
      <c r="AG997">
        <f>_xlfn.XLOOKUP(Table1820[[#This Row],[Exotic Car]],Table7[Exotic Car],Table7[Exotic Car Factor],,0)</f>
        <v>1</v>
      </c>
      <c r="AH997">
        <f>_xlfn.XLOOKUP(Table1820[[#This Row],[Difficult Parts]],Table8[Difficult Parts],Table8[Difficult Parts Factor],,0)</f>
        <v>1</v>
      </c>
      <c r="AI997">
        <f>_xlfn.XLOOKUP(Table1820[[#This Row],[High Theft Rate]],Table9[High Theft Rate],Table9[High Theft Rate Factor],,0)</f>
        <v>1</v>
      </c>
      <c r="AJ997">
        <f>_xlfn.XLOOKUP(Table1820[[#This Row],[Advanced Safety Features]],Table10[Advanced Safety Features],Table10[Advanced Safety Features Factor],,0)</f>
        <v>1</v>
      </c>
      <c r="AK997">
        <f>_xlfn.XLOOKUP(Table1820[[#This Row],[Deductible]],Table12[Deductible],Table12[Deductible Factor],,0)</f>
        <v>0.95</v>
      </c>
      <c r="AL997">
        <f>_xlfn.XLOOKUP(Table1820[[#This Row],[Coverage Limit]],Table13[Coverage Limit],Table13[Coverage Limit Factor],,0)</f>
        <v>1</v>
      </c>
      <c r="AM997">
        <f>IF(Table1820[[#This Row],[Good Student Discount]]="Yes",'Rate Book'!$D$126,1)</f>
        <v>1</v>
      </c>
      <c r="AN997">
        <f>IF(Table1820[[#This Row],[Good Driver Discount]]="Yes",'Rate Book'!$D$127,1)</f>
        <v>0.89</v>
      </c>
      <c r="AO997">
        <f>IF(Table1820[[#This Row],[Multi Policy Discount]]="Yes",'Rate Book'!$D$128,1)</f>
        <v>1</v>
      </c>
      <c r="AP997">
        <f>IF(Table1820[[#This Row],[Loyal Customer Discount]]="Yes",'Rate Book'!$D$129,1)</f>
        <v>1</v>
      </c>
      <c r="AQ997">
        <f>IF(Table1820[[#This Row],[Organization Discount]]="Yes",'Rate Book'!$D$130,1)</f>
        <v>1</v>
      </c>
      <c r="AR997" cm="1">
        <f t="array" ref="AR997">IF(Table1820[[#This Row],[Effective Date]]&gt;=RateChangeTable[Effective Date],RateChangeTable[Rate Change Factor],1)</f>
        <v>1.06</v>
      </c>
      <c r="AS997" s="10">
        <f>PRODUCT(Table1820[[#This Row],[Base Rate]:[Rate Change Factor]])</f>
        <v>1720.4887685792919</v>
      </c>
      <c r="AT997" s="9">
        <f>Table1820[[#This Row],[System-Generated Premium]]-Table1820[[#This Row],[Expected Premium]]</f>
        <v>0</v>
      </c>
      <c r="AU997" t="str">
        <f>IF(Table1820[[#This Row],[Difference]]=0,"PASS","FAIL")</f>
        <v>PASS</v>
      </c>
      <c r="AV997" s="9">
        <f>ABS(Table1820[[#This Row],[Difference]])</f>
        <v>0</v>
      </c>
      <c r="AW997" s="9" t="s">
        <v>1136</v>
      </c>
    </row>
    <row r="998" spans="1:49" x14ac:dyDescent="0.3">
      <c r="A998" t="s">
        <v>1089</v>
      </c>
      <c r="B998" s="7">
        <v>45988</v>
      </c>
      <c r="C998" t="s">
        <v>71</v>
      </c>
      <c r="D998" t="s">
        <v>1099</v>
      </c>
      <c r="E998" s="3">
        <v>1</v>
      </c>
      <c r="F998" s="3">
        <v>2</v>
      </c>
      <c r="G998" t="s">
        <v>10</v>
      </c>
      <c r="H998" t="s">
        <v>1106</v>
      </c>
      <c r="I998" t="s">
        <v>21</v>
      </c>
      <c r="J998" t="s">
        <v>54</v>
      </c>
      <c r="K998" t="s">
        <v>57</v>
      </c>
      <c r="L998" t="s">
        <v>10</v>
      </c>
      <c r="M998" t="s">
        <v>57</v>
      </c>
      <c r="N998" t="s">
        <v>10</v>
      </c>
      <c r="O998" t="str">
        <f>INDEX(CoverageTable[Deductible Applies],MATCH(Table1820[[#This Row],[Coverage]],CoverageTable[Coverage],0))</f>
        <v>Yes</v>
      </c>
      <c r="P998" t="str">
        <f>INDEX(CoverageTable[Coverage Limit Applies],MATCH(Table1820[[#This Row],[Coverage]],CoverageTable[Coverage],0))</f>
        <v>No</v>
      </c>
      <c r="Q998" t="s">
        <v>79</v>
      </c>
      <c r="R998" t="s">
        <v>10</v>
      </c>
      <c r="S998" t="s">
        <v>10</v>
      </c>
      <c r="T998" t="s">
        <v>10</v>
      </c>
      <c r="U998" t="s">
        <v>10</v>
      </c>
      <c r="V998" t="s">
        <v>10</v>
      </c>
      <c r="W998" t="s">
        <v>10</v>
      </c>
      <c r="X998" s="11">
        <v>4258.8004119364723</v>
      </c>
      <c r="Y998">
        <f>_xlfn.XLOOKUP(Table1820[[#This Row],[Coverage]],CoverageTable[Coverage],CoverageTable[Base Rate],,0)</f>
        <v>453</v>
      </c>
      <c r="Z998">
        <f>INDEX(Table16[Ageband Factor],MATCH(Table1820[[#This Row],[Ageband]],Table16[Ageband],0))</f>
        <v>1</v>
      </c>
      <c r="AA998">
        <f>VLOOKUP(Table1820[[#This Row],[Years Driving]],Table1[],2)</f>
        <v>1.64</v>
      </c>
      <c r="AB998">
        <f>_xlfn.XLOOKUP(Table1820[[#This Row],[At Fault Accidents]],Table2[At Fault Accidents],Table2[At Fault Accident Factor],,0)</f>
        <v>1.55</v>
      </c>
      <c r="AC998">
        <f>_xlfn.XLOOKUP(Table1820[[#This Row],[Usage-Based Insurance]],Table3[Usage-Based Insurance],Table3[Usage-Based Insurance Discount],,0)</f>
        <v>1</v>
      </c>
      <c r="AD998">
        <f>_xlfn.XLOOKUP(Table1820[[#This Row],[Yearly Miles]],Table4[Yearly Miles],Table4[Yearly Miles Factor],,0)</f>
        <v>0.82</v>
      </c>
      <c r="AE998">
        <f>_xlfn.XLOOKUP(Table1820[[#This Row],[City/Zip Code]],Table5[City/Zip Code],Table5[City/Zip Code Factor],,0)</f>
        <v>1.26</v>
      </c>
      <c r="AF998">
        <f>_xlfn.XLOOKUP(Table1820[[#This Row],[Vehicle Price]],Table6[Vehicle Price],Table6[Vehicle Price Factor])</f>
        <v>2.87</v>
      </c>
      <c r="AG998">
        <f>_xlfn.XLOOKUP(Table1820[[#This Row],[Exotic Car]],Table7[Exotic Car],Table7[Exotic Car Factor],,0)</f>
        <v>1.28</v>
      </c>
      <c r="AH998">
        <f>_xlfn.XLOOKUP(Table1820[[#This Row],[Difficult Parts]],Table8[Difficult Parts],Table8[Difficult Parts Factor],,0)</f>
        <v>1</v>
      </c>
      <c r="AI998">
        <f>_xlfn.XLOOKUP(Table1820[[#This Row],[High Theft Rate]],Table9[High Theft Rate],Table9[High Theft Rate Factor],,0)</f>
        <v>1.1599999999999999</v>
      </c>
      <c r="AJ998">
        <f>_xlfn.XLOOKUP(Table1820[[#This Row],[Advanced Safety Features]],Table10[Advanced Safety Features],Table10[Advanced Safety Features Factor],,0)</f>
        <v>1</v>
      </c>
      <c r="AK998">
        <f>_xlfn.XLOOKUP(Table1820[[#This Row],[Deductible]],Table12[Deductible],Table12[Deductible Factor],,0)</f>
        <v>0.84</v>
      </c>
      <c r="AL998">
        <f>_xlfn.XLOOKUP(Table1820[[#This Row],[Coverage Limit]],Table13[Coverage Limit],Table13[Coverage Limit Factor],,0)</f>
        <v>1</v>
      </c>
      <c r="AM998">
        <f>IF(Table1820[[#This Row],[Good Student Discount]]="Yes",'Rate Book'!$D$126,1)</f>
        <v>1</v>
      </c>
      <c r="AN998">
        <f>IF(Table1820[[#This Row],[Good Driver Discount]]="Yes",'Rate Book'!$D$127,1)</f>
        <v>1</v>
      </c>
      <c r="AO998">
        <f>IF(Table1820[[#This Row],[Multi Policy Discount]]="Yes",'Rate Book'!$D$128,1)</f>
        <v>1</v>
      </c>
      <c r="AP998">
        <f>IF(Table1820[[#This Row],[Loyal Customer Discount]]="Yes",'Rate Book'!$D$129,1)</f>
        <v>1</v>
      </c>
      <c r="AQ998">
        <f>IF(Table1820[[#This Row],[Organization Discount]]="Yes",'Rate Book'!$D$130,1)</f>
        <v>1</v>
      </c>
      <c r="AR998" cm="1">
        <f t="array" ref="AR998">IF(Table1820[[#This Row],[Effective Date]]&gt;=RateChangeTable[Effective Date],RateChangeTable[Rate Change Factor],1)</f>
        <v>1</v>
      </c>
      <c r="AS998" s="10">
        <f>PRODUCT(Table1820[[#This Row],[Base Rate]:[Rate Change Factor]])</f>
        <v>4258.8004119364723</v>
      </c>
      <c r="AT998" s="9">
        <f>Table1820[[#This Row],[System-Generated Premium]]-Table1820[[#This Row],[Expected Premium]]</f>
        <v>0</v>
      </c>
      <c r="AU998" t="str">
        <f>IF(Table1820[[#This Row],[Difference]]=0,"PASS","FAIL")</f>
        <v>PASS</v>
      </c>
      <c r="AV998" s="9">
        <f>ABS(Table1820[[#This Row],[Difference]])</f>
        <v>0</v>
      </c>
      <c r="AW998" s="9" t="s">
        <v>1136</v>
      </c>
    </row>
    <row r="999" spans="1:49" x14ac:dyDescent="0.3">
      <c r="A999" t="s">
        <v>1090</v>
      </c>
      <c r="B999" s="7">
        <v>45885</v>
      </c>
      <c r="C999" t="s">
        <v>70</v>
      </c>
      <c r="D999" t="s">
        <v>1101</v>
      </c>
      <c r="E999" s="3">
        <v>4</v>
      </c>
      <c r="F999" s="3">
        <v>2</v>
      </c>
      <c r="G999" t="s">
        <v>12</v>
      </c>
      <c r="H999" t="s">
        <v>1107</v>
      </c>
      <c r="I999" t="s">
        <v>34</v>
      </c>
      <c r="J999" t="s">
        <v>49</v>
      </c>
      <c r="K999" t="s">
        <v>57</v>
      </c>
      <c r="L999" t="s">
        <v>10</v>
      </c>
      <c r="M999" t="s">
        <v>10</v>
      </c>
      <c r="N999" t="s">
        <v>10</v>
      </c>
      <c r="O999" t="str">
        <f>INDEX(CoverageTable[Deductible Applies],MATCH(Table1820[[#This Row],[Coverage]],CoverageTable[Coverage],0))</f>
        <v>No</v>
      </c>
      <c r="P999" t="str">
        <f>INDEX(CoverageTable[Coverage Limit Applies],MATCH(Table1820[[#This Row],[Coverage]],CoverageTable[Coverage],0))</f>
        <v>Yes</v>
      </c>
      <c r="Q999" t="s">
        <v>10</v>
      </c>
      <c r="R999" t="s">
        <v>79</v>
      </c>
      <c r="S999" t="s">
        <v>10</v>
      </c>
      <c r="T999" t="s">
        <v>10</v>
      </c>
      <c r="U999" t="s">
        <v>57</v>
      </c>
      <c r="V999" t="s">
        <v>57</v>
      </c>
      <c r="W999" t="s">
        <v>10</v>
      </c>
      <c r="X999" s="11">
        <v>1126.3165931490034</v>
      </c>
      <c r="Y999">
        <f>_xlfn.XLOOKUP(Table1820[[#This Row],[Coverage]],CoverageTable[Coverage],CoverageTable[Base Rate],,0)</f>
        <v>622</v>
      </c>
      <c r="Z999">
        <f>INDEX(Table16[Ageband Factor],MATCH(Table1820[[#This Row],[Ageband]],Table16[Ageband],0))</f>
        <v>1.1200000000000001</v>
      </c>
      <c r="AA999">
        <f>VLOOKUP(Table1820[[#This Row],[Years Driving]],Table1[],2)</f>
        <v>1.1499999999999999</v>
      </c>
      <c r="AB999">
        <f>_xlfn.XLOOKUP(Table1820[[#This Row],[At Fault Accidents]],Table2[At Fault Accidents],Table2[At Fault Accident Factor],,0)</f>
        <v>1.55</v>
      </c>
      <c r="AC999">
        <f>_xlfn.XLOOKUP(Table1820[[#This Row],[Usage-Based Insurance]],Table3[Usage-Based Insurance],Table3[Usage-Based Insurance Discount],,0)</f>
        <v>0.8</v>
      </c>
      <c r="AD999">
        <f>_xlfn.XLOOKUP(Table1820[[#This Row],[Yearly Miles]],Table4[Yearly Miles],Table4[Yearly Miles Factor],,0)</f>
        <v>0.93</v>
      </c>
      <c r="AE999">
        <f>_xlfn.XLOOKUP(Table1820[[#This Row],[City/Zip Code]],Table5[City/Zip Code],Table5[City/Zip Code Factor],,0)</f>
        <v>1.56</v>
      </c>
      <c r="AF999">
        <f>_xlfn.XLOOKUP(Table1820[[#This Row],[Vehicle Price]],Table6[Vehicle Price],Table6[Vehicle Price Factor])</f>
        <v>0.97</v>
      </c>
      <c r="AG999">
        <f>_xlfn.XLOOKUP(Table1820[[#This Row],[Exotic Car]],Table7[Exotic Car],Table7[Exotic Car Factor],,0)</f>
        <v>1.28</v>
      </c>
      <c r="AH999">
        <f>_xlfn.XLOOKUP(Table1820[[#This Row],[Difficult Parts]],Table8[Difficult Parts],Table8[Difficult Parts Factor],,0)</f>
        <v>1</v>
      </c>
      <c r="AI999">
        <f>_xlfn.XLOOKUP(Table1820[[#This Row],[High Theft Rate]],Table9[High Theft Rate],Table9[High Theft Rate Factor],,0)</f>
        <v>1</v>
      </c>
      <c r="AJ999">
        <f>_xlfn.XLOOKUP(Table1820[[#This Row],[Advanced Safety Features]],Table10[Advanced Safety Features],Table10[Advanced Safety Features Factor],,0)</f>
        <v>1</v>
      </c>
      <c r="AK999">
        <f>_xlfn.XLOOKUP(Table1820[[#This Row],[Deductible]],Table12[Deductible],Table12[Deductible Factor],,0)</f>
        <v>1</v>
      </c>
      <c r="AL999">
        <f>_xlfn.XLOOKUP(Table1820[[#This Row],[Coverage Limit]],Table13[Coverage Limit],Table13[Coverage Limit Factor],,0)</f>
        <v>0.72</v>
      </c>
      <c r="AM999">
        <f>IF(Table1820[[#This Row],[Good Student Discount]]="Yes",'Rate Book'!$D$126,1)</f>
        <v>1</v>
      </c>
      <c r="AN999">
        <f>IF(Table1820[[#This Row],[Good Driver Discount]]="Yes",'Rate Book'!$D$127,1)</f>
        <v>1</v>
      </c>
      <c r="AO999">
        <f>IF(Table1820[[#This Row],[Multi Policy Discount]]="Yes",'Rate Book'!$D$128,1)</f>
        <v>0.93</v>
      </c>
      <c r="AP999">
        <f>IF(Table1820[[#This Row],[Loyal Customer Discount]]="Yes",'Rate Book'!$D$129,1)</f>
        <v>0.94</v>
      </c>
      <c r="AQ999">
        <f>IF(Table1820[[#This Row],[Organization Discount]]="Yes",'Rate Book'!$D$130,1)</f>
        <v>1</v>
      </c>
      <c r="AR999" cm="1">
        <f t="array" ref="AR999">IF(Table1820[[#This Row],[Effective Date]]&gt;=RateChangeTable[Effective Date],RateChangeTable[Rate Change Factor],1)</f>
        <v>1</v>
      </c>
      <c r="AS999" s="10">
        <f>PRODUCT(Table1820[[#This Row],[Base Rate]:[Rate Change Factor]])</f>
        <v>1126.3165931490034</v>
      </c>
      <c r="AT999" s="9">
        <f>Table1820[[#This Row],[System-Generated Premium]]-Table1820[[#This Row],[Expected Premium]]</f>
        <v>0</v>
      </c>
      <c r="AU999" t="str">
        <f>IF(Table1820[[#This Row],[Difference]]=0,"PASS","FAIL")</f>
        <v>PASS</v>
      </c>
      <c r="AV999" s="9">
        <f>ABS(Table1820[[#This Row],[Difference]])</f>
        <v>0</v>
      </c>
      <c r="AW999" s="9" t="s">
        <v>1136</v>
      </c>
    </row>
    <row r="1000" spans="1:49" x14ac:dyDescent="0.3">
      <c r="A1000" t="s">
        <v>1091</v>
      </c>
      <c r="B1000" s="7">
        <v>45844</v>
      </c>
      <c r="C1000" t="s">
        <v>70</v>
      </c>
      <c r="D1000" t="s">
        <v>1098</v>
      </c>
      <c r="E1000" s="3">
        <v>3</v>
      </c>
      <c r="F1000" s="3">
        <v>4</v>
      </c>
      <c r="G1000" t="s">
        <v>10</v>
      </c>
      <c r="H1000" t="s">
        <v>1110</v>
      </c>
      <c r="I1000" t="s">
        <v>31</v>
      </c>
      <c r="J1000" t="s">
        <v>50</v>
      </c>
      <c r="K1000" t="s">
        <v>10</v>
      </c>
      <c r="L1000" t="s">
        <v>57</v>
      </c>
      <c r="M1000" t="s">
        <v>10</v>
      </c>
      <c r="N1000" t="s">
        <v>57</v>
      </c>
      <c r="O1000" t="str">
        <f>INDEX(CoverageTable[Deductible Applies],MATCH(Table1820[[#This Row],[Coverage]],CoverageTable[Coverage],0))</f>
        <v>No</v>
      </c>
      <c r="P1000" t="str">
        <f>INDEX(CoverageTable[Coverage Limit Applies],MATCH(Table1820[[#This Row],[Coverage]],CoverageTable[Coverage],0))</f>
        <v>Yes</v>
      </c>
      <c r="Q1000" t="s">
        <v>10</v>
      </c>
      <c r="R1000" t="s">
        <v>80</v>
      </c>
      <c r="S1000" t="s">
        <v>57</v>
      </c>
      <c r="T1000" t="s">
        <v>10</v>
      </c>
      <c r="U1000" t="s">
        <v>10</v>
      </c>
      <c r="V1000" t="s">
        <v>10</v>
      </c>
      <c r="W1000" t="s">
        <v>57</v>
      </c>
      <c r="X1000" s="11">
        <v>2480.3679318115219</v>
      </c>
      <c r="Y1000">
        <f>_xlfn.XLOOKUP(Table1820[[#This Row],[Coverage]],CoverageTable[Coverage],CoverageTable[Base Rate],,0)</f>
        <v>622</v>
      </c>
      <c r="Z1000">
        <f>INDEX(Table16[Ageband Factor],MATCH(Table1820[[#This Row],[Ageband]],Table16[Ageband],0))</f>
        <v>1.23</v>
      </c>
      <c r="AA1000">
        <f>VLOOKUP(Table1820[[#This Row],[Years Driving]],Table1[],2)</f>
        <v>1.22</v>
      </c>
      <c r="AB1000">
        <f>_xlfn.XLOOKUP(Table1820[[#This Row],[At Fault Accidents]],Table2[At Fault Accidents],Table2[At Fault Accident Factor],,0)</f>
        <v>2.12</v>
      </c>
      <c r="AC1000">
        <f>_xlfn.XLOOKUP(Table1820[[#This Row],[Usage-Based Insurance]],Table3[Usage-Based Insurance],Table3[Usage-Based Insurance Discount],,0)</f>
        <v>1</v>
      </c>
      <c r="AD1000">
        <f>_xlfn.XLOOKUP(Table1820[[#This Row],[Yearly Miles]],Table4[Yearly Miles],Table4[Yearly Miles Factor],,0)</f>
        <v>1.31</v>
      </c>
      <c r="AE1000">
        <f>_xlfn.XLOOKUP(Table1820[[#This Row],[City/Zip Code]],Table5[City/Zip Code],Table5[City/Zip Code Factor],,0)</f>
        <v>1.1100000000000001</v>
      </c>
      <c r="AF1000">
        <f>_xlfn.XLOOKUP(Table1820[[#This Row],[Vehicle Price]],Table6[Vehicle Price],Table6[Vehicle Price Factor])</f>
        <v>1.08</v>
      </c>
      <c r="AG1000">
        <f>_xlfn.XLOOKUP(Table1820[[#This Row],[Exotic Car]],Table7[Exotic Car],Table7[Exotic Car Factor],,0)</f>
        <v>1</v>
      </c>
      <c r="AH1000">
        <f>_xlfn.XLOOKUP(Table1820[[#This Row],[Difficult Parts]],Table8[Difficult Parts],Table8[Difficult Parts Factor],,0)</f>
        <v>1.21</v>
      </c>
      <c r="AI1000">
        <f>_xlfn.XLOOKUP(Table1820[[#This Row],[High Theft Rate]],Table9[High Theft Rate],Table9[High Theft Rate Factor],,0)</f>
        <v>1</v>
      </c>
      <c r="AJ1000">
        <f>_xlfn.XLOOKUP(Table1820[[#This Row],[Advanced Safety Features]],Table10[Advanced Safety Features],Table10[Advanced Safety Features Factor],,0)</f>
        <v>0.88</v>
      </c>
      <c r="AK1000">
        <f>_xlfn.XLOOKUP(Table1820[[#This Row],[Deductible]],Table12[Deductible],Table12[Deductible Factor],,0)</f>
        <v>1</v>
      </c>
      <c r="AL1000">
        <f>_xlfn.XLOOKUP(Table1820[[#This Row],[Coverage Limit]],Table13[Coverage Limit],Table13[Coverage Limit Factor],,0)</f>
        <v>0.84</v>
      </c>
      <c r="AM1000">
        <f>IF(Table1820[[#This Row],[Good Student Discount]]="Yes",'Rate Book'!$D$126,1)</f>
        <v>0.92</v>
      </c>
      <c r="AN1000">
        <f>IF(Table1820[[#This Row],[Good Driver Discount]]="Yes",'Rate Book'!$D$127,1)</f>
        <v>1</v>
      </c>
      <c r="AO1000">
        <f>IF(Table1820[[#This Row],[Multi Policy Discount]]="Yes",'Rate Book'!$D$128,1)</f>
        <v>1</v>
      </c>
      <c r="AP1000">
        <f>IF(Table1820[[#This Row],[Loyal Customer Discount]]="Yes",'Rate Book'!$D$129,1)</f>
        <v>1</v>
      </c>
      <c r="AQ1000">
        <f>IF(Table1820[[#This Row],[Organization Discount]]="Yes",'Rate Book'!$D$130,1)</f>
        <v>0.97</v>
      </c>
      <c r="AR1000" cm="1">
        <f t="array" ref="AR1000">IF(Table1820[[#This Row],[Effective Date]]&gt;=RateChangeTable[Effective Date],RateChangeTable[Rate Change Factor],1)</f>
        <v>1</v>
      </c>
      <c r="AS1000" s="10">
        <f>PRODUCT(Table1820[[#This Row],[Base Rate]:[Rate Change Factor]])</f>
        <v>2480.3679318115219</v>
      </c>
      <c r="AT1000" s="9">
        <f>Table1820[[#This Row],[System-Generated Premium]]-Table1820[[#This Row],[Expected Premium]]</f>
        <v>0</v>
      </c>
      <c r="AU1000" t="str">
        <f>IF(Table1820[[#This Row],[Difference]]=0,"PASS","FAIL")</f>
        <v>PASS</v>
      </c>
      <c r="AV1000" s="9">
        <f>ABS(Table1820[[#This Row],[Difference]])</f>
        <v>0</v>
      </c>
      <c r="AW1000" s="9" t="s">
        <v>1136</v>
      </c>
    </row>
    <row r="1001" spans="1:49" x14ac:dyDescent="0.3">
      <c r="A1001" t="s">
        <v>1092</v>
      </c>
      <c r="B1001" s="7">
        <v>45804</v>
      </c>
      <c r="C1001" t="s">
        <v>71</v>
      </c>
      <c r="D1001" t="s">
        <v>1100</v>
      </c>
      <c r="E1001" s="3">
        <v>5</v>
      </c>
      <c r="F1001" s="3">
        <v>4</v>
      </c>
      <c r="G1001" t="s">
        <v>10</v>
      </c>
      <c r="H1001" t="s">
        <v>1109</v>
      </c>
      <c r="I1001" t="s">
        <v>31</v>
      </c>
      <c r="J1001" t="s">
        <v>54</v>
      </c>
      <c r="K1001" t="s">
        <v>10</v>
      </c>
      <c r="L1001" t="s">
        <v>10</v>
      </c>
      <c r="M1001" t="s">
        <v>10</v>
      </c>
      <c r="N1001" t="s">
        <v>57</v>
      </c>
      <c r="O1001" t="str">
        <f>INDEX(CoverageTable[Deductible Applies],MATCH(Table1820[[#This Row],[Coverage]],CoverageTable[Coverage],0))</f>
        <v>Yes</v>
      </c>
      <c r="P1001" t="str">
        <f>INDEX(CoverageTable[Coverage Limit Applies],MATCH(Table1820[[#This Row],[Coverage]],CoverageTable[Coverage],0))</f>
        <v>No</v>
      </c>
      <c r="Q1001" t="s">
        <v>78</v>
      </c>
      <c r="R1001" t="s">
        <v>10</v>
      </c>
      <c r="S1001" t="s">
        <v>10</v>
      </c>
      <c r="T1001" t="s">
        <v>10</v>
      </c>
      <c r="U1001" t="s">
        <v>10</v>
      </c>
      <c r="V1001" t="s">
        <v>10</v>
      </c>
      <c r="W1001" t="s">
        <v>10</v>
      </c>
      <c r="X1001" s="11">
        <v>3455.371752392587</v>
      </c>
      <c r="Y1001">
        <f>_xlfn.XLOOKUP(Table1820[[#This Row],[Coverage]],CoverageTable[Coverage],CoverageTable[Base Rate],,0)</f>
        <v>453</v>
      </c>
      <c r="Z1001">
        <f>INDEX(Table16[Ageband Factor],MATCH(Table1820[[#This Row],[Ageband]],Table16[Ageband],0))</f>
        <v>1.07</v>
      </c>
      <c r="AA1001">
        <f>VLOOKUP(Table1820[[#This Row],[Years Driving]],Table1[],2)</f>
        <v>1.07</v>
      </c>
      <c r="AB1001">
        <f>_xlfn.XLOOKUP(Table1820[[#This Row],[At Fault Accidents]],Table2[At Fault Accidents],Table2[At Fault Accident Factor],,0)</f>
        <v>2.12</v>
      </c>
      <c r="AC1001">
        <f>_xlfn.XLOOKUP(Table1820[[#This Row],[Usage-Based Insurance]],Table3[Usage-Based Insurance],Table3[Usage-Based Insurance Discount],,0)</f>
        <v>1</v>
      </c>
      <c r="AD1001">
        <f>_xlfn.XLOOKUP(Table1820[[#This Row],[Yearly Miles]],Table4[Yearly Miles],Table4[Yearly Miles Factor],,0)</f>
        <v>1.18</v>
      </c>
      <c r="AE1001">
        <f>_xlfn.XLOOKUP(Table1820[[#This Row],[City/Zip Code]],Table5[City/Zip Code],Table5[City/Zip Code Factor],,0)</f>
        <v>1.1100000000000001</v>
      </c>
      <c r="AF1001">
        <f>_xlfn.XLOOKUP(Table1820[[#This Row],[Vehicle Price]],Table6[Vehicle Price],Table6[Vehicle Price Factor])</f>
        <v>2.87</v>
      </c>
      <c r="AG1001">
        <f>_xlfn.XLOOKUP(Table1820[[#This Row],[Exotic Car]],Table7[Exotic Car],Table7[Exotic Car Factor],,0)</f>
        <v>1</v>
      </c>
      <c r="AH1001">
        <f>_xlfn.XLOOKUP(Table1820[[#This Row],[Difficult Parts]],Table8[Difficult Parts],Table8[Difficult Parts Factor],,0)</f>
        <v>1</v>
      </c>
      <c r="AI1001">
        <f>_xlfn.XLOOKUP(Table1820[[#This Row],[High Theft Rate]],Table9[High Theft Rate],Table9[High Theft Rate Factor],,0)</f>
        <v>1</v>
      </c>
      <c r="AJ1001">
        <f>_xlfn.XLOOKUP(Table1820[[#This Row],[Advanced Safety Features]],Table10[Advanced Safety Features],Table10[Advanced Safety Features Factor],,0)</f>
        <v>0.88</v>
      </c>
      <c r="AK1001">
        <f>_xlfn.XLOOKUP(Table1820[[#This Row],[Deductible]],Table12[Deductible],Table12[Deductible Factor],,0)</f>
        <v>0.95</v>
      </c>
      <c r="AL1001">
        <f>_xlfn.XLOOKUP(Table1820[[#This Row],[Coverage Limit]],Table13[Coverage Limit],Table13[Coverage Limit Factor],,0)</f>
        <v>1</v>
      </c>
      <c r="AM1001">
        <f>IF(Table1820[[#This Row],[Good Student Discount]]="Yes",'Rate Book'!$D$126,1)</f>
        <v>1</v>
      </c>
      <c r="AN1001">
        <f>IF(Table1820[[#This Row],[Good Driver Discount]]="Yes",'Rate Book'!$D$127,1)</f>
        <v>1</v>
      </c>
      <c r="AO1001">
        <f>IF(Table1820[[#This Row],[Multi Policy Discount]]="Yes",'Rate Book'!$D$128,1)</f>
        <v>1</v>
      </c>
      <c r="AP1001">
        <f>IF(Table1820[[#This Row],[Loyal Customer Discount]]="Yes",'Rate Book'!$D$129,1)</f>
        <v>1</v>
      </c>
      <c r="AQ1001">
        <f>IF(Table1820[[#This Row],[Organization Discount]]="Yes",'Rate Book'!$D$130,1)</f>
        <v>1</v>
      </c>
      <c r="AR1001" cm="1">
        <f t="array" ref="AR1001">IF(Table1820[[#This Row],[Effective Date]]&gt;=RateChangeTable[Effective Date],RateChangeTable[Rate Change Factor],1)</f>
        <v>1</v>
      </c>
      <c r="AS1001" s="10">
        <f>PRODUCT(Table1820[[#This Row],[Base Rate]:[Rate Change Factor]])</f>
        <v>3455.371752392587</v>
      </c>
      <c r="AT1001" s="9">
        <f>Table1820[[#This Row],[System-Generated Premium]]-Table1820[[#This Row],[Expected Premium]]</f>
        <v>0</v>
      </c>
      <c r="AU1001" t="str">
        <f>IF(Table1820[[#This Row],[Difference]]=0,"PASS","FAIL")</f>
        <v>PASS</v>
      </c>
      <c r="AV1001" s="9">
        <f>ABS(Table1820[[#This Row],[Difference]])</f>
        <v>0</v>
      </c>
      <c r="AW1001" s="9" t="s">
        <v>1136</v>
      </c>
    </row>
  </sheetData>
  <conditionalFormatting sqref="AU2:AU1001">
    <cfRule type="containsText" dxfId="1" priority="1" operator="containsText" text="FAIL">
      <formula>NOT(ISERROR(SEARCH("FAIL",AU2)))</formula>
    </cfRule>
    <cfRule type="containsText" dxfId="0" priority="2" operator="containsText" text="PASS">
      <formula>NOT(ISERROR(SEARCH("PASS",AU2)))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84A4-6D8F-4E0A-B6DF-54F7A03C6916}">
  <dimension ref="A1:E28"/>
  <sheetViews>
    <sheetView zoomScale="90" zoomScaleNormal="90" workbookViewId="0">
      <selection activeCell="D16" sqref="D16"/>
    </sheetView>
  </sheetViews>
  <sheetFormatPr defaultRowHeight="14.4" x14ac:dyDescent="0.3"/>
  <cols>
    <col min="1" max="1" width="38.88671875" bestFit="1" customWidth="1"/>
    <col min="2" max="2" width="19.44140625" bestFit="1" customWidth="1"/>
    <col min="3" max="3" width="20.109375" bestFit="1" customWidth="1"/>
    <col min="4" max="4" width="16.88671875" bestFit="1" customWidth="1"/>
    <col min="5" max="5" width="25.33203125" bestFit="1" customWidth="1"/>
  </cols>
  <sheetData>
    <row r="1" spans="1:5" ht="15" thickBot="1" x14ac:dyDescent="0.35">
      <c r="A1" s="12" t="s">
        <v>1134</v>
      </c>
      <c r="B1" s="15" t="s">
        <v>1137</v>
      </c>
      <c r="C1" s="15" t="s">
        <v>1149</v>
      </c>
      <c r="D1" s="15" t="s">
        <v>1147</v>
      </c>
      <c r="E1" s="15" t="s">
        <v>1148</v>
      </c>
    </row>
    <row r="2" spans="1:5" x14ac:dyDescent="0.3">
      <c r="A2" s="21" t="s">
        <v>1136</v>
      </c>
      <c r="B2" s="23">
        <v>961</v>
      </c>
      <c r="C2" s="24">
        <v>0.96099999999999997</v>
      </c>
      <c r="D2" s="25">
        <v>0</v>
      </c>
      <c r="E2" s="25">
        <v>0</v>
      </c>
    </row>
    <row r="3" spans="1:5" x14ac:dyDescent="0.3">
      <c r="A3" s="13" t="s">
        <v>1133</v>
      </c>
      <c r="B3" s="16">
        <v>12</v>
      </c>
      <c r="C3" s="17">
        <v>1.2E-2</v>
      </c>
      <c r="D3" s="19">
        <v>-799.8447571590998</v>
      </c>
      <c r="E3" s="19">
        <v>799.8447571590998</v>
      </c>
    </row>
    <row r="4" spans="1:5" x14ac:dyDescent="0.3">
      <c r="A4" s="13" t="s">
        <v>1145</v>
      </c>
      <c r="B4" s="16">
        <v>7</v>
      </c>
      <c r="C4" s="17">
        <v>7.0000000000000001E-3</v>
      </c>
      <c r="D4" s="19">
        <v>1825.9225756097358</v>
      </c>
      <c r="E4" s="19">
        <v>1825.9225756097358</v>
      </c>
    </row>
    <row r="5" spans="1:5" x14ac:dyDescent="0.3">
      <c r="A5" s="13" t="s">
        <v>1138</v>
      </c>
      <c r="B5" s="16">
        <v>5</v>
      </c>
      <c r="C5" s="17">
        <v>5.0000000000000001E-3</v>
      </c>
      <c r="D5" s="19">
        <v>694.65168323899343</v>
      </c>
      <c r="E5" s="19">
        <v>694.65168323899343</v>
      </c>
    </row>
    <row r="6" spans="1:5" x14ac:dyDescent="0.3">
      <c r="A6" s="13" t="s">
        <v>1139</v>
      </c>
      <c r="B6" s="16">
        <v>3</v>
      </c>
      <c r="C6" s="17">
        <v>3.0000000000000001E-3</v>
      </c>
      <c r="D6" s="19">
        <v>248.80607330401824</v>
      </c>
      <c r="E6" s="19">
        <v>248.80607330401824</v>
      </c>
    </row>
    <row r="7" spans="1:5" x14ac:dyDescent="0.3">
      <c r="A7" s="13" t="s">
        <v>1140</v>
      </c>
      <c r="B7" s="16">
        <v>2</v>
      </c>
      <c r="C7" s="17">
        <v>2E-3</v>
      </c>
      <c r="D7" s="19">
        <v>87.150145642416561</v>
      </c>
      <c r="E7" s="19">
        <v>87.150145642416561</v>
      </c>
    </row>
    <row r="8" spans="1:5" x14ac:dyDescent="0.3">
      <c r="A8" s="13" t="s">
        <v>1141</v>
      </c>
      <c r="B8" s="16">
        <v>2</v>
      </c>
      <c r="C8" s="17">
        <v>2E-3</v>
      </c>
      <c r="D8" s="19">
        <v>-228.41297499716001</v>
      </c>
      <c r="E8" s="19">
        <v>228.41297499716001</v>
      </c>
    </row>
    <row r="9" spans="1:5" x14ac:dyDescent="0.3">
      <c r="A9" s="13" t="s">
        <v>1142</v>
      </c>
      <c r="B9" s="16">
        <v>2</v>
      </c>
      <c r="C9" s="17">
        <v>2E-3</v>
      </c>
      <c r="D9" s="19">
        <v>-1026.9725973041316</v>
      </c>
      <c r="E9" s="19">
        <v>1026.9725973041316</v>
      </c>
    </row>
    <row r="10" spans="1:5" x14ac:dyDescent="0.3">
      <c r="A10" s="13" t="s">
        <v>1150</v>
      </c>
      <c r="B10" s="16">
        <v>2</v>
      </c>
      <c r="C10" s="17">
        <v>2E-3</v>
      </c>
      <c r="D10" s="19">
        <v>18.851187265622684</v>
      </c>
      <c r="E10" s="19">
        <v>93.641387050673529</v>
      </c>
    </row>
    <row r="11" spans="1:5" x14ac:dyDescent="0.3">
      <c r="A11" s="13" t="s">
        <v>1143</v>
      </c>
      <c r="B11" s="16">
        <v>2</v>
      </c>
      <c r="C11" s="17">
        <v>2E-3</v>
      </c>
      <c r="D11" s="19">
        <v>-74.153307613675906</v>
      </c>
      <c r="E11" s="19">
        <v>142.62983460894407</v>
      </c>
    </row>
    <row r="12" spans="1:5" x14ac:dyDescent="0.3">
      <c r="A12" s="13" t="s">
        <v>1144</v>
      </c>
      <c r="B12" s="16">
        <v>1</v>
      </c>
      <c r="C12" s="17">
        <v>1E-3</v>
      </c>
      <c r="D12" s="19">
        <v>-52.469950504844064</v>
      </c>
      <c r="E12" s="19">
        <v>52.469950504844064</v>
      </c>
    </row>
    <row r="13" spans="1:5" ht="15" thickBot="1" x14ac:dyDescent="0.35">
      <c r="A13" s="22" t="s">
        <v>1146</v>
      </c>
      <c r="B13" s="16">
        <v>1</v>
      </c>
      <c r="C13" s="17">
        <v>1E-3</v>
      </c>
      <c r="D13" s="19">
        <v>11.054507482385333</v>
      </c>
      <c r="E13" s="19">
        <v>11.054507482385333</v>
      </c>
    </row>
    <row r="14" spans="1:5" ht="15" thickBot="1" x14ac:dyDescent="0.35">
      <c r="A14" s="14" t="s">
        <v>1135</v>
      </c>
      <c r="B14" s="15">
        <v>1000</v>
      </c>
      <c r="C14" s="18">
        <v>1</v>
      </c>
      <c r="D14" s="20">
        <v>704.58258496426106</v>
      </c>
      <c r="E14" s="20">
        <v>5211.556486902402</v>
      </c>
    </row>
    <row r="17" spans="1:2" x14ac:dyDescent="0.3">
      <c r="A17" s="30" t="s">
        <v>1151</v>
      </c>
      <c r="B17" s="32" t="s">
        <v>1152</v>
      </c>
    </row>
    <row r="18" spans="1:2" x14ac:dyDescent="0.3">
      <c r="A18" s="31" t="s">
        <v>1154</v>
      </c>
      <c r="B18" s="33">
        <f>GETPIVOTDATA("Count of Likely Issue",$A$1)</f>
        <v>1000</v>
      </c>
    </row>
    <row r="19" spans="1:2" x14ac:dyDescent="0.3">
      <c r="A19" s="31" t="s">
        <v>1155</v>
      </c>
      <c r="B19" s="33">
        <f>GETPIVOTDATA("Count of Likely Issue",$A$1,"Likely Issue","No Issue")</f>
        <v>961</v>
      </c>
    </row>
    <row r="20" spans="1:2" x14ac:dyDescent="0.3">
      <c r="A20" s="31" t="s">
        <v>1156</v>
      </c>
      <c r="B20" s="33">
        <f>SUM(B3:B13)</f>
        <v>39</v>
      </c>
    </row>
    <row r="21" spans="1:2" x14ac:dyDescent="0.3">
      <c r="A21" s="31" t="s">
        <v>1157</v>
      </c>
      <c r="B21" s="34">
        <f>B19/B18</f>
        <v>0.96099999999999997</v>
      </c>
    </row>
    <row r="22" spans="1:2" x14ac:dyDescent="0.3">
      <c r="A22" s="31" t="s">
        <v>1153</v>
      </c>
      <c r="B22" s="35">
        <f>SUM(GETPIVOTDATA("Sum of Difference",$A$1))</f>
        <v>704.58258496426106</v>
      </c>
    </row>
    <row r="23" spans="1:2" x14ac:dyDescent="0.3">
      <c r="A23" s="31" t="s">
        <v>1158</v>
      </c>
      <c r="B23" s="36">
        <f>B22/B18</f>
        <v>0.70458258496426107</v>
      </c>
    </row>
    <row r="24" spans="1:2" x14ac:dyDescent="0.3">
      <c r="A24" s="31" t="s">
        <v>1159</v>
      </c>
      <c r="B24" s="36">
        <f>GETPIVOTDATA("Sum of Absolute Difference",$A$1)</f>
        <v>5211.556486902402</v>
      </c>
    </row>
    <row r="25" spans="1:2" x14ac:dyDescent="0.3">
      <c r="A25" s="31" t="s">
        <v>1160</v>
      </c>
      <c r="B25" s="36">
        <f>GETPIVOTDATA("Sum of Absolute Difference",$A$1)/B18</f>
        <v>5.2115564869024018</v>
      </c>
    </row>
    <row r="26" spans="1:2" x14ac:dyDescent="0.3">
      <c r="A26" s="31" t="s">
        <v>1161</v>
      </c>
      <c r="B26" s="33">
        <f>COUNTIF(Table1820[Effective Date],"&gt;=1/1/2026")</f>
        <v>339</v>
      </c>
    </row>
    <row r="27" spans="1:2" x14ac:dyDescent="0.3">
      <c r="A27" s="31" t="s">
        <v>1162</v>
      </c>
      <c r="B27" s="33">
        <f>COUNTIFS(Table1820[Effective Date],"&gt;=1/1/2026",Table1820[PASS/FAIL],"=PASS")</f>
        <v>317</v>
      </c>
    </row>
    <row r="28" spans="1:2" x14ac:dyDescent="0.3">
      <c r="A28" s="31" t="s">
        <v>1163</v>
      </c>
      <c r="B28" s="37">
        <f>B27/B26</f>
        <v>0.93510324483775809</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234EF-50BB-4F23-8844-4858623566C9}">
  <dimension ref="A1:I40"/>
  <sheetViews>
    <sheetView zoomScaleNormal="100" workbookViewId="0"/>
  </sheetViews>
  <sheetFormatPr defaultRowHeight="14.4" x14ac:dyDescent="0.3"/>
  <cols>
    <col min="1" max="1" width="7.5546875" bestFit="1" customWidth="1"/>
    <col min="2" max="2" width="8.21875" bestFit="1" customWidth="1"/>
    <col min="3" max="3" width="22.6640625" bestFit="1" customWidth="1"/>
    <col min="4" max="4" width="15.33203125" bestFit="1" customWidth="1"/>
    <col min="5" max="5" width="16.88671875" bestFit="1" customWidth="1"/>
    <col min="6" max="6" width="9.77734375" bestFit="1" customWidth="1"/>
    <col min="7" max="7" width="37.5546875" bestFit="1" customWidth="1"/>
    <col min="8" max="8" width="54.109375" bestFit="1" customWidth="1"/>
    <col min="9" max="9" width="12.21875" bestFit="1" customWidth="1"/>
  </cols>
  <sheetData>
    <row r="1" spans="1:9" x14ac:dyDescent="0.3">
      <c r="A1" s="1" t="s">
        <v>1164</v>
      </c>
      <c r="B1" s="6" t="s">
        <v>1165</v>
      </c>
      <c r="C1" s="6" t="s">
        <v>1166</v>
      </c>
      <c r="D1" s="6" t="s">
        <v>1208</v>
      </c>
      <c r="E1" s="6" t="s">
        <v>1128</v>
      </c>
      <c r="F1" s="6" t="s">
        <v>1129</v>
      </c>
      <c r="G1" s="6" t="s">
        <v>1132</v>
      </c>
      <c r="H1" s="6" t="s">
        <v>1167</v>
      </c>
      <c r="I1" s="2" t="s">
        <v>1168</v>
      </c>
    </row>
    <row r="2" spans="1:9" x14ac:dyDescent="0.3">
      <c r="A2" t="s">
        <v>1169</v>
      </c>
      <c r="B2" t="str" cm="1">
        <f t="array" ref="B2:B40">_xlfn._xlws.FILTER(Table1820[PolicyID],Table1820[PASS/FAIL]="FAIL")</f>
        <v>P0004</v>
      </c>
      <c r="C2" t="str">
        <f>_xlfn.TEXTBEFORE(G2,"Factor")</f>
        <v xml:space="preserve">Rate Change </v>
      </c>
      <c r="D2" s="9" cm="1">
        <f t="array" ref="D2:D40">_xlfn._xlws.FILTER(Table1820[System-Generated Premium],Table1820[PASS/FAIL]="FAIL")</f>
        <v>143.58000000000001</v>
      </c>
      <c r="E2" s="9" cm="1">
        <f t="array" ref="E2:E40">_xlfn._xlws.FILTER(Table1820[Expected Premium],Table1820[PASS/FAIL]="FAIL")</f>
        <v>152.19152502276773</v>
      </c>
      <c r="F2" s="9">
        <f>D2-E2</f>
        <v>-8.6115250227677222</v>
      </c>
      <c r="G2" t="str" cm="1">
        <f t="array" ref="G2:G40">_xlfn._xlws.FILTER(Table1820[Likely Issue],Table1820[PASS/FAIL]="FAIL")</f>
        <v>Rate Change Factor not applied</v>
      </c>
      <c r="H2" t="str">
        <f>"Review the "&amp;C2&amp;"Factor in the rating system"</f>
        <v>Review the Rate Change Factor in the rating system</v>
      </c>
      <c r="I2" t="s">
        <v>1209</v>
      </c>
    </row>
    <row r="3" spans="1:9" x14ac:dyDescent="0.3">
      <c r="A3" t="s">
        <v>1170</v>
      </c>
      <c r="B3" t="str">
        <v>P0012</v>
      </c>
      <c r="C3" t="str">
        <f t="shared" ref="C3:C40" si="0">_xlfn.TEXTBEFORE(G3,"Factor")</f>
        <v xml:space="preserve">Good Driver </v>
      </c>
      <c r="D3" s="9">
        <v>2373.25</v>
      </c>
      <c r="E3" s="9">
        <v>2112.1869614624734</v>
      </c>
      <c r="F3" s="9">
        <f t="shared" ref="F3:F40" si="1">D3-E3</f>
        <v>261.06303853752661</v>
      </c>
      <c r="G3" t="str">
        <v>Good Driver Factor not applied</v>
      </c>
      <c r="H3" t="str">
        <f t="shared" ref="H3:H40" si="2">"Review the "&amp;C3&amp;"Factor in the rating system"</f>
        <v>Review the Good Driver Factor in the rating system</v>
      </c>
      <c r="I3" t="s">
        <v>1209</v>
      </c>
    </row>
    <row r="4" spans="1:9" x14ac:dyDescent="0.3">
      <c r="A4" t="s">
        <v>1171</v>
      </c>
      <c r="B4" t="str">
        <v>P0019</v>
      </c>
      <c r="C4" t="str">
        <f t="shared" si="0"/>
        <v xml:space="preserve">Advanced Safety Features </v>
      </c>
      <c r="D4" s="9">
        <v>330.39</v>
      </c>
      <c r="E4" s="9">
        <v>290.73940577325436</v>
      </c>
      <c r="F4" s="9">
        <f t="shared" si="1"/>
        <v>39.650594226745625</v>
      </c>
      <c r="G4" t="str">
        <v>Advanced Safety Features Factor not applied</v>
      </c>
      <c r="H4" t="str">
        <f t="shared" si="2"/>
        <v>Review the Advanced Safety Features Factor in the rating system</v>
      </c>
      <c r="I4" t="s">
        <v>1209</v>
      </c>
    </row>
    <row r="5" spans="1:9" x14ac:dyDescent="0.3">
      <c r="A5" t="s">
        <v>1172</v>
      </c>
      <c r="B5" t="str">
        <v>P0080</v>
      </c>
      <c r="C5" t="str">
        <f t="shared" si="0"/>
        <v xml:space="preserve">Loyal Customer </v>
      </c>
      <c r="D5" s="9">
        <v>266.54000000000002</v>
      </c>
      <c r="E5" s="9">
        <v>250.54960436331149</v>
      </c>
      <c r="F5" s="9">
        <f t="shared" si="1"/>
        <v>15.990395636688532</v>
      </c>
      <c r="G5" t="str">
        <v>Loyal Customer Factor not applied</v>
      </c>
      <c r="H5" t="str">
        <f t="shared" si="2"/>
        <v>Review the Loyal Customer Factor in the rating system</v>
      </c>
      <c r="I5" t="s">
        <v>1209</v>
      </c>
    </row>
    <row r="6" spans="1:9" x14ac:dyDescent="0.3">
      <c r="A6" t="s">
        <v>1173</v>
      </c>
      <c r="B6" t="str">
        <v>P0170</v>
      </c>
      <c r="C6" t="str">
        <f t="shared" si="0"/>
        <v xml:space="preserve">Vehicle Price </v>
      </c>
      <c r="D6" s="9">
        <v>1141.44</v>
      </c>
      <c r="E6" s="9">
        <v>1107.201736502366</v>
      </c>
      <c r="F6" s="9">
        <f t="shared" si="1"/>
        <v>34.23826349763408</v>
      </c>
      <c r="G6" t="str">
        <v>Vehicle Price Factor not applied</v>
      </c>
      <c r="H6" t="str">
        <f t="shared" si="2"/>
        <v>Review the Vehicle Price Factor in the rating system</v>
      </c>
      <c r="I6" t="s">
        <v>1209</v>
      </c>
    </row>
    <row r="7" spans="1:9" x14ac:dyDescent="0.3">
      <c r="A7" t="s">
        <v>1174</v>
      </c>
      <c r="B7" t="str">
        <v>P0184</v>
      </c>
      <c r="C7" t="str">
        <f t="shared" si="0"/>
        <v xml:space="preserve">Ageband </v>
      </c>
      <c r="D7" s="9">
        <v>123.99</v>
      </c>
      <c r="E7" s="9">
        <v>157.47132936684139</v>
      </c>
      <c r="F7" s="9">
        <f t="shared" si="1"/>
        <v>-33.481329366841393</v>
      </c>
      <c r="G7" t="str">
        <v>Ageband Factor not applied</v>
      </c>
      <c r="H7" t="str">
        <f t="shared" si="2"/>
        <v>Review the Ageband Factor in the rating system</v>
      </c>
      <c r="I7" t="s">
        <v>1209</v>
      </c>
    </row>
    <row r="8" spans="1:9" x14ac:dyDescent="0.3">
      <c r="A8" t="s">
        <v>1175</v>
      </c>
      <c r="B8" t="str">
        <v>P0208</v>
      </c>
      <c r="C8" t="str">
        <f t="shared" si="0"/>
        <v xml:space="preserve">Years Driving </v>
      </c>
      <c r="D8" s="9">
        <v>534.23</v>
      </c>
      <c r="E8" s="9">
        <v>571.62509989252544</v>
      </c>
      <c r="F8" s="9">
        <f t="shared" si="1"/>
        <v>-37.395099892525423</v>
      </c>
      <c r="G8" t="str">
        <v>Years Driving Factor not applied</v>
      </c>
      <c r="H8" t="str">
        <f t="shared" si="2"/>
        <v>Review the Years Driving Factor in the rating system</v>
      </c>
      <c r="I8" t="s">
        <v>1209</v>
      </c>
    </row>
    <row r="9" spans="1:9" x14ac:dyDescent="0.3">
      <c r="A9" t="s">
        <v>1176</v>
      </c>
      <c r="B9" t="str">
        <v>P0237</v>
      </c>
      <c r="C9" t="str">
        <f t="shared" si="0"/>
        <v xml:space="preserve">At Fault Accidents </v>
      </c>
      <c r="D9" s="9">
        <v>396.2</v>
      </c>
      <c r="E9" s="9">
        <v>978.60790075913633</v>
      </c>
      <c r="F9" s="9">
        <f t="shared" si="1"/>
        <v>-582.40790075913628</v>
      </c>
      <c r="G9" t="str">
        <v>At Fault Accidents Factor not applied</v>
      </c>
      <c r="H9" t="str">
        <f t="shared" si="2"/>
        <v>Review the At Fault Accidents Factor in the rating system</v>
      </c>
      <c r="I9" t="s">
        <v>1209</v>
      </c>
    </row>
    <row r="10" spans="1:9" x14ac:dyDescent="0.3">
      <c r="A10" t="s">
        <v>1177</v>
      </c>
      <c r="B10" t="str">
        <v>P0295</v>
      </c>
      <c r="C10" t="str">
        <f t="shared" si="0"/>
        <v xml:space="preserve">Years Driving </v>
      </c>
      <c r="D10" s="9">
        <v>1125.07</v>
      </c>
      <c r="E10" s="9">
        <v>1068.8237128418518</v>
      </c>
      <c r="F10" s="9">
        <f t="shared" si="1"/>
        <v>56.246287158148107</v>
      </c>
      <c r="G10" t="str">
        <v>Years Driving Factor not applied</v>
      </c>
      <c r="H10" t="str">
        <f t="shared" si="2"/>
        <v>Review the Years Driving Factor in the rating system</v>
      </c>
      <c r="I10" t="s">
        <v>1209</v>
      </c>
    </row>
    <row r="11" spans="1:9" x14ac:dyDescent="0.3">
      <c r="A11" t="s">
        <v>1178</v>
      </c>
      <c r="B11" t="str">
        <v>P0366</v>
      </c>
      <c r="C11" t="str">
        <f t="shared" si="0"/>
        <v xml:space="preserve">Yearly Miles </v>
      </c>
      <c r="D11" s="9">
        <v>157.88999999999999</v>
      </c>
      <c r="E11" s="9">
        <v>146.83549251761465</v>
      </c>
      <c r="F11" s="9">
        <f t="shared" si="1"/>
        <v>11.054507482385333</v>
      </c>
      <c r="G11" t="str">
        <v>Yearly Miles Factor not applied</v>
      </c>
      <c r="H11" t="str">
        <f t="shared" si="2"/>
        <v>Review the Yearly Miles Factor in the rating system</v>
      </c>
      <c r="I11" t="s">
        <v>1209</v>
      </c>
    </row>
    <row r="12" spans="1:9" x14ac:dyDescent="0.3">
      <c r="A12" t="s">
        <v>1179</v>
      </c>
      <c r="B12" t="str">
        <v>P0398</v>
      </c>
      <c r="C12" t="str">
        <f t="shared" si="0"/>
        <v xml:space="preserve">Vehicle Price </v>
      </c>
      <c r="D12" s="9">
        <v>1354.93</v>
      </c>
      <c r="E12" s="9">
        <v>1463.32157111131</v>
      </c>
      <c r="F12" s="9">
        <f t="shared" si="1"/>
        <v>-108.39157111130999</v>
      </c>
      <c r="G12" t="str">
        <v>Vehicle Price Factor not applied</v>
      </c>
      <c r="H12" t="str">
        <f t="shared" si="2"/>
        <v>Review the Vehicle Price Factor in the rating system</v>
      </c>
      <c r="I12" t="s">
        <v>1209</v>
      </c>
    </row>
    <row r="13" spans="1:9" x14ac:dyDescent="0.3">
      <c r="A13" t="s">
        <v>1180</v>
      </c>
      <c r="B13" t="str">
        <v>P0437</v>
      </c>
      <c r="C13" t="str">
        <f t="shared" si="0"/>
        <v xml:space="preserve">At Fault Accidents </v>
      </c>
      <c r="D13" s="9">
        <v>1307.54</v>
      </c>
      <c r="E13" s="9">
        <v>1752.1046965449952</v>
      </c>
      <c r="F13" s="9">
        <f t="shared" si="1"/>
        <v>-444.56469654499529</v>
      </c>
      <c r="G13" t="str">
        <v>At Fault Accidents Factor not applied</v>
      </c>
      <c r="H13" t="str">
        <f t="shared" si="2"/>
        <v>Review the At Fault Accidents Factor in the rating system</v>
      </c>
      <c r="I13" t="s">
        <v>1209</v>
      </c>
    </row>
    <row r="14" spans="1:9" x14ac:dyDescent="0.3">
      <c r="A14" t="s">
        <v>1181</v>
      </c>
      <c r="B14" t="str">
        <v>P0459</v>
      </c>
      <c r="C14" t="str">
        <f t="shared" si="0"/>
        <v xml:space="preserve">Usage Based Insurance </v>
      </c>
      <c r="D14" s="9">
        <v>466.37</v>
      </c>
      <c r="E14" s="9">
        <v>303.14319258938457</v>
      </c>
      <c r="F14" s="9">
        <f t="shared" si="1"/>
        <v>163.22680741061544</v>
      </c>
      <c r="G14" t="str">
        <v>Usage Based Insurance Factor not applied</v>
      </c>
      <c r="H14" t="str">
        <f t="shared" si="2"/>
        <v>Review the Usage Based Insurance Factor in the rating system</v>
      </c>
      <c r="I14" t="s">
        <v>1209</v>
      </c>
    </row>
    <row r="15" spans="1:9" x14ac:dyDescent="0.3">
      <c r="A15" t="s">
        <v>1182</v>
      </c>
      <c r="B15" t="str">
        <v>P0486</v>
      </c>
      <c r="C15" t="str">
        <f t="shared" si="0"/>
        <v xml:space="preserve">Ageband </v>
      </c>
      <c r="D15" s="9">
        <v>847.54</v>
      </c>
      <c r="E15" s="9">
        <v>1042.4716456303186</v>
      </c>
      <c r="F15" s="9">
        <f t="shared" si="1"/>
        <v>-194.9316456303186</v>
      </c>
      <c r="G15" t="str">
        <v>Ageband Factor not applied</v>
      </c>
      <c r="H15" t="str">
        <f t="shared" si="2"/>
        <v>Review the Ageband Factor in the rating system</v>
      </c>
      <c r="I15" t="s">
        <v>1209</v>
      </c>
    </row>
    <row r="16" spans="1:9" x14ac:dyDescent="0.3">
      <c r="A16" t="s">
        <v>1183</v>
      </c>
      <c r="B16" t="str">
        <v>P0512</v>
      </c>
      <c r="C16" t="str">
        <f t="shared" si="0"/>
        <v xml:space="preserve">City/Zip Code </v>
      </c>
      <c r="D16" s="9">
        <v>583</v>
      </c>
      <c r="E16" s="9">
        <v>635.46995050484406</v>
      </c>
      <c r="F16" s="9">
        <f t="shared" si="1"/>
        <v>-52.469950504844064</v>
      </c>
      <c r="G16" t="str">
        <v>City/Zip Code Factor not applied</v>
      </c>
      <c r="H16" t="str">
        <f t="shared" si="2"/>
        <v>Review the City/Zip Code Factor in the rating system</v>
      </c>
      <c r="I16" t="s">
        <v>1209</v>
      </c>
    </row>
    <row r="17" spans="1:9" x14ac:dyDescent="0.3">
      <c r="A17" t="s">
        <v>1184</v>
      </c>
      <c r="B17" t="str">
        <v>P0528</v>
      </c>
      <c r="C17" t="str">
        <f t="shared" si="0"/>
        <v xml:space="preserve">Loyal Customer </v>
      </c>
      <c r="D17" s="9">
        <v>1185.98</v>
      </c>
      <c r="E17" s="9">
        <v>1114.820249994272</v>
      </c>
      <c r="F17" s="9">
        <f t="shared" si="1"/>
        <v>71.159750005728029</v>
      </c>
      <c r="G17" t="str">
        <v>Loyal Customer Factor not applied</v>
      </c>
      <c r="H17" t="str">
        <f t="shared" si="2"/>
        <v>Review the Loyal Customer Factor in the rating system</v>
      </c>
      <c r="I17" t="s">
        <v>1209</v>
      </c>
    </row>
    <row r="18" spans="1:9" x14ac:dyDescent="0.3">
      <c r="A18" t="s">
        <v>1185</v>
      </c>
      <c r="B18" t="str">
        <v>P0550</v>
      </c>
      <c r="C18" t="str">
        <f t="shared" si="0"/>
        <v xml:space="preserve">Rate Change </v>
      </c>
      <c r="D18" s="9">
        <v>1481.83</v>
      </c>
      <c r="E18" s="9">
        <v>1570.7394745384142</v>
      </c>
      <c r="F18" s="9">
        <f t="shared" si="1"/>
        <v>-88.909474538414315</v>
      </c>
      <c r="G18" t="str">
        <v>Rate Change Factor not applied</v>
      </c>
      <c r="H18" t="str">
        <f t="shared" si="2"/>
        <v>Review the Rate Change Factor in the rating system</v>
      </c>
      <c r="I18" t="s">
        <v>1209</v>
      </c>
    </row>
    <row r="19" spans="1:9" x14ac:dyDescent="0.3">
      <c r="A19" t="s">
        <v>1186</v>
      </c>
      <c r="B19" t="str">
        <v>P0572</v>
      </c>
      <c r="C19" t="str">
        <f t="shared" si="0"/>
        <v xml:space="preserve">Advanced Safety Features </v>
      </c>
      <c r="D19" s="9">
        <v>1339.02</v>
      </c>
      <c r="E19" s="9">
        <v>1178.3366404146441</v>
      </c>
      <c r="F19" s="9">
        <f t="shared" si="1"/>
        <v>160.6833595853559</v>
      </c>
      <c r="G19" t="str">
        <v>Advanced Safety Features Factor not applied</v>
      </c>
      <c r="H19" t="str">
        <f t="shared" si="2"/>
        <v>Review the Advanced Safety Features Factor in the rating system</v>
      </c>
      <c r="I19" t="s">
        <v>1209</v>
      </c>
    </row>
    <row r="20" spans="1:9" x14ac:dyDescent="0.3">
      <c r="A20" t="s">
        <v>1187</v>
      </c>
      <c r="B20" t="str">
        <v>P0587</v>
      </c>
      <c r="C20" t="str">
        <f t="shared" si="0"/>
        <v xml:space="preserve">Rate Change </v>
      </c>
      <c r="D20" s="9">
        <v>872.2</v>
      </c>
      <c r="E20" s="9">
        <v>924.52960736074021</v>
      </c>
      <c r="F20" s="9">
        <f t="shared" si="1"/>
        <v>-52.329607360740169</v>
      </c>
      <c r="G20" t="str">
        <v>Rate Change Factor not applied</v>
      </c>
      <c r="H20" t="str">
        <f t="shared" si="2"/>
        <v>Review the Rate Change Factor in the rating system</v>
      </c>
      <c r="I20" t="s">
        <v>1209</v>
      </c>
    </row>
    <row r="21" spans="1:9" x14ac:dyDescent="0.3">
      <c r="A21" t="s">
        <v>1188</v>
      </c>
      <c r="B21" t="str">
        <v>P0619</v>
      </c>
      <c r="C21" t="str">
        <f t="shared" si="0"/>
        <v xml:space="preserve">Usage Based Insurance </v>
      </c>
      <c r="D21" s="9">
        <v>923.93</v>
      </c>
      <c r="E21" s="9">
        <v>877.72549667065482</v>
      </c>
      <c r="F21" s="9">
        <f t="shared" si="1"/>
        <v>46.20450332934513</v>
      </c>
      <c r="G21" t="str">
        <v>Usage Based Insurance Factor not applied</v>
      </c>
      <c r="H21" t="str">
        <f t="shared" si="2"/>
        <v>Review the Usage Based Insurance Factor in the rating system</v>
      </c>
      <c r="I21" t="s">
        <v>1209</v>
      </c>
    </row>
    <row r="22" spans="1:9" x14ac:dyDescent="0.3">
      <c r="A22" t="s">
        <v>1189</v>
      </c>
      <c r="B22" t="str">
        <v>P0638</v>
      </c>
      <c r="C22" t="str">
        <f t="shared" si="0"/>
        <v xml:space="preserve">Rate Change </v>
      </c>
      <c r="D22" s="9">
        <v>1318.38</v>
      </c>
      <c r="E22" s="9">
        <v>1397.4834270280837</v>
      </c>
      <c r="F22" s="9">
        <f t="shared" si="1"/>
        <v>-79.103427028083615</v>
      </c>
      <c r="G22" t="str">
        <v>Rate Change Factor not applied</v>
      </c>
      <c r="H22" t="str">
        <f t="shared" si="2"/>
        <v>Review the Rate Change Factor in the rating system</v>
      </c>
      <c r="I22" t="s">
        <v>1209</v>
      </c>
    </row>
    <row r="23" spans="1:9" x14ac:dyDescent="0.3">
      <c r="A23" t="s">
        <v>1190</v>
      </c>
      <c r="B23" t="str">
        <v>P0678</v>
      </c>
      <c r="C23" t="str">
        <f t="shared" si="0"/>
        <v xml:space="preserve">Advanced Safety Features </v>
      </c>
      <c r="D23" s="9">
        <v>403.94</v>
      </c>
      <c r="E23" s="9">
        <v>355.46788050808328</v>
      </c>
      <c r="F23" s="9">
        <f t="shared" si="1"/>
        <v>48.472119491916715</v>
      </c>
      <c r="G23" t="str">
        <v>Advanced Safety Features Factor not applied</v>
      </c>
      <c r="H23" t="str">
        <f t="shared" si="2"/>
        <v>Review the Advanced Safety Features Factor in the rating system</v>
      </c>
      <c r="I23" t="s">
        <v>1209</v>
      </c>
    </row>
    <row r="24" spans="1:9" x14ac:dyDescent="0.3">
      <c r="A24" t="s">
        <v>1191</v>
      </c>
      <c r="B24" t="str">
        <v>P0695</v>
      </c>
      <c r="C24" t="str">
        <f t="shared" si="0"/>
        <v xml:space="preserve">Rate Change </v>
      </c>
      <c r="D24" s="9">
        <v>288.36</v>
      </c>
      <c r="E24" s="9">
        <v>305.66484609352943</v>
      </c>
      <c r="F24" s="9">
        <f t="shared" si="1"/>
        <v>-17.30484609352942</v>
      </c>
      <c r="G24" t="str">
        <v>Rate Change Factor not applied</v>
      </c>
      <c r="H24" t="str">
        <f t="shared" si="2"/>
        <v>Review the Rate Change Factor in the rating system</v>
      </c>
      <c r="I24" t="s">
        <v>1209</v>
      </c>
    </row>
    <row r="25" spans="1:9" x14ac:dyDescent="0.3">
      <c r="A25" t="s">
        <v>1192</v>
      </c>
      <c r="B25" t="str">
        <v>P0711</v>
      </c>
      <c r="C25" t="str">
        <f t="shared" si="0"/>
        <v xml:space="preserve">Good Driver </v>
      </c>
      <c r="D25" s="9">
        <v>714.7</v>
      </c>
      <c r="E25" s="9">
        <v>636.08144342806315</v>
      </c>
      <c r="F25" s="9">
        <f t="shared" si="1"/>
        <v>78.618556571936892</v>
      </c>
      <c r="G25" t="str">
        <v>Good Driver Factor not applied</v>
      </c>
      <c r="H25" t="str">
        <f t="shared" si="2"/>
        <v>Review the Good Driver Factor in the rating system</v>
      </c>
      <c r="I25" t="s">
        <v>1209</v>
      </c>
    </row>
    <row r="26" spans="1:9" x14ac:dyDescent="0.3">
      <c r="A26" t="s">
        <v>1193</v>
      </c>
      <c r="B26" t="str">
        <v>P0730</v>
      </c>
      <c r="C26" t="str">
        <f t="shared" si="0"/>
        <v xml:space="preserve">Rate Change </v>
      </c>
      <c r="D26" s="9">
        <v>430.44</v>
      </c>
      <c r="E26" s="9">
        <v>465.27285268705782</v>
      </c>
      <c r="F26" s="9">
        <f t="shared" si="1"/>
        <v>-34.832852687057823</v>
      </c>
      <c r="G26" t="str">
        <v>Rate Change Factor not applied</v>
      </c>
      <c r="H26" t="str">
        <f t="shared" si="2"/>
        <v>Review the Rate Change Factor in the rating system</v>
      </c>
      <c r="I26" t="s">
        <v>1209</v>
      </c>
    </row>
    <row r="27" spans="1:9" x14ac:dyDescent="0.3">
      <c r="A27" t="s">
        <v>1194</v>
      </c>
      <c r="B27" t="str">
        <v>P0745</v>
      </c>
      <c r="C27" t="str">
        <f t="shared" si="0"/>
        <v xml:space="preserve">Good Driver </v>
      </c>
      <c r="D27" s="9">
        <v>1697.08</v>
      </c>
      <c r="E27" s="9">
        <v>1510.4043540666935</v>
      </c>
      <c r="F27" s="9">
        <f t="shared" si="1"/>
        <v>186.67564593330644</v>
      </c>
      <c r="G27" t="str">
        <v>Good Driver Factor not applied</v>
      </c>
      <c r="H27" t="str">
        <f t="shared" si="2"/>
        <v>Review the Good Driver Factor in the rating system</v>
      </c>
      <c r="I27" t="s">
        <v>1209</v>
      </c>
    </row>
    <row r="28" spans="1:9" x14ac:dyDescent="0.3">
      <c r="A28" t="s">
        <v>1195</v>
      </c>
      <c r="B28" t="str">
        <v>P0755</v>
      </c>
      <c r="C28" t="str">
        <f t="shared" si="0"/>
        <v xml:space="preserve">Rate Change </v>
      </c>
      <c r="D28" s="9">
        <v>44.77</v>
      </c>
      <c r="E28" s="9">
        <v>47.455436470026235</v>
      </c>
      <c r="F28" s="9">
        <f t="shared" si="1"/>
        <v>-2.6854364700262323</v>
      </c>
      <c r="G28" t="str">
        <v>Rate Change Factor not applied</v>
      </c>
      <c r="H28" t="str">
        <f t="shared" si="2"/>
        <v>Review the Rate Change Factor in the rating system</v>
      </c>
      <c r="I28" t="s">
        <v>1209</v>
      </c>
    </row>
    <row r="29" spans="1:9" x14ac:dyDescent="0.3">
      <c r="A29" t="s">
        <v>1196</v>
      </c>
      <c r="B29" t="str">
        <v>P0782</v>
      </c>
      <c r="C29" t="str">
        <f t="shared" si="0"/>
        <v xml:space="preserve">Usage Based Insurance </v>
      </c>
      <c r="D29" s="9">
        <v>2867.82</v>
      </c>
      <c r="E29" s="9">
        <v>1864.0773579855033</v>
      </c>
      <c r="F29" s="9">
        <f t="shared" si="1"/>
        <v>1003.7426420144968</v>
      </c>
      <c r="G29" t="str">
        <v>Usage Based Insurance Factor not applied</v>
      </c>
      <c r="H29" t="str">
        <f t="shared" si="2"/>
        <v>Review the Usage Based Insurance Factor in the rating system</v>
      </c>
      <c r="I29" t="s">
        <v>1209</v>
      </c>
    </row>
    <row r="30" spans="1:9" x14ac:dyDescent="0.3">
      <c r="A30" t="s">
        <v>1197</v>
      </c>
      <c r="B30" t="str">
        <v>P0801</v>
      </c>
      <c r="C30" t="str">
        <f t="shared" si="0"/>
        <v xml:space="preserve">Rate Change </v>
      </c>
      <c r="D30" s="9">
        <v>1177.52</v>
      </c>
      <c r="E30" s="9">
        <v>1248.1701748811113</v>
      </c>
      <c r="F30" s="9">
        <f t="shared" si="1"/>
        <v>-70.650174881111298</v>
      </c>
      <c r="G30" t="str">
        <v>Rate Change Factor not applied</v>
      </c>
      <c r="H30" t="str">
        <f t="shared" si="2"/>
        <v>Review the Rate Change Factor in the rating system</v>
      </c>
      <c r="I30" t="s">
        <v>1209</v>
      </c>
    </row>
    <row r="31" spans="1:9" x14ac:dyDescent="0.3">
      <c r="A31" t="s">
        <v>1198</v>
      </c>
      <c r="B31" t="str">
        <v>P0816</v>
      </c>
      <c r="C31" t="str">
        <f t="shared" si="0"/>
        <v xml:space="preserve">Rate Change </v>
      </c>
      <c r="D31" s="9">
        <v>3592.02</v>
      </c>
      <c r="E31" s="9">
        <v>3807.5394075389108</v>
      </c>
      <c r="F31" s="9">
        <f t="shared" si="1"/>
        <v>-215.51940753891085</v>
      </c>
      <c r="G31" t="str">
        <v>Rate Change Factor not applied</v>
      </c>
      <c r="H31" t="str">
        <f t="shared" si="2"/>
        <v>Review the Rate Change Factor in the rating system</v>
      </c>
      <c r="I31" t="s">
        <v>1209</v>
      </c>
    </row>
    <row r="32" spans="1:9" x14ac:dyDescent="0.3">
      <c r="A32" t="s">
        <v>1199</v>
      </c>
      <c r="B32" t="str">
        <v>P0832</v>
      </c>
      <c r="C32" t="str">
        <f t="shared" si="0"/>
        <v xml:space="preserve">Rate Change </v>
      </c>
      <c r="D32" s="9">
        <v>3566.84</v>
      </c>
      <c r="E32" s="9">
        <v>3780.8526009314078</v>
      </c>
      <c r="F32" s="9">
        <f t="shared" si="1"/>
        <v>-214.01260093140763</v>
      </c>
      <c r="G32" t="str">
        <v>Rate Change Factor not applied</v>
      </c>
      <c r="H32" t="str">
        <f t="shared" si="2"/>
        <v>Review the Rate Change Factor in the rating system</v>
      </c>
      <c r="I32" t="s">
        <v>1209</v>
      </c>
    </row>
    <row r="33" spans="1:9" x14ac:dyDescent="0.3">
      <c r="A33" t="s">
        <v>1200</v>
      </c>
      <c r="B33" t="str">
        <v>P0844</v>
      </c>
      <c r="C33" t="str">
        <f t="shared" si="0"/>
        <v xml:space="preserve">Rate Change </v>
      </c>
      <c r="D33" s="9">
        <v>102.97</v>
      </c>
      <c r="E33" s="9">
        <v>109.14982156879823</v>
      </c>
      <c r="F33" s="9">
        <f t="shared" si="1"/>
        <v>-6.1798215687982321</v>
      </c>
      <c r="G33" t="str">
        <v>Rate Change Factor not applied</v>
      </c>
      <c r="H33" t="str">
        <f t="shared" si="2"/>
        <v>Review the Rate Change Factor in the rating system</v>
      </c>
      <c r="I33" t="s">
        <v>1209</v>
      </c>
    </row>
    <row r="34" spans="1:9" x14ac:dyDescent="0.3">
      <c r="A34" t="s">
        <v>1201</v>
      </c>
      <c r="B34" t="str">
        <v>P0861</v>
      </c>
      <c r="C34" t="str">
        <f t="shared" si="0"/>
        <v xml:space="preserve">Usage Based Insurance </v>
      </c>
      <c r="D34" s="9">
        <v>881.74</v>
      </c>
      <c r="E34" s="9">
        <v>705.39343652933621</v>
      </c>
      <c r="F34" s="9">
        <f t="shared" si="1"/>
        <v>176.3465634706638</v>
      </c>
      <c r="G34" t="str">
        <v>Usage Based Insurance Factor not applied</v>
      </c>
      <c r="H34" t="str">
        <f t="shared" si="2"/>
        <v>Review the Usage Based Insurance Factor in the rating system</v>
      </c>
      <c r="I34" t="s">
        <v>1209</v>
      </c>
    </row>
    <row r="35" spans="1:9" x14ac:dyDescent="0.3">
      <c r="A35" t="s">
        <v>1202</v>
      </c>
      <c r="B35" t="str">
        <v>P0873</v>
      </c>
      <c r="C35" t="str">
        <f t="shared" si="0"/>
        <v xml:space="preserve">Rate Change </v>
      </c>
      <c r="D35" s="9">
        <v>161.9</v>
      </c>
      <c r="E35" s="9">
        <v>171.60558303825252</v>
      </c>
      <c r="F35" s="9">
        <f t="shared" si="1"/>
        <v>-9.705583038252513</v>
      </c>
      <c r="G35" t="str">
        <v>Rate Change Factor not applied</v>
      </c>
      <c r="H35" t="str">
        <f t="shared" si="2"/>
        <v>Review the Rate Change Factor in the rating system</v>
      </c>
      <c r="I35" t="s">
        <v>1209</v>
      </c>
    </row>
    <row r="36" spans="1:9" x14ac:dyDescent="0.3">
      <c r="A36" t="s">
        <v>1203</v>
      </c>
      <c r="B36" t="str">
        <v>P0893</v>
      </c>
      <c r="C36" t="str">
        <f t="shared" si="0"/>
        <v xml:space="preserve">Usage Based Insurance </v>
      </c>
      <c r="D36" s="9">
        <v>183.43</v>
      </c>
      <c r="E36" s="9">
        <v>174.26132246186521</v>
      </c>
      <c r="F36" s="9">
        <f t="shared" si="1"/>
        <v>9.1686775381348014</v>
      </c>
      <c r="G36" t="str">
        <v>Usage Based Insurance Factor not applied</v>
      </c>
      <c r="H36" t="str">
        <f t="shared" si="2"/>
        <v>Review the Usage Based Insurance Factor in the rating system</v>
      </c>
      <c r="I36" t="s">
        <v>1209</v>
      </c>
    </row>
    <row r="37" spans="1:9" x14ac:dyDescent="0.3">
      <c r="A37" t="s">
        <v>1204</v>
      </c>
      <c r="B37" t="str">
        <v>P0914</v>
      </c>
      <c r="C37" t="str">
        <f t="shared" si="0"/>
        <v xml:space="preserve">Usage Based Insurance </v>
      </c>
      <c r="D37" s="9">
        <v>1484.38</v>
      </c>
      <c r="E37" s="9">
        <v>1187.5035558481918</v>
      </c>
      <c r="F37" s="9">
        <f t="shared" si="1"/>
        <v>296.8764441518083</v>
      </c>
      <c r="G37" t="str">
        <v>Usage Based Insurance Factor not applied</v>
      </c>
      <c r="H37" t="str">
        <f t="shared" si="2"/>
        <v>Review the Usage Based Insurance Factor in the rating system</v>
      </c>
      <c r="I37" t="s">
        <v>1209</v>
      </c>
    </row>
    <row r="38" spans="1:9" x14ac:dyDescent="0.3">
      <c r="A38" t="s">
        <v>1205</v>
      </c>
      <c r="B38" t="str">
        <v>P0939</v>
      </c>
      <c r="C38" t="str">
        <f t="shared" si="0"/>
        <v xml:space="preserve">Usage Based Insurance </v>
      </c>
      <c r="D38" s="9">
        <v>2607.15</v>
      </c>
      <c r="E38" s="9">
        <v>2476.7930623053285</v>
      </c>
      <c r="F38" s="9">
        <f t="shared" si="1"/>
        <v>130.35693769467161</v>
      </c>
      <c r="G38" t="str">
        <v>Usage Based Insurance Factor not applied</v>
      </c>
      <c r="H38" t="str">
        <f t="shared" si="2"/>
        <v>Review the Usage Based Insurance Factor in the rating system</v>
      </c>
      <c r="I38" t="s">
        <v>1209</v>
      </c>
    </row>
    <row r="39" spans="1:9" x14ac:dyDescent="0.3">
      <c r="A39" t="s">
        <v>1206</v>
      </c>
      <c r="B39" t="str">
        <v>P0965</v>
      </c>
      <c r="C39" t="str">
        <f t="shared" si="0"/>
        <v xml:space="preserve">Good Driver </v>
      </c>
      <c r="D39" s="9">
        <v>1146.96</v>
      </c>
      <c r="E39" s="9">
        <v>1020.7912621805841</v>
      </c>
      <c r="F39" s="9">
        <f t="shared" si="1"/>
        <v>126.16873781941592</v>
      </c>
      <c r="G39" t="str">
        <v>Good Driver Factor not applied</v>
      </c>
      <c r="H39" t="str">
        <f t="shared" si="2"/>
        <v>Review the Good Driver Factor in the rating system</v>
      </c>
      <c r="I39" t="s">
        <v>1209</v>
      </c>
    </row>
    <row r="40" spans="1:9" x14ac:dyDescent="0.3">
      <c r="A40" t="s">
        <v>1207</v>
      </c>
      <c r="B40" t="str">
        <v>P0989</v>
      </c>
      <c r="C40" t="str">
        <f t="shared" si="0"/>
        <v xml:space="preserve">Good Driver </v>
      </c>
      <c r="D40" s="9">
        <v>382.96</v>
      </c>
      <c r="E40" s="9">
        <v>340.83429562319236</v>
      </c>
      <c r="F40" s="9">
        <f t="shared" si="1"/>
        <v>42.125704376807619</v>
      </c>
      <c r="G40" t="str">
        <v>Good Driver Factor not applied</v>
      </c>
      <c r="H40" t="str">
        <f t="shared" si="2"/>
        <v>Review the Good Driver Factor in the rating system</v>
      </c>
      <c r="I40" t="s">
        <v>1209</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Overview</vt:lpstr>
      <vt:lpstr>Rate Book</vt:lpstr>
      <vt:lpstr>Test Cases</vt:lpstr>
      <vt:lpstr>Premium Validation</vt:lpstr>
      <vt:lpstr>QA Summary</vt:lpstr>
      <vt:lpstr>Issue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Andy Quinones</dc:creator>
  <cp:lastModifiedBy>Andy Quinones</cp:lastModifiedBy>
  <dcterms:created xsi:type="dcterms:W3CDTF">2026-05-06T20:46:07Z</dcterms:created>
  <dcterms:modified xsi:type="dcterms:W3CDTF">2026-07-10T10:02:04Z</dcterms:modified>
</cp:coreProperties>
</file>